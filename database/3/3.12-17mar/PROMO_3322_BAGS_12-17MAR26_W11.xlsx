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 firstSheet="1" activeTab="3"/>
  </bookViews>
  <sheets>
    <sheet name="2022 LITTLE M D90" sheetId="7" r:id="rId1"/>
    <sheet name="2022-2023 DISNEY D90" sheetId="3" r:id="rId2"/>
    <sheet name="2022-2023 MARVEL D90" sheetId="6" r:id="rId3"/>
    <sheet name="2024 H1 BAGS D70" sheetId="5" r:id="rId4"/>
  </sheets>
  <definedNames>
    <definedName name="_xlnm._FilterDatabase" localSheetId="1" hidden="1">'2022-2023 DISNEY D90'!$A$1:$P$17</definedName>
    <definedName name="_xlnm._FilterDatabase" localSheetId="2" hidden="1">'2022-2023 MARVEL D90'!$A$1:$P$8</definedName>
    <definedName name="_xlnm._FilterDatabase" localSheetId="0" hidden="1">'2022 LITTLE M D90'!$A$1:$P$2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<sst xmlns="http://schemas.openxmlformats.org/spreadsheetml/2006/main" count="219" uniqueCount="85">
  <si>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</si>
  <si>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</si>
  <si>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</si>
  <si>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</si>
  <si>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</si>
  <si>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</si>
  <si>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</si>
  <si>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</si>
  <si>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</si>
  <si>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</si>
  <si>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</si>
  <si>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</si>
  <si>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</si>
  <si>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</si>
  <si>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</si>
  <si>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</si>
  <si>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2022-2023 BAGS D90</t>
  </si>
  <si>
    <t>LITTLE M</t>
  </si>
  <si>
    <t>BGSN05</t>
  </si>
  <si>
    <t>BACKPACK UNICORN DOLBY BGSN05:PASTEL PINK:F:GRAPHIC:BACKPACK</t>
  </si>
  <si>
    <t>PERCENTAGE</t>
  </si>
  <si>
    <t>2022-2023 DISNEY D90</t>
  </si>
  <si>
    <t>DISNEY</t>
  </si>
  <si>
    <t>JK-0023</t>
  </si>
  <si>
    <t>BACKPACK JUJUTSU KAIZEN 36INCH TEAM JK-0023:BLACK:F:GRAPHIC:BACKPACK</t>
  </si>
  <si>
    <t>JK-0024</t>
  </si>
  <si>
    <t>BACKPACK JUJUTSU KAIZEN 36INCH ACTION JK-0024:BLACK:F:GRAPHIC:BACKPACK</t>
  </si>
  <si>
    <t>MTH-005B</t>
  </si>
  <si>
    <t>BACKPACK SPIDERMAN MIKA MTH-005B:CLASSIC RED:F:SOLID:BACKPACK</t>
  </si>
  <si>
    <t>MTH-003B</t>
  </si>
  <si>
    <t>BACKPACK AVG MIKA MTH-003B:CLASSIC BLUE:F:SOLID:BACKPACK</t>
  </si>
  <si>
    <t>MTH-009</t>
  </si>
  <si>
    <t>BACKPACK GIFT SET SPIDERMAN MTH-009:BLACK:F:SOLID:BACKPACK</t>
  </si>
  <si>
    <t>MTH-029</t>
  </si>
  <si>
    <t>BACKPACK GIFT SET SPIDERMAN MTH-029:BLACK:F:GRAPHIC:BACKPACK</t>
  </si>
  <si>
    <t>MTH-024</t>
  </si>
  <si>
    <t>BACKPACK SPIDERMAN MIKA 12INCH L27XH30 MTH-024:BLACK:F:GRAPHIC:BACKPACK</t>
  </si>
  <si>
    <t>MTH-011</t>
  </si>
  <si>
    <t>BACKPACK GIFT SET FROZEN MTH-011:CLASSIC PURPLE:F:SOLID:BACKPACK</t>
  </si>
  <si>
    <t>MTH-012B</t>
  </si>
  <si>
    <t>BACKPACK PRINCESS 12INCH L27XH30 MTH-012B:PASTEL PINK:F:GRAPHIC:BACKPACK</t>
  </si>
  <si>
    <t>BGSN04</t>
  </si>
  <si>
    <t>BACKPACK FROZEN ELSA MIKA HORSE BGSN04:CLASSIC BLUE:F:GRAPHIC:BACKPACK</t>
  </si>
  <si>
    <t>MTH-015B</t>
  </si>
  <si>
    <t>BACKPACK FROZEN MIKA ELSA ANNA 12INCH L27XH30 MTH-015B:PASTEL PURPLE:F:GRAPHIC:BACKPACK</t>
  </si>
  <si>
    <t>BGSN03</t>
  </si>
  <si>
    <t>BACKPACK FROZEN ELSA MIKA FACE BGSN03:CLASSIC PURPLE:F:GRAPHIC:BACKPACK</t>
  </si>
  <si>
    <t>MTH-018</t>
  </si>
  <si>
    <t>BACKPACK WB FLASH 12INCH L27XH30 MTH-018:CLASSIC RED:F:GRAPHIC:BACKPACK</t>
  </si>
  <si>
    <t>MTH-016</t>
  </si>
  <si>
    <t>BACKPACK WB SUPERMAN 12INCH L27XH30 MTH-016:CLASSIC BLUE:F:GRAPHIC:BACKPACK</t>
  </si>
  <si>
    <t>MTH-037</t>
  </si>
  <si>
    <t>BACKPACK BATMAN 12INCH L27XH30 MTH-037:BLACK:F:GRAPHIC:BACKPACK</t>
  </si>
  <si>
    <t>MTH-038</t>
  </si>
  <si>
    <t>BACKPACK SUPERMAN 12INCH L27XH30 MTH-038:CLASSIC BLUE:F:GRAPHIC:BACKPACK</t>
  </si>
  <si>
    <t>MARVEL</t>
  </si>
  <si>
    <t>BGSN01</t>
  </si>
  <si>
    <t>BACKPACK SPIDERMAN MIKA EYES BGSN01:BLACK:F:GRAPHIC:BACKPACK</t>
  </si>
  <si>
    <t>BGSN02</t>
  </si>
  <si>
    <t>BACKPACK AVENGER MIKA TEAMS BGSN02:BLACK:F:GRAPHIC:BACKPACK</t>
  </si>
  <si>
    <t>BGSN06</t>
  </si>
  <si>
    <t>WAISTBAG SPIDERMAN DOLBY EYES BGSN06:BLACK:F:GRAPHIC:WAIST BAG</t>
  </si>
  <si>
    <t>BGSN07</t>
  </si>
  <si>
    <t>WAIST BAG MARVEL DOLBY LOGO TENGAH BGSN07:BLACK:F:GRAPHIC:WAIST BAG</t>
  </si>
  <si>
    <t>MTH-017</t>
  </si>
  <si>
    <t>BACKPACK WB BATMAN 12 L27XH30 MTH-017:BLACK:F:SOLID:BACKPACK</t>
  </si>
  <si>
    <t>MTH-021</t>
  </si>
  <si>
    <t>WAISTBAG BATMAN DOLBY L32XH14.5 MTH-021:BLACK:F:SOLID:WAIST BAG</t>
  </si>
  <si>
    <t>MTH-022</t>
  </si>
  <si>
    <t>WAISTBAG SUPERMAN DOLBY L32XH14.5 MTH-022:NAVY BLUE:F:SOLID:WAIST BAG</t>
  </si>
  <si>
    <t>2024 H1 BAGS D70</t>
  </si>
  <si>
    <t>BPJK-301A</t>
  </si>
  <si>
    <t>BACKPACK JUJUTSU 36INCH 2 MAN BPJK-301A:BLACK:F:PRINT:BACKPACK</t>
  </si>
  <si>
    <t>BPJK-301B</t>
  </si>
  <si>
    <t>BACKPACK JUJUTSU 36INCH 2 FACE BPJK-301B:BLACK:F:PRINT:BACKPACK</t>
  </si>
  <si>
    <t>OPBP-24</t>
  </si>
  <si>
    <t>BACKPACK ONE PIECE 36INCH 2 TEAMS OPBP-24:BLACK:F:PRINT:BACKPACK</t>
  </si>
  <si>
    <t>SPI-039</t>
  </si>
  <si>
    <t>BACKPACK GIFTSET SPIDEY FLY 36INCH SPI-039:BLACK:F:GRAPHIC:BACKPACK</t>
  </si>
  <si>
    <t>FRO-041</t>
  </si>
  <si>
    <t>BACKPACK GIFTSET ELSA &amp; ANNA 36INCH FRO-041:PASTEL PURPLE:F:GRAPHIC:BACKPACK</t>
  </si>
  <si>
    <t>MTH-43</t>
  </si>
  <si>
    <t>BACKPACK GIFTSET UNICORN FLY 36INCH MTH-43:PASTEL PURPLE:F:GRAPHIC:BACKPACK</t>
  </si>
  <si>
    <t>MTH-45</t>
  </si>
  <si>
    <t>BACKPACK GIFTSET UNICORN HEAD 36INCH MTH-45:PASTEL PINK:F:GRAPHIC:BACKPACK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</si>
</sst>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38" fontId="0" fillId="0" borderId="1" xfId="0" applyNumberFormat="1" applyFont="1" applyFill="1" applyBorder="1" applyAlignment="1">
      <alignment horizontal="center" vertical="center"/>
    </xf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selection activeCell="C2" sqref="C2"/>
    </sheetView>
  </sheetViews>
  <sheetFormatPr defaultColWidth="8.63636363636364" defaultRowHeight="14.5" outlineLevelRow="1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84.1818181818182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16</v>
      </c>
      <c r="B2" s="8">
        <v>46093</v>
      </c>
      <c r="C2" s="8">
        <v>46098</v>
      </c>
      <c r="D2" s="7">
        <v>3322</v>
      </c>
      <c r="E2" s="7">
        <v>342</v>
      </c>
      <c r="F2" s="7">
        <v>6</v>
      </c>
      <c r="G2" s="9">
        <v>3</v>
      </c>
      <c r="H2" s="7">
        <v>81629</v>
      </c>
      <c r="I2" s="7" t="s">
        <v>17</v>
      </c>
      <c r="J2" s="7">
        <v>73780371</v>
      </c>
      <c r="K2" s="7" t="s">
        <v>18</v>
      </c>
      <c r="L2" s="15" t="s">
        <v>19</v>
      </c>
      <c r="M2" s="14">
        <v>239900</v>
      </c>
      <c r="N2" s="13">
        <v>0.9</v>
      </c>
      <c r="O2" s="14">
        <f>M2*(1-N2)</f>
        <v>23990</v>
      </c>
      <c r="P2" s="7" t="s">
        <v>20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55" zoomScaleNormal="55" workbookViewId="0">
      <selection activeCell="C2" sqref="C2:C17"/>
    </sheetView>
  </sheetViews>
  <sheetFormatPr defaultColWidth="8.63636363636364" defaultRowHeight="14.5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84.1818181818182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21</v>
      </c>
      <c r="B2" s="8">
        <v>46093</v>
      </c>
      <c r="C2" s="8">
        <v>46098</v>
      </c>
      <c r="D2" s="7">
        <v>3322</v>
      </c>
      <c r="E2" s="7">
        <v>342</v>
      </c>
      <c r="F2" s="7">
        <v>6</v>
      </c>
      <c r="G2" s="9">
        <v>2</v>
      </c>
      <c r="H2" s="7">
        <v>80994</v>
      </c>
      <c r="I2" s="7" t="s">
        <v>22</v>
      </c>
      <c r="J2" s="7">
        <v>82197977</v>
      </c>
      <c r="K2" s="7" t="s">
        <v>23</v>
      </c>
      <c r="L2" s="15" t="s">
        <v>24</v>
      </c>
      <c r="M2" s="14">
        <v>259900</v>
      </c>
      <c r="N2" s="13">
        <v>0.9</v>
      </c>
      <c r="O2" s="14">
        <f t="shared" ref="O2:O17" si="0">M2*(1-N2)</f>
        <v>25990</v>
      </c>
      <c r="P2" s="7" t="s">
        <v>20</v>
      </c>
    </row>
    <row r="3" spans="1:16">
      <c r="A3" s="7" t="s">
        <v>21</v>
      </c>
      <c r="B3" s="8">
        <v>46093</v>
      </c>
      <c r="C3" s="8">
        <v>46098</v>
      </c>
      <c r="D3" s="7">
        <v>3322</v>
      </c>
      <c r="E3" s="7">
        <v>342</v>
      </c>
      <c r="F3" s="7">
        <v>6</v>
      </c>
      <c r="G3" s="9">
        <v>2</v>
      </c>
      <c r="H3" s="7">
        <v>80994</v>
      </c>
      <c r="I3" s="7" t="s">
        <v>22</v>
      </c>
      <c r="J3" s="7">
        <v>82197986</v>
      </c>
      <c r="K3" s="7" t="s">
        <v>25</v>
      </c>
      <c r="L3" s="15" t="s">
        <v>26</v>
      </c>
      <c r="M3" s="14">
        <v>259900</v>
      </c>
      <c r="N3" s="13">
        <v>0.9</v>
      </c>
      <c r="O3" s="14">
        <f t="shared" si="0"/>
        <v>25990</v>
      </c>
      <c r="P3" s="7" t="s">
        <v>20</v>
      </c>
    </row>
    <row r="4" spans="1:16">
      <c r="A4" s="7" t="s">
        <v>21</v>
      </c>
      <c r="B4" s="8">
        <v>46093</v>
      </c>
      <c r="C4" s="8">
        <v>46098</v>
      </c>
      <c r="D4" s="7">
        <v>3322</v>
      </c>
      <c r="E4" s="7">
        <v>342</v>
      </c>
      <c r="F4" s="7">
        <v>6</v>
      </c>
      <c r="G4" s="9">
        <v>1</v>
      </c>
      <c r="H4" s="7">
        <v>81629</v>
      </c>
      <c r="I4" s="7" t="s">
        <v>22</v>
      </c>
      <c r="J4" s="7">
        <v>79841759</v>
      </c>
      <c r="K4" s="7" t="s">
        <v>27</v>
      </c>
      <c r="L4" s="15" t="s">
        <v>28</v>
      </c>
      <c r="M4" s="14">
        <v>279900</v>
      </c>
      <c r="N4" s="13">
        <v>0.9</v>
      </c>
      <c r="O4" s="14">
        <f t="shared" si="0"/>
        <v>27990</v>
      </c>
      <c r="P4" s="7" t="s">
        <v>20</v>
      </c>
    </row>
    <row r="5" spans="1:16">
      <c r="A5" s="7" t="s">
        <v>21</v>
      </c>
      <c r="B5" s="8">
        <v>46093</v>
      </c>
      <c r="C5" s="8">
        <v>46098</v>
      </c>
      <c r="D5" s="7">
        <v>3322</v>
      </c>
      <c r="E5" s="7">
        <v>342</v>
      </c>
      <c r="F5" s="7">
        <v>6</v>
      </c>
      <c r="G5" s="9">
        <v>1</v>
      </c>
      <c r="H5" s="7">
        <v>81629</v>
      </c>
      <c r="I5" s="7" t="s">
        <v>22</v>
      </c>
      <c r="J5" s="7">
        <v>79841768</v>
      </c>
      <c r="K5" s="7" t="s">
        <v>29</v>
      </c>
      <c r="L5" s="15" t="s">
        <v>30</v>
      </c>
      <c r="M5" s="14">
        <v>249900</v>
      </c>
      <c r="N5" s="13">
        <v>0.9</v>
      </c>
      <c r="O5" s="14">
        <f t="shared" si="0"/>
        <v>24990</v>
      </c>
      <c r="P5" s="7" t="s">
        <v>20</v>
      </c>
    </row>
    <row r="6" spans="1:16">
      <c r="A6" s="7" t="s">
        <v>21</v>
      </c>
      <c r="B6" s="8">
        <v>46093</v>
      </c>
      <c r="C6" s="8">
        <v>46098</v>
      </c>
      <c r="D6" s="7">
        <v>3322</v>
      </c>
      <c r="E6" s="7">
        <v>342</v>
      </c>
      <c r="F6" s="7">
        <v>6</v>
      </c>
      <c r="G6" s="9">
        <v>1</v>
      </c>
      <c r="H6" s="7">
        <v>81629</v>
      </c>
      <c r="I6" s="7" t="s">
        <v>22</v>
      </c>
      <c r="J6" s="7">
        <v>79841777</v>
      </c>
      <c r="K6" s="7" t="s">
        <v>31</v>
      </c>
      <c r="L6" s="15" t="s">
        <v>32</v>
      </c>
      <c r="M6" s="14">
        <v>239900</v>
      </c>
      <c r="N6" s="13">
        <v>0.9</v>
      </c>
      <c r="O6" s="14">
        <f t="shared" si="0"/>
        <v>23990</v>
      </c>
      <c r="P6" s="7" t="s">
        <v>20</v>
      </c>
    </row>
    <row r="7" spans="1:16">
      <c r="A7" s="7" t="s">
        <v>21</v>
      </c>
      <c r="B7" s="8">
        <v>46093</v>
      </c>
      <c r="C7" s="8">
        <v>46098</v>
      </c>
      <c r="D7" s="7">
        <v>3322</v>
      </c>
      <c r="E7" s="7">
        <v>342</v>
      </c>
      <c r="F7" s="7">
        <v>6</v>
      </c>
      <c r="G7" s="9">
        <v>1</v>
      </c>
      <c r="H7" s="7">
        <v>81629</v>
      </c>
      <c r="I7" s="7" t="s">
        <v>22</v>
      </c>
      <c r="J7" s="7">
        <v>82197922</v>
      </c>
      <c r="K7" s="7" t="s">
        <v>33</v>
      </c>
      <c r="L7" s="15" t="s">
        <v>34</v>
      </c>
      <c r="M7" s="14">
        <v>239900</v>
      </c>
      <c r="N7" s="13">
        <v>0.9</v>
      </c>
      <c r="O7" s="14">
        <f t="shared" si="0"/>
        <v>23990</v>
      </c>
      <c r="P7" s="7" t="s">
        <v>20</v>
      </c>
    </row>
    <row r="8" spans="1:16">
      <c r="A8" s="7" t="s">
        <v>21</v>
      </c>
      <c r="B8" s="8">
        <v>46093</v>
      </c>
      <c r="C8" s="8">
        <v>46098</v>
      </c>
      <c r="D8" s="7">
        <v>3322</v>
      </c>
      <c r="E8" s="7">
        <v>342</v>
      </c>
      <c r="F8" s="7">
        <v>6</v>
      </c>
      <c r="G8" s="9">
        <v>1</v>
      </c>
      <c r="H8" s="7">
        <v>81629</v>
      </c>
      <c r="I8" s="7" t="s">
        <v>22</v>
      </c>
      <c r="J8" s="7">
        <v>82197913</v>
      </c>
      <c r="K8" s="7" t="s">
        <v>35</v>
      </c>
      <c r="L8" s="15" t="s">
        <v>36</v>
      </c>
      <c r="M8" s="14">
        <v>269900</v>
      </c>
      <c r="N8" s="13">
        <v>0.9</v>
      </c>
      <c r="O8" s="14">
        <f t="shared" si="0"/>
        <v>26990</v>
      </c>
      <c r="P8" s="7" t="s">
        <v>20</v>
      </c>
    </row>
    <row r="9" spans="1:16">
      <c r="A9" s="7" t="s">
        <v>21</v>
      </c>
      <c r="B9" s="8">
        <v>46093</v>
      </c>
      <c r="C9" s="8">
        <v>46098</v>
      </c>
      <c r="D9" s="7">
        <v>3322</v>
      </c>
      <c r="E9" s="7">
        <v>342</v>
      </c>
      <c r="F9" s="7">
        <v>6</v>
      </c>
      <c r="G9" s="9">
        <v>1</v>
      </c>
      <c r="H9" s="7">
        <v>81629</v>
      </c>
      <c r="I9" s="7" t="s">
        <v>22</v>
      </c>
      <c r="J9" s="7">
        <v>79841786</v>
      </c>
      <c r="K9" s="7" t="s">
        <v>37</v>
      </c>
      <c r="L9" s="15" t="s">
        <v>38</v>
      </c>
      <c r="M9" s="14">
        <v>239900</v>
      </c>
      <c r="N9" s="13">
        <v>0.9</v>
      </c>
      <c r="O9" s="14">
        <f t="shared" si="0"/>
        <v>23990</v>
      </c>
      <c r="P9" s="7" t="s">
        <v>20</v>
      </c>
    </row>
    <row r="10" spans="1:16">
      <c r="A10" s="7" t="s">
        <v>21</v>
      </c>
      <c r="B10" s="8">
        <v>46093</v>
      </c>
      <c r="C10" s="8">
        <v>46098</v>
      </c>
      <c r="D10" s="7">
        <v>3322</v>
      </c>
      <c r="E10" s="7">
        <v>342</v>
      </c>
      <c r="F10" s="7">
        <v>6</v>
      </c>
      <c r="G10" s="9">
        <v>1</v>
      </c>
      <c r="H10" s="7">
        <v>81629</v>
      </c>
      <c r="I10" s="7" t="s">
        <v>22</v>
      </c>
      <c r="J10" s="7">
        <v>82197904</v>
      </c>
      <c r="K10" s="7" t="s">
        <v>39</v>
      </c>
      <c r="L10" s="15" t="s">
        <v>40</v>
      </c>
      <c r="M10" s="14">
        <v>249900</v>
      </c>
      <c r="N10" s="13">
        <v>0.9</v>
      </c>
      <c r="O10" s="14">
        <f t="shared" si="0"/>
        <v>24990</v>
      </c>
      <c r="P10" s="7" t="s">
        <v>20</v>
      </c>
    </row>
    <row r="11" spans="1:16">
      <c r="A11" s="7" t="s">
        <v>21</v>
      </c>
      <c r="B11" s="8">
        <v>46093</v>
      </c>
      <c r="C11" s="8">
        <v>46098</v>
      </c>
      <c r="D11" s="7">
        <v>3322</v>
      </c>
      <c r="E11" s="7">
        <v>342</v>
      </c>
      <c r="F11" s="7">
        <v>6</v>
      </c>
      <c r="G11" s="9">
        <v>1</v>
      </c>
      <c r="H11" s="7">
        <v>81629</v>
      </c>
      <c r="I11" s="7" t="s">
        <v>22</v>
      </c>
      <c r="J11" s="7">
        <v>73780362</v>
      </c>
      <c r="K11" s="7" t="s">
        <v>41</v>
      </c>
      <c r="L11" s="15" t="s">
        <v>42</v>
      </c>
      <c r="M11" s="14">
        <v>249900</v>
      </c>
      <c r="N11" s="13">
        <v>0.9</v>
      </c>
      <c r="O11" s="14">
        <f t="shared" si="0"/>
        <v>24990</v>
      </c>
      <c r="P11" s="7" t="s">
        <v>20</v>
      </c>
    </row>
    <row r="12" spans="1:16">
      <c r="A12" s="7" t="s">
        <v>21</v>
      </c>
      <c r="B12" s="8">
        <v>46093</v>
      </c>
      <c r="C12" s="8">
        <v>46098</v>
      </c>
      <c r="D12" s="7">
        <v>3322</v>
      </c>
      <c r="E12" s="7">
        <v>342</v>
      </c>
      <c r="F12" s="7">
        <v>6</v>
      </c>
      <c r="G12" s="9">
        <v>1</v>
      </c>
      <c r="H12" s="7">
        <v>81629</v>
      </c>
      <c r="I12" s="7" t="s">
        <v>22</v>
      </c>
      <c r="J12" s="7">
        <v>82197897</v>
      </c>
      <c r="K12" s="7" t="s">
        <v>43</v>
      </c>
      <c r="L12" s="15" t="s">
        <v>44</v>
      </c>
      <c r="M12" s="14">
        <v>249900</v>
      </c>
      <c r="N12" s="13">
        <v>0.9</v>
      </c>
      <c r="O12" s="14">
        <f t="shared" si="0"/>
        <v>24990</v>
      </c>
      <c r="P12" s="7" t="s">
        <v>20</v>
      </c>
    </row>
    <row r="13" spans="1:16">
      <c r="A13" s="7" t="s">
        <v>21</v>
      </c>
      <c r="B13" s="8">
        <v>46093</v>
      </c>
      <c r="C13" s="8">
        <v>46098</v>
      </c>
      <c r="D13" s="7">
        <v>3322</v>
      </c>
      <c r="E13" s="7">
        <v>342</v>
      </c>
      <c r="F13" s="7">
        <v>6</v>
      </c>
      <c r="G13" s="9">
        <v>1</v>
      </c>
      <c r="H13" s="7">
        <v>81629</v>
      </c>
      <c r="I13" s="7" t="s">
        <v>22</v>
      </c>
      <c r="J13" s="7">
        <v>73780353</v>
      </c>
      <c r="K13" s="7" t="s">
        <v>45</v>
      </c>
      <c r="L13" s="15" t="s">
        <v>46</v>
      </c>
      <c r="M13" s="14">
        <v>249900</v>
      </c>
      <c r="N13" s="13">
        <v>0.9</v>
      </c>
      <c r="O13" s="14">
        <f t="shared" si="0"/>
        <v>24990</v>
      </c>
      <c r="P13" s="7" t="s">
        <v>20</v>
      </c>
    </row>
    <row r="14" spans="1:16">
      <c r="A14" s="7" t="s">
        <v>21</v>
      </c>
      <c r="B14" s="8">
        <v>46093</v>
      </c>
      <c r="C14" s="8">
        <v>46098</v>
      </c>
      <c r="D14" s="7">
        <v>3322</v>
      </c>
      <c r="E14" s="7">
        <v>342</v>
      </c>
      <c r="F14" s="7">
        <v>6</v>
      </c>
      <c r="G14" s="9">
        <v>2</v>
      </c>
      <c r="H14" s="7">
        <v>81629</v>
      </c>
      <c r="I14" s="7" t="s">
        <v>22</v>
      </c>
      <c r="J14" s="7">
        <v>82197931</v>
      </c>
      <c r="K14" s="7" t="s">
        <v>47</v>
      </c>
      <c r="L14" s="15" t="s">
        <v>48</v>
      </c>
      <c r="M14" s="14">
        <v>249900</v>
      </c>
      <c r="N14" s="13">
        <v>0.9</v>
      </c>
      <c r="O14" s="14">
        <f t="shared" si="0"/>
        <v>24990</v>
      </c>
      <c r="P14" s="7" t="s">
        <v>20</v>
      </c>
    </row>
    <row r="15" spans="1:16">
      <c r="A15" s="7" t="s">
        <v>21</v>
      </c>
      <c r="B15" s="8">
        <v>46093</v>
      </c>
      <c r="C15" s="8">
        <v>46098</v>
      </c>
      <c r="D15" s="7">
        <v>3322</v>
      </c>
      <c r="E15" s="7">
        <v>342</v>
      </c>
      <c r="F15" s="7">
        <v>6</v>
      </c>
      <c r="G15" s="9">
        <v>2</v>
      </c>
      <c r="H15" s="7">
        <v>81629</v>
      </c>
      <c r="I15" s="7" t="s">
        <v>22</v>
      </c>
      <c r="J15" s="7">
        <v>82197940</v>
      </c>
      <c r="K15" s="7" t="s">
        <v>49</v>
      </c>
      <c r="L15" s="15" t="s">
        <v>50</v>
      </c>
      <c r="M15" s="14">
        <v>249900</v>
      </c>
      <c r="N15" s="13">
        <v>0.9</v>
      </c>
      <c r="O15" s="14">
        <f t="shared" si="0"/>
        <v>24990</v>
      </c>
      <c r="P15" s="7" t="s">
        <v>20</v>
      </c>
    </row>
    <row r="16" spans="1:16">
      <c r="A16" s="7" t="s">
        <v>21</v>
      </c>
      <c r="B16" s="8">
        <v>46093</v>
      </c>
      <c r="C16" s="8">
        <v>46098</v>
      </c>
      <c r="D16" s="7">
        <v>3322</v>
      </c>
      <c r="E16" s="7">
        <v>342</v>
      </c>
      <c r="F16" s="7">
        <v>6</v>
      </c>
      <c r="G16" s="9">
        <v>2</v>
      </c>
      <c r="H16" s="7">
        <v>81629</v>
      </c>
      <c r="I16" s="7" t="s">
        <v>22</v>
      </c>
      <c r="J16" s="7">
        <v>82197959</v>
      </c>
      <c r="K16" s="7" t="s">
        <v>51</v>
      </c>
      <c r="L16" s="15" t="s">
        <v>52</v>
      </c>
      <c r="M16" s="14">
        <v>249900</v>
      </c>
      <c r="N16" s="13">
        <v>0.9</v>
      </c>
      <c r="O16" s="14">
        <f t="shared" si="0"/>
        <v>24990</v>
      </c>
      <c r="P16" s="7" t="s">
        <v>20</v>
      </c>
    </row>
    <row r="17" spans="1:16">
      <c r="A17" s="7" t="s">
        <v>21</v>
      </c>
      <c r="B17" s="8">
        <v>46093</v>
      </c>
      <c r="C17" s="8">
        <v>46098</v>
      </c>
      <c r="D17" s="7">
        <v>3322</v>
      </c>
      <c r="E17" s="7">
        <v>342</v>
      </c>
      <c r="F17" s="7">
        <v>6</v>
      </c>
      <c r="G17" s="9">
        <v>2</v>
      </c>
      <c r="H17" s="7">
        <v>81629</v>
      </c>
      <c r="I17" s="7" t="s">
        <v>22</v>
      </c>
      <c r="J17" s="7">
        <v>82197968</v>
      </c>
      <c r="K17" s="7" t="s">
        <v>53</v>
      </c>
      <c r="L17" s="15" t="s">
        <v>54</v>
      </c>
      <c r="M17" s="14">
        <v>249900</v>
      </c>
      <c r="N17" s="13">
        <v>0.9</v>
      </c>
      <c r="O17" s="14">
        <f t="shared" si="0"/>
        <v>24990</v>
      </c>
      <c r="P17" s="7" t="s">
        <v>20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zoomScale="55" zoomScaleNormal="55" workbookViewId="0">
      <selection activeCell="C2" sqref="C2:C8"/>
    </sheetView>
  </sheetViews>
  <sheetFormatPr defaultColWidth="8.63636363636364" defaultRowHeight="14.5" outlineLevelRow="7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84.1818181818182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16</v>
      </c>
      <c r="B2" s="8">
        <v>46093</v>
      </c>
      <c r="C2" s="8">
        <v>46098</v>
      </c>
      <c r="D2" s="7">
        <v>3322</v>
      </c>
      <c r="E2" s="7">
        <v>342</v>
      </c>
      <c r="F2" s="7">
        <v>6</v>
      </c>
      <c r="G2" s="9">
        <v>1</v>
      </c>
      <c r="H2" s="7">
        <v>81629</v>
      </c>
      <c r="I2" s="7" t="s">
        <v>55</v>
      </c>
      <c r="J2" s="7">
        <v>73780335</v>
      </c>
      <c r="K2" s="7" t="s">
        <v>56</v>
      </c>
      <c r="L2" s="15" t="s">
        <v>57</v>
      </c>
      <c r="M2" s="14">
        <v>249900</v>
      </c>
      <c r="N2" s="13">
        <v>0.9</v>
      </c>
      <c r="O2" s="14">
        <f t="shared" ref="O2:O8" si="0">M2*(1-N2)</f>
        <v>24990</v>
      </c>
      <c r="P2" s="7" t="s">
        <v>20</v>
      </c>
    </row>
    <row r="3" spans="1:16">
      <c r="A3" s="7" t="s">
        <v>16</v>
      </c>
      <c r="B3" s="8">
        <v>46093</v>
      </c>
      <c r="C3" s="8">
        <v>46098</v>
      </c>
      <c r="D3" s="7">
        <v>3322</v>
      </c>
      <c r="E3" s="7">
        <v>342</v>
      </c>
      <c r="F3" s="7">
        <v>6</v>
      </c>
      <c r="G3" s="9">
        <v>1</v>
      </c>
      <c r="H3" s="7">
        <v>81629</v>
      </c>
      <c r="I3" s="7" t="s">
        <v>55</v>
      </c>
      <c r="J3" s="7">
        <v>73780344</v>
      </c>
      <c r="K3" s="7" t="s">
        <v>58</v>
      </c>
      <c r="L3" s="15" t="s">
        <v>59</v>
      </c>
      <c r="M3" s="14">
        <v>249900</v>
      </c>
      <c r="N3" s="13">
        <v>0.9</v>
      </c>
      <c r="O3" s="14">
        <f t="shared" si="0"/>
        <v>24990</v>
      </c>
      <c r="P3" s="7" t="s">
        <v>20</v>
      </c>
    </row>
    <row r="4" spans="1:16">
      <c r="A4" s="7" t="s">
        <v>16</v>
      </c>
      <c r="B4" s="8">
        <v>46093</v>
      </c>
      <c r="C4" s="8">
        <v>46098</v>
      </c>
      <c r="D4" s="7">
        <v>3322</v>
      </c>
      <c r="E4" s="7">
        <v>342</v>
      </c>
      <c r="F4" s="7">
        <v>6</v>
      </c>
      <c r="G4" s="9">
        <v>1</v>
      </c>
      <c r="H4" s="7">
        <v>81629</v>
      </c>
      <c r="I4" s="7" t="s">
        <v>55</v>
      </c>
      <c r="J4" s="7">
        <v>73780380</v>
      </c>
      <c r="K4" s="7" t="s">
        <v>60</v>
      </c>
      <c r="L4" s="15" t="s">
        <v>61</v>
      </c>
      <c r="M4" s="14">
        <v>149900</v>
      </c>
      <c r="N4" s="13">
        <v>0.9</v>
      </c>
      <c r="O4" s="14">
        <f t="shared" si="0"/>
        <v>14990</v>
      </c>
      <c r="P4" s="7" t="s">
        <v>20</v>
      </c>
    </row>
    <row r="5" spans="1:16">
      <c r="A5" s="7" t="s">
        <v>16</v>
      </c>
      <c r="B5" s="8">
        <v>46093</v>
      </c>
      <c r="C5" s="8">
        <v>46098</v>
      </c>
      <c r="D5" s="7">
        <v>3322</v>
      </c>
      <c r="E5" s="7">
        <v>342</v>
      </c>
      <c r="F5" s="7">
        <v>6</v>
      </c>
      <c r="G5" s="9">
        <v>1</v>
      </c>
      <c r="H5" s="7">
        <v>81629</v>
      </c>
      <c r="I5" s="7" t="s">
        <v>55</v>
      </c>
      <c r="J5" s="7">
        <v>73780399</v>
      </c>
      <c r="K5" s="7" t="s">
        <v>62</v>
      </c>
      <c r="L5" s="15" t="s">
        <v>63</v>
      </c>
      <c r="M5" s="14">
        <v>149900</v>
      </c>
      <c r="N5" s="13">
        <v>0.9</v>
      </c>
      <c r="O5" s="14">
        <f t="shared" si="0"/>
        <v>14990</v>
      </c>
      <c r="P5" s="7" t="s">
        <v>20</v>
      </c>
    </row>
    <row r="6" spans="1:16">
      <c r="A6" s="7" t="s">
        <v>16</v>
      </c>
      <c r="B6" s="8">
        <v>46093</v>
      </c>
      <c r="C6" s="8">
        <v>46098</v>
      </c>
      <c r="D6" s="7">
        <v>3322</v>
      </c>
      <c r="E6" s="7">
        <v>342</v>
      </c>
      <c r="F6" s="7">
        <v>6</v>
      </c>
      <c r="G6" s="9">
        <v>2</v>
      </c>
      <c r="H6" s="7">
        <v>81629</v>
      </c>
      <c r="I6" s="7" t="s">
        <v>55</v>
      </c>
      <c r="J6" s="7">
        <v>79841795</v>
      </c>
      <c r="K6" s="7" t="s">
        <v>64</v>
      </c>
      <c r="L6" s="15" t="s">
        <v>65</v>
      </c>
      <c r="M6" s="14">
        <v>249900</v>
      </c>
      <c r="N6" s="13">
        <v>0.9</v>
      </c>
      <c r="O6" s="14">
        <f t="shared" si="0"/>
        <v>24990</v>
      </c>
      <c r="P6" s="7" t="s">
        <v>20</v>
      </c>
    </row>
    <row r="7" spans="1:16">
      <c r="A7" s="7" t="s">
        <v>16</v>
      </c>
      <c r="B7" s="8">
        <v>46093</v>
      </c>
      <c r="C7" s="8">
        <v>46098</v>
      </c>
      <c r="D7" s="7">
        <v>3322</v>
      </c>
      <c r="E7" s="7">
        <v>342</v>
      </c>
      <c r="F7" s="7">
        <v>6</v>
      </c>
      <c r="G7" s="9">
        <v>2</v>
      </c>
      <c r="H7" s="7">
        <v>81629</v>
      </c>
      <c r="I7" s="7" t="s">
        <v>55</v>
      </c>
      <c r="J7" s="7">
        <v>79841802</v>
      </c>
      <c r="K7" s="7" t="s">
        <v>66</v>
      </c>
      <c r="L7" s="15" t="s">
        <v>67</v>
      </c>
      <c r="M7" s="14">
        <v>149900</v>
      </c>
      <c r="N7" s="13">
        <v>0.9</v>
      </c>
      <c r="O7" s="14">
        <f t="shared" si="0"/>
        <v>14990</v>
      </c>
      <c r="P7" s="7" t="s">
        <v>20</v>
      </c>
    </row>
    <row r="8" spans="1:16">
      <c r="A8" s="7" t="s">
        <v>16</v>
      </c>
      <c r="B8" s="8">
        <v>46093</v>
      </c>
      <c r="C8" s="8">
        <v>46098</v>
      </c>
      <c r="D8" s="7">
        <v>3322</v>
      </c>
      <c r="E8" s="7">
        <v>342</v>
      </c>
      <c r="F8" s="7">
        <v>6</v>
      </c>
      <c r="G8" s="9">
        <v>2</v>
      </c>
      <c r="H8" s="7">
        <v>81629</v>
      </c>
      <c r="I8" s="7" t="s">
        <v>55</v>
      </c>
      <c r="J8" s="7">
        <v>79841811</v>
      </c>
      <c r="K8" s="7" t="s">
        <v>68</v>
      </c>
      <c r="L8" s="15" t="s">
        <v>69</v>
      </c>
      <c r="M8" s="14">
        <v>149900</v>
      </c>
      <c r="N8" s="13">
        <v>0.9</v>
      </c>
      <c r="O8" s="14">
        <f t="shared" si="0"/>
        <v>14990</v>
      </c>
      <c r="P8" s="7" t="s">
        <v>20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zoomScale="55" zoomScaleNormal="55" topLeftCell="B1" workbookViewId="0">
      <selection activeCell="C2" sqref="C2:C8"/>
    </sheetView>
  </sheetViews>
  <sheetFormatPr defaultColWidth="8.63636363636364" defaultRowHeight="14.5" outlineLevelRow="7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84.1818181818182" style="1" customWidth="1"/>
    <col min="13" max="13" width="20.9090909090909" style="3" customWidth="1"/>
    <col min="14" max="14" width="16.3636363636364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70</v>
      </c>
      <c r="B2" s="8">
        <v>46093</v>
      </c>
      <c r="C2" s="8">
        <v>46098</v>
      </c>
      <c r="D2" s="7">
        <v>3322</v>
      </c>
      <c r="E2" s="7">
        <v>342</v>
      </c>
      <c r="F2" s="7">
        <v>6</v>
      </c>
      <c r="G2" s="9">
        <v>2</v>
      </c>
      <c r="H2" s="9">
        <v>80994</v>
      </c>
      <c r="I2" s="9" t="s">
        <v>22</v>
      </c>
      <c r="J2" s="9">
        <v>18363149</v>
      </c>
      <c r="K2" s="9" t="s">
        <v>71</v>
      </c>
      <c r="L2" s="9" t="s">
        <v>72</v>
      </c>
      <c r="M2" s="12">
        <v>279900</v>
      </c>
      <c r="N2" s="13">
        <v>0.7</v>
      </c>
      <c r="O2" s="14">
        <f t="shared" ref="O2:O25" si="0">M2*(1-N2)</f>
        <v>83970</v>
      </c>
      <c r="P2" s="7" t="s">
        <v>20</v>
      </c>
    </row>
    <row r="3" spans="1:16">
      <c r="A3" s="7" t="s">
        <v>70</v>
      </c>
      <c r="B3" s="8">
        <v>46093</v>
      </c>
      <c r="C3" s="8">
        <v>46098</v>
      </c>
      <c r="D3" s="7">
        <v>3322</v>
      </c>
      <c r="E3" s="7">
        <v>342</v>
      </c>
      <c r="F3" s="7">
        <v>6</v>
      </c>
      <c r="G3" s="9">
        <v>2</v>
      </c>
      <c r="H3" s="9">
        <v>80994</v>
      </c>
      <c r="I3" s="9" t="s">
        <v>22</v>
      </c>
      <c r="J3" s="9">
        <v>18363158</v>
      </c>
      <c r="K3" s="9" t="s">
        <v>73</v>
      </c>
      <c r="L3" s="9" t="s">
        <v>74</v>
      </c>
      <c r="M3" s="12">
        <v>279900</v>
      </c>
      <c r="N3" s="13">
        <v>0.7</v>
      </c>
      <c r="O3" s="14">
        <f t="shared" si="0"/>
        <v>83970</v>
      </c>
      <c r="P3" s="7" t="s">
        <v>20</v>
      </c>
    </row>
    <row r="4" spans="1:16">
      <c r="A4" s="7" t="s">
        <v>70</v>
      </c>
      <c r="B4" s="8">
        <v>46093</v>
      </c>
      <c r="C4" s="8">
        <v>46098</v>
      </c>
      <c r="D4" s="7">
        <v>3322</v>
      </c>
      <c r="E4" s="7">
        <v>342</v>
      </c>
      <c r="F4" s="7">
        <v>6</v>
      </c>
      <c r="G4" s="9">
        <v>2</v>
      </c>
      <c r="H4" s="9">
        <v>80994</v>
      </c>
      <c r="I4" s="9" t="s">
        <v>22</v>
      </c>
      <c r="J4" s="9">
        <v>18363167</v>
      </c>
      <c r="K4" s="9" t="s">
        <v>75</v>
      </c>
      <c r="L4" s="9" t="s">
        <v>76</v>
      </c>
      <c r="M4" s="12">
        <v>279900</v>
      </c>
      <c r="N4" s="13">
        <v>0.7</v>
      </c>
      <c r="O4" s="14">
        <f t="shared" si="0"/>
        <v>83970</v>
      </c>
      <c r="P4" s="7" t="s">
        <v>20</v>
      </c>
    </row>
    <row r="5" spans="1:16">
      <c r="A5" s="7" t="s">
        <v>70</v>
      </c>
      <c r="B5" s="8">
        <v>46093</v>
      </c>
      <c r="C5" s="8">
        <v>46098</v>
      </c>
      <c r="D5" s="7">
        <v>3322</v>
      </c>
      <c r="E5" s="7">
        <v>342</v>
      </c>
      <c r="F5" s="7">
        <v>6</v>
      </c>
      <c r="G5" s="9">
        <v>1</v>
      </c>
      <c r="H5" s="9">
        <v>81629</v>
      </c>
      <c r="I5" s="9" t="s">
        <v>22</v>
      </c>
      <c r="J5" s="9">
        <v>18685006</v>
      </c>
      <c r="K5" s="9" t="s">
        <v>77</v>
      </c>
      <c r="L5" s="9" t="s">
        <v>78</v>
      </c>
      <c r="M5" s="12">
        <v>249900</v>
      </c>
      <c r="N5" s="13">
        <v>0.7</v>
      </c>
      <c r="O5" s="14">
        <f t="shared" si="0"/>
        <v>74970</v>
      </c>
      <c r="P5" s="7" t="s">
        <v>20</v>
      </c>
    </row>
    <row r="6" spans="1:16">
      <c r="A6" s="7" t="s">
        <v>70</v>
      </c>
      <c r="B6" s="8">
        <v>46093</v>
      </c>
      <c r="C6" s="8">
        <v>46098</v>
      </c>
      <c r="D6" s="7">
        <v>3322</v>
      </c>
      <c r="E6" s="7">
        <v>342</v>
      </c>
      <c r="F6" s="7">
        <v>6</v>
      </c>
      <c r="G6" s="9">
        <v>1</v>
      </c>
      <c r="H6" s="9">
        <v>81629</v>
      </c>
      <c r="I6" s="9" t="s">
        <v>22</v>
      </c>
      <c r="J6" s="9">
        <v>18685015</v>
      </c>
      <c r="K6" s="9" t="s">
        <v>79</v>
      </c>
      <c r="L6" s="9" t="s">
        <v>80</v>
      </c>
      <c r="M6" s="12">
        <v>249900</v>
      </c>
      <c r="N6" s="13">
        <v>0.7</v>
      </c>
      <c r="O6" s="14">
        <f t="shared" si="0"/>
        <v>74970</v>
      </c>
      <c r="P6" s="7" t="s">
        <v>20</v>
      </c>
    </row>
    <row r="7" spans="1:16">
      <c r="A7" s="7" t="s">
        <v>70</v>
      </c>
      <c r="B7" s="8">
        <v>46093</v>
      </c>
      <c r="C7" s="8">
        <v>46098</v>
      </c>
      <c r="D7" s="7">
        <v>3322</v>
      </c>
      <c r="E7" s="7">
        <v>342</v>
      </c>
      <c r="F7" s="7">
        <v>6</v>
      </c>
      <c r="G7" s="9">
        <v>3</v>
      </c>
      <c r="H7" s="9">
        <v>81629</v>
      </c>
      <c r="I7" s="9" t="s">
        <v>22</v>
      </c>
      <c r="J7" s="9">
        <v>18659160</v>
      </c>
      <c r="K7" s="9" t="s">
        <v>81</v>
      </c>
      <c r="L7" s="9" t="s">
        <v>82</v>
      </c>
      <c r="M7" s="12">
        <v>219900</v>
      </c>
      <c r="N7" s="13">
        <v>0.7</v>
      </c>
      <c r="O7" s="14">
        <f t="shared" si="0"/>
        <v>65970</v>
      </c>
      <c r="P7" s="7" t="s">
        <v>20</v>
      </c>
    </row>
    <row r="8" spans="1:16">
      <c r="A8" s="7" t="s">
        <v>70</v>
      </c>
      <c r="B8" s="8">
        <v>46093</v>
      </c>
      <c r="C8" s="8">
        <v>46098</v>
      </c>
      <c r="D8" s="7">
        <v>3322</v>
      </c>
      <c r="E8" s="7">
        <v>342</v>
      </c>
      <c r="F8" s="7">
        <v>6</v>
      </c>
      <c r="G8" s="9">
        <v>3</v>
      </c>
      <c r="H8" s="9">
        <v>81629</v>
      </c>
      <c r="I8" s="9" t="s">
        <v>22</v>
      </c>
      <c r="J8" s="9">
        <v>18659179</v>
      </c>
      <c r="K8" s="9" t="s">
        <v>83</v>
      </c>
      <c r="L8" s="9" t="s">
        <v>84</v>
      </c>
      <c r="M8" s="12">
        <v>219900</v>
      </c>
      <c r="N8" s="13">
        <v>0.7</v>
      </c>
      <c r="O8" s="14">
        <f t="shared" si="0"/>
        <v>65970</v>
      </c>
      <c r="P8" s="7" t="s">
        <v>20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2022 LITTLE M D90</vt:lpstr>
      <vt:lpstr>2022-2023 DISNEY D90</vt:lpstr>
      <vt:lpstr>2022-2023 MARVEL D90</vt:lpstr>
      <vt:lpstr>2024 H1 BAGS D70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Casandra Chen</cp:lastModifiedBy>
  <dcterms:created xsi:type="dcterms:W3CDTF">2024-03-19T08:31:00Z</dcterms:created>
  <dcterms:modified xsi:type="dcterms:W3CDTF">2026-03-10T04:12:42Z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B54DA06B2A0F43F49BCC9543F393159C_13</vt:lpwstr>
  </property>
  <property fmtid="{D5CDD505-2E9C-101B-9397-08002B2CF9AE}" pid="3" name="KSOProductBuildVer">
    <vt:lpwstr>1033-12.2.0.23196</vt:lpwstr>
  </property>
</Properties>
</file>