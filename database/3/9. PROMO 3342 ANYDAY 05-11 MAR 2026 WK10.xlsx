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0 26\"/>
    </mc:Choice>
  </mc:AlternateContent>
  <xr:revisionPtr revIDLastSave="0" documentId="13_ncr:1_{A7D97303-0C66-4AC9-BCBD-0AFF80C4320D}" xr6:coauthVersionLast="47" xr6:coauthVersionMax="47" xr10:uidLastSave="{00000000-0000-0000-0000-000000000000}"/>
  <bookViews>
    <workbookView xWindow="-110" yWindow="-110" windowWidth="19420" windowHeight="10300" tabRatio="905" firstSheet="2" activeTab="6" xr2:uid="{00000000-000D-0000-FFFF-FFFF00000000}"/>
  </bookViews>
  <sheets>
    <sheet name="2023 H2 3342 D80" sheetId="1" r:id="rId1"/>
    <sheet name="2024 H1 OUTERWEAR D80" sheetId="2" r:id="rId2"/>
    <sheet name="H1 3342 T SHIRT D80" sheetId="3" r:id="rId3"/>
    <sheet name="2024 H1 3342 D80" sheetId="4" r:id="rId4"/>
    <sheet name="3342 SHORT KNIT PANTS D80" sheetId="5" r:id="rId5"/>
    <sheet name="2024 Q1 SHIRT DEN WOV PANT D80" sheetId="6" r:id="rId6"/>
    <sheet name="2024 H1 3342 ALL ITEM D80" sheetId="7" r:id="rId7"/>
  </sheets>
  <definedNames>
    <definedName name="_xlnm._FilterDatabase" localSheetId="0" hidden="1">'2023 H2 3342 D80'!$A$1:$P$162</definedName>
    <definedName name="_xlnm._FilterDatabase" localSheetId="6" hidden="1">'2024 H1 3342 ALL ITEM D80'!$A$1:$P$45</definedName>
    <definedName name="_xlnm._FilterDatabase" localSheetId="3" hidden="1">'2024 H1 3342 D80'!$A$1:$P$71</definedName>
    <definedName name="_xlnm._FilterDatabase" localSheetId="1" hidden="1">'2024 H1 OUTERWEAR D80'!$A$1:$P$33</definedName>
    <definedName name="_xlnm._FilterDatabase" localSheetId="5" hidden="1">'2024 Q1 SHIRT DEN WOV PANT D80'!$A$1:$P$97</definedName>
    <definedName name="_xlnm._FilterDatabase" localSheetId="4" hidden="1">'3342 SHORT KNIT PANTS D80'!$A$1:$P$29</definedName>
    <definedName name="_xlnm._FilterDatabase" localSheetId="2" hidden="1">'H1 3342 T SHIRT D80'!$A$1:$P$77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7" l="1"/>
  <c r="C2" i="7"/>
  <c r="B2" i="7"/>
  <c r="B3" i="7" s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C4" i="7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C2" i="6"/>
  <c r="C3" i="6" s="1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B2" i="6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C4" i="5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O3" i="5"/>
  <c r="O2" i="5"/>
  <c r="C2" i="5"/>
  <c r="C3" i="5" s="1"/>
  <c r="B2" i="5"/>
  <c r="B3" i="5" s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B2" i="4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O2" i="1"/>
</calcChain>
</file>

<file path=xl/sharedStrings.xml><?xml version="1.0" encoding="utf-8"?>
<sst xmlns="http://schemas.openxmlformats.org/spreadsheetml/2006/main" count="4095" uniqueCount="748">
  <si>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</si>
  <si>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</si>
  <si>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</si>
  <si>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</si>
  <si>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</si>
  <si>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</si>
  <si>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</si>
  <si>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</si>
  <si>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</si>
  <si>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</si>
  <si>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</si>
  <si>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</si>
  <si>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</si>
  <si>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</si>
  <si>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</si>
  <si>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</si>
  <si>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T-SHIRT</t>
  </si>
  <si>
    <t>JAVA DESIGN SENTOSA CV.</t>
  </si>
  <si>
    <t>ANYDAY</t>
  </si>
  <si>
    <t>SRKURBAN</t>
  </si>
  <si>
    <t>SS T-SHIRT SLEEVE GRAPHIC PRINT SRKURBAN:MISTY DARK GREY:S:GRAPHIC:SS T-SHIRT</t>
  </si>
  <si>
    <t>SS T-SHIRT SLEEVE GRAPHIC PRINT SRKURBAN:MISTY DARK GREY:M:GRAPHIC:SS T-SHIRT</t>
  </si>
  <si>
    <t>SS T-SHIRT SLEEVE GRAPHIC PRINT SRKURBAN:MISTY DARK GREY:L:GRAPHIC:SS T-SHIRT</t>
  </si>
  <si>
    <t>SS T-SHIRT SLEEVE GRAPHIC PRINT SRKURBAN:MISTY DARK GREY:XL:GRAPHIC:SS T-SHIRT</t>
  </si>
  <si>
    <t>SRKTRAVL</t>
  </si>
  <si>
    <t>SS T-SHIRT SLEEVE GRAPHIC PRINT SRKTRAVL:MISTY LIGHT GREY:S:GRAPHIC:SS T-SHIRT</t>
  </si>
  <si>
    <t>SS T-SHIRT SLEEVE GRAPHIC PRINT SRKTRAVL:MISTY LIGHT GREY:M:GRAPHIC:SS T-SHIRT</t>
  </si>
  <si>
    <t>SS T-SHIRT SLEEVE GRAPHIC PRINT SRKTRAVL:MISTY LIGHT GREY:L:GRAPHIC:SS T-SHIRT</t>
  </si>
  <si>
    <t>SS T-SHIRT SLEEVE GRAPHIC PRINT SRKTRAVL:MISTY LIGHT GREY:XL:GRAPHIC:SS T-SHIRT</t>
  </si>
  <si>
    <t>SRKSAVE</t>
  </si>
  <si>
    <t>SS T-SHIRT SLEEVE GRAPHIC PRINT SRKSAVE:NAVY BLUE:S:GRAPHIC:SS T-SHIRT</t>
  </si>
  <si>
    <t>SS T-SHIRT SLEEVE GRAPHIC PRINT SRKSAVE:NAVY BLUE:M:GRAPHIC:SS T-SHIRT</t>
  </si>
  <si>
    <t>SS T-SHIRT SLEEVE GRAPHIC PRINT SRKSAVE:NAVY BLUE:L:GRAPHIC:SS T-SHIRT</t>
  </si>
  <si>
    <t>SS T-SHIRT SLEEVE GRAPHIC PRINT SRKSAVE:NAVY BLUE:XL:GRAPHIC:SS T-SHIRT</t>
  </si>
  <si>
    <t>SRKWALK</t>
  </si>
  <si>
    <t>SS T-SHIRT SLEEVE GRAPHIC PRINT SRKWALK:FOREST GREEN:S:GRAPHIC:SS T-SHIRT</t>
  </si>
  <si>
    <t>SS T-SHIRT SLEEVE GRAPHIC PRINT SRKWALK:FOREST GREEN:M:GRAPHIC:SS T-SHIRT</t>
  </si>
  <si>
    <t>SS T-SHIRT SLEEVE GRAPHIC PRINT SRKWALK:FOREST GREEN:L:GRAPHIC:SS T-SHIRT</t>
  </si>
  <si>
    <t>SS T-SHIRT SLEEVE GRAPHIC PRINT SRKWALK:FOREST GREEN:XL:GRAPHIC:SS T-SHIRT</t>
  </si>
  <si>
    <t>SRLKPOSI</t>
  </si>
  <si>
    <t>SS T-SHIRT GRAPHIC PRINT STAY POSITIVE SRLKPOSI:MISTY LIGHT GREY:S:GRAPHIC:SS T-SHIRT</t>
  </si>
  <si>
    <t>SS T-SHIRT GRAPHIC PRINT STAY POSITIVE SRLKPOSI:MISTY LIGHT GREY:M:GRAPHIC:SS T-SHIRT</t>
  </si>
  <si>
    <t>SS T-SHIRT GRAPHIC PRINT STAY POSITIVE SRLKPOSI:MISTY LIGHT GREY:L:GRAPHIC:SS T-SHIRT</t>
  </si>
  <si>
    <t>SS T-SHIRT GRAPHIC PRINT STAY POSITIVE SRLKPOSI:MISTY LIGHT GREY:XL:GRAPHIC:SS T-SHIRT</t>
  </si>
  <si>
    <t>SRLKUNIF</t>
  </si>
  <si>
    <t>SS T-SHIRT GRAPHIC PRINT UNIFORM SRLKUNIF:NAVY BLUE:S:GRAPHIC:SS T-SHIRT</t>
  </si>
  <si>
    <t>SS T-SHIRT GRAPHIC PRINT UNIFORM SRLKUNIF:NAVY BLUE:M:GRAPHIC:SS T-SHIRT</t>
  </si>
  <si>
    <t>SS T-SHIRT GRAPHIC PRINT UNIFORM SRLKUNIF:NAVY BLUE:L:GRAPHIC:SS T-SHIRT</t>
  </si>
  <si>
    <t>SS T-SHIRT GRAPHIC PRINT UNIFORM SRLKUNIF:NAVY BLUE:XL:GRAPHIC:SS T-SHIRT</t>
  </si>
  <si>
    <t>SRLKONES</t>
  </si>
  <si>
    <t>SS T-SHIRT GRAPHIC PRINT ONE STEP SRLKONES:CHARCOAL:S:GRAPHIC:SS T-SHIRT</t>
  </si>
  <si>
    <t>SS T-SHIRT GRAPHIC PRINT ONE STEP SRLKONES:CHARCOAL:M:GRAPHIC:SS T-SHIRT</t>
  </si>
  <si>
    <t>SS T-SHIRT GRAPHIC PRINT ONE STEP SRLKONES:CHARCOAL:L:GRAPHIC:SS T-SHIRT</t>
  </si>
  <si>
    <t>SS T-SHIRT GRAPHIC PRINT ONE STEP SRLKONES:CHARCOAL:XL:GRAPHIC:SS T-SHIRT</t>
  </si>
  <si>
    <t>SRLKAUTE</t>
  </si>
  <si>
    <t>SS T-SHIRT GRAPHIC PRINT AUTHENTIC SRLKAUTE:CHARCOAL:S:GRAPHIC:SS T-SHIRT</t>
  </si>
  <si>
    <t>SS T-SHIRT GRAPHIC PRINT AUTHENTIC SRLKAUTE:CHARCOAL:M:GRAPHIC:SS T-SHIRT</t>
  </si>
  <si>
    <t>SS T-SHIRT GRAPHIC PRINT AUTHENTIC SRLKAUTE:CHARCOAL:L:GRAPHIC:SS T-SHIRT</t>
  </si>
  <si>
    <t>SS T-SHIRT GRAPHIC PRINT AUTHENTIC SRLKAUTE:CHARCOAL:XL:GRAPHIC:SS T-SHIRT</t>
  </si>
  <si>
    <t>POLO</t>
  </si>
  <si>
    <t>KEMUNING GARMINDO PT.- 81468</t>
  </si>
  <si>
    <t>PLACB2TB</t>
  </si>
  <si>
    <t>SS POLO SHIRT STRIPE YD PLACB2TB:NAVY BLUE:S:STRIPES:SS POLO SHIRT</t>
  </si>
  <si>
    <t>SS POLO SHIRT STRIPE YD PLACB2TB:NAVY BLUE:M:STRIPES:SS POLO SHIRT</t>
  </si>
  <si>
    <t>SS POLO SHIRT STRIPE YD PLACB2TB:NAVY BLUE:L:STRIPES:SS POLO SHIRT</t>
  </si>
  <si>
    <t>SS POLO SHIRT STRIPE YD PLACB2TB:NAVY BLUE:XL:STRIPES:SS POLO SHIRT</t>
  </si>
  <si>
    <t>PLACB2TR</t>
  </si>
  <si>
    <t>SS POLO SHIRT STRIPE YD PLACB2TR:RUSTIC BROWN:S:STRIPES:SS POLO SHIRT</t>
  </si>
  <si>
    <t>SS POLO SHIRT STRIPE YD PLACB2TR:RUSTIC BROWN:M:STRIPES:SS POLO SHIRT</t>
  </si>
  <si>
    <t>SS POLO SHIRT STRIPE YD PLACB2TR:RUSTIC BROWN:L:STRIPES:SS POLO SHIRT</t>
  </si>
  <si>
    <t>SS POLO SHIRT STRIPE YD PLACB2TR:RUSTIC BROWN:XL:STRIPES:SS POLO SHIRT</t>
  </si>
  <si>
    <t>SRLKWAVE</t>
  </si>
  <si>
    <t>SS T-SHIRT GRAPHIC PRINT SRLKWAVE:MAROON:S:GRAPHIC:SS T-SHIRT</t>
  </si>
  <si>
    <t>SS T-SHIRT GRAPHIC PRINT SRLKWAVE:MAROON:M:GRAPHIC:SS T-SHIRT</t>
  </si>
  <si>
    <t>SS T-SHIRT GRAPHIC PRINT SRLKWAVE:MAROON:L:GRAPHIC:SS T-SHIRT</t>
  </si>
  <si>
    <t>SS T-SHIRT GRAPHIC PRINT SRLKWAVE:MAROON:XL:GRAPHIC:SS T-SHIRT</t>
  </si>
  <si>
    <t>SRLKSPIR</t>
  </si>
  <si>
    <t>SS T-SHIRT GRAPHIC PRINT SRLKSPIR:NAVY BLUE:S:GRAPHIC:SS T-SHIRT</t>
  </si>
  <si>
    <t>SS T-SHIRT GRAPHIC PRINT SRLKSPIR:NAVY BLUE:M:GRAPHIC:SS T-SHIRT</t>
  </si>
  <si>
    <t>SS T-SHIRT GRAPHIC PRINT SRLKSPIR:NAVY BLUE:L:GRAPHIC:SS T-SHIRT</t>
  </si>
  <si>
    <t>SS T-SHIRT GRAPHIC PRINT SRLKSPIR:NAVY BLUE:XL:GRAPHIC:SS T-SHIRT</t>
  </si>
  <si>
    <t>SRLKVARS</t>
  </si>
  <si>
    <t>SS T-SHIRT GRAPHIC PRINT SRLKVARS:BLACK:S:GRAPHIC:SS T-SHIRT</t>
  </si>
  <si>
    <t>SS T-SHIRT GRAPHIC PRINT SRLKVARS:BLACK:M:GRAPHIC:SS T-SHIRT</t>
  </si>
  <si>
    <t>SS T-SHIRT GRAPHIC PRINT SRLKVARS:BLACK:L:GRAPHIC:SS T-SHIRT</t>
  </si>
  <si>
    <t>SS T-SHIRT GRAPHIC PRINT SRLKVARS:BLACK:XL:GRAPHIC:SS T-SHIRT</t>
  </si>
  <si>
    <t>SRKPROUD</t>
  </si>
  <si>
    <t>SS T-SHIRT GRAPHIC PRINT SRKPROUD:NAVY BLUE:S:GRAPHIC:SS T-SHIRT</t>
  </si>
  <si>
    <t>SS T-SHIRT GRAPHIC PRINT SRKPROUD:NAVY BLUE:M:GRAPHIC:SS T-SHIRT</t>
  </si>
  <si>
    <t>SS T-SHIRT GRAPHIC PRINT SRKPROUD:NAVY BLUE:L:GRAPHIC:SS T-SHIRT</t>
  </si>
  <si>
    <t>SS T-SHIRT GRAPHIC PRINT SRKPROUD:NAVY BLUE:XL:GRAPHIC:SS T-SHIRT</t>
  </si>
  <si>
    <t>SRKSTEP</t>
  </si>
  <si>
    <t>SS T-SHIRT GRAPHIC PRINT SRKSTEP:BLACK:S:GRAPHIC:SS T-SHIRT</t>
  </si>
  <si>
    <t>SS T-SHIRT GRAPHIC PRINT SRKSTEP:BLACK:M:GRAPHIC:SS T-SHIRT</t>
  </si>
  <si>
    <t>SS T-SHIRT GRAPHIC PRINT SRKSTEP:BLACK:L:GRAPHIC:SS T-SHIRT</t>
  </si>
  <si>
    <t>SS T-SHIRT GRAPHIC PRINT SRKSTEP:BLACK:XL:GRAPHIC:SS T-SHIRT</t>
  </si>
  <si>
    <t>SRLKLIFE</t>
  </si>
  <si>
    <t>SS T-SHIRT GRAPHIC PRINT LIFE IS SRLKLIFE:BLACK:S:GRAPHIC:SS T-SHIRT</t>
  </si>
  <si>
    <t>SS T-SHIRT GRAPHIC PRINT LIFE IS SRLKLIFE:BLACK:M:GRAPHIC:SS T-SHIRT</t>
  </si>
  <si>
    <t>SS T-SHIRT GRAPHIC PRINT LIFE IS SRLKLIFE:BLACK:L:GRAPHIC:SS T-SHIRT</t>
  </si>
  <si>
    <t>SS T-SHIRT GRAPHIC PRINT LIFE IS SRLKLIFE:BLACK:XL:GRAPHIC:SS T-SHIRT</t>
  </si>
  <si>
    <t>SRLKWEST</t>
  </si>
  <si>
    <t>SS T-SHIRT GRAPHIC PRINT VARSITY WEST SRLKWEST:NAVY BLUE:S:GRAPHIC:SS T-SHIRT</t>
  </si>
  <si>
    <t>SS T-SHIRT GRAPHIC PRINT VARSITY WEST SRLKWEST:NAVY BLUE:M:GRAPHIC:SS T-SHIRT</t>
  </si>
  <si>
    <t>SS T-SHIRT GRAPHIC PRINT VARSITY WEST SRLKWEST:NAVY BLUE:L:GRAPHIC:SS T-SHIRT</t>
  </si>
  <si>
    <t>SS T-SHIRT GRAPHIC PRINT VARSITY WEST SRLKWEST:NAVY BLUE:XL:GRAPHIC:SS T-SHIRT</t>
  </si>
  <si>
    <t>SRLKADVE</t>
  </si>
  <si>
    <t>SS T-SHIRT GRAPHIC PRINT ADVENTURE SRLKADVE:MUSTARD:S:GRAPHIC:SS T-SHIRT</t>
  </si>
  <si>
    <t>SS T-SHIRT GRAPHIC PRINT ADVENTURE SRLKADVE:MUSTARD:M:GRAPHIC:SS T-SHIRT</t>
  </si>
  <si>
    <t>SS T-SHIRT GRAPHIC PRINT ADVENTURE SRLKADVE:MUSTARD:L:GRAPHIC:SS T-SHIRT</t>
  </si>
  <si>
    <t>SS T-SHIRT GRAPHIC PRINT ADVENTURE SRLKADVE:MUSTARD:XL:GRAPHIC:SS T-SHIRT</t>
  </si>
  <si>
    <t>SRLKFUTU</t>
  </si>
  <si>
    <t>SS T-SHIRT GRAPHIC PRINT FUTURE SRLKFUTU:FOREST GREEN:S:GRAPHIC:SS T-SHIRT</t>
  </si>
  <si>
    <t>SS T-SHIRT GRAPHIC PRINT FUTURE SRLKFUTU:FOREST GREEN:M:GRAPHIC:SS T-SHIRT</t>
  </si>
  <si>
    <t>SS T-SHIRT GRAPHIC PRINT FUTURE SRLKFUTU:FOREST GREEN:L:GRAPHIC:SS T-SHIRT</t>
  </si>
  <si>
    <t>SS T-SHIRT GRAPHIC PRINT FUTURE SRLKFUTU:FOREST GREEN:XL:GRAPHIC:SS T-SHIRT</t>
  </si>
  <si>
    <t>SRLKTAKE</t>
  </si>
  <si>
    <t>SS T-SHIRT GRAPHIC PRINT TAKE CHANGE SRLKTAKE:MISTY LIGHT GREY:S:GRAPHIC:SS T-SHIRT</t>
  </si>
  <si>
    <t>SS T-SHIRT GRAPHIC PRINT TAKE CHANGE SRLKTAKE:MISTY LIGHT GREY:M:GRAPHIC:SS T-SHIRT</t>
  </si>
  <si>
    <t>SS T-SHIRT GRAPHIC PRINT TAKE CHANGE SRLKTAKE:MISTY LIGHT GREY:L:GRAPHIC:SS T-SHIRT</t>
  </si>
  <si>
    <t>SS T-SHIRT GRAPHIC PRINT TAKE CHANGE SRLKTAKE:MISTY LIGHT GREY:XL:GRAPHIC:SS T-SHIRT</t>
  </si>
  <si>
    <t>SRLKRUNO</t>
  </si>
  <si>
    <t>SS T-SHIRT GRAPHIC PRINT RUN OUT SRLKRUNO:RUSTIC GOLD:S:GRAPHIC:SS T-SHIRT</t>
  </si>
  <si>
    <t>SS T-SHIRT GRAPHIC PRINT RUN OUT SRLKRUNO:RUSTIC GOLD:M:GRAPHIC:SS T-SHIRT</t>
  </si>
  <si>
    <t>SS T-SHIRT GRAPHIC PRINT RUN OUT SRLKRUNO:RUSTIC GOLD:L:GRAPHIC:SS T-SHIRT</t>
  </si>
  <si>
    <t>SS T-SHIRT GRAPHIC PRINT RUN OUT SRLKRUNO:RUSTIC GOLD:XL:GRAPHIC:SS T-SHIRT</t>
  </si>
  <si>
    <t>OUTERWEAR</t>
  </si>
  <si>
    <t>REJEKI MAKMUR BERSAMA PT- 81515</t>
  </si>
  <si>
    <t>JHRSLDO</t>
  </si>
  <si>
    <t>JACKET HOODIE KNIT PE JHRSLDO:OLIVE:S:SOLID:JACKET</t>
  </si>
  <si>
    <t>JACKET HOODIE KNIT PE JHRSLDO:OLIVE:M:SOLID:JACKET</t>
  </si>
  <si>
    <t>JACKET HOODIE KNIT PE JHRSLDO:OLIVE:L:SOLID:JACKET</t>
  </si>
  <si>
    <t>JACKET HOODIE KNIT PE JHRSLDO:OLIVE:XL:SOLID:JACKET</t>
  </si>
  <si>
    <t>JACKET HOODIE KNIT PE JHRSLDO:MISTY DARK GREY:S:SOLID:JACKET</t>
  </si>
  <si>
    <t>JACKET HOODIE KNIT PE JHRSLDO:MISTY DARK GREY:M:SOLID:JACKET</t>
  </si>
  <si>
    <t>JACKET HOODIE KNIT PE JHRSLDO:MISTY DARK GREY:L:SOLID:JACKET</t>
  </si>
  <si>
    <t>JACKET HOODIE KNIT PE JHRSLDO:MISTY DARK GREY:XL:SOLID:JACKET</t>
  </si>
  <si>
    <t>KNIT BOTTOM</t>
  </si>
  <si>
    <t>SPKNITRN</t>
  </si>
  <si>
    <t>SHORT PANTS KNIT WITH SIDE CONTRAST SPKNITRN:NAVY BLUE:S:SOLID:SHORT PANTS</t>
  </si>
  <si>
    <t>SHORT PANTS KNIT WITH SIDE CONTRAST SPKNITRN:NAVY BLUE:M:SOLID:SHORT PANTS</t>
  </si>
  <si>
    <t>SHORT PANTS KNIT WITH SIDE CONTRAST SPKNITRN:NAVY BLUE:L:SOLID:SHORT PANTS</t>
  </si>
  <si>
    <t>SHORT PANTS KNIT WITH SIDE CONTRAST SPKNITRN:NAVY BLUE:XL:SOLID:SHORT PANTS</t>
  </si>
  <si>
    <t>SPKNITRB</t>
  </si>
  <si>
    <t>SHORT PANTS KNIT WITH SIDE CONTRAST SPKNITRB:BLACK:S:SOLID:SHORT PANTS</t>
  </si>
  <si>
    <t>SHORT PANTS KNIT WITH SIDE CONTRAST SPKNITRB:BLACK:M:SOLID:SHORT PANTS</t>
  </si>
  <si>
    <t>SHORT PANTS KNIT WITH SIDE CONTRAST SPKNITRB:BLACK:L:SOLID:SHORT PANTS</t>
  </si>
  <si>
    <t>SHORT PANTS KNIT WITH SIDE CONTRAST SPKNITRB:BLACK:XL:SOLID:SHORT PANTS</t>
  </si>
  <si>
    <t>SPKNITRG</t>
  </si>
  <si>
    <t>SHORT PANTS KNIT WITH SIDE CONTRAST SPKNITRG:MISTY LIGHT GREY:S:SOLID:SHORT PANTS</t>
  </si>
  <si>
    <t>SHORT PANTS KNIT WITH SIDE CONTRAST SPKNITRG:MISTY LIGHT GREY:M:SOLID:SHORT PANTS</t>
  </si>
  <si>
    <t>SHORT PANTS KNIT WITH SIDE CONTRAST SPKNITRG:MISTY LIGHT GREY:L:SOLID:SHORT PANTS</t>
  </si>
  <si>
    <t>SHORT PANTS KNIT WITH SIDE CONTRAST SPKNITRG:MISTY LIGHT GREY:XL:SOLID:SHORT PANTS</t>
  </si>
  <si>
    <t>SPKNITRM</t>
  </si>
  <si>
    <t>SHORT PANTS KNIT WITH SIDE CONTRAST SPKNITRM:MAROON:S:SOLID:SHORT PANTS</t>
  </si>
  <si>
    <t>SHORT PANTS KNIT WITH SIDE CONTRAST SPKNITRM:MAROON:M:SOLID:SHORT PANTS</t>
  </si>
  <si>
    <t>SHORT PANTS KNIT WITH SIDE CONTRAST SPKNITRM:MAROON:L:SOLID:SHORT PANTS</t>
  </si>
  <si>
    <t>SHORT PANTS KNIT WITH SIDE CONTRAST SPKNITRM:MAROON:XL:SOLID:SHORT PANTS</t>
  </si>
  <si>
    <t>SPKNITR1</t>
  </si>
  <si>
    <t>SHORT PANTS KNIT WITH SIDE CONTRAST SPKNITR1:MISTY DARK GREY:S:SOLID:SHORT PANTS</t>
  </si>
  <si>
    <t>SHORT PANTS KNIT WITH SIDE CONTRAST SPKNITR1:MISTY DARK GREY:M:SOLID:SHORT PANTS</t>
  </si>
  <si>
    <t>SHORT PANTS KNIT WITH SIDE CONTRAST SPKNITR1:MISTY DARK GREY:L:SOLID:SHORT PANTS</t>
  </si>
  <si>
    <t>SHORT PANTS KNIT WITH SIDE CONTRAST SPKNITR1:MISTY DARK GREY:XL:SOLID:SHORT PANTS</t>
  </si>
  <si>
    <t>SPKNITR6</t>
  </si>
  <si>
    <t>SHORT PANTS KNIT WITH SIDE CONTRAST SPKNITR6:BLACK:S:SOLID:SHORT PANTS</t>
  </si>
  <si>
    <t>SHORT PANTS KNIT WITH SIDE CONTRAST SPKNITR6:BLACK:M:SOLID:SHORT PANTS</t>
  </si>
  <si>
    <t>SHORT PANTS KNIT WITH SIDE CONTRAST SPKNITR6:BLACK:L:SOLID:SHORT PANTS</t>
  </si>
  <si>
    <t>SHORT PANTS KNIT WITH SIDE CONTRAST SPKNITR6:BLACK:XL:SOLID:SHORT PANTS</t>
  </si>
  <si>
    <t>SPKNITR4</t>
  </si>
  <si>
    <t>SHORT PANTS KNIT WITH SIDE CONTRAST SPKNITR4:NAVY BLUE:S:SOLID:SHORT PANTS</t>
  </si>
  <si>
    <t>SHORT PANTS KNIT WITH SIDE CONTRAST SPKNITR4:NAVY BLUE:M:SOLID:SHORT PANTS</t>
  </si>
  <si>
    <t>SHORT PANTS KNIT WITH SIDE CONTRAST SPKNITR4:NAVY BLUE:L:SOLID:SHORT PANTS</t>
  </si>
  <si>
    <t>SHORT PANTS KNIT WITH SIDE CONTRAST SPKNITR4:NAVY BLUE:XL:SOLID:SHORT PANTS</t>
  </si>
  <si>
    <t>WOVEN SHIRT</t>
  </si>
  <si>
    <t>SUMBER SELARAS ABADI PT.-81642</t>
  </si>
  <si>
    <t>SSRSSLDG</t>
  </si>
  <si>
    <t>SS SHIRT REGULAR SOLID SSRSSLDG:FOREST GREEN:S:SOLID:SS SHIRT</t>
  </si>
  <si>
    <t>SS SHIRT REGULAR SOLID SSRSSLDG:FOREST GREEN:M:SOLID:SS SHIRT</t>
  </si>
  <si>
    <t>SS SHIRT REGULAR SOLID SSRSSLDG:FOREST GREEN:L:SOLID:SS SHIRT</t>
  </si>
  <si>
    <t>SS SHIRT REGULAR SOLID SSRSSLDG:FOREST GREEN:XL:SOLID:SS SHIRT</t>
  </si>
  <si>
    <t>SSRSSLDM</t>
  </si>
  <si>
    <t>SS SHIRT REGULAR SOLID SSRSSLDM:RUSTIC BROWN:S:SOLID:SS SHIRT</t>
  </si>
  <si>
    <t>SS SHIRT REGULAR SOLID SSRSSLDM:RUSTIC BROWN:M:SOLID:SS SHIRT</t>
  </si>
  <si>
    <t>SS SHIRT REGULAR SOLID SSRSSLDM:RUSTIC BROWN:L:SOLID:SS SHIRT</t>
  </si>
  <si>
    <t>SS SHIRT REGULAR SOLID SSRSSLDM:RUSTIC BROWN:XL:SOLID:SS SHIRT</t>
  </si>
  <si>
    <t>SSRSCHMB</t>
  </si>
  <si>
    <t>SS SHIRT REGULAR MEDIUM CHECKS SSRSCHMB:INDIGO BLUE:S:CHECKS:SS SHIRT</t>
  </si>
  <si>
    <t>SS SHIRT REGULAR MEDIUM CHECKS SSRSCHMB:INDIGO BLUE:M:CHECKS:SS SHIRT</t>
  </si>
  <si>
    <t>SS SHIRT REGULAR MEDIUM CHECKS SSRSCHMB:INDIGO BLUE:L:CHECKS:SS SHIRT</t>
  </si>
  <si>
    <t>SS SHIRT REGULAR MEDIUM CHECKS SSRSCHMB:INDIGO BLUE:XL:CHECKS:SS SHIRT</t>
  </si>
  <si>
    <t>SSRSCHMR</t>
  </si>
  <si>
    <t>SS SHIRT REGULAR MEDIUM CHECKS SSRSCHMR:CLASSIC RED:S:CHECKS:SS SHIRT</t>
  </si>
  <si>
    <t>SS SHIRT REGULAR MEDIUM CHECKS SSRSCHMR:CLASSIC RED:M:CHECKS:SS SHIRT</t>
  </si>
  <si>
    <t>SS SHIRT REGULAR MEDIUM CHECKS SSRSCHMR:CLASSIC RED:L:CHECKS:SS SHIRT</t>
  </si>
  <si>
    <t>SS SHIRT REGULAR MEDIUM CHECKS SSRSCHMR:CLASSIC RED:XL:CHECKS:SS SHIRT</t>
  </si>
  <si>
    <t>LSRSSLDB</t>
  </si>
  <si>
    <t>LS SHIRT REGULAR SOLID LSRSSLDB:BLACK:S:SOLID:LS SHIRT</t>
  </si>
  <si>
    <t>LS SHIRT REGULAR SOLID LSRSSLDB:BLACK:M:SOLID:LS SHIRT</t>
  </si>
  <si>
    <t>LS SHIRT REGULAR SOLID LSRSSLDB:BLACK:L:SOLID:LS SHIRT</t>
  </si>
  <si>
    <t>LS SHIRT REGULAR SOLID LSRSSLDB:BLACK:XL:SOLID:LS SHIRT</t>
  </si>
  <si>
    <t>LSRSSLDN</t>
  </si>
  <si>
    <t>LS SHIRT REGULAR SOLID LSRSSLDN:NAVY BLUE:S:SOLID:LS SHIRT</t>
  </si>
  <si>
    <t>LS SHIRT REGULAR SOLID LSRSSLDN:NAVY BLUE:M:SOLID:LS SHIRT</t>
  </si>
  <si>
    <t>LS SHIRT REGULAR SOLID LSRSSLDN:NAVY BLUE:L:SOLID:LS SHIRT</t>
  </si>
  <si>
    <t>LS SHIRT REGULAR SOLID LSRSSLDN:NAVY BLUE:XL:SOLID:LS SHIRT</t>
  </si>
  <si>
    <t>LSRSCHML</t>
  </si>
  <si>
    <t>LS SHIRT REGULAR MEDIUM CHECKS LSRSCHML:INDIGO BLUE:S:CHECKS:LS SHIRT</t>
  </si>
  <si>
    <t>LS SHIRT REGULAR MEDIUM CHECKS LSRSCHML:INDIGO BLUE:M:CHECKS:LS SHIRT</t>
  </si>
  <si>
    <t>LS SHIRT REGULAR MEDIUM CHECKS LSRSCHML:INDIGO BLUE:L:CHECKS:LS SHIRT</t>
  </si>
  <si>
    <t>LS SHIRT REGULAR MEDIUM CHECKS LSRSCHML:INDIGO BLUE:XL:CHECKS:LS SHIRT</t>
  </si>
  <si>
    <t>SSRSCHN1</t>
  </si>
  <si>
    <t>SS SHIRT REGULAR MEDIUM CHECKS SSRSCHN1:NAVY BLUE:S:CHECKS:SS SHIRT</t>
  </si>
  <si>
    <t>SS SHIRT REGULAR MEDIUM CHECKS SSRSCHN1:NAVY BLUE:M:CHECKS:SS SHIRT</t>
  </si>
  <si>
    <t>SS SHIRT REGULAR MEDIUM CHECKS SSRSCHN1:NAVY BLUE:L:CHECKS:SS SHIRT</t>
  </si>
  <si>
    <t>SS SHIRT REGULAR MEDIUM CHECKS SSRSCHN1:NAVY BLUE:XL:CHECKS:SS SHIRT</t>
  </si>
  <si>
    <t>SSRSCHMG</t>
  </si>
  <si>
    <t>SS SHIRT REGULAR MEDIUM CHECKS SSRSCHMG:CLASSIC GREEN:S:CHECKS:SS SHIRT</t>
  </si>
  <si>
    <t>SS SHIRT REGULAR MEDIUM CHECKS SSRSCHMG:CLASSIC GREEN:M:CHECKS:SS SHIRT</t>
  </si>
  <si>
    <t>SS SHIRT REGULAR MEDIUM CHECKS SSRSCHMG:CLASSIC GREEN:L:CHECKS:SS SHIRT</t>
  </si>
  <si>
    <t>SS SHIRT REGULAR MEDIUM CHECKS SSRSCHMG:CLASSIC GREEN:XL:CHECKS:SS SHIRT</t>
  </si>
  <si>
    <t>SSRCOLSB</t>
  </si>
  <si>
    <t>SS SHIRT REGULAR SOLID SSRCOLSB:BLACK:S:SOLID:SS SHIRT</t>
  </si>
  <si>
    <t>SS SHIRT REGULAR SOLID SSRCOLSB:BLACK:M:SOLID:SS SHIRT</t>
  </si>
  <si>
    <t>SS SHIRT REGULAR SOLID SSRCOLSB:BLACK:L:SOLID:SS SHIRT</t>
  </si>
  <si>
    <t>SS SHIRT REGULAR SOLID SSRCOLSB:BLACK:XL:SOLID:SS SHIRT</t>
  </si>
  <si>
    <t>LSRSCHMO</t>
  </si>
  <si>
    <t>LS SHIRT REGULAR MEDIUM CHECKS LSRSCHMO:OLIVE:S:CHECKS:LS SHIRT</t>
  </si>
  <si>
    <t>LS SHIRT REGULAR MEDIUM CHECKS LSRSCHMO:OLIVE:M:CHECKS:LS SHIRT</t>
  </si>
  <si>
    <t>LS SHIRT REGULAR MEDIUM CHECKS LSRSCHMO:OLIVE:L:CHECKS:LS SHIRT</t>
  </si>
  <si>
    <t>LS SHIRT REGULAR MEDIUM CHECKS LSRSCHMO:OLIVE:XL:CHECKS:LS SHIRT</t>
  </si>
  <si>
    <t>SSRCOLSS</t>
  </si>
  <si>
    <t>SS SHIRT REGULAR SOLID SSRCOLSS:PASTEL GREEN:S:SOLID:SS SHIRT</t>
  </si>
  <si>
    <t>SS SHIRT REGULAR SOLID SSRCOLSS:PASTEL GREEN:M:SOLID:SS SHIRT</t>
  </si>
  <si>
    <t>SS SHIRT REGULAR SOLID SSRCOLSS:PASTEL GREEN:L:SOLID:SS SHIRT</t>
  </si>
  <si>
    <t>SS SHIRT REGULAR SOLID SSRCOLSS:PASTEL GREEN:XL:SOLID:SS SHIRT</t>
  </si>
  <si>
    <t>SSRCOLSC</t>
  </si>
  <si>
    <t>SS SHIRT REGULAR SOLID SSRCOLSC:VANILLA:S:SOLID:SS SHIRT</t>
  </si>
  <si>
    <t>SS SHIRT REGULAR SOLID SSRCOLSC:VANILLA:M:SOLID:SS SHIRT</t>
  </si>
  <si>
    <t>SS SHIRT REGULAR SOLID SSRCOLSC:VANILLA:L:SOLID:SS SHIRT</t>
  </si>
  <si>
    <t>SS SHIRT REGULAR SOLID SSRCOLSC:VANILLA:XL:SOLID:SS SHIRT</t>
  </si>
  <si>
    <t>LSRSCHMB</t>
  </si>
  <si>
    <t>LS SHIRT REGULAR MEDIUM CHECKS LSRSCHMB:LIGHT BLUE:S:CHECKS:LS SHIRT</t>
  </si>
  <si>
    <t>LS SHIRT REGULAR MEDIUM CHECKS LSRSCHMB:LIGHT BLUE:M:CHECKS:LS SHIRT</t>
  </si>
  <si>
    <t>LS SHIRT REGULAR MEDIUM CHECKS LSRSCHMB:LIGHT BLUE:L:CHECKS:LS SHIRT</t>
  </si>
  <si>
    <t>LS SHIRT REGULAR MEDIUM CHECKS LSRSCHMB:LIGHT BLUE:XL:CHECKS:LS SHIRT</t>
  </si>
  <si>
    <t>LSRSCHMN</t>
  </si>
  <si>
    <t>LS SHIRT REGULAR MEDIUM CHECKS LSRSCHMN:NAVY BLUE:S:CHECKS:LS SHIRT</t>
  </si>
  <si>
    <t>LS SHIRT REGULAR MEDIUM CHECKS LSRSCHMN:NAVY BLUE:M:CHECKS:LS SHIRT</t>
  </si>
  <si>
    <t>LS SHIRT REGULAR MEDIUM CHECKS LSRSCHMN:NAVY BLUE:L:CHECKS:LS SHIRT</t>
  </si>
  <si>
    <t>LS SHIRT REGULAR MEDIUM CHECKS LSRSCHMN:NAVY BLUE:XL:CHECKS:LS SHIRT</t>
  </si>
  <si>
    <t>SSRSCHN2</t>
  </si>
  <si>
    <t>SS SHIRT REGULAR MEDIUM CHECKS SSRSCHN2:NAVY BLUE:S:CHECKS:SS SHIRT</t>
  </si>
  <si>
    <t>SS SHIRT REGULAR MEDIUM CHECKS SSRSCHN2:NAVY BLUE:M:CHECKS:SS SHIRT</t>
  </si>
  <si>
    <t>SS SHIRT REGULAR MEDIUM CHECKS SSRSCHN2:NAVY BLUE:L:CHECKS:SS SHIRT</t>
  </si>
  <si>
    <t>SS SHIRT REGULAR MEDIUM CHECKS SSRSCHN2:NAVY BLUE:XL:CHECKS:SS SHIRT</t>
  </si>
  <si>
    <t>BERSATU SUKSES ABADI PT.-81735</t>
  </si>
  <si>
    <t>LSRBCHMM</t>
  </si>
  <si>
    <t>LS SHIRT REGULAR MEDIUM CHECKS LSRBCHMM:MAROON:S:CHECKS:LS SHIRT</t>
  </si>
  <si>
    <t>LS SHIRT REGULAR MEDIUM CHECKS LSRBCHMM:MAROON:M:CHECKS:LS SHIRT</t>
  </si>
  <si>
    <t>LS SHIRT REGULAR MEDIUM CHECKS LSRBCHMM:MAROON:L:CHECKS:LS SHIRT</t>
  </si>
  <si>
    <t>LS SHIRT REGULAR MEDIUM CHECKS LSRBCHMM:MAROON:XL:CHECKS:LS SHIRT</t>
  </si>
  <si>
    <t>LSRBCHMG</t>
  </si>
  <si>
    <t>LS SHIRT REGULAR MEDIUM CHECKS LSRBCHMG:PASTEL GREY:S:CHECKS:LS SHIRT</t>
  </si>
  <si>
    <t>LS SHIRT REGULAR MEDIUM CHECKS LSRBCHMG:PASTEL GREY:M:CHECKS:LS SHIRT</t>
  </si>
  <si>
    <t>LS SHIRT REGULAR MEDIUM CHECKS LSRBCHMG:PASTEL GREY:L:CHECKS:LS SHIRT</t>
  </si>
  <si>
    <t>LS SHIRT REGULAR MEDIUM CHECKS LSRBCHMG:PASTEL GREY:XL:CHECKS:LS SHIRT</t>
  </si>
  <si>
    <t>LSRBCHMN</t>
  </si>
  <si>
    <t>LS SHIRT REGULAR MEDIUM CHECKS LSRBCHMN:NAVY BLUE:S:CHECKS:LS SHIRT</t>
  </si>
  <si>
    <t>LS SHIRT REGULAR MEDIUM CHECKS LSRBCHMN:NAVY BLUE:M:CHECKS:LS SHIRT</t>
  </si>
  <si>
    <t>LS SHIRT REGULAR MEDIUM CHECKS LSRBCHMN:NAVY BLUE:L:CHECKS:LS SHIRT</t>
  </si>
  <si>
    <t>LS SHIRT REGULAR MEDIUM CHECKS LSRBCHMN:NAVY BLUE:XL:CHECKS:LS SHIRT</t>
  </si>
  <si>
    <t>ALBY KARYA NUSANTARA PT.-81781</t>
  </si>
  <si>
    <t>POLSLDBO</t>
  </si>
  <si>
    <t>SS POLO SHIRT SOLID POLSLDBO:OLIVE:S:SOLID:SS POLO SHIRT</t>
  </si>
  <si>
    <t>SS POLO SHIRT SOLID POLSLDBO:OLIVE:M:SOLID:SS POLO SHIRT</t>
  </si>
  <si>
    <t>SS POLO SHIRT SOLID POLSLDBO:OLIVE:L:SOLID:SS POLO SHIRT</t>
  </si>
  <si>
    <t>SS POLO SHIRT SOLID POLSLDBO:OLIVE:XL:SOLID:SS POLO SHIRT</t>
  </si>
  <si>
    <t>PLBCST14</t>
  </si>
  <si>
    <t>SS POLO SHIRT STRIPE YD PLBCST14:NAVY BLUE:S:STRIPES:SS POLO SHIRT</t>
  </si>
  <si>
    <t>SS POLO SHIRT STRIPE YD PLBCST14:NAVY BLUE:M:STRIPES:SS POLO SHIRT</t>
  </si>
  <si>
    <t>SS POLO SHIRT STRIPE YD PLBCST14:NAVY BLUE:L:STRIPES:SS POLO SHIRT</t>
  </si>
  <si>
    <t>SS POLO SHIRT STRIPE YD PLBCST14:NAVY BLUE:XL:STRIPES:SS POLO SHIRT</t>
  </si>
  <si>
    <t>POLSLDBT</t>
  </si>
  <si>
    <t>SS POLO SHIRT SOLID POLSLDBT:CLASSIC RED:S:SOLID:SS POLO SHIRT</t>
  </si>
  <si>
    <t>SS POLO SHIRT SOLID POLSLDBT:CLASSIC RED:M:SOLID:SS POLO SHIRT</t>
  </si>
  <si>
    <t>SS POLO SHIRT SOLID POLSLDBT:CLASSIC RED:L:SOLID:SS POLO SHIRT</t>
  </si>
  <si>
    <t>SS POLO SHIRT SOLID POLSLDBT:CLASSIC RED:XL:SOLID:SS POLO SHIRT</t>
  </si>
  <si>
    <t>PLBCST15</t>
  </si>
  <si>
    <t>SS POLO SHIRT STRIPE YD PLBCST15:NAVY BLUE:S:STRIPES:SS POLO SHIRT</t>
  </si>
  <si>
    <t>SS POLO SHIRT STRIPE YD PLBCST15:NAVY BLUE:M:STRIPES:SS POLO SHIRT</t>
  </si>
  <si>
    <t>SS POLO SHIRT STRIPE YD PLBCST15:NAVY BLUE:L:STRIPES:SS POLO SHIRT</t>
  </si>
  <si>
    <t>SS POLO SHIRT STRIPE YD PLBCST15:NAVY BLUE:XL:STRIPES:SS POLO SHIRT</t>
  </si>
  <si>
    <t>KI POLO</t>
  </si>
  <si>
    <t>POLSLDBN</t>
  </si>
  <si>
    <t>SS POLO SHIRT SOLID POLSLDBN:NAVY BLUE:S:SOLID:SS POLO SHIRT</t>
  </si>
  <si>
    <t>SS POLO SHIRT SOLID POLSLDBN:NAVY BLUE:M:SOLID:SS POLO SHIRT</t>
  </si>
  <si>
    <t>SS POLO SHIRT SOLID POLSLDBN:NAVY BLUE:L:SOLID:SS POLO SHIRT</t>
  </si>
  <si>
    <t>SS POLO SHIRT SOLID POLSLDBN:NAVY BLUE:XL:SOLID:SS POLO SHIRT</t>
  </si>
  <si>
    <t>POLSLDBM</t>
  </si>
  <si>
    <t>SS POLO SHIRT SOLID POLSLDBM:MAROON:S:SOLID:SS POLO SHIRT</t>
  </si>
  <si>
    <t>SS POLO SHIRT SOLID POLSLDBM:MAROON:M:SOLID:SS POLO SHIRT</t>
  </si>
  <si>
    <t>SS POLO SHIRT SOLID POLSLDBM:MAROON:L:SOLID:SS POLO SHIRT</t>
  </si>
  <si>
    <t>SS POLO SHIRT SOLID POLSLDBM:MAROON:XL:SOLID:SS POLO SHIRT</t>
  </si>
  <si>
    <t>PLSBSLDN</t>
  </si>
  <si>
    <t>SS POLO SHIRT SOLID PLSBSLDN:NAVY BLUE:S:SOLID:SS POLO SHIRT</t>
  </si>
  <si>
    <t>SS POLO SHIRT SOLID PLSBSLDN:NAVY BLUE:M:SOLID:SS POLO SHIRT</t>
  </si>
  <si>
    <t>SS POLO SHIRT SOLID PLSBSLDN:NAVY BLUE:L:SOLID:SS POLO SHIRT</t>
  </si>
  <si>
    <t>SS POLO SHIRT SOLID PLSBSLDN:NAVY BLUE:XL:SOLID:SS POLO SHIRT</t>
  </si>
  <si>
    <t>PLSBSLDB</t>
  </si>
  <si>
    <t>SS POLO SHIRT SOLID PLSBSLDB:BLACK:S:SOLID:SS POLO SHIRT</t>
  </si>
  <si>
    <t>SS POLO SHIRT SOLID PLSBSLDB:BLACK:M:SOLID:SS POLO SHIRT</t>
  </si>
  <si>
    <t>SS POLO SHIRT SOLID PLSBSLDB:BLACK:L:SOLID:SS POLO SHIRT</t>
  </si>
  <si>
    <t>SS POLO SHIRT SOLID PLSBSLDB:BLACK:XL:SOLID:SS POLO SHIRT</t>
  </si>
  <si>
    <t>PLSBSLDM</t>
  </si>
  <si>
    <t>SS POLO SHIRT SOLID PLSBSLDM:MAROON:S:SOLID:SS POLO SHIRT</t>
  </si>
  <si>
    <t>SS POLO SHIRT SOLID PLSBSLDM:MAROON:M:SOLID:SS POLO SHIRT</t>
  </si>
  <si>
    <t>SS POLO SHIRT SOLID PLSBSLDM:MAROON:L:SOLID:SS POLO SHIRT</t>
  </si>
  <si>
    <t>SS POLO SHIRT SOLID PLSBSLDM:MAROON:XL:SOLID:SS POLO SHIRT</t>
  </si>
  <si>
    <t>POLSLDBD</t>
  </si>
  <si>
    <t>SS POLO SHIRT SOLID POLSLDBD:GOLDEN BROWN:S:SOLID:SS POLO SHIRT</t>
  </si>
  <si>
    <t>SS POLO SHIRT SOLID POLSLDBD:GOLDEN BROWN:M:SOLID:SS POLO SHIRT</t>
  </si>
  <si>
    <t>SS POLO SHIRT SOLID POLSLDBD:GOLDEN BROWN:L:SOLID:SS POLO SHIRT</t>
  </si>
  <si>
    <t>SS POLO SHIRT SOLID POLSLDBD:GOLDEN BROWN:XL:SOLID:SS POLO SHIRT</t>
  </si>
  <si>
    <t>MITRA GARMINDO CV- 81462</t>
  </si>
  <si>
    <t>SWMSTART</t>
  </si>
  <si>
    <t>SWEATER LAYERED PRINT 1 START SWMSTART:MISTY LIGHT GREY:S:TEXT:SWEATER</t>
  </si>
  <si>
    <t>SWEATER LAYERED PRINT 1 START SWMSTART:MISTY LIGHT GREY:M:TEXT:SWEATER</t>
  </si>
  <si>
    <t>SWEATER LAYERED PRINT 1 START SWMSTART:MISTY LIGHT GREY:L:TEXT:SWEATER</t>
  </si>
  <si>
    <t>SWEATER LAYERED PRINT 1 START SWMSTART:MISTY LIGHT GREY:XL:TEXT:SWEATER</t>
  </si>
  <si>
    <t>SWMPOSS</t>
  </si>
  <si>
    <t>SWEATER LAYERED PRINT 2 POSSIBLE SWMPOSS:NAVY BLUE:S:TEXT:SWEATER</t>
  </si>
  <si>
    <t>SWEATER LAYERED PRINT 2 POSSIBLE SWMPOSS:NAVY BLUE:M:TEXT:SWEATER</t>
  </si>
  <si>
    <t>SWEATER LAYERED PRINT 2 POSSIBLE SWMPOSS:NAVY BLUE:L:TEXT:SWEATER</t>
  </si>
  <si>
    <t>SWEATER LAYERED PRINT 2 POSSIBLE SWMPOSS:NAVY BLUE:XL:TEXT:SWEATER</t>
  </si>
  <si>
    <t>SWMFUTUR</t>
  </si>
  <si>
    <t>SWEATER LAYERED PRINT 3 FUTURE SWMFUTUR:BLACK:S:TEXT:SWEATER</t>
  </si>
  <si>
    <t>SWEATER LAYERED PRINT 3 FUTURE SWMFUTUR:BLACK:M:TEXT:SWEATER</t>
  </si>
  <si>
    <t>SWEATER LAYERED PRINT 3 FUTURE SWMFUTUR:BLACK:L:TEXT:SWEATER</t>
  </si>
  <si>
    <t>SWEATER LAYERED PRINT 3 FUTURE SWMFUTUR:BLACK:XL:TEXT:SWEATER</t>
  </si>
  <si>
    <t>SWSOLMGB</t>
  </si>
  <si>
    <t>SWEATER SOLID SWSOLMGB:BLACK:S:SOLID:SWEATER</t>
  </si>
  <si>
    <t>SWEATER SOLID SWSOLMGB:BLACK:M:SOLID:SWEATER</t>
  </si>
  <si>
    <t>SWEATER SOLID SWSOLMGB:BLACK:L:SOLID:SWEATER</t>
  </si>
  <si>
    <t>SWEATER SOLID SWSOLMGB:BLACK:XL:SOLID:SWEATER</t>
  </si>
  <si>
    <t>SWSOLMGN</t>
  </si>
  <si>
    <t>SWEATER SOLID SWSOLMGN:NAVY BLUE:S:SOLID:SWEATER</t>
  </si>
  <si>
    <t>SWEATER SOLID SWSOLMGN:NAVY BLUE:M:SOLID:SWEATER</t>
  </si>
  <si>
    <t>SWEATER SOLID SWSOLMGN:NAVY BLUE:L:SOLID:SWEATER</t>
  </si>
  <si>
    <t>SWEATER SOLID SWSOLMGN:NAVY BLUE:XL:SOLID:SWEATER</t>
  </si>
  <si>
    <t>SWSOLMGG</t>
  </si>
  <si>
    <t>SWEATER SOLID SWSOLMGG:GOLDEN BROWN:S:SOLID:SWEATER</t>
  </si>
  <si>
    <t>SWEATER SOLID SWSOLMGG:GOLDEN BROWN:M:SOLID:SWEATER</t>
  </si>
  <si>
    <t>SWEATER SOLID SWSOLMGG:GOLDEN BROWN:L:SOLID:SWEATER</t>
  </si>
  <si>
    <t>SWEATER SOLID SWSOLMGG:GOLDEN BROWN:XL:SOLID:SWEATER</t>
  </si>
  <si>
    <t>JOGMKNTN</t>
  </si>
  <si>
    <t>JOGGER KNIT SOLID WITH DRAWSTING JOGMKNTN:NAVY BLUE:S:SOLID:JOGGER</t>
  </si>
  <si>
    <t>JOGGER KNIT SOLID WITH DRAWSTING JOGMKNTN:NAVY BLUE:M:SOLID:JOGGER</t>
  </si>
  <si>
    <t>JOGGER KNIT SOLID WITH DRAWSTING JOGMKNTN:NAVY BLUE:L:SOLID:JOGGER</t>
  </si>
  <si>
    <t>JOGGER KNIT SOLID WITH DRAWSTING JOGMKNTN:NAVY BLUE:XL:SOLID:JOGGER</t>
  </si>
  <si>
    <t>JOGMKNTB</t>
  </si>
  <si>
    <t>JOGGER KNIT SOLID WITH DRAWSTING JOGMKNTB:BLACK:S:SOLID:JOGGER</t>
  </si>
  <si>
    <t>JOGGER KNIT SOLID WITH DRAWSTING JOGMKNTB:BLACK:M:SOLID:JOGGER</t>
  </si>
  <si>
    <t>JOGGER KNIT SOLID WITH DRAWSTING JOGMKNTB:BLACK:L:SOLID:JOGGER</t>
  </si>
  <si>
    <t>JOGGER KNIT SOLID WITH DRAWSTING JOGMKNTB:BLACK:XL:SOLID:JOGGER</t>
  </si>
  <si>
    <t>JOGMKNTG</t>
  </si>
  <si>
    <t>JOGGER KNIT SOLID WITH DRAWSTING JOGMKNTG:MISTY LIGHT GREY:S:SOLID:JOGGER</t>
  </si>
  <si>
    <t>JOGGER KNIT SOLID WITH DRAWSTING JOGMKNTG:MISTY LIGHT GREY:M:SOLID:JOGGER</t>
  </si>
  <si>
    <t>JOGGER KNIT SOLID WITH DRAWSTING JOGMKNTG:MISTY LIGHT GREY:L:SOLID:JOGGER</t>
  </si>
  <si>
    <t>JOGGER KNIT SOLID WITH DRAWSTING JOGMKNTG:MISTY LIGHT GREY:XL:SOLID:JOGGER</t>
  </si>
  <si>
    <t>JOGMKNTO</t>
  </si>
  <si>
    <t>JOGGER KNIT SOLID WITH DRAWSTING JOGMKNTO:OLIVE:S:SOLID:JOGGER</t>
  </si>
  <si>
    <t>JOGGER KNIT SOLID WITH DRAWSTING JOGMKNTO:OLIVE:M:SOLID:JOGGER</t>
  </si>
  <si>
    <t>JOGGER KNIT SOLID WITH DRAWSTING JOGMKNTO:OLIVE:L:SOLID:JOGGER</t>
  </si>
  <si>
    <t>JOGGER KNIT SOLID WITH DRAWSTING JOGMKNTO:OLIVE:XL:SOLID:JOGGER</t>
  </si>
  <si>
    <t>KITSMBSO</t>
  </si>
  <si>
    <t>SS T-SHIRT SOLID PE KITSMBSO:OLIVE:S:SOLID:SS T-SHIRT</t>
  </si>
  <si>
    <t>SS T-SHIRT SOLID PE KITSMBSO:OLIVE:M:SOLID:SS T-SHIRT</t>
  </si>
  <si>
    <t>SS T-SHIRT SOLID PE KITSMBSO:OLIVE:L:SOLID:SS T-SHIRT</t>
  </si>
  <si>
    <t>SS T-SHIRT SOLID PE KITSMBSO:OLIVE:XL:SOLID:SS T-SHIRT</t>
  </si>
  <si>
    <t>SRKUNITY</t>
  </si>
  <si>
    <t>SS T-SHIRT GRAPHIC PRINT SRKUNITY:BLACK:S:GRAPHIC:SS T-SHIRT</t>
  </si>
  <si>
    <t>SS T-SHIRT GRAPHIC PRINT SRKUNITY:BLACK:M:GRAPHIC:SS T-SHIRT</t>
  </si>
  <si>
    <t>SS T-SHIRT GRAPHIC PRINT SRKUNITY:BLACK:L:GRAPHIC:SS T-SHIRT</t>
  </si>
  <si>
    <t>SS T-SHIRT GRAPHIC PRINT SRKUNITY:BLACK:XL:GRAPHIC:SS T-SHIRT</t>
  </si>
  <si>
    <t>SRKEASY</t>
  </si>
  <si>
    <t>SS T-SHIRT GRAPHIC PRINT SRKEASY:NAVY BLUE:S:GRAPHIC:SS T-SHIRT</t>
  </si>
  <si>
    <t>SS T-SHIRT GRAPHIC PRINT SRKEASY:NAVY BLUE:M:GRAPHIC:SS T-SHIRT</t>
  </si>
  <si>
    <t>SS T-SHIRT GRAPHIC PRINT SRKEASY:NAVY BLUE:L:GRAPHIC:SS T-SHIRT</t>
  </si>
  <si>
    <t>SS T-SHIRT GRAPHIC PRINT SRKEASY:NAVY BLUE:XL:GRAPHIC:SS T-SHIRT</t>
  </si>
  <si>
    <t>KI T-SHIRT</t>
  </si>
  <si>
    <t>KITSMBSG</t>
  </si>
  <si>
    <t>SS T-SHIRT SOLID MISTY PE KITSMBSG:MISTY LIGHT GREY:S:SOLID:SS T-SHIRT</t>
  </si>
  <si>
    <t>SS T-SHIRT SOLID MISTY PE KITSMBSG:MISTY LIGHT GREY:M:SOLID:SS T-SHIRT</t>
  </si>
  <si>
    <t>SS T-SHIRT SOLID MISTY PE KITSMBSG:MISTY LIGHT GREY:L:SOLID:SS T-SHIRT</t>
  </si>
  <si>
    <t>SS T-SHIRT SOLID MISTY PE KITSMBSG:MISTY LIGHT GREY:XL:SOLID:SS T-SHIRT</t>
  </si>
  <si>
    <t>KITSMBSN</t>
  </si>
  <si>
    <t>SS T-SHIRT SOLID PE KITSMBSN:NAVY BLUE:S:SOLID:SS T-SHIRT</t>
  </si>
  <si>
    <t>SS T-SHIRT SOLID PE KITSMBSN:NAVY BLUE:M:SOLID:SS T-SHIRT</t>
  </si>
  <si>
    <t>SS T-SHIRT SOLID PE KITSMBSN:NAVY BLUE:L:SOLID:SS T-SHIRT</t>
  </si>
  <si>
    <t>SS T-SHIRT SOLID PE KITSMBSN:NAVY BLUE:XL:SOLID:SS T-SHIRT</t>
  </si>
  <si>
    <t>KITSMBSB</t>
  </si>
  <si>
    <t>SS T-SHIRT SOLID PE KITSMBSB:BLACK:S:SOLID:SS T-SHIRT</t>
  </si>
  <si>
    <t>SS T-SHIRT SOLID PE KITSMBSB:BLACK:M:SOLID:SS T-SHIRT</t>
  </si>
  <si>
    <t>SS T-SHIRT SOLID PE KITSMBSB:BLACK:L:SOLID:SS T-SHIRT</t>
  </si>
  <si>
    <t>SS T-SHIRT SOLID PE KITSMBSB:BLACK:XL:SOLID:SS T-SHIRT</t>
  </si>
  <si>
    <t>KITSMBST</t>
  </si>
  <si>
    <t>SS T-SHIRT SOLID PE KITSMBST:CLASSIC RED:S:SOLID:SS T-SHIRT</t>
  </si>
  <si>
    <t>SS T-SHIRT SOLID PE KITSMBST:CLASSIC RED:M:SOLID:SS T-SHIRT</t>
  </si>
  <si>
    <t>SS T-SHIRT SOLID PE KITSMBST:CLASSIC RED:L:SOLID:SS T-SHIRT</t>
  </si>
  <si>
    <t>SS T-SHIRT SOLID PE KITSMBST:CLASSIC RED:XL:SOLID:SS T-SHIRT</t>
  </si>
  <si>
    <t>KITSMBSD</t>
  </si>
  <si>
    <t>SS T-SHIRT SOLID PE KITSMBSD:GOLDEN BROWN:S:SOLID:SS T-SHIRT</t>
  </si>
  <si>
    <t>SS T-SHIRT SOLID PE KITSMBSD:GOLDEN BROWN:M:SOLID:SS T-SHIRT</t>
  </si>
  <si>
    <t>SS T-SHIRT SOLID PE KITSMBSD:GOLDEN BROWN:L:SOLID:SS T-SHIRT</t>
  </si>
  <si>
    <t>SS T-SHIRT SOLID PE KITSMBSD:GOLDEN BROWN:XL:SOLID:SS T-SHIRT</t>
  </si>
  <si>
    <t>KI BOTTOM</t>
  </si>
  <si>
    <t>MITRA PERINTIS MERDEKA PT</t>
  </si>
  <si>
    <t>PCHNSSMK</t>
  </si>
  <si>
    <t>LONG PANTS WOVEN REGULAR FIT PCHNSSMK:KHAKI:30:SOLID:LONG PANTS</t>
  </si>
  <si>
    <t>LONG PANTS WOVEN REGULAR FIT PCHNSSMK:KHAKI:32:SOLID:LONG PANTS</t>
  </si>
  <si>
    <t>LONG PANTS WOVEN REGULAR FIT PCHNSSMK:KHAKI:34:SOLID:LONG PANTS</t>
  </si>
  <si>
    <t>LONG PANTS WOVEN REGULAR FIT PCHNSSMK:KHAKI:36:SOLID:LONG PANTS</t>
  </si>
  <si>
    <t>LONG PANTS WOVEN REGULAR FIT PCHNSSMK:KHAKI:38:SOLID:LONG PANTS</t>
  </si>
  <si>
    <t>PCHNSSMF</t>
  </si>
  <si>
    <t>LONG PANTS WOVEN REGULAR FIT PCHNSSMF:FROST GREY:30:SOLID:LONG PANTS</t>
  </si>
  <si>
    <t>LONG PANTS WOVEN REGULAR FIT PCHNSSMF:FROST GREY:32:SOLID:LONG PANTS</t>
  </si>
  <si>
    <t>LONG PANTS WOVEN REGULAR FIT PCHNSSMF:FROST GREY:34:SOLID:LONG PANTS</t>
  </si>
  <si>
    <t>LONG PANTS WOVEN REGULAR FIT PCHNSSMF:FROST GREY:36:SOLID:LONG PANTS</t>
  </si>
  <si>
    <t>LONG PANTS WOVEN REGULAR FIT PCHNSSMF:FROST GREY:38:SOLID:LONG PANTS</t>
  </si>
  <si>
    <t>PCHNSSMB</t>
  </si>
  <si>
    <t>LONG PANTS WOVEN REGULAR FIT PCHNSSMB:BLACK:30:SOLID:LONG PANTS</t>
  </si>
  <si>
    <t>LONG PANTS WOVEN REGULAR FIT PCHNSSMB:BLACK:32:SOLID:LONG PANTS</t>
  </si>
  <si>
    <t>LONG PANTS WOVEN REGULAR FIT PCHNSSMB:BLACK:34:SOLID:LONG PANTS</t>
  </si>
  <si>
    <t>LONG PANTS WOVEN REGULAR FIT PCHNSSMB:BLACK:36:SOLID:LONG PANTS</t>
  </si>
  <si>
    <t>LONG PANTS WOVEN REGULAR FIT PCHNSSMB:BLACK:38:SOLID:LONG PANTS</t>
  </si>
  <si>
    <t>SBERMRMF</t>
  </si>
  <si>
    <t>SHORT PANTS WOVEN REGULAR FIT SBERMRMF:FROST GREY:30:SOLID:SHORT PANTS</t>
  </si>
  <si>
    <t>SHORT PANTS WOVEN REGULAR FIT SBERMRMF:FROST GREY:32:SOLID:SHORT PANTS</t>
  </si>
  <si>
    <t>SHORT PANTS WOVEN REGULAR FIT SBERMRMF:FROST GREY:34:SOLID:SHORT PANTS</t>
  </si>
  <si>
    <t>SHORT PANTS WOVEN REGULAR FIT SBERMRMF:FROST GREY:36:SOLID:SHORT PANTS</t>
  </si>
  <si>
    <t>SHORT PANTS WOVEN REGULAR FIT SBERMRMF:FROST GREY:38:SOLID:SHORT PANTS</t>
  </si>
  <si>
    <t>SBERMRMK</t>
  </si>
  <si>
    <t>SHORT PANTS WOVEN REGULAR FIT SBERMRMK:KHAKI:30:SOLID:SHORT PANTS</t>
  </si>
  <si>
    <t>SHORT PANTS WOVEN REGULAR FIT SBERMRMK:KHAKI:32:SOLID:SHORT PANTS</t>
  </si>
  <si>
    <t>SHORT PANTS WOVEN REGULAR FIT SBERMRMK:KHAKI:34:SOLID:SHORT PANTS</t>
  </si>
  <si>
    <t>SHORT PANTS WOVEN REGULAR FIT SBERMRMK:KHAKI:36:SOLID:SHORT PANTS</t>
  </si>
  <si>
    <t>SHORT PANTS WOVEN REGULAR FIT SBERMRMK:KHAKI:38:SOLID:SHORT PANTS</t>
  </si>
  <si>
    <t>SBERMRMB</t>
  </si>
  <si>
    <t>SHORT PANTS WOVEN REGULAR FIT SBERMRMB:BLACK:30:SOLID:SHORT PANTS</t>
  </si>
  <si>
    <t>SHORT PANTS WOVEN REGULAR FIT SBERMRMB:BLACK:32:SOLID:SHORT PANTS</t>
  </si>
  <si>
    <t>SHORT PANTS WOVEN REGULAR FIT SBERMRMB:BLACK:34:SOLID:SHORT PANTS</t>
  </si>
  <si>
    <t>SHORT PANTS WOVEN REGULAR FIT SBERMRMB:BLACK:36:SOLID:SHORT PANTS</t>
  </si>
  <si>
    <t>SHORT PANTS WOVEN REGULAR FIT SBERMRMB:BLACK:38:SOLID:SHORT PANTS</t>
  </si>
  <si>
    <t>SBERMRMN</t>
  </si>
  <si>
    <t>SHORT PANTS WOVEN REGULAR FIT SBERMRMN:NAVY BLUE:30:SOLID:SHORT PANTS</t>
  </si>
  <si>
    <t>SHORT PANTS WOVEN REGULAR FIT SBERMRMN:NAVY BLUE:32:SOLID:SHORT PANTS</t>
  </si>
  <si>
    <t>SHORT PANTS WOVEN REGULAR FIT SBERMRMN:NAVY BLUE:34:SOLID:SHORT PANTS</t>
  </si>
  <si>
    <t>SHORT PANTS WOVEN REGULAR FIT SBERMRMN:NAVY BLUE:36:SOLID:SHORT PANTS</t>
  </si>
  <si>
    <t>SHORT PANTS WOVEN REGULAR FIT SBERMRMN:NAVY BLUE:38:SOLID:SHORT PANTS</t>
  </si>
  <si>
    <t>SPRWVNMG</t>
  </si>
  <si>
    <t>SHORT PANTS WOVEN REGULAR FIT SPRWVNMG:FROST GREY:30:SOLID:SHORT PANTS</t>
  </si>
  <si>
    <t>SHORT PANTS WOVEN REGULAR FIT SPRWVNMG:FROST GREY:32:SOLID:SHORT PANTS</t>
  </si>
  <si>
    <t>SHORT PANTS WOVEN REGULAR FIT SPRWVNMG:FROST GREY:34:SOLID:SHORT PANTS</t>
  </si>
  <si>
    <t>SHORT PANTS WOVEN REGULAR FIT SPRWVNMG:FROST GREY:36:SOLID:SHORT PANTS</t>
  </si>
  <si>
    <t>SHORT PANTS WOVEN REGULAR FIT SPRWVNMG:FROST GREY:38:SOLID:SHORT PANTS</t>
  </si>
  <si>
    <t>SPRWVNMK</t>
  </si>
  <si>
    <t>SHORT PANTS WOVEN REGULAR FIT SPRWVNMK:KHAKI:30:SOLID:SHORT PANTS</t>
  </si>
  <si>
    <t>SHORT PANTS WOVEN REGULAR FIT SPRWVNMK:KHAKI:32:SOLID:SHORT PANTS</t>
  </si>
  <si>
    <t>SHORT PANTS WOVEN REGULAR FIT SPRWVNMK:KHAKI:34:SOLID:SHORT PANTS</t>
  </si>
  <si>
    <t>SHORT PANTS WOVEN REGULAR FIT SPRWVNMK:KHAKI:36:SOLID:SHORT PANTS</t>
  </si>
  <si>
    <t>SHORT PANTS WOVEN REGULAR FIT SPRWVNMK:KHAKI:38:SOLID:SHORT PANTS</t>
  </si>
  <si>
    <t>SPRWVNMB</t>
  </si>
  <si>
    <t>SHORT PANTS WOVEN REGULAR FIT SPRWVNMB:BLACK:30:SOLID:SHORT PANTS</t>
  </si>
  <si>
    <t>SHORT PANTS WOVEN REGULAR FIT SPRWVNMB:BLACK:32:SOLID:SHORT PANTS</t>
  </si>
  <si>
    <t>SHORT PANTS WOVEN REGULAR FIT SPRWVNMB:BLACK:34:SOLID:SHORT PANTS</t>
  </si>
  <si>
    <t>SHORT PANTS WOVEN REGULAR FIT SPRWVNMB:BLACK:36:SOLID:SHORT PANTS</t>
  </si>
  <si>
    <t>SHORT PANTS WOVEN REGULAR FIT SPRWVNMB:BLACK:38:SOLID:SHORT PANTS</t>
  </si>
  <si>
    <t>SPRWVNMN</t>
  </si>
  <si>
    <t>SHORT PANTS WOVEN REGULAR FIT SPRWVNMN:NAVY BLUE:30:SOLID:SHORT PANTS</t>
  </si>
  <si>
    <t>SHORT PANTS WOVEN REGULAR FIT SPRWVNMN:NAVY BLUE:32:SOLID:SHORT PANTS</t>
  </si>
  <si>
    <t>SHORT PANTS WOVEN REGULAR FIT SPRWVNMN:NAVY BLUE:34:SOLID:SHORT PANTS</t>
  </si>
  <si>
    <t>SHORT PANTS WOVEN REGULAR FIT SPRWVNMN:NAVY BLUE:36:SOLID:SHORT PANTS</t>
  </si>
  <si>
    <t>SHORT PANTS WOVEN REGULAR FIT SPRWVNMN:NAVY BLUE:38:SOLID:SHORT PANTS</t>
  </si>
  <si>
    <t>LPRWVNMK</t>
  </si>
  <si>
    <t>LONG PANTS KI WOVEN COTTON TWILL LPRWVNMK:KHAKI:30:SOLID:LONG PANTS</t>
  </si>
  <si>
    <t>LONG PANTS KI WOVEN COTTON TWILL LPRWVNMK:KHAKI:32:SOLID:LONG PANTS</t>
  </si>
  <si>
    <t>LONG PANTS KI WOVEN COTTON TWILL LPRWVNMK:KHAKI:34:SOLID:LONG PANTS</t>
  </si>
  <si>
    <t>LONG PANTS KI WOVEN COTTON TWILL LPRWVNMK:KHAKI:36:SOLID:LONG PANTS</t>
  </si>
  <si>
    <t>LONG PANTS KI WOVEN COTTON TWILL LPRWVNMK:KHAKI:38:SOLID:LONG PANTS</t>
  </si>
  <si>
    <t>LPRWVNMG</t>
  </si>
  <si>
    <t>LONG PANTS KI WOVEN COTTON TWILL LPRWVNMG:FROST GREY:30:SOLID:LONG PANTS</t>
  </si>
  <si>
    <t>LONG PANTS KI WOVEN COTTON TWILL LPRWVNMG:FROST GREY:32:SOLID:LONG PANTS</t>
  </si>
  <si>
    <t>LONG PANTS KI WOVEN COTTON TWILL LPRWVNMG:FROST GREY:34:SOLID:LONG PANTS</t>
  </si>
  <si>
    <t>LONG PANTS KI WOVEN COTTON TWILL LPRWVNMG:FROST GREY:36:SOLID:LONG PANTS</t>
  </si>
  <si>
    <t>LONG PANTS KI WOVEN COTTON TWILL LPRWVNMG:FROST GREY:38:SOLID:LONG PANTS</t>
  </si>
  <si>
    <t>SRLKVINT</t>
  </si>
  <si>
    <t>LONG PANTS KI WOVEN COTTON TWILL LPRWVNMB:BLACK:30:SOLID:LONG PANTS</t>
  </si>
  <si>
    <t>LPRWVNMB</t>
  </si>
  <si>
    <t>LONG PANTS KI WOVEN COTTON TWILL LPRWVNMB:BLACK:32:SOLID:LONG PANTS</t>
  </si>
  <si>
    <t>LONG PANTS KI WOVEN COTTON TWILL LPRWVNMB:BLACK:34:SOLID:LONG PANTS</t>
  </si>
  <si>
    <t>LONG PANTS KI WOVEN COTTON TWILL LPRWVNMB:BLACK:36:SOLID:LONG PANTS</t>
  </si>
  <si>
    <t>LONG PANTS KI WOVEN COTTON TWILL LPRWVNMB:BLACK:38:SOLID:LONG PANTS</t>
  </si>
  <si>
    <t>WOVEN BOTTOM</t>
  </si>
  <si>
    <t>SPRWVMBL</t>
  </si>
  <si>
    <t>SHORT PANTS WOVEN WITH DRAWSTRING SPRWVMBL:BLACK:30:SOLID:SHORT PANTS</t>
  </si>
  <si>
    <t>SHORT PANTS WOVEN WITH DRAWSTRING SPRWVMBL:BLACK:32:SOLID:SHORT PANTS</t>
  </si>
  <si>
    <t>SHORT PANTS WOVEN WITH DRAWSTRING SPRWVMBL:BLACK:34:SOLID:SHORT PANTS</t>
  </si>
  <si>
    <t>SHORT PANTS WOVEN WITH DRAWSTRING SPRWVMBL:BLACK:36:SOLID:SHORT PANTS</t>
  </si>
  <si>
    <t>SHORT PANTS WOVEN WITH DRAWSTRING SPRWVMBL:BLACK:38:SOLID:SHORT PANTS</t>
  </si>
  <si>
    <t>SPRWVMNV</t>
  </si>
  <si>
    <t>SHORT PANTS WOVEN WITH DRAWSTRING SPRWVMNV:NAVY BLUE:30:SOLID:SHORT PANTS</t>
  </si>
  <si>
    <t>SHORT PANTS WOVEN WITH DRAWSTRING SPRWVMNV:NAVY BLUE:32:SOLID:SHORT PANTS</t>
  </si>
  <si>
    <t>SHORT PANTS WOVEN WITH DRAWSTRING SPRWVMNV:NAVY BLUE:34:SOLID:SHORT PANTS</t>
  </si>
  <si>
    <t>SHORT PANTS WOVEN WITH DRAWSTRING SPRWVMNV:NAVY BLUE:36:SOLID:SHORT PANTS</t>
  </si>
  <si>
    <t>SHORT PANTS WOVEN WITH DRAWSTRING SPRWVMNV:NAVY BLUE:38:SOLID:SHORT PANTS</t>
  </si>
  <si>
    <t>LPSWVNMO</t>
  </si>
  <si>
    <t>LONG PANTS WOVEN SLIM FIT LPSWVNMO:OLIVE:30:SOLID:LONG PANTS</t>
  </si>
  <si>
    <t>LONG PANTS WOVEN SLIM FIT LPSWVNMO:OLIVE:32:SOLID:LONG PANTS</t>
  </si>
  <si>
    <t>LONG PANTS WOVEN SLIM FIT LPSWVNMO:OLIVE:34:SOLID:LONG PANTS</t>
  </si>
  <si>
    <t>LONG PANTS WOVEN SLIM FIT LPSWVNMO:OLIVE:36:SOLID:LONG PANTS</t>
  </si>
  <si>
    <t>LONG PANTS WOVEN SLIM FIT LPSWVNMO:OLIVE:38:SOLID:LONG PANTS</t>
  </si>
  <si>
    <t>DENIM BOTTOM</t>
  </si>
  <si>
    <t>DEVARAKA JAYA MANUNGGAL PT.-8178</t>
  </si>
  <si>
    <t>DNMPED1</t>
  </si>
  <si>
    <t>DENIM LONG PANTS CONTRAST STITCHING DNMPED1:LIGHT DENIM:30:SOLID:DENIM LONG PANTS</t>
  </si>
  <si>
    <t>DENIM LONG PANTS CONTRAST STITCHING DNMPED1:LIGHT DENIM:32:SOLID:DENIM LONG PANTS</t>
  </si>
  <si>
    <t>DENIM LONG PANTS CONTRAST STITCHING DNMPED1:LIGHT DENIM:34:SOLID:DENIM LONG PANTS</t>
  </si>
  <si>
    <t>DENIM LONG PANTS CONTRAST STITCHING DNMPED1:LIGHT DENIM:36:SOLID:DENIM LONG PANTS</t>
  </si>
  <si>
    <t>DENIM LONG PANTS CONTRAST STITCHING DNMPED1:LIGHT DENIM:38:SOLID:DENIM LONG PANTS</t>
  </si>
  <si>
    <t>DNMPDARK1</t>
  </si>
  <si>
    <t>DENIM LONG PANTS CONTRAST STITCHING DNMPDARK1:DARK DENIM:30:SOLID:DENIM LONG PANTS</t>
  </si>
  <si>
    <t>DENIM LONG PANTS CONTRAST STITCHING DNMPDARK1:DARK DENIM:32:SOLID:DENIM LONG PANTS</t>
  </si>
  <si>
    <t>DENIM LONG PANTS CONTRAST STITCHING DNMPDARK1:DARK DENIM:34:SOLID:DENIM LONG PANTS</t>
  </si>
  <si>
    <t>DENIM LONG PANTS CONTRAST STITCHING DNMPDARK1:DARK DENIM:36:SOLID:DENIM LONG PANTS</t>
  </si>
  <si>
    <t>DENIM LONG PANTS CONTRAST STITCHING DNMPDARK1:DARK DENIM:38:SOLID:DENIM LONG PANTS</t>
  </si>
  <si>
    <t>DNMPBLAC1</t>
  </si>
  <si>
    <t>DENIM LONG PANTS DNMPBLAC1:BLACK:30:SOLID:DENIM LONG PANTS</t>
  </si>
  <si>
    <t>DENIM LONG PANTS DNMPBLAC1:BLACK:32:SOLID:DENIM LONG PANTS</t>
  </si>
  <si>
    <t>DENIM LONG PANTS DNMPBLAC1:BLACK:34:SOLID:DENIM LONG PANTS</t>
  </si>
  <si>
    <t>DENIM LONG PANTS DNMPBLAC1:BLACK:36:SOLID:DENIM LONG PANTS</t>
  </si>
  <si>
    <t>DENIM LONG PANTS DNMPBLAC1:BLACK:38:SOLID:DENIM LONG PANTS</t>
  </si>
  <si>
    <t>SS T-SHIRT GRAPHIC PRINT SRLKVINT:CLASSIC GREEN:M:GRAPHIC:SS T-SHIRT</t>
  </si>
  <si>
    <t>SS T-SHIRT GRAPHIC PRINT SRLKVINT:CLASSIC GREEN:L:GRAPHIC:SS T-SHIRT</t>
  </si>
  <si>
    <t>SS T-SHIRT GRAPHIC PRINT SRLKVINT:CLASSIC GREEN:XL:GRAPHIC:SS T-SHIRT</t>
  </si>
  <si>
    <t>SRKALWAY</t>
  </si>
  <si>
    <t>SS T-SHIRT GRAPHIC PRINT SRKALWAY:MISTY LIGHT GREY:S:GRAPHIC:SS T-SHIRT</t>
  </si>
  <si>
    <t>SS T-SHIRT GRAPHIC PRINT SRKALWAY:MISTY LIGHT GREY:M:GRAPHIC:SS T-SHIRT</t>
  </si>
  <si>
    <t>SS T-SHIRT GRAPHIC PRINT SRKALWAY:MISTY LIGHT GREY:L:GRAPHIC:SS T-SHIRT</t>
  </si>
  <si>
    <t>SS T-SHIRT GRAPHIC PRINT SRKALWAY:MISTY LIGHT GREY:XL:GRAPHIC:SS T-SHIRT</t>
  </si>
  <si>
    <t>SRKUNLMT</t>
  </si>
  <si>
    <t>SS T-SHIRT GRAPHIC PRINT SRKUNLMT:BLACK:S:GRAPHIC:SS T-SHIRT</t>
  </si>
  <si>
    <t>SS T-SHIRT GRAPHIC PRINT SRKUNLMT:BLACK:M:GRAPHIC:SS T-SHIRT</t>
  </si>
  <si>
    <t>SS T-SHIRT GRAPHIC PRINT SRKUNLMT:BLACK:L:GRAPHIC:SS T-SHIRT</t>
  </si>
  <si>
    <t>SS T-SHIRT GRAPHIC PRINT SRKUNLMT:BLACK:XL:GRAPHIC:SS T-SHIRT</t>
  </si>
  <si>
    <t>SRKBASKT</t>
  </si>
  <si>
    <t>SS T-SHIRT GRAPHIC PRINT SRKBASKT:MAROON:S:GRAPHIC:SS T-SHIRT</t>
  </si>
  <si>
    <t>SS T-SHIRT GRAPHIC PRINT SRKBASKT:MAROON:M:GRAPHIC:SS T-SHIRT</t>
  </si>
  <si>
    <t>SS T-SHIRT GRAPHIC PRINT SRKBASKT:MAROON:L:GRAPHIC:SS T-SHIRT</t>
  </si>
  <si>
    <t>SS T-SHIRT GRAPHIC PRINT SRKBASKT:MAROON:XL:GRAPHIC:SS T-SHIRT</t>
  </si>
  <si>
    <t>SRKCOOL</t>
  </si>
  <si>
    <t>SS T-SHIRT GRAPHIC PRINT SRKCOOL:MISTY LIGHT GREY:S:GRAPHIC:SS T-SHIRT</t>
  </si>
  <si>
    <t>SS T-SHIRT GRAPHIC PRINT SRKCOOL:MISTY LIGHT GREY:M:GRAPHIC:SS T-SHIRT</t>
  </si>
  <si>
    <t>SS T-SHIRT GRAPHIC PRINT SRKCOOL:MISTY LIGHT GREY:L:GRAPHIC:SS T-SHIRT</t>
  </si>
  <si>
    <t>SS T-SHIRT GRAPHIC PRINT SRKCOOL:MISTY LIGHT GREY:XL:GRAPHIC:SS T-SHIRT</t>
  </si>
  <si>
    <t>SRKRUN</t>
  </si>
  <si>
    <t>SS T-SHIRT GRAPHIC PRINT SRKRUN:MISTY DARK GREY:S:GRAPHIC:SS T-SHIRT</t>
  </si>
  <si>
    <t>SS T-SHIRT GRAPHIC PRINT SRKRUN:MISTY DARK GREY:M:GRAPHIC:SS T-SHIRT</t>
  </si>
  <si>
    <t>SS T-SHIRT GRAPHIC PRINT SRKRUN:MISTY DARK GREY:L:GRAPHIC:SS T-SHIRT</t>
  </si>
  <si>
    <t>SS T-SHIRT GRAPHIC PRINT SRKRUN:MISTY DARK GREY:XL:GRAPHIC:SS T-SHIRT</t>
  </si>
  <si>
    <t>SRKBBALL</t>
  </si>
  <si>
    <t>SS T-SHIRT GRAPHIC PRINT SRKBBALL:NAVY BLUE:S:GRAPHIC:SS T-SHIRT</t>
  </si>
  <si>
    <t>SS T-SHIRT GRAPHIC PRINT SRKBBALL:NAVY BLUE:M:GRAPHIC:SS T-SHIRT</t>
  </si>
  <si>
    <t>SS T-SHIRT GRAPHIC PRINT SRKBBALL:NAVY BLUE:L:GRAPHIC:SS T-SHIRT</t>
  </si>
  <si>
    <t>SS T-SHIRT GRAPHIC PRINT SRKBBALL:NAVY BLUE:XL:GRAPHIC:SS T-SHIRT</t>
  </si>
  <si>
    <t>JHRSLDG</t>
  </si>
  <si>
    <t>JACKET HOODIE KNIT PE JHRSLDG:MISTY LIGHT GREY:S:SOLID:JACKET</t>
  </si>
  <si>
    <t>JACKET HOODIE KNIT PE JHRSLDG:MISTY LIGHT GREY:M:SOLID:JACKET</t>
  </si>
  <si>
    <t>JACKET HOODIE KNIT PE JHRSLDG:MISTY LIGHT GREY:L:SOLID:JACKET</t>
  </si>
  <si>
    <t>JACKET HOODIE KNIT PE JHRSLDG:MISTY LIGHT GREY:XL:SOLID:JACKET</t>
  </si>
  <si>
    <t>JHRSLDB</t>
  </si>
  <si>
    <t>JACKET HOODIE KNIT PE JHRSLDB:BLACK:S:SOLID:JACKET</t>
  </si>
  <si>
    <t>JACKET HOODIE KNIT PE JHRSLDB:BLACK:M:SOLID:JACKET</t>
  </si>
  <si>
    <t>JACKET HOODIE KNIT PE JHRSLDB:BLACK:L:SOLID:JACKET</t>
  </si>
  <si>
    <t>JACKET HOODIE KNIT PE JHRSLDB:BLACK:XL:SOLID:JACKET</t>
  </si>
  <si>
    <t>JHRSLDN</t>
  </si>
  <si>
    <t>JACKET HOODIE KNIT PE JHRSLDN:NAVY BLUE:S:SOLID:JACKET</t>
  </si>
  <si>
    <t>JACKET HOODIE KNIT PE JHRSLDN:NAVY BLUE:M:SOLID:JACKET</t>
  </si>
  <si>
    <t>JACKET HOODIE KNIT PE JHRSLDN:NAVY BLUE:L:SOLID:JACKET</t>
  </si>
  <si>
    <t>JACKET HOODIE KNIT PE JHRSLDN:NAVY BLUE:XL:SOLID:JACKET</t>
  </si>
  <si>
    <t>SPKNITMN</t>
  </si>
  <si>
    <t>SHORT PANTS KNIT WITH CONTRAST WAISTBAND SPKNITMN:NAVY BLUE:S:SOLID:SHORT PANTS</t>
  </si>
  <si>
    <t>SHORT PANTS KNIT WITH CONTRAST WAISTBAND SPKNITMN:NAVY BLUE:M:SOLID:SHORT PANTS</t>
  </si>
  <si>
    <t>SHORT PANTS KNIT WITH CONTRAST WAISTBAND SPKNITMN:NAVY BLUE:L:SOLID:SHORT PANTS</t>
  </si>
  <si>
    <t>SHORT PANTS KNIT WITH CONTRAST WAISTBAND SPKNITMN:NAVY BLUE:XL:SOLID:SHORT PANTS</t>
  </si>
  <si>
    <t>SPKNITMG</t>
  </si>
  <si>
    <t>SHORT PANTS KNIT WITH CONTRAST WAISTBAND SPKNITMG:MISTY LIGHT GREY:S:SOLID:SHORT PANTS</t>
  </si>
  <si>
    <t>SHORT PANTS KNIT WITH CONTRAST WAISTBAND SPKNITMG:MISTY LIGHT GREY:M:SOLID:SHORT PANTS</t>
  </si>
  <si>
    <t>SHORT PANTS KNIT WITH CONTRAST WAISTBAND SPKNITMG:MISTY LIGHT GREY:L:SOLID:SHORT PANTS</t>
  </si>
  <si>
    <t>SHORT PANTS KNIT WITH CONTRAST WAISTBAND SPKNITMG:MISTY LIGHT GREY:XL:SOLID:SHORT PANTS</t>
  </si>
  <si>
    <t>SSRSSLDB</t>
  </si>
  <si>
    <t>SS SHIRT REGULAR SOLID SSRSSLDB:BRILLIANT BLUE:S:SOLID:SS SHIRT</t>
  </si>
  <si>
    <t>SS SHIRT REGULAR SOLID SSRSSLDB:BRILLIANT BLUE:M:SOLID:SS SHIRT</t>
  </si>
  <si>
    <t>SS SHIRT REGULAR SOLID SSRSSLDB:BRILLIANT BLUE:L:SOLID:SS SHIRT</t>
  </si>
  <si>
    <t>SS SHIRT REGULAR SOLID SSRSSLDB:BRILLIANT BLUE:XL:SOLID:SS SHIRT</t>
  </si>
  <si>
    <t>LSRSCHM1</t>
  </si>
  <si>
    <t>LS SHIRT REGULAR MEDIUM CHECKS LSRSCHM1:INDIGO BLUE:S:CHECKS:LS SHIRT</t>
  </si>
  <si>
    <t>LS SHIRT REGULAR MEDIUM CHECKS LSRSCHM1:INDIGO BLUE:M:CHECKS:LS SHIRT</t>
  </si>
  <si>
    <t>LS SHIRT REGULAR MEDIUM CHECKS LSRSCHM1:INDIGO BLUE:L:CHECKS:LS SHIRT</t>
  </si>
  <si>
    <t>LS SHIRT REGULAR MEDIUM CHECKS LSRSCHM1:INDIGO BLUE:XL:CHECKS:LS SHIRT</t>
  </si>
  <si>
    <t>SSRSCHM2</t>
  </si>
  <si>
    <t>SS SHIRT REGULAR MEDIUM CHECKS SSRSCHM2:FOREST GREEN:S:CHECKS:SS SHIRT</t>
  </si>
  <si>
    <t>SS SHIRT REGULAR MEDIUM CHECKS SSRSCHM2:FOREST GREEN:M:CHECKS:SS SHIRT</t>
  </si>
  <si>
    <t>SS SHIRT REGULAR MEDIUM CHECKS SSRSCHM2:FOREST GREEN:L:CHECKS:SS SHIRT</t>
  </si>
  <si>
    <t>SS SHIRT REGULAR MEDIUM CHECKS SSRSCHM2:FOREST GREEN:XL:CHECKS:SS SHIRT</t>
  </si>
  <si>
    <t>LSRSCHMK</t>
  </si>
  <si>
    <t>LS SHIRT REGULAR MEDIUM CHECKS LSRSCHMK:BLACK:S:CHECKS:LS SHIRT</t>
  </si>
  <si>
    <t>LS SHIRT REGULAR MEDIUM CHECKS LSRSCHMK:BLACK:M:CHECKS:LS SHIRT</t>
  </si>
  <si>
    <t>LS SHIRT REGULAR MEDIUM CHECKS LSRSCHMK:BLACK:L:CHECKS:LS SHIRT</t>
  </si>
  <si>
    <t>LS SHIRT REGULAR MEDIUM CHECKS LSRSCHMK:BLACK:XL:CHECKS:LS SHIRT</t>
  </si>
  <si>
    <t>PLACB2TN</t>
  </si>
  <si>
    <t>SS POLO SHIRT STRIPE YD PLACB2TN:NAVY BLUE:S:STRIPES:SS POLO SHIRT</t>
  </si>
  <si>
    <t>SS POLO SHIRT STRIPE YD PLACB2TN:NAVY BLUE:M:STRIPES:SS POLO SHIRT</t>
  </si>
  <si>
    <t>SS POLO SHIRT STRIPE YD PLACB2TN:NAVY BLUE:L:STRIPES:SS POLO SHIRT</t>
  </si>
  <si>
    <t>SS POLO SHIRT STRIPE YD PLACB2TN:NAVY BLUE:XL:STRIPES:SS POLO SHIRT</t>
  </si>
  <si>
    <t>PLACB2TM</t>
  </si>
  <si>
    <t>SS POLO SHIRT STRIPE YD PLACB2TM:MAROON:S:STRIPES:SS POLO SHIRT</t>
  </si>
  <si>
    <t>SS POLO SHIRT STRIPE YD PLACB2TM:MAROON:M:STRIPES:SS POLO SHIRT</t>
  </si>
  <si>
    <t>SS POLO SHIRT STRIPE YD PLACB2TM:MAROON:L:STRIPES:SS POLO SHIRT</t>
  </si>
  <si>
    <t>SS POLO SHIRT STRIPE YD PLACB2TM:MAROON:XL:STRIPES:SS POLO SHIRT</t>
  </si>
  <si>
    <t>PLBCSTRM</t>
  </si>
  <si>
    <t>SS POLO SHIRT STRIPE YD PLBCSTRM:MAROON:S:STRIPES:SS POLO SHIRT</t>
  </si>
  <si>
    <t>SS POLO SHIRT STRIPE YD PLBCSTRM:MAROON:M:STRIPES:SS POLO SHIRT</t>
  </si>
  <si>
    <t>SS POLO SHIRT STRIPE YD PLBCSTRM:MAROON:L:STRIPES:SS POLO SHIRT</t>
  </si>
  <si>
    <t>SS POLO SHIRT STRIPE YD PLBCSTRM:MAROON:XL:STRIPES:SS POLO SHIRT</t>
  </si>
  <si>
    <t>PLBCSTRN</t>
  </si>
  <si>
    <t>SS POLO SHIRT STRIPE YD PLBCSTRN:NAVY BLUE:S:STRIPES:SS POLO SHIRT</t>
  </si>
  <si>
    <t>SS POLO SHIRT STRIPE YD PLBCSTRN:NAVY BLUE:M:STRIPES:SS POLO SHIRT</t>
  </si>
  <si>
    <t>SS POLO SHIRT STRIPE YD PLBCSTRN:NAVY BLUE:L:STRIPES:SS POLO SHIRT</t>
  </si>
  <si>
    <t>SS POLO SHIRT STRIPE YD PLBCSTRN:NAVY BLUE:XL:STRIPES:SS POLO SHIRT</t>
  </si>
  <si>
    <t>PLBCSTRG</t>
  </si>
  <si>
    <t>SS POLO SHIRT STRIPE YD PLBCSTRG:MISTY DARK GREY:S:STRIPES:SS POLO SHIRT</t>
  </si>
  <si>
    <t>SS POLO SHIRT STRIPE YD PLBCSTRG:MISTY DARK GREY:M:STRIPES:SS POLO SHIRT</t>
  </si>
  <si>
    <t>SS POLO SHIRT STRIPE YD PLBCSTRG:MISTY DARK GREY:L:STRIPES:SS POLO SHIRT</t>
  </si>
  <si>
    <t>SS POLO SHIRT STRIPE YD PLBCSTRG:MISTY DARK GREY:XL:STRIPES:SS POLO SHIRT</t>
  </si>
  <si>
    <t>PLBDSTRN</t>
  </si>
  <si>
    <t>SS POLO SHIRT SLEEVE STRIPE YD PLBDSTRN:NAVY BLUE:S:STRIPES:SS POLO SHIRT</t>
  </si>
  <si>
    <t>SS POLO SHIRT SLEEVE STRIPE YD PLBDSTRN:NAVY BLUE:M:STRIPES:SS POLO SHIRT</t>
  </si>
  <si>
    <t>SS POLO SHIRT SLEEVE STRIPE YD PLBDSTRN:NAVY BLUE:L:STRIPES:SS POLO SHIRT</t>
  </si>
  <si>
    <t>SS POLO SHIRT SLEEVE STRIPE YD PLBDSTRN:NAVY BLUE:XL:STRIPES:SS POLO SHIRT</t>
  </si>
  <si>
    <t>PLBDSTRG</t>
  </si>
  <si>
    <t>SS POLO SHIRT SLEEVE STRIPE YD PLBDSTRG:FROST GREY:S:STRIPES:SS POLO SHIRT</t>
  </si>
  <si>
    <t>SS POLO SHIRT SLEEVE STRIPE YD PLBDSTRG:FROST GREY:M:STRIPES:SS POLO SHIRT</t>
  </si>
  <si>
    <t>SS POLO SHIRT SLEEVE STRIPE YD PLBDSTRG:FROST GREY:L:STRIPES:SS POLO SHIRT</t>
  </si>
  <si>
    <t>SS POLO SHIRT SLEEVE STRIPE YD PLBDSTRG:FROST GREY:XL:STRIPES:SS POLO SHIRT</t>
  </si>
  <si>
    <t>PLBABSTN</t>
  </si>
  <si>
    <t>SS POLO SHIRT SLEEVE STRIPE YD PLBABSTN:NAVY BLUE:S:STRIPES:SS POLO SHIRT</t>
  </si>
  <si>
    <t>SS POLO SHIRT SLEEVE STRIPE YD PLBABSTN:NAVY BLUE:M:STRIPES:SS POLO SHIRT</t>
  </si>
  <si>
    <t>SS POLO SHIRT SLEEVE STRIPE YD PLBABSTN:NAVY BLUE:L:STRIPES:SS POLO SHIRT</t>
  </si>
  <si>
    <t>SS POLO SHIRT SLEEVE STRIPE YD PLBABSTN:NAVY BLUE:XL:STRIPES:SS POLO SHIRT</t>
  </si>
  <si>
    <t>PLBABSTG</t>
  </si>
  <si>
    <t>SS POLO SHIRT SLEEVE STRIPE YD PLBABSTG:FROST GREY:S:STRIPES:SS POLO SHIRT</t>
  </si>
  <si>
    <t>SS POLO SHIRT SLEEVE STRIPE YD PLBABSTG:FROST GREY:M:STRIPES:SS POLO SHIRT</t>
  </si>
  <si>
    <t>SS POLO SHIRT SLEEVE STRIPE YD PLBABSTG:FROST GREY:L:STRIPES:SS POLO SHIRT</t>
  </si>
  <si>
    <t>SS POLO SHIRT SLEEVE STRIPE YD PLBABSTG:FROST GREY:XL:STRIPES:SS POLO SHIRT</t>
  </si>
  <si>
    <t>SRBSTRPM</t>
  </si>
  <si>
    <t>SS T-SHIRT STRIPE YD SRBSTRPM:MAROON:S:STRIPES:SS T-SHIRT</t>
  </si>
  <si>
    <t>SS T-SHIRT STRIPE YD SRBSTRPM:MAROON:M:STRIPES:SS T-SHIRT</t>
  </si>
  <si>
    <t>SS T-SHIRT STRIPE YD SRBSTRPM:MAROON:L:STRIPES:SS T-SHIRT</t>
  </si>
  <si>
    <t>SS T-SHIRT STRIPE YD SRBSTRPM:MAROON:XL:STRIPES:SS T-SHIRT</t>
  </si>
  <si>
    <t>SRBSTRPN</t>
  </si>
  <si>
    <t>SS T-SHIRT STRIPE YD SRBSTRPN:NAVY BLUE:S:STRIPES:SS T-SHIRT</t>
  </si>
  <si>
    <t>SS T-SHIRT STRIPE YD SRBSTRPN:NAVY BLUE:M:STRIPES:SS T-SHIRT</t>
  </si>
  <si>
    <t>SS T-SHIRT STRIPE YD SRBSTRPN:NAVY BLUE:L:STRIPES:SS T-SHIRT</t>
  </si>
  <si>
    <t>SS T-SHIRT STRIPE YD SRBSTRPN:NAVY BLUE:XL:STRIPES:SS T-SHIRT</t>
  </si>
  <si>
    <t>LSWHODMG</t>
  </si>
  <si>
    <t>SWEATER HOODIE LSWHODMG:MISTY LIGHT GREY:S:SOLID:SWEATER</t>
  </si>
  <si>
    <t>SWEATER HOODIE LSWHODMG:MISTY LIGHT GREY:M:SOLID:SWEATER</t>
  </si>
  <si>
    <t>SWEATER HOODIE LSWHODMG:MISTY LIGHT GREY:L:SOLID:SWEATER</t>
  </si>
  <si>
    <t>SWEATER HOODIE LSWHODMG:MISTY LIGHT GREY:XL:SOLID:SWEATER</t>
  </si>
  <si>
    <t>LSWHODMN</t>
  </si>
  <si>
    <t>SWEATER HOODIE LSWHODMN:NAVY BLUE:S:SOLID:SWEATER</t>
  </si>
  <si>
    <t>SWEATER HOODIE LSWHODMN:NAVY BLUE:M:SOLID:SWEATER</t>
  </si>
  <si>
    <t>SWEATER HOODIE LSWHODMN:NAVY BLUE:L:SOLID:SWEATER</t>
  </si>
  <si>
    <t>SWEATER HOODIE LSWHODMN:NAVY BLUE:XL:SOLID:SWEATER</t>
  </si>
  <si>
    <t>KITSMBSR</t>
  </si>
  <si>
    <t>SS T-SHIRT SOLID PE KITSMBSR:RUSTIC BROWN:S:SOLID:SS T-SHIRT</t>
  </si>
  <si>
    <t>SS T-SHIRT SOLID PE KITSMBSR:RUSTIC BROWN:M:SOLID:SS T-SHIRT</t>
  </si>
  <si>
    <t>SS T-SHIRT SOLID PE KITSMBSR:RUSTIC BROWN:L:SOLID:SS T-SHIRT</t>
  </si>
  <si>
    <t>SS T-SHIRT SOLID PE KITSMBSR:RUSTIC BROWN:XL:SOLID:SS T-SHIRT</t>
  </si>
  <si>
    <t>SRKCOST</t>
  </si>
  <si>
    <t>SS T-SHIRT GRAPHIC PRINT SRKCOST:MISTY LIGHT GREY:S:GRAPHIC:SS T-SHIRT</t>
  </si>
  <si>
    <t>SS T-SHIRT GRAPHIC PRINT SRKCOST:MISTY LIGHT GREY:M:GRAPHIC:SS T-SHIRT</t>
  </si>
  <si>
    <t>SS T-SHIRT GRAPHIC PRINT SRKCOST:MISTY LIGHT GREY:L:GRAPHIC:SS T-SHIRT</t>
  </si>
  <si>
    <t>SS T-SHIRT GRAPHIC PRINT SRKCOST:MISTY LIGHT GREY:XL:GRAPHIC:SS T-SHIRT</t>
  </si>
  <si>
    <t>SRKGAIN</t>
  </si>
  <si>
    <t>SS T-SHIRT GRAPHIC PRINT SRKGAIN:OLIVE:S:GRAPHIC:SS T-SHIRT</t>
  </si>
  <si>
    <t>SS T-SHIRT GRAPHIC PRINT SRKGAIN:OLIVE:M:GRAPHIC:SS T-SHIRT</t>
  </si>
  <si>
    <t>SS T-SHIRT GRAPHIC PRINT SRKGAIN:OLIVE:L:GRAPHIC:SS T-SHIRT</t>
  </si>
  <si>
    <t>SS T-SHIRT GRAPHIC PRINT SRKGAIN:OLIVE:XL:GRAPHIC:SS T-SHIRT</t>
  </si>
  <si>
    <t>SRKPEACE</t>
  </si>
  <si>
    <t>SS T-SHIRT GRAPHIC PRINT SRKPEACE:BRONZE:S:GRAPHIC:SS T-SHIRT</t>
  </si>
  <si>
    <t>SS T-SHIRT GRAPHIC PRINT SRKPEACE:BRONZE:M:GRAPHIC:SS T-SHIRT</t>
  </si>
  <si>
    <t>SS T-SHIRT GRAPHIC PRINT SRKPEACE:BRONZE:L:GRAPHIC:SS T-SHIRT</t>
  </si>
  <si>
    <t>SS T-SHIRT GRAPHIC PRINT SRKPEACE:BRONZE:XL:GRAPHIC:SS T-SHIRT</t>
  </si>
  <si>
    <t>LPRCARMF</t>
  </si>
  <si>
    <t>LONG PANTS CARGO WOVEN LPRCARMF:FROST GREY:30:SOLID:LONG PANTS</t>
  </si>
  <si>
    <t>LONG PANTS CARGO WOVEN LPRCARMF:FROST GREY:32:SOLID:LONG PANTS</t>
  </si>
  <si>
    <t>LONG PANTS CARGO WOVEN LPRCARMF:FROST GREY:34:SOLID:LONG PANTS</t>
  </si>
  <si>
    <t>LONG PANTS CARGO WOVEN LPRCARMF:FROST GREY:36:SOLID:LONG PANTS</t>
  </si>
  <si>
    <t>LONG PANTS CARGO WOVEN LPRCARMF:FROST GREY:38:SOLID:LONG PANTS</t>
  </si>
  <si>
    <t>LPRCARMB</t>
  </si>
  <si>
    <t>LONG PANTS CARGO WOVEN LPRCARMB:BLACK:30:SOLID:LONG PANTS</t>
  </si>
  <si>
    <t>LONG PANTS CARGO WOVEN LPRCARMB:BLACK:32:SOLID:LONG PANTS</t>
  </si>
  <si>
    <t>LONG PANTS CARGO WOVEN LPRCARMB:BLACK:34:SOLID:LONG PANTS</t>
  </si>
  <si>
    <t>LONG PANTS CARGO WOVEN LPRCARMB:BLACK:36:SOLID:LONG PANTS</t>
  </si>
  <si>
    <t>LONG PANTS CARGO WOVEN LPRCARMB:BLACK:38:SOLID:LONG PANTS</t>
  </si>
  <si>
    <t>SBERMRMO</t>
  </si>
  <si>
    <t>SHORT PANTS WOVEN REGULAR FIT SBERMRMO:OLIVE:30:SOLID:SHORT PANTS</t>
  </si>
  <si>
    <t>SHORT PANTS WOVEN REGULAR FIT SBERMRMO:OLIVE:32:SOLID:SHORT PANTS</t>
  </si>
  <si>
    <t>SHORT PANTS WOVEN REGULAR FIT SBERMRMO:OLIVE:34:SOLID:SHORT PANTS</t>
  </si>
  <si>
    <t>SHORT PANTS WOVEN REGULAR FIT SBERMRMO:OLIVE:36:SOLID:SHORT PANTS</t>
  </si>
  <si>
    <t>SHORT PANTS WOVEN REGULAR FIT SBERMRMO:OLIVE:38:SOLID:SHORT PANTS</t>
  </si>
  <si>
    <t>SCARGOMF</t>
  </si>
  <si>
    <t>SHORT PANTS CARGO WOVEN SCARGOMF:FROST GREY:30:SOLID:SHORT PANTS</t>
  </si>
  <si>
    <t>SHORT PANTS CARGO WOVEN SCARGOMF:FROST GREY:32:SOLID:SHORT PANTS</t>
  </si>
  <si>
    <t>SHORT PANTS CARGO WOVEN SCARGOMF:FROST GREY:34:SOLID:SHORT PANTS</t>
  </si>
  <si>
    <t>SHORT PANTS CARGO WOVEN SCARGOMF:FROST GREY:36:SOLID:SHORT PANTS</t>
  </si>
  <si>
    <t>SHORT PANTS CARGO WOVEN SCARGOMF:FROST GREY:38:SOLID:SHORT PANTS</t>
  </si>
  <si>
    <t>SCARGOMN</t>
  </si>
  <si>
    <t>SHORT PANTS CARGO WOVEN SCARGOMN:NAVY BLUE:30:SOLID:SHORT PANTS</t>
  </si>
  <si>
    <t>SHORT PANTS CARGO WOVEN SCARGOMN:NAVY BLUE:32:SOLID:SHORT PANTS</t>
  </si>
  <si>
    <t>SHORT PANTS CARGO WOVEN SCARGOMN:NAVY BLUE:34:SOLID:SHORT PANTS</t>
  </si>
  <si>
    <t>SHORT PANTS CARGO WOVEN SCARGOMN:NAVY BLUE:36:SOLID:SHORT PANTS</t>
  </si>
  <si>
    <t>SHORT PANTS CARGO WOVEN SCARGOMN:NAVY BLUE:38:SOLID:SHORT PANTS</t>
  </si>
  <si>
    <t>SCARGOMK</t>
  </si>
  <si>
    <t>SHORT PANTS CARGO WOVEN SCARGOMK:KHAKI:30:SOLID:SHORT PANTS</t>
  </si>
  <si>
    <t>SHORT PANTS CARGO WOVEN SCARGOMK:KHAKI:32:SOLID:SHORT PANTS</t>
  </si>
  <si>
    <t>SHORT PANTS CARGO WOVEN SCARGOMK:KHAKI:34:SOLID:SHORT PANTS</t>
  </si>
  <si>
    <t>SHORT PANTS CARGO WOVEN SCARGOMK:KHAKI:36:SOLID:SHORT PANTS</t>
  </si>
  <si>
    <t>SHORT PANTS CARGO WOVEN SCARGOMK:KHAKI:38:SOLID:SHORT PANTS</t>
  </si>
  <si>
    <t>PERCENTAGE</t>
  </si>
  <si>
    <t>2023 H2 (include KI/RO Continue) D80</t>
  </si>
  <si>
    <t>2024 H1 OUTERWEAR D80</t>
  </si>
  <si>
    <t>2024 H1 T SHIRT D80</t>
  </si>
  <si>
    <t>2024  H1 (Exclude KI) D80</t>
  </si>
  <si>
    <t>2024 H1 SHORT KNIT PANTS D80</t>
  </si>
  <si>
    <t>2024 Q1 SHIRT DEN WOVEN PANTS (Exclude KI) D80</t>
  </si>
  <si>
    <t>2024 H1 All Items KI/RO Continue 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</si>
</sst>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_);[Red]\!\(#,##0\!\)"/>
  </numFmts>
  <fonts count="3" x14ac:knownFonts="1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65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zoomScale="86" workbookViewId="0">
      <selection activeCell="C2" sqref="C2"/>
    </sheetView>
  </sheetViews>
  <sheetFormatPr defaultColWidth="10" defaultRowHeight="14.5" x14ac:dyDescent="0.35"/>
  <cols>
    <col min="1" max="1" width="35.26953125" bestFit="1" customWidth="1"/>
    <col min="2" max="2" width="19.453125" bestFit="1" customWidth="1"/>
    <col min="3" max="3" width="16.6328125" bestFit="1" customWidth="1"/>
    <col min="4" max="4" width="13.6328125" bestFit="1" customWidth="1"/>
    <col min="5" max="5" width="15.81640625" bestFit="1" customWidth="1"/>
    <col min="6" max="6" width="16.90625" bestFit="1" customWidth="1"/>
    <col min="7" max="7" width="15.81640625" bestFit="1" customWidth="1"/>
    <col min="8" max="8" width="33.1796875" bestFit="1" customWidth="1"/>
    <col min="9" max="9" width="15.453125" bestFit="1" customWidth="1"/>
    <col min="10" max="10" width="12.81640625" bestFit="1" customWidth="1"/>
    <col min="11" max="11" width="16" bestFit="1" customWidth="1"/>
    <col min="12" max="12" width="92.36328125" bestFit="1" customWidth="1"/>
    <col min="13" max="13" width="23.54296875" bestFit="1" customWidth="1"/>
    <col min="14" max="14" width="16" bestFit="1" customWidth="1"/>
    <col min="15" max="15" width="22.54296875" bestFit="1" customWidth="1"/>
    <col min="16" max="16" width="22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741</v>
      </c>
      <c r="B2" s="3">
        <v>46086</v>
      </c>
      <c r="C2" s="3">
        <v>46092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10612394</v>
      </c>
      <c r="K2" s="4" t="s">
        <v>574</v>
      </c>
      <c r="L2" s="4" t="s">
        <v>575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741</v>
      </c>
      <c r="B3" s="3">
        <f>B2</f>
        <v>46086</v>
      </c>
      <c r="C3" s="3">
        <f>C2</f>
        <v>46092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10612401</v>
      </c>
      <c r="K3" s="4" t="s">
        <v>574</v>
      </c>
      <c r="L3" s="4" t="s">
        <v>576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741</v>
      </c>
      <c r="B4" s="3">
        <f t="shared" ref="B4:B67" si="1">B3</f>
        <v>46086</v>
      </c>
      <c r="C4" s="3">
        <f t="shared" ref="C4:C67" si="2">C3</f>
        <v>46092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10612410</v>
      </c>
      <c r="K4" s="4" t="s">
        <v>574</v>
      </c>
      <c r="L4" s="4" t="s">
        <v>577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741</v>
      </c>
      <c r="B5" s="3">
        <f t="shared" si="1"/>
        <v>46086</v>
      </c>
      <c r="C5" s="3">
        <f t="shared" si="2"/>
        <v>46092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10612429</v>
      </c>
      <c r="K5" s="4" t="s">
        <v>574</v>
      </c>
      <c r="L5" s="4" t="s">
        <v>578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741</v>
      </c>
      <c r="B6" s="3">
        <f t="shared" si="1"/>
        <v>46086</v>
      </c>
      <c r="C6" s="3">
        <f t="shared" si="2"/>
        <v>46092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10612438</v>
      </c>
      <c r="K6" s="4" t="s">
        <v>579</v>
      </c>
      <c r="L6" s="4" t="s">
        <v>580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741</v>
      </c>
      <c r="B7" s="3">
        <f t="shared" si="1"/>
        <v>46086</v>
      </c>
      <c r="C7" s="3">
        <f t="shared" si="2"/>
        <v>46092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10612447</v>
      </c>
      <c r="K7" s="4" t="s">
        <v>579</v>
      </c>
      <c r="L7" s="4" t="s">
        <v>581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741</v>
      </c>
      <c r="B8" s="3">
        <f t="shared" si="1"/>
        <v>46086</v>
      </c>
      <c r="C8" s="3">
        <f t="shared" si="2"/>
        <v>46092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10612456</v>
      </c>
      <c r="K8" s="4" t="s">
        <v>579</v>
      </c>
      <c r="L8" s="4" t="s">
        <v>582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741</v>
      </c>
      <c r="B9" s="3">
        <f t="shared" si="1"/>
        <v>46086</v>
      </c>
      <c r="C9" s="3">
        <f t="shared" si="2"/>
        <v>46092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10612465</v>
      </c>
      <c r="K9" s="4" t="s">
        <v>579</v>
      </c>
      <c r="L9" s="4" t="s">
        <v>583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741</v>
      </c>
      <c r="B10" s="3">
        <f t="shared" si="1"/>
        <v>46086</v>
      </c>
      <c r="C10" s="3">
        <f t="shared" si="2"/>
        <v>46092</v>
      </c>
      <c r="D10" s="2">
        <v>3342</v>
      </c>
      <c r="E10" s="2">
        <v>333</v>
      </c>
      <c r="F10" s="2">
        <v>3</v>
      </c>
      <c r="G10" s="4" t="s">
        <v>126</v>
      </c>
      <c r="H10" s="4" t="s">
        <v>127</v>
      </c>
      <c r="I10" s="4" t="s">
        <v>18</v>
      </c>
      <c r="J10" s="4">
        <v>10612474</v>
      </c>
      <c r="K10" s="4" t="s">
        <v>584</v>
      </c>
      <c r="L10" s="4" t="s">
        <v>585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741</v>
      </c>
      <c r="B11" s="3">
        <f t="shared" si="1"/>
        <v>46086</v>
      </c>
      <c r="C11" s="3">
        <f t="shared" si="2"/>
        <v>46092</v>
      </c>
      <c r="D11" s="2">
        <v>3342</v>
      </c>
      <c r="E11" s="2">
        <v>333</v>
      </c>
      <c r="F11" s="2">
        <v>3</v>
      </c>
      <c r="G11" s="4" t="s">
        <v>126</v>
      </c>
      <c r="H11" s="4" t="s">
        <v>127</v>
      </c>
      <c r="I11" s="4" t="s">
        <v>18</v>
      </c>
      <c r="J11" s="4">
        <v>10612483</v>
      </c>
      <c r="K11" s="4" t="s">
        <v>584</v>
      </c>
      <c r="L11" s="4" t="s">
        <v>586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741</v>
      </c>
      <c r="B12" s="3">
        <f t="shared" si="1"/>
        <v>46086</v>
      </c>
      <c r="C12" s="3">
        <f t="shared" si="2"/>
        <v>46092</v>
      </c>
      <c r="D12" s="2">
        <v>3342</v>
      </c>
      <c r="E12" s="2">
        <v>333</v>
      </c>
      <c r="F12" s="2">
        <v>3</v>
      </c>
      <c r="G12" s="4" t="s">
        <v>126</v>
      </c>
      <c r="H12" s="4" t="s">
        <v>127</v>
      </c>
      <c r="I12" s="4" t="s">
        <v>18</v>
      </c>
      <c r="J12" s="4">
        <v>10612492</v>
      </c>
      <c r="K12" s="4" t="s">
        <v>584</v>
      </c>
      <c r="L12" s="4" t="s">
        <v>587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741</v>
      </c>
      <c r="B13" s="3">
        <f t="shared" si="1"/>
        <v>46086</v>
      </c>
      <c r="C13" s="3">
        <f t="shared" si="2"/>
        <v>46092</v>
      </c>
      <c r="D13" s="2">
        <v>3342</v>
      </c>
      <c r="E13" s="2">
        <v>333</v>
      </c>
      <c r="F13" s="2">
        <v>3</v>
      </c>
      <c r="G13" s="4" t="s">
        <v>126</v>
      </c>
      <c r="H13" s="4" t="s">
        <v>127</v>
      </c>
      <c r="I13" s="4" t="s">
        <v>18</v>
      </c>
      <c r="J13" s="4">
        <v>10612509</v>
      </c>
      <c r="K13" s="4" t="s">
        <v>584</v>
      </c>
      <c r="L13" s="4" t="s">
        <v>588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741</v>
      </c>
      <c r="B14" s="3">
        <f t="shared" si="1"/>
        <v>46086</v>
      </c>
      <c r="C14" s="3">
        <f t="shared" si="2"/>
        <v>46092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15127570</v>
      </c>
      <c r="K14" s="4" t="s">
        <v>674</v>
      </c>
      <c r="L14" s="4" t="s">
        <v>675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x14ac:dyDescent="0.35">
      <c r="A15" s="2" t="s">
        <v>741</v>
      </c>
      <c r="B15" s="3">
        <f t="shared" si="1"/>
        <v>46086</v>
      </c>
      <c r="C15" s="3">
        <f t="shared" si="2"/>
        <v>46092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15127589</v>
      </c>
      <c r="K15" s="4" t="s">
        <v>674</v>
      </c>
      <c r="L15" s="4" t="s">
        <v>676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x14ac:dyDescent="0.35">
      <c r="A16" s="2" t="s">
        <v>741</v>
      </c>
      <c r="B16" s="3">
        <f t="shared" si="1"/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15127598</v>
      </c>
      <c r="K16" s="4" t="s">
        <v>674</v>
      </c>
      <c r="L16" s="4" t="s">
        <v>677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x14ac:dyDescent="0.35">
      <c r="A17" s="2" t="s">
        <v>741</v>
      </c>
      <c r="B17" s="3">
        <f t="shared" si="1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15127605</v>
      </c>
      <c r="K17" s="4" t="s">
        <v>674</v>
      </c>
      <c r="L17" s="4" t="s">
        <v>678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741</v>
      </c>
      <c r="B18" s="3">
        <f t="shared" si="1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15393676</v>
      </c>
      <c r="K18" s="4" t="s">
        <v>679</v>
      </c>
      <c r="L18" s="4" t="s">
        <v>680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741</v>
      </c>
      <c r="B19" s="3">
        <f t="shared" si="1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15393685</v>
      </c>
      <c r="K19" s="4" t="s">
        <v>679</v>
      </c>
      <c r="L19" s="4" t="s">
        <v>681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741</v>
      </c>
      <c r="B20" s="3">
        <f t="shared" si="1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15393694</v>
      </c>
      <c r="K20" s="4" t="s">
        <v>679</v>
      </c>
      <c r="L20" s="4" t="s">
        <v>682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741</v>
      </c>
      <c r="B21" s="3">
        <f t="shared" si="1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15393701</v>
      </c>
      <c r="K21" s="4" t="s">
        <v>679</v>
      </c>
      <c r="L21" s="4" t="s">
        <v>683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741</v>
      </c>
      <c r="B22" s="3">
        <f t="shared" si="1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4" t="s">
        <v>173</v>
      </c>
      <c r="H22" s="4" t="s">
        <v>174</v>
      </c>
      <c r="I22" s="4" t="s">
        <v>18</v>
      </c>
      <c r="J22" s="4">
        <v>10611635</v>
      </c>
      <c r="K22" s="4" t="s">
        <v>599</v>
      </c>
      <c r="L22" s="4" t="s">
        <v>600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x14ac:dyDescent="0.35">
      <c r="A23" s="2" t="s">
        <v>741</v>
      </c>
      <c r="B23" s="3">
        <f t="shared" si="1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4" t="s">
        <v>173</v>
      </c>
      <c r="H23" s="4" t="s">
        <v>174</v>
      </c>
      <c r="I23" s="4" t="s">
        <v>18</v>
      </c>
      <c r="J23" s="4">
        <v>10611644</v>
      </c>
      <c r="K23" s="4" t="s">
        <v>599</v>
      </c>
      <c r="L23" s="4" t="s">
        <v>601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x14ac:dyDescent="0.35">
      <c r="A24" s="2" t="s">
        <v>741</v>
      </c>
      <c r="B24" s="3">
        <f t="shared" si="1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4" t="s">
        <v>173</v>
      </c>
      <c r="H24" s="4" t="s">
        <v>174</v>
      </c>
      <c r="I24" s="4" t="s">
        <v>18</v>
      </c>
      <c r="J24" s="4">
        <v>10611653</v>
      </c>
      <c r="K24" s="4" t="s">
        <v>599</v>
      </c>
      <c r="L24" s="4" t="s">
        <v>602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x14ac:dyDescent="0.35">
      <c r="A25" s="2" t="s">
        <v>741</v>
      </c>
      <c r="B25" s="3">
        <f t="shared" si="1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4" t="s">
        <v>173</v>
      </c>
      <c r="H25" s="4" t="s">
        <v>174</v>
      </c>
      <c r="I25" s="4" t="s">
        <v>18</v>
      </c>
      <c r="J25" s="4">
        <v>10611662</v>
      </c>
      <c r="K25" s="4" t="s">
        <v>599</v>
      </c>
      <c r="L25" s="4" t="s">
        <v>603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x14ac:dyDescent="0.35">
      <c r="A26" s="2" t="s">
        <v>741</v>
      </c>
      <c r="B26" s="3">
        <f t="shared" si="1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4" t="s">
        <v>173</v>
      </c>
      <c r="H26" s="4" t="s">
        <v>174</v>
      </c>
      <c r="I26" s="4" t="s">
        <v>18</v>
      </c>
      <c r="J26" s="4">
        <v>13499539</v>
      </c>
      <c r="K26" s="4" t="s">
        <v>604</v>
      </c>
      <c r="L26" s="4" t="s">
        <v>605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741</v>
      </c>
      <c r="B27" s="3">
        <f t="shared" si="1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4" t="s">
        <v>173</v>
      </c>
      <c r="H27" s="4" t="s">
        <v>174</v>
      </c>
      <c r="I27" s="4" t="s">
        <v>18</v>
      </c>
      <c r="J27" s="4">
        <v>13499548</v>
      </c>
      <c r="K27" s="4" t="s">
        <v>604</v>
      </c>
      <c r="L27" s="4" t="s">
        <v>606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741</v>
      </c>
      <c r="B28" s="3">
        <f t="shared" si="1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4" t="s">
        <v>173</v>
      </c>
      <c r="H28" s="4" t="s">
        <v>174</v>
      </c>
      <c r="I28" s="4" t="s">
        <v>18</v>
      </c>
      <c r="J28" s="4">
        <v>13499557</v>
      </c>
      <c r="K28" s="4" t="s">
        <v>604</v>
      </c>
      <c r="L28" s="4" t="s">
        <v>607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741</v>
      </c>
      <c r="B29" s="3">
        <f t="shared" si="1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4" t="s">
        <v>173</v>
      </c>
      <c r="H29" s="4" t="s">
        <v>174</v>
      </c>
      <c r="I29" s="4" t="s">
        <v>18</v>
      </c>
      <c r="J29" s="4">
        <v>13499566</v>
      </c>
      <c r="K29" s="4" t="s">
        <v>604</v>
      </c>
      <c r="L29" s="4" t="s">
        <v>608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741</v>
      </c>
      <c r="B30" s="3">
        <f t="shared" si="1"/>
        <v>46086</v>
      </c>
      <c r="C30" s="3">
        <f t="shared" si="2"/>
        <v>46092</v>
      </c>
      <c r="D30" s="2">
        <v>3342</v>
      </c>
      <c r="E30" s="2">
        <v>333</v>
      </c>
      <c r="F30" s="2">
        <v>3</v>
      </c>
      <c r="G30" s="4" t="s">
        <v>173</v>
      </c>
      <c r="H30" s="4" t="s">
        <v>174</v>
      </c>
      <c r="I30" s="4" t="s">
        <v>18</v>
      </c>
      <c r="J30" s="4">
        <v>13499575</v>
      </c>
      <c r="K30" s="4" t="s">
        <v>609</v>
      </c>
      <c r="L30" s="4" t="s">
        <v>610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741</v>
      </c>
      <c r="B31" s="3">
        <f t="shared" si="1"/>
        <v>46086</v>
      </c>
      <c r="C31" s="3">
        <f t="shared" si="2"/>
        <v>46092</v>
      </c>
      <c r="D31" s="2">
        <v>3342</v>
      </c>
      <c r="E31" s="2">
        <v>333</v>
      </c>
      <c r="F31" s="2">
        <v>3</v>
      </c>
      <c r="G31" s="4" t="s">
        <v>173</v>
      </c>
      <c r="H31" s="4" t="s">
        <v>174</v>
      </c>
      <c r="I31" s="4" t="s">
        <v>18</v>
      </c>
      <c r="J31" s="4">
        <v>13499584</v>
      </c>
      <c r="K31" s="4" t="s">
        <v>609</v>
      </c>
      <c r="L31" s="4" t="s">
        <v>611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741</v>
      </c>
      <c r="B32" s="3">
        <f t="shared" si="1"/>
        <v>46086</v>
      </c>
      <c r="C32" s="3">
        <f t="shared" si="2"/>
        <v>46092</v>
      </c>
      <c r="D32" s="2">
        <v>3342</v>
      </c>
      <c r="E32" s="2">
        <v>333</v>
      </c>
      <c r="F32" s="2">
        <v>3</v>
      </c>
      <c r="G32" s="4" t="s">
        <v>173</v>
      </c>
      <c r="H32" s="4" t="s">
        <v>174</v>
      </c>
      <c r="I32" s="4" t="s">
        <v>18</v>
      </c>
      <c r="J32" s="4">
        <v>13499593</v>
      </c>
      <c r="K32" s="4" t="s">
        <v>609</v>
      </c>
      <c r="L32" s="4" t="s">
        <v>612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741</v>
      </c>
      <c r="B33" s="3">
        <f t="shared" si="1"/>
        <v>46086</v>
      </c>
      <c r="C33" s="3">
        <f t="shared" si="2"/>
        <v>46092</v>
      </c>
      <c r="D33" s="2">
        <v>3342</v>
      </c>
      <c r="E33" s="2">
        <v>333</v>
      </c>
      <c r="F33" s="2">
        <v>3</v>
      </c>
      <c r="G33" s="4" t="s">
        <v>173</v>
      </c>
      <c r="H33" s="4" t="s">
        <v>174</v>
      </c>
      <c r="I33" s="4" t="s">
        <v>18</v>
      </c>
      <c r="J33" s="4">
        <v>13499600</v>
      </c>
      <c r="K33" s="4" t="s">
        <v>609</v>
      </c>
      <c r="L33" s="4" t="s">
        <v>613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741</v>
      </c>
      <c r="B34" s="3">
        <f t="shared" si="1"/>
        <v>46086</v>
      </c>
      <c r="C34" s="3">
        <f t="shared" si="2"/>
        <v>46092</v>
      </c>
      <c r="D34" s="2">
        <v>3342</v>
      </c>
      <c r="E34" s="2">
        <v>333</v>
      </c>
      <c r="F34" s="2">
        <v>3</v>
      </c>
      <c r="G34" s="4" t="s">
        <v>173</v>
      </c>
      <c r="H34" s="4" t="s">
        <v>174</v>
      </c>
      <c r="I34" s="4" t="s">
        <v>18</v>
      </c>
      <c r="J34" s="4">
        <v>13514486</v>
      </c>
      <c r="K34" s="4" t="s">
        <v>614</v>
      </c>
      <c r="L34" s="4" t="s">
        <v>615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741</v>
      </c>
      <c r="B35" s="3">
        <f t="shared" si="1"/>
        <v>46086</v>
      </c>
      <c r="C35" s="3">
        <f t="shared" si="2"/>
        <v>46092</v>
      </c>
      <c r="D35" s="2">
        <v>3342</v>
      </c>
      <c r="E35" s="2">
        <v>333</v>
      </c>
      <c r="F35" s="2">
        <v>3</v>
      </c>
      <c r="G35" s="4" t="s">
        <v>173</v>
      </c>
      <c r="H35" s="4" t="s">
        <v>174</v>
      </c>
      <c r="I35" s="4" t="s">
        <v>18</v>
      </c>
      <c r="J35" s="4">
        <v>13514495</v>
      </c>
      <c r="K35" s="4" t="s">
        <v>614</v>
      </c>
      <c r="L35" s="4" t="s">
        <v>616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741</v>
      </c>
      <c r="B36" s="3">
        <f t="shared" si="1"/>
        <v>46086</v>
      </c>
      <c r="C36" s="3">
        <f t="shared" si="2"/>
        <v>46092</v>
      </c>
      <c r="D36" s="2">
        <v>3342</v>
      </c>
      <c r="E36" s="2">
        <v>333</v>
      </c>
      <c r="F36" s="2">
        <v>3</v>
      </c>
      <c r="G36" s="4" t="s">
        <v>173</v>
      </c>
      <c r="H36" s="4" t="s">
        <v>174</v>
      </c>
      <c r="I36" s="4" t="s">
        <v>18</v>
      </c>
      <c r="J36" s="4">
        <v>13514502</v>
      </c>
      <c r="K36" s="4" t="s">
        <v>614</v>
      </c>
      <c r="L36" s="4" t="s">
        <v>617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741</v>
      </c>
      <c r="B37" s="3">
        <f t="shared" si="1"/>
        <v>46086</v>
      </c>
      <c r="C37" s="3">
        <f t="shared" si="2"/>
        <v>46092</v>
      </c>
      <c r="D37" s="2">
        <v>3342</v>
      </c>
      <c r="E37" s="2">
        <v>333</v>
      </c>
      <c r="F37" s="2">
        <v>3</v>
      </c>
      <c r="G37" s="4" t="s">
        <v>173</v>
      </c>
      <c r="H37" s="4" t="s">
        <v>174</v>
      </c>
      <c r="I37" s="4" t="s">
        <v>18</v>
      </c>
      <c r="J37" s="4">
        <v>13514511</v>
      </c>
      <c r="K37" s="4" t="s">
        <v>614</v>
      </c>
      <c r="L37" s="4" t="s">
        <v>618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741</v>
      </c>
      <c r="B38" s="3">
        <f t="shared" si="1"/>
        <v>46086</v>
      </c>
      <c r="C38" s="3">
        <f t="shared" si="2"/>
        <v>46092</v>
      </c>
      <c r="D38" s="2">
        <v>3342</v>
      </c>
      <c r="E38" s="2">
        <v>333</v>
      </c>
      <c r="F38" s="2">
        <v>3</v>
      </c>
      <c r="G38" s="4" t="s">
        <v>137</v>
      </c>
      <c r="H38" s="4" t="s">
        <v>127</v>
      </c>
      <c r="I38" s="4" t="s">
        <v>18</v>
      </c>
      <c r="J38" s="4">
        <v>15127614</v>
      </c>
      <c r="K38" s="4" t="s">
        <v>589</v>
      </c>
      <c r="L38" s="4" t="s">
        <v>590</v>
      </c>
      <c r="M38" s="5">
        <v>99900</v>
      </c>
      <c r="N38" s="6">
        <v>0.8</v>
      </c>
      <c r="O38" s="7">
        <f t="shared" si="0"/>
        <v>19980</v>
      </c>
      <c r="P38" s="6" t="s">
        <v>740</v>
      </c>
    </row>
    <row r="39" spans="1:16" x14ac:dyDescent="0.35">
      <c r="A39" s="2" t="s">
        <v>741</v>
      </c>
      <c r="B39" s="3">
        <f t="shared" si="1"/>
        <v>46086</v>
      </c>
      <c r="C39" s="3">
        <f t="shared" si="2"/>
        <v>46092</v>
      </c>
      <c r="D39" s="2">
        <v>3342</v>
      </c>
      <c r="E39" s="2">
        <v>333</v>
      </c>
      <c r="F39" s="2">
        <v>3</v>
      </c>
      <c r="G39" s="4" t="s">
        <v>137</v>
      </c>
      <c r="H39" s="4" t="s">
        <v>127</v>
      </c>
      <c r="I39" s="4" t="s">
        <v>18</v>
      </c>
      <c r="J39" s="4">
        <v>15127623</v>
      </c>
      <c r="K39" s="4" t="s">
        <v>589</v>
      </c>
      <c r="L39" s="4" t="s">
        <v>591</v>
      </c>
      <c r="M39" s="5">
        <v>99900</v>
      </c>
      <c r="N39" s="6">
        <v>0.8</v>
      </c>
      <c r="O39" s="7">
        <f t="shared" si="0"/>
        <v>19980</v>
      </c>
      <c r="P39" s="6" t="s">
        <v>740</v>
      </c>
    </row>
    <row r="40" spans="1:16" x14ac:dyDescent="0.35">
      <c r="A40" s="2" t="s">
        <v>741</v>
      </c>
      <c r="B40" s="3">
        <f t="shared" si="1"/>
        <v>46086</v>
      </c>
      <c r="C40" s="3">
        <f t="shared" si="2"/>
        <v>46092</v>
      </c>
      <c r="D40" s="2">
        <v>3342</v>
      </c>
      <c r="E40" s="2">
        <v>333</v>
      </c>
      <c r="F40" s="2">
        <v>3</v>
      </c>
      <c r="G40" s="4" t="s">
        <v>137</v>
      </c>
      <c r="H40" s="4" t="s">
        <v>127</v>
      </c>
      <c r="I40" s="4" t="s">
        <v>18</v>
      </c>
      <c r="J40" s="4">
        <v>15127632</v>
      </c>
      <c r="K40" s="4" t="s">
        <v>589</v>
      </c>
      <c r="L40" s="4" t="s">
        <v>592</v>
      </c>
      <c r="M40" s="5">
        <v>99900</v>
      </c>
      <c r="N40" s="6">
        <v>0.8</v>
      </c>
      <c r="O40" s="7">
        <f t="shared" si="0"/>
        <v>19980</v>
      </c>
      <c r="P40" s="6" t="s">
        <v>740</v>
      </c>
    </row>
    <row r="41" spans="1:16" x14ac:dyDescent="0.35">
      <c r="A41" s="2" t="s">
        <v>741</v>
      </c>
      <c r="B41" s="3">
        <f t="shared" si="1"/>
        <v>46086</v>
      </c>
      <c r="C41" s="3">
        <f t="shared" si="2"/>
        <v>46092</v>
      </c>
      <c r="D41" s="2">
        <v>3342</v>
      </c>
      <c r="E41" s="2">
        <v>333</v>
      </c>
      <c r="F41" s="2">
        <v>3</v>
      </c>
      <c r="G41" s="4" t="s">
        <v>137</v>
      </c>
      <c r="H41" s="4" t="s">
        <v>127</v>
      </c>
      <c r="I41" s="4" t="s">
        <v>18</v>
      </c>
      <c r="J41" s="4">
        <v>15127641</v>
      </c>
      <c r="K41" s="4" t="s">
        <v>589</v>
      </c>
      <c r="L41" s="4" t="s">
        <v>593</v>
      </c>
      <c r="M41" s="5">
        <v>99900</v>
      </c>
      <c r="N41" s="6">
        <v>0.8</v>
      </c>
      <c r="O41" s="7">
        <f t="shared" si="0"/>
        <v>19980</v>
      </c>
      <c r="P41" s="6" t="s">
        <v>740</v>
      </c>
    </row>
    <row r="42" spans="1:16" x14ac:dyDescent="0.35">
      <c r="A42" s="2" t="s">
        <v>741</v>
      </c>
      <c r="B42" s="3">
        <f t="shared" si="1"/>
        <v>46086</v>
      </c>
      <c r="C42" s="3">
        <f t="shared" si="2"/>
        <v>46092</v>
      </c>
      <c r="D42" s="2">
        <v>3342</v>
      </c>
      <c r="E42" s="2">
        <v>333</v>
      </c>
      <c r="F42" s="2">
        <v>3</v>
      </c>
      <c r="G42" s="4" t="s">
        <v>137</v>
      </c>
      <c r="H42" s="4" t="s">
        <v>127</v>
      </c>
      <c r="I42" s="4" t="s">
        <v>18</v>
      </c>
      <c r="J42" s="4">
        <v>15127650</v>
      </c>
      <c r="K42" s="4" t="s">
        <v>594</v>
      </c>
      <c r="L42" s="4" t="s">
        <v>595</v>
      </c>
      <c r="M42" s="5">
        <v>99900</v>
      </c>
      <c r="N42" s="6">
        <v>0.8</v>
      </c>
      <c r="O42" s="7">
        <f t="shared" si="0"/>
        <v>19980</v>
      </c>
      <c r="P42" s="6" t="s">
        <v>740</v>
      </c>
    </row>
    <row r="43" spans="1:16" x14ac:dyDescent="0.35">
      <c r="A43" s="2" t="s">
        <v>741</v>
      </c>
      <c r="B43" s="3">
        <f t="shared" si="1"/>
        <v>46086</v>
      </c>
      <c r="C43" s="3">
        <f t="shared" si="2"/>
        <v>46092</v>
      </c>
      <c r="D43" s="2">
        <v>3342</v>
      </c>
      <c r="E43" s="2">
        <v>333</v>
      </c>
      <c r="F43" s="2">
        <v>3</v>
      </c>
      <c r="G43" s="4" t="s">
        <v>137</v>
      </c>
      <c r="H43" s="4" t="s">
        <v>127</v>
      </c>
      <c r="I43" s="4" t="s">
        <v>18</v>
      </c>
      <c r="J43" s="4">
        <v>15127669</v>
      </c>
      <c r="K43" s="4" t="s">
        <v>594</v>
      </c>
      <c r="L43" s="4" t="s">
        <v>596</v>
      </c>
      <c r="M43" s="5">
        <v>99900</v>
      </c>
      <c r="N43" s="6">
        <v>0.8</v>
      </c>
      <c r="O43" s="7">
        <f t="shared" si="0"/>
        <v>19980</v>
      </c>
      <c r="P43" s="6" t="s">
        <v>740</v>
      </c>
    </row>
    <row r="44" spans="1:16" x14ac:dyDescent="0.35">
      <c r="A44" s="2" t="s">
        <v>741</v>
      </c>
      <c r="B44" s="3">
        <f t="shared" si="1"/>
        <v>46086</v>
      </c>
      <c r="C44" s="3">
        <f t="shared" si="2"/>
        <v>46092</v>
      </c>
      <c r="D44" s="2">
        <v>3342</v>
      </c>
      <c r="E44" s="2">
        <v>333</v>
      </c>
      <c r="F44" s="2">
        <v>3</v>
      </c>
      <c r="G44" s="4" t="s">
        <v>137</v>
      </c>
      <c r="H44" s="4" t="s">
        <v>127</v>
      </c>
      <c r="I44" s="4" t="s">
        <v>18</v>
      </c>
      <c r="J44" s="4">
        <v>15127678</v>
      </c>
      <c r="K44" s="4" t="s">
        <v>594</v>
      </c>
      <c r="L44" s="4" t="s">
        <v>597</v>
      </c>
      <c r="M44" s="5">
        <v>99900</v>
      </c>
      <c r="N44" s="6">
        <v>0.8</v>
      </c>
      <c r="O44" s="7">
        <f t="shared" si="0"/>
        <v>19980</v>
      </c>
      <c r="P44" s="6" t="s">
        <v>740</v>
      </c>
    </row>
    <row r="45" spans="1:16" x14ac:dyDescent="0.35">
      <c r="A45" s="2" t="s">
        <v>741</v>
      </c>
      <c r="B45" s="3">
        <f t="shared" si="1"/>
        <v>46086</v>
      </c>
      <c r="C45" s="3">
        <f t="shared" si="2"/>
        <v>46092</v>
      </c>
      <c r="D45" s="2">
        <v>3342</v>
      </c>
      <c r="E45" s="2">
        <v>333</v>
      </c>
      <c r="F45" s="2">
        <v>3</v>
      </c>
      <c r="G45" s="4" t="s">
        <v>137</v>
      </c>
      <c r="H45" s="4" t="s">
        <v>127</v>
      </c>
      <c r="I45" s="4" t="s">
        <v>18</v>
      </c>
      <c r="J45" s="4">
        <v>15127687</v>
      </c>
      <c r="K45" s="4" t="s">
        <v>594</v>
      </c>
      <c r="L45" s="4" t="s">
        <v>598</v>
      </c>
      <c r="M45" s="5">
        <v>99900</v>
      </c>
      <c r="N45" s="6">
        <v>0.8</v>
      </c>
      <c r="O45" s="7">
        <f t="shared" si="0"/>
        <v>19980</v>
      </c>
      <c r="P45" s="6" t="s">
        <v>740</v>
      </c>
    </row>
    <row r="46" spans="1:16" x14ac:dyDescent="0.35">
      <c r="A46" s="2" t="s">
        <v>741</v>
      </c>
      <c r="B46" s="3">
        <f t="shared" si="1"/>
        <v>46086</v>
      </c>
      <c r="C46" s="3">
        <f t="shared" si="2"/>
        <v>46092</v>
      </c>
      <c r="D46" s="2">
        <v>3342</v>
      </c>
      <c r="E46" s="2">
        <v>333</v>
      </c>
      <c r="F46" s="2">
        <v>3</v>
      </c>
      <c r="G46" s="4" t="s">
        <v>59</v>
      </c>
      <c r="H46" s="4" t="s">
        <v>271</v>
      </c>
      <c r="I46" s="4" t="s">
        <v>18</v>
      </c>
      <c r="J46" s="4">
        <v>10611395</v>
      </c>
      <c r="K46" s="4" t="s">
        <v>619</v>
      </c>
      <c r="L46" s="4" t="s">
        <v>620</v>
      </c>
      <c r="M46" s="5">
        <v>129900</v>
      </c>
      <c r="N46" s="6">
        <v>0.8</v>
      </c>
      <c r="O46" s="7">
        <f t="shared" si="0"/>
        <v>25980</v>
      </c>
      <c r="P46" s="6" t="s">
        <v>740</v>
      </c>
    </row>
    <row r="47" spans="1:16" x14ac:dyDescent="0.35">
      <c r="A47" s="2" t="s">
        <v>741</v>
      </c>
      <c r="B47" s="3">
        <f t="shared" si="1"/>
        <v>46086</v>
      </c>
      <c r="C47" s="3">
        <f t="shared" si="2"/>
        <v>46092</v>
      </c>
      <c r="D47" s="2">
        <v>3342</v>
      </c>
      <c r="E47" s="2">
        <v>333</v>
      </c>
      <c r="F47" s="2">
        <v>3</v>
      </c>
      <c r="G47" s="4" t="s">
        <v>59</v>
      </c>
      <c r="H47" s="4" t="s">
        <v>271</v>
      </c>
      <c r="I47" s="4" t="s">
        <v>18</v>
      </c>
      <c r="J47" s="4">
        <v>10611402</v>
      </c>
      <c r="K47" s="4" t="s">
        <v>619</v>
      </c>
      <c r="L47" s="4" t="s">
        <v>621</v>
      </c>
      <c r="M47" s="5">
        <v>129900</v>
      </c>
      <c r="N47" s="6">
        <v>0.8</v>
      </c>
      <c r="O47" s="7">
        <f t="shared" si="0"/>
        <v>25980</v>
      </c>
      <c r="P47" s="6" t="s">
        <v>740</v>
      </c>
    </row>
    <row r="48" spans="1:16" x14ac:dyDescent="0.35">
      <c r="A48" s="2" t="s">
        <v>741</v>
      </c>
      <c r="B48" s="3">
        <f t="shared" si="1"/>
        <v>46086</v>
      </c>
      <c r="C48" s="3">
        <f t="shared" si="2"/>
        <v>46092</v>
      </c>
      <c r="D48" s="2">
        <v>3342</v>
      </c>
      <c r="E48" s="2">
        <v>333</v>
      </c>
      <c r="F48" s="2">
        <v>3</v>
      </c>
      <c r="G48" s="4" t="s">
        <v>59</v>
      </c>
      <c r="H48" s="4" t="s">
        <v>271</v>
      </c>
      <c r="I48" s="4" t="s">
        <v>18</v>
      </c>
      <c r="J48" s="4">
        <v>10611411</v>
      </c>
      <c r="K48" s="4" t="s">
        <v>619</v>
      </c>
      <c r="L48" s="4" t="s">
        <v>622</v>
      </c>
      <c r="M48" s="5">
        <v>129900</v>
      </c>
      <c r="N48" s="6">
        <v>0.8</v>
      </c>
      <c r="O48" s="7">
        <f t="shared" si="0"/>
        <v>25980</v>
      </c>
      <c r="P48" s="6" t="s">
        <v>740</v>
      </c>
    </row>
    <row r="49" spans="1:16" x14ac:dyDescent="0.35">
      <c r="A49" s="2" t="s">
        <v>741</v>
      </c>
      <c r="B49" s="3">
        <f t="shared" si="1"/>
        <v>46086</v>
      </c>
      <c r="C49" s="3">
        <f t="shared" si="2"/>
        <v>46092</v>
      </c>
      <c r="D49" s="2">
        <v>3342</v>
      </c>
      <c r="E49" s="2">
        <v>333</v>
      </c>
      <c r="F49" s="2">
        <v>3</v>
      </c>
      <c r="G49" s="4" t="s">
        <v>59</v>
      </c>
      <c r="H49" s="4" t="s">
        <v>271</v>
      </c>
      <c r="I49" s="4" t="s">
        <v>18</v>
      </c>
      <c r="J49" s="4">
        <v>10611420</v>
      </c>
      <c r="K49" s="4" t="s">
        <v>619</v>
      </c>
      <c r="L49" s="4" t="s">
        <v>623</v>
      </c>
      <c r="M49" s="5">
        <v>129900</v>
      </c>
      <c r="N49" s="6">
        <v>0.8</v>
      </c>
      <c r="O49" s="7">
        <f t="shared" si="0"/>
        <v>25980</v>
      </c>
      <c r="P49" s="6" t="s">
        <v>740</v>
      </c>
    </row>
    <row r="50" spans="1:16" x14ac:dyDescent="0.35">
      <c r="A50" s="2" t="s">
        <v>741</v>
      </c>
      <c r="B50" s="3">
        <f t="shared" si="1"/>
        <v>46086</v>
      </c>
      <c r="C50" s="3">
        <f t="shared" si="2"/>
        <v>46092</v>
      </c>
      <c r="D50" s="2">
        <v>3342</v>
      </c>
      <c r="E50" s="2">
        <v>333</v>
      </c>
      <c r="F50" s="2">
        <v>3</v>
      </c>
      <c r="G50" s="4" t="s">
        <v>59</v>
      </c>
      <c r="H50" s="4" t="s">
        <v>271</v>
      </c>
      <c r="I50" s="4" t="s">
        <v>18</v>
      </c>
      <c r="J50" s="4">
        <v>10611439</v>
      </c>
      <c r="K50" s="4" t="s">
        <v>624</v>
      </c>
      <c r="L50" s="4" t="s">
        <v>625</v>
      </c>
      <c r="M50" s="5">
        <v>129900</v>
      </c>
      <c r="N50" s="6">
        <v>0.8</v>
      </c>
      <c r="O50" s="7">
        <f t="shared" si="0"/>
        <v>25980</v>
      </c>
      <c r="P50" s="6" t="s">
        <v>740</v>
      </c>
    </row>
    <row r="51" spans="1:16" x14ac:dyDescent="0.35">
      <c r="A51" s="2" t="s">
        <v>741</v>
      </c>
      <c r="B51" s="3">
        <f t="shared" si="1"/>
        <v>46086</v>
      </c>
      <c r="C51" s="3">
        <f t="shared" si="2"/>
        <v>46092</v>
      </c>
      <c r="D51" s="2">
        <v>3342</v>
      </c>
      <c r="E51" s="2">
        <v>333</v>
      </c>
      <c r="F51" s="2">
        <v>3</v>
      </c>
      <c r="G51" s="4" t="s">
        <v>59</v>
      </c>
      <c r="H51" s="4" t="s">
        <v>271</v>
      </c>
      <c r="I51" s="4" t="s">
        <v>18</v>
      </c>
      <c r="J51" s="4">
        <v>10611448</v>
      </c>
      <c r="K51" s="4" t="s">
        <v>624</v>
      </c>
      <c r="L51" s="4" t="s">
        <v>626</v>
      </c>
      <c r="M51" s="5">
        <v>129900</v>
      </c>
      <c r="N51" s="6">
        <v>0.8</v>
      </c>
      <c r="O51" s="7">
        <f t="shared" si="0"/>
        <v>25980</v>
      </c>
      <c r="P51" s="6" t="s">
        <v>740</v>
      </c>
    </row>
    <row r="52" spans="1:16" x14ac:dyDescent="0.35">
      <c r="A52" s="2" t="s">
        <v>741</v>
      </c>
      <c r="B52" s="3">
        <f t="shared" si="1"/>
        <v>46086</v>
      </c>
      <c r="C52" s="3">
        <f t="shared" si="2"/>
        <v>46092</v>
      </c>
      <c r="D52" s="2">
        <v>3342</v>
      </c>
      <c r="E52" s="2">
        <v>333</v>
      </c>
      <c r="F52" s="2">
        <v>3</v>
      </c>
      <c r="G52" s="4" t="s">
        <v>59</v>
      </c>
      <c r="H52" s="4" t="s">
        <v>271</v>
      </c>
      <c r="I52" s="4" t="s">
        <v>18</v>
      </c>
      <c r="J52" s="4">
        <v>10611457</v>
      </c>
      <c r="K52" s="4" t="s">
        <v>624</v>
      </c>
      <c r="L52" s="4" t="s">
        <v>627</v>
      </c>
      <c r="M52" s="5">
        <v>129900</v>
      </c>
      <c r="N52" s="6">
        <v>0.8</v>
      </c>
      <c r="O52" s="7">
        <f t="shared" si="0"/>
        <v>25980</v>
      </c>
      <c r="P52" s="6" t="s">
        <v>740</v>
      </c>
    </row>
    <row r="53" spans="1:16" x14ac:dyDescent="0.35">
      <c r="A53" s="2" t="s">
        <v>741</v>
      </c>
      <c r="B53" s="3">
        <f t="shared" si="1"/>
        <v>46086</v>
      </c>
      <c r="C53" s="3">
        <f t="shared" si="2"/>
        <v>46092</v>
      </c>
      <c r="D53" s="2">
        <v>3342</v>
      </c>
      <c r="E53" s="2">
        <v>333</v>
      </c>
      <c r="F53" s="2">
        <v>3</v>
      </c>
      <c r="G53" s="4" t="s">
        <v>59</v>
      </c>
      <c r="H53" s="4" t="s">
        <v>271</v>
      </c>
      <c r="I53" s="4" t="s">
        <v>18</v>
      </c>
      <c r="J53" s="4">
        <v>10611466</v>
      </c>
      <c r="K53" s="4" t="s">
        <v>624</v>
      </c>
      <c r="L53" s="4" t="s">
        <v>628</v>
      </c>
      <c r="M53" s="5">
        <v>129900</v>
      </c>
      <c r="N53" s="6">
        <v>0.8</v>
      </c>
      <c r="O53" s="7">
        <f t="shared" si="0"/>
        <v>25980</v>
      </c>
      <c r="P53" s="6" t="s">
        <v>740</v>
      </c>
    </row>
    <row r="54" spans="1:16" x14ac:dyDescent="0.35">
      <c r="A54" s="2" t="s">
        <v>741</v>
      </c>
      <c r="B54" s="3">
        <f t="shared" si="1"/>
        <v>46086</v>
      </c>
      <c r="C54" s="3">
        <f t="shared" si="2"/>
        <v>46092</v>
      </c>
      <c r="D54" s="2">
        <v>3342</v>
      </c>
      <c r="E54" s="2">
        <v>333</v>
      </c>
      <c r="F54" s="2">
        <v>3</v>
      </c>
      <c r="G54" s="4" t="s">
        <v>59</v>
      </c>
      <c r="H54" s="4" t="s">
        <v>271</v>
      </c>
      <c r="I54" s="4" t="s">
        <v>18</v>
      </c>
      <c r="J54" s="4">
        <v>10611475</v>
      </c>
      <c r="K54" s="4" t="s">
        <v>629</v>
      </c>
      <c r="L54" s="4" t="s">
        <v>630</v>
      </c>
      <c r="M54" s="5">
        <v>129900</v>
      </c>
      <c r="N54" s="6">
        <v>0.8</v>
      </c>
      <c r="O54" s="7">
        <f t="shared" si="0"/>
        <v>25980</v>
      </c>
      <c r="P54" s="6" t="s">
        <v>740</v>
      </c>
    </row>
    <row r="55" spans="1:16" x14ac:dyDescent="0.35">
      <c r="A55" s="2" t="s">
        <v>741</v>
      </c>
      <c r="B55" s="3">
        <f t="shared" si="1"/>
        <v>46086</v>
      </c>
      <c r="C55" s="3">
        <f t="shared" si="2"/>
        <v>46092</v>
      </c>
      <c r="D55" s="2">
        <v>3342</v>
      </c>
      <c r="E55" s="2">
        <v>333</v>
      </c>
      <c r="F55" s="2">
        <v>3</v>
      </c>
      <c r="G55" s="4" t="s">
        <v>59</v>
      </c>
      <c r="H55" s="4" t="s">
        <v>271</v>
      </c>
      <c r="I55" s="4" t="s">
        <v>18</v>
      </c>
      <c r="J55" s="4">
        <v>10611484</v>
      </c>
      <c r="K55" s="4" t="s">
        <v>629</v>
      </c>
      <c r="L55" s="4" t="s">
        <v>631</v>
      </c>
      <c r="M55" s="5">
        <v>129900</v>
      </c>
      <c r="N55" s="6">
        <v>0.8</v>
      </c>
      <c r="O55" s="7">
        <f t="shared" si="0"/>
        <v>25980</v>
      </c>
      <c r="P55" s="6" t="s">
        <v>740</v>
      </c>
    </row>
    <row r="56" spans="1:16" x14ac:dyDescent="0.35">
      <c r="A56" s="2" t="s">
        <v>741</v>
      </c>
      <c r="B56" s="3">
        <f t="shared" si="1"/>
        <v>46086</v>
      </c>
      <c r="C56" s="3">
        <f t="shared" si="2"/>
        <v>46092</v>
      </c>
      <c r="D56" s="2">
        <v>3342</v>
      </c>
      <c r="E56" s="2">
        <v>333</v>
      </c>
      <c r="F56" s="2">
        <v>3</v>
      </c>
      <c r="G56" s="4" t="s">
        <v>59</v>
      </c>
      <c r="H56" s="4" t="s">
        <v>271</v>
      </c>
      <c r="I56" s="4" t="s">
        <v>18</v>
      </c>
      <c r="J56" s="4">
        <v>10611493</v>
      </c>
      <c r="K56" s="4" t="s">
        <v>629</v>
      </c>
      <c r="L56" s="4" t="s">
        <v>632</v>
      </c>
      <c r="M56" s="5">
        <v>129900</v>
      </c>
      <c r="N56" s="6">
        <v>0.8</v>
      </c>
      <c r="O56" s="7">
        <f t="shared" si="0"/>
        <v>25980</v>
      </c>
      <c r="P56" s="6" t="s">
        <v>740</v>
      </c>
    </row>
    <row r="57" spans="1:16" x14ac:dyDescent="0.35">
      <c r="A57" s="2" t="s">
        <v>741</v>
      </c>
      <c r="B57" s="3">
        <f t="shared" si="1"/>
        <v>46086</v>
      </c>
      <c r="C57" s="3">
        <f t="shared" si="2"/>
        <v>46092</v>
      </c>
      <c r="D57" s="2">
        <v>3342</v>
      </c>
      <c r="E57" s="2">
        <v>333</v>
      </c>
      <c r="F57" s="2">
        <v>3</v>
      </c>
      <c r="G57" s="4" t="s">
        <v>59</v>
      </c>
      <c r="H57" s="4" t="s">
        <v>271</v>
      </c>
      <c r="I57" s="4" t="s">
        <v>18</v>
      </c>
      <c r="J57" s="4">
        <v>10611500</v>
      </c>
      <c r="K57" s="4" t="s">
        <v>629</v>
      </c>
      <c r="L57" s="4" t="s">
        <v>633</v>
      </c>
      <c r="M57" s="5">
        <v>129900</v>
      </c>
      <c r="N57" s="6">
        <v>0.8</v>
      </c>
      <c r="O57" s="7">
        <f t="shared" si="0"/>
        <v>25980</v>
      </c>
      <c r="P57" s="6" t="s">
        <v>740</v>
      </c>
    </row>
    <row r="58" spans="1:16" x14ac:dyDescent="0.35">
      <c r="A58" s="2" t="s">
        <v>741</v>
      </c>
      <c r="B58" s="3">
        <f t="shared" si="1"/>
        <v>46086</v>
      </c>
      <c r="C58" s="3">
        <f t="shared" si="2"/>
        <v>46092</v>
      </c>
      <c r="D58" s="2">
        <v>3342</v>
      </c>
      <c r="E58" s="2">
        <v>333</v>
      </c>
      <c r="F58" s="2">
        <v>3</v>
      </c>
      <c r="G58" s="4" t="s">
        <v>59</v>
      </c>
      <c r="H58" s="4" t="s">
        <v>271</v>
      </c>
      <c r="I58" s="4" t="s">
        <v>18</v>
      </c>
      <c r="J58" s="4">
        <v>10611519</v>
      </c>
      <c r="K58" s="4" t="s">
        <v>634</v>
      </c>
      <c r="L58" s="4" t="s">
        <v>635</v>
      </c>
      <c r="M58" s="5">
        <v>129900</v>
      </c>
      <c r="N58" s="6">
        <v>0.8</v>
      </c>
      <c r="O58" s="7">
        <f t="shared" si="0"/>
        <v>25980</v>
      </c>
      <c r="P58" s="6" t="s">
        <v>740</v>
      </c>
    </row>
    <row r="59" spans="1:16" x14ac:dyDescent="0.35">
      <c r="A59" s="2" t="s">
        <v>741</v>
      </c>
      <c r="B59" s="3">
        <f t="shared" si="1"/>
        <v>46086</v>
      </c>
      <c r="C59" s="3">
        <f t="shared" si="2"/>
        <v>46092</v>
      </c>
      <c r="D59" s="2">
        <v>3342</v>
      </c>
      <c r="E59" s="2">
        <v>333</v>
      </c>
      <c r="F59" s="2">
        <v>3</v>
      </c>
      <c r="G59" s="4" t="s">
        <v>59</v>
      </c>
      <c r="H59" s="4" t="s">
        <v>271</v>
      </c>
      <c r="I59" s="4" t="s">
        <v>18</v>
      </c>
      <c r="J59" s="4">
        <v>10611528</v>
      </c>
      <c r="K59" s="4" t="s">
        <v>634</v>
      </c>
      <c r="L59" s="4" t="s">
        <v>636</v>
      </c>
      <c r="M59" s="5">
        <v>129900</v>
      </c>
      <c r="N59" s="6">
        <v>0.8</v>
      </c>
      <c r="O59" s="7">
        <f t="shared" si="0"/>
        <v>25980</v>
      </c>
      <c r="P59" s="6" t="s">
        <v>740</v>
      </c>
    </row>
    <row r="60" spans="1:16" x14ac:dyDescent="0.35">
      <c r="A60" s="2" t="s">
        <v>741</v>
      </c>
      <c r="B60" s="3">
        <f t="shared" si="1"/>
        <v>46086</v>
      </c>
      <c r="C60" s="3">
        <f t="shared" si="2"/>
        <v>46092</v>
      </c>
      <c r="D60" s="2">
        <v>3342</v>
      </c>
      <c r="E60" s="2">
        <v>333</v>
      </c>
      <c r="F60" s="2">
        <v>3</v>
      </c>
      <c r="G60" s="4" t="s">
        <v>59</v>
      </c>
      <c r="H60" s="4" t="s">
        <v>271</v>
      </c>
      <c r="I60" s="4" t="s">
        <v>18</v>
      </c>
      <c r="J60" s="4">
        <v>10611537</v>
      </c>
      <c r="K60" s="4" t="s">
        <v>634</v>
      </c>
      <c r="L60" s="4" t="s">
        <v>637</v>
      </c>
      <c r="M60" s="5">
        <v>129900</v>
      </c>
      <c r="N60" s="6">
        <v>0.8</v>
      </c>
      <c r="O60" s="7">
        <f t="shared" si="0"/>
        <v>25980</v>
      </c>
      <c r="P60" s="6" t="s">
        <v>740</v>
      </c>
    </row>
    <row r="61" spans="1:16" x14ac:dyDescent="0.35">
      <c r="A61" s="2" t="s">
        <v>741</v>
      </c>
      <c r="B61" s="3">
        <f t="shared" si="1"/>
        <v>46086</v>
      </c>
      <c r="C61" s="3">
        <f t="shared" si="2"/>
        <v>46092</v>
      </c>
      <c r="D61" s="2">
        <v>3342</v>
      </c>
      <c r="E61" s="2">
        <v>333</v>
      </c>
      <c r="F61" s="2">
        <v>3</v>
      </c>
      <c r="G61" s="4" t="s">
        <v>59</v>
      </c>
      <c r="H61" s="4" t="s">
        <v>271</v>
      </c>
      <c r="I61" s="4" t="s">
        <v>18</v>
      </c>
      <c r="J61" s="4">
        <v>10611546</v>
      </c>
      <c r="K61" s="4" t="s">
        <v>634</v>
      </c>
      <c r="L61" s="4" t="s">
        <v>638</v>
      </c>
      <c r="M61" s="5">
        <v>129900</v>
      </c>
      <c r="N61" s="6">
        <v>0.8</v>
      </c>
      <c r="O61" s="7">
        <f t="shared" si="0"/>
        <v>25980</v>
      </c>
      <c r="P61" s="6" t="s">
        <v>740</v>
      </c>
    </row>
    <row r="62" spans="1:16" x14ac:dyDescent="0.35">
      <c r="A62" s="2" t="s">
        <v>741</v>
      </c>
      <c r="B62" s="3">
        <f t="shared" si="1"/>
        <v>46086</v>
      </c>
      <c r="C62" s="3">
        <f t="shared" si="2"/>
        <v>46092</v>
      </c>
      <c r="D62" s="2">
        <v>3342</v>
      </c>
      <c r="E62" s="2">
        <v>333</v>
      </c>
      <c r="F62" s="2">
        <v>3</v>
      </c>
      <c r="G62" s="4" t="s">
        <v>59</v>
      </c>
      <c r="H62" s="4" t="s">
        <v>271</v>
      </c>
      <c r="I62" s="4" t="s">
        <v>18</v>
      </c>
      <c r="J62" s="4">
        <v>10611555</v>
      </c>
      <c r="K62" s="4" t="s">
        <v>639</v>
      </c>
      <c r="L62" s="4" t="s">
        <v>640</v>
      </c>
      <c r="M62" s="5">
        <v>129900</v>
      </c>
      <c r="N62" s="6">
        <v>0.8</v>
      </c>
      <c r="O62" s="7">
        <f t="shared" si="0"/>
        <v>25980</v>
      </c>
      <c r="P62" s="6" t="s">
        <v>740</v>
      </c>
    </row>
    <row r="63" spans="1:16" x14ac:dyDescent="0.35">
      <c r="A63" s="2" t="s">
        <v>741</v>
      </c>
      <c r="B63" s="3">
        <f t="shared" si="1"/>
        <v>46086</v>
      </c>
      <c r="C63" s="3">
        <f t="shared" si="2"/>
        <v>46092</v>
      </c>
      <c r="D63" s="2">
        <v>3342</v>
      </c>
      <c r="E63" s="2">
        <v>333</v>
      </c>
      <c r="F63" s="2">
        <v>3</v>
      </c>
      <c r="G63" s="4" t="s">
        <v>59</v>
      </c>
      <c r="H63" s="4" t="s">
        <v>271</v>
      </c>
      <c r="I63" s="4" t="s">
        <v>18</v>
      </c>
      <c r="J63" s="4">
        <v>10611564</v>
      </c>
      <c r="K63" s="4" t="s">
        <v>639</v>
      </c>
      <c r="L63" s="4" t="s">
        <v>641</v>
      </c>
      <c r="M63" s="5">
        <v>129900</v>
      </c>
      <c r="N63" s="6">
        <v>0.8</v>
      </c>
      <c r="O63" s="7">
        <f t="shared" si="0"/>
        <v>25980</v>
      </c>
      <c r="P63" s="6" t="s">
        <v>740</v>
      </c>
    </row>
    <row r="64" spans="1:16" x14ac:dyDescent="0.35">
      <c r="A64" s="2" t="s">
        <v>741</v>
      </c>
      <c r="B64" s="3">
        <f t="shared" si="1"/>
        <v>46086</v>
      </c>
      <c r="C64" s="3">
        <f t="shared" si="2"/>
        <v>46092</v>
      </c>
      <c r="D64" s="2">
        <v>3342</v>
      </c>
      <c r="E64" s="2">
        <v>333</v>
      </c>
      <c r="F64" s="2">
        <v>3</v>
      </c>
      <c r="G64" s="4" t="s">
        <v>59</v>
      </c>
      <c r="H64" s="4" t="s">
        <v>271</v>
      </c>
      <c r="I64" s="4" t="s">
        <v>18</v>
      </c>
      <c r="J64" s="4">
        <v>10611573</v>
      </c>
      <c r="K64" s="4" t="s">
        <v>639</v>
      </c>
      <c r="L64" s="4" t="s">
        <v>642</v>
      </c>
      <c r="M64" s="5">
        <v>129900</v>
      </c>
      <c r="N64" s="6">
        <v>0.8</v>
      </c>
      <c r="O64" s="7">
        <f t="shared" si="0"/>
        <v>25980</v>
      </c>
      <c r="P64" s="6" t="s">
        <v>740</v>
      </c>
    </row>
    <row r="65" spans="1:16" x14ac:dyDescent="0.35">
      <c r="A65" s="2" t="s">
        <v>741</v>
      </c>
      <c r="B65" s="3">
        <f t="shared" si="1"/>
        <v>46086</v>
      </c>
      <c r="C65" s="3">
        <f t="shared" si="2"/>
        <v>46092</v>
      </c>
      <c r="D65" s="2">
        <v>3342</v>
      </c>
      <c r="E65" s="2">
        <v>333</v>
      </c>
      <c r="F65" s="2">
        <v>3</v>
      </c>
      <c r="G65" s="4" t="s">
        <v>59</v>
      </c>
      <c r="H65" s="4" t="s">
        <v>271</v>
      </c>
      <c r="I65" s="4" t="s">
        <v>18</v>
      </c>
      <c r="J65" s="4">
        <v>10611582</v>
      </c>
      <c r="K65" s="4" t="s">
        <v>639</v>
      </c>
      <c r="L65" s="4" t="s">
        <v>643</v>
      </c>
      <c r="M65" s="5">
        <v>129900</v>
      </c>
      <c r="N65" s="6">
        <v>0.8</v>
      </c>
      <c r="O65" s="7">
        <f t="shared" si="0"/>
        <v>25980</v>
      </c>
      <c r="P65" s="6" t="s">
        <v>740</v>
      </c>
    </row>
    <row r="66" spans="1:16" x14ac:dyDescent="0.35">
      <c r="A66" s="2" t="s">
        <v>741</v>
      </c>
      <c r="B66" s="3">
        <f t="shared" si="1"/>
        <v>46086</v>
      </c>
      <c r="C66" s="3">
        <f t="shared" si="2"/>
        <v>46092</v>
      </c>
      <c r="D66" s="2">
        <v>3342</v>
      </c>
      <c r="E66" s="2">
        <v>333</v>
      </c>
      <c r="F66" s="2">
        <v>3</v>
      </c>
      <c r="G66" s="4" t="s">
        <v>59</v>
      </c>
      <c r="H66" s="4" t="s">
        <v>271</v>
      </c>
      <c r="I66" s="4" t="s">
        <v>18</v>
      </c>
      <c r="J66" s="4">
        <v>14100760</v>
      </c>
      <c r="K66" s="4" t="s">
        <v>644</v>
      </c>
      <c r="L66" s="4" t="s">
        <v>645</v>
      </c>
      <c r="M66" s="5">
        <v>129900</v>
      </c>
      <c r="N66" s="6">
        <v>0.8</v>
      </c>
      <c r="O66" s="7">
        <f t="shared" si="0"/>
        <v>25980</v>
      </c>
      <c r="P66" s="6" t="s">
        <v>740</v>
      </c>
    </row>
    <row r="67" spans="1:16" x14ac:dyDescent="0.35">
      <c r="A67" s="2" t="s">
        <v>741</v>
      </c>
      <c r="B67" s="3">
        <f t="shared" si="1"/>
        <v>46086</v>
      </c>
      <c r="C67" s="3">
        <f t="shared" si="2"/>
        <v>46092</v>
      </c>
      <c r="D67" s="2">
        <v>3342</v>
      </c>
      <c r="E67" s="2">
        <v>333</v>
      </c>
      <c r="F67" s="2">
        <v>3</v>
      </c>
      <c r="G67" s="4" t="s">
        <v>59</v>
      </c>
      <c r="H67" s="4" t="s">
        <v>271</v>
      </c>
      <c r="I67" s="4" t="s">
        <v>18</v>
      </c>
      <c r="J67" s="4">
        <v>14100779</v>
      </c>
      <c r="K67" s="4" t="s">
        <v>644</v>
      </c>
      <c r="L67" s="4" t="s">
        <v>646</v>
      </c>
      <c r="M67" s="5">
        <v>129900</v>
      </c>
      <c r="N67" s="6">
        <v>0.8</v>
      </c>
      <c r="O67" s="7">
        <f t="shared" ref="O67:O130" si="3">M67-(M67*N67)</f>
        <v>25980</v>
      </c>
      <c r="P67" s="6" t="s">
        <v>740</v>
      </c>
    </row>
    <row r="68" spans="1:16" x14ac:dyDescent="0.35">
      <c r="A68" s="2" t="s">
        <v>741</v>
      </c>
      <c r="B68" s="3">
        <f t="shared" ref="B68:B131" si="4">B67</f>
        <v>46086</v>
      </c>
      <c r="C68" s="3">
        <f t="shared" ref="C68:C131" si="5">C67</f>
        <v>46092</v>
      </c>
      <c r="D68" s="2">
        <v>3342</v>
      </c>
      <c r="E68" s="2">
        <v>333</v>
      </c>
      <c r="F68" s="2">
        <v>3</v>
      </c>
      <c r="G68" s="4" t="s">
        <v>59</v>
      </c>
      <c r="H68" s="4" t="s">
        <v>271</v>
      </c>
      <c r="I68" s="4" t="s">
        <v>18</v>
      </c>
      <c r="J68" s="4">
        <v>14100788</v>
      </c>
      <c r="K68" s="4" t="s">
        <v>644</v>
      </c>
      <c r="L68" s="4" t="s">
        <v>647</v>
      </c>
      <c r="M68" s="5">
        <v>129900</v>
      </c>
      <c r="N68" s="6">
        <v>0.8</v>
      </c>
      <c r="O68" s="7">
        <f t="shared" si="3"/>
        <v>25980</v>
      </c>
      <c r="P68" s="6" t="s">
        <v>740</v>
      </c>
    </row>
    <row r="69" spans="1:16" x14ac:dyDescent="0.35">
      <c r="A69" s="2" t="s">
        <v>741</v>
      </c>
      <c r="B69" s="3">
        <f t="shared" si="4"/>
        <v>46086</v>
      </c>
      <c r="C69" s="3">
        <f t="shared" si="5"/>
        <v>46092</v>
      </c>
      <c r="D69" s="2">
        <v>3342</v>
      </c>
      <c r="E69" s="2">
        <v>333</v>
      </c>
      <c r="F69" s="2">
        <v>3</v>
      </c>
      <c r="G69" s="4" t="s">
        <v>59</v>
      </c>
      <c r="H69" s="4" t="s">
        <v>271</v>
      </c>
      <c r="I69" s="4" t="s">
        <v>18</v>
      </c>
      <c r="J69" s="4">
        <v>14100797</v>
      </c>
      <c r="K69" s="4" t="s">
        <v>644</v>
      </c>
      <c r="L69" s="4" t="s">
        <v>648</v>
      </c>
      <c r="M69" s="5">
        <v>129900</v>
      </c>
      <c r="N69" s="6">
        <v>0.8</v>
      </c>
      <c r="O69" s="7">
        <f t="shared" si="3"/>
        <v>25980</v>
      </c>
      <c r="P69" s="6" t="s">
        <v>740</v>
      </c>
    </row>
    <row r="70" spans="1:16" x14ac:dyDescent="0.35">
      <c r="A70" s="2" t="s">
        <v>741</v>
      </c>
      <c r="B70" s="3">
        <f t="shared" si="4"/>
        <v>46086</v>
      </c>
      <c r="C70" s="3">
        <f t="shared" si="5"/>
        <v>46092</v>
      </c>
      <c r="D70" s="2">
        <v>3342</v>
      </c>
      <c r="E70" s="2">
        <v>333</v>
      </c>
      <c r="F70" s="2">
        <v>3</v>
      </c>
      <c r="G70" s="4" t="s">
        <v>59</v>
      </c>
      <c r="H70" s="4" t="s">
        <v>271</v>
      </c>
      <c r="I70" s="4" t="s">
        <v>18</v>
      </c>
      <c r="J70" s="4">
        <v>14100804</v>
      </c>
      <c r="K70" s="4" t="s">
        <v>649</v>
      </c>
      <c r="L70" s="4" t="s">
        <v>650</v>
      </c>
      <c r="M70" s="5">
        <v>129900</v>
      </c>
      <c r="N70" s="6">
        <v>0.8</v>
      </c>
      <c r="O70" s="7">
        <f t="shared" si="3"/>
        <v>25980</v>
      </c>
      <c r="P70" s="6" t="s">
        <v>740</v>
      </c>
    </row>
    <row r="71" spans="1:16" x14ac:dyDescent="0.35">
      <c r="A71" s="2" t="s">
        <v>741</v>
      </c>
      <c r="B71" s="3">
        <f t="shared" si="4"/>
        <v>46086</v>
      </c>
      <c r="C71" s="3">
        <f t="shared" si="5"/>
        <v>46092</v>
      </c>
      <c r="D71" s="2">
        <v>3342</v>
      </c>
      <c r="E71" s="2">
        <v>333</v>
      </c>
      <c r="F71" s="2">
        <v>3</v>
      </c>
      <c r="G71" s="4" t="s">
        <v>59</v>
      </c>
      <c r="H71" s="4" t="s">
        <v>271</v>
      </c>
      <c r="I71" s="4" t="s">
        <v>18</v>
      </c>
      <c r="J71" s="4">
        <v>14100813</v>
      </c>
      <c r="K71" s="4" t="s">
        <v>649</v>
      </c>
      <c r="L71" s="4" t="s">
        <v>651</v>
      </c>
      <c r="M71" s="5">
        <v>129900</v>
      </c>
      <c r="N71" s="6">
        <v>0.8</v>
      </c>
      <c r="O71" s="7">
        <f t="shared" si="3"/>
        <v>25980</v>
      </c>
      <c r="P71" s="6" t="s">
        <v>740</v>
      </c>
    </row>
    <row r="72" spans="1:16" x14ac:dyDescent="0.35">
      <c r="A72" s="2" t="s">
        <v>741</v>
      </c>
      <c r="B72" s="3">
        <f t="shared" si="4"/>
        <v>46086</v>
      </c>
      <c r="C72" s="3">
        <f t="shared" si="5"/>
        <v>46092</v>
      </c>
      <c r="D72" s="2">
        <v>3342</v>
      </c>
      <c r="E72" s="2">
        <v>333</v>
      </c>
      <c r="F72" s="2">
        <v>3</v>
      </c>
      <c r="G72" s="4" t="s">
        <v>59</v>
      </c>
      <c r="H72" s="4" t="s">
        <v>271</v>
      </c>
      <c r="I72" s="4" t="s">
        <v>18</v>
      </c>
      <c r="J72" s="4">
        <v>14100822</v>
      </c>
      <c r="K72" s="4" t="s">
        <v>649</v>
      </c>
      <c r="L72" s="4" t="s">
        <v>652</v>
      </c>
      <c r="M72" s="5">
        <v>129900</v>
      </c>
      <c r="N72" s="6">
        <v>0.8</v>
      </c>
      <c r="O72" s="7">
        <f t="shared" si="3"/>
        <v>25980</v>
      </c>
      <c r="P72" s="6" t="s">
        <v>740</v>
      </c>
    </row>
    <row r="73" spans="1:16" x14ac:dyDescent="0.35">
      <c r="A73" s="2" t="s">
        <v>741</v>
      </c>
      <c r="B73" s="3">
        <f t="shared" si="4"/>
        <v>46086</v>
      </c>
      <c r="C73" s="3">
        <f t="shared" si="5"/>
        <v>46092</v>
      </c>
      <c r="D73" s="2">
        <v>3342</v>
      </c>
      <c r="E73" s="2">
        <v>333</v>
      </c>
      <c r="F73" s="2">
        <v>3</v>
      </c>
      <c r="G73" s="4" t="s">
        <v>59</v>
      </c>
      <c r="H73" s="4" t="s">
        <v>271</v>
      </c>
      <c r="I73" s="4" t="s">
        <v>18</v>
      </c>
      <c r="J73" s="4">
        <v>14100831</v>
      </c>
      <c r="K73" s="4" t="s">
        <v>649</v>
      </c>
      <c r="L73" s="4" t="s">
        <v>653</v>
      </c>
      <c r="M73" s="5">
        <v>129900</v>
      </c>
      <c r="N73" s="6">
        <v>0.8</v>
      </c>
      <c r="O73" s="7">
        <f t="shared" si="3"/>
        <v>25980</v>
      </c>
      <c r="P73" s="6" t="s">
        <v>740</v>
      </c>
    </row>
    <row r="74" spans="1:16" x14ac:dyDescent="0.35">
      <c r="A74" s="2" t="s">
        <v>741</v>
      </c>
      <c r="B74" s="3">
        <f t="shared" si="4"/>
        <v>46086</v>
      </c>
      <c r="C74" s="3">
        <f t="shared" si="5"/>
        <v>46092</v>
      </c>
      <c r="D74" s="2">
        <v>3342</v>
      </c>
      <c r="E74" s="2">
        <v>333</v>
      </c>
      <c r="F74" s="2">
        <v>3</v>
      </c>
      <c r="G74" s="4" t="s">
        <v>59</v>
      </c>
      <c r="H74" s="4" t="s">
        <v>271</v>
      </c>
      <c r="I74" s="4" t="s">
        <v>18</v>
      </c>
      <c r="J74" s="4">
        <v>14100840</v>
      </c>
      <c r="K74" s="4" t="s">
        <v>654</v>
      </c>
      <c r="L74" s="4" t="s">
        <v>655</v>
      </c>
      <c r="M74" s="5">
        <v>129900</v>
      </c>
      <c r="N74" s="6">
        <v>0.8</v>
      </c>
      <c r="O74" s="7">
        <f t="shared" si="3"/>
        <v>25980</v>
      </c>
      <c r="P74" s="6" t="s">
        <v>740</v>
      </c>
    </row>
    <row r="75" spans="1:16" x14ac:dyDescent="0.35">
      <c r="A75" s="2" t="s">
        <v>741</v>
      </c>
      <c r="B75" s="3">
        <f t="shared" si="4"/>
        <v>46086</v>
      </c>
      <c r="C75" s="3">
        <f t="shared" si="5"/>
        <v>46092</v>
      </c>
      <c r="D75" s="2">
        <v>3342</v>
      </c>
      <c r="E75" s="2">
        <v>333</v>
      </c>
      <c r="F75" s="2">
        <v>3</v>
      </c>
      <c r="G75" s="4" t="s">
        <v>59</v>
      </c>
      <c r="H75" s="4" t="s">
        <v>271</v>
      </c>
      <c r="I75" s="4" t="s">
        <v>18</v>
      </c>
      <c r="J75" s="4">
        <v>14100859</v>
      </c>
      <c r="K75" s="4" t="s">
        <v>654</v>
      </c>
      <c r="L75" s="4" t="s">
        <v>656</v>
      </c>
      <c r="M75" s="5">
        <v>129900</v>
      </c>
      <c r="N75" s="6">
        <v>0.8</v>
      </c>
      <c r="O75" s="7">
        <f t="shared" si="3"/>
        <v>25980</v>
      </c>
      <c r="P75" s="6" t="s">
        <v>740</v>
      </c>
    </row>
    <row r="76" spans="1:16" x14ac:dyDescent="0.35">
      <c r="A76" s="2" t="s">
        <v>741</v>
      </c>
      <c r="B76" s="3">
        <f t="shared" si="4"/>
        <v>46086</v>
      </c>
      <c r="C76" s="3">
        <f t="shared" si="5"/>
        <v>46092</v>
      </c>
      <c r="D76" s="2">
        <v>3342</v>
      </c>
      <c r="E76" s="2">
        <v>333</v>
      </c>
      <c r="F76" s="2">
        <v>3</v>
      </c>
      <c r="G76" s="4" t="s">
        <v>59</v>
      </c>
      <c r="H76" s="4" t="s">
        <v>271</v>
      </c>
      <c r="I76" s="4" t="s">
        <v>18</v>
      </c>
      <c r="J76" s="4">
        <v>14100868</v>
      </c>
      <c r="K76" s="4" t="s">
        <v>654</v>
      </c>
      <c r="L76" s="4" t="s">
        <v>657</v>
      </c>
      <c r="M76" s="5">
        <v>129900</v>
      </c>
      <c r="N76" s="6">
        <v>0.8</v>
      </c>
      <c r="O76" s="7">
        <f t="shared" si="3"/>
        <v>25980</v>
      </c>
      <c r="P76" s="6" t="s">
        <v>740</v>
      </c>
    </row>
    <row r="77" spans="1:16" x14ac:dyDescent="0.35">
      <c r="A77" s="2" t="s">
        <v>741</v>
      </c>
      <c r="B77" s="3">
        <f t="shared" si="4"/>
        <v>46086</v>
      </c>
      <c r="C77" s="3">
        <f t="shared" si="5"/>
        <v>46092</v>
      </c>
      <c r="D77" s="2">
        <v>3342</v>
      </c>
      <c r="E77" s="2">
        <v>333</v>
      </c>
      <c r="F77" s="2">
        <v>3</v>
      </c>
      <c r="G77" s="4" t="s">
        <v>59</v>
      </c>
      <c r="H77" s="4" t="s">
        <v>271</v>
      </c>
      <c r="I77" s="4" t="s">
        <v>18</v>
      </c>
      <c r="J77" s="4">
        <v>14100877</v>
      </c>
      <c r="K77" s="4" t="s">
        <v>654</v>
      </c>
      <c r="L77" s="4" t="s">
        <v>658</v>
      </c>
      <c r="M77" s="5">
        <v>129900</v>
      </c>
      <c r="N77" s="6">
        <v>0.8</v>
      </c>
      <c r="O77" s="7">
        <f t="shared" si="3"/>
        <v>25980</v>
      </c>
      <c r="P77" s="6" t="s">
        <v>740</v>
      </c>
    </row>
    <row r="78" spans="1:16" x14ac:dyDescent="0.35">
      <c r="A78" s="2" t="s">
        <v>741</v>
      </c>
      <c r="B78" s="3">
        <f t="shared" si="4"/>
        <v>46086</v>
      </c>
      <c r="C78" s="3">
        <f t="shared" si="5"/>
        <v>46092</v>
      </c>
      <c r="D78" s="2">
        <v>3342</v>
      </c>
      <c r="E78" s="2">
        <v>333</v>
      </c>
      <c r="F78" s="2">
        <v>3</v>
      </c>
      <c r="G78" s="4" t="s">
        <v>59</v>
      </c>
      <c r="H78" s="4" t="s">
        <v>271</v>
      </c>
      <c r="I78" s="4" t="s">
        <v>18</v>
      </c>
      <c r="J78" s="4">
        <v>14100886</v>
      </c>
      <c r="K78" s="4" t="s">
        <v>659</v>
      </c>
      <c r="L78" s="4" t="s">
        <v>660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x14ac:dyDescent="0.35">
      <c r="A79" s="2" t="s">
        <v>741</v>
      </c>
      <c r="B79" s="3">
        <f t="shared" si="4"/>
        <v>46086</v>
      </c>
      <c r="C79" s="3">
        <f t="shared" si="5"/>
        <v>46092</v>
      </c>
      <c r="D79" s="2">
        <v>3342</v>
      </c>
      <c r="E79" s="2">
        <v>333</v>
      </c>
      <c r="F79" s="2">
        <v>3</v>
      </c>
      <c r="G79" s="4" t="s">
        <v>59</v>
      </c>
      <c r="H79" s="4" t="s">
        <v>271</v>
      </c>
      <c r="I79" s="4" t="s">
        <v>18</v>
      </c>
      <c r="J79" s="4">
        <v>14100895</v>
      </c>
      <c r="K79" s="4" t="s">
        <v>659</v>
      </c>
      <c r="L79" s="4" t="s">
        <v>661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x14ac:dyDescent="0.35">
      <c r="A80" s="2" t="s">
        <v>741</v>
      </c>
      <c r="B80" s="3">
        <f t="shared" si="4"/>
        <v>46086</v>
      </c>
      <c r="C80" s="3">
        <f t="shared" si="5"/>
        <v>46092</v>
      </c>
      <c r="D80" s="2">
        <v>3342</v>
      </c>
      <c r="E80" s="2">
        <v>333</v>
      </c>
      <c r="F80" s="2">
        <v>3</v>
      </c>
      <c r="G80" s="4" t="s">
        <v>59</v>
      </c>
      <c r="H80" s="4" t="s">
        <v>271</v>
      </c>
      <c r="I80" s="4" t="s">
        <v>18</v>
      </c>
      <c r="J80" s="4">
        <v>14100902</v>
      </c>
      <c r="K80" s="4" t="s">
        <v>659</v>
      </c>
      <c r="L80" s="4" t="s">
        <v>662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x14ac:dyDescent="0.35">
      <c r="A81" s="2" t="s">
        <v>741</v>
      </c>
      <c r="B81" s="3">
        <f t="shared" si="4"/>
        <v>46086</v>
      </c>
      <c r="C81" s="3">
        <f t="shared" si="5"/>
        <v>46092</v>
      </c>
      <c r="D81" s="2">
        <v>3342</v>
      </c>
      <c r="E81" s="2">
        <v>333</v>
      </c>
      <c r="F81" s="2">
        <v>3</v>
      </c>
      <c r="G81" s="4" t="s">
        <v>59</v>
      </c>
      <c r="H81" s="4" t="s">
        <v>271</v>
      </c>
      <c r="I81" s="4" t="s">
        <v>18</v>
      </c>
      <c r="J81" s="4">
        <v>14100911</v>
      </c>
      <c r="K81" s="4" t="s">
        <v>659</v>
      </c>
      <c r="L81" s="4" t="s">
        <v>663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x14ac:dyDescent="0.35">
      <c r="A82" s="2" t="s">
        <v>741</v>
      </c>
      <c r="B82" s="3">
        <f t="shared" si="4"/>
        <v>46086</v>
      </c>
      <c r="C82" s="3">
        <f t="shared" si="5"/>
        <v>46092</v>
      </c>
      <c r="D82" s="2">
        <v>3342</v>
      </c>
      <c r="E82" s="2">
        <v>333</v>
      </c>
      <c r="F82" s="2">
        <v>3</v>
      </c>
      <c r="G82" s="4" t="s">
        <v>16</v>
      </c>
      <c r="H82" s="4" t="s">
        <v>60</v>
      </c>
      <c r="I82" s="4" t="s">
        <v>18</v>
      </c>
      <c r="J82" s="4">
        <v>10612009</v>
      </c>
      <c r="K82" s="4" t="s">
        <v>495</v>
      </c>
      <c r="L82" s="4" t="s">
        <v>541</v>
      </c>
      <c r="M82" s="5">
        <v>79900</v>
      </c>
      <c r="N82" s="6">
        <v>0.8</v>
      </c>
      <c r="O82" s="7">
        <f t="shared" si="3"/>
        <v>15980</v>
      </c>
      <c r="P82" s="6" t="s">
        <v>740</v>
      </c>
    </row>
    <row r="83" spans="1:16" x14ac:dyDescent="0.35">
      <c r="A83" s="2" t="s">
        <v>741</v>
      </c>
      <c r="B83" s="3">
        <f t="shared" si="4"/>
        <v>46086</v>
      </c>
      <c r="C83" s="3">
        <f t="shared" si="5"/>
        <v>46092</v>
      </c>
      <c r="D83" s="2">
        <v>3342</v>
      </c>
      <c r="E83" s="2">
        <v>333</v>
      </c>
      <c r="F83" s="2">
        <v>3</v>
      </c>
      <c r="G83" s="4" t="s">
        <v>16</v>
      </c>
      <c r="H83" s="4" t="s">
        <v>60</v>
      </c>
      <c r="I83" s="4" t="s">
        <v>18</v>
      </c>
      <c r="J83" s="4">
        <v>10612018</v>
      </c>
      <c r="K83" s="4" t="s">
        <v>495</v>
      </c>
      <c r="L83" s="4" t="s">
        <v>542</v>
      </c>
      <c r="M83" s="5">
        <v>79900</v>
      </c>
      <c r="N83" s="6">
        <v>0.8</v>
      </c>
      <c r="O83" s="7">
        <f t="shared" si="3"/>
        <v>15980</v>
      </c>
      <c r="P83" s="6" t="s">
        <v>740</v>
      </c>
    </row>
    <row r="84" spans="1:16" x14ac:dyDescent="0.35">
      <c r="A84" s="2" t="s">
        <v>741</v>
      </c>
      <c r="B84" s="3">
        <f t="shared" si="4"/>
        <v>46086</v>
      </c>
      <c r="C84" s="3">
        <f t="shared" si="5"/>
        <v>46092</v>
      </c>
      <c r="D84" s="2">
        <v>3342</v>
      </c>
      <c r="E84" s="2">
        <v>333</v>
      </c>
      <c r="F84" s="2">
        <v>3</v>
      </c>
      <c r="G84" s="4" t="s">
        <v>16</v>
      </c>
      <c r="H84" s="4" t="s">
        <v>60</v>
      </c>
      <c r="I84" s="4" t="s">
        <v>18</v>
      </c>
      <c r="J84" s="4">
        <v>10612027</v>
      </c>
      <c r="K84" s="4" t="s">
        <v>495</v>
      </c>
      <c r="L84" s="4" t="s">
        <v>543</v>
      </c>
      <c r="M84" s="5">
        <v>79900</v>
      </c>
      <c r="N84" s="6">
        <v>0.8</v>
      </c>
      <c r="O84" s="7">
        <f t="shared" si="3"/>
        <v>15980</v>
      </c>
      <c r="P84" s="6" t="s">
        <v>740</v>
      </c>
    </row>
    <row r="85" spans="1:16" x14ac:dyDescent="0.35">
      <c r="A85" s="2" t="s">
        <v>741</v>
      </c>
      <c r="B85" s="3">
        <f t="shared" si="4"/>
        <v>46086</v>
      </c>
      <c r="C85" s="3">
        <f t="shared" si="5"/>
        <v>46092</v>
      </c>
      <c r="D85" s="2">
        <v>3342</v>
      </c>
      <c r="E85" s="2">
        <v>333</v>
      </c>
      <c r="F85" s="2">
        <v>3</v>
      </c>
      <c r="G85" s="4" t="s">
        <v>16</v>
      </c>
      <c r="H85" s="4" t="s">
        <v>60</v>
      </c>
      <c r="I85" s="4" t="s">
        <v>18</v>
      </c>
      <c r="J85" s="4">
        <v>10612116</v>
      </c>
      <c r="K85" s="4" t="s">
        <v>544</v>
      </c>
      <c r="L85" s="4" t="s">
        <v>545</v>
      </c>
      <c r="M85" s="5">
        <v>79900</v>
      </c>
      <c r="N85" s="6">
        <v>0.8</v>
      </c>
      <c r="O85" s="7">
        <f t="shared" si="3"/>
        <v>15980</v>
      </c>
      <c r="P85" s="6" t="s">
        <v>740</v>
      </c>
    </row>
    <row r="86" spans="1:16" x14ac:dyDescent="0.35">
      <c r="A86" s="2" t="s">
        <v>741</v>
      </c>
      <c r="B86" s="3">
        <f t="shared" si="4"/>
        <v>46086</v>
      </c>
      <c r="C86" s="3">
        <f t="shared" si="5"/>
        <v>46092</v>
      </c>
      <c r="D86" s="2">
        <v>3342</v>
      </c>
      <c r="E86" s="2">
        <v>333</v>
      </c>
      <c r="F86" s="2">
        <v>3</v>
      </c>
      <c r="G86" s="4" t="s">
        <v>16</v>
      </c>
      <c r="H86" s="4" t="s">
        <v>60</v>
      </c>
      <c r="I86" s="4" t="s">
        <v>18</v>
      </c>
      <c r="J86" s="4">
        <v>10612125</v>
      </c>
      <c r="K86" s="4" t="s">
        <v>544</v>
      </c>
      <c r="L86" s="4" t="s">
        <v>546</v>
      </c>
      <c r="M86" s="5">
        <v>79900</v>
      </c>
      <c r="N86" s="6">
        <v>0.8</v>
      </c>
      <c r="O86" s="7">
        <f t="shared" si="3"/>
        <v>15980</v>
      </c>
      <c r="P86" s="6" t="s">
        <v>740</v>
      </c>
    </row>
    <row r="87" spans="1:16" x14ac:dyDescent="0.35">
      <c r="A87" s="2" t="s">
        <v>741</v>
      </c>
      <c r="B87" s="3">
        <f t="shared" si="4"/>
        <v>46086</v>
      </c>
      <c r="C87" s="3">
        <f t="shared" si="5"/>
        <v>46092</v>
      </c>
      <c r="D87" s="2">
        <v>3342</v>
      </c>
      <c r="E87" s="2">
        <v>333</v>
      </c>
      <c r="F87" s="2">
        <v>3</v>
      </c>
      <c r="G87" s="4" t="s">
        <v>16</v>
      </c>
      <c r="H87" s="4" t="s">
        <v>60</v>
      </c>
      <c r="I87" s="4" t="s">
        <v>18</v>
      </c>
      <c r="J87" s="4">
        <v>10612134</v>
      </c>
      <c r="K87" s="4" t="s">
        <v>544</v>
      </c>
      <c r="L87" s="4" t="s">
        <v>547</v>
      </c>
      <c r="M87" s="5">
        <v>79900</v>
      </c>
      <c r="N87" s="6">
        <v>0.8</v>
      </c>
      <c r="O87" s="7">
        <f t="shared" si="3"/>
        <v>15980</v>
      </c>
      <c r="P87" s="6" t="s">
        <v>740</v>
      </c>
    </row>
    <row r="88" spans="1:16" x14ac:dyDescent="0.35">
      <c r="A88" s="2" t="s">
        <v>741</v>
      </c>
      <c r="B88" s="3">
        <f t="shared" si="4"/>
        <v>46086</v>
      </c>
      <c r="C88" s="3">
        <f t="shared" si="5"/>
        <v>46092</v>
      </c>
      <c r="D88" s="2">
        <v>3342</v>
      </c>
      <c r="E88" s="2">
        <v>333</v>
      </c>
      <c r="F88" s="2">
        <v>3</v>
      </c>
      <c r="G88" s="4" t="s">
        <v>16</v>
      </c>
      <c r="H88" s="4" t="s">
        <v>60</v>
      </c>
      <c r="I88" s="4" t="s">
        <v>18</v>
      </c>
      <c r="J88" s="4">
        <v>10612143</v>
      </c>
      <c r="K88" s="4" t="s">
        <v>544</v>
      </c>
      <c r="L88" s="4" t="s">
        <v>548</v>
      </c>
      <c r="M88" s="5">
        <v>79900</v>
      </c>
      <c r="N88" s="6">
        <v>0.8</v>
      </c>
      <c r="O88" s="7">
        <f t="shared" si="3"/>
        <v>15980</v>
      </c>
      <c r="P88" s="6" t="s">
        <v>740</v>
      </c>
    </row>
    <row r="89" spans="1:16" x14ac:dyDescent="0.35">
      <c r="A89" s="2" t="s">
        <v>741</v>
      </c>
      <c r="B89" s="3">
        <f t="shared" si="4"/>
        <v>46086</v>
      </c>
      <c r="C89" s="3">
        <f t="shared" si="5"/>
        <v>46092</v>
      </c>
      <c r="D89" s="2">
        <v>3342</v>
      </c>
      <c r="E89" s="2">
        <v>333</v>
      </c>
      <c r="F89" s="2">
        <v>3</v>
      </c>
      <c r="G89" s="4" t="s">
        <v>16</v>
      </c>
      <c r="H89" s="4" t="s">
        <v>60</v>
      </c>
      <c r="I89" s="4" t="s">
        <v>18</v>
      </c>
      <c r="J89" s="4">
        <v>10612198</v>
      </c>
      <c r="K89" s="4" t="s">
        <v>549</v>
      </c>
      <c r="L89" s="4" t="s">
        <v>550</v>
      </c>
      <c r="M89" s="5">
        <v>79900</v>
      </c>
      <c r="N89" s="6">
        <v>0.8</v>
      </c>
      <c r="O89" s="7">
        <f t="shared" si="3"/>
        <v>15980</v>
      </c>
      <c r="P89" s="6" t="s">
        <v>740</v>
      </c>
    </row>
    <row r="90" spans="1:16" x14ac:dyDescent="0.35">
      <c r="A90" s="2" t="s">
        <v>741</v>
      </c>
      <c r="B90" s="3">
        <f t="shared" si="4"/>
        <v>46086</v>
      </c>
      <c r="C90" s="3">
        <f t="shared" si="5"/>
        <v>46092</v>
      </c>
      <c r="D90" s="2">
        <v>3342</v>
      </c>
      <c r="E90" s="2">
        <v>333</v>
      </c>
      <c r="F90" s="2">
        <v>3</v>
      </c>
      <c r="G90" s="4" t="s">
        <v>16</v>
      </c>
      <c r="H90" s="4" t="s">
        <v>60</v>
      </c>
      <c r="I90" s="4" t="s">
        <v>18</v>
      </c>
      <c r="J90" s="4">
        <v>10612205</v>
      </c>
      <c r="K90" s="4" t="s">
        <v>549</v>
      </c>
      <c r="L90" s="4" t="s">
        <v>551</v>
      </c>
      <c r="M90" s="5">
        <v>79900</v>
      </c>
      <c r="N90" s="6">
        <v>0.8</v>
      </c>
      <c r="O90" s="7">
        <f t="shared" si="3"/>
        <v>15980</v>
      </c>
      <c r="P90" s="6" t="s">
        <v>740</v>
      </c>
    </row>
    <row r="91" spans="1:16" x14ac:dyDescent="0.35">
      <c r="A91" s="2" t="s">
        <v>741</v>
      </c>
      <c r="B91" s="3">
        <f t="shared" si="4"/>
        <v>46086</v>
      </c>
      <c r="C91" s="3">
        <f t="shared" si="5"/>
        <v>46092</v>
      </c>
      <c r="D91" s="2">
        <v>3342</v>
      </c>
      <c r="E91" s="2">
        <v>333</v>
      </c>
      <c r="F91" s="2">
        <v>3</v>
      </c>
      <c r="G91" s="4" t="s">
        <v>16</v>
      </c>
      <c r="H91" s="4" t="s">
        <v>60</v>
      </c>
      <c r="I91" s="4" t="s">
        <v>18</v>
      </c>
      <c r="J91" s="4">
        <v>10612214</v>
      </c>
      <c r="K91" s="4" t="s">
        <v>549</v>
      </c>
      <c r="L91" s="4" t="s">
        <v>552</v>
      </c>
      <c r="M91" s="5">
        <v>79900</v>
      </c>
      <c r="N91" s="6">
        <v>0.8</v>
      </c>
      <c r="O91" s="7">
        <f t="shared" si="3"/>
        <v>15980</v>
      </c>
      <c r="P91" s="6" t="s">
        <v>740</v>
      </c>
    </row>
    <row r="92" spans="1:16" x14ac:dyDescent="0.35">
      <c r="A92" s="2" t="s">
        <v>741</v>
      </c>
      <c r="B92" s="3">
        <f t="shared" si="4"/>
        <v>46086</v>
      </c>
      <c r="C92" s="3">
        <f t="shared" si="5"/>
        <v>46092</v>
      </c>
      <c r="D92" s="2">
        <v>3342</v>
      </c>
      <c r="E92" s="2">
        <v>333</v>
      </c>
      <c r="F92" s="2">
        <v>3</v>
      </c>
      <c r="G92" s="4" t="s">
        <v>16</v>
      </c>
      <c r="H92" s="4" t="s">
        <v>60</v>
      </c>
      <c r="I92" s="4" t="s">
        <v>18</v>
      </c>
      <c r="J92" s="4">
        <v>10612223</v>
      </c>
      <c r="K92" s="4" t="s">
        <v>549</v>
      </c>
      <c r="L92" s="4" t="s">
        <v>553</v>
      </c>
      <c r="M92" s="5">
        <v>79900</v>
      </c>
      <c r="N92" s="6">
        <v>0.8</v>
      </c>
      <c r="O92" s="7">
        <f t="shared" si="3"/>
        <v>15980</v>
      </c>
      <c r="P92" s="6" t="s">
        <v>740</v>
      </c>
    </row>
    <row r="93" spans="1:16" x14ac:dyDescent="0.35">
      <c r="A93" s="2" t="s">
        <v>741</v>
      </c>
      <c r="B93" s="3">
        <f t="shared" si="4"/>
        <v>46086</v>
      </c>
      <c r="C93" s="3">
        <f t="shared" si="5"/>
        <v>46092</v>
      </c>
      <c r="D93" s="2">
        <v>3342</v>
      </c>
      <c r="E93" s="2">
        <v>333</v>
      </c>
      <c r="F93" s="2">
        <v>3</v>
      </c>
      <c r="G93" s="4" t="s">
        <v>16</v>
      </c>
      <c r="H93" s="4" t="s">
        <v>60</v>
      </c>
      <c r="I93" s="4" t="s">
        <v>18</v>
      </c>
      <c r="J93" s="4">
        <v>14453764</v>
      </c>
      <c r="K93" s="4" t="s">
        <v>554</v>
      </c>
      <c r="L93" s="4" t="s">
        <v>555</v>
      </c>
      <c r="M93" s="5">
        <v>79900</v>
      </c>
      <c r="N93" s="6">
        <v>0.8</v>
      </c>
      <c r="O93" s="7">
        <f t="shared" si="3"/>
        <v>15980</v>
      </c>
      <c r="P93" s="6" t="s">
        <v>740</v>
      </c>
    </row>
    <row r="94" spans="1:16" x14ac:dyDescent="0.35">
      <c r="A94" s="2" t="s">
        <v>741</v>
      </c>
      <c r="B94" s="3">
        <f t="shared" si="4"/>
        <v>46086</v>
      </c>
      <c r="C94" s="3">
        <f t="shared" si="5"/>
        <v>46092</v>
      </c>
      <c r="D94" s="2">
        <v>3342</v>
      </c>
      <c r="E94" s="2">
        <v>333</v>
      </c>
      <c r="F94" s="2">
        <v>3</v>
      </c>
      <c r="G94" s="4" t="s">
        <v>16</v>
      </c>
      <c r="H94" s="4" t="s">
        <v>60</v>
      </c>
      <c r="I94" s="4" t="s">
        <v>18</v>
      </c>
      <c r="J94" s="4">
        <v>14453773</v>
      </c>
      <c r="K94" s="4" t="s">
        <v>554</v>
      </c>
      <c r="L94" s="4" t="s">
        <v>556</v>
      </c>
      <c r="M94" s="5">
        <v>79900</v>
      </c>
      <c r="N94" s="6">
        <v>0.8</v>
      </c>
      <c r="O94" s="7">
        <f t="shared" si="3"/>
        <v>15980</v>
      </c>
      <c r="P94" s="6" t="s">
        <v>740</v>
      </c>
    </row>
    <row r="95" spans="1:16" x14ac:dyDescent="0.35">
      <c r="A95" s="2" t="s">
        <v>741</v>
      </c>
      <c r="B95" s="3">
        <f t="shared" si="4"/>
        <v>46086</v>
      </c>
      <c r="C95" s="3">
        <f t="shared" si="5"/>
        <v>46092</v>
      </c>
      <c r="D95" s="2">
        <v>3342</v>
      </c>
      <c r="E95" s="2">
        <v>333</v>
      </c>
      <c r="F95" s="2">
        <v>3</v>
      </c>
      <c r="G95" s="4" t="s">
        <v>16</v>
      </c>
      <c r="H95" s="4" t="s">
        <v>60</v>
      </c>
      <c r="I95" s="4" t="s">
        <v>18</v>
      </c>
      <c r="J95" s="4">
        <v>14453782</v>
      </c>
      <c r="K95" s="4" t="s">
        <v>554</v>
      </c>
      <c r="L95" s="4" t="s">
        <v>557</v>
      </c>
      <c r="M95" s="5">
        <v>79900</v>
      </c>
      <c r="N95" s="6">
        <v>0.8</v>
      </c>
      <c r="O95" s="7">
        <f t="shared" si="3"/>
        <v>15980</v>
      </c>
      <c r="P95" s="6" t="s">
        <v>740</v>
      </c>
    </row>
    <row r="96" spans="1:16" x14ac:dyDescent="0.35">
      <c r="A96" s="2" t="s">
        <v>741</v>
      </c>
      <c r="B96" s="3">
        <f t="shared" si="4"/>
        <v>46086</v>
      </c>
      <c r="C96" s="3">
        <f t="shared" si="5"/>
        <v>46092</v>
      </c>
      <c r="D96" s="2">
        <v>3342</v>
      </c>
      <c r="E96" s="2">
        <v>333</v>
      </c>
      <c r="F96" s="2">
        <v>3</v>
      </c>
      <c r="G96" s="4" t="s">
        <v>16</v>
      </c>
      <c r="H96" s="4" t="s">
        <v>60</v>
      </c>
      <c r="I96" s="4" t="s">
        <v>18</v>
      </c>
      <c r="J96" s="4">
        <v>14453791</v>
      </c>
      <c r="K96" s="4" t="s">
        <v>554</v>
      </c>
      <c r="L96" s="4" t="s">
        <v>558</v>
      </c>
      <c r="M96" s="5">
        <v>79900</v>
      </c>
      <c r="N96" s="6">
        <v>0.8</v>
      </c>
      <c r="O96" s="7">
        <f t="shared" si="3"/>
        <v>15980</v>
      </c>
      <c r="P96" s="6" t="s">
        <v>740</v>
      </c>
    </row>
    <row r="97" spans="1:16" x14ac:dyDescent="0.35">
      <c r="A97" s="2" t="s">
        <v>741</v>
      </c>
      <c r="B97" s="3">
        <f t="shared" si="4"/>
        <v>46086</v>
      </c>
      <c r="C97" s="3">
        <f t="shared" si="5"/>
        <v>46092</v>
      </c>
      <c r="D97" s="2">
        <v>3342</v>
      </c>
      <c r="E97" s="2">
        <v>333</v>
      </c>
      <c r="F97" s="2">
        <v>3</v>
      </c>
      <c r="G97" s="4" t="s">
        <v>16</v>
      </c>
      <c r="H97" s="4" t="s">
        <v>60</v>
      </c>
      <c r="I97" s="4" t="s">
        <v>18</v>
      </c>
      <c r="J97" s="4">
        <v>14453808</v>
      </c>
      <c r="K97" s="4" t="s">
        <v>559</v>
      </c>
      <c r="L97" s="4" t="s">
        <v>560</v>
      </c>
      <c r="M97" s="5">
        <v>79900</v>
      </c>
      <c r="N97" s="6">
        <v>0.8</v>
      </c>
      <c r="O97" s="7">
        <f t="shared" si="3"/>
        <v>15980</v>
      </c>
      <c r="P97" s="6" t="s">
        <v>740</v>
      </c>
    </row>
    <row r="98" spans="1:16" x14ac:dyDescent="0.35">
      <c r="A98" s="2" t="s">
        <v>741</v>
      </c>
      <c r="B98" s="3">
        <f t="shared" si="4"/>
        <v>46086</v>
      </c>
      <c r="C98" s="3">
        <f t="shared" si="5"/>
        <v>46092</v>
      </c>
      <c r="D98" s="2">
        <v>3342</v>
      </c>
      <c r="E98" s="2">
        <v>333</v>
      </c>
      <c r="F98" s="2">
        <v>3</v>
      </c>
      <c r="G98" s="4" t="s">
        <v>16</v>
      </c>
      <c r="H98" s="4" t="s">
        <v>60</v>
      </c>
      <c r="I98" s="4" t="s">
        <v>18</v>
      </c>
      <c r="J98" s="4">
        <v>14453817</v>
      </c>
      <c r="K98" s="4" t="s">
        <v>559</v>
      </c>
      <c r="L98" s="4" t="s">
        <v>561</v>
      </c>
      <c r="M98" s="5">
        <v>79900</v>
      </c>
      <c r="N98" s="6">
        <v>0.8</v>
      </c>
      <c r="O98" s="7">
        <f t="shared" si="3"/>
        <v>15980</v>
      </c>
      <c r="P98" s="6" t="s">
        <v>740</v>
      </c>
    </row>
    <row r="99" spans="1:16" x14ac:dyDescent="0.35">
      <c r="A99" s="2" t="s">
        <v>741</v>
      </c>
      <c r="B99" s="3">
        <f t="shared" si="4"/>
        <v>46086</v>
      </c>
      <c r="C99" s="3">
        <f t="shared" si="5"/>
        <v>46092</v>
      </c>
      <c r="D99" s="2">
        <v>3342</v>
      </c>
      <c r="E99" s="2">
        <v>333</v>
      </c>
      <c r="F99" s="2">
        <v>3</v>
      </c>
      <c r="G99" s="4" t="s">
        <v>16</v>
      </c>
      <c r="H99" s="4" t="s">
        <v>60</v>
      </c>
      <c r="I99" s="4" t="s">
        <v>18</v>
      </c>
      <c r="J99" s="4">
        <v>14453826</v>
      </c>
      <c r="K99" s="4" t="s">
        <v>559</v>
      </c>
      <c r="L99" s="4" t="s">
        <v>562</v>
      </c>
      <c r="M99" s="5">
        <v>79900</v>
      </c>
      <c r="N99" s="6">
        <v>0.8</v>
      </c>
      <c r="O99" s="7">
        <f t="shared" si="3"/>
        <v>15980</v>
      </c>
      <c r="P99" s="6" t="s">
        <v>740</v>
      </c>
    </row>
    <row r="100" spans="1:16" x14ac:dyDescent="0.35">
      <c r="A100" s="2" t="s">
        <v>741</v>
      </c>
      <c r="B100" s="3">
        <f t="shared" si="4"/>
        <v>46086</v>
      </c>
      <c r="C100" s="3">
        <f t="shared" si="5"/>
        <v>46092</v>
      </c>
      <c r="D100" s="2">
        <v>3342</v>
      </c>
      <c r="E100" s="2">
        <v>333</v>
      </c>
      <c r="F100" s="2">
        <v>3</v>
      </c>
      <c r="G100" s="4" t="s">
        <v>16</v>
      </c>
      <c r="H100" s="4" t="s">
        <v>60</v>
      </c>
      <c r="I100" s="4" t="s">
        <v>18</v>
      </c>
      <c r="J100" s="4">
        <v>14453835</v>
      </c>
      <c r="K100" s="4" t="s">
        <v>559</v>
      </c>
      <c r="L100" s="4" t="s">
        <v>563</v>
      </c>
      <c r="M100" s="5">
        <v>79900</v>
      </c>
      <c r="N100" s="6">
        <v>0.8</v>
      </c>
      <c r="O100" s="7">
        <f t="shared" si="3"/>
        <v>15980</v>
      </c>
      <c r="P100" s="6" t="s">
        <v>740</v>
      </c>
    </row>
    <row r="101" spans="1:16" x14ac:dyDescent="0.35">
      <c r="A101" s="2" t="s">
        <v>741</v>
      </c>
      <c r="B101" s="3">
        <f t="shared" si="4"/>
        <v>46086</v>
      </c>
      <c r="C101" s="3">
        <f t="shared" si="5"/>
        <v>46092</v>
      </c>
      <c r="D101" s="2">
        <v>3342</v>
      </c>
      <c r="E101" s="2">
        <v>333</v>
      </c>
      <c r="F101" s="2">
        <v>3</v>
      </c>
      <c r="G101" s="4" t="s">
        <v>16</v>
      </c>
      <c r="H101" s="4" t="s">
        <v>60</v>
      </c>
      <c r="I101" s="4" t="s">
        <v>18</v>
      </c>
      <c r="J101" s="4">
        <v>14453844</v>
      </c>
      <c r="K101" s="4" t="s">
        <v>564</v>
      </c>
      <c r="L101" s="4" t="s">
        <v>565</v>
      </c>
      <c r="M101" s="5">
        <v>79900</v>
      </c>
      <c r="N101" s="6">
        <v>0.8</v>
      </c>
      <c r="O101" s="7">
        <f t="shared" si="3"/>
        <v>15980</v>
      </c>
      <c r="P101" s="6" t="s">
        <v>740</v>
      </c>
    </row>
    <row r="102" spans="1:16" x14ac:dyDescent="0.35">
      <c r="A102" s="2" t="s">
        <v>741</v>
      </c>
      <c r="B102" s="3">
        <f t="shared" si="4"/>
        <v>46086</v>
      </c>
      <c r="C102" s="3">
        <f t="shared" si="5"/>
        <v>46092</v>
      </c>
      <c r="D102" s="2">
        <v>3342</v>
      </c>
      <c r="E102" s="2">
        <v>333</v>
      </c>
      <c r="F102" s="2">
        <v>3</v>
      </c>
      <c r="G102" s="4" t="s">
        <v>16</v>
      </c>
      <c r="H102" s="4" t="s">
        <v>60</v>
      </c>
      <c r="I102" s="4" t="s">
        <v>18</v>
      </c>
      <c r="J102" s="4">
        <v>14453853</v>
      </c>
      <c r="K102" s="4" t="s">
        <v>564</v>
      </c>
      <c r="L102" s="4" t="s">
        <v>566</v>
      </c>
      <c r="M102" s="5">
        <v>79900</v>
      </c>
      <c r="N102" s="6">
        <v>0.8</v>
      </c>
      <c r="O102" s="7">
        <f t="shared" si="3"/>
        <v>15980</v>
      </c>
      <c r="P102" s="6" t="s">
        <v>740</v>
      </c>
    </row>
    <row r="103" spans="1:16" x14ac:dyDescent="0.35">
      <c r="A103" s="2" t="s">
        <v>741</v>
      </c>
      <c r="B103" s="3">
        <f t="shared" si="4"/>
        <v>46086</v>
      </c>
      <c r="C103" s="3">
        <f t="shared" si="5"/>
        <v>46092</v>
      </c>
      <c r="D103" s="2">
        <v>3342</v>
      </c>
      <c r="E103" s="2">
        <v>333</v>
      </c>
      <c r="F103" s="2">
        <v>3</v>
      </c>
      <c r="G103" s="4" t="s">
        <v>16</v>
      </c>
      <c r="H103" s="4" t="s">
        <v>60</v>
      </c>
      <c r="I103" s="4" t="s">
        <v>18</v>
      </c>
      <c r="J103" s="4">
        <v>14453862</v>
      </c>
      <c r="K103" s="4" t="s">
        <v>564</v>
      </c>
      <c r="L103" s="4" t="s">
        <v>567</v>
      </c>
      <c r="M103" s="5">
        <v>79900</v>
      </c>
      <c r="N103" s="6">
        <v>0.8</v>
      </c>
      <c r="O103" s="7">
        <f t="shared" si="3"/>
        <v>15980</v>
      </c>
      <c r="P103" s="6" t="s">
        <v>740</v>
      </c>
    </row>
    <row r="104" spans="1:16" x14ac:dyDescent="0.35">
      <c r="A104" s="2" t="s">
        <v>741</v>
      </c>
      <c r="B104" s="3">
        <f t="shared" si="4"/>
        <v>46086</v>
      </c>
      <c r="C104" s="3">
        <f t="shared" si="5"/>
        <v>46092</v>
      </c>
      <c r="D104" s="2">
        <v>3342</v>
      </c>
      <c r="E104" s="2">
        <v>333</v>
      </c>
      <c r="F104" s="2">
        <v>3</v>
      </c>
      <c r="G104" s="4" t="s">
        <v>16</v>
      </c>
      <c r="H104" s="4" t="s">
        <v>60</v>
      </c>
      <c r="I104" s="4" t="s">
        <v>18</v>
      </c>
      <c r="J104" s="4">
        <v>14453871</v>
      </c>
      <c r="K104" s="4" t="s">
        <v>564</v>
      </c>
      <c r="L104" s="4" t="s">
        <v>568</v>
      </c>
      <c r="M104" s="5">
        <v>79900</v>
      </c>
      <c r="N104" s="6">
        <v>0.8</v>
      </c>
      <c r="O104" s="7">
        <f t="shared" si="3"/>
        <v>15980</v>
      </c>
      <c r="P104" s="6" t="s">
        <v>740</v>
      </c>
    </row>
    <row r="105" spans="1:16" x14ac:dyDescent="0.35">
      <c r="A105" s="2" t="s">
        <v>741</v>
      </c>
      <c r="B105" s="3">
        <f t="shared" si="4"/>
        <v>46086</v>
      </c>
      <c r="C105" s="3">
        <f t="shared" si="5"/>
        <v>46092</v>
      </c>
      <c r="D105" s="2">
        <v>3342</v>
      </c>
      <c r="E105" s="2">
        <v>333</v>
      </c>
      <c r="F105" s="2">
        <v>3</v>
      </c>
      <c r="G105" s="4" t="s">
        <v>16</v>
      </c>
      <c r="H105" s="4" t="s">
        <v>60</v>
      </c>
      <c r="I105" s="4" t="s">
        <v>18</v>
      </c>
      <c r="J105" s="4">
        <v>14453880</v>
      </c>
      <c r="K105" s="4" t="s">
        <v>569</v>
      </c>
      <c r="L105" s="4" t="s">
        <v>570</v>
      </c>
      <c r="M105" s="5">
        <v>79900</v>
      </c>
      <c r="N105" s="6">
        <v>0.8</v>
      </c>
      <c r="O105" s="7">
        <f t="shared" si="3"/>
        <v>15980</v>
      </c>
      <c r="P105" s="6" t="s">
        <v>740</v>
      </c>
    </row>
    <row r="106" spans="1:16" x14ac:dyDescent="0.35">
      <c r="A106" s="2" t="s">
        <v>741</v>
      </c>
      <c r="B106" s="3">
        <f t="shared" si="4"/>
        <v>46086</v>
      </c>
      <c r="C106" s="3">
        <f t="shared" si="5"/>
        <v>46092</v>
      </c>
      <c r="D106" s="2">
        <v>3342</v>
      </c>
      <c r="E106" s="2">
        <v>333</v>
      </c>
      <c r="F106" s="2">
        <v>3</v>
      </c>
      <c r="G106" s="4" t="s">
        <v>16</v>
      </c>
      <c r="H106" s="4" t="s">
        <v>60</v>
      </c>
      <c r="I106" s="4" t="s">
        <v>18</v>
      </c>
      <c r="J106" s="4">
        <v>14453899</v>
      </c>
      <c r="K106" s="4" t="s">
        <v>569</v>
      </c>
      <c r="L106" s="4" t="s">
        <v>571</v>
      </c>
      <c r="M106" s="5">
        <v>79900</v>
      </c>
      <c r="N106" s="6">
        <v>0.8</v>
      </c>
      <c r="O106" s="7">
        <f t="shared" si="3"/>
        <v>15980</v>
      </c>
      <c r="P106" s="6" t="s">
        <v>740</v>
      </c>
    </row>
    <row r="107" spans="1:16" x14ac:dyDescent="0.35">
      <c r="A107" s="2" t="s">
        <v>741</v>
      </c>
      <c r="B107" s="3">
        <f t="shared" si="4"/>
        <v>46086</v>
      </c>
      <c r="C107" s="3">
        <f t="shared" si="5"/>
        <v>46092</v>
      </c>
      <c r="D107" s="2">
        <v>3342</v>
      </c>
      <c r="E107" s="2">
        <v>333</v>
      </c>
      <c r="F107" s="2">
        <v>3</v>
      </c>
      <c r="G107" s="4" t="s">
        <v>16</v>
      </c>
      <c r="H107" s="4" t="s">
        <v>60</v>
      </c>
      <c r="I107" s="4" t="s">
        <v>18</v>
      </c>
      <c r="J107" s="4">
        <v>14453906</v>
      </c>
      <c r="K107" s="4" t="s">
        <v>569</v>
      </c>
      <c r="L107" s="4" t="s">
        <v>572</v>
      </c>
      <c r="M107" s="5">
        <v>79900</v>
      </c>
      <c r="N107" s="6">
        <v>0.8</v>
      </c>
      <c r="O107" s="7">
        <f t="shared" si="3"/>
        <v>15980</v>
      </c>
      <c r="P107" s="6" t="s">
        <v>740</v>
      </c>
    </row>
    <row r="108" spans="1:16" x14ac:dyDescent="0.35">
      <c r="A108" s="2" t="s">
        <v>741</v>
      </c>
      <c r="B108" s="3">
        <f t="shared" si="4"/>
        <v>46086</v>
      </c>
      <c r="C108" s="3">
        <f t="shared" si="5"/>
        <v>46092</v>
      </c>
      <c r="D108" s="2">
        <v>3342</v>
      </c>
      <c r="E108" s="2">
        <v>333</v>
      </c>
      <c r="F108" s="2">
        <v>3</v>
      </c>
      <c r="G108" s="4" t="s">
        <v>16</v>
      </c>
      <c r="H108" s="4" t="s">
        <v>60</v>
      </c>
      <c r="I108" s="4" t="s">
        <v>18</v>
      </c>
      <c r="J108" s="4">
        <v>14453915</v>
      </c>
      <c r="K108" s="4" t="s">
        <v>569</v>
      </c>
      <c r="L108" s="4" t="s">
        <v>573</v>
      </c>
      <c r="M108" s="5">
        <v>79900</v>
      </c>
      <c r="N108" s="6">
        <v>0.8</v>
      </c>
      <c r="O108" s="7">
        <f t="shared" si="3"/>
        <v>15980</v>
      </c>
      <c r="P108" s="6" t="s">
        <v>740</v>
      </c>
    </row>
    <row r="109" spans="1:16" x14ac:dyDescent="0.35">
      <c r="A109" s="2" t="s">
        <v>741</v>
      </c>
      <c r="B109" s="3">
        <f t="shared" si="4"/>
        <v>46086</v>
      </c>
      <c r="C109" s="3">
        <f t="shared" si="5"/>
        <v>46092</v>
      </c>
      <c r="D109" s="2">
        <v>3342</v>
      </c>
      <c r="E109" s="2">
        <v>333</v>
      </c>
      <c r="F109" s="2">
        <v>3</v>
      </c>
      <c r="G109" s="4" t="s">
        <v>16</v>
      </c>
      <c r="H109" s="4" t="s">
        <v>271</v>
      </c>
      <c r="I109" s="4" t="s">
        <v>18</v>
      </c>
      <c r="J109" s="4">
        <v>10611153</v>
      </c>
      <c r="K109" s="4" t="s">
        <v>664</v>
      </c>
      <c r="L109" s="4" t="s">
        <v>665</v>
      </c>
      <c r="M109" s="5">
        <v>79900</v>
      </c>
      <c r="N109" s="6">
        <v>0.8</v>
      </c>
      <c r="O109" s="7">
        <f t="shared" si="3"/>
        <v>15980</v>
      </c>
      <c r="P109" s="6" t="s">
        <v>740</v>
      </c>
    </row>
    <row r="110" spans="1:16" x14ac:dyDescent="0.35">
      <c r="A110" s="2" t="s">
        <v>741</v>
      </c>
      <c r="B110" s="3">
        <f t="shared" si="4"/>
        <v>46086</v>
      </c>
      <c r="C110" s="3">
        <f t="shared" si="5"/>
        <v>46092</v>
      </c>
      <c r="D110" s="2">
        <v>3342</v>
      </c>
      <c r="E110" s="2">
        <v>333</v>
      </c>
      <c r="F110" s="2">
        <v>3</v>
      </c>
      <c r="G110" s="4" t="s">
        <v>16</v>
      </c>
      <c r="H110" s="4" t="s">
        <v>271</v>
      </c>
      <c r="I110" s="4" t="s">
        <v>18</v>
      </c>
      <c r="J110" s="4">
        <v>10611162</v>
      </c>
      <c r="K110" s="4" t="s">
        <v>664</v>
      </c>
      <c r="L110" s="4" t="s">
        <v>666</v>
      </c>
      <c r="M110" s="5">
        <v>79900</v>
      </c>
      <c r="N110" s="6">
        <v>0.8</v>
      </c>
      <c r="O110" s="7">
        <f t="shared" si="3"/>
        <v>15980</v>
      </c>
      <c r="P110" s="6" t="s">
        <v>740</v>
      </c>
    </row>
    <row r="111" spans="1:16" x14ac:dyDescent="0.35">
      <c r="A111" s="2" t="s">
        <v>741</v>
      </c>
      <c r="B111" s="3">
        <f t="shared" si="4"/>
        <v>46086</v>
      </c>
      <c r="C111" s="3">
        <f t="shared" si="5"/>
        <v>46092</v>
      </c>
      <c r="D111" s="2">
        <v>3342</v>
      </c>
      <c r="E111" s="2">
        <v>333</v>
      </c>
      <c r="F111" s="2">
        <v>3</v>
      </c>
      <c r="G111" s="4" t="s">
        <v>16</v>
      </c>
      <c r="H111" s="4" t="s">
        <v>271</v>
      </c>
      <c r="I111" s="4" t="s">
        <v>18</v>
      </c>
      <c r="J111" s="4">
        <v>10611171</v>
      </c>
      <c r="K111" s="4" t="s">
        <v>664</v>
      </c>
      <c r="L111" s="4" t="s">
        <v>667</v>
      </c>
      <c r="M111" s="5">
        <v>79900</v>
      </c>
      <c r="N111" s="6">
        <v>0.8</v>
      </c>
      <c r="O111" s="7">
        <f t="shared" si="3"/>
        <v>15980</v>
      </c>
      <c r="P111" s="6" t="s">
        <v>740</v>
      </c>
    </row>
    <row r="112" spans="1:16" x14ac:dyDescent="0.35">
      <c r="A112" s="2" t="s">
        <v>741</v>
      </c>
      <c r="B112" s="3">
        <f t="shared" si="4"/>
        <v>46086</v>
      </c>
      <c r="C112" s="3">
        <f t="shared" si="5"/>
        <v>46092</v>
      </c>
      <c r="D112" s="2">
        <v>3342</v>
      </c>
      <c r="E112" s="2">
        <v>333</v>
      </c>
      <c r="F112" s="2">
        <v>3</v>
      </c>
      <c r="G112" s="4" t="s">
        <v>16</v>
      </c>
      <c r="H112" s="4" t="s">
        <v>271</v>
      </c>
      <c r="I112" s="4" t="s">
        <v>18</v>
      </c>
      <c r="J112" s="4">
        <v>10611180</v>
      </c>
      <c r="K112" s="4" t="s">
        <v>664</v>
      </c>
      <c r="L112" s="4" t="s">
        <v>668</v>
      </c>
      <c r="M112" s="5">
        <v>79900</v>
      </c>
      <c r="N112" s="6">
        <v>0.8</v>
      </c>
      <c r="O112" s="7">
        <f t="shared" si="3"/>
        <v>15980</v>
      </c>
      <c r="P112" s="6" t="s">
        <v>740</v>
      </c>
    </row>
    <row r="113" spans="1:16" x14ac:dyDescent="0.35">
      <c r="A113" s="2" t="s">
        <v>741</v>
      </c>
      <c r="B113" s="3">
        <f t="shared" si="4"/>
        <v>46086</v>
      </c>
      <c r="C113" s="3">
        <f t="shared" si="5"/>
        <v>46092</v>
      </c>
      <c r="D113" s="2">
        <v>3342</v>
      </c>
      <c r="E113" s="2">
        <v>333</v>
      </c>
      <c r="F113" s="2">
        <v>3</v>
      </c>
      <c r="G113" s="4" t="s">
        <v>16</v>
      </c>
      <c r="H113" s="4" t="s">
        <v>271</v>
      </c>
      <c r="I113" s="4" t="s">
        <v>18</v>
      </c>
      <c r="J113" s="4">
        <v>10611199</v>
      </c>
      <c r="K113" s="4" t="s">
        <v>669</v>
      </c>
      <c r="L113" s="4" t="s">
        <v>670</v>
      </c>
      <c r="M113" s="5">
        <v>79900</v>
      </c>
      <c r="N113" s="6">
        <v>0.8</v>
      </c>
      <c r="O113" s="7">
        <f t="shared" si="3"/>
        <v>15980</v>
      </c>
      <c r="P113" s="6" t="s">
        <v>740</v>
      </c>
    </row>
    <row r="114" spans="1:16" x14ac:dyDescent="0.35">
      <c r="A114" s="2" t="s">
        <v>741</v>
      </c>
      <c r="B114" s="3">
        <f t="shared" si="4"/>
        <v>46086</v>
      </c>
      <c r="C114" s="3">
        <f t="shared" si="5"/>
        <v>46092</v>
      </c>
      <c r="D114" s="2">
        <v>3342</v>
      </c>
      <c r="E114" s="2">
        <v>333</v>
      </c>
      <c r="F114" s="2">
        <v>3</v>
      </c>
      <c r="G114" s="4" t="s">
        <v>16</v>
      </c>
      <c r="H114" s="4" t="s">
        <v>271</v>
      </c>
      <c r="I114" s="4" t="s">
        <v>18</v>
      </c>
      <c r="J114" s="4">
        <v>10611206</v>
      </c>
      <c r="K114" s="4" t="s">
        <v>669</v>
      </c>
      <c r="L114" s="4" t="s">
        <v>671</v>
      </c>
      <c r="M114" s="5">
        <v>79900</v>
      </c>
      <c r="N114" s="6">
        <v>0.8</v>
      </c>
      <c r="O114" s="7">
        <f t="shared" si="3"/>
        <v>15980</v>
      </c>
      <c r="P114" s="6" t="s">
        <v>740</v>
      </c>
    </row>
    <row r="115" spans="1:16" x14ac:dyDescent="0.35">
      <c r="A115" s="2" t="s">
        <v>741</v>
      </c>
      <c r="B115" s="3">
        <f t="shared" si="4"/>
        <v>46086</v>
      </c>
      <c r="C115" s="3">
        <f t="shared" si="5"/>
        <v>46092</v>
      </c>
      <c r="D115" s="2">
        <v>3342</v>
      </c>
      <c r="E115" s="2">
        <v>333</v>
      </c>
      <c r="F115" s="2">
        <v>3</v>
      </c>
      <c r="G115" s="4" t="s">
        <v>16</v>
      </c>
      <c r="H115" s="4" t="s">
        <v>271</v>
      </c>
      <c r="I115" s="4" t="s">
        <v>18</v>
      </c>
      <c r="J115" s="4">
        <v>10611215</v>
      </c>
      <c r="K115" s="4" t="s">
        <v>669</v>
      </c>
      <c r="L115" s="4" t="s">
        <v>672</v>
      </c>
      <c r="M115" s="5">
        <v>79900</v>
      </c>
      <c r="N115" s="6">
        <v>0.8</v>
      </c>
      <c r="O115" s="7">
        <f t="shared" si="3"/>
        <v>15980</v>
      </c>
      <c r="P115" s="6" t="s">
        <v>740</v>
      </c>
    </row>
    <row r="116" spans="1:16" x14ac:dyDescent="0.35">
      <c r="A116" s="2" t="s">
        <v>741</v>
      </c>
      <c r="B116" s="3">
        <f t="shared" si="4"/>
        <v>46086</v>
      </c>
      <c r="C116" s="3">
        <f t="shared" si="5"/>
        <v>46092</v>
      </c>
      <c r="D116" s="2">
        <v>3342</v>
      </c>
      <c r="E116" s="2">
        <v>333</v>
      </c>
      <c r="F116" s="2">
        <v>3</v>
      </c>
      <c r="G116" s="4" t="s">
        <v>16</v>
      </c>
      <c r="H116" s="4" t="s">
        <v>271</v>
      </c>
      <c r="I116" s="4" t="s">
        <v>18</v>
      </c>
      <c r="J116" s="4">
        <v>10611224</v>
      </c>
      <c r="K116" s="4" t="s">
        <v>669</v>
      </c>
      <c r="L116" s="4" t="s">
        <v>673</v>
      </c>
      <c r="M116" s="5">
        <v>79900</v>
      </c>
      <c r="N116" s="6">
        <v>0.8</v>
      </c>
      <c r="O116" s="7">
        <f t="shared" si="3"/>
        <v>15980</v>
      </c>
      <c r="P116" s="6" t="s">
        <v>740</v>
      </c>
    </row>
    <row r="117" spans="1:16" x14ac:dyDescent="0.35">
      <c r="A117" s="2" t="s">
        <v>741</v>
      </c>
      <c r="B117" s="3">
        <f t="shared" si="4"/>
        <v>46086</v>
      </c>
      <c r="C117" s="3">
        <f t="shared" si="5"/>
        <v>46092</v>
      </c>
      <c r="D117" s="2">
        <v>3342</v>
      </c>
      <c r="E117" s="2">
        <v>333</v>
      </c>
      <c r="F117" s="2">
        <v>3</v>
      </c>
      <c r="G117" s="4" t="s">
        <v>16</v>
      </c>
      <c r="H117" s="4" t="s">
        <v>323</v>
      </c>
      <c r="I117" s="4" t="s">
        <v>18</v>
      </c>
      <c r="J117" s="4">
        <v>13492036</v>
      </c>
      <c r="K117" s="4" t="s">
        <v>684</v>
      </c>
      <c r="L117" s="4" t="s">
        <v>685</v>
      </c>
      <c r="M117" s="5">
        <v>59900</v>
      </c>
      <c r="N117" s="6">
        <v>0.8</v>
      </c>
      <c r="O117" s="7">
        <f t="shared" si="3"/>
        <v>11980</v>
      </c>
      <c r="P117" s="6" t="s">
        <v>740</v>
      </c>
    </row>
    <row r="118" spans="1:16" x14ac:dyDescent="0.35">
      <c r="A118" s="2" t="s">
        <v>741</v>
      </c>
      <c r="B118" s="3">
        <f t="shared" si="4"/>
        <v>46086</v>
      </c>
      <c r="C118" s="3">
        <f t="shared" si="5"/>
        <v>46092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13492045</v>
      </c>
      <c r="K118" s="4" t="s">
        <v>684</v>
      </c>
      <c r="L118" s="4" t="s">
        <v>686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x14ac:dyDescent="0.35">
      <c r="A119" s="2" t="s">
        <v>741</v>
      </c>
      <c r="B119" s="3">
        <f t="shared" si="4"/>
        <v>46086</v>
      </c>
      <c r="C119" s="3">
        <f t="shared" si="5"/>
        <v>46092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13492054</v>
      </c>
      <c r="K119" s="4" t="s">
        <v>684</v>
      </c>
      <c r="L119" s="4" t="s">
        <v>687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x14ac:dyDescent="0.35">
      <c r="A120" s="2" t="s">
        <v>741</v>
      </c>
      <c r="B120" s="3">
        <f t="shared" si="4"/>
        <v>46086</v>
      </c>
      <c r="C120" s="3">
        <f t="shared" si="5"/>
        <v>46092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13492063</v>
      </c>
      <c r="K120" s="4" t="s">
        <v>684</v>
      </c>
      <c r="L120" s="4" t="s">
        <v>688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x14ac:dyDescent="0.35">
      <c r="A121" s="2" t="s">
        <v>741</v>
      </c>
      <c r="B121" s="3">
        <f t="shared" si="4"/>
        <v>46086</v>
      </c>
      <c r="C121" s="3">
        <f t="shared" si="5"/>
        <v>46092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13492278</v>
      </c>
      <c r="K121" s="4" t="s">
        <v>689</v>
      </c>
      <c r="L121" s="4" t="s">
        <v>690</v>
      </c>
      <c r="M121" s="5">
        <v>79900</v>
      </c>
      <c r="N121" s="6">
        <v>0.8</v>
      </c>
      <c r="O121" s="7">
        <f t="shared" si="3"/>
        <v>15980</v>
      </c>
      <c r="P121" s="6" t="s">
        <v>740</v>
      </c>
    </row>
    <row r="122" spans="1:16" x14ac:dyDescent="0.35">
      <c r="A122" s="2" t="s">
        <v>741</v>
      </c>
      <c r="B122" s="3">
        <f t="shared" si="4"/>
        <v>46086</v>
      </c>
      <c r="C122" s="3">
        <f t="shared" si="5"/>
        <v>46092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13492287</v>
      </c>
      <c r="K122" s="4" t="s">
        <v>689</v>
      </c>
      <c r="L122" s="4" t="s">
        <v>691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x14ac:dyDescent="0.35">
      <c r="A123" s="2" t="s">
        <v>741</v>
      </c>
      <c r="B123" s="3">
        <f t="shared" si="4"/>
        <v>46086</v>
      </c>
      <c r="C123" s="3">
        <f t="shared" si="5"/>
        <v>46092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13492296</v>
      </c>
      <c r="K123" s="4" t="s">
        <v>689</v>
      </c>
      <c r="L123" s="4" t="s">
        <v>692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x14ac:dyDescent="0.35">
      <c r="A124" s="2" t="s">
        <v>741</v>
      </c>
      <c r="B124" s="3">
        <f t="shared" si="4"/>
        <v>46086</v>
      </c>
      <c r="C124" s="3">
        <f t="shared" si="5"/>
        <v>46092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13492303</v>
      </c>
      <c r="K124" s="4" t="s">
        <v>689</v>
      </c>
      <c r="L124" s="4" t="s">
        <v>693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x14ac:dyDescent="0.35">
      <c r="A125" s="2" t="s">
        <v>741</v>
      </c>
      <c r="B125" s="3">
        <f t="shared" si="4"/>
        <v>46086</v>
      </c>
      <c r="C125" s="3">
        <f t="shared" si="5"/>
        <v>46092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13492312</v>
      </c>
      <c r="K125" s="4" t="s">
        <v>694</v>
      </c>
      <c r="L125" s="4" t="s">
        <v>695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x14ac:dyDescent="0.35">
      <c r="A126" s="2" t="s">
        <v>741</v>
      </c>
      <c r="B126" s="3">
        <f t="shared" si="4"/>
        <v>46086</v>
      </c>
      <c r="C126" s="3">
        <f t="shared" si="5"/>
        <v>46092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13492321</v>
      </c>
      <c r="K126" s="4" t="s">
        <v>694</v>
      </c>
      <c r="L126" s="4" t="s">
        <v>696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x14ac:dyDescent="0.35">
      <c r="A127" s="2" t="s">
        <v>741</v>
      </c>
      <c r="B127" s="3">
        <f t="shared" si="4"/>
        <v>46086</v>
      </c>
      <c r="C127" s="3">
        <f t="shared" si="5"/>
        <v>46092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13492330</v>
      </c>
      <c r="K127" s="4" t="s">
        <v>694</v>
      </c>
      <c r="L127" s="4" t="s">
        <v>697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x14ac:dyDescent="0.35">
      <c r="A128" s="2" t="s">
        <v>741</v>
      </c>
      <c r="B128" s="3">
        <f t="shared" si="4"/>
        <v>46086</v>
      </c>
      <c r="C128" s="3">
        <f t="shared" si="5"/>
        <v>46092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13492349</v>
      </c>
      <c r="K128" s="4" t="s">
        <v>694</v>
      </c>
      <c r="L128" s="4" t="s">
        <v>698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x14ac:dyDescent="0.35">
      <c r="A129" s="2" t="s">
        <v>741</v>
      </c>
      <c r="B129" s="3">
        <f t="shared" si="4"/>
        <v>46086</v>
      </c>
      <c r="C129" s="3">
        <f t="shared" si="5"/>
        <v>46092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13492358</v>
      </c>
      <c r="K129" s="4" t="s">
        <v>699</v>
      </c>
      <c r="L129" s="4" t="s">
        <v>700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  <row r="130" spans="1:16" x14ac:dyDescent="0.35">
      <c r="A130" s="2" t="s">
        <v>741</v>
      </c>
      <c r="B130" s="3">
        <f t="shared" si="4"/>
        <v>46086</v>
      </c>
      <c r="C130" s="3">
        <f t="shared" si="5"/>
        <v>46092</v>
      </c>
      <c r="D130" s="2">
        <v>3342</v>
      </c>
      <c r="E130" s="2">
        <v>333</v>
      </c>
      <c r="F130" s="2">
        <v>3</v>
      </c>
      <c r="G130" s="4" t="s">
        <v>16</v>
      </c>
      <c r="H130" s="4" t="s">
        <v>323</v>
      </c>
      <c r="I130" s="4" t="s">
        <v>18</v>
      </c>
      <c r="J130" s="4">
        <v>13492367</v>
      </c>
      <c r="K130" s="4" t="s">
        <v>699</v>
      </c>
      <c r="L130" s="4" t="s">
        <v>701</v>
      </c>
      <c r="M130" s="5">
        <v>79900</v>
      </c>
      <c r="N130" s="6">
        <v>0.8</v>
      </c>
      <c r="O130" s="7">
        <f t="shared" si="3"/>
        <v>15980</v>
      </c>
      <c r="P130" s="6" t="s">
        <v>740</v>
      </c>
    </row>
    <row r="131" spans="1:16" x14ac:dyDescent="0.35">
      <c r="A131" s="2" t="s">
        <v>741</v>
      </c>
      <c r="B131" s="3">
        <f t="shared" si="4"/>
        <v>46086</v>
      </c>
      <c r="C131" s="3">
        <f t="shared" si="5"/>
        <v>46092</v>
      </c>
      <c r="D131" s="2">
        <v>3342</v>
      </c>
      <c r="E131" s="2">
        <v>333</v>
      </c>
      <c r="F131" s="2">
        <v>3</v>
      </c>
      <c r="G131" s="4" t="s">
        <v>16</v>
      </c>
      <c r="H131" s="4" t="s">
        <v>323</v>
      </c>
      <c r="I131" s="4" t="s">
        <v>18</v>
      </c>
      <c r="J131" s="4">
        <v>13492376</v>
      </c>
      <c r="K131" s="4" t="s">
        <v>699</v>
      </c>
      <c r="L131" s="4" t="s">
        <v>702</v>
      </c>
      <c r="M131" s="5">
        <v>79900</v>
      </c>
      <c r="N131" s="6">
        <v>0.8</v>
      </c>
      <c r="O131" s="7">
        <f t="shared" ref="O131:O162" si="6">M131-(M131*N131)</f>
        <v>15980</v>
      </c>
      <c r="P131" s="6" t="s">
        <v>740</v>
      </c>
    </row>
    <row r="132" spans="1:16" x14ac:dyDescent="0.35">
      <c r="A132" s="2" t="s">
        <v>741</v>
      </c>
      <c r="B132" s="3">
        <f t="shared" ref="B132:B162" si="7">B131</f>
        <v>46086</v>
      </c>
      <c r="C132" s="3">
        <f t="shared" ref="C132:C162" si="8">C131</f>
        <v>46092</v>
      </c>
      <c r="D132" s="2">
        <v>3342</v>
      </c>
      <c r="E132" s="2">
        <v>333</v>
      </c>
      <c r="F132" s="2">
        <v>3</v>
      </c>
      <c r="G132" s="4" t="s">
        <v>16</v>
      </c>
      <c r="H132" s="4" t="s">
        <v>323</v>
      </c>
      <c r="I132" s="4" t="s">
        <v>18</v>
      </c>
      <c r="J132" s="4">
        <v>13492385</v>
      </c>
      <c r="K132" s="4" t="s">
        <v>699</v>
      </c>
      <c r="L132" s="4" t="s">
        <v>703</v>
      </c>
      <c r="M132" s="5">
        <v>79900</v>
      </c>
      <c r="N132" s="6">
        <v>0.8</v>
      </c>
      <c r="O132" s="7">
        <f t="shared" si="6"/>
        <v>15980</v>
      </c>
      <c r="P132" s="6" t="s">
        <v>740</v>
      </c>
    </row>
    <row r="133" spans="1:16" x14ac:dyDescent="0.35">
      <c r="A133" s="2" t="s">
        <v>741</v>
      </c>
      <c r="B133" s="3">
        <f t="shared" si="7"/>
        <v>46086</v>
      </c>
      <c r="C133" s="3">
        <f t="shared" si="8"/>
        <v>46092</v>
      </c>
      <c r="D133" s="2">
        <v>3342</v>
      </c>
      <c r="E133" s="2">
        <v>333</v>
      </c>
      <c r="F133" s="2">
        <v>3</v>
      </c>
      <c r="G133" s="4" t="s">
        <v>502</v>
      </c>
      <c r="H133" s="4" t="s">
        <v>416</v>
      </c>
      <c r="I133" s="4" t="s">
        <v>18</v>
      </c>
      <c r="J133" s="4">
        <v>10612821</v>
      </c>
      <c r="K133" s="4" t="s">
        <v>704</v>
      </c>
      <c r="L133" s="4" t="s">
        <v>705</v>
      </c>
      <c r="M133" s="5">
        <v>199900</v>
      </c>
      <c r="N133" s="6">
        <v>0.8</v>
      </c>
      <c r="O133" s="7">
        <f t="shared" si="6"/>
        <v>39980</v>
      </c>
      <c r="P133" s="6" t="s">
        <v>740</v>
      </c>
    </row>
    <row r="134" spans="1:16" x14ac:dyDescent="0.35">
      <c r="A134" s="2" t="s">
        <v>741</v>
      </c>
      <c r="B134" s="3">
        <f t="shared" si="7"/>
        <v>46086</v>
      </c>
      <c r="C134" s="3">
        <f t="shared" si="8"/>
        <v>46092</v>
      </c>
      <c r="D134" s="2">
        <v>3342</v>
      </c>
      <c r="E134" s="2">
        <v>333</v>
      </c>
      <c r="F134" s="2">
        <v>3</v>
      </c>
      <c r="G134" s="4" t="s">
        <v>502</v>
      </c>
      <c r="H134" s="4" t="s">
        <v>416</v>
      </c>
      <c r="I134" s="4" t="s">
        <v>18</v>
      </c>
      <c r="J134" s="4">
        <v>10612830</v>
      </c>
      <c r="K134" s="4" t="s">
        <v>704</v>
      </c>
      <c r="L134" s="4" t="s">
        <v>706</v>
      </c>
      <c r="M134" s="5">
        <v>199900</v>
      </c>
      <c r="N134" s="6">
        <v>0.8</v>
      </c>
      <c r="O134" s="7">
        <f t="shared" si="6"/>
        <v>39980</v>
      </c>
      <c r="P134" s="6" t="s">
        <v>740</v>
      </c>
    </row>
    <row r="135" spans="1:16" x14ac:dyDescent="0.35">
      <c r="A135" s="2" t="s">
        <v>741</v>
      </c>
      <c r="B135" s="3">
        <f t="shared" si="7"/>
        <v>46086</v>
      </c>
      <c r="C135" s="3">
        <f t="shared" si="8"/>
        <v>46092</v>
      </c>
      <c r="D135" s="2">
        <v>3342</v>
      </c>
      <c r="E135" s="2">
        <v>333</v>
      </c>
      <c r="F135" s="2">
        <v>3</v>
      </c>
      <c r="G135" s="4" t="s">
        <v>502</v>
      </c>
      <c r="H135" s="4" t="s">
        <v>416</v>
      </c>
      <c r="I135" s="4" t="s">
        <v>18</v>
      </c>
      <c r="J135" s="4">
        <v>10612849</v>
      </c>
      <c r="K135" s="4" t="s">
        <v>704</v>
      </c>
      <c r="L135" s="4" t="s">
        <v>707</v>
      </c>
      <c r="M135" s="5">
        <v>199900</v>
      </c>
      <c r="N135" s="6">
        <v>0.8</v>
      </c>
      <c r="O135" s="7">
        <f t="shared" si="6"/>
        <v>39980</v>
      </c>
      <c r="P135" s="6" t="s">
        <v>740</v>
      </c>
    </row>
    <row r="136" spans="1:16" x14ac:dyDescent="0.35">
      <c r="A136" s="2" t="s">
        <v>741</v>
      </c>
      <c r="B136" s="3">
        <f t="shared" si="7"/>
        <v>46086</v>
      </c>
      <c r="C136" s="3">
        <f t="shared" si="8"/>
        <v>46092</v>
      </c>
      <c r="D136" s="2">
        <v>3342</v>
      </c>
      <c r="E136" s="2">
        <v>333</v>
      </c>
      <c r="F136" s="2">
        <v>3</v>
      </c>
      <c r="G136" s="4" t="s">
        <v>502</v>
      </c>
      <c r="H136" s="4" t="s">
        <v>416</v>
      </c>
      <c r="I136" s="4" t="s">
        <v>18</v>
      </c>
      <c r="J136" s="4">
        <v>10612858</v>
      </c>
      <c r="K136" s="4" t="s">
        <v>704</v>
      </c>
      <c r="L136" s="4" t="s">
        <v>708</v>
      </c>
      <c r="M136" s="5">
        <v>199900</v>
      </c>
      <c r="N136" s="6">
        <v>0.8</v>
      </c>
      <c r="O136" s="7">
        <f t="shared" si="6"/>
        <v>39980</v>
      </c>
      <c r="P136" s="6" t="s">
        <v>740</v>
      </c>
    </row>
    <row r="137" spans="1:16" x14ac:dyDescent="0.35">
      <c r="A137" s="2" t="s">
        <v>741</v>
      </c>
      <c r="B137" s="3">
        <f t="shared" si="7"/>
        <v>46086</v>
      </c>
      <c r="C137" s="3">
        <f t="shared" si="8"/>
        <v>46092</v>
      </c>
      <c r="D137" s="2">
        <v>3342</v>
      </c>
      <c r="E137" s="2">
        <v>333</v>
      </c>
      <c r="F137" s="2">
        <v>3</v>
      </c>
      <c r="G137" s="4" t="s">
        <v>502</v>
      </c>
      <c r="H137" s="4" t="s">
        <v>416</v>
      </c>
      <c r="I137" s="4" t="s">
        <v>18</v>
      </c>
      <c r="J137" s="4">
        <v>10612867</v>
      </c>
      <c r="K137" s="4" t="s">
        <v>704</v>
      </c>
      <c r="L137" s="4" t="s">
        <v>709</v>
      </c>
      <c r="M137" s="5">
        <v>199900</v>
      </c>
      <c r="N137" s="6">
        <v>0.8</v>
      </c>
      <c r="O137" s="7">
        <f t="shared" si="6"/>
        <v>39980</v>
      </c>
      <c r="P137" s="6" t="s">
        <v>740</v>
      </c>
    </row>
    <row r="138" spans="1:16" x14ac:dyDescent="0.35">
      <c r="A138" s="2" t="s">
        <v>741</v>
      </c>
      <c r="B138" s="3">
        <f t="shared" si="7"/>
        <v>46086</v>
      </c>
      <c r="C138" s="3">
        <f t="shared" si="8"/>
        <v>46092</v>
      </c>
      <c r="D138" s="2">
        <v>3342</v>
      </c>
      <c r="E138" s="2">
        <v>333</v>
      </c>
      <c r="F138" s="2">
        <v>3</v>
      </c>
      <c r="G138" s="4" t="s">
        <v>502</v>
      </c>
      <c r="H138" s="4" t="s">
        <v>416</v>
      </c>
      <c r="I138" s="4" t="s">
        <v>18</v>
      </c>
      <c r="J138" s="4">
        <v>10612876</v>
      </c>
      <c r="K138" s="4" t="s">
        <v>710</v>
      </c>
      <c r="L138" s="4" t="s">
        <v>711</v>
      </c>
      <c r="M138" s="5">
        <v>199900</v>
      </c>
      <c r="N138" s="6">
        <v>0.8</v>
      </c>
      <c r="O138" s="7">
        <f t="shared" si="6"/>
        <v>39980</v>
      </c>
      <c r="P138" s="6" t="s">
        <v>740</v>
      </c>
    </row>
    <row r="139" spans="1:16" x14ac:dyDescent="0.35">
      <c r="A139" s="2" t="s">
        <v>741</v>
      </c>
      <c r="B139" s="3">
        <f t="shared" si="7"/>
        <v>46086</v>
      </c>
      <c r="C139" s="3">
        <f t="shared" si="8"/>
        <v>46092</v>
      </c>
      <c r="D139" s="2">
        <v>3342</v>
      </c>
      <c r="E139" s="2">
        <v>333</v>
      </c>
      <c r="F139" s="2">
        <v>3</v>
      </c>
      <c r="G139" s="4" t="s">
        <v>502</v>
      </c>
      <c r="H139" s="4" t="s">
        <v>416</v>
      </c>
      <c r="I139" s="4" t="s">
        <v>18</v>
      </c>
      <c r="J139" s="4">
        <v>10612885</v>
      </c>
      <c r="K139" s="4" t="s">
        <v>710</v>
      </c>
      <c r="L139" s="4" t="s">
        <v>712</v>
      </c>
      <c r="M139" s="5">
        <v>199900</v>
      </c>
      <c r="N139" s="6">
        <v>0.8</v>
      </c>
      <c r="O139" s="7">
        <f t="shared" si="6"/>
        <v>39980</v>
      </c>
      <c r="P139" s="6" t="s">
        <v>740</v>
      </c>
    </row>
    <row r="140" spans="1:16" x14ac:dyDescent="0.35">
      <c r="A140" s="2" t="s">
        <v>741</v>
      </c>
      <c r="B140" s="3">
        <f t="shared" si="7"/>
        <v>46086</v>
      </c>
      <c r="C140" s="3">
        <f t="shared" si="8"/>
        <v>46092</v>
      </c>
      <c r="D140" s="2">
        <v>3342</v>
      </c>
      <c r="E140" s="2">
        <v>333</v>
      </c>
      <c r="F140" s="2">
        <v>3</v>
      </c>
      <c r="G140" s="4" t="s">
        <v>502</v>
      </c>
      <c r="H140" s="4" t="s">
        <v>416</v>
      </c>
      <c r="I140" s="4" t="s">
        <v>18</v>
      </c>
      <c r="J140" s="4">
        <v>10612894</v>
      </c>
      <c r="K140" s="4" t="s">
        <v>710</v>
      </c>
      <c r="L140" s="4" t="s">
        <v>713</v>
      </c>
      <c r="M140" s="5">
        <v>199900</v>
      </c>
      <c r="N140" s="6">
        <v>0.8</v>
      </c>
      <c r="O140" s="7">
        <f t="shared" si="6"/>
        <v>39980</v>
      </c>
      <c r="P140" s="6" t="s">
        <v>740</v>
      </c>
    </row>
    <row r="141" spans="1:16" x14ac:dyDescent="0.35">
      <c r="A141" s="2" t="s">
        <v>741</v>
      </c>
      <c r="B141" s="3">
        <f t="shared" si="7"/>
        <v>46086</v>
      </c>
      <c r="C141" s="3">
        <f t="shared" si="8"/>
        <v>46092</v>
      </c>
      <c r="D141" s="2">
        <v>3342</v>
      </c>
      <c r="E141" s="2">
        <v>333</v>
      </c>
      <c r="F141" s="2">
        <v>3</v>
      </c>
      <c r="G141" s="4" t="s">
        <v>502</v>
      </c>
      <c r="H141" s="4" t="s">
        <v>416</v>
      </c>
      <c r="I141" s="4" t="s">
        <v>18</v>
      </c>
      <c r="J141" s="4">
        <v>10612901</v>
      </c>
      <c r="K141" s="4" t="s">
        <v>710</v>
      </c>
      <c r="L141" s="4" t="s">
        <v>714</v>
      </c>
      <c r="M141" s="5">
        <v>199900</v>
      </c>
      <c r="N141" s="6">
        <v>0.8</v>
      </c>
      <c r="O141" s="7">
        <f t="shared" si="6"/>
        <v>39980</v>
      </c>
      <c r="P141" s="6" t="s">
        <v>740</v>
      </c>
    </row>
    <row r="142" spans="1:16" x14ac:dyDescent="0.35">
      <c r="A142" s="2" t="s">
        <v>741</v>
      </c>
      <c r="B142" s="3">
        <f t="shared" si="7"/>
        <v>46086</v>
      </c>
      <c r="C142" s="3">
        <f t="shared" si="8"/>
        <v>46092</v>
      </c>
      <c r="D142" s="2">
        <v>3342</v>
      </c>
      <c r="E142" s="2">
        <v>333</v>
      </c>
      <c r="F142" s="2">
        <v>3</v>
      </c>
      <c r="G142" s="4" t="s">
        <v>502</v>
      </c>
      <c r="H142" s="4" t="s">
        <v>416</v>
      </c>
      <c r="I142" s="4" t="s">
        <v>18</v>
      </c>
      <c r="J142" s="4">
        <v>10612910</v>
      </c>
      <c r="K142" s="4" t="s">
        <v>710</v>
      </c>
      <c r="L142" s="4" t="s">
        <v>715</v>
      </c>
      <c r="M142" s="5">
        <v>199900</v>
      </c>
      <c r="N142" s="6">
        <v>0.8</v>
      </c>
      <c r="O142" s="7">
        <f t="shared" si="6"/>
        <v>39980</v>
      </c>
      <c r="P142" s="6" t="s">
        <v>740</v>
      </c>
    </row>
    <row r="143" spans="1:16" x14ac:dyDescent="0.35">
      <c r="A143" s="2" t="s">
        <v>741</v>
      </c>
      <c r="B143" s="3">
        <f t="shared" si="7"/>
        <v>46086</v>
      </c>
      <c r="C143" s="3">
        <f t="shared" si="8"/>
        <v>46092</v>
      </c>
      <c r="D143" s="2">
        <v>3342</v>
      </c>
      <c r="E143" s="2">
        <v>333</v>
      </c>
      <c r="F143" s="2">
        <v>3</v>
      </c>
      <c r="G143" s="4" t="s">
        <v>502</v>
      </c>
      <c r="H143" s="4" t="s">
        <v>416</v>
      </c>
      <c r="I143" s="4" t="s">
        <v>18</v>
      </c>
      <c r="J143" s="4">
        <v>10613026</v>
      </c>
      <c r="K143" s="4" t="s">
        <v>716</v>
      </c>
      <c r="L143" s="4" t="s">
        <v>717</v>
      </c>
      <c r="M143" s="5">
        <v>179900</v>
      </c>
      <c r="N143" s="6">
        <v>0.8</v>
      </c>
      <c r="O143" s="7">
        <f t="shared" si="6"/>
        <v>35980</v>
      </c>
      <c r="P143" s="6" t="s">
        <v>740</v>
      </c>
    </row>
    <row r="144" spans="1:16" x14ac:dyDescent="0.35">
      <c r="A144" s="2" t="s">
        <v>741</v>
      </c>
      <c r="B144" s="3">
        <f t="shared" si="7"/>
        <v>46086</v>
      </c>
      <c r="C144" s="3">
        <f t="shared" si="8"/>
        <v>46092</v>
      </c>
      <c r="D144" s="2">
        <v>3342</v>
      </c>
      <c r="E144" s="2">
        <v>333</v>
      </c>
      <c r="F144" s="2">
        <v>3</v>
      </c>
      <c r="G144" s="4" t="s">
        <v>502</v>
      </c>
      <c r="H144" s="4" t="s">
        <v>416</v>
      </c>
      <c r="I144" s="4" t="s">
        <v>18</v>
      </c>
      <c r="J144" s="4">
        <v>10613035</v>
      </c>
      <c r="K144" s="4" t="s">
        <v>716</v>
      </c>
      <c r="L144" s="4" t="s">
        <v>718</v>
      </c>
      <c r="M144" s="5">
        <v>179900</v>
      </c>
      <c r="N144" s="6">
        <v>0.8</v>
      </c>
      <c r="O144" s="7">
        <f t="shared" si="6"/>
        <v>35980</v>
      </c>
      <c r="P144" s="6" t="s">
        <v>740</v>
      </c>
    </row>
    <row r="145" spans="1:16" x14ac:dyDescent="0.35">
      <c r="A145" s="2" t="s">
        <v>741</v>
      </c>
      <c r="B145" s="3">
        <f t="shared" si="7"/>
        <v>46086</v>
      </c>
      <c r="C145" s="3">
        <f t="shared" si="8"/>
        <v>46092</v>
      </c>
      <c r="D145" s="2">
        <v>3342</v>
      </c>
      <c r="E145" s="2">
        <v>333</v>
      </c>
      <c r="F145" s="2">
        <v>3</v>
      </c>
      <c r="G145" s="4" t="s">
        <v>502</v>
      </c>
      <c r="H145" s="4" t="s">
        <v>416</v>
      </c>
      <c r="I145" s="4" t="s">
        <v>18</v>
      </c>
      <c r="J145" s="4">
        <v>10613044</v>
      </c>
      <c r="K145" s="4" t="s">
        <v>716</v>
      </c>
      <c r="L145" s="4" t="s">
        <v>719</v>
      </c>
      <c r="M145" s="5">
        <v>179900</v>
      </c>
      <c r="N145" s="6">
        <v>0.8</v>
      </c>
      <c r="O145" s="7">
        <f t="shared" si="6"/>
        <v>35980</v>
      </c>
      <c r="P145" s="6" t="s">
        <v>740</v>
      </c>
    </row>
    <row r="146" spans="1:16" x14ac:dyDescent="0.35">
      <c r="A146" s="2" t="s">
        <v>741</v>
      </c>
      <c r="B146" s="3">
        <f t="shared" si="7"/>
        <v>46086</v>
      </c>
      <c r="C146" s="3">
        <f t="shared" si="8"/>
        <v>46092</v>
      </c>
      <c r="D146" s="2">
        <v>3342</v>
      </c>
      <c r="E146" s="2">
        <v>333</v>
      </c>
      <c r="F146" s="2">
        <v>3</v>
      </c>
      <c r="G146" s="4" t="s">
        <v>502</v>
      </c>
      <c r="H146" s="4" t="s">
        <v>416</v>
      </c>
      <c r="I146" s="4" t="s">
        <v>18</v>
      </c>
      <c r="J146" s="4">
        <v>10613053</v>
      </c>
      <c r="K146" s="4" t="s">
        <v>716</v>
      </c>
      <c r="L146" s="4" t="s">
        <v>720</v>
      </c>
      <c r="M146" s="5">
        <v>179900</v>
      </c>
      <c r="N146" s="6">
        <v>0.8</v>
      </c>
      <c r="O146" s="7">
        <f t="shared" si="6"/>
        <v>35980</v>
      </c>
      <c r="P146" s="6" t="s">
        <v>740</v>
      </c>
    </row>
    <row r="147" spans="1:16" x14ac:dyDescent="0.35">
      <c r="A147" s="2" t="s">
        <v>741</v>
      </c>
      <c r="B147" s="3">
        <f t="shared" si="7"/>
        <v>46086</v>
      </c>
      <c r="C147" s="3">
        <f t="shared" si="8"/>
        <v>46092</v>
      </c>
      <c r="D147" s="2">
        <v>3342</v>
      </c>
      <c r="E147" s="2">
        <v>333</v>
      </c>
      <c r="F147" s="2">
        <v>3</v>
      </c>
      <c r="G147" s="4" t="s">
        <v>502</v>
      </c>
      <c r="H147" s="4" t="s">
        <v>416</v>
      </c>
      <c r="I147" s="4" t="s">
        <v>18</v>
      </c>
      <c r="J147" s="4">
        <v>10613062</v>
      </c>
      <c r="K147" s="4" t="s">
        <v>716</v>
      </c>
      <c r="L147" s="4" t="s">
        <v>721</v>
      </c>
      <c r="M147" s="5">
        <v>179900</v>
      </c>
      <c r="N147" s="6">
        <v>0.8</v>
      </c>
      <c r="O147" s="7">
        <f t="shared" si="6"/>
        <v>35980</v>
      </c>
      <c r="P147" s="6" t="s">
        <v>740</v>
      </c>
    </row>
    <row r="148" spans="1:16" x14ac:dyDescent="0.35">
      <c r="A148" s="2" t="s">
        <v>741</v>
      </c>
      <c r="B148" s="3">
        <f t="shared" si="7"/>
        <v>46086</v>
      </c>
      <c r="C148" s="3">
        <f t="shared" si="8"/>
        <v>46092</v>
      </c>
      <c r="D148" s="2">
        <v>3342</v>
      </c>
      <c r="E148" s="2">
        <v>333</v>
      </c>
      <c r="F148" s="2">
        <v>3</v>
      </c>
      <c r="G148" s="4" t="s">
        <v>502</v>
      </c>
      <c r="H148" s="4" t="s">
        <v>416</v>
      </c>
      <c r="I148" s="4" t="s">
        <v>18</v>
      </c>
      <c r="J148" s="4">
        <v>13824703</v>
      </c>
      <c r="K148" s="4" t="s">
        <v>722</v>
      </c>
      <c r="L148" s="4" t="s">
        <v>723</v>
      </c>
      <c r="M148" s="5">
        <v>179900</v>
      </c>
      <c r="N148" s="6">
        <v>0.8</v>
      </c>
      <c r="O148" s="7">
        <f t="shared" si="6"/>
        <v>35980</v>
      </c>
      <c r="P148" s="6" t="s">
        <v>740</v>
      </c>
    </row>
    <row r="149" spans="1:16" x14ac:dyDescent="0.35">
      <c r="A149" s="2" t="s">
        <v>741</v>
      </c>
      <c r="B149" s="3">
        <f t="shared" si="7"/>
        <v>46086</v>
      </c>
      <c r="C149" s="3">
        <f t="shared" si="8"/>
        <v>46092</v>
      </c>
      <c r="D149" s="2">
        <v>3342</v>
      </c>
      <c r="E149" s="2">
        <v>333</v>
      </c>
      <c r="F149" s="2">
        <v>3</v>
      </c>
      <c r="G149" s="4" t="s">
        <v>502</v>
      </c>
      <c r="H149" s="4" t="s">
        <v>416</v>
      </c>
      <c r="I149" s="4" t="s">
        <v>18</v>
      </c>
      <c r="J149" s="4">
        <v>13824712</v>
      </c>
      <c r="K149" s="4" t="s">
        <v>722</v>
      </c>
      <c r="L149" s="4" t="s">
        <v>724</v>
      </c>
      <c r="M149" s="5">
        <v>179900</v>
      </c>
      <c r="N149" s="6">
        <v>0.8</v>
      </c>
      <c r="O149" s="7">
        <f t="shared" si="6"/>
        <v>35980</v>
      </c>
      <c r="P149" s="6" t="s">
        <v>740</v>
      </c>
    </row>
    <row r="150" spans="1:16" x14ac:dyDescent="0.35">
      <c r="A150" s="2" t="s">
        <v>741</v>
      </c>
      <c r="B150" s="3">
        <f t="shared" si="7"/>
        <v>46086</v>
      </c>
      <c r="C150" s="3">
        <f t="shared" si="8"/>
        <v>46092</v>
      </c>
      <c r="D150" s="2">
        <v>3342</v>
      </c>
      <c r="E150" s="2">
        <v>333</v>
      </c>
      <c r="F150" s="2">
        <v>3</v>
      </c>
      <c r="G150" s="4" t="s">
        <v>502</v>
      </c>
      <c r="H150" s="4" t="s">
        <v>416</v>
      </c>
      <c r="I150" s="4" t="s">
        <v>18</v>
      </c>
      <c r="J150" s="4">
        <v>13824730</v>
      </c>
      <c r="K150" s="4" t="s">
        <v>722</v>
      </c>
      <c r="L150" s="4" t="s">
        <v>725</v>
      </c>
      <c r="M150" s="5">
        <v>179900</v>
      </c>
      <c r="N150" s="6">
        <v>0.8</v>
      </c>
      <c r="O150" s="7">
        <f t="shared" si="6"/>
        <v>35980</v>
      </c>
      <c r="P150" s="6" t="s">
        <v>740</v>
      </c>
    </row>
    <row r="151" spans="1:16" x14ac:dyDescent="0.35">
      <c r="A151" s="2" t="s">
        <v>741</v>
      </c>
      <c r="B151" s="3">
        <f t="shared" si="7"/>
        <v>46086</v>
      </c>
      <c r="C151" s="3">
        <f t="shared" si="8"/>
        <v>46092</v>
      </c>
      <c r="D151" s="2">
        <v>3342</v>
      </c>
      <c r="E151" s="2">
        <v>333</v>
      </c>
      <c r="F151" s="2">
        <v>3</v>
      </c>
      <c r="G151" s="4" t="s">
        <v>502</v>
      </c>
      <c r="H151" s="4" t="s">
        <v>416</v>
      </c>
      <c r="I151" s="4" t="s">
        <v>18</v>
      </c>
      <c r="J151" s="4">
        <v>13824749</v>
      </c>
      <c r="K151" s="4" t="s">
        <v>722</v>
      </c>
      <c r="L151" s="4" t="s">
        <v>726</v>
      </c>
      <c r="M151" s="5">
        <v>179900</v>
      </c>
      <c r="N151" s="6">
        <v>0.8</v>
      </c>
      <c r="O151" s="7">
        <f t="shared" si="6"/>
        <v>35980</v>
      </c>
      <c r="P151" s="6" t="s">
        <v>740</v>
      </c>
    </row>
    <row r="152" spans="1:16" x14ac:dyDescent="0.35">
      <c r="A152" s="2" t="s">
        <v>741</v>
      </c>
      <c r="B152" s="3">
        <f t="shared" si="7"/>
        <v>46086</v>
      </c>
      <c r="C152" s="3">
        <f t="shared" si="8"/>
        <v>46092</v>
      </c>
      <c r="D152" s="2">
        <v>3342</v>
      </c>
      <c r="E152" s="2">
        <v>333</v>
      </c>
      <c r="F152" s="2">
        <v>3</v>
      </c>
      <c r="G152" s="4" t="s">
        <v>502</v>
      </c>
      <c r="H152" s="4" t="s">
        <v>416</v>
      </c>
      <c r="I152" s="4" t="s">
        <v>18</v>
      </c>
      <c r="J152" s="4">
        <v>13824758</v>
      </c>
      <c r="K152" s="4" t="s">
        <v>722</v>
      </c>
      <c r="L152" s="4" t="s">
        <v>727</v>
      </c>
      <c r="M152" s="5">
        <v>179900</v>
      </c>
      <c r="N152" s="6">
        <v>0.8</v>
      </c>
      <c r="O152" s="7">
        <f t="shared" si="6"/>
        <v>35980</v>
      </c>
      <c r="P152" s="6" t="s">
        <v>740</v>
      </c>
    </row>
    <row r="153" spans="1:16" x14ac:dyDescent="0.35">
      <c r="A153" s="2" t="s">
        <v>741</v>
      </c>
      <c r="B153" s="3">
        <f t="shared" si="7"/>
        <v>46086</v>
      </c>
      <c r="C153" s="3">
        <f t="shared" si="8"/>
        <v>46092</v>
      </c>
      <c r="D153" s="2">
        <v>3342</v>
      </c>
      <c r="E153" s="2">
        <v>333</v>
      </c>
      <c r="F153" s="2">
        <v>3</v>
      </c>
      <c r="G153" s="4" t="s">
        <v>502</v>
      </c>
      <c r="H153" s="4" t="s">
        <v>416</v>
      </c>
      <c r="I153" s="4" t="s">
        <v>18</v>
      </c>
      <c r="J153" s="4">
        <v>13824767</v>
      </c>
      <c r="K153" s="4" t="s">
        <v>728</v>
      </c>
      <c r="L153" s="4" t="s">
        <v>729</v>
      </c>
      <c r="M153" s="5">
        <v>179900</v>
      </c>
      <c r="N153" s="6">
        <v>0.8</v>
      </c>
      <c r="O153" s="7">
        <f t="shared" si="6"/>
        <v>35980</v>
      </c>
      <c r="P153" s="6" t="s">
        <v>740</v>
      </c>
    </row>
    <row r="154" spans="1:16" x14ac:dyDescent="0.35">
      <c r="A154" s="2" t="s">
        <v>741</v>
      </c>
      <c r="B154" s="3">
        <f t="shared" si="7"/>
        <v>46086</v>
      </c>
      <c r="C154" s="3">
        <f t="shared" si="8"/>
        <v>46092</v>
      </c>
      <c r="D154" s="2">
        <v>3342</v>
      </c>
      <c r="E154" s="2">
        <v>333</v>
      </c>
      <c r="F154" s="2">
        <v>3</v>
      </c>
      <c r="G154" s="4" t="s">
        <v>502</v>
      </c>
      <c r="H154" s="4" t="s">
        <v>416</v>
      </c>
      <c r="I154" s="4" t="s">
        <v>18</v>
      </c>
      <c r="J154" s="4">
        <v>13824776</v>
      </c>
      <c r="K154" s="4" t="s">
        <v>728</v>
      </c>
      <c r="L154" s="4" t="s">
        <v>730</v>
      </c>
      <c r="M154" s="5">
        <v>179900</v>
      </c>
      <c r="N154" s="6">
        <v>0.8</v>
      </c>
      <c r="O154" s="7">
        <f t="shared" si="6"/>
        <v>35980</v>
      </c>
      <c r="P154" s="6" t="s">
        <v>740</v>
      </c>
    </row>
    <row r="155" spans="1:16" x14ac:dyDescent="0.35">
      <c r="A155" s="2" t="s">
        <v>741</v>
      </c>
      <c r="B155" s="3">
        <f t="shared" si="7"/>
        <v>46086</v>
      </c>
      <c r="C155" s="3">
        <f t="shared" si="8"/>
        <v>46092</v>
      </c>
      <c r="D155" s="2">
        <v>3342</v>
      </c>
      <c r="E155" s="2">
        <v>333</v>
      </c>
      <c r="F155" s="2">
        <v>3</v>
      </c>
      <c r="G155" s="4" t="s">
        <v>502</v>
      </c>
      <c r="H155" s="4" t="s">
        <v>416</v>
      </c>
      <c r="I155" s="4" t="s">
        <v>18</v>
      </c>
      <c r="J155" s="4">
        <v>13824785</v>
      </c>
      <c r="K155" s="4" t="s">
        <v>728</v>
      </c>
      <c r="L155" s="4" t="s">
        <v>731</v>
      </c>
      <c r="M155" s="5">
        <v>179900</v>
      </c>
      <c r="N155" s="6">
        <v>0.8</v>
      </c>
      <c r="O155" s="7">
        <f t="shared" si="6"/>
        <v>35980</v>
      </c>
      <c r="P155" s="6" t="s">
        <v>740</v>
      </c>
    </row>
    <row r="156" spans="1:16" x14ac:dyDescent="0.35">
      <c r="A156" s="2" t="s">
        <v>741</v>
      </c>
      <c r="B156" s="3">
        <f t="shared" si="7"/>
        <v>46086</v>
      </c>
      <c r="C156" s="3">
        <f t="shared" si="8"/>
        <v>46092</v>
      </c>
      <c r="D156" s="2">
        <v>3342</v>
      </c>
      <c r="E156" s="2">
        <v>333</v>
      </c>
      <c r="F156" s="2">
        <v>3</v>
      </c>
      <c r="G156" s="4" t="s">
        <v>502</v>
      </c>
      <c r="H156" s="4" t="s">
        <v>416</v>
      </c>
      <c r="I156" s="4" t="s">
        <v>18</v>
      </c>
      <c r="J156" s="4">
        <v>13824794</v>
      </c>
      <c r="K156" s="4" t="s">
        <v>728</v>
      </c>
      <c r="L156" s="4" t="s">
        <v>732</v>
      </c>
      <c r="M156" s="5">
        <v>179900</v>
      </c>
      <c r="N156" s="6">
        <v>0.8</v>
      </c>
      <c r="O156" s="7">
        <f t="shared" si="6"/>
        <v>35980</v>
      </c>
      <c r="P156" s="6" t="s">
        <v>740</v>
      </c>
    </row>
    <row r="157" spans="1:16" x14ac:dyDescent="0.35">
      <c r="A157" s="2" t="s">
        <v>741</v>
      </c>
      <c r="B157" s="3">
        <f t="shared" si="7"/>
        <v>46086</v>
      </c>
      <c r="C157" s="3">
        <f t="shared" si="8"/>
        <v>46092</v>
      </c>
      <c r="D157" s="2">
        <v>3342</v>
      </c>
      <c r="E157" s="2">
        <v>333</v>
      </c>
      <c r="F157" s="2">
        <v>3</v>
      </c>
      <c r="G157" s="4" t="s">
        <v>502</v>
      </c>
      <c r="H157" s="4" t="s">
        <v>416</v>
      </c>
      <c r="I157" s="4" t="s">
        <v>18</v>
      </c>
      <c r="J157" s="4">
        <v>13824801</v>
      </c>
      <c r="K157" s="4" t="s">
        <v>728</v>
      </c>
      <c r="L157" s="4" t="s">
        <v>733</v>
      </c>
      <c r="M157" s="5">
        <v>179900</v>
      </c>
      <c r="N157" s="6">
        <v>0.8</v>
      </c>
      <c r="O157" s="7">
        <f t="shared" si="6"/>
        <v>35980</v>
      </c>
      <c r="P157" s="6" t="s">
        <v>740</v>
      </c>
    </row>
    <row r="158" spans="1:16" x14ac:dyDescent="0.35">
      <c r="A158" s="2" t="s">
        <v>741</v>
      </c>
      <c r="B158" s="3">
        <f t="shared" si="7"/>
        <v>46086</v>
      </c>
      <c r="C158" s="3">
        <f t="shared" si="8"/>
        <v>46092</v>
      </c>
      <c r="D158" s="2">
        <v>3342</v>
      </c>
      <c r="E158" s="2">
        <v>333</v>
      </c>
      <c r="F158" s="2">
        <v>3</v>
      </c>
      <c r="G158" s="4" t="s">
        <v>502</v>
      </c>
      <c r="H158" s="4" t="s">
        <v>416</v>
      </c>
      <c r="I158" s="4" t="s">
        <v>18</v>
      </c>
      <c r="J158" s="4">
        <v>13824810</v>
      </c>
      <c r="K158" s="4" t="s">
        <v>734</v>
      </c>
      <c r="L158" s="4" t="s">
        <v>735</v>
      </c>
      <c r="M158" s="5">
        <v>179900</v>
      </c>
      <c r="N158" s="6">
        <v>0.8</v>
      </c>
      <c r="O158" s="7">
        <f t="shared" si="6"/>
        <v>35980</v>
      </c>
      <c r="P158" s="6" t="s">
        <v>740</v>
      </c>
    </row>
    <row r="159" spans="1:16" x14ac:dyDescent="0.35">
      <c r="A159" s="2" t="s">
        <v>741</v>
      </c>
      <c r="B159" s="3">
        <f t="shared" si="7"/>
        <v>46086</v>
      </c>
      <c r="C159" s="3">
        <f t="shared" si="8"/>
        <v>46092</v>
      </c>
      <c r="D159" s="2">
        <v>3342</v>
      </c>
      <c r="E159" s="2">
        <v>333</v>
      </c>
      <c r="F159" s="2">
        <v>3</v>
      </c>
      <c r="G159" s="4" t="s">
        <v>502</v>
      </c>
      <c r="H159" s="4" t="s">
        <v>416</v>
      </c>
      <c r="I159" s="4" t="s">
        <v>18</v>
      </c>
      <c r="J159" s="4">
        <v>13824829</v>
      </c>
      <c r="K159" s="4" t="s">
        <v>734</v>
      </c>
      <c r="L159" s="4" t="s">
        <v>736</v>
      </c>
      <c r="M159" s="5">
        <v>179900</v>
      </c>
      <c r="N159" s="6">
        <v>0.8</v>
      </c>
      <c r="O159" s="7">
        <f t="shared" si="6"/>
        <v>35980</v>
      </c>
      <c r="P159" s="6" t="s">
        <v>740</v>
      </c>
    </row>
    <row r="160" spans="1:16" x14ac:dyDescent="0.35">
      <c r="A160" s="2" t="s">
        <v>741</v>
      </c>
      <c r="B160" s="3">
        <f t="shared" si="7"/>
        <v>46086</v>
      </c>
      <c r="C160" s="3">
        <f t="shared" si="8"/>
        <v>46092</v>
      </c>
      <c r="D160" s="2">
        <v>3342</v>
      </c>
      <c r="E160" s="2">
        <v>333</v>
      </c>
      <c r="F160" s="2">
        <v>3</v>
      </c>
      <c r="G160" s="4" t="s">
        <v>502</v>
      </c>
      <c r="H160" s="4" t="s">
        <v>416</v>
      </c>
      <c r="I160" s="4" t="s">
        <v>18</v>
      </c>
      <c r="J160" s="4">
        <v>13824838</v>
      </c>
      <c r="K160" s="4" t="s">
        <v>734</v>
      </c>
      <c r="L160" s="4" t="s">
        <v>737</v>
      </c>
      <c r="M160" s="5">
        <v>179900</v>
      </c>
      <c r="N160" s="6">
        <v>0.8</v>
      </c>
      <c r="O160" s="7">
        <f t="shared" si="6"/>
        <v>35980</v>
      </c>
      <c r="P160" s="6" t="s">
        <v>740</v>
      </c>
    </row>
    <row r="161" spans="1:16" x14ac:dyDescent="0.35">
      <c r="A161" s="2" t="s">
        <v>741</v>
      </c>
      <c r="B161" s="3">
        <f t="shared" si="7"/>
        <v>46086</v>
      </c>
      <c r="C161" s="3">
        <f t="shared" si="8"/>
        <v>46092</v>
      </c>
      <c r="D161" s="2">
        <v>3342</v>
      </c>
      <c r="E161" s="2">
        <v>333</v>
      </c>
      <c r="F161" s="2">
        <v>3</v>
      </c>
      <c r="G161" s="4" t="s">
        <v>502</v>
      </c>
      <c r="H161" s="4" t="s">
        <v>416</v>
      </c>
      <c r="I161" s="4" t="s">
        <v>18</v>
      </c>
      <c r="J161" s="4">
        <v>13824847</v>
      </c>
      <c r="K161" s="4" t="s">
        <v>734</v>
      </c>
      <c r="L161" s="4" t="s">
        <v>738</v>
      </c>
      <c r="M161" s="5">
        <v>179900</v>
      </c>
      <c r="N161" s="6">
        <v>0.8</v>
      </c>
      <c r="O161" s="7">
        <f t="shared" si="6"/>
        <v>35980</v>
      </c>
      <c r="P161" s="6" t="s">
        <v>740</v>
      </c>
    </row>
    <row r="162" spans="1:16" x14ac:dyDescent="0.35">
      <c r="A162" s="2" t="s">
        <v>741</v>
      </c>
      <c r="B162" s="3">
        <f t="shared" si="7"/>
        <v>46086</v>
      </c>
      <c r="C162" s="3">
        <f t="shared" si="8"/>
        <v>46092</v>
      </c>
      <c r="D162" s="2">
        <v>3342</v>
      </c>
      <c r="E162" s="2">
        <v>333</v>
      </c>
      <c r="F162" s="2">
        <v>3</v>
      </c>
      <c r="G162" s="4" t="s">
        <v>502</v>
      </c>
      <c r="H162" s="4" t="s">
        <v>416</v>
      </c>
      <c r="I162" s="4" t="s">
        <v>18</v>
      </c>
      <c r="J162" s="4">
        <v>13824856</v>
      </c>
      <c r="K162" s="4" t="s">
        <v>734</v>
      </c>
      <c r="L162" s="4" t="s">
        <v>739</v>
      </c>
      <c r="M162" s="5">
        <v>179900</v>
      </c>
      <c r="N162" s="6">
        <v>0.8</v>
      </c>
      <c r="O162" s="7">
        <f t="shared" si="6"/>
        <v>35980</v>
      </c>
      <c r="P162" s="6" t="s">
        <v>740</v>
      </c>
    </row>
  </sheetData>
  <autoFilter ref="A1:P1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70" workbookViewId="0">
      <selection activeCell="D2" sqref="D2:F33"/>
    </sheetView>
  </sheetViews>
  <sheetFormatPr defaultColWidth="8.81640625" defaultRowHeight="14.5" x14ac:dyDescent="0.35"/>
  <cols>
    <col min="1" max="1" width="23.7265625" style="8" bestFit="1" customWidth="1"/>
    <col min="2" max="2" width="10.81640625" style="8" bestFit="1" customWidth="1"/>
    <col min="3" max="3" width="10.0898437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1.6328125" style="8" bestFit="1" customWidth="1"/>
    <col min="8" max="8" width="32.1796875" style="8" bestFit="1" customWidth="1"/>
    <col min="9" max="9" width="7.7265625" style="8" bestFit="1" customWidth="1"/>
    <col min="10" max="10" width="8.81640625" style="8" bestFit="1" customWidth="1"/>
    <col min="11" max="11" width="10.90625" style="8" bestFit="1" customWidth="1"/>
    <col min="12" max="12" width="71.90625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742</v>
      </c>
      <c r="B2" s="3">
        <f>'2023 H2 3342 D80'!B2</f>
        <v>46086</v>
      </c>
      <c r="C2" s="3">
        <f>'2023 H2 3342 D80'!C2</f>
        <v>46092</v>
      </c>
      <c r="D2" s="2">
        <v>3342</v>
      </c>
      <c r="E2" s="2">
        <v>333</v>
      </c>
      <c r="F2" s="2">
        <v>3</v>
      </c>
      <c r="G2" s="4" t="s">
        <v>126</v>
      </c>
      <c r="H2" s="4" t="s">
        <v>127</v>
      </c>
      <c r="I2" s="4" t="s">
        <v>18</v>
      </c>
      <c r="J2" s="4">
        <v>16009231</v>
      </c>
      <c r="K2" s="4" t="s">
        <v>128</v>
      </c>
      <c r="L2" s="4" t="s">
        <v>129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customFormat="1" x14ac:dyDescent="0.35">
      <c r="A3" s="2" t="s">
        <v>742</v>
      </c>
      <c r="B3" s="3">
        <f>B2</f>
        <v>46086</v>
      </c>
      <c r="C3" s="3">
        <f>C2</f>
        <v>46092</v>
      </c>
      <c r="D3" s="2">
        <v>3342</v>
      </c>
      <c r="E3" s="2">
        <v>333</v>
      </c>
      <c r="F3" s="2">
        <v>3</v>
      </c>
      <c r="G3" s="4" t="s">
        <v>126</v>
      </c>
      <c r="H3" s="4" t="s">
        <v>127</v>
      </c>
      <c r="I3" s="4" t="s">
        <v>18</v>
      </c>
      <c r="J3" s="4">
        <v>16009240</v>
      </c>
      <c r="K3" s="4" t="s">
        <v>128</v>
      </c>
      <c r="L3" s="4" t="s">
        <v>130</v>
      </c>
      <c r="M3" s="5">
        <v>199900</v>
      </c>
      <c r="N3" s="6">
        <v>0.8</v>
      </c>
      <c r="O3" s="7">
        <f t="shared" ref="O3:O33" si="0">M3-(M3*N3)</f>
        <v>39980</v>
      </c>
      <c r="P3" s="6" t="s">
        <v>740</v>
      </c>
    </row>
    <row r="4" spans="1:16" customFormat="1" x14ac:dyDescent="0.35">
      <c r="A4" s="2" t="s">
        <v>742</v>
      </c>
      <c r="B4" s="3">
        <f t="shared" ref="B4:B33" si="1">B3</f>
        <v>46086</v>
      </c>
      <c r="C4" s="3">
        <f t="shared" ref="C4:C33" si="2">C3</f>
        <v>46092</v>
      </c>
      <c r="D4" s="2">
        <v>3342</v>
      </c>
      <c r="E4" s="2">
        <v>333</v>
      </c>
      <c r="F4" s="2">
        <v>3</v>
      </c>
      <c r="G4" s="4" t="s">
        <v>126</v>
      </c>
      <c r="H4" s="4" t="s">
        <v>127</v>
      </c>
      <c r="I4" s="4" t="s">
        <v>18</v>
      </c>
      <c r="J4" s="4">
        <v>16009259</v>
      </c>
      <c r="K4" s="4" t="s">
        <v>128</v>
      </c>
      <c r="L4" s="4" t="s">
        <v>131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customFormat="1" x14ac:dyDescent="0.35">
      <c r="A5" s="2" t="s">
        <v>742</v>
      </c>
      <c r="B5" s="3">
        <f t="shared" si="1"/>
        <v>46086</v>
      </c>
      <c r="C5" s="3">
        <f t="shared" si="2"/>
        <v>46092</v>
      </c>
      <c r="D5" s="2">
        <v>3342</v>
      </c>
      <c r="E5" s="2">
        <v>333</v>
      </c>
      <c r="F5" s="2">
        <v>3</v>
      </c>
      <c r="G5" s="4" t="s">
        <v>126</v>
      </c>
      <c r="H5" s="4" t="s">
        <v>127</v>
      </c>
      <c r="I5" s="4" t="s">
        <v>18</v>
      </c>
      <c r="J5" s="4">
        <v>16009268</v>
      </c>
      <c r="K5" s="4" t="s">
        <v>128</v>
      </c>
      <c r="L5" s="4" t="s">
        <v>132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customFormat="1" x14ac:dyDescent="0.35">
      <c r="A6" s="2" t="s">
        <v>742</v>
      </c>
      <c r="B6" s="3">
        <f t="shared" si="1"/>
        <v>46086</v>
      </c>
      <c r="C6" s="3">
        <f t="shared" si="2"/>
        <v>46092</v>
      </c>
      <c r="D6" s="2">
        <v>3342</v>
      </c>
      <c r="E6" s="2">
        <v>333</v>
      </c>
      <c r="F6" s="2">
        <v>3</v>
      </c>
      <c r="G6" s="4" t="s">
        <v>126</v>
      </c>
      <c r="H6" s="4" t="s">
        <v>127</v>
      </c>
      <c r="I6" s="4" t="s">
        <v>18</v>
      </c>
      <c r="J6" s="4">
        <v>16009277</v>
      </c>
      <c r="K6" s="4" t="s">
        <v>128</v>
      </c>
      <c r="L6" s="4" t="s">
        <v>133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customFormat="1" x14ac:dyDescent="0.35">
      <c r="A7" s="2" t="s">
        <v>742</v>
      </c>
      <c r="B7" s="3">
        <f t="shared" si="1"/>
        <v>46086</v>
      </c>
      <c r="C7" s="3">
        <f t="shared" si="2"/>
        <v>46092</v>
      </c>
      <c r="D7" s="2">
        <v>3342</v>
      </c>
      <c r="E7" s="2">
        <v>333</v>
      </c>
      <c r="F7" s="2">
        <v>3</v>
      </c>
      <c r="G7" s="4" t="s">
        <v>126</v>
      </c>
      <c r="H7" s="4" t="s">
        <v>127</v>
      </c>
      <c r="I7" s="4" t="s">
        <v>18</v>
      </c>
      <c r="J7" s="4">
        <v>16009286</v>
      </c>
      <c r="K7" s="4" t="s">
        <v>128</v>
      </c>
      <c r="L7" s="4" t="s">
        <v>134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customFormat="1" x14ac:dyDescent="0.35">
      <c r="A8" s="2" t="s">
        <v>742</v>
      </c>
      <c r="B8" s="3">
        <f t="shared" si="1"/>
        <v>46086</v>
      </c>
      <c r="C8" s="3">
        <f t="shared" si="2"/>
        <v>46092</v>
      </c>
      <c r="D8" s="2">
        <v>3342</v>
      </c>
      <c r="E8" s="2">
        <v>333</v>
      </c>
      <c r="F8" s="2">
        <v>3</v>
      </c>
      <c r="G8" s="4" t="s">
        <v>126</v>
      </c>
      <c r="H8" s="4" t="s">
        <v>127</v>
      </c>
      <c r="I8" s="4" t="s">
        <v>18</v>
      </c>
      <c r="J8" s="4">
        <v>16009295</v>
      </c>
      <c r="K8" s="4" t="s">
        <v>128</v>
      </c>
      <c r="L8" s="4" t="s">
        <v>135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customFormat="1" x14ac:dyDescent="0.35">
      <c r="A9" s="2" t="s">
        <v>742</v>
      </c>
      <c r="B9" s="3">
        <f t="shared" si="1"/>
        <v>46086</v>
      </c>
      <c r="C9" s="3">
        <f t="shared" si="2"/>
        <v>46092</v>
      </c>
      <c r="D9" s="2">
        <v>3342</v>
      </c>
      <c r="E9" s="2">
        <v>333</v>
      </c>
      <c r="F9" s="2">
        <v>3</v>
      </c>
      <c r="G9" s="4" t="s">
        <v>126</v>
      </c>
      <c r="H9" s="4" t="s">
        <v>127</v>
      </c>
      <c r="I9" s="4" t="s">
        <v>18</v>
      </c>
      <c r="J9" s="4">
        <v>16009302</v>
      </c>
      <c r="K9" s="4" t="s">
        <v>128</v>
      </c>
      <c r="L9" s="4" t="s">
        <v>136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customFormat="1" x14ac:dyDescent="0.35">
      <c r="A10" s="2" t="s">
        <v>742</v>
      </c>
      <c r="B10" s="3">
        <f t="shared" si="1"/>
        <v>46086</v>
      </c>
      <c r="C10" s="3">
        <f t="shared" si="2"/>
        <v>46092</v>
      </c>
      <c r="D10" s="2">
        <v>3342</v>
      </c>
      <c r="E10" s="2">
        <v>333</v>
      </c>
      <c r="F10" s="2">
        <v>3</v>
      </c>
      <c r="G10" s="4" t="s">
        <v>126</v>
      </c>
      <c r="H10" s="4" t="s">
        <v>323</v>
      </c>
      <c r="I10" s="4" t="s">
        <v>18</v>
      </c>
      <c r="J10" s="4">
        <v>13492072</v>
      </c>
      <c r="K10" s="4" t="s">
        <v>324</v>
      </c>
      <c r="L10" s="4" t="s">
        <v>325</v>
      </c>
      <c r="M10" s="5">
        <v>179900</v>
      </c>
      <c r="N10" s="6">
        <v>0.8</v>
      </c>
      <c r="O10" s="7">
        <f t="shared" si="0"/>
        <v>35980</v>
      </c>
      <c r="P10" s="6" t="s">
        <v>740</v>
      </c>
    </row>
    <row r="11" spans="1:16" customFormat="1" x14ac:dyDescent="0.35">
      <c r="A11" s="2" t="s">
        <v>742</v>
      </c>
      <c r="B11" s="3">
        <f t="shared" si="1"/>
        <v>46086</v>
      </c>
      <c r="C11" s="3">
        <f t="shared" si="2"/>
        <v>46092</v>
      </c>
      <c r="D11" s="2">
        <v>3342</v>
      </c>
      <c r="E11" s="2">
        <v>333</v>
      </c>
      <c r="F11" s="2">
        <v>3</v>
      </c>
      <c r="G11" s="4" t="s">
        <v>126</v>
      </c>
      <c r="H11" s="4" t="s">
        <v>323</v>
      </c>
      <c r="I11" s="4" t="s">
        <v>18</v>
      </c>
      <c r="J11" s="4">
        <v>13492081</v>
      </c>
      <c r="K11" s="4" t="s">
        <v>324</v>
      </c>
      <c r="L11" s="4" t="s">
        <v>326</v>
      </c>
      <c r="M11" s="5">
        <v>179900</v>
      </c>
      <c r="N11" s="6">
        <v>0.8</v>
      </c>
      <c r="O11" s="7">
        <f t="shared" si="0"/>
        <v>35980</v>
      </c>
      <c r="P11" s="6" t="s">
        <v>740</v>
      </c>
    </row>
    <row r="12" spans="1:16" customFormat="1" x14ac:dyDescent="0.35">
      <c r="A12" s="2" t="s">
        <v>742</v>
      </c>
      <c r="B12" s="3">
        <f t="shared" si="1"/>
        <v>46086</v>
      </c>
      <c r="C12" s="3">
        <f t="shared" si="2"/>
        <v>46092</v>
      </c>
      <c r="D12" s="2">
        <v>3342</v>
      </c>
      <c r="E12" s="2">
        <v>333</v>
      </c>
      <c r="F12" s="2">
        <v>3</v>
      </c>
      <c r="G12" s="4" t="s">
        <v>126</v>
      </c>
      <c r="H12" s="4" t="s">
        <v>323</v>
      </c>
      <c r="I12" s="4" t="s">
        <v>18</v>
      </c>
      <c r="J12" s="4">
        <v>13492090</v>
      </c>
      <c r="K12" s="4" t="s">
        <v>324</v>
      </c>
      <c r="L12" s="4" t="s">
        <v>327</v>
      </c>
      <c r="M12" s="5">
        <v>179900</v>
      </c>
      <c r="N12" s="6">
        <v>0.8</v>
      </c>
      <c r="O12" s="7">
        <f t="shared" si="0"/>
        <v>35980</v>
      </c>
      <c r="P12" s="6" t="s">
        <v>740</v>
      </c>
    </row>
    <row r="13" spans="1:16" customFormat="1" x14ac:dyDescent="0.35">
      <c r="A13" s="2" t="s">
        <v>742</v>
      </c>
      <c r="B13" s="3">
        <f t="shared" si="1"/>
        <v>46086</v>
      </c>
      <c r="C13" s="3">
        <f t="shared" si="2"/>
        <v>46092</v>
      </c>
      <c r="D13" s="2">
        <v>3342</v>
      </c>
      <c r="E13" s="2">
        <v>333</v>
      </c>
      <c r="F13" s="2">
        <v>3</v>
      </c>
      <c r="G13" s="4" t="s">
        <v>126</v>
      </c>
      <c r="H13" s="4" t="s">
        <v>323</v>
      </c>
      <c r="I13" s="4" t="s">
        <v>18</v>
      </c>
      <c r="J13" s="4">
        <v>13492107</v>
      </c>
      <c r="K13" s="4" t="s">
        <v>324</v>
      </c>
      <c r="L13" s="4" t="s">
        <v>328</v>
      </c>
      <c r="M13" s="5">
        <v>179900</v>
      </c>
      <c r="N13" s="6">
        <v>0.8</v>
      </c>
      <c r="O13" s="7">
        <f t="shared" si="0"/>
        <v>35980</v>
      </c>
      <c r="P13" s="6" t="s">
        <v>740</v>
      </c>
    </row>
    <row r="14" spans="1:16" customFormat="1" x14ac:dyDescent="0.35">
      <c r="A14" s="2" t="s">
        <v>742</v>
      </c>
      <c r="B14" s="3">
        <f t="shared" si="1"/>
        <v>46086</v>
      </c>
      <c r="C14" s="3">
        <f t="shared" si="2"/>
        <v>46092</v>
      </c>
      <c r="D14" s="2">
        <v>3342</v>
      </c>
      <c r="E14" s="2">
        <v>333</v>
      </c>
      <c r="F14" s="2">
        <v>3</v>
      </c>
      <c r="G14" s="4" t="s">
        <v>126</v>
      </c>
      <c r="H14" s="4" t="s">
        <v>323</v>
      </c>
      <c r="I14" s="4" t="s">
        <v>18</v>
      </c>
      <c r="J14" s="4">
        <v>13492116</v>
      </c>
      <c r="K14" s="4" t="s">
        <v>329</v>
      </c>
      <c r="L14" s="4" t="s">
        <v>330</v>
      </c>
      <c r="M14" s="5">
        <v>179900</v>
      </c>
      <c r="N14" s="6">
        <v>0.8</v>
      </c>
      <c r="O14" s="7">
        <f t="shared" si="0"/>
        <v>35980</v>
      </c>
      <c r="P14" s="6" t="s">
        <v>740</v>
      </c>
    </row>
    <row r="15" spans="1:16" customFormat="1" x14ac:dyDescent="0.35">
      <c r="A15" s="2" t="s">
        <v>742</v>
      </c>
      <c r="B15" s="3">
        <f t="shared" si="1"/>
        <v>46086</v>
      </c>
      <c r="C15" s="3">
        <f t="shared" si="2"/>
        <v>46092</v>
      </c>
      <c r="D15" s="2">
        <v>3342</v>
      </c>
      <c r="E15" s="2">
        <v>333</v>
      </c>
      <c r="F15" s="2">
        <v>3</v>
      </c>
      <c r="G15" s="4" t="s">
        <v>126</v>
      </c>
      <c r="H15" s="4" t="s">
        <v>323</v>
      </c>
      <c r="I15" s="4" t="s">
        <v>18</v>
      </c>
      <c r="J15" s="4">
        <v>13492125</v>
      </c>
      <c r="K15" s="4" t="s">
        <v>329</v>
      </c>
      <c r="L15" s="4" t="s">
        <v>331</v>
      </c>
      <c r="M15" s="5">
        <v>179900</v>
      </c>
      <c r="N15" s="6">
        <v>0.8</v>
      </c>
      <c r="O15" s="7">
        <f t="shared" si="0"/>
        <v>35980</v>
      </c>
      <c r="P15" s="6" t="s">
        <v>740</v>
      </c>
    </row>
    <row r="16" spans="1:16" customFormat="1" x14ac:dyDescent="0.35">
      <c r="A16" s="2" t="s">
        <v>742</v>
      </c>
      <c r="B16" s="3">
        <f t="shared" si="1"/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4" t="s">
        <v>126</v>
      </c>
      <c r="H16" s="4" t="s">
        <v>323</v>
      </c>
      <c r="I16" s="4" t="s">
        <v>18</v>
      </c>
      <c r="J16" s="4">
        <v>13492134</v>
      </c>
      <c r="K16" s="4" t="s">
        <v>329</v>
      </c>
      <c r="L16" s="4" t="s">
        <v>332</v>
      </c>
      <c r="M16" s="5">
        <v>179900</v>
      </c>
      <c r="N16" s="6">
        <v>0.8</v>
      </c>
      <c r="O16" s="7">
        <f t="shared" si="0"/>
        <v>35980</v>
      </c>
      <c r="P16" s="6" t="s">
        <v>740</v>
      </c>
    </row>
    <row r="17" spans="1:16" customFormat="1" x14ac:dyDescent="0.35">
      <c r="A17" s="2" t="s">
        <v>742</v>
      </c>
      <c r="B17" s="3">
        <f t="shared" si="1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4" t="s">
        <v>126</v>
      </c>
      <c r="H17" s="4" t="s">
        <v>323</v>
      </c>
      <c r="I17" s="4" t="s">
        <v>18</v>
      </c>
      <c r="J17" s="4">
        <v>13492143</v>
      </c>
      <c r="K17" s="4" t="s">
        <v>329</v>
      </c>
      <c r="L17" s="4" t="s">
        <v>333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customFormat="1" x14ac:dyDescent="0.35">
      <c r="A18" s="2" t="s">
        <v>742</v>
      </c>
      <c r="B18" s="3">
        <f t="shared" si="1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4" t="s">
        <v>126</v>
      </c>
      <c r="H18" s="4" t="s">
        <v>323</v>
      </c>
      <c r="I18" s="4" t="s">
        <v>18</v>
      </c>
      <c r="J18" s="4">
        <v>13492152</v>
      </c>
      <c r="K18" s="4" t="s">
        <v>334</v>
      </c>
      <c r="L18" s="4" t="s">
        <v>335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customFormat="1" x14ac:dyDescent="0.35">
      <c r="A19" s="2" t="s">
        <v>742</v>
      </c>
      <c r="B19" s="3">
        <f t="shared" si="1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4" t="s">
        <v>126</v>
      </c>
      <c r="H19" s="4" t="s">
        <v>323</v>
      </c>
      <c r="I19" s="4" t="s">
        <v>18</v>
      </c>
      <c r="J19" s="4">
        <v>13492161</v>
      </c>
      <c r="K19" s="4" t="s">
        <v>334</v>
      </c>
      <c r="L19" s="4" t="s">
        <v>336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customFormat="1" x14ac:dyDescent="0.35">
      <c r="A20" s="2" t="s">
        <v>742</v>
      </c>
      <c r="B20" s="3">
        <f t="shared" si="1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4" t="s">
        <v>126</v>
      </c>
      <c r="H20" s="4" t="s">
        <v>323</v>
      </c>
      <c r="I20" s="4" t="s">
        <v>18</v>
      </c>
      <c r="J20" s="4">
        <v>13492170</v>
      </c>
      <c r="K20" s="4" t="s">
        <v>334</v>
      </c>
      <c r="L20" s="4" t="s">
        <v>337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customFormat="1" x14ac:dyDescent="0.35">
      <c r="A21" s="2" t="s">
        <v>742</v>
      </c>
      <c r="B21" s="3">
        <f t="shared" si="1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4" t="s">
        <v>126</v>
      </c>
      <c r="H21" s="4" t="s">
        <v>323</v>
      </c>
      <c r="I21" s="4" t="s">
        <v>18</v>
      </c>
      <c r="J21" s="4">
        <v>13492189</v>
      </c>
      <c r="K21" s="4" t="s">
        <v>334</v>
      </c>
      <c r="L21" s="4" t="s">
        <v>338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customFormat="1" x14ac:dyDescent="0.35">
      <c r="A22" s="2" t="s">
        <v>742</v>
      </c>
      <c r="B22" s="3">
        <f t="shared" si="1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4" t="s">
        <v>126</v>
      </c>
      <c r="H22" s="4" t="s">
        <v>323</v>
      </c>
      <c r="I22" s="4" t="s">
        <v>18</v>
      </c>
      <c r="J22" s="4">
        <v>16956404</v>
      </c>
      <c r="K22" s="4" t="s">
        <v>339</v>
      </c>
      <c r="L22" s="4" t="s">
        <v>340</v>
      </c>
      <c r="M22" s="5">
        <v>149900</v>
      </c>
      <c r="N22" s="6">
        <v>0.8</v>
      </c>
      <c r="O22" s="7">
        <f t="shared" si="0"/>
        <v>29980</v>
      </c>
      <c r="P22" s="6" t="s">
        <v>740</v>
      </c>
    </row>
    <row r="23" spans="1:16" customFormat="1" x14ac:dyDescent="0.35">
      <c r="A23" s="2" t="s">
        <v>742</v>
      </c>
      <c r="B23" s="3">
        <f t="shared" si="1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4" t="s">
        <v>126</v>
      </c>
      <c r="H23" s="4" t="s">
        <v>323</v>
      </c>
      <c r="I23" s="4" t="s">
        <v>18</v>
      </c>
      <c r="J23" s="4">
        <v>16956413</v>
      </c>
      <c r="K23" s="4" t="s">
        <v>339</v>
      </c>
      <c r="L23" s="4" t="s">
        <v>341</v>
      </c>
      <c r="M23" s="5">
        <v>149900</v>
      </c>
      <c r="N23" s="6">
        <v>0.8</v>
      </c>
      <c r="O23" s="7">
        <f t="shared" si="0"/>
        <v>29980</v>
      </c>
      <c r="P23" s="6" t="s">
        <v>740</v>
      </c>
    </row>
    <row r="24" spans="1:16" customFormat="1" x14ac:dyDescent="0.35">
      <c r="A24" s="2" t="s">
        <v>742</v>
      </c>
      <c r="B24" s="3">
        <f t="shared" si="1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4" t="s">
        <v>126</v>
      </c>
      <c r="H24" s="4" t="s">
        <v>323</v>
      </c>
      <c r="I24" s="4" t="s">
        <v>18</v>
      </c>
      <c r="J24" s="4">
        <v>16956422</v>
      </c>
      <c r="K24" s="4" t="s">
        <v>339</v>
      </c>
      <c r="L24" s="4" t="s">
        <v>342</v>
      </c>
      <c r="M24" s="5">
        <v>149900</v>
      </c>
      <c r="N24" s="6">
        <v>0.8</v>
      </c>
      <c r="O24" s="7">
        <f t="shared" si="0"/>
        <v>29980</v>
      </c>
      <c r="P24" s="6" t="s">
        <v>740</v>
      </c>
    </row>
    <row r="25" spans="1:16" customFormat="1" x14ac:dyDescent="0.35">
      <c r="A25" s="2" t="s">
        <v>742</v>
      </c>
      <c r="B25" s="3">
        <f t="shared" si="1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4" t="s">
        <v>126</v>
      </c>
      <c r="H25" s="4" t="s">
        <v>323</v>
      </c>
      <c r="I25" s="4" t="s">
        <v>18</v>
      </c>
      <c r="J25" s="4">
        <v>16956431</v>
      </c>
      <c r="K25" s="4" t="s">
        <v>339</v>
      </c>
      <c r="L25" s="4" t="s">
        <v>343</v>
      </c>
      <c r="M25" s="5">
        <v>149900</v>
      </c>
      <c r="N25" s="6">
        <v>0.8</v>
      </c>
      <c r="O25" s="7">
        <f t="shared" si="0"/>
        <v>29980</v>
      </c>
      <c r="P25" s="6" t="s">
        <v>740</v>
      </c>
    </row>
    <row r="26" spans="1:16" customFormat="1" x14ac:dyDescent="0.35">
      <c r="A26" s="2" t="s">
        <v>742</v>
      </c>
      <c r="B26" s="3">
        <f t="shared" si="1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4" t="s">
        <v>126</v>
      </c>
      <c r="H26" s="4" t="s">
        <v>323</v>
      </c>
      <c r="I26" s="4" t="s">
        <v>18</v>
      </c>
      <c r="J26" s="4">
        <v>16956440</v>
      </c>
      <c r="K26" s="4" t="s">
        <v>344</v>
      </c>
      <c r="L26" s="4" t="s">
        <v>345</v>
      </c>
      <c r="M26" s="5">
        <v>149900</v>
      </c>
      <c r="N26" s="6">
        <v>0.8</v>
      </c>
      <c r="O26" s="7">
        <f t="shared" si="0"/>
        <v>29980</v>
      </c>
      <c r="P26" s="6" t="s">
        <v>740</v>
      </c>
    </row>
    <row r="27" spans="1:16" customFormat="1" x14ac:dyDescent="0.35">
      <c r="A27" s="2" t="s">
        <v>742</v>
      </c>
      <c r="B27" s="3">
        <f t="shared" si="1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4" t="s">
        <v>126</v>
      </c>
      <c r="H27" s="4" t="s">
        <v>323</v>
      </c>
      <c r="I27" s="4" t="s">
        <v>18</v>
      </c>
      <c r="J27" s="4">
        <v>16956459</v>
      </c>
      <c r="K27" s="4" t="s">
        <v>344</v>
      </c>
      <c r="L27" s="4" t="s">
        <v>346</v>
      </c>
      <c r="M27" s="5">
        <v>149900</v>
      </c>
      <c r="N27" s="6">
        <v>0.8</v>
      </c>
      <c r="O27" s="7">
        <f t="shared" si="0"/>
        <v>29980</v>
      </c>
      <c r="P27" s="6" t="s">
        <v>740</v>
      </c>
    </row>
    <row r="28" spans="1:16" customFormat="1" x14ac:dyDescent="0.35">
      <c r="A28" s="2" t="s">
        <v>742</v>
      </c>
      <c r="B28" s="3">
        <f t="shared" si="1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4" t="s">
        <v>126</v>
      </c>
      <c r="H28" s="4" t="s">
        <v>323</v>
      </c>
      <c r="I28" s="4" t="s">
        <v>18</v>
      </c>
      <c r="J28" s="4">
        <v>16956468</v>
      </c>
      <c r="K28" s="4" t="s">
        <v>344</v>
      </c>
      <c r="L28" s="4" t="s">
        <v>347</v>
      </c>
      <c r="M28" s="5">
        <v>149900</v>
      </c>
      <c r="N28" s="6">
        <v>0.8</v>
      </c>
      <c r="O28" s="7">
        <f t="shared" si="0"/>
        <v>29980</v>
      </c>
      <c r="P28" s="6" t="s">
        <v>740</v>
      </c>
    </row>
    <row r="29" spans="1:16" customFormat="1" x14ac:dyDescent="0.35">
      <c r="A29" s="2" t="s">
        <v>742</v>
      </c>
      <c r="B29" s="3">
        <f t="shared" si="1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4" t="s">
        <v>126</v>
      </c>
      <c r="H29" s="4" t="s">
        <v>323</v>
      </c>
      <c r="I29" s="4" t="s">
        <v>18</v>
      </c>
      <c r="J29" s="4">
        <v>16956477</v>
      </c>
      <c r="K29" s="4" t="s">
        <v>344</v>
      </c>
      <c r="L29" s="4" t="s">
        <v>348</v>
      </c>
      <c r="M29" s="5">
        <v>149900</v>
      </c>
      <c r="N29" s="6">
        <v>0.8</v>
      </c>
      <c r="O29" s="7">
        <f t="shared" si="0"/>
        <v>29980</v>
      </c>
      <c r="P29" s="6" t="s">
        <v>740</v>
      </c>
    </row>
    <row r="30" spans="1:16" customFormat="1" x14ac:dyDescent="0.35">
      <c r="A30" s="2" t="s">
        <v>742</v>
      </c>
      <c r="B30" s="3">
        <f t="shared" si="1"/>
        <v>46086</v>
      </c>
      <c r="C30" s="3">
        <f t="shared" si="2"/>
        <v>46092</v>
      </c>
      <c r="D30" s="2">
        <v>3342</v>
      </c>
      <c r="E30" s="2">
        <v>333</v>
      </c>
      <c r="F30" s="2">
        <v>3</v>
      </c>
      <c r="G30" s="4" t="s">
        <v>126</v>
      </c>
      <c r="H30" s="4" t="s">
        <v>323</v>
      </c>
      <c r="I30" s="4" t="s">
        <v>18</v>
      </c>
      <c r="J30" s="4">
        <v>16956486</v>
      </c>
      <c r="K30" s="4" t="s">
        <v>349</v>
      </c>
      <c r="L30" s="4" t="s">
        <v>350</v>
      </c>
      <c r="M30" s="5">
        <v>149900</v>
      </c>
      <c r="N30" s="6">
        <v>0.8</v>
      </c>
      <c r="O30" s="7">
        <f t="shared" si="0"/>
        <v>29980</v>
      </c>
      <c r="P30" s="6" t="s">
        <v>740</v>
      </c>
    </row>
    <row r="31" spans="1:16" customFormat="1" x14ac:dyDescent="0.35">
      <c r="A31" s="2" t="s">
        <v>742</v>
      </c>
      <c r="B31" s="3">
        <f t="shared" si="1"/>
        <v>46086</v>
      </c>
      <c r="C31" s="3">
        <f t="shared" si="2"/>
        <v>46092</v>
      </c>
      <c r="D31" s="2">
        <v>3342</v>
      </c>
      <c r="E31" s="2">
        <v>333</v>
      </c>
      <c r="F31" s="2">
        <v>3</v>
      </c>
      <c r="G31" s="4" t="s">
        <v>126</v>
      </c>
      <c r="H31" s="4" t="s">
        <v>323</v>
      </c>
      <c r="I31" s="4" t="s">
        <v>18</v>
      </c>
      <c r="J31" s="4">
        <v>16956495</v>
      </c>
      <c r="K31" s="4" t="s">
        <v>349</v>
      </c>
      <c r="L31" s="4" t="s">
        <v>351</v>
      </c>
      <c r="M31" s="5">
        <v>149900</v>
      </c>
      <c r="N31" s="6">
        <v>0.8</v>
      </c>
      <c r="O31" s="7">
        <f t="shared" si="0"/>
        <v>29980</v>
      </c>
      <c r="P31" s="6" t="s">
        <v>740</v>
      </c>
    </row>
    <row r="32" spans="1:16" customFormat="1" x14ac:dyDescent="0.35">
      <c r="A32" s="2" t="s">
        <v>742</v>
      </c>
      <c r="B32" s="3">
        <f t="shared" si="1"/>
        <v>46086</v>
      </c>
      <c r="C32" s="3">
        <f t="shared" si="2"/>
        <v>46092</v>
      </c>
      <c r="D32" s="2">
        <v>3342</v>
      </c>
      <c r="E32" s="2">
        <v>333</v>
      </c>
      <c r="F32" s="2">
        <v>3</v>
      </c>
      <c r="G32" s="4" t="s">
        <v>126</v>
      </c>
      <c r="H32" s="4" t="s">
        <v>323</v>
      </c>
      <c r="I32" s="4" t="s">
        <v>18</v>
      </c>
      <c r="J32" s="4">
        <v>16956502</v>
      </c>
      <c r="K32" s="4" t="s">
        <v>349</v>
      </c>
      <c r="L32" s="4" t="s">
        <v>352</v>
      </c>
      <c r="M32" s="5">
        <v>149900</v>
      </c>
      <c r="N32" s="6">
        <v>0.8</v>
      </c>
      <c r="O32" s="7">
        <f t="shared" si="0"/>
        <v>29980</v>
      </c>
      <c r="P32" s="6" t="s">
        <v>740</v>
      </c>
    </row>
    <row r="33" spans="1:16" customFormat="1" x14ac:dyDescent="0.35">
      <c r="A33" s="2" t="s">
        <v>742</v>
      </c>
      <c r="B33" s="3">
        <f t="shared" si="1"/>
        <v>46086</v>
      </c>
      <c r="C33" s="3">
        <f t="shared" si="2"/>
        <v>46092</v>
      </c>
      <c r="D33" s="2">
        <v>3342</v>
      </c>
      <c r="E33" s="2">
        <v>333</v>
      </c>
      <c r="F33" s="2">
        <v>3</v>
      </c>
      <c r="G33" s="4" t="s">
        <v>126</v>
      </c>
      <c r="H33" s="4" t="s">
        <v>323</v>
      </c>
      <c r="I33" s="4" t="s">
        <v>18</v>
      </c>
      <c r="J33" s="4">
        <v>16956511</v>
      </c>
      <c r="K33" s="4" t="s">
        <v>349</v>
      </c>
      <c r="L33" s="4" t="s">
        <v>353</v>
      </c>
      <c r="M33" s="5">
        <v>149900</v>
      </c>
      <c r="N33" s="6">
        <v>0.8</v>
      </c>
      <c r="O33" s="7">
        <f t="shared" si="0"/>
        <v>29980</v>
      </c>
      <c r="P33" s="6" t="s">
        <v>740</v>
      </c>
    </row>
  </sheetData>
  <autoFilter ref="A1:P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F2F2"/>
  </sheetPr>
  <dimension ref="A1:P1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18.179687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2.6328125" style="8" bestFit="1" customWidth="1"/>
    <col min="8" max="8" width="30.7265625" style="8" bestFit="1" customWidth="1"/>
    <col min="9" max="9" width="11.26953125" style="8" bestFit="1" customWidth="1"/>
    <col min="10" max="10" width="8.81640625" style="8" bestFit="1" customWidth="1"/>
    <col min="11" max="11" width="12.08984375" style="8" bestFit="1" customWidth="1"/>
    <col min="12" max="12" width="80.54296875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743</v>
      </c>
      <c r="B2" s="3">
        <f>'2023 H2 3342 D80'!B2</f>
        <v>46086</v>
      </c>
      <c r="C2" s="3">
        <f>'2023 H2 3342 D80'!C2</f>
        <v>46092</v>
      </c>
      <c r="D2" s="2">
        <v>3342</v>
      </c>
      <c r="E2" s="2">
        <v>333</v>
      </c>
      <c r="F2" s="2">
        <v>3</v>
      </c>
      <c r="G2" s="10" t="s">
        <v>16</v>
      </c>
      <c r="H2" s="10" t="s">
        <v>17</v>
      </c>
      <c r="I2" s="10" t="s">
        <v>18</v>
      </c>
      <c r="J2" s="10">
        <v>17035639</v>
      </c>
      <c r="K2" s="10" t="s">
        <v>19</v>
      </c>
      <c r="L2" s="10" t="s">
        <v>20</v>
      </c>
      <c r="M2" s="11">
        <v>79900</v>
      </c>
      <c r="N2" s="6">
        <v>0.8</v>
      </c>
      <c r="O2" s="7">
        <f>M2-(M2*N2)</f>
        <v>15980</v>
      </c>
      <c r="P2" s="6" t="s">
        <v>740</v>
      </c>
    </row>
    <row r="3" spans="1:16" x14ac:dyDescent="0.35">
      <c r="A3" s="2" t="s">
        <v>743</v>
      </c>
      <c r="B3" s="3">
        <f>B2</f>
        <v>46086</v>
      </c>
      <c r="C3" s="3">
        <f>C2</f>
        <v>46092</v>
      </c>
      <c r="D3" s="2">
        <v>3342</v>
      </c>
      <c r="E3" s="2">
        <v>333</v>
      </c>
      <c r="F3" s="2">
        <v>3</v>
      </c>
      <c r="G3" s="10" t="s">
        <v>16</v>
      </c>
      <c r="H3" s="10" t="s">
        <v>17</v>
      </c>
      <c r="I3" s="10" t="s">
        <v>18</v>
      </c>
      <c r="J3" s="10">
        <v>17035648</v>
      </c>
      <c r="K3" s="10" t="s">
        <v>19</v>
      </c>
      <c r="L3" s="10" t="s">
        <v>21</v>
      </c>
      <c r="M3" s="11">
        <v>79900</v>
      </c>
      <c r="N3" s="6">
        <v>0.8</v>
      </c>
      <c r="O3" s="7">
        <f t="shared" ref="O3:O66" si="0">M3-(M3*N3)</f>
        <v>15980</v>
      </c>
      <c r="P3" s="6" t="s">
        <v>740</v>
      </c>
    </row>
    <row r="4" spans="1:16" x14ac:dyDescent="0.35">
      <c r="A4" s="2" t="s">
        <v>743</v>
      </c>
      <c r="B4" s="3">
        <f t="shared" ref="B4:B67" si="1">B3</f>
        <v>46086</v>
      </c>
      <c r="C4" s="3">
        <f t="shared" ref="C4:C67" si="2">C3</f>
        <v>46092</v>
      </c>
      <c r="D4" s="2">
        <v>3342</v>
      </c>
      <c r="E4" s="2">
        <v>333</v>
      </c>
      <c r="F4" s="2">
        <v>3</v>
      </c>
      <c r="G4" s="10" t="s">
        <v>16</v>
      </c>
      <c r="H4" s="10" t="s">
        <v>17</v>
      </c>
      <c r="I4" s="10" t="s">
        <v>18</v>
      </c>
      <c r="J4" s="10">
        <v>17035657</v>
      </c>
      <c r="K4" s="10" t="s">
        <v>19</v>
      </c>
      <c r="L4" s="10" t="s">
        <v>22</v>
      </c>
      <c r="M4" s="11">
        <v>79900</v>
      </c>
      <c r="N4" s="6">
        <v>0.8</v>
      </c>
      <c r="O4" s="7">
        <f t="shared" si="0"/>
        <v>15980</v>
      </c>
      <c r="P4" s="6" t="s">
        <v>740</v>
      </c>
    </row>
    <row r="5" spans="1:16" x14ac:dyDescent="0.35">
      <c r="A5" s="2" t="s">
        <v>743</v>
      </c>
      <c r="B5" s="3">
        <f t="shared" si="1"/>
        <v>46086</v>
      </c>
      <c r="C5" s="3">
        <f t="shared" si="2"/>
        <v>46092</v>
      </c>
      <c r="D5" s="2">
        <v>3342</v>
      </c>
      <c r="E5" s="2">
        <v>333</v>
      </c>
      <c r="F5" s="2">
        <v>3</v>
      </c>
      <c r="G5" s="10" t="s">
        <v>16</v>
      </c>
      <c r="H5" s="10" t="s">
        <v>17</v>
      </c>
      <c r="I5" s="10" t="s">
        <v>18</v>
      </c>
      <c r="J5" s="10">
        <v>17035666</v>
      </c>
      <c r="K5" s="10" t="s">
        <v>19</v>
      </c>
      <c r="L5" s="10" t="s">
        <v>23</v>
      </c>
      <c r="M5" s="11">
        <v>79900</v>
      </c>
      <c r="N5" s="6">
        <v>0.8</v>
      </c>
      <c r="O5" s="7">
        <f t="shared" si="0"/>
        <v>15980</v>
      </c>
      <c r="P5" s="6" t="s">
        <v>740</v>
      </c>
    </row>
    <row r="6" spans="1:16" x14ac:dyDescent="0.35">
      <c r="A6" s="2" t="s">
        <v>743</v>
      </c>
      <c r="B6" s="3">
        <f t="shared" si="1"/>
        <v>46086</v>
      </c>
      <c r="C6" s="3">
        <f t="shared" si="2"/>
        <v>46092</v>
      </c>
      <c r="D6" s="2">
        <v>3342</v>
      </c>
      <c r="E6" s="2">
        <v>333</v>
      </c>
      <c r="F6" s="2">
        <v>3</v>
      </c>
      <c r="G6" s="10" t="s">
        <v>16</v>
      </c>
      <c r="H6" s="10" t="s">
        <v>17</v>
      </c>
      <c r="I6" s="10" t="s">
        <v>18</v>
      </c>
      <c r="J6" s="10">
        <v>17035675</v>
      </c>
      <c r="K6" s="10" t="s">
        <v>24</v>
      </c>
      <c r="L6" s="10" t="s">
        <v>25</v>
      </c>
      <c r="M6" s="11">
        <v>79900</v>
      </c>
      <c r="N6" s="6">
        <v>0.8</v>
      </c>
      <c r="O6" s="7">
        <f t="shared" si="0"/>
        <v>15980</v>
      </c>
      <c r="P6" s="6" t="s">
        <v>740</v>
      </c>
    </row>
    <row r="7" spans="1:16" x14ac:dyDescent="0.35">
      <c r="A7" s="2" t="s">
        <v>743</v>
      </c>
      <c r="B7" s="3">
        <f t="shared" si="1"/>
        <v>46086</v>
      </c>
      <c r="C7" s="3">
        <f t="shared" si="2"/>
        <v>46092</v>
      </c>
      <c r="D7" s="2">
        <v>3342</v>
      </c>
      <c r="E7" s="2">
        <v>333</v>
      </c>
      <c r="F7" s="2">
        <v>3</v>
      </c>
      <c r="G7" s="10" t="s">
        <v>16</v>
      </c>
      <c r="H7" s="10" t="s">
        <v>17</v>
      </c>
      <c r="I7" s="10" t="s">
        <v>18</v>
      </c>
      <c r="J7" s="10">
        <v>17035684</v>
      </c>
      <c r="K7" s="10" t="s">
        <v>24</v>
      </c>
      <c r="L7" s="10" t="s">
        <v>26</v>
      </c>
      <c r="M7" s="11">
        <v>79900</v>
      </c>
      <c r="N7" s="6">
        <v>0.8</v>
      </c>
      <c r="O7" s="7">
        <f t="shared" si="0"/>
        <v>15980</v>
      </c>
      <c r="P7" s="6" t="s">
        <v>740</v>
      </c>
    </row>
    <row r="8" spans="1:16" x14ac:dyDescent="0.35">
      <c r="A8" s="2" t="s">
        <v>743</v>
      </c>
      <c r="B8" s="3">
        <f t="shared" si="1"/>
        <v>46086</v>
      </c>
      <c r="C8" s="3">
        <f t="shared" si="2"/>
        <v>46092</v>
      </c>
      <c r="D8" s="2">
        <v>3342</v>
      </c>
      <c r="E8" s="2">
        <v>333</v>
      </c>
      <c r="F8" s="2">
        <v>3</v>
      </c>
      <c r="G8" s="10" t="s">
        <v>16</v>
      </c>
      <c r="H8" s="10" t="s">
        <v>17</v>
      </c>
      <c r="I8" s="10" t="s">
        <v>18</v>
      </c>
      <c r="J8" s="10">
        <v>17035693</v>
      </c>
      <c r="K8" s="10" t="s">
        <v>24</v>
      </c>
      <c r="L8" s="10" t="s">
        <v>27</v>
      </c>
      <c r="M8" s="11">
        <v>79900</v>
      </c>
      <c r="N8" s="6">
        <v>0.8</v>
      </c>
      <c r="O8" s="7">
        <f t="shared" si="0"/>
        <v>15980</v>
      </c>
      <c r="P8" s="6" t="s">
        <v>740</v>
      </c>
    </row>
    <row r="9" spans="1:16" x14ac:dyDescent="0.35">
      <c r="A9" s="2" t="s">
        <v>743</v>
      </c>
      <c r="B9" s="3">
        <f t="shared" si="1"/>
        <v>46086</v>
      </c>
      <c r="C9" s="3">
        <f t="shared" si="2"/>
        <v>46092</v>
      </c>
      <c r="D9" s="2">
        <v>3342</v>
      </c>
      <c r="E9" s="2">
        <v>333</v>
      </c>
      <c r="F9" s="2">
        <v>3</v>
      </c>
      <c r="G9" s="10" t="s">
        <v>16</v>
      </c>
      <c r="H9" s="10" t="s">
        <v>17</v>
      </c>
      <c r="I9" s="10" t="s">
        <v>18</v>
      </c>
      <c r="J9" s="10">
        <v>17035700</v>
      </c>
      <c r="K9" s="10" t="s">
        <v>24</v>
      </c>
      <c r="L9" s="10" t="s">
        <v>28</v>
      </c>
      <c r="M9" s="11">
        <v>79900</v>
      </c>
      <c r="N9" s="6">
        <v>0.8</v>
      </c>
      <c r="O9" s="7">
        <f t="shared" si="0"/>
        <v>15980</v>
      </c>
      <c r="P9" s="6" t="s">
        <v>740</v>
      </c>
    </row>
    <row r="10" spans="1:16" x14ac:dyDescent="0.35">
      <c r="A10" s="2" t="s">
        <v>743</v>
      </c>
      <c r="B10" s="3">
        <f t="shared" si="1"/>
        <v>46086</v>
      </c>
      <c r="C10" s="3">
        <f t="shared" si="2"/>
        <v>46092</v>
      </c>
      <c r="D10" s="2">
        <v>3342</v>
      </c>
      <c r="E10" s="2">
        <v>333</v>
      </c>
      <c r="F10" s="2">
        <v>3</v>
      </c>
      <c r="G10" s="10" t="s">
        <v>16</v>
      </c>
      <c r="H10" s="10" t="s">
        <v>17</v>
      </c>
      <c r="I10" s="10" t="s">
        <v>18</v>
      </c>
      <c r="J10" s="10">
        <v>17035719</v>
      </c>
      <c r="K10" s="10" t="s">
        <v>29</v>
      </c>
      <c r="L10" s="10" t="s">
        <v>30</v>
      </c>
      <c r="M10" s="11">
        <v>79900</v>
      </c>
      <c r="N10" s="6">
        <v>0.8</v>
      </c>
      <c r="O10" s="7">
        <f t="shared" si="0"/>
        <v>15980</v>
      </c>
      <c r="P10" s="6" t="s">
        <v>740</v>
      </c>
    </row>
    <row r="11" spans="1:16" x14ac:dyDescent="0.35">
      <c r="A11" s="2" t="s">
        <v>743</v>
      </c>
      <c r="B11" s="3">
        <f t="shared" si="1"/>
        <v>46086</v>
      </c>
      <c r="C11" s="3">
        <f t="shared" si="2"/>
        <v>46092</v>
      </c>
      <c r="D11" s="2">
        <v>3342</v>
      </c>
      <c r="E11" s="2">
        <v>333</v>
      </c>
      <c r="F11" s="2">
        <v>3</v>
      </c>
      <c r="G11" s="10" t="s">
        <v>16</v>
      </c>
      <c r="H11" s="10" t="s">
        <v>17</v>
      </c>
      <c r="I11" s="10" t="s">
        <v>18</v>
      </c>
      <c r="J11" s="10">
        <v>17035728</v>
      </c>
      <c r="K11" s="10" t="s">
        <v>29</v>
      </c>
      <c r="L11" s="10" t="s">
        <v>31</v>
      </c>
      <c r="M11" s="11">
        <v>79900</v>
      </c>
      <c r="N11" s="6">
        <v>0.8</v>
      </c>
      <c r="O11" s="7">
        <f t="shared" si="0"/>
        <v>15980</v>
      </c>
      <c r="P11" s="6" t="s">
        <v>740</v>
      </c>
    </row>
    <row r="12" spans="1:16" x14ac:dyDescent="0.35">
      <c r="A12" s="2" t="s">
        <v>743</v>
      </c>
      <c r="B12" s="3">
        <f t="shared" si="1"/>
        <v>46086</v>
      </c>
      <c r="C12" s="3">
        <f t="shared" si="2"/>
        <v>46092</v>
      </c>
      <c r="D12" s="2">
        <v>3342</v>
      </c>
      <c r="E12" s="2">
        <v>333</v>
      </c>
      <c r="F12" s="2">
        <v>3</v>
      </c>
      <c r="G12" s="10" t="s">
        <v>16</v>
      </c>
      <c r="H12" s="10" t="s">
        <v>17</v>
      </c>
      <c r="I12" s="10" t="s">
        <v>18</v>
      </c>
      <c r="J12" s="10">
        <v>17035737</v>
      </c>
      <c r="K12" s="10" t="s">
        <v>29</v>
      </c>
      <c r="L12" s="10" t="s">
        <v>32</v>
      </c>
      <c r="M12" s="11">
        <v>79900</v>
      </c>
      <c r="N12" s="6">
        <v>0.8</v>
      </c>
      <c r="O12" s="7">
        <f t="shared" si="0"/>
        <v>15980</v>
      </c>
      <c r="P12" s="6" t="s">
        <v>740</v>
      </c>
    </row>
    <row r="13" spans="1:16" x14ac:dyDescent="0.35">
      <c r="A13" s="2" t="s">
        <v>743</v>
      </c>
      <c r="B13" s="3">
        <f t="shared" si="1"/>
        <v>46086</v>
      </c>
      <c r="C13" s="3">
        <f t="shared" si="2"/>
        <v>46092</v>
      </c>
      <c r="D13" s="2">
        <v>3342</v>
      </c>
      <c r="E13" s="2">
        <v>333</v>
      </c>
      <c r="F13" s="2">
        <v>3</v>
      </c>
      <c r="G13" s="10" t="s">
        <v>16</v>
      </c>
      <c r="H13" s="10" t="s">
        <v>17</v>
      </c>
      <c r="I13" s="10" t="s">
        <v>18</v>
      </c>
      <c r="J13" s="10">
        <v>17035746</v>
      </c>
      <c r="K13" s="10" t="s">
        <v>29</v>
      </c>
      <c r="L13" s="10" t="s">
        <v>33</v>
      </c>
      <c r="M13" s="11">
        <v>79900</v>
      </c>
      <c r="N13" s="6">
        <v>0.8</v>
      </c>
      <c r="O13" s="7">
        <f t="shared" si="0"/>
        <v>15980</v>
      </c>
      <c r="P13" s="6" t="s">
        <v>740</v>
      </c>
    </row>
    <row r="14" spans="1:16" x14ac:dyDescent="0.35">
      <c r="A14" s="2" t="s">
        <v>743</v>
      </c>
      <c r="B14" s="3">
        <f t="shared" si="1"/>
        <v>46086</v>
      </c>
      <c r="C14" s="3">
        <f t="shared" si="2"/>
        <v>46092</v>
      </c>
      <c r="D14" s="2">
        <v>3342</v>
      </c>
      <c r="E14" s="2">
        <v>333</v>
      </c>
      <c r="F14" s="2">
        <v>3</v>
      </c>
      <c r="G14" s="10" t="s">
        <v>16</v>
      </c>
      <c r="H14" s="10" t="s">
        <v>17</v>
      </c>
      <c r="I14" s="10" t="s">
        <v>18</v>
      </c>
      <c r="J14" s="10">
        <v>17035835</v>
      </c>
      <c r="K14" s="10" t="s">
        <v>34</v>
      </c>
      <c r="L14" s="10" t="s">
        <v>35</v>
      </c>
      <c r="M14" s="11">
        <v>79900</v>
      </c>
      <c r="N14" s="6">
        <v>0.8</v>
      </c>
      <c r="O14" s="7">
        <f t="shared" si="0"/>
        <v>15980</v>
      </c>
      <c r="P14" s="6" t="s">
        <v>740</v>
      </c>
    </row>
    <row r="15" spans="1:16" x14ac:dyDescent="0.35">
      <c r="A15" s="2" t="s">
        <v>743</v>
      </c>
      <c r="B15" s="3">
        <f t="shared" si="1"/>
        <v>46086</v>
      </c>
      <c r="C15" s="3">
        <f t="shared" si="2"/>
        <v>46092</v>
      </c>
      <c r="D15" s="2">
        <v>3342</v>
      </c>
      <c r="E15" s="2">
        <v>333</v>
      </c>
      <c r="F15" s="2">
        <v>3</v>
      </c>
      <c r="G15" s="10" t="s">
        <v>16</v>
      </c>
      <c r="H15" s="10" t="s">
        <v>17</v>
      </c>
      <c r="I15" s="10" t="s">
        <v>18</v>
      </c>
      <c r="J15" s="10">
        <v>17035844</v>
      </c>
      <c r="K15" s="10" t="s">
        <v>34</v>
      </c>
      <c r="L15" s="10" t="s">
        <v>36</v>
      </c>
      <c r="M15" s="11">
        <v>79900</v>
      </c>
      <c r="N15" s="6">
        <v>0.8</v>
      </c>
      <c r="O15" s="7">
        <f t="shared" si="0"/>
        <v>15980</v>
      </c>
      <c r="P15" s="6" t="s">
        <v>740</v>
      </c>
    </row>
    <row r="16" spans="1:16" x14ac:dyDescent="0.35">
      <c r="A16" s="2" t="s">
        <v>743</v>
      </c>
      <c r="B16" s="3">
        <f t="shared" si="1"/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10" t="s">
        <v>16</v>
      </c>
      <c r="H16" s="10" t="s">
        <v>17</v>
      </c>
      <c r="I16" s="10" t="s">
        <v>18</v>
      </c>
      <c r="J16" s="10">
        <v>17035853</v>
      </c>
      <c r="K16" s="10" t="s">
        <v>34</v>
      </c>
      <c r="L16" s="10" t="s">
        <v>37</v>
      </c>
      <c r="M16" s="11">
        <v>79900</v>
      </c>
      <c r="N16" s="6">
        <v>0.8</v>
      </c>
      <c r="O16" s="7">
        <f t="shared" si="0"/>
        <v>15980</v>
      </c>
      <c r="P16" s="6" t="s">
        <v>740</v>
      </c>
    </row>
    <row r="17" spans="1:16" x14ac:dyDescent="0.35">
      <c r="A17" s="2" t="s">
        <v>743</v>
      </c>
      <c r="B17" s="3">
        <f t="shared" si="1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10" t="s">
        <v>16</v>
      </c>
      <c r="H17" s="10" t="s">
        <v>17</v>
      </c>
      <c r="I17" s="10" t="s">
        <v>18</v>
      </c>
      <c r="J17" s="10">
        <v>17035862</v>
      </c>
      <c r="K17" s="10" t="s">
        <v>34</v>
      </c>
      <c r="L17" s="10" t="s">
        <v>38</v>
      </c>
      <c r="M17" s="11">
        <v>79900</v>
      </c>
      <c r="N17" s="6">
        <v>0.8</v>
      </c>
      <c r="O17" s="7">
        <f t="shared" si="0"/>
        <v>15980</v>
      </c>
      <c r="P17" s="6" t="s">
        <v>740</v>
      </c>
    </row>
    <row r="18" spans="1:16" x14ac:dyDescent="0.35">
      <c r="A18" s="2" t="s">
        <v>743</v>
      </c>
      <c r="B18" s="3">
        <f t="shared" si="1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10" t="s">
        <v>16</v>
      </c>
      <c r="H18" s="10" t="s">
        <v>17</v>
      </c>
      <c r="I18" s="10" t="s">
        <v>18</v>
      </c>
      <c r="J18" s="10">
        <v>17660374</v>
      </c>
      <c r="K18" s="10" t="s">
        <v>39</v>
      </c>
      <c r="L18" s="10" t="s">
        <v>40</v>
      </c>
      <c r="M18" s="11">
        <v>79900</v>
      </c>
      <c r="N18" s="6">
        <v>0.8</v>
      </c>
      <c r="O18" s="7">
        <f t="shared" si="0"/>
        <v>15980</v>
      </c>
      <c r="P18" s="6" t="s">
        <v>740</v>
      </c>
    </row>
    <row r="19" spans="1:16" x14ac:dyDescent="0.35">
      <c r="A19" s="2" t="s">
        <v>743</v>
      </c>
      <c r="B19" s="3">
        <f t="shared" si="1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10" t="s">
        <v>16</v>
      </c>
      <c r="H19" s="10" t="s">
        <v>17</v>
      </c>
      <c r="I19" s="10" t="s">
        <v>18</v>
      </c>
      <c r="J19" s="10">
        <v>17660383</v>
      </c>
      <c r="K19" s="10" t="s">
        <v>39</v>
      </c>
      <c r="L19" s="10" t="s">
        <v>41</v>
      </c>
      <c r="M19" s="11">
        <v>79900</v>
      </c>
      <c r="N19" s="6">
        <v>0.8</v>
      </c>
      <c r="O19" s="7">
        <f t="shared" si="0"/>
        <v>15980</v>
      </c>
      <c r="P19" s="6" t="s">
        <v>740</v>
      </c>
    </row>
    <row r="20" spans="1:16" x14ac:dyDescent="0.35">
      <c r="A20" s="2" t="s">
        <v>743</v>
      </c>
      <c r="B20" s="3">
        <f t="shared" si="1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10" t="s">
        <v>16</v>
      </c>
      <c r="H20" s="10" t="s">
        <v>17</v>
      </c>
      <c r="I20" s="10" t="s">
        <v>18</v>
      </c>
      <c r="J20" s="10">
        <v>17660392</v>
      </c>
      <c r="K20" s="10" t="s">
        <v>39</v>
      </c>
      <c r="L20" s="10" t="s">
        <v>42</v>
      </c>
      <c r="M20" s="11">
        <v>79900</v>
      </c>
      <c r="N20" s="6">
        <v>0.8</v>
      </c>
      <c r="O20" s="7">
        <f t="shared" si="0"/>
        <v>15980</v>
      </c>
      <c r="P20" s="6" t="s">
        <v>740</v>
      </c>
    </row>
    <row r="21" spans="1:16" x14ac:dyDescent="0.35">
      <c r="A21" s="2" t="s">
        <v>743</v>
      </c>
      <c r="B21" s="3">
        <f t="shared" si="1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10" t="s">
        <v>16</v>
      </c>
      <c r="H21" s="10" t="s">
        <v>17</v>
      </c>
      <c r="I21" s="10" t="s">
        <v>18</v>
      </c>
      <c r="J21" s="10">
        <v>17660409</v>
      </c>
      <c r="K21" s="10" t="s">
        <v>39</v>
      </c>
      <c r="L21" s="10" t="s">
        <v>43</v>
      </c>
      <c r="M21" s="11">
        <v>79900</v>
      </c>
      <c r="N21" s="6">
        <v>0.8</v>
      </c>
      <c r="O21" s="7">
        <f t="shared" si="0"/>
        <v>15980</v>
      </c>
      <c r="P21" s="6" t="s">
        <v>740</v>
      </c>
    </row>
    <row r="22" spans="1:16" x14ac:dyDescent="0.35">
      <c r="A22" s="2" t="s">
        <v>743</v>
      </c>
      <c r="B22" s="3">
        <f t="shared" si="1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10" t="s">
        <v>16</v>
      </c>
      <c r="H22" s="10" t="s">
        <v>17</v>
      </c>
      <c r="I22" s="10" t="s">
        <v>18</v>
      </c>
      <c r="J22" s="10">
        <v>17660418</v>
      </c>
      <c r="K22" s="10" t="s">
        <v>44</v>
      </c>
      <c r="L22" s="10" t="s">
        <v>45</v>
      </c>
      <c r="M22" s="11">
        <v>79900</v>
      </c>
      <c r="N22" s="6">
        <v>0.8</v>
      </c>
      <c r="O22" s="7">
        <f t="shared" si="0"/>
        <v>15980</v>
      </c>
      <c r="P22" s="6" t="s">
        <v>740</v>
      </c>
    </row>
    <row r="23" spans="1:16" x14ac:dyDescent="0.35">
      <c r="A23" s="2" t="s">
        <v>743</v>
      </c>
      <c r="B23" s="3">
        <f t="shared" si="1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10" t="s">
        <v>16</v>
      </c>
      <c r="H23" s="10" t="s">
        <v>17</v>
      </c>
      <c r="I23" s="10" t="s">
        <v>18</v>
      </c>
      <c r="J23" s="10">
        <v>17660427</v>
      </c>
      <c r="K23" s="10" t="s">
        <v>44</v>
      </c>
      <c r="L23" s="10" t="s">
        <v>46</v>
      </c>
      <c r="M23" s="11">
        <v>79900</v>
      </c>
      <c r="N23" s="6">
        <v>0.8</v>
      </c>
      <c r="O23" s="7">
        <f t="shared" si="0"/>
        <v>15980</v>
      </c>
      <c r="P23" s="6" t="s">
        <v>740</v>
      </c>
    </row>
    <row r="24" spans="1:16" x14ac:dyDescent="0.35">
      <c r="A24" s="2" t="s">
        <v>743</v>
      </c>
      <c r="B24" s="3">
        <f t="shared" si="1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10" t="s">
        <v>16</v>
      </c>
      <c r="H24" s="10" t="s">
        <v>17</v>
      </c>
      <c r="I24" s="10" t="s">
        <v>18</v>
      </c>
      <c r="J24" s="10">
        <v>17660436</v>
      </c>
      <c r="K24" s="10" t="s">
        <v>44</v>
      </c>
      <c r="L24" s="10" t="s">
        <v>47</v>
      </c>
      <c r="M24" s="11">
        <v>79900</v>
      </c>
      <c r="N24" s="6">
        <v>0.8</v>
      </c>
      <c r="O24" s="7">
        <f t="shared" si="0"/>
        <v>15980</v>
      </c>
      <c r="P24" s="6" t="s">
        <v>740</v>
      </c>
    </row>
    <row r="25" spans="1:16" x14ac:dyDescent="0.35">
      <c r="A25" s="2" t="s">
        <v>743</v>
      </c>
      <c r="B25" s="3">
        <f t="shared" si="1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10" t="s">
        <v>16</v>
      </c>
      <c r="H25" s="10" t="s">
        <v>17</v>
      </c>
      <c r="I25" s="10" t="s">
        <v>18</v>
      </c>
      <c r="J25" s="10">
        <v>17660445</v>
      </c>
      <c r="K25" s="10" t="s">
        <v>44</v>
      </c>
      <c r="L25" s="10" t="s">
        <v>48</v>
      </c>
      <c r="M25" s="11">
        <v>79900</v>
      </c>
      <c r="N25" s="6">
        <v>0.8</v>
      </c>
      <c r="O25" s="7">
        <f t="shared" si="0"/>
        <v>15980</v>
      </c>
      <c r="P25" s="6" t="s">
        <v>740</v>
      </c>
    </row>
    <row r="26" spans="1:16" x14ac:dyDescent="0.35">
      <c r="A26" s="2" t="s">
        <v>743</v>
      </c>
      <c r="B26" s="3">
        <f t="shared" si="1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10" t="s">
        <v>16</v>
      </c>
      <c r="H26" s="10" t="s">
        <v>17</v>
      </c>
      <c r="I26" s="10" t="s">
        <v>18</v>
      </c>
      <c r="J26" s="10">
        <v>17660454</v>
      </c>
      <c r="K26" s="10" t="s">
        <v>49</v>
      </c>
      <c r="L26" s="10" t="s">
        <v>50</v>
      </c>
      <c r="M26" s="11">
        <v>79900</v>
      </c>
      <c r="N26" s="6">
        <v>0.8</v>
      </c>
      <c r="O26" s="7">
        <f t="shared" si="0"/>
        <v>15980</v>
      </c>
      <c r="P26" s="6" t="s">
        <v>740</v>
      </c>
    </row>
    <row r="27" spans="1:16" x14ac:dyDescent="0.35">
      <c r="A27" s="2" t="s">
        <v>743</v>
      </c>
      <c r="B27" s="3">
        <f t="shared" si="1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10" t="s">
        <v>16</v>
      </c>
      <c r="H27" s="10" t="s">
        <v>17</v>
      </c>
      <c r="I27" s="10" t="s">
        <v>18</v>
      </c>
      <c r="J27" s="10">
        <v>17660463</v>
      </c>
      <c r="K27" s="10" t="s">
        <v>49</v>
      </c>
      <c r="L27" s="10" t="s">
        <v>51</v>
      </c>
      <c r="M27" s="11">
        <v>79900</v>
      </c>
      <c r="N27" s="6">
        <v>0.8</v>
      </c>
      <c r="O27" s="7">
        <f t="shared" si="0"/>
        <v>15980</v>
      </c>
      <c r="P27" s="6" t="s">
        <v>740</v>
      </c>
    </row>
    <row r="28" spans="1:16" x14ac:dyDescent="0.35">
      <c r="A28" s="2" t="s">
        <v>743</v>
      </c>
      <c r="B28" s="3">
        <f t="shared" si="1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10" t="s">
        <v>16</v>
      </c>
      <c r="H28" s="10" t="s">
        <v>17</v>
      </c>
      <c r="I28" s="10" t="s">
        <v>18</v>
      </c>
      <c r="J28" s="10">
        <v>17660472</v>
      </c>
      <c r="K28" s="10" t="s">
        <v>49</v>
      </c>
      <c r="L28" s="10" t="s">
        <v>52</v>
      </c>
      <c r="M28" s="11">
        <v>79900</v>
      </c>
      <c r="N28" s="6">
        <v>0.8</v>
      </c>
      <c r="O28" s="7">
        <f t="shared" si="0"/>
        <v>15980</v>
      </c>
      <c r="P28" s="6" t="s">
        <v>740</v>
      </c>
    </row>
    <row r="29" spans="1:16" x14ac:dyDescent="0.35">
      <c r="A29" s="2" t="s">
        <v>743</v>
      </c>
      <c r="B29" s="3">
        <f t="shared" si="1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10" t="s">
        <v>16</v>
      </c>
      <c r="H29" s="10" t="s">
        <v>17</v>
      </c>
      <c r="I29" s="10" t="s">
        <v>18</v>
      </c>
      <c r="J29" s="10">
        <v>17660481</v>
      </c>
      <c r="K29" s="10" t="s">
        <v>49</v>
      </c>
      <c r="L29" s="10" t="s">
        <v>53</v>
      </c>
      <c r="M29" s="11">
        <v>79900</v>
      </c>
      <c r="N29" s="6">
        <v>0.8</v>
      </c>
      <c r="O29" s="7">
        <f t="shared" si="0"/>
        <v>15980</v>
      </c>
      <c r="P29" s="6" t="s">
        <v>740</v>
      </c>
    </row>
    <row r="30" spans="1:16" x14ac:dyDescent="0.35">
      <c r="A30" s="2" t="s">
        <v>743</v>
      </c>
      <c r="B30" s="3">
        <f t="shared" si="1"/>
        <v>46086</v>
      </c>
      <c r="C30" s="3">
        <f t="shared" si="2"/>
        <v>46092</v>
      </c>
      <c r="D30" s="2">
        <v>3342</v>
      </c>
      <c r="E30" s="2">
        <v>333</v>
      </c>
      <c r="F30" s="2">
        <v>3</v>
      </c>
      <c r="G30" s="10" t="s">
        <v>16</v>
      </c>
      <c r="H30" s="10" t="s">
        <v>17</v>
      </c>
      <c r="I30" s="10" t="s">
        <v>18</v>
      </c>
      <c r="J30" s="10">
        <v>17660490</v>
      </c>
      <c r="K30" s="10" t="s">
        <v>54</v>
      </c>
      <c r="L30" s="10" t="s">
        <v>55</v>
      </c>
      <c r="M30" s="11">
        <v>79900</v>
      </c>
      <c r="N30" s="6">
        <v>0.8</v>
      </c>
      <c r="O30" s="7">
        <f t="shared" si="0"/>
        <v>15980</v>
      </c>
      <c r="P30" s="6" t="s">
        <v>740</v>
      </c>
    </row>
    <row r="31" spans="1:16" x14ac:dyDescent="0.35">
      <c r="A31" s="2" t="s">
        <v>743</v>
      </c>
      <c r="B31" s="3">
        <f t="shared" si="1"/>
        <v>46086</v>
      </c>
      <c r="C31" s="3">
        <f t="shared" si="2"/>
        <v>46092</v>
      </c>
      <c r="D31" s="2">
        <v>3342</v>
      </c>
      <c r="E31" s="2">
        <v>333</v>
      </c>
      <c r="F31" s="2">
        <v>3</v>
      </c>
      <c r="G31" s="10" t="s">
        <v>16</v>
      </c>
      <c r="H31" s="10" t="s">
        <v>17</v>
      </c>
      <c r="I31" s="10" t="s">
        <v>18</v>
      </c>
      <c r="J31" s="10">
        <v>17660507</v>
      </c>
      <c r="K31" s="10" t="s">
        <v>54</v>
      </c>
      <c r="L31" s="10" t="s">
        <v>56</v>
      </c>
      <c r="M31" s="11">
        <v>79900</v>
      </c>
      <c r="N31" s="6">
        <v>0.8</v>
      </c>
      <c r="O31" s="7">
        <f t="shared" si="0"/>
        <v>15980</v>
      </c>
      <c r="P31" s="6" t="s">
        <v>740</v>
      </c>
    </row>
    <row r="32" spans="1:16" x14ac:dyDescent="0.35">
      <c r="A32" s="2" t="s">
        <v>743</v>
      </c>
      <c r="B32" s="3">
        <f t="shared" si="1"/>
        <v>46086</v>
      </c>
      <c r="C32" s="3">
        <f t="shared" si="2"/>
        <v>46092</v>
      </c>
      <c r="D32" s="2">
        <v>3342</v>
      </c>
      <c r="E32" s="2">
        <v>333</v>
      </c>
      <c r="F32" s="2">
        <v>3</v>
      </c>
      <c r="G32" s="10" t="s">
        <v>16</v>
      </c>
      <c r="H32" s="10" t="s">
        <v>17</v>
      </c>
      <c r="I32" s="10" t="s">
        <v>18</v>
      </c>
      <c r="J32" s="10">
        <v>17660525</v>
      </c>
      <c r="K32" s="10" t="s">
        <v>54</v>
      </c>
      <c r="L32" s="10" t="s">
        <v>57</v>
      </c>
      <c r="M32" s="11">
        <v>79900</v>
      </c>
      <c r="N32" s="6">
        <v>0.8</v>
      </c>
      <c r="O32" s="7">
        <f t="shared" si="0"/>
        <v>15980</v>
      </c>
      <c r="P32" s="6" t="s">
        <v>740</v>
      </c>
    </row>
    <row r="33" spans="1:16" x14ac:dyDescent="0.35">
      <c r="A33" s="2" t="s">
        <v>743</v>
      </c>
      <c r="B33" s="3">
        <f t="shared" si="1"/>
        <v>46086</v>
      </c>
      <c r="C33" s="3">
        <f t="shared" si="2"/>
        <v>46092</v>
      </c>
      <c r="D33" s="2">
        <v>3342</v>
      </c>
      <c r="E33" s="2">
        <v>333</v>
      </c>
      <c r="F33" s="2">
        <v>3</v>
      </c>
      <c r="G33" s="10" t="s">
        <v>16</v>
      </c>
      <c r="H33" s="10" t="s">
        <v>17</v>
      </c>
      <c r="I33" s="10" t="s">
        <v>18</v>
      </c>
      <c r="J33" s="10">
        <v>17660534</v>
      </c>
      <c r="K33" s="10" t="s">
        <v>54</v>
      </c>
      <c r="L33" s="10" t="s">
        <v>58</v>
      </c>
      <c r="M33" s="11">
        <v>79900</v>
      </c>
      <c r="N33" s="6">
        <v>0.8</v>
      </c>
      <c r="O33" s="7">
        <f t="shared" si="0"/>
        <v>15980</v>
      </c>
      <c r="P33" s="6" t="s">
        <v>740</v>
      </c>
    </row>
    <row r="34" spans="1:16" x14ac:dyDescent="0.35">
      <c r="A34" s="2" t="s">
        <v>743</v>
      </c>
      <c r="B34" s="3">
        <f t="shared" si="1"/>
        <v>46086</v>
      </c>
      <c r="C34" s="3">
        <f t="shared" si="2"/>
        <v>46092</v>
      </c>
      <c r="D34" s="2">
        <v>3342</v>
      </c>
      <c r="E34" s="2">
        <v>333</v>
      </c>
      <c r="F34" s="2">
        <v>3</v>
      </c>
      <c r="G34" s="10" t="s">
        <v>16</v>
      </c>
      <c r="H34" s="10" t="s">
        <v>60</v>
      </c>
      <c r="I34" s="10" t="s">
        <v>18</v>
      </c>
      <c r="J34" s="10">
        <v>10611911</v>
      </c>
      <c r="K34" s="10" t="s">
        <v>71</v>
      </c>
      <c r="L34" s="10" t="s">
        <v>72</v>
      </c>
      <c r="M34" s="11">
        <v>79900</v>
      </c>
      <c r="N34" s="6">
        <v>0.8</v>
      </c>
      <c r="O34" s="7">
        <f t="shared" si="0"/>
        <v>15980</v>
      </c>
      <c r="P34" s="6" t="s">
        <v>740</v>
      </c>
    </row>
    <row r="35" spans="1:16" x14ac:dyDescent="0.35">
      <c r="A35" s="2" t="s">
        <v>743</v>
      </c>
      <c r="B35" s="3">
        <f t="shared" si="1"/>
        <v>46086</v>
      </c>
      <c r="C35" s="3">
        <f t="shared" si="2"/>
        <v>46092</v>
      </c>
      <c r="D35" s="2">
        <v>3342</v>
      </c>
      <c r="E35" s="2">
        <v>333</v>
      </c>
      <c r="F35" s="2">
        <v>3</v>
      </c>
      <c r="G35" s="10" t="s">
        <v>16</v>
      </c>
      <c r="H35" s="10" t="s">
        <v>60</v>
      </c>
      <c r="I35" s="10" t="s">
        <v>18</v>
      </c>
      <c r="J35" s="10">
        <v>10611920</v>
      </c>
      <c r="K35" s="10" t="s">
        <v>71</v>
      </c>
      <c r="L35" s="10" t="s">
        <v>73</v>
      </c>
      <c r="M35" s="11">
        <v>79900</v>
      </c>
      <c r="N35" s="6">
        <v>0.8</v>
      </c>
      <c r="O35" s="7">
        <f t="shared" si="0"/>
        <v>15980</v>
      </c>
      <c r="P35" s="6" t="s">
        <v>740</v>
      </c>
    </row>
    <row r="36" spans="1:16" x14ac:dyDescent="0.35">
      <c r="A36" s="2" t="s">
        <v>743</v>
      </c>
      <c r="B36" s="3">
        <f t="shared" si="1"/>
        <v>46086</v>
      </c>
      <c r="C36" s="3">
        <f t="shared" si="2"/>
        <v>46092</v>
      </c>
      <c r="D36" s="2">
        <v>3342</v>
      </c>
      <c r="E36" s="2">
        <v>333</v>
      </c>
      <c r="F36" s="2">
        <v>3</v>
      </c>
      <c r="G36" s="10" t="s">
        <v>16</v>
      </c>
      <c r="H36" s="10" t="s">
        <v>60</v>
      </c>
      <c r="I36" s="10" t="s">
        <v>18</v>
      </c>
      <c r="J36" s="10">
        <v>10611939</v>
      </c>
      <c r="K36" s="10" t="s">
        <v>71</v>
      </c>
      <c r="L36" s="10" t="s">
        <v>74</v>
      </c>
      <c r="M36" s="11">
        <v>79900</v>
      </c>
      <c r="N36" s="6">
        <v>0.8</v>
      </c>
      <c r="O36" s="7">
        <f t="shared" si="0"/>
        <v>15980</v>
      </c>
      <c r="P36" s="6" t="s">
        <v>740</v>
      </c>
    </row>
    <row r="37" spans="1:16" x14ac:dyDescent="0.35">
      <c r="A37" s="2" t="s">
        <v>743</v>
      </c>
      <c r="B37" s="3">
        <f t="shared" si="1"/>
        <v>46086</v>
      </c>
      <c r="C37" s="3">
        <f t="shared" si="2"/>
        <v>46092</v>
      </c>
      <c r="D37" s="2">
        <v>3342</v>
      </c>
      <c r="E37" s="2">
        <v>333</v>
      </c>
      <c r="F37" s="2">
        <v>3</v>
      </c>
      <c r="G37" s="10" t="s">
        <v>16</v>
      </c>
      <c r="H37" s="10" t="s">
        <v>60</v>
      </c>
      <c r="I37" s="10" t="s">
        <v>18</v>
      </c>
      <c r="J37" s="10">
        <v>10611948</v>
      </c>
      <c r="K37" s="10" t="s">
        <v>71</v>
      </c>
      <c r="L37" s="10" t="s">
        <v>75</v>
      </c>
      <c r="M37" s="11">
        <v>79900</v>
      </c>
      <c r="N37" s="6">
        <v>0.8</v>
      </c>
      <c r="O37" s="7">
        <f t="shared" si="0"/>
        <v>15980</v>
      </c>
      <c r="P37" s="6" t="s">
        <v>740</v>
      </c>
    </row>
    <row r="38" spans="1:16" x14ac:dyDescent="0.35">
      <c r="A38" s="2" t="s">
        <v>743</v>
      </c>
      <c r="B38" s="3">
        <f t="shared" si="1"/>
        <v>46086</v>
      </c>
      <c r="C38" s="3">
        <f t="shared" si="2"/>
        <v>46092</v>
      </c>
      <c r="D38" s="2">
        <v>3342</v>
      </c>
      <c r="E38" s="2">
        <v>333</v>
      </c>
      <c r="F38" s="2">
        <v>3</v>
      </c>
      <c r="G38" s="10" t="s">
        <v>16</v>
      </c>
      <c r="H38" s="10" t="s">
        <v>60</v>
      </c>
      <c r="I38" s="10" t="s">
        <v>18</v>
      </c>
      <c r="J38" s="10">
        <v>10611957</v>
      </c>
      <c r="K38" s="10" t="s">
        <v>76</v>
      </c>
      <c r="L38" s="10" t="s">
        <v>77</v>
      </c>
      <c r="M38" s="11">
        <v>79900</v>
      </c>
      <c r="N38" s="6">
        <v>0.8</v>
      </c>
      <c r="O38" s="7">
        <f t="shared" si="0"/>
        <v>15980</v>
      </c>
      <c r="P38" s="6" t="s">
        <v>740</v>
      </c>
    </row>
    <row r="39" spans="1:16" x14ac:dyDescent="0.35">
      <c r="A39" s="2" t="s">
        <v>743</v>
      </c>
      <c r="B39" s="3">
        <f t="shared" si="1"/>
        <v>46086</v>
      </c>
      <c r="C39" s="3">
        <f t="shared" si="2"/>
        <v>46092</v>
      </c>
      <c r="D39" s="2">
        <v>3342</v>
      </c>
      <c r="E39" s="2">
        <v>333</v>
      </c>
      <c r="F39" s="2">
        <v>3</v>
      </c>
      <c r="G39" s="10" t="s">
        <v>16</v>
      </c>
      <c r="H39" s="10" t="s">
        <v>60</v>
      </c>
      <c r="I39" s="10" t="s">
        <v>18</v>
      </c>
      <c r="J39" s="10">
        <v>10611966</v>
      </c>
      <c r="K39" s="10" t="s">
        <v>76</v>
      </c>
      <c r="L39" s="10" t="s">
        <v>78</v>
      </c>
      <c r="M39" s="11">
        <v>79900</v>
      </c>
      <c r="N39" s="6">
        <v>0.8</v>
      </c>
      <c r="O39" s="7">
        <f t="shared" si="0"/>
        <v>15980</v>
      </c>
      <c r="P39" s="6" t="s">
        <v>740</v>
      </c>
    </row>
    <row r="40" spans="1:16" x14ac:dyDescent="0.35">
      <c r="A40" s="2" t="s">
        <v>743</v>
      </c>
      <c r="B40" s="3">
        <f t="shared" si="1"/>
        <v>46086</v>
      </c>
      <c r="C40" s="3">
        <f t="shared" si="2"/>
        <v>46092</v>
      </c>
      <c r="D40" s="2">
        <v>3342</v>
      </c>
      <c r="E40" s="2">
        <v>333</v>
      </c>
      <c r="F40" s="2">
        <v>3</v>
      </c>
      <c r="G40" s="10" t="s">
        <v>16</v>
      </c>
      <c r="H40" s="10" t="s">
        <v>60</v>
      </c>
      <c r="I40" s="10" t="s">
        <v>18</v>
      </c>
      <c r="J40" s="10">
        <v>10611975</v>
      </c>
      <c r="K40" s="10" t="s">
        <v>76</v>
      </c>
      <c r="L40" s="10" t="s">
        <v>79</v>
      </c>
      <c r="M40" s="11">
        <v>79900</v>
      </c>
      <c r="N40" s="6">
        <v>0.8</v>
      </c>
      <c r="O40" s="7">
        <f t="shared" si="0"/>
        <v>15980</v>
      </c>
      <c r="P40" s="6" t="s">
        <v>740</v>
      </c>
    </row>
    <row r="41" spans="1:16" x14ac:dyDescent="0.35">
      <c r="A41" s="2" t="s">
        <v>743</v>
      </c>
      <c r="B41" s="3">
        <f t="shared" si="1"/>
        <v>46086</v>
      </c>
      <c r="C41" s="3">
        <f t="shared" si="2"/>
        <v>46092</v>
      </c>
      <c r="D41" s="2">
        <v>3342</v>
      </c>
      <c r="E41" s="2">
        <v>333</v>
      </c>
      <c r="F41" s="2">
        <v>3</v>
      </c>
      <c r="G41" s="10" t="s">
        <v>16</v>
      </c>
      <c r="H41" s="10" t="s">
        <v>60</v>
      </c>
      <c r="I41" s="10" t="s">
        <v>18</v>
      </c>
      <c r="J41" s="10">
        <v>10611984</v>
      </c>
      <c r="K41" s="10" t="s">
        <v>76</v>
      </c>
      <c r="L41" s="10" t="s">
        <v>80</v>
      </c>
      <c r="M41" s="11">
        <v>79900</v>
      </c>
      <c r="N41" s="6">
        <v>0.8</v>
      </c>
      <c r="O41" s="7">
        <f t="shared" si="0"/>
        <v>15980</v>
      </c>
      <c r="P41" s="6" t="s">
        <v>740</v>
      </c>
    </row>
    <row r="42" spans="1:16" x14ac:dyDescent="0.35">
      <c r="A42" s="2" t="s">
        <v>743</v>
      </c>
      <c r="B42" s="3">
        <f t="shared" si="1"/>
        <v>46086</v>
      </c>
      <c r="C42" s="3">
        <f t="shared" si="2"/>
        <v>46092</v>
      </c>
      <c r="D42" s="2">
        <v>3342</v>
      </c>
      <c r="E42" s="2">
        <v>333</v>
      </c>
      <c r="F42" s="2">
        <v>3</v>
      </c>
      <c r="G42" s="10" t="s">
        <v>16</v>
      </c>
      <c r="H42" s="10" t="s">
        <v>60</v>
      </c>
      <c r="I42" s="10" t="s">
        <v>18</v>
      </c>
      <c r="J42" s="10">
        <v>10612036</v>
      </c>
      <c r="K42" s="10" t="s">
        <v>81</v>
      </c>
      <c r="L42" s="10" t="s">
        <v>82</v>
      </c>
      <c r="M42" s="11">
        <v>79900</v>
      </c>
      <c r="N42" s="6">
        <v>0.8</v>
      </c>
      <c r="O42" s="7">
        <f t="shared" si="0"/>
        <v>15980</v>
      </c>
      <c r="P42" s="6" t="s">
        <v>740</v>
      </c>
    </row>
    <row r="43" spans="1:16" x14ac:dyDescent="0.35">
      <c r="A43" s="2" t="s">
        <v>743</v>
      </c>
      <c r="B43" s="3">
        <f t="shared" si="1"/>
        <v>46086</v>
      </c>
      <c r="C43" s="3">
        <f t="shared" si="2"/>
        <v>46092</v>
      </c>
      <c r="D43" s="2">
        <v>3342</v>
      </c>
      <c r="E43" s="2">
        <v>333</v>
      </c>
      <c r="F43" s="2">
        <v>3</v>
      </c>
      <c r="G43" s="10" t="s">
        <v>16</v>
      </c>
      <c r="H43" s="10" t="s">
        <v>60</v>
      </c>
      <c r="I43" s="10" t="s">
        <v>18</v>
      </c>
      <c r="J43" s="10">
        <v>10612045</v>
      </c>
      <c r="K43" s="10" t="s">
        <v>81</v>
      </c>
      <c r="L43" s="10" t="s">
        <v>83</v>
      </c>
      <c r="M43" s="11">
        <v>79900</v>
      </c>
      <c r="N43" s="6">
        <v>0.8</v>
      </c>
      <c r="O43" s="7">
        <f t="shared" si="0"/>
        <v>15980</v>
      </c>
      <c r="P43" s="6" t="s">
        <v>740</v>
      </c>
    </row>
    <row r="44" spans="1:16" x14ac:dyDescent="0.35">
      <c r="A44" s="2" t="s">
        <v>743</v>
      </c>
      <c r="B44" s="3">
        <f t="shared" si="1"/>
        <v>46086</v>
      </c>
      <c r="C44" s="3">
        <f t="shared" si="2"/>
        <v>46092</v>
      </c>
      <c r="D44" s="2">
        <v>3342</v>
      </c>
      <c r="E44" s="2">
        <v>333</v>
      </c>
      <c r="F44" s="2">
        <v>3</v>
      </c>
      <c r="G44" s="10" t="s">
        <v>16</v>
      </c>
      <c r="H44" s="10" t="s">
        <v>60</v>
      </c>
      <c r="I44" s="10" t="s">
        <v>18</v>
      </c>
      <c r="J44" s="10">
        <v>10612054</v>
      </c>
      <c r="K44" s="10" t="s">
        <v>81</v>
      </c>
      <c r="L44" s="10" t="s">
        <v>84</v>
      </c>
      <c r="M44" s="11">
        <v>79900</v>
      </c>
      <c r="N44" s="6">
        <v>0.8</v>
      </c>
      <c r="O44" s="7">
        <f t="shared" si="0"/>
        <v>15980</v>
      </c>
      <c r="P44" s="6" t="s">
        <v>740</v>
      </c>
    </row>
    <row r="45" spans="1:16" x14ac:dyDescent="0.35">
      <c r="A45" s="2" t="s">
        <v>743</v>
      </c>
      <c r="B45" s="3">
        <f t="shared" si="1"/>
        <v>46086</v>
      </c>
      <c r="C45" s="3">
        <f t="shared" si="2"/>
        <v>46092</v>
      </c>
      <c r="D45" s="2">
        <v>3342</v>
      </c>
      <c r="E45" s="2">
        <v>333</v>
      </c>
      <c r="F45" s="2">
        <v>3</v>
      </c>
      <c r="G45" s="10" t="s">
        <v>16</v>
      </c>
      <c r="H45" s="10" t="s">
        <v>60</v>
      </c>
      <c r="I45" s="10" t="s">
        <v>18</v>
      </c>
      <c r="J45" s="10">
        <v>10612063</v>
      </c>
      <c r="K45" s="10" t="s">
        <v>81</v>
      </c>
      <c r="L45" s="10" t="s">
        <v>85</v>
      </c>
      <c r="M45" s="11">
        <v>79900</v>
      </c>
      <c r="N45" s="6">
        <v>0.8</v>
      </c>
      <c r="O45" s="7">
        <f t="shared" si="0"/>
        <v>15980</v>
      </c>
      <c r="P45" s="6" t="s">
        <v>740</v>
      </c>
    </row>
    <row r="46" spans="1:16" x14ac:dyDescent="0.35">
      <c r="A46" s="2" t="s">
        <v>743</v>
      </c>
      <c r="B46" s="3">
        <f t="shared" si="1"/>
        <v>46086</v>
      </c>
      <c r="C46" s="3">
        <f t="shared" si="2"/>
        <v>46092</v>
      </c>
      <c r="D46" s="2">
        <v>3342</v>
      </c>
      <c r="E46" s="2">
        <v>333</v>
      </c>
      <c r="F46" s="2">
        <v>3</v>
      </c>
      <c r="G46" s="10" t="s">
        <v>16</v>
      </c>
      <c r="H46" s="10" t="s">
        <v>60</v>
      </c>
      <c r="I46" s="10" t="s">
        <v>18</v>
      </c>
      <c r="J46" s="10">
        <v>10612072</v>
      </c>
      <c r="K46" s="10" t="s">
        <v>86</v>
      </c>
      <c r="L46" s="10" t="s">
        <v>87</v>
      </c>
      <c r="M46" s="11">
        <v>79900</v>
      </c>
      <c r="N46" s="6">
        <v>0.8</v>
      </c>
      <c r="O46" s="7">
        <f t="shared" si="0"/>
        <v>15980</v>
      </c>
      <c r="P46" s="6" t="s">
        <v>740</v>
      </c>
    </row>
    <row r="47" spans="1:16" x14ac:dyDescent="0.35">
      <c r="A47" s="2" t="s">
        <v>743</v>
      </c>
      <c r="B47" s="3">
        <f t="shared" si="1"/>
        <v>46086</v>
      </c>
      <c r="C47" s="3">
        <f t="shared" si="2"/>
        <v>46092</v>
      </c>
      <c r="D47" s="2">
        <v>3342</v>
      </c>
      <c r="E47" s="2">
        <v>333</v>
      </c>
      <c r="F47" s="2">
        <v>3</v>
      </c>
      <c r="G47" s="10" t="s">
        <v>16</v>
      </c>
      <c r="H47" s="10" t="s">
        <v>60</v>
      </c>
      <c r="I47" s="10" t="s">
        <v>18</v>
      </c>
      <c r="J47" s="10">
        <v>10612081</v>
      </c>
      <c r="K47" s="10" t="s">
        <v>86</v>
      </c>
      <c r="L47" s="10" t="s">
        <v>88</v>
      </c>
      <c r="M47" s="11">
        <v>79900</v>
      </c>
      <c r="N47" s="6">
        <v>0.8</v>
      </c>
      <c r="O47" s="7">
        <f t="shared" si="0"/>
        <v>15980</v>
      </c>
      <c r="P47" s="6" t="s">
        <v>740</v>
      </c>
    </row>
    <row r="48" spans="1:16" x14ac:dyDescent="0.35">
      <c r="A48" s="2" t="s">
        <v>743</v>
      </c>
      <c r="B48" s="3">
        <f t="shared" si="1"/>
        <v>46086</v>
      </c>
      <c r="C48" s="3">
        <f t="shared" si="2"/>
        <v>46092</v>
      </c>
      <c r="D48" s="2">
        <v>3342</v>
      </c>
      <c r="E48" s="2">
        <v>333</v>
      </c>
      <c r="F48" s="2">
        <v>3</v>
      </c>
      <c r="G48" s="10" t="s">
        <v>16</v>
      </c>
      <c r="H48" s="10" t="s">
        <v>60</v>
      </c>
      <c r="I48" s="10" t="s">
        <v>18</v>
      </c>
      <c r="J48" s="10">
        <v>10612090</v>
      </c>
      <c r="K48" s="10" t="s">
        <v>86</v>
      </c>
      <c r="L48" s="10" t="s">
        <v>89</v>
      </c>
      <c r="M48" s="11">
        <v>79900</v>
      </c>
      <c r="N48" s="6">
        <v>0.8</v>
      </c>
      <c r="O48" s="7">
        <f t="shared" si="0"/>
        <v>15980</v>
      </c>
      <c r="P48" s="6" t="s">
        <v>740</v>
      </c>
    </row>
    <row r="49" spans="1:16" x14ac:dyDescent="0.35">
      <c r="A49" s="2" t="s">
        <v>743</v>
      </c>
      <c r="B49" s="3">
        <f t="shared" si="1"/>
        <v>46086</v>
      </c>
      <c r="C49" s="3">
        <f t="shared" si="2"/>
        <v>46092</v>
      </c>
      <c r="D49" s="2">
        <v>3342</v>
      </c>
      <c r="E49" s="2">
        <v>333</v>
      </c>
      <c r="F49" s="2">
        <v>3</v>
      </c>
      <c r="G49" s="10" t="s">
        <v>16</v>
      </c>
      <c r="H49" s="10" t="s">
        <v>60</v>
      </c>
      <c r="I49" s="10" t="s">
        <v>18</v>
      </c>
      <c r="J49" s="10">
        <v>10612107</v>
      </c>
      <c r="K49" s="10" t="s">
        <v>86</v>
      </c>
      <c r="L49" s="10" t="s">
        <v>90</v>
      </c>
      <c r="M49" s="11">
        <v>79900</v>
      </c>
      <c r="N49" s="6">
        <v>0.8</v>
      </c>
      <c r="O49" s="7">
        <f t="shared" si="0"/>
        <v>15980</v>
      </c>
      <c r="P49" s="6" t="s">
        <v>740</v>
      </c>
    </row>
    <row r="50" spans="1:16" x14ac:dyDescent="0.35">
      <c r="A50" s="2" t="s">
        <v>743</v>
      </c>
      <c r="B50" s="3">
        <f t="shared" si="1"/>
        <v>46086</v>
      </c>
      <c r="C50" s="3">
        <f t="shared" si="2"/>
        <v>46092</v>
      </c>
      <c r="D50" s="2">
        <v>3342</v>
      </c>
      <c r="E50" s="2">
        <v>333</v>
      </c>
      <c r="F50" s="2">
        <v>3</v>
      </c>
      <c r="G50" s="10" t="s">
        <v>16</v>
      </c>
      <c r="H50" s="10" t="s">
        <v>60</v>
      </c>
      <c r="I50" s="10" t="s">
        <v>18</v>
      </c>
      <c r="J50" s="10">
        <v>10612152</v>
      </c>
      <c r="K50" s="10" t="s">
        <v>91</v>
      </c>
      <c r="L50" s="10" t="s">
        <v>92</v>
      </c>
      <c r="M50" s="11">
        <v>79900</v>
      </c>
      <c r="N50" s="6">
        <v>0.8</v>
      </c>
      <c r="O50" s="7">
        <f t="shared" si="0"/>
        <v>15980</v>
      </c>
      <c r="P50" s="6" t="s">
        <v>740</v>
      </c>
    </row>
    <row r="51" spans="1:16" x14ac:dyDescent="0.35">
      <c r="A51" s="2" t="s">
        <v>743</v>
      </c>
      <c r="B51" s="3">
        <f t="shared" si="1"/>
        <v>46086</v>
      </c>
      <c r="C51" s="3">
        <f t="shared" si="2"/>
        <v>46092</v>
      </c>
      <c r="D51" s="2">
        <v>3342</v>
      </c>
      <c r="E51" s="2">
        <v>333</v>
      </c>
      <c r="F51" s="2">
        <v>3</v>
      </c>
      <c r="G51" s="10" t="s">
        <v>16</v>
      </c>
      <c r="H51" s="10" t="s">
        <v>60</v>
      </c>
      <c r="I51" s="10" t="s">
        <v>18</v>
      </c>
      <c r="J51" s="10">
        <v>10612161</v>
      </c>
      <c r="K51" s="10" t="s">
        <v>91</v>
      </c>
      <c r="L51" s="10" t="s">
        <v>93</v>
      </c>
      <c r="M51" s="11">
        <v>79900</v>
      </c>
      <c r="N51" s="6">
        <v>0.8</v>
      </c>
      <c r="O51" s="7">
        <f t="shared" si="0"/>
        <v>15980</v>
      </c>
      <c r="P51" s="6" t="s">
        <v>740</v>
      </c>
    </row>
    <row r="52" spans="1:16" x14ac:dyDescent="0.35">
      <c r="A52" s="2" t="s">
        <v>743</v>
      </c>
      <c r="B52" s="3">
        <f t="shared" si="1"/>
        <v>46086</v>
      </c>
      <c r="C52" s="3">
        <f t="shared" si="2"/>
        <v>46092</v>
      </c>
      <c r="D52" s="2">
        <v>3342</v>
      </c>
      <c r="E52" s="2">
        <v>333</v>
      </c>
      <c r="F52" s="2">
        <v>3</v>
      </c>
      <c r="G52" s="10" t="s">
        <v>16</v>
      </c>
      <c r="H52" s="10" t="s">
        <v>60</v>
      </c>
      <c r="I52" s="10" t="s">
        <v>18</v>
      </c>
      <c r="J52" s="10">
        <v>10612170</v>
      </c>
      <c r="K52" s="10" t="s">
        <v>91</v>
      </c>
      <c r="L52" s="10" t="s">
        <v>94</v>
      </c>
      <c r="M52" s="11">
        <v>79900</v>
      </c>
      <c r="N52" s="6">
        <v>0.8</v>
      </c>
      <c r="O52" s="7">
        <f t="shared" si="0"/>
        <v>15980</v>
      </c>
      <c r="P52" s="6" t="s">
        <v>740</v>
      </c>
    </row>
    <row r="53" spans="1:16" x14ac:dyDescent="0.35">
      <c r="A53" s="2" t="s">
        <v>743</v>
      </c>
      <c r="B53" s="3">
        <f t="shared" si="1"/>
        <v>46086</v>
      </c>
      <c r="C53" s="3">
        <f t="shared" si="2"/>
        <v>46092</v>
      </c>
      <c r="D53" s="2">
        <v>3342</v>
      </c>
      <c r="E53" s="2">
        <v>333</v>
      </c>
      <c r="F53" s="2">
        <v>3</v>
      </c>
      <c r="G53" s="10" t="s">
        <v>16</v>
      </c>
      <c r="H53" s="10" t="s">
        <v>60</v>
      </c>
      <c r="I53" s="10" t="s">
        <v>18</v>
      </c>
      <c r="J53" s="10">
        <v>10612189</v>
      </c>
      <c r="K53" s="10" t="s">
        <v>91</v>
      </c>
      <c r="L53" s="10" t="s">
        <v>95</v>
      </c>
      <c r="M53" s="11">
        <v>79900</v>
      </c>
      <c r="N53" s="6">
        <v>0.8</v>
      </c>
      <c r="O53" s="7">
        <f t="shared" si="0"/>
        <v>15980</v>
      </c>
      <c r="P53" s="6" t="s">
        <v>740</v>
      </c>
    </row>
    <row r="54" spans="1:16" x14ac:dyDescent="0.35">
      <c r="A54" s="2" t="s">
        <v>743</v>
      </c>
      <c r="B54" s="3">
        <f t="shared" si="1"/>
        <v>46086</v>
      </c>
      <c r="C54" s="3">
        <f t="shared" si="2"/>
        <v>46092</v>
      </c>
      <c r="D54" s="2">
        <v>3342</v>
      </c>
      <c r="E54" s="2">
        <v>333</v>
      </c>
      <c r="F54" s="2">
        <v>3</v>
      </c>
      <c r="G54" s="10" t="s">
        <v>16</v>
      </c>
      <c r="H54" s="10" t="s">
        <v>60</v>
      </c>
      <c r="I54" s="10" t="s">
        <v>18</v>
      </c>
      <c r="J54" s="10">
        <v>16009795</v>
      </c>
      <c r="K54" s="10" t="s">
        <v>96</v>
      </c>
      <c r="L54" s="10" t="s">
        <v>97</v>
      </c>
      <c r="M54" s="11">
        <v>79900</v>
      </c>
      <c r="N54" s="6">
        <v>0.8</v>
      </c>
      <c r="O54" s="7">
        <f t="shared" si="0"/>
        <v>15980</v>
      </c>
      <c r="P54" s="6" t="s">
        <v>740</v>
      </c>
    </row>
    <row r="55" spans="1:16" x14ac:dyDescent="0.35">
      <c r="A55" s="2" t="s">
        <v>743</v>
      </c>
      <c r="B55" s="3">
        <f t="shared" si="1"/>
        <v>46086</v>
      </c>
      <c r="C55" s="3">
        <f t="shared" si="2"/>
        <v>46092</v>
      </c>
      <c r="D55" s="2">
        <v>3342</v>
      </c>
      <c r="E55" s="2">
        <v>333</v>
      </c>
      <c r="F55" s="2">
        <v>3</v>
      </c>
      <c r="G55" s="10" t="s">
        <v>16</v>
      </c>
      <c r="H55" s="10" t="s">
        <v>60</v>
      </c>
      <c r="I55" s="10" t="s">
        <v>18</v>
      </c>
      <c r="J55" s="10">
        <v>16009802</v>
      </c>
      <c r="K55" s="10" t="s">
        <v>96</v>
      </c>
      <c r="L55" s="10" t="s">
        <v>98</v>
      </c>
      <c r="M55" s="11">
        <v>79900</v>
      </c>
      <c r="N55" s="6">
        <v>0.8</v>
      </c>
      <c r="O55" s="7">
        <f t="shared" si="0"/>
        <v>15980</v>
      </c>
      <c r="P55" s="6" t="s">
        <v>740</v>
      </c>
    </row>
    <row r="56" spans="1:16" x14ac:dyDescent="0.35">
      <c r="A56" s="2" t="s">
        <v>743</v>
      </c>
      <c r="B56" s="3">
        <f t="shared" si="1"/>
        <v>46086</v>
      </c>
      <c r="C56" s="3">
        <f t="shared" si="2"/>
        <v>46092</v>
      </c>
      <c r="D56" s="2">
        <v>3342</v>
      </c>
      <c r="E56" s="2">
        <v>333</v>
      </c>
      <c r="F56" s="2">
        <v>3</v>
      </c>
      <c r="G56" s="10" t="s">
        <v>16</v>
      </c>
      <c r="H56" s="10" t="s">
        <v>60</v>
      </c>
      <c r="I56" s="10" t="s">
        <v>18</v>
      </c>
      <c r="J56" s="10">
        <v>16009811</v>
      </c>
      <c r="K56" s="10" t="s">
        <v>96</v>
      </c>
      <c r="L56" s="10" t="s">
        <v>99</v>
      </c>
      <c r="M56" s="11">
        <v>79900</v>
      </c>
      <c r="N56" s="6">
        <v>0.8</v>
      </c>
      <c r="O56" s="7">
        <f t="shared" si="0"/>
        <v>15980</v>
      </c>
      <c r="P56" s="6" t="s">
        <v>740</v>
      </c>
    </row>
    <row r="57" spans="1:16" x14ac:dyDescent="0.35">
      <c r="A57" s="2" t="s">
        <v>743</v>
      </c>
      <c r="B57" s="3">
        <f t="shared" si="1"/>
        <v>46086</v>
      </c>
      <c r="C57" s="3">
        <f t="shared" si="2"/>
        <v>46092</v>
      </c>
      <c r="D57" s="2">
        <v>3342</v>
      </c>
      <c r="E57" s="2">
        <v>333</v>
      </c>
      <c r="F57" s="2">
        <v>3</v>
      </c>
      <c r="G57" s="10" t="s">
        <v>16</v>
      </c>
      <c r="H57" s="10" t="s">
        <v>60</v>
      </c>
      <c r="I57" s="10" t="s">
        <v>18</v>
      </c>
      <c r="J57" s="10">
        <v>16009820</v>
      </c>
      <c r="K57" s="10" t="s">
        <v>96</v>
      </c>
      <c r="L57" s="10" t="s">
        <v>100</v>
      </c>
      <c r="M57" s="11">
        <v>79900</v>
      </c>
      <c r="N57" s="6">
        <v>0.8</v>
      </c>
      <c r="O57" s="7">
        <f t="shared" si="0"/>
        <v>15980</v>
      </c>
      <c r="P57" s="6" t="s">
        <v>740</v>
      </c>
    </row>
    <row r="58" spans="1:16" x14ac:dyDescent="0.35">
      <c r="A58" s="2" t="s">
        <v>743</v>
      </c>
      <c r="B58" s="3">
        <f t="shared" si="1"/>
        <v>46086</v>
      </c>
      <c r="C58" s="3">
        <f t="shared" si="2"/>
        <v>46092</v>
      </c>
      <c r="D58" s="2">
        <v>3342</v>
      </c>
      <c r="E58" s="2">
        <v>333</v>
      </c>
      <c r="F58" s="2">
        <v>3</v>
      </c>
      <c r="G58" s="10" t="s">
        <v>16</v>
      </c>
      <c r="H58" s="10" t="s">
        <v>60</v>
      </c>
      <c r="I58" s="10" t="s">
        <v>18</v>
      </c>
      <c r="J58" s="10">
        <v>16009839</v>
      </c>
      <c r="K58" s="10" t="s">
        <v>101</v>
      </c>
      <c r="L58" s="10" t="s">
        <v>102</v>
      </c>
      <c r="M58" s="11">
        <v>79900</v>
      </c>
      <c r="N58" s="6">
        <v>0.8</v>
      </c>
      <c r="O58" s="7">
        <f t="shared" si="0"/>
        <v>15980</v>
      </c>
      <c r="P58" s="6" t="s">
        <v>740</v>
      </c>
    </row>
    <row r="59" spans="1:16" x14ac:dyDescent="0.35">
      <c r="A59" s="2" t="s">
        <v>743</v>
      </c>
      <c r="B59" s="3">
        <f t="shared" si="1"/>
        <v>46086</v>
      </c>
      <c r="C59" s="3">
        <f t="shared" si="2"/>
        <v>46092</v>
      </c>
      <c r="D59" s="2">
        <v>3342</v>
      </c>
      <c r="E59" s="2">
        <v>333</v>
      </c>
      <c r="F59" s="2">
        <v>3</v>
      </c>
      <c r="G59" s="10" t="s">
        <v>16</v>
      </c>
      <c r="H59" s="10" t="s">
        <v>60</v>
      </c>
      <c r="I59" s="10" t="s">
        <v>18</v>
      </c>
      <c r="J59" s="10">
        <v>16009848</v>
      </c>
      <c r="K59" s="10" t="s">
        <v>101</v>
      </c>
      <c r="L59" s="10" t="s">
        <v>103</v>
      </c>
      <c r="M59" s="11">
        <v>79900</v>
      </c>
      <c r="N59" s="6">
        <v>0.8</v>
      </c>
      <c r="O59" s="7">
        <f t="shared" si="0"/>
        <v>15980</v>
      </c>
      <c r="P59" s="6" t="s">
        <v>740</v>
      </c>
    </row>
    <row r="60" spans="1:16" x14ac:dyDescent="0.35">
      <c r="A60" s="2" t="s">
        <v>743</v>
      </c>
      <c r="B60" s="3">
        <f t="shared" si="1"/>
        <v>46086</v>
      </c>
      <c r="C60" s="3">
        <f t="shared" si="2"/>
        <v>46092</v>
      </c>
      <c r="D60" s="2">
        <v>3342</v>
      </c>
      <c r="E60" s="2">
        <v>333</v>
      </c>
      <c r="F60" s="2">
        <v>3</v>
      </c>
      <c r="G60" s="10" t="s">
        <v>16</v>
      </c>
      <c r="H60" s="10" t="s">
        <v>60</v>
      </c>
      <c r="I60" s="10" t="s">
        <v>18</v>
      </c>
      <c r="J60" s="10">
        <v>16009857</v>
      </c>
      <c r="K60" s="10" t="s">
        <v>101</v>
      </c>
      <c r="L60" s="10" t="s">
        <v>104</v>
      </c>
      <c r="M60" s="11">
        <v>79900</v>
      </c>
      <c r="N60" s="6">
        <v>0.8</v>
      </c>
      <c r="O60" s="7">
        <f t="shared" si="0"/>
        <v>15980</v>
      </c>
      <c r="P60" s="6" t="s">
        <v>740</v>
      </c>
    </row>
    <row r="61" spans="1:16" x14ac:dyDescent="0.35">
      <c r="A61" s="2" t="s">
        <v>743</v>
      </c>
      <c r="B61" s="3">
        <f t="shared" si="1"/>
        <v>46086</v>
      </c>
      <c r="C61" s="3">
        <f t="shared" si="2"/>
        <v>46092</v>
      </c>
      <c r="D61" s="2">
        <v>3342</v>
      </c>
      <c r="E61" s="2">
        <v>333</v>
      </c>
      <c r="F61" s="2">
        <v>3</v>
      </c>
      <c r="G61" s="10" t="s">
        <v>16</v>
      </c>
      <c r="H61" s="10" t="s">
        <v>60</v>
      </c>
      <c r="I61" s="10" t="s">
        <v>18</v>
      </c>
      <c r="J61" s="10">
        <v>16009866</v>
      </c>
      <c r="K61" s="10" t="s">
        <v>101</v>
      </c>
      <c r="L61" s="10" t="s">
        <v>105</v>
      </c>
      <c r="M61" s="11">
        <v>79900</v>
      </c>
      <c r="N61" s="6">
        <v>0.8</v>
      </c>
      <c r="O61" s="7">
        <f t="shared" si="0"/>
        <v>15980</v>
      </c>
      <c r="P61" s="6" t="s">
        <v>740</v>
      </c>
    </row>
    <row r="62" spans="1:16" x14ac:dyDescent="0.35">
      <c r="A62" s="2" t="s">
        <v>743</v>
      </c>
      <c r="B62" s="3">
        <f t="shared" si="1"/>
        <v>46086</v>
      </c>
      <c r="C62" s="3">
        <f t="shared" si="2"/>
        <v>46092</v>
      </c>
      <c r="D62" s="2">
        <v>3342</v>
      </c>
      <c r="E62" s="2">
        <v>333</v>
      </c>
      <c r="F62" s="2">
        <v>3</v>
      </c>
      <c r="G62" s="10" t="s">
        <v>16</v>
      </c>
      <c r="H62" s="10" t="s">
        <v>60</v>
      </c>
      <c r="I62" s="10" t="s">
        <v>18</v>
      </c>
      <c r="J62" s="10">
        <v>16035480</v>
      </c>
      <c r="K62" s="10" t="s">
        <v>106</v>
      </c>
      <c r="L62" s="10" t="s">
        <v>107</v>
      </c>
      <c r="M62" s="11">
        <v>79900</v>
      </c>
      <c r="N62" s="6">
        <v>0.8</v>
      </c>
      <c r="O62" s="7">
        <f t="shared" si="0"/>
        <v>15980</v>
      </c>
      <c r="P62" s="6" t="s">
        <v>740</v>
      </c>
    </row>
    <row r="63" spans="1:16" x14ac:dyDescent="0.35">
      <c r="A63" s="2" t="s">
        <v>743</v>
      </c>
      <c r="B63" s="3">
        <f t="shared" si="1"/>
        <v>46086</v>
      </c>
      <c r="C63" s="3">
        <f t="shared" si="2"/>
        <v>46092</v>
      </c>
      <c r="D63" s="2">
        <v>3342</v>
      </c>
      <c r="E63" s="2">
        <v>333</v>
      </c>
      <c r="F63" s="2">
        <v>3</v>
      </c>
      <c r="G63" s="10" t="s">
        <v>16</v>
      </c>
      <c r="H63" s="10" t="s">
        <v>60</v>
      </c>
      <c r="I63" s="10" t="s">
        <v>18</v>
      </c>
      <c r="J63" s="10">
        <v>16035499</v>
      </c>
      <c r="K63" s="10" t="s">
        <v>106</v>
      </c>
      <c r="L63" s="10" t="s">
        <v>108</v>
      </c>
      <c r="M63" s="11">
        <v>79900</v>
      </c>
      <c r="N63" s="6">
        <v>0.8</v>
      </c>
      <c r="O63" s="7">
        <f t="shared" si="0"/>
        <v>15980</v>
      </c>
      <c r="P63" s="6" t="s">
        <v>740</v>
      </c>
    </row>
    <row r="64" spans="1:16" x14ac:dyDescent="0.35">
      <c r="A64" s="2" t="s">
        <v>743</v>
      </c>
      <c r="B64" s="3">
        <f t="shared" si="1"/>
        <v>46086</v>
      </c>
      <c r="C64" s="3">
        <f t="shared" si="2"/>
        <v>46092</v>
      </c>
      <c r="D64" s="2">
        <v>3342</v>
      </c>
      <c r="E64" s="2">
        <v>333</v>
      </c>
      <c r="F64" s="2">
        <v>3</v>
      </c>
      <c r="G64" s="10" t="s">
        <v>16</v>
      </c>
      <c r="H64" s="10" t="s">
        <v>60</v>
      </c>
      <c r="I64" s="10" t="s">
        <v>18</v>
      </c>
      <c r="J64" s="10">
        <v>16035506</v>
      </c>
      <c r="K64" s="10" t="s">
        <v>106</v>
      </c>
      <c r="L64" s="10" t="s">
        <v>109</v>
      </c>
      <c r="M64" s="11">
        <v>79900</v>
      </c>
      <c r="N64" s="6">
        <v>0.8</v>
      </c>
      <c r="O64" s="7">
        <f t="shared" si="0"/>
        <v>15980</v>
      </c>
      <c r="P64" s="6" t="s">
        <v>740</v>
      </c>
    </row>
    <row r="65" spans="1:16" x14ac:dyDescent="0.35">
      <c r="A65" s="2" t="s">
        <v>743</v>
      </c>
      <c r="B65" s="3">
        <f t="shared" si="1"/>
        <v>46086</v>
      </c>
      <c r="C65" s="3">
        <f t="shared" si="2"/>
        <v>46092</v>
      </c>
      <c r="D65" s="2">
        <v>3342</v>
      </c>
      <c r="E65" s="2">
        <v>333</v>
      </c>
      <c r="F65" s="2">
        <v>3</v>
      </c>
      <c r="G65" s="10" t="s">
        <v>16</v>
      </c>
      <c r="H65" s="10" t="s">
        <v>60</v>
      </c>
      <c r="I65" s="10" t="s">
        <v>18</v>
      </c>
      <c r="J65" s="10">
        <v>16035515</v>
      </c>
      <c r="K65" s="10" t="s">
        <v>106</v>
      </c>
      <c r="L65" s="10" t="s">
        <v>110</v>
      </c>
      <c r="M65" s="11">
        <v>79900</v>
      </c>
      <c r="N65" s="6">
        <v>0.8</v>
      </c>
      <c r="O65" s="7">
        <f t="shared" si="0"/>
        <v>15980</v>
      </c>
      <c r="P65" s="6" t="s">
        <v>740</v>
      </c>
    </row>
    <row r="66" spans="1:16" x14ac:dyDescent="0.35">
      <c r="A66" s="2" t="s">
        <v>743</v>
      </c>
      <c r="B66" s="3">
        <f t="shared" si="1"/>
        <v>46086</v>
      </c>
      <c r="C66" s="3">
        <f t="shared" si="2"/>
        <v>46092</v>
      </c>
      <c r="D66" s="2">
        <v>3342</v>
      </c>
      <c r="E66" s="2">
        <v>333</v>
      </c>
      <c r="F66" s="2">
        <v>3</v>
      </c>
      <c r="G66" s="10" t="s">
        <v>16</v>
      </c>
      <c r="H66" s="10" t="s">
        <v>60</v>
      </c>
      <c r="I66" s="10" t="s">
        <v>18</v>
      </c>
      <c r="J66" s="10">
        <v>16035524</v>
      </c>
      <c r="K66" s="10" t="s">
        <v>111</v>
      </c>
      <c r="L66" s="10" t="s">
        <v>112</v>
      </c>
      <c r="M66" s="11">
        <v>79900</v>
      </c>
      <c r="N66" s="6">
        <v>0.8</v>
      </c>
      <c r="O66" s="7">
        <f t="shared" si="0"/>
        <v>15980</v>
      </c>
      <c r="P66" s="6" t="s">
        <v>740</v>
      </c>
    </row>
    <row r="67" spans="1:16" x14ac:dyDescent="0.35">
      <c r="A67" s="2" t="s">
        <v>743</v>
      </c>
      <c r="B67" s="3">
        <f t="shared" si="1"/>
        <v>46086</v>
      </c>
      <c r="C67" s="3">
        <f t="shared" si="2"/>
        <v>46092</v>
      </c>
      <c r="D67" s="2">
        <v>3342</v>
      </c>
      <c r="E67" s="2">
        <v>333</v>
      </c>
      <c r="F67" s="2">
        <v>3</v>
      </c>
      <c r="G67" s="10" t="s">
        <v>16</v>
      </c>
      <c r="H67" s="10" t="s">
        <v>60</v>
      </c>
      <c r="I67" s="10" t="s">
        <v>18</v>
      </c>
      <c r="J67" s="10">
        <v>16035533</v>
      </c>
      <c r="K67" s="10" t="s">
        <v>111</v>
      </c>
      <c r="L67" s="10" t="s">
        <v>113</v>
      </c>
      <c r="M67" s="11">
        <v>79900</v>
      </c>
      <c r="N67" s="6">
        <v>0.8</v>
      </c>
      <c r="O67" s="7">
        <f t="shared" ref="O67:O129" si="3">M67-(M67*N67)</f>
        <v>15980</v>
      </c>
      <c r="P67" s="6" t="s">
        <v>740</v>
      </c>
    </row>
    <row r="68" spans="1:16" x14ac:dyDescent="0.35">
      <c r="A68" s="2" t="s">
        <v>743</v>
      </c>
      <c r="B68" s="3">
        <f t="shared" ref="B68:B129" si="4">B67</f>
        <v>46086</v>
      </c>
      <c r="C68" s="3">
        <f t="shared" ref="C68:C129" si="5">C67</f>
        <v>46092</v>
      </c>
      <c r="D68" s="2">
        <v>3342</v>
      </c>
      <c r="E68" s="2">
        <v>333</v>
      </c>
      <c r="F68" s="2">
        <v>3</v>
      </c>
      <c r="G68" s="10" t="s">
        <v>16</v>
      </c>
      <c r="H68" s="10" t="s">
        <v>60</v>
      </c>
      <c r="I68" s="10" t="s">
        <v>18</v>
      </c>
      <c r="J68" s="10">
        <v>16035542</v>
      </c>
      <c r="K68" s="10" t="s">
        <v>111</v>
      </c>
      <c r="L68" s="10" t="s">
        <v>114</v>
      </c>
      <c r="M68" s="11">
        <v>79900</v>
      </c>
      <c r="N68" s="6">
        <v>0.8</v>
      </c>
      <c r="O68" s="7">
        <f t="shared" si="3"/>
        <v>15980</v>
      </c>
      <c r="P68" s="6" t="s">
        <v>740</v>
      </c>
    </row>
    <row r="69" spans="1:16" x14ac:dyDescent="0.35">
      <c r="A69" s="2" t="s">
        <v>743</v>
      </c>
      <c r="B69" s="3">
        <f t="shared" si="4"/>
        <v>46086</v>
      </c>
      <c r="C69" s="3">
        <f t="shared" si="5"/>
        <v>46092</v>
      </c>
      <c r="D69" s="2">
        <v>3342</v>
      </c>
      <c r="E69" s="2">
        <v>333</v>
      </c>
      <c r="F69" s="2">
        <v>3</v>
      </c>
      <c r="G69" s="10" t="s">
        <v>16</v>
      </c>
      <c r="H69" s="10" t="s">
        <v>60</v>
      </c>
      <c r="I69" s="10" t="s">
        <v>18</v>
      </c>
      <c r="J69" s="10">
        <v>16035551</v>
      </c>
      <c r="K69" s="10" t="s">
        <v>111</v>
      </c>
      <c r="L69" s="10" t="s">
        <v>115</v>
      </c>
      <c r="M69" s="11">
        <v>79900</v>
      </c>
      <c r="N69" s="6">
        <v>0.8</v>
      </c>
      <c r="O69" s="7">
        <f t="shared" si="3"/>
        <v>15980</v>
      </c>
      <c r="P69" s="6" t="s">
        <v>740</v>
      </c>
    </row>
    <row r="70" spans="1:16" x14ac:dyDescent="0.35">
      <c r="A70" s="2" t="s">
        <v>743</v>
      </c>
      <c r="B70" s="3">
        <f t="shared" si="4"/>
        <v>46086</v>
      </c>
      <c r="C70" s="3">
        <f t="shared" si="5"/>
        <v>46092</v>
      </c>
      <c r="D70" s="2">
        <v>3342</v>
      </c>
      <c r="E70" s="2">
        <v>333</v>
      </c>
      <c r="F70" s="2">
        <v>3</v>
      </c>
      <c r="G70" s="10" t="s">
        <v>16</v>
      </c>
      <c r="H70" s="10" t="s">
        <v>60</v>
      </c>
      <c r="I70" s="10" t="s">
        <v>18</v>
      </c>
      <c r="J70" s="10">
        <v>16035560</v>
      </c>
      <c r="K70" s="10" t="s">
        <v>116</v>
      </c>
      <c r="L70" s="10" t="s">
        <v>117</v>
      </c>
      <c r="M70" s="11">
        <v>79900</v>
      </c>
      <c r="N70" s="6">
        <v>0.8</v>
      </c>
      <c r="O70" s="7">
        <f t="shared" si="3"/>
        <v>15980</v>
      </c>
      <c r="P70" s="6" t="s">
        <v>740</v>
      </c>
    </row>
    <row r="71" spans="1:16" x14ac:dyDescent="0.35">
      <c r="A71" s="2" t="s">
        <v>743</v>
      </c>
      <c r="B71" s="3">
        <f t="shared" si="4"/>
        <v>46086</v>
      </c>
      <c r="C71" s="3">
        <f t="shared" si="5"/>
        <v>46092</v>
      </c>
      <c r="D71" s="2">
        <v>3342</v>
      </c>
      <c r="E71" s="2">
        <v>333</v>
      </c>
      <c r="F71" s="2">
        <v>3</v>
      </c>
      <c r="G71" s="10" t="s">
        <v>16</v>
      </c>
      <c r="H71" s="10" t="s">
        <v>60</v>
      </c>
      <c r="I71" s="10" t="s">
        <v>18</v>
      </c>
      <c r="J71" s="10">
        <v>16035579</v>
      </c>
      <c r="K71" s="10" t="s">
        <v>116</v>
      </c>
      <c r="L71" s="10" t="s">
        <v>118</v>
      </c>
      <c r="M71" s="11">
        <v>79900</v>
      </c>
      <c r="N71" s="6">
        <v>0.8</v>
      </c>
      <c r="O71" s="7">
        <f t="shared" si="3"/>
        <v>15980</v>
      </c>
      <c r="P71" s="6" t="s">
        <v>740</v>
      </c>
    </row>
    <row r="72" spans="1:16" x14ac:dyDescent="0.35">
      <c r="A72" s="2" t="s">
        <v>743</v>
      </c>
      <c r="B72" s="3">
        <f t="shared" si="4"/>
        <v>46086</v>
      </c>
      <c r="C72" s="3">
        <f t="shared" si="5"/>
        <v>46092</v>
      </c>
      <c r="D72" s="2">
        <v>3342</v>
      </c>
      <c r="E72" s="2">
        <v>333</v>
      </c>
      <c r="F72" s="2">
        <v>3</v>
      </c>
      <c r="G72" s="10" t="s">
        <v>16</v>
      </c>
      <c r="H72" s="10" t="s">
        <v>60</v>
      </c>
      <c r="I72" s="10" t="s">
        <v>18</v>
      </c>
      <c r="J72" s="10">
        <v>16035588</v>
      </c>
      <c r="K72" s="10" t="s">
        <v>116</v>
      </c>
      <c r="L72" s="10" t="s">
        <v>119</v>
      </c>
      <c r="M72" s="11">
        <v>79900</v>
      </c>
      <c r="N72" s="6">
        <v>0.8</v>
      </c>
      <c r="O72" s="7">
        <f t="shared" si="3"/>
        <v>15980</v>
      </c>
      <c r="P72" s="6" t="s">
        <v>740</v>
      </c>
    </row>
    <row r="73" spans="1:16" x14ac:dyDescent="0.35">
      <c r="A73" s="2" t="s">
        <v>743</v>
      </c>
      <c r="B73" s="3">
        <f t="shared" si="4"/>
        <v>46086</v>
      </c>
      <c r="C73" s="3">
        <f t="shared" si="5"/>
        <v>46092</v>
      </c>
      <c r="D73" s="2">
        <v>3342</v>
      </c>
      <c r="E73" s="2">
        <v>333</v>
      </c>
      <c r="F73" s="2">
        <v>3</v>
      </c>
      <c r="G73" s="10" t="s">
        <v>16</v>
      </c>
      <c r="H73" s="10" t="s">
        <v>60</v>
      </c>
      <c r="I73" s="10" t="s">
        <v>18</v>
      </c>
      <c r="J73" s="10">
        <v>16035597</v>
      </c>
      <c r="K73" s="10" t="s">
        <v>116</v>
      </c>
      <c r="L73" s="10" t="s">
        <v>120</v>
      </c>
      <c r="M73" s="11">
        <v>79900</v>
      </c>
      <c r="N73" s="6">
        <v>0.8</v>
      </c>
      <c r="O73" s="7">
        <f t="shared" si="3"/>
        <v>15980</v>
      </c>
      <c r="P73" s="6" t="s">
        <v>740</v>
      </c>
    </row>
    <row r="74" spans="1:16" x14ac:dyDescent="0.35">
      <c r="A74" s="2" t="s">
        <v>743</v>
      </c>
      <c r="B74" s="3">
        <f t="shared" si="4"/>
        <v>46086</v>
      </c>
      <c r="C74" s="3">
        <f t="shared" si="5"/>
        <v>46092</v>
      </c>
      <c r="D74" s="2">
        <v>3342</v>
      </c>
      <c r="E74" s="2">
        <v>333</v>
      </c>
      <c r="F74" s="2">
        <v>3</v>
      </c>
      <c r="G74" s="10" t="s">
        <v>16</v>
      </c>
      <c r="H74" s="10" t="s">
        <v>60</v>
      </c>
      <c r="I74" s="10" t="s">
        <v>18</v>
      </c>
      <c r="J74" s="10">
        <v>16035604</v>
      </c>
      <c r="K74" s="10" t="s">
        <v>121</v>
      </c>
      <c r="L74" s="10" t="s">
        <v>122</v>
      </c>
      <c r="M74" s="11">
        <v>79900</v>
      </c>
      <c r="N74" s="6">
        <v>0.8</v>
      </c>
      <c r="O74" s="7">
        <f t="shared" si="3"/>
        <v>15980</v>
      </c>
      <c r="P74" s="6" t="s">
        <v>740</v>
      </c>
    </row>
    <row r="75" spans="1:16" x14ac:dyDescent="0.35">
      <c r="A75" s="2" t="s">
        <v>743</v>
      </c>
      <c r="B75" s="3">
        <f t="shared" si="4"/>
        <v>46086</v>
      </c>
      <c r="C75" s="3">
        <f t="shared" si="5"/>
        <v>46092</v>
      </c>
      <c r="D75" s="2">
        <v>3342</v>
      </c>
      <c r="E75" s="2">
        <v>333</v>
      </c>
      <c r="F75" s="2">
        <v>3</v>
      </c>
      <c r="G75" s="10" t="s">
        <v>16</v>
      </c>
      <c r="H75" s="10" t="s">
        <v>60</v>
      </c>
      <c r="I75" s="10" t="s">
        <v>18</v>
      </c>
      <c r="J75" s="10">
        <v>16035613</v>
      </c>
      <c r="K75" s="10" t="s">
        <v>121</v>
      </c>
      <c r="L75" s="10" t="s">
        <v>123</v>
      </c>
      <c r="M75" s="11">
        <v>79900</v>
      </c>
      <c r="N75" s="6">
        <v>0.8</v>
      </c>
      <c r="O75" s="7">
        <f t="shared" si="3"/>
        <v>15980</v>
      </c>
      <c r="P75" s="6" t="s">
        <v>740</v>
      </c>
    </row>
    <row r="76" spans="1:16" x14ac:dyDescent="0.35">
      <c r="A76" s="2" t="s">
        <v>743</v>
      </c>
      <c r="B76" s="3">
        <f t="shared" si="4"/>
        <v>46086</v>
      </c>
      <c r="C76" s="3">
        <f t="shared" si="5"/>
        <v>46092</v>
      </c>
      <c r="D76" s="2">
        <v>3342</v>
      </c>
      <c r="E76" s="2">
        <v>333</v>
      </c>
      <c r="F76" s="2">
        <v>3</v>
      </c>
      <c r="G76" s="10" t="s">
        <v>16</v>
      </c>
      <c r="H76" s="10" t="s">
        <v>60</v>
      </c>
      <c r="I76" s="10" t="s">
        <v>18</v>
      </c>
      <c r="J76" s="10">
        <v>16035622</v>
      </c>
      <c r="K76" s="10" t="s">
        <v>121</v>
      </c>
      <c r="L76" s="10" t="s">
        <v>124</v>
      </c>
      <c r="M76" s="11">
        <v>79900</v>
      </c>
      <c r="N76" s="6">
        <v>0.8</v>
      </c>
      <c r="O76" s="7">
        <f t="shared" si="3"/>
        <v>15980</v>
      </c>
      <c r="P76" s="6" t="s">
        <v>740</v>
      </c>
    </row>
    <row r="77" spans="1:16" x14ac:dyDescent="0.35">
      <c r="A77" s="2" t="s">
        <v>743</v>
      </c>
      <c r="B77" s="3">
        <f t="shared" si="4"/>
        <v>46086</v>
      </c>
      <c r="C77" s="3">
        <f t="shared" si="5"/>
        <v>46092</v>
      </c>
      <c r="D77" s="2">
        <v>3342</v>
      </c>
      <c r="E77" s="2">
        <v>333</v>
      </c>
      <c r="F77" s="2">
        <v>3</v>
      </c>
      <c r="G77" s="10" t="s">
        <v>16</v>
      </c>
      <c r="H77" s="10" t="s">
        <v>60</v>
      </c>
      <c r="I77" s="10" t="s">
        <v>18</v>
      </c>
      <c r="J77" s="10">
        <v>16035631</v>
      </c>
      <c r="K77" s="10" t="s">
        <v>121</v>
      </c>
      <c r="L77" s="10" t="s">
        <v>125</v>
      </c>
      <c r="M77" s="11">
        <v>79900</v>
      </c>
      <c r="N77" s="6">
        <v>0.8</v>
      </c>
      <c r="O77" s="7">
        <f t="shared" si="3"/>
        <v>15980</v>
      </c>
      <c r="P77" s="6" t="s">
        <v>740</v>
      </c>
    </row>
    <row r="78" spans="1:16" customFormat="1" x14ac:dyDescent="0.35">
      <c r="A78" s="2" t="s">
        <v>743</v>
      </c>
      <c r="B78" s="3">
        <f t="shared" si="4"/>
        <v>46086</v>
      </c>
      <c r="C78" s="3">
        <f t="shared" si="5"/>
        <v>46092</v>
      </c>
      <c r="D78" s="2">
        <v>3342</v>
      </c>
      <c r="E78" s="2">
        <v>333</v>
      </c>
      <c r="F78" s="2">
        <v>3</v>
      </c>
      <c r="G78" s="4" t="s">
        <v>59</v>
      </c>
      <c r="H78" s="4" t="s">
        <v>60</v>
      </c>
      <c r="I78" s="4" t="s">
        <v>18</v>
      </c>
      <c r="J78" s="4">
        <v>16035640</v>
      </c>
      <c r="K78" s="4" t="s">
        <v>61</v>
      </c>
      <c r="L78" s="4" t="s">
        <v>62</v>
      </c>
      <c r="M78" s="5">
        <v>129900</v>
      </c>
      <c r="N78" s="6">
        <v>0.8</v>
      </c>
      <c r="O78" s="7">
        <f t="shared" si="3"/>
        <v>25980</v>
      </c>
      <c r="P78" s="6" t="s">
        <v>740</v>
      </c>
    </row>
    <row r="79" spans="1:16" customFormat="1" x14ac:dyDescent="0.35">
      <c r="A79" s="2" t="s">
        <v>743</v>
      </c>
      <c r="B79" s="3">
        <f t="shared" si="4"/>
        <v>46086</v>
      </c>
      <c r="C79" s="3">
        <f t="shared" si="5"/>
        <v>46092</v>
      </c>
      <c r="D79" s="2">
        <v>3342</v>
      </c>
      <c r="E79" s="2">
        <v>333</v>
      </c>
      <c r="F79" s="2">
        <v>3</v>
      </c>
      <c r="G79" s="4" t="s">
        <v>59</v>
      </c>
      <c r="H79" s="4" t="s">
        <v>60</v>
      </c>
      <c r="I79" s="4" t="s">
        <v>18</v>
      </c>
      <c r="J79" s="4">
        <v>16035659</v>
      </c>
      <c r="K79" s="4" t="s">
        <v>61</v>
      </c>
      <c r="L79" s="4" t="s">
        <v>63</v>
      </c>
      <c r="M79" s="5">
        <v>129900</v>
      </c>
      <c r="N79" s="6">
        <v>0.8</v>
      </c>
      <c r="O79" s="7">
        <f t="shared" si="3"/>
        <v>25980</v>
      </c>
      <c r="P79" s="6" t="s">
        <v>740</v>
      </c>
    </row>
    <row r="80" spans="1:16" customFormat="1" x14ac:dyDescent="0.35">
      <c r="A80" s="2" t="s">
        <v>743</v>
      </c>
      <c r="B80" s="3">
        <f t="shared" si="4"/>
        <v>46086</v>
      </c>
      <c r="C80" s="3">
        <f t="shared" si="5"/>
        <v>46092</v>
      </c>
      <c r="D80" s="2">
        <v>3342</v>
      </c>
      <c r="E80" s="2">
        <v>333</v>
      </c>
      <c r="F80" s="2">
        <v>3</v>
      </c>
      <c r="G80" s="4" t="s">
        <v>59</v>
      </c>
      <c r="H80" s="4" t="s">
        <v>60</v>
      </c>
      <c r="I80" s="4" t="s">
        <v>18</v>
      </c>
      <c r="J80" s="4">
        <v>16035668</v>
      </c>
      <c r="K80" s="4" t="s">
        <v>61</v>
      </c>
      <c r="L80" s="4" t="s">
        <v>64</v>
      </c>
      <c r="M80" s="5">
        <v>129900</v>
      </c>
      <c r="N80" s="6">
        <v>0.8</v>
      </c>
      <c r="O80" s="7">
        <f t="shared" si="3"/>
        <v>25980</v>
      </c>
      <c r="P80" s="6" t="s">
        <v>740</v>
      </c>
    </row>
    <row r="81" spans="1:16" customFormat="1" x14ac:dyDescent="0.35">
      <c r="A81" s="2" t="s">
        <v>743</v>
      </c>
      <c r="B81" s="3">
        <f t="shared" si="4"/>
        <v>46086</v>
      </c>
      <c r="C81" s="3">
        <f t="shared" si="5"/>
        <v>46092</v>
      </c>
      <c r="D81" s="2">
        <v>3342</v>
      </c>
      <c r="E81" s="2">
        <v>333</v>
      </c>
      <c r="F81" s="2">
        <v>3</v>
      </c>
      <c r="G81" s="4" t="s">
        <v>59</v>
      </c>
      <c r="H81" s="4" t="s">
        <v>60</v>
      </c>
      <c r="I81" s="4" t="s">
        <v>18</v>
      </c>
      <c r="J81" s="4">
        <v>16035677</v>
      </c>
      <c r="K81" s="4" t="s">
        <v>61</v>
      </c>
      <c r="L81" s="4" t="s">
        <v>65</v>
      </c>
      <c r="M81" s="5">
        <v>129900</v>
      </c>
      <c r="N81" s="6">
        <v>0.8</v>
      </c>
      <c r="O81" s="7">
        <f t="shared" si="3"/>
        <v>25980</v>
      </c>
      <c r="P81" s="6" t="s">
        <v>740</v>
      </c>
    </row>
    <row r="82" spans="1:16" customFormat="1" x14ac:dyDescent="0.35">
      <c r="A82" s="2" t="s">
        <v>743</v>
      </c>
      <c r="B82" s="3">
        <f t="shared" si="4"/>
        <v>46086</v>
      </c>
      <c r="C82" s="3">
        <f t="shared" si="5"/>
        <v>46092</v>
      </c>
      <c r="D82" s="2">
        <v>3342</v>
      </c>
      <c r="E82" s="2">
        <v>333</v>
      </c>
      <c r="F82" s="2">
        <v>3</v>
      </c>
      <c r="G82" s="4" t="s">
        <v>59</v>
      </c>
      <c r="H82" s="4" t="s">
        <v>60</v>
      </c>
      <c r="I82" s="4" t="s">
        <v>18</v>
      </c>
      <c r="J82" s="4">
        <v>16035686</v>
      </c>
      <c r="K82" s="4" t="s">
        <v>66</v>
      </c>
      <c r="L82" s="4" t="s">
        <v>67</v>
      </c>
      <c r="M82" s="5">
        <v>129900</v>
      </c>
      <c r="N82" s="6">
        <v>0.8</v>
      </c>
      <c r="O82" s="7">
        <f t="shared" si="3"/>
        <v>25980</v>
      </c>
      <c r="P82" s="6" t="s">
        <v>740</v>
      </c>
    </row>
    <row r="83" spans="1:16" customFormat="1" x14ac:dyDescent="0.35">
      <c r="A83" s="2" t="s">
        <v>743</v>
      </c>
      <c r="B83" s="3">
        <f t="shared" si="4"/>
        <v>46086</v>
      </c>
      <c r="C83" s="3">
        <f t="shared" si="5"/>
        <v>46092</v>
      </c>
      <c r="D83" s="2">
        <v>3342</v>
      </c>
      <c r="E83" s="2">
        <v>333</v>
      </c>
      <c r="F83" s="2">
        <v>3</v>
      </c>
      <c r="G83" s="4" t="s">
        <v>59</v>
      </c>
      <c r="H83" s="4" t="s">
        <v>60</v>
      </c>
      <c r="I83" s="4" t="s">
        <v>18</v>
      </c>
      <c r="J83" s="4">
        <v>16035695</v>
      </c>
      <c r="K83" s="4" t="s">
        <v>66</v>
      </c>
      <c r="L83" s="4" t="s">
        <v>68</v>
      </c>
      <c r="M83" s="5">
        <v>129900</v>
      </c>
      <c r="N83" s="6">
        <v>0.8</v>
      </c>
      <c r="O83" s="7">
        <f t="shared" si="3"/>
        <v>25980</v>
      </c>
      <c r="P83" s="6" t="s">
        <v>740</v>
      </c>
    </row>
    <row r="84" spans="1:16" customFormat="1" x14ac:dyDescent="0.35">
      <c r="A84" s="2" t="s">
        <v>743</v>
      </c>
      <c r="B84" s="3">
        <f t="shared" si="4"/>
        <v>46086</v>
      </c>
      <c r="C84" s="3">
        <f t="shared" si="5"/>
        <v>46092</v>
      </c>
      <c r="D84" s="2">
        <v>3342</v>
      </c>
      <c r="E84" s="2">
        <v>333</v>
      </c>
      <c r="F84" s="2">
        <v>3</v>
      </c>
      <c r="G84" s="4" t="s">
        <v>59</v>
      </c>
      <c r="H84" s="4" t="s">
        <v>60</v>
      </c>
      <c r="I84" s="4" t="s">
        <v>18</v>
      </c>
      <c r="J84" s="4">
        <v>16035702</v>
      </c>
      <c r="K84" s="4" t="s">
        <v>66</v>
      </c>
      <c r="L84" s="4" t="s">
        <v>69</v>
      </c>
      <c r="M84" s="5">
        <v>129900</v>
      </c>
      <c r="N84" s="6">
        <v>0.8</v>
      </c>
      <c r="O84" s="7">
        <f t="shared" si="3"/>
        <v>25980</v>
      </c>
      <c r="P84" s="6" t="s">
        <v>740</v>
      </c>
    </row>
    <row r="85" spans="1:16" customFormat="1" x14ac:dyDescent="0.35">
      <c r="A85" s="2" t="s">
        <v>743</v>
      </c>
      <c r="B85" s="3">
        <f t="shared" si="4"/>
        <v>46086</v>
      </c>
      <c r="C85" s="3">
        <f t="shared" si="5"/>
        <v>46092</v>
      </c>
      <c r="D85" s="2">
        <v>3342</v>
      </c>
      <c r="E85" s="2">
        <v>333</v>
      </c>
      <c r="F85" s="2">
        <v>3</v>
      </c>
      <c r="G85" s="4" t="s">
        <v>59</v>
      </c>
      <c r="H85" s="4" t="s">
        <v>60</v>
      </c>
      <c r="I85" s="4" t="s">
        <v>18</v>
      </c>
      <c r="J85" s="4">
        <v>16035711</v>
      </c>
      <c r="K85" s="4" t="s">
        <v>66</v>
      </c>
      <c r="L85" s="4" t="s">
        <v>70</v>
      </c>
      <c r="M85" s="5">
        <v>129900</v>
      </c>
      <c r="N85" s="6">
        <v>0.8</v>
      </c>
      <c r="O85" s="7">
        <f t="shared" si="3"/>
        <v>25980</v>
      </c>
      <c r="P85" s="6" t="s">
        <v>740</v>
      </c>
    </row>
    <row r="86" spans="1:16" customFormat="1" x14ac:dyDescent="0.35">
      <c r="A86" s="2" t="s">
        <v>743</v>
      </c>
      <c r="B86" s="3">
        <f t="shared" si="4"/>
        <v>46086</v>
      </c>
      <c r="C86" s="3">
        <f t="shared" si="5"/>
        <v>46092</v>
      </c>
      <c r="D86" s="2">
        <v>3342</v>
      </c>
      <c r="E86" s="2">
        <v>333</v>
      </c>
      <c r="F86" s="2">
        <v>3</v>
      </c>
      <c r="G86" s="4" t="s">
        <v>59</v>
      </c>
      <c r="H86" s="4" t="s">
        <v>271</v>
      </c>
      <c r="I86" s="4" t="s">
        <v>18</v>
      </c>
      <c r="J86" s="4">
        <v>15204192</v>
      </c>
      <c r="K86" s="4" t="s">
        <v>272</v>
      </c>
      <c r="L86" s="4" t="s">
        <v>273</v>
      </c>
      <c r="M86" s="5">
        <v>99900</v>
      </c>
      <c r="N86" s="6">
        <v>0.8</v>
      </c>
      <c r="O86" s="7">
        <f t="shared" si="3"/>
        <v>19980</v>
      </c>
      <c r="P86" s="6" t="s">
        <v>740</v>
      </c>
    </row>
    <row r="87" spans="1:16" customFormat="1" x14ac:dyDescent="0.35">
      <c r="A87" s="2" t="s">
        <v>743</v>
      </c>
      <c r="B87" s="3">
        <f t="shared" si="4"/>
        <v>46086</v>
      </c>
      <c r="C87" s="3">
        <f t="shared" si="5"/>
        <v>46092</v>
      </c>
      <c r="D87" s="2">
        <v>3342</v>
      </c>
      <c r="E87" s="2">
        <v>333</v>
      </c>
      <c r="F87" s="2">
        <v>3</v>
      </c>
      <c r="G87" s="4" t="s">
        <v>59</v>
      </c>
      <c r="H87" s="4" t="s">
        <v>271</v>
      </c>
      <c r="I87" s="4" t="s">
        <v>18</v>
      </c>
      <c r="J87" s="4">
        <v>15204209</v>
      </c>
      <c r="K87" s="4" t="s">
        <v>272</v>
      </c>
      <c r="L87" s="4" t="s">
        <v>274</v>
      </c>
      <c r="M87" s="5">
        <v>99900</v>
      </c>
      <c r="N87" s="6">
        <v>0.8</v>
      </c>
      <c r="O87" s="7">
        <f t="shared" si="3"/>
        <v>19980</v>
      </c>
      <c r="P87" s="6" t="s">
        <v>740</v>
      </c>
    </row>
    <row r="88" spans="1:16" customFormat="1" x14ac:dyDescent="0.35">
      <c r="A88" s="2" t="s">
        <v>743</v>
      </c>
      <c r="B88" s="3">
        <f t="shared" si="4"/>
        <v>46086</v>
      </c>
      <c r="C88" s="3">
        <f t="shared" si="5"/>
        <v>46092</v>
      </c>
      <c r="D88" s="2">
        <v>3342</v>
      </c>
      <c r="E88" s="2">
        <v>333</v>
      </c>
      <c r="F88" s="2">
        <v>3</v>
      </c>
      <c r="G88" s="4" t="s">
        <v>59</v>
      </c>
      <c r="H88" s="4" t="s">
        <v>271</v>
      </c>
      <c r="I88" s="4" t="s">
        <v>18</v>
      </c>
      <c r="J88" s="4">
        <v>15204218</v>
      </c>
      <c r="K88" s="4" t="s">
        <v>272</v>
      </c>
      <c r="L88" s="4" t="s">
        <v>275</v>
      </c>
      <c r="M88" s="5">
        <v>99900</v>
      </c>
      <c r="N88" s="6">
        <v>0.8</v>
      </c>
      <c r="O88" s="7">
        <f t="shared" si="3"/>
        <v>19980</v>
      </c>
      <c r="P88" s="6" t="s">
        <v>740</v>
      </c>
    </row>
    <row r="89" spans="1:16" customFormat="1" x14ac:dyDescent="0.35">
      <c r="A89" s="2" t="s">
        <v>743</v>
      </c>
      <c r="B89" s="3">
        <f t="shared" si="4"/>
        <v>46086</v>
      </c>
      <c r="C89" s="3">
        <f t="shared" si="5"/>
        <v>46092</v>
      </c>
      <c r="D89" s="2">
        <v>3342</v>
      </c>
      <c r="E89" s="2">
        <v>333</v>
      </c>
      <c r="F89" s="2">
        <v>3</v>
      </c>
      <c r="G89" s="4" t="s">
        <v>59</v>
      </c>
      <c r="H89" s="4" t="s">
        <v>271</v>
      </c>
      <c r="I89" s="4" t="s">
        <v>18</v>
      </c>
      <c r="J89" s="4">
        <v>15204227</v>
      </c>
      <c r="K89" s="4" t="s">
        <v>272</v>
      </c>
      <c r="L89" s="4" t="s">
        <v>276</v>
      </c>
      <c r="M89" s="5">
        <v>99900</v>
      </c>
      <c r="N89" s="6">
        <v>0.8</v>
      </c>
      <c r="O89" s="7">
        <f t="shared" si="3"/>
        <v>19980</v>
      </c>
      <c r="P89" s="6" t="s">
        <v>740</v>
      </c>
    </row>
    <row r="90" spans="1:16" customFormat="1" x14ac:dyDescent="0.35">
      <c r="A90" s="2" t="s">
        <v>743</v>
      </c>
      <c r="B90" s="3">
        <f t="shared" si="4"/>
        <v>46086</v>
      </c>
      <c r="C90" s="3">
        <f t="shared" si="5"/>
        <v>46092</v>
      </c>
      <c r="D90" s="2">
        <v>3342</v>
      </c>
      <c r="E90" s="2">
        <v>333</v>
      </c>
      <c r="F90" s="2">
        <v>3</v>
      </c>
      <c r="G90" s="4" t="s">
        <v>59</v>
      </c>
      <c r="H90" s="4" t="s">
        <v>271</v>
      </c>
      <c r="I90" s="4" t="s">
        <v>18</v>
      </c>
      <c r="J90" s="4">
        <v>16009553</v>
      </c>
      <c r="K90" s="4" t="s">
        <v>277</v>
      </c>
      <c r="L90" s="4" t="s">
        <v>278</v>
      </c>
      <c r="M90" s="5">
        <v>129900</v>
      </c>
      <c r="N90" s="6">
        <v>0.8</v>
      </c>
      <c r="O90" s="7">
        <f t="shared" si="3"/>
        <v>25980</v>
      </c>
      <c r="P90" s="6" t="s">
        <v>740</v>
      </c>
    </row>
    <row r="91" spans="1:16" customFormat="1" x14ac:dyDescent="0.35">
      <c r="A91" s="2" t="s">
        <v>743</v>
      </c>
      <c r="B91" s="3">
        <f t="shared" si="4"/>
        <v>46086</v>
      </c>
      <c r="C91" s="3">
        <f t="shared" si="5"/>
        <v>46092</v>
      </c>
      <c r="D91" s="2">
        <v>3342</v>
      </c>
      <c r="E91" s="2">
        <v>333</v>
      </c>
      <c r="F91" s="2">
        <v>3</v>
      </c>
      <c r="G91" s="4" t="s">
        <v>59</v>
      </c>
      <c r="H91" s="4" t="s">
        <v>271</v>
      </c>
      <c r="I91" s="4" t="s">
        <v>18</v>
      </c>
      <c r="J91" s="4">
        <v>16009562</v>
      </c>
      <c r="K91" s="4" t="s">
        <v>277</v>
      </c>
      <c r="L91" s="4" t="s">
        <v>279</v>
      </c>
      <c r="M91" s="5">
        <v>129900</v>
      </c>
      <c r="N91" s="6">
        <v>0.8</v>
      </c>
      <c r="O91" s="7">
        <f t="shared" si="3"/>
        <v>25980</v>
      </c>
      <c r="P91" s="6" t="s">
        <v>740</v>
      </c>
    </row>
    <row r="92" spans="1:16" customFormat="1" x14ac:dyDescent="0.35">
      <c r="A92" s="2" t="s">
        <v>743</v>
      </c>
      <c r="B92" s="3">
        <f t="shared" si="4"/>
        <v>46086</v>
      </c>
      <c r="C92" s="3">
        <f t="shared" si="5"/>
        <v>46092</v>
      </c>
      <c r="D92" s="2">
        <v>3342</v>
      </c>
      <c r="E92" s="2">
        <v>333</v>
      </c>
      <c r="F92" s="2">
        <v>3</v>
      </c>
      <c r="G92" s="4" t="s">
        <v>59</v>
      </c>
      <c r="H92" s="4" t="s">
        <v>271</v>
      </c>
      <c r="I92" s="4" t="s">
        <v>18</v>
      </c>
      <c r="J92" s="4">
        <v>16009571</v>
      </c>
      <c r="K92" s="4" t="s">
        <v>277</v>
      </c>
      <c r="L92" s="4" t="s">
        <v>280</v>
      </c>
      <c r="M92" s="5">
        <v>129900</v>
      </c>
      <c r="N92" s="6">
        <v>0.8</v>
      </c>
      <c r="O92" s="7">
        <f t="shared" si="3"/>
        <v>25980</v>
      </c>
      <c r="P92" s="6" t="s">
        <v>740</v>
      </c>
    </row>
    <row r="93" spans="1:16" customFormat="1" x14ac:dyDescent="0.35">
      <c r="A93" s="2" t="s">
        <v>743</v>
      </c>
      <c r="B93" s="3">
        <f t="shared" si="4"/>
        <v>46086</v>
      </c>
      <c r="C93" s="3">
        <f t="shared" si="5"/>
        <v>46092</v>
      </c>
      <c r="D93" s="2">
        <v>3342</v>
      </c>
      <c r="E93" s="2">
        <v>333</v>
      </c>
      <c r="F93" s="2">
        <v>3</v>
      </c>
      <c r="G93" s="4" t="s">
        <v>59</v>
      </c>
      <c r="H93" s="4" t="s">
        <v>271</v>
      </c>
      <c r="I93" s="4" t="s">
        <v>18</v>
      </c>
      <c r="J93" s="4">
        <v>16009580</v>
      </c>
      <c r="K93" s="4" t="s">
        <v>277</v>
      </c>
      <c r="L93" s="4" t="s">
        <v>281</v>
      </c>
      <c r="M93" s="5">
        <v>129900</v>
      </c>
      <c r="N93" s="6">
        <v>0.8</v>
      </c>
      <c r="O93" s="7">
        <f t="shared" si="3"/>
        <v>25980</v>
      </c>
      <c r="P93" s="6" t="s">
        <v>740</v>
      </c>
    </row>
    <row r="94" spans="1:16" customFormat="1" x14ac:dyDescent="0.35">
      <c r="A94" s="2" t="s">
        <v>743</v>
      </c>
      <c r="B94" s="3">
        <f t="shared" si="4"/>
        <v>46086</v>
      </c>
      <c r="C94" s="3">
        <f t="shared" si="5"/>
        <v>46092</v>
      </c>
      <c r="D94" s="2">
        <v>3342</v>
      </c>
      <c r="E94" s="2">
        <v>333</v>
      </c>
      <c r="F94" s="2">
        <v>3</v>
      </c>
      <c r="G94" s="4" t="s">
        <v>59</v>
      </c>
      <c r="H94" s="4" t="s">
        <v>271</v>
      </c>
      <c r="I94" s="4" t="s">
        <v>18</v>
      </c>
      <c r="J94" s="4">
        <v>16035257</v>
      </c>
      <c r="K94" s="4" t="s">
        <v>282</v>
      </c>
      <c r="L94" s="4" t="s">
        <v>283</v>
      </c>
      <c r="M94" s="5">
        <v>99900</v>
      </c>
      <c r="N94" s="6">
        <v>0.8</v>
      </c>
      <c r="O94" s="7">
        <f t="shared" si="3"/>
        <v>19980</v>
      </c>
      <c r="P94" s="6" t="s">
        <v>740</v>
      </c>
    </row>
    <row r="95" spans="1:16" customFormat="1" x14ac:dyDescent="0.35">
      <c r="A95" s="2" t="s">
        <v>743</v>
      </c>
      <c r="B95" s="3">
        <f t="shared" si="4"/>
        <v>46086</v>
      </c>
      <c r="C95" s="3">
        <f t="shared" si="5"/>
        <v>46092</v>
      </c>
      <c r="D95" s="2">
        <v>3342</v>
      </c>
      <c r="E95" s="2">
        <v>333</v>
      </c>
      <c r="F95" s="2">
        <v>3</v>
      </c>
      <c r="G95" s="4" t="s">
        <v>59</v>
      </c>
      <c r="H95" s="4" t="s">
        <v>271</v>
      </c>
      <c r="I95" s="4" t="s">
        <v>18</v>
      </c>
      <c r="J95" s="4">
        <v>16035266</v>
      </c>
      <c r="K95" s="4" t="s">
        <v>282</v>
      </c>
      <c r="L95" s="4" t="s">
        <v>284</v>
      </c>
      <c r="M95" s="5">
        <v>99900</v>
      </c>
      <c r="N95" s="6">
        <v>0.8</v>
      </c>
      <c r="O95" s="7">
        <f t="shared" si="3"/>
        <v>19980</v>
      </c>
      <c r="P95" s="6" t="s">
        <v>740</v>
      </c>
    </row>
    <row r="96" spans="1:16" customFormat="1" x14ac:dyDescent="0.35">
      <c r="A96" s="2" t="s">
        <v>743</v>
      </c>
      <c r="B96" s="3">
        <f t="shared" si="4"/>
        <v>46086</v>
      </c>
      <c r="C96" s="3">
        <f t="shared" si="5"/>
        <v>46092</v>
      </c>
      <c r="D96" s="2">
        <v>3342</v>
      </c>
      <c r="E96" s="2">
        <v>333</v>
      </c>
      <c r="F96" s="2">
        <v>3</v>
      </c>
      <c r="G96" s="4" t="s">
        <v>59</v>
      </c>
      <c r="H96" s="4" t="s">
        <v>271</v>
      </c>
      <c r="I96" s="4" t="s">
        <v>18</v>
      </c>
      <c r="J96" s="4">
        <v>16035275</v>
      </c>
      <c r="K96" s="4" t="s">
        <v>282</v>
      </c>
      <c r="L96" s="4" t="s">
        <v>285</v>
      </c>
      <c r="M96" s="5">
        <v>99900</v>
      </c>
      <c r="N96" s="6">
        <v>0.8</v>
      </c>
      <c r="O96" s="7">
        <f t="shared" si="3"/>
        <v>19980</v>
      </c>
      <c r="P96" s="6" t="s">
        <v>740</v>
      </c>
    </row>
    <row r="97" spans="1:16" customFormat="1" x14ac:dyDescent="0.35">
      <c r="A97" s="2" t="s">
        <v>743</v>
      </c>
      <c r="B97" s="3">
        <f t="shared" si="4"/>
        <v>46086</v>
      </c>
      <c r="C97" s="3">
        <f t="shared" si="5"/>
        <v>46092</v>
      </c>
      <c r="D97" s="2">
        <v>3342</v>
      </c>
      <c r="E97" s="2">
        <v>333</v>
      </c>
      <c r="F97" s="2">
        <v>3</v>
      </c>
      <c r="G97" s="4" t="s">
        <v>59</v>
      </c>
      <c r="H97" s="4" t="s">
        <v>271</v>
      </c>
      <c r="I97" s="4" t="s">
        <v>18</v>
      </c>
      <c r="J97" s="4">
        <v>16035284</v>
      </c>
      <c r="K97" s="4" t="s">
        <v>282</v>
      </c>
      <c r="L97" s="4" t="s">
        <v>286</v>
      </c>
      <c r="M97" s="5">
        <v>99900</v>
      </c>
      <c r="N97" s="6">
        <v>0.8</v>
      </c>
      <c r="O97" s="7">
        <f t="shared" si="3"/>
        <v>19980</v>
      </c>
      <c r="P97" s="6" t="s">
        <v>740</v>
      </c>
    </row>
    <row r="98" spans="1:16" customFormat="1" x14ac:dyDescent="0.35">
      <c r="A98" s="2" t="s">
        <v>743</v>
      </c>
      <c r="B98" s="3">
        <f t="shared" si="4"/>
        <v>46086</v>
      </c>
      <c r="C98" s="3">
        <f t="shared" si="5"/>
        <v>46092</v>
      </c>
      <c r="D98" s="2">
        <v>3342</v>
      </c>
      <c r="E98" s="2">
        <v>333</v>
      </c>
      <c r="F98" s="2">
        <v>3</v>
      </c>
      <c r="G98" s="4" t="s">
        <v>59</v>
      </c>
      <c r="H98" s="4" t="s">
        <v>271</v>
      </c>
      <c r="I98" s="4" t="s">
        <v>18</v>
      </c>
      <c r="J98" s="4">
        <v>16035293</v>
      </c>
      <c r="K98" s="4" t="s">
        <v>287</v>
      </c>
      <c r="L98" s="4" t="s">
        <v>288</v>
      </c>
      <c r="M98" s="5">
        <v>129900</v>
      </c>
      <c r="N98" s="6">
        <v>0.8</v>
      </c>
      <c r="O98" s="7">
        <f t="shared" si="3"/>
        <v>25980</v>
      </c>
      <c r="P98" s="6" t="s">
        <v>740</v>
      </c>
    </row>
    <row r="99" spans="1:16" customFormat="1" x14ac:dyDescent="0.35">
      <c r="A99" s="2" t="s">
        <v>743</v>
      </c>
      <c r="B99" s="3">
        <f t="shared" si="4"/>
        <v>46086</v>
      </c>
      <c r="C99" s="3">
        <f t="shared" si="5"/>
        <v>46092</v>
      </c>
      <c r="D99" s="2">
        <v>3342</v>
      </c>
      <c r="E99" s="2">
        <v>333</v>
      </c>
      <c r="F99" s="2">
        <v>3</v>
      </c>
      <c r="G99" s="4" t="s">
        <v>59</v>
      </c>
      <c r="H99" s="4" t="s">
        <v>271</v>
      </c>
      <c r="I99" s="4" t="s">
        <v>18</v>
      </c>
      <c r="J99" s="4">
        <v>16035300</v>
      </c>
      <c r="K99" s="4" t="s">
        <v>287</v>
      </c>
      <c r="L99" s="4" t="s">
        <v>289</v>
      </c>
      <c r="M99" s="5">
        <v>129900</v>
      </c>
      <c r="N99" s="6">
        <v>0.8</v>
      </c>
      <c r="O99" s="7">
        <f t="shared" si="3"/>
        <v>25980</v>
      </c>
      <c r="P99" s="6" t="s">
        <v>740</v>
      </c>
    </row>
    <row r="100" spans="1:16" customFormat="1" x14ac:dyDescent="0.35">
      <c r="A100" s="2" t="s">
        <v>743</v>
      </c>
      <c r="B100" s="3">
        <f t="shared" si="4"/>
        <v>46086</v>
      </c>
      <c r="C100" s="3">
        <f t="shared" si="5"/>
        <v>46092</v>
      </c>
      <c r="D100" s="2">
        <v>3342</v>
      </c>
      <c r="E100" s="2">
        <v>333</v>
      </c>
      <c r="F100" s="2">
        <v>3</v>
      </c>
      <c r="G100" s="4" t="s">
        <v>59</v>
      </c>
      <c r="H100" s="4" t="s">
        <v>271</v>
      </c>
      <c r="I100" s="4" t="s">
        <v>18</v>
      </c>
      <c r="J100" s="4">
        <v>16035319</v>
      </c>
      <c r="K100" s="4" t="s">
        <v>287</v>
      </c>
      <c r="L100" s="4" t="s">
        <v>290</v>
      </c>
      <c r="M100" s="5">
        <v>129900</v>
      </c>
      <c r="N100" s="6">
        <v>0.8</v>
      </c>
      <c r="O100" s="7">
        <f t="shared" si="3"/>
        <v>25980</v>
      </c>
      <c r="P100" s="6" t="s">
        <v>740</v>
      </c>
    </row>
    <row r="101" spans="1:16" customFormat="1" x14ac:dyDescent="0.35">
      <c r="A101" s="2" t="s">
        <v>743</v>
      </c>
      <c r="B101" s="3">
        <f t="shared" si="4"/>
        <v>46086</v>
      </c>
      <c r="C101" s="3">
        <f t="shared" si="5"/>
        <v>46092</v>
      </c>
      <c r="D101" s="2">
        <v>3342</v>
      </c>
      <c r="E101" s="2">
        <v>333</v>
      </c>
      <c r="F101" s="2">
        <v>3</v>
      </c>
      <c r="G101" s="4" t="s">
        <v>59</v>
      </c>
      <c r="H101" s="4" t="s">
        <v>271</v>
      </c>
      <c r="I101" s="4" t="s">
        <v>18</v>
      </c>
      <c r="J101" s="4">
        <v>16035328</v>
      </c>
      <c r="K101" s="4" t="s">
        <v>287</v>
      </c>
      <c r="L101" s="4" t="s">
        <v>291</v>
      </c>
      <c r="M101" s="5">
        <v>129900</v>
      </c>
      <c r="N101" s="6">
        <v>0.8</v>
      </c>
      <c r="O101" s="7">
        <f t="shared" si="3"/>
        <v>25980</v>
      </c>
      <c r="P101" s="6" t="s">
        <v>740</v>
      </c>
    </row>
    <row r="102" spans="1:16" customFormat="1" x14ac:dyDescent="0.35">
      <c r="A102" s="2" t="s">
        <v>743</v>
      </c>
      <c r="B102" s="3">
        <f t="shared" si="4"/>
        <v>46086</v>
      </c>
      <c r="C102" s="3">
        <f t="shared" si="5"/>
        <v>46092</v>
      </c>
      <c r="D102" s="2">
        <v>3342</v>
      </c>
      <c r="E102" s="2">
        <v>333</v>
      </c>
      <c r="F102" s="2">
        <v>3</v>
      </c>
      <c r="G102" s="4" t="s">
        <v>137</v>
      </c>
      <c r="H102" s="4" t="s">
        <v>323</v>
      </c>
      <c r="I102" s="4" t="s">
        <v>18</v>
      </c>
      <c r="J102" s="4">
        <v>10612312</v>
      </c>
      <c r="K102" s="4" t="s">
        <v>354</v>
      </c>
      <c r="L102" s="4" t="s">
        <v>355</v>
      </c>
      <c r="M102" s="5">
        <v>149900</v>
      </c>
      <c r="N102" s="6">
        <v>0.8</v>
      </c>
      <c r="O102" s="7">
        <f t="shared" si="3"/>
        <v>29980</v>
      </c>
      <c r="P102" s="6" t="s">
        <v>740</v>
      </c>
    </row>
    <row r="103" spans="1:16" customFormat="1" x14ac:dyDescent="0.35">
      <c r="A103" s="2" t="s">
        <v>743</v>
      </c>
      <c r="B103" s="3">
        <f t="shared" si="4"/>
        <v>46086</v>
      </c>
      <c r="C103" s="3">
        <f t="shared" si="5"/>
        <v>46092</v>
      </c>
      <c r="D103" s="2">
        <v>3342</v>
      </c>
      <c r="E103" s="2">
        <v>333</v>
      </c>
      <c r="F103" s="2">
        <v>3</v>
      </c>
      <c r="G103" s="4" t="s">
        <v>137</v>
      </c>
      <c r="H103" s="4" t="s">
        <v>323</v>
      </c>
      <c r="I103" s="4" t="s">
        <v>18</v>
      </c>
      <c r="J103" s="4">
        <v>10612321</v>
      </c>
      <c r="K103" s="4" t="s">
        <v>354</v>
      </c>
      <c r="L103" s="4" t="s">
        <v>356</v>
      </c>
      <c r="M103" s="5">
        <v>149900</v>
      </c>
      <c r="N103" s="6">
        <v>0.8</v>
      </c>
      <c r="O103" s="7">
        <f t="shared" si="3"/>
        <v>29980</v>
      </c>
      <c r="P103" s="6" t="s">
        <v>740</v>
      </c>
    </row>
    <row r="104" spans="1:16" customFormat="1" x14ac:dyDescent="0.35">
      <c r="A104" s="2" t="s">
        <v>743</v>
      </c>
      <c r="B104" s="3">
        <f t="shared" si="4"/>
        <v>46086</v>
      </c>
      <c r="C104" s="3">
        <f t="shared" si="5"/>
        <v>46092</v>
      </c>
      <c r="D104" s="2">
        <v>3342</v>
      </c>
      <c r="E104" s="2">
        <v>333</v>
      </c>
      <c r="F104" s="2">
        <v>3</v>
      </c>
      <c r="G104" s="4" t="s">
        <v>137</v>
      </c>
      <c r="H104" s="4" t="s">
        <v>323</v>
      </c>
      <c r="I104" s="4" t="s">
        <v>18</v>
      </c>
      <c r="J104" s="4">
        <v>10612330</v>
      </c>
      <c r="K104" s="4" t="s">
        <v>354</v>
      </c>
      <c r="L104" s="4" t="s">
        <v>357</v>
      </c>
      <c r="M104" s="5">
        <v>149900</v>
      </c>
      <c r="N104" s="6">
        <v>0.8</v>
      </c>
      <c r="O104" s="7">
        <f t="shared" si="3"/>
        <v>29980</v>
      </c>
      <c r="P104" s="6" t="s">
        <v>740</v>
      </c>
    </row>
    <row r="105" spans="1:16" customFormat="1" x14ac:dyDescent="0.35">
      <c r="A105" s="2" t="s">
        <v>743</v>
      </c>
      <c r="B105" s="3">
        <f t="shared" si="4"/>
        <v>46086</v>
      </c>
      <c r="C105" s="3">
        <f t="shared" si="5"/>
        <v>46092</v>
      </c>
      <c r="D105" s="2">
        <v>3342</v>
      </c>
      <c r="E105" s="2">
        <v>333</v>
      </c>
      <c r="F105" s="2">
        <v>3</v>
      </c>
      <c r="G105" s="4" t="s">
        <v>137</v>
      </c>
      <c r="H105" s="4" t="s">
        <v>323</v>
      </c>
      <c r="I105" s="4" t="s">
        <v>18</v>
      </c>
      <c r="J105" s="4">
        <v>10612349</v>
      </c>
      <c r="K105" s="4" t="s">
        <v>354</v>
      </c>
      <c r="L105" s="4" t="s">
        <v>358</v>
      </c>
      <c r="M105" s="5">
        <v>149900</v>
      </c>
      <c r="N105" s="6">
        <v>0.8</v>
      </c>
      <c r="O105" s="7">
        <f t="shared" si="3"/>
        <v>29980</v>
      </c>
      <c r="P105" s="6" t="s">
        <v>740</v>
      </c>
    </row>
    <row r="106" spans="1:16" customFormat="1" x14ac:dyDescent="0.35">
      <c r="A106" s="2" t="s">
        <v>743</v>
      </c>
      <c r="B106" s="3">
        <f t="shared" si="4"/>
        <v>46086</v>
      </c>
      <c r="C106" s="3">
        <f t="shared" si="5"/>
        <v>46092</v>
      </c>
      <c r="D106" s="2">
        <v>3342</v>
      </c>
      <c r="E106" s="2">
        <v>333</v>
      </c>
      <c r="F106" s="2">
        <v>3</v>
      </c>
      <c r="G106" s="4" t="s">
        <v>137</v>
      </c>
      <c r="H106" s="4" t="s">
        <v>323</v>
      </c>
      <c r="I106" s="4" t="s">
        <v>18</v>
      </c>
      <c r="J106" s="4">
        <v>10612358</v>
      </c>
      <c r="K106" s="4" t="s">
        <v>359</v>
      </c>
      <c r="L106" s="4" t="s">
        <v>360</v>
      </c>
      <c r="M106" s="5">
        <v>149900</v>
      </c>
      <c r="N106" s="6">
        <v>0.8</v>
      </c>
      <c r="O106" s="7">
        <f t="shared" si="3"/>
        <v>29980</v>
      </c>
      <c r="P106" s="6" t="s">
        <v>740</v>
      </c>
    </row>
    <row r="107" spans="1:16" customFormat="1" x14ac:dyDescent="0.35">
      <c r="A107" s="2" t="s">
        <v>743</v>
      </c>
      <c r="B107" s="3">
        <f t="shared" si="4"/>
        <v>46086</v>
      </c>
      <c r="C107" s="3">
        <f t="shared" si="5"/>
        <v>46092</v>
      </c>
      <c r="D107" s="2">
        <v>3342</v>
      </c>
      <c r="E107" s="2">
        <v>333</v>
      </c>
      <c r="F107" s="2">
        <v>3</v>
      </c>
      <c r="G107" s="4" t="s">
        <v>137</v>
      </c>
      <c r="H107" s="4" t="s">
        <v>323</v>
      </c>
      <c r="I107" s="4" t="s">
        <v>18</v>
      </c>
      <c r="J107" s="4">
        <v>10612367</v>
      </c>
      <c r="K107" s="4" t="s">
        <v>359</v>
      </c>
      <c r="L107" s="4" t="s">
        <v>361</v>
      </c>
      <c r="M107" s="5">
        <v>149900</v>
      </c>
      <c r="N107" s="6">
        <v>0.8</v>
      </c>
      <c r="O107" s="7">
        <f t="shared" si="3"/>
        <v>29980</v>
      </c>
      <c r="P107" s="6" t="s">
        <v>740</v>
      </c>
    </row>
    <row r="108" spans="1:16" customFormat="1" x14ac:dyDescent="0.35">
      <c r="A108" s="2" t="s">
        <v>743</v>
      </c>
      <c r="B108" s="3">
        <f t="shared" si="4"/>
        <v>46086</v>
      </c>
      <c r="C108" s="3">
        <f t="shared" si="5"/>
        <v>46092</v>
      </c>
      <c r="D108" s="2">
        <v>3342</v>
      </c>
      <c r="E108" s="2">
        <v>333</v>
      </c>
      <c r="F108" s="2">
        <v>3</v>
      </c>
      <c r="G108" s="4" t="s">
        <v>137</v>
      </c>
      <c r="H108" s="4" t="s">
        <v>323</v>
      </c>
      <c r="I108" s="4" t="s">
        <v>18</v>
      </c>
      <c r="J108" s="4">
        <v>10612376</v>
      </c>
      <c r="K108" s="4" t="s">
        <v>359</v>
      </c>
      <c r="L108" s="4" t="s">
        <v>362</v>
      </c>
      <c r="M108" s="5">
        <v>149900</v>
      </c>
      <c r="N108" s="6">
        <v>0.8</v>
      </c>
      <c r="O108" s="7">
        <f t="shared" si="3"/>
        <v>29980</v>
      </c>
      <c r="P108" s="6" t="s">
        <v>740</v>
      </c>
    </row>
    <row r="109" spans="1:16" customFormat="1" x14ac:dyDescent="0.35">
      <c r="A109" s="2" t="s">
        <v>743</v>
      </c>
      <c r="B109" s="3">
        <f t="shared" si="4"/>
        <v>46086</v>
      </c>
      <c r="C109" s="3">
        <f t="shared" si="5"/>
        <v>46092</v>
      </c>
      <c r="D109" s="2">
        <v>3342</v>
      </c>
      <c r="E109" s="2">
        <v>333</v>
      </c>
      <c r="F109" s="2">
        <v>3</v>
      </c>
      <c r="G109" s="4" t="s">
        <v>137</v>
      </c>
      <c r="H109" s="4" t="s">
        <v>323</v>
      </c>
      <c r="I109" s="4" t="s">
        <v>18</v>
      </c>
      <c r="J109" s="4">
        <v>10612385</v>
      </c>
      <c r="K109" s="4" t="s">
        <v>359</v>
      </c>
      <c r="L109" s="4" t="s">
        <v>363</v>
      </c>
      <c r="M109" s="5">
        <v>149900</v>
      </c>
      <c r="N109" s="6">
        <v>0.8</v>
      </c>
      <c r="O109" s="7">
        <f t="shared" si="3"/>
        <v>29980</v>
      </c>
      <c r="P109" s="6" t="s">
        <v>740</v>
      </c>
    </row>
    <row r="110" spans="1:16" customFormat="1" x14ac:dyDescent="0.35">
      <c r="A110" s="2" t="s">
        <v>743</v>
      </c>
      <c r="B110" s="3">
        <f t="shared" si="4"/>
        <v>46086</v>
      </c>
      <c r="C110" s="3">
        <f t="shared" si="5"/>
        <v>46092</v>
      </c>
      <c r="D110" s="2">
        <v>3342</v>
      </c>
      <c r="E110" s="2">
        <v>333</v>
      </c>
      <c r="F110" s="2">
        <v>3</v>
      </c>
      <c r="G110" s="4" t="s">
        <v>137</v>
      </c>
      <c r="H110" s="4" t="s">
        <v>323</v>
      </c>
      <c r="I110" s="4" t="s">
        <v>18</v>
      </c>
      <c r="J110" s="4">
        <v>15393621</v>
      </c>
      <c r="K110" s="4" t="s">
        <v>364</v>
      </c>
      <c r="L110" s="4" t="s">
        <v>365</v>
      </c>
      <c r="M110" s="5">
        <v>149900</v>
      </c>
      <c r="N110" s="6">
        <v>0.8</v>
      </c>
      <c r="O110" s="7">
        <f t="shared" si="3"/>
        <v>29980</v>
      </c>
      <c r="P110" s="6" t="s">
        <v>740</v>
      </c>
    </row>
    <row r="111" spans="1:16" customFormat="1" x14ac:dyDescent="0.35">
      <c r="A111" s="2" t="s">
        <v>743</v>
      </c>
      <c r="B111" s="3">
        <f t="shared" si="4"/>
        <v>46086</v>
      </c>
      <c r="C111" s="3">
        <f t="shared" si="5"/>
        <v>46092</v>
      </c>
      <c r="D111" s="2">
        <v>3342</v>
      </c>
      <c r="E111" s="2">
        <v>333</v>
      </c>
      <c r="F111" s="2">
        <v>3</v>
      </c>
      <c r="G111" s="4" t="s">
        <v>137</v>
      </c>
      <c r="H111" s="4" t="s">
        <v>323</v>
      </c>
      <c r="I111" s="4" t="s">
        <v>18</v>
      </c>
      <c r="J111" s="4">
        <v>15393630</v>
      </c>
      <c r="K111" s="4" t="s">
        <v>364</v>
      </c>
      <c r="L111" s="4" t="s">
        <v>366</v>
      </c>
      <c r="M111" s="5">
        <v>149900</v>
      </c>
      <c r="N111" s="6">
        <v>0.8</v>
      </c>
      <c r="O111" s="7">
        <f t="shared" si="3"/>
        <v>29980</v>
      </c>
      <c r="P111" s="6" t="s">
        <v>740</v>
      </c>
    </row>
    <row r="112" spans="1:16" customFormat="1" x14ac:dyDescent="0.35">
      <c r="A112" s="2" t="s">
        <v>743</v>
      </c>
      <c r="B112" s="3">
        <f t="shared" si="4"/>
        <v>46086</v>
      </c>
      <c r="C112" s="3">
        <f t="shared" si="5"/>
        <v>46092</v>
      </c>
      <c r="D112" s="2">
        <v>3342</v>
      </c>
      <c r="E112" s="2">
        <v>333</v>
      </c>
      <c r="F112" s="2">
        <v>3</v>
      </c>
      <c r="G112" s="4" t="s">
        <v>137</v>
      </c>
      <c r="H112" s="4" t="s">
        <v>323</v>
      </c>
      <c r="I112" s="4" t="s">
        <v>18</v>
      </c>
      <c r="J112" s="4">
        <v>15393649</v>
      </c>
      <c r="K112" s="4" t="s">
        <v>364</v>
      </c>
      <c r="L112" s="4" t="s">
        <v>367</v>
      </c>
      <c r="M112" s="5">
        <v>149900</v>
      </c>
      <c r="N112" s="6">
        <v>0.8</v>
      </c>
      <c r="O112" s="7">
        <f t="shared" si="3"/>
        <v>29980</v>
      </c>
      <c r="P112" s="6" t="s">
        <v>740</v>
      </c>
    </row>
    <row r="113" spans="1:16" customFormat="1" x14ac:dyDescent="0.35">
      <c r="A113" s="2" t="s">
        <v>743</v>
      </c>
      <c r="B113" s="3">
        <f t="shared" si="4"/>
        <v>46086</v>
      </c>
      <c r="C113" s="3">
        <f t="shared" si="5"/>
        <v>46092</v>
      </c>
      <c r="D113" s="2">
        <v>3342</v>
      </c>
      <c r="E113" s="2">
        <v>333</v>
      </c>
      <c r="F113" s="2">
        <v>3</v>
      </c>
      <c r="G113" s="4" t="s">
        <v>137</v>
      </c>
      <c r="H113" s="4" t="s">
        <v>323</v>
      </c>
      <c r="I113" s="4" t="s">
        <v>18</v>
      </c>
      <c r="J113" s="4">
        <v>15393658</v>
      </c>
      <c r="K113" s="4" t="s">
        <v>364</v>
      </c>
      <c r="L113" s="4" t="s">
        <v>368</v>
      </c>
      <c r="M113" s="5">
        <v>149900</v>
      </c>
      <c r="N113" s="6">
        <v>0.8</v>
      </c>
      <c r="O113" s="7">
        <f t="shared" si="3"/>
        <v>29980</v>
      </c>
      <c r="P113" s="6" t="s">
        <v>740</v>
      </c>
    </row>
    <row r="114" spans="1:16" customFormat="1" x14ac:dyDescent="0.35">
      <c r="A114" s="2" t="s">
        <v>743</v>
      </c>
      <c r="B114" s="3">
        <f t="shared" si="4"/>
        <v>46086</v>
      </c>
      <c r="C114" s="3">
        <f t="shared" si="5"/>
        <v>46092</v>
      </c>
      <c r="D114" s="2">
        <v>3342</v>
      </c>
      <c r="E114" s="2">
        <v>333</v>
      </c>
      <c r="F114" s="2">
        <v>3</v>
      </c>
      <c r="G114" s="4" t="s">
        <v>137</v>
      </c>
      <c r="H114" s="4" t="s">
        <v>323</v>
      </c>
      <c r="I114" s="4" t="s">
        <v>18</v>
      </c>
      <c r="J114" s="4">
        <v>16098976</v>
      </c>
      <c r="K114" s="4" t="s">
        <v>369</v>
      </c>
      <c r="L114" s="4" t="s">
        <v>370</v>
      </c>
      <c r="M114" s="5">
        <v>149900</v>
      </c>
      <c r="N114" s="6">
        <v>0.8</v>
      </c>
      <c r="O114" s="7">
        <f t="shared" si="3"/>
        <v>29980</v>
      </c>
      <c r="P114" s="6" t="s">
        <v>740</v>
      </c>
    </row>
    <row r="115" spans="1:16" customFormat="1" x14ac:dyDescent="0.35">
      <c r="A115" s="2" t="s">
        <v>743</v>
      </c>
      <c r="B115" s="3">
        <f t="shared" si="4"/>
        <v>46086</v>
      </c>
      <c r="C115" s="3">
        <f t="shared" si="5"/>
        <v>46092</v>
      </c>
      <c r="D115" s="2">
        <v>3342</v>
      </c>
      <c r="E115" s="2">
        <v>333</v>
      </c>
      <c r="F115" s="2">
        <v>3</v>
      </c>
      <c r="G115" s="4" t="s">
        <v>137</v>
      </c>
      <c r="H115" s="4" t="s">
        <v>323</v>
      </c>
      <c r="I115" s="4" t="s">
        <v>18</v>
      </c>
      <c r="J115" s="4">
        <v>16098985</v>
      </c>
      <c r="K115" s="4" t="s">
        <v>369</v>
      </c>
      <c r="L115" s="4" t="s">
        <v>371</v>
      </c>
      <c r="M115" s="5">
        <v>149900</v>
      </c>
      <c r="N115" s="6">
        <v>0.8</v>
      </c>
      <c r="O115" s="7">
        <f t="shared" si="3"/>
        <v>29980</v>
      </c>
      <c r="P115" s="6" t="s">
        <v>740</v>
      </c>
    </row>
    <row r="116" spans="1:16" customFormat="1" x14ac:dyDescent="0.35">
      <c r="A116" s="2" t="s">
        <v>743</v>
      </c>
      <c r="B116" s="3">
        <f t="shared" si="4"/>
        <v>46086</v>
      </c>
      <c r="C116" s="3">
        <f t="shared" si="5"/>
        <v>46092</v>
      </c>
      <c r="D116" s="2">
        <v>3342</v>
      </c>
      <c r="E116" s="2">
        <v>333</v>
      </c>
      <c r="F116" s="2">
        <v>3</v>
      </c>
      <c r="G116" s="4" t="s">
        <v>137</v>
      </c>
      <c r="H116" s="4" t="s">
        <v>323</v>
      </c>
      <c r="I116" s="4" t="s">
        <v>18</v>
      </c>
      <c r="J116" s="4">
        <v>16098994</v>
      </c>
      <c r="K116" s="4" t="s">
        <v>369</v>
      </c>
      <c r="L116" s="4" t="s">
        <v>372</v>
      </c>
      <c r="M116" s="5">
        <v>149900</v>
      </c>
      <c r="N116" s="6">
        <v>0.8</v>
      </c>
      <c r="O116" s="7">
        <f t="shared" si="3"/>
        <v>29980</v>
      </c>
      <c r="P116" s="6" t="s">
        <v>740</v>
      </c>
    </row>
    <row r="117" spans="1:16" customFormat="1" x14ac:dyDescent="0.35">
      <c r="A117" s="2" t="s">
        <v>743</v>
      </c>
      <c r="B117" s="3">
        <f t="shared" si="4"/>
        <v>46086</v>
      </c>
      <c r="C117" s="3">
        <f t="shared" si="5"/>
        <v>46092</v>
      </c>
      <c r="D117" s="2">
        <v>3342</v>
      </c>
      <c r="E117" s="2">
        <v>333</v>
      </c>
      <c r="F117" s="2">
        <v>3</v>
      </c>
      <c r="G117" s="4" t="s">
        <v>137</v>
      </c>
      <c r="H117" s="4" t="s">
        <v>323</v>
      </c>
      <c r="I117" s="4" t="s">
        <v>18</v>
      </c>
      <c r="J117" s="4">
        <v>16099000</v>
      </c>
      <c r="K117" s="4" t="s">
        <v>369</v>
      </c>
      <c r="L117" s="4" t="s">
        <v>373</v>
      </c>
      <c r="M117" s="5">
        <v>149900</v>
      </c>
      <c r="N117" s="6">
        <v>0.8</v>
      </c>
      <c r="O117" s="7">
        <f t="shared" si="3"/>
        <v>29980</v>
      </c>
      <c r="P117" s="6" t="s">
        <v>740</v>
      </c>
    </row>
    <row r="118" spans="1:16" customFormat="1" x14ac:dyDescent="0.35">
      <c r="A118" s="2" t="s">
        <v>743</v>
      </c>
      <c r="B118" s="3">
        <f t="shared" si="4"/>
        <v>46086</v>
      </c>
      <c r="C118" s="3">
        <f t="shared" si="5"/>
        <v>46092</v>
      </c>
      <c r="D118" s="2">
        <v>3342</v>
      </c>
      <c r="E118" s="2">
        <v>333</v>
      </c>
      <c r="F118" s="2">
        <v>3</v>
      </c>
      <c r="G118" s="4" t="s">
        <v>16</v>
      </c>
      <c r="H118" s="4" t="s">
        <v>323</v>
      </c>
      <c r="I118" s="4" t="s">
        <v>18</v>
      </c>
      <c r="J118" s="4">
        <v>13491993</v>
      </c>
      <c r="K118" s="4" t="s">
        <v>374</v>
      </c>
      <c r="L118" s="4" t="s">
        <v>375</v>
      </c>
      <c r="M118" s="5">
        <v>59900</v>
      </c>
      <c r="N118" s="6">
        <v>0.8</v>
      </c>
      <c r="O118" s="7">
        <f t="shared" si="3"/>
        <v>11980</v>
      </c>
      <c r="P118" s="6" t="s">
        <v>740</v>
      </c>
    </row>
    <row r="119" spans="1:16" customFormat="1" x14ac:dyDescent="0.35">
      <c r="A119" s="2" t="s">
        <v>743</v>
      </c>
      <c r="B119" s="3">
        <f t="shared" si="4"/>
        <v>46086</v>
      </c>
      <c r="C119" s="3">
        <f t="shared" si="5"/>
        <v>46092</v>
      </c>
      <c r="D119" s="2">
        <v>3342</v>
      </c>
      <c r="E119" s="2">
        <v>333</v>
      </c>
      <c r="F119" s="2">
        <v>3</v>
      </c>
      <c r="G119" s="4" t="s">
        <v>16</v>
      </c>
      <c r="H119" s="4" t="s">
        <v>323</v>
      </c>
      <c r="I119" s="4" t="s">
        <v>18</v>
      </c>
      <c r="J119" s="4">
        <v>13492009</v>
      </c>
      <c r="K119" s="4" t="s">
        <v>374</v>
      </c>
      <c r="L119" s="4" t="s">
        <v>376</v>
      </c>
      <c r="M119" s="5">
        <v>59900</v>
      </c>
      <c r="N119" s="6">
        <v>0.8</v>
      </c>
      <c r="O119" s="7">
        <f t="shared" si="3"/>
        <v>11980</v>
      </c>
      <c r="P119" s="6" t="s">
        <v>740</v>
      </c>
    </row>
    <row r="120" spans="1:16" customFormat="1" x14ac:dyDescent="0.35">
      <c r="A120" s="2" t="s">
        <v>743</v>
      </c>
      <c r="B120" s="3">
        <f t="shared" si="4"/>
        <v>46086</v>
      </c>
      <c r="C120" s="3">
        <f t="shared" si="5"/>
        <v>46092</v>
      </c>
      <c r="D120" s="2">
        <v>3342</v>
      </c>
      <c r="E120" s="2">
        <v>333</v>
      </c>
      <c r="F120" s="2">
        <v>3</v>
      </c>
      <c r="G120" s="4" t="s">
        <v>16</v>
      </c>
      <c r="H120" s="4" t="s">
        <v>323</v>
      </c>
      <c r="I120" s="4" t="s">
        <v>18</v>
      </c>
      <c r="J120" s="4">
        <v>13492018</v>
      </c>
      <c r="K120" s="4" t="s">
        <v>374</v>
      </c>
      <c r="L120" s="4" t="s">
        <v>377</v>
      </c>
      <c r="M120" s="5">
        <v>59900</v>
      </c>
      <c r="N120" s="6">
        <v>0.8</v>
      </c>
      <c r="O120" s="7">
        <f t="shared" si="3"/>
        <v>11980</v>
      </c>
      <c r="P120" s="6" t="s">
        <v>740</v>
      </c>
    </row>
    <row r="121" spans="1:16" customFormat="1" x14ac:dyDescent="0.35">
      <c r="A121" s="2" t="s">
        <v>743</v>
      </c>
      <c r="B121" s="3">
        <f t="shared" si="4"/>
        <v>46086</v>
      </c>
      <c r="C121" s="3">
        <f t="shared" si="5"/>
        <v>46092</v>
      </c>
      <c r="D121" s="2">
        <v>3342</v>
      </c>
      <c r="E121" s="2">
        <v>333</v>
      </c>
      <c r="F121" s="2">
        <v>3</v>
      </c>
      <c r="G121" s="4" t="s">
        <v>16</v>
      </c>
      <c r="H121" s="4" t="s">
        <v>323</v>
      </c>
      <c r="I121" s="4" t="s">
        <v>18</v>
      </c>
      <c r="J121" s="4">
        <v>13492027</v>
      </c>
      <c r="K121" s="4" t="s">
        <v>374</v>
      </c>
      <c r="L121" s="4" t="s">
        <v>378</v>
      </c>
      <c r="M121" s="5">
        <v>59900</v>
      </c>
      <c r="N121" s="6">
        <v>0.8</v>
      </c>
      <c r="O121" s="7">
        <f t="shared" si="3"/>
        <v>11980</v>
      </c>
      <c r="P121" s="6" t="s">
        <v>740</v>
      </c>
    </row>
    <row r="122" spans="1:16" customFormat="1" x14ac:dyDescent="0.35">
      <c r="A122" s="2" t="s">
        <v>743</v>
      </c>
      <c r="B122" s="3">
        <f t="shared" si="4"/>
        <v>46086</v>
      </c>
      <c r="C122" s="3">
        <f t="shared" si="5"/>
        <v>46092</v>
      </c>
      <c r="D122" s="2">
        <v>3342</v>
      </c>
      <c r="E122" s="2">
        <v>333</v>
      </c>
      <c r="F122" s="2">
        <v>3</v>
      </c>
      <c r="G122" s="4" t="s">
        <v>16</v>
      </c>
      <c r="H122" s="4" t="s">
        <v>323</v>
      </c>
      <c r="I122" s="4" t="s">
        <v>18</v>
      </c>
      <c r="J122" s="4">
        <v>13492198</v>
      </c>
      <c r="K122" s="4" t="s">
        <v>379</v>
      </c>
      <c r="L122" s="4" t="s">
        <v>380</v>
      </c>
      <c r="M122" s="5">
        <v>79900</v>
      </c>
      <c r="N122" s="6">
        <v>0.8</v>
      </c>
      <c r="O122" s="7">
        <f t="shared" si="3"/>
        <v>15980</v>
      </c>
      <c r="P122" s="6" t="s">
        <v>740</v>
      </c>
    </row>
    <row r="123" spans="1:16" customFormat="1" x14ac:dyDescent="0.35">
      <c r="A123" s="2" t="s">
        <v>743</v>
      </c>
      <c r="B123" s="3">
        <f t="shared" si="4"/>
        <v>46086</v>
      </c>
      <c r="C123" s="3">
        <f t="shared" si="5"/>
        <v>46092</v>
      </c>
      <c r="D123" s="2">
        <v>3342</v>
      </c>
      <c r="E123" s="2">
        <v>333</v>
      </c>
      <c r="F123" s="2">
        <v>3</v>
      </c>
      <c r="G123" s="4" t="s">
        <v>16</v>
      </c>
      <c r="H123" s="4" t="s">
        <v>323</v>
      </c>
      <c r="I123" s="4" t="s">
        <v>18</v>
      </c>
      <c r="J123" s="4">
        <v>13492205</v>
      </c>
      <c r="K123" s="4" t="s">
        <v>379</v>
      </c>
      <c r="L123" s="4" t="s">
        <v>381</v>
      </c>
      <c r="M123" s="5">
        <v>79900</v>
      </c>
      <c r="N123" s="6">
        <v>0.8</v>
      </c>
      <c r="O123" s="7">
        <f t="shared" si="3"/>
        <v>15980</v>
      </c>
      <c r="P123" s="6" t="s">
        <v>740</v>
      </c>
    </row>
    <row r="124" spans="1:16" customFormat="1" x14ac:dyDescent="0.35">
      <c r="A124" s="2" t="s">
        <v>743</v>
      </c>
      <c r="B124" s="3">
        <f t="shared" si="4"/>
        <v>46086</v>
      </c>
      <c r="C124" s="3">
        <f t="shared" si="5"/>
        <v>46092</v>
      </c>
      <c r="D124" s="2">
        <v>3342</v>
      </c>
      <c r="E124" s="2">
        <v>333</v>
      </c>
      <c r="F124" s="2">
        <v>3</v>
      </c>
      <c r="G124" s="4" t="s">
        <v>16</v>
      </c>
      <c r="H124" s="4" t="s">
        <v>323</v>
      </c>
      <c r="I124" s="4" t="s">
        <v>18</v>
      </c>
      <c r="J124" s="4">
        <v>13492214</v>
      </c>
      <c r="K124" s="4" t="s">
        <v>379</v>
      </c>
      <c r="L124" s="4" t="s">
        <v>382</v>
      </c>
      <c r="M124" s="5">
        <v>79900</v>
      </c>
      <c r="N124" s="6">
        <v>0.8</v>
      </c>
      <c r="O124" s="7">
        <f t="shared" si="3"/>
        <v>15980</v>
      </c>
      <c r="P124" s="6" t="s">
        <v>740</v>
      </c>
    </row>
    <row r="125" spans="1:16" customFormat="1" x14ac:dyDescent="0.35">
      <c r="A125" s="2" t="s">
        <v>743</v>
      </c>
      <c r="B125" s="3">
        <f t="shared" si="4"/>
        <v>46086</v>
      </c>
      <c r="C125" s="3">
        <f t="shared" si="5"/>
        <v>46092</v>
      </c>
      <c r="D125" s="2">
        <v>3342</v>
      </c>
      <c r="E125" s="2">
        <v>333</v>
      </c>
      <c r="F125" s="2">
        <v>3</v>
      </c>
      <c r="G125" s="4" t="s">
        <v>16</v>
      </c>
      <c r="H125" s="4" t="s">
        <v>323</v>
      </c>
      <c r="I125" s="4" t="s">
        <v>18</v>
      </c>
      <c r="J125" s="4">
        <v>13492223</v>
      </c>
      <c r="K125" s="4" t="s">
        <v>379</v>
      </c>
      <c r="L125" s="4" t="s">
        <v>383</v>
      </c>
      <c r="M125" s="5">
        <v>79900</v>
      </c>
      <c r="N125" s="6">
        <v>0.8</v>
      </c>
      <c r="O125" s="7">
        <f t="shared" si="3"/>
        <v>15980</v>
      </c>
      <c r="P125" s="6" t="s">
        <v>740</v>
      </c>
    </row>
    <row r="126" spans="1:16" customFormat="1" x14ac:dyDescent="0.35">
      <c r="A126" s="2" t="s">
        <v>743</v>
      </c>
      <c r="B126" s="3">
        <f t="shared" si="4"/>
        <v>46086</v>
      </c>
      <c r="C126" s="3">
        <f t="shared" si="5"/>
        <v>46092</v>
      </c>
      <c r="D126" s="2">
        <v>3342</v>
      </c>
      <c r="E126" s="2">
        <v>333</v>
      </c>
      <c r="F126" s="2">
        <v>3</v>
      </c>
      <c r="G126" s="4" t="s">
        <v>16</v>
      </c>
      <c r="H126" s="4" t="s">
        <v>323</v>
      </c>
      <c r="I126" s="4" t="s">
        <v>18</v>
      </c>
      <c r="J126" s="4">
        <v>13492232</v>
      </c>
      <c r="K126" s="4" t="s">
        <v>384</v>
      </c>
      <c r="L126" s="4" t="s">
        <v>385</v>
      </c>
      <c r="M126" s="5">
        <v>79900</v>
      </c>
      <c r="N126" s="6">
        <v>0.8</v>
      </c>
      <c r="O126" s="7">
        <f t="shared" si="3"/>
        <v>15980</v>
      </c>
      <c r="P126" s="6" t="s">
        <v>740</v>
      </c>
    </row>
    <row r="127" spans="1:16" customFormat="1" x14ac:dyDescent="0.35">
      <c r="A127" s="2" t="s">
        <v>743</v>
      </c>
      <c r="B127" s="3">
        <f t="shared" si="4"/>
        <v>46086</v>
      </c>
      <c r="C127" s="3">
        <f t="shared" si="5"/>
        <v>46092</v>
      </c>
      <c r="D127" s="2">
        <v>3342</v>
      </c>
      <c r="E127" s="2">
        <v>333</v>
      </c>
      <c r="F127" s="2">
        <v>3</v>
      </c>
      <c r="G127" s="4" t="s">
        <v>16</v>
      </c>
      <c r="H127" s="4" t="s">
        <v>323</v>
      </c>
      <c r="I127" s="4" t="s">
        <v>18</v>
      </c>
      <c r="J127" s="4">
        <v>13492241</v>
      </c>
      <c r="K127" s="4" t="s">
        <v>384</v>
      </c>
      <c r="L127" s="4" t="s">
        <v>386</v>
      </c>
      <c r="M127" s="5">
        <v>79900</v>
      </c>
      <c r="N127" s="6">
        <v>0.8</v>
      </c>
      <c r="O127" s="7">
        <f t="shared" si="3"/>
        <v>15980</v>
      </c>
      <c r="P127" s="6" t="s">
        <v>740</v>
      </c>
    </row>
    <row r="128" spans="1:16" customFormat="1" x14ac:dyDescent="0.35">
      <c r="A128" s="2" t="s">
        <v>743</v>
      </c>
      <c r="B128" s="3">
        <f t="shared" si="4"/>
        <v>46086</v>
      </c>
      <c r="C128" s="3">
        <f t="shared" si="5"/>
        <v>46092</v>
      </c>
      <c r="D128" s="2">
        <v>3342</v>
      </c>
      <c r="E128" s="2">
        <v>333</v>
      </c>
      <c r="F128" s="2">
        <v>3</v>
      </c>
      <c r="G128" s="4" t="s">
        <v>16</v>
      </c>
      <c r="H128" s="4" t="s">
        <v>323</v>
      </c>
      <c r="I128" s="4" t="s">
        <v>18</v>
      </c>
      <c r="J128" s="4">
        <v>13492250</v>
      </c>
      <c r="K128" s="4" t="s">
        <v>384</v>
      </c>
      <c r="L128" s="4" t="s">
        <v>387</v>
      </c>
      <c r="M128" s="5">
        <v>79900</v>
      </c>
      <c r="N128" s="6">
        <v>0.8</v>
      </c>
      <c r="O128" s="7">
        <f t="shared" si="3"/>
        <v>15980</v>
      </c>
      <c r="P128" s="6" t="s">
        <v>740</v>
      </c>
    </row>
    <row r="129" spans="1:16" customFormat="1" x14ac:dyDescent="0.35">
      <c r="A129" s="2" t="s">
        <v>743</v>
      </c>
      <c r="B129" s="3">
        <f t="shared" si="4"/>
        <v>46086</v>
      </c>
      <c r="C129" s="3">
        <f t="shared" si="5"/>
        <v>46092</v>
      </c>
      <c r="D129" s="2">
        <v>3342</v>
      </c>
      <c r="E129" s="2">
        <v>333</v>
      </c>
      <c r="F129" s="2">
        <v>3</v>
      </c>
      <c r="G129" s="4" t="s">
        <v>16</v>
      </c>
      <c r="H129" s="4" t="s">
        <v>323</v>
      </c>
      <c r="I129" s="4" t="s">
        <v>18</v>
      </c>
      <c r="J129" s="4">
        <v>13492269</v>
      </c>
      <c r="K129" s="4" t="s">
        <v>384</v>
      </c>
      <c r="L129" s="4" t="s">
        <v>388</v>
      </c>
      <c r="M129" s="5">
        <v>79900</v>
      </c>
      <c r="N129" s="6">
        <v>0.8</v>
      </c>
      <c r="O129" s="7">
        <f t="shared" si="3"/>
        <v>15980</v>
      </c>
      <c r="P129" s="6" t="s">
        <v>740</v>
      </c>
    </row>
  </sheetData>
  <autoFilter ref="A1:P7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1"/>
  <sheetViews>
    <sheetView zoomScale="60" workbookViewId="0">
      <selection activeCell="D2" sqref="D2:F33"/>
    </sheetView>
  </sheetViews>
  <sheetFormatPr defaultRowHeight="14.5" x14ac:dyDescent="0.35"/>
  <cols>
    <col min="1" max="1" width="22.08984375" bestFit="1" customWidth="1"/>
    <col min="2" max="2" width="15.36328125" bestFit="1" customWidth="1"/>
    <col min="3" max="3" width="12.6328125" bestFit="1" customWidth="1"/>
    <col min="4" max="4" width="9.7265625" bestFit="1" customWidth="1"/>
    <col min="5" max="5" width="11.7265625" bestFit="1" customWidth="1"/>
    <col min="6" max="6" width="13" bestFit="1" customWidth="1"/>
    <col min="7" max="7" width="10.36328125" bestFit="1" customWidth="1"/>
    <col min="8" max="8" width="25.7265625" bestFit="1" customWidth="1"/>
    <col min="9" max="9" width="11.26953125" bestFit="1" customWidth="1"/>
    <col min="10" max="10" width="9.6328125" bestFit="1" customWidth="1"/>
    <col min="11" max="11" width="12.08984375" bestFit="1" customWidth="1"/>
    <col min="12" max="12" width="75.08984375" bestFit="1" customWidth="1"/>
    <col min="13" max="13" width="19.36328125" bestFit="1" customWidth="1"/>
    <col min="14" max="14" width="11.81640625" bestFit="1" customWidth="1"/>
    <col min="15" max="15" width="18.54296875" bestFit="1" customWidth="1"/>
    <col min="16" max="16" width="18.726562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744</v>
      </c>
      <c r="B2" s="3">
        <f>'2023 H2 3342 D80'!B2</f>
        <v>46086</v>
      </c>
      <c r="C2" s="3">
        <f>'2023 H2 3342 D80'!C2</f>
        <v>46092</v>
      </c>
      <c r="D2" s="2">
        <v>3342</v>
      </c>
      <c r="E2" s="2">
        <v>333</v>
      </c>
      <c r="F2" s="2">
        <v>3</v>
      </c>
      <c r="G2" s="4" t="s">
        <v>415</v>
      </c>
      <c r="H2" s="4" t="s">
        <v>416</v>
      </c>
      <c r="I2" s="4" t="s">
        <v>18</v>
      </c>
      <c r="J2" s="4">
        <v>10612670</v>
      </c>
      <c r="K2" s="4" t="s">
        <v>417</v>
      </c>
      <c r="L2" s="4" t="s">
        <v>418</v>
      </c>
      <c r="M2" s="5">
        <v>199900</v>
      </c>
      <c r="N2" s="6">
        <v>0.8</v>
      </c>
      <c r="O2" s="7">
        <f>M2-(M2*N2)</f>
        <v>39980</v>
      </c>
      <c r="P2" s="6" t="s">
        <v>740</v>
      </c>
    </row>
    <row r="3" spans="1:16" x14ac:dyDescent="0.35">
      <c r="A3" s="2" t="s">
        <v>744</v>
      </c>
      <c r="B3" s="3">
        <f>B2</f>
        <v>46086</v>
      </c>
      <c r="C3" s="3">
        <f>C2</f>
        <v>46092</v>
      </c>
      <c r="D3" s="2">
        <v>3342</v>
      </c>
      <c r="E3" s="2">
        <v>333</v>
      </c>
      <c r="F3" s="2">
        <v>3</v>
      </c>
      <c r="G3" s="4" t="s">
        <v>415</v>
      </c>
      <c r="H3" s="4" t="s">
        <v>416</v>
      </c>
      <c r="I3" s="4" t="s">
        <v>18</v>
      </c>
      <c r="J3" s="4">
        <v>10612689</v>
      </c>
      <c r="K3" s="4" t="s">
        <v>417</v>
      </c>
      <c r="L3" s="4" t="s">
        <v>419</v>
      </c>
      <c r="M3" s="5">
        <v>199900</v>
      </c>
      <c r="N3" s="6">
        <v>0.8</v>
      </c>
      <c r="O3" s="7">
        <f t="shared" ref="O3:O66" si="0">M3-(M3*N3)</f>
        <v>39980</v>
      </c>
      <c r="P3" s="6" t="s">
        <v>740</v>
      </c>
    </row>
    <row r="4" spans="1:16" x14ac:dyDescent="0.35">
      <c r="A4" s="2" t="s">
        <v>744</v>
      </c>
      <c r="B4" s="3">
        <f t="shared" ref="B4:B67" si="1">B3</f>
        <v>46086</v>
      </c>
      <c r="C4" s="3">
        <f t="shared" ref="C4:C67" si="2">C3</f>
        <v>46092</v>
      </c>
      <c r="D4" s="2">
        <v>3342</v>
      </c>
      <c r="E4" s="2">
        <v>333</v>
      </c>
      <c r="F4" s="2">
        <v>3</v>
      </c>
      <c r="G4" s="4" t="s">
        <v>415</v>
      </c>
      <c r="H4" s="4" t="s">
        <v>416</v>
      </c>
      <c r="I4" s="4" t="s">
        <v>18</v>
      </c>
      <c r="J4" s="4">
        <v>10612698</v>
      </c>
      <c r="K4" s="4" t="s">
        <v>417</v>
      </c>
      <c r="L4" s="4" t="s">
        <v>420</v>
      </c>
      <c r="M4" s="5">
        <v>199900</v>
      </c>
      <c r="N4" s="6">
        <v>0.8</v>
      </c>
      <c r="O4" s="7">
        <f t="shared" si="0"/>
        <v>39980</v>
      </c>
      <c r="P4" s="6" t="s">
        <v>740</v>
      </c>
    </row>
    <row r="5" spans="1:16" x14ac:dyDescent="0.35">
      <c r="A5" s="2" t="s">
        <v>744</v>
      </c>
      <c r="B5" s="3">
        <f t="shared" si="1"/>
        <v>46086</v>
      </c>
      <c r="C5" s="3">
        <f t="shared" si="2"/>
        <v>46092</v>
      </c>
      <c r="D5" s="2">
        <v>3342</v>
      </c>
      <c r="E5" s="2">
        <v>333</v>
      </c>
      <c r="F5" s="2">
        <v>3</v>
      </c>
      <c r="G5" s="4" t="s">
        <v>415</v>
      </c>
      <c r="H5" s="4" t="s">
        <v>416</v>
      </c>
      <c r="I5" s="4" t="s">
        <v>18</v>
      </c>
      <c r="J5" s="4">
        <v>10612705</v>
      </c>
      <c r="K5" s="4" t="s">
        <v>417</v>
      </c>
      <c r="L5" s="4" t="s">
        <v>421</v>
      </c>
      <c r="M5" s="5">
        <v>199900</v>
      </c>
      <c r="N5" s="6">
        <v>0.8</v>
      </c>
      <c r="O5" s="7">
        <f t="shared" si="0"/>
        <v>39980</v>
      </c>
      <c r="P5" s="6" t="s">
        <v>740</v>
      </c>
    </row>
    <row r="6" spans="1:16" x14ac:dyDescent="0.35">
      <c r="A6" s="2" t="s">
        <v>744</v>
      </c>
      <c r="B6" s="3">
        <f t="shared" si="1"/>
        <v>46086</v>
      </c>
      <c r="C6" s="3">
        <f t="shared" si="2"/>
        <v>46092</v>
      </c>
      <c r="D6" s="2">
        <v>3342</v>
      </c>
      <c r="E6" s="2">
        <v>333</v>
      </c>
      <c r="F6" s="2">
        <v>3</v>
      </c>
      <c r="G6" s="4" t="s">
        <v>415</v>
      </c>
      <c r="H6" s="4" t="s">
        <v>416</v>
      </c>
      <c r="I6" s="4" t="s">
        <v>18</v>
      </c>
      <c r="J6" s="4">
        <v>10612714</v>
      </c>
      <c r="K6" s="4" t="s">
        <v>417</v>
      </c>
      <c r="L6" s="4" t="s">
        <v>422</v>
      </c>
      <c r="M6" s="5">
        <v>199900</v>
      </c>
      <c r="N6" s="6">
        <v>0.8</v>
      </c>
      <c r="O6" s="7">
        <f t="shared" si="0"/>
        <v>39980</v>
      </c>
      <c r="P6" s="6" t="s">
        <v>740</v>
      </c>
    </row>
    <row r="7" spans="1:16" x14ac:dyDescent="0.35">
      <c r="A7" s="2" t="s">
        <v>744</v>
      </c>
      <c r="B7" s="3">
        <f t="shared" si="1"/>
        <v>46086</v>
      </c>
      <c r="C7" s="3">
        <f t="shared" si="2"/>
        <v>46092</v>
      </c>
      <c r="D7" s="2">
        <v>3342</v>
      </c>
      <c r="E7" s="2">
        <v>333</v>
      </c>
      <c r="F7" s="2">
        <v>3</v>
      </c>
      <c r="G7" s="4" t="s">
        <v>415</v>
      </c>
      <c r="H7" s="4" t="s">
        <v>416</v>
      </c>
      <c r="I7" s="4" t="s">
        <v>18</v>
      </c>
      <c r="J7" s="4">
        <v>10612723</v>
      </c>
      <c r="K7" s="4" t="s">
        <v>423</v>
      </c>
      <c r="L7" s="4" t="s">
        <v>424</v>
      </c>
      <c r="M7" s="5">
        <v>199900</v>
      </c>
      <c r="N7" s="6">
        <v>0.8</v>
      </c>
      <c r="O7" s="7">
        <f t="shared" si="0"/>
        <v>39980</v>
      </c>
      <c r="P7" s="6" t="s">
        <v>740</v>
      </c>
    </row>
    <row r="8" spans="1:16" x14ac:dyDescent="0.35">
      <c r="A8" s="2" t="s">
        <v>744</v>
      </c>
      <c r="B8" s="3">
        <f t="shared" si="1"/>
        <v>46086</v>
      </c>
      <c r="C8" s="3">
        <f t="shared" si="2"/>
        <v>46092</v>
      </c>
      <c r="D8" s="2">
        <v>3342</v>
      </c>
      <c r="E8" s="2">
        <v>333</v>
      </c>
      <c r="F8" s="2">
        <v>3</v>
      </c>
      <c r="G8" s="4" t="s">
        <v>415</v>
      </c>
      <c r="H8" s="4" t="s">
        <v>416</v>
      </c>
      <c r="I8" s="4" t="s">
        <v>18</v>
      </c>
      <c r="J8" s="4">
        <v>10612732</v>
      </c>
      <c r="K8" s="4" t="s">
        <v>423</v>
      </c>
      <c r="L8" s="4" t="s">
        <v>425</v>
      </c>
      <c r="M8" s="5">
        <v>199900</v>
      </c>
      <c r="N8" s="6">
        <v>0.8</v>
      </c>
      <c r="O8" s="7">
        <f t="shared" si="0"/>
        <v>39980</v>
      </c>
      <c r="P8" s="6" t="s">
        <v>740</v>
      </c>
    </row>
    <row r="9" spans="1:16" x14ac:dyDescent="0.35">
      <c r="A9" s="2" t="s">
        <v>744</v>
      </c>
      <c r="B9" s="3">
        <f t="shared" si="1"/>
        <v>46086</v>
      </c>
      <c r="C9" s="3">
        <f t="shared" si="2"/>
        <v>46092</v>
      </c>
      <c r="D9" s="2">
        <v>3342</v>
      </c>
      <c r="E9" s="2">
        <v>333</v>
      </c>
      <c r="F9" s="2">
        <v>3</v>
      </c>
      <c r="G9" s="4" t="s">
        <v>415</v>
      </c>
      <c r="H9" s="4" t="s">
        <v>416</v>
      </c>
      <c r="I9" s="4" t="s">
        <v>18</v>
      </c>
      <c r="J9" s="4">
        <v>10612741</v>
      </c>
      <c r="K9" s="4" t="s">
        <v>423</v>
      </c>
      <c r="L9" s="4" t="s">
        <v>426</v>
      </c>
      <c r="M9" s="5">
        <v>199900</v>
      </c>
      <c r="N9" s="6">
        <v>0.8</v>
      </c>
      <c r="O9" s="7">
        <f t="shared" si="0"/>
        <v>39980</v>
      </c>
      <c r="P9" s="6" t="s">
        <v>740</v>
      </c>
    </row>
    <row r="10" spans="1:16" x14ac:dyDescent="0.35">
      <c r="A10" s="2" t="s">
        <v>744</v>
      </c>
      <c r="B10" s="3">
        <f t="shared" si="1"/>
        <v>46086</v>
      </c>
      <c r="C10" s="3">
        <f t="shared" si="2"/>
        <v>46092</v>
      </c>
      <c r="D10" s="2">
        <v>3342</v>
      </c>
      <c r="E10" s="2">
        <v>333</v>
      </c>
      <c r="F10" s="2">
        <v>3</v>
      </c>
      <c r="G10" s="4" t="s">
        <v>415</v>
      </c>
      <c r="H10" s="4" t="s">
        <v>416</v>
      </c>
      <c r="I10" s="4" t="s">
        <v>18</v>
      </c>
      <c r="J10" s="4">
        <v>10612750</v>
      </c>
      <c r="K10" s="4" t="s">
        <v>423</v>
      </c>
      <c r="L10" s="4" t="s">
        <v>427</v>
      </c>
      <c r="M10" s="5">
        <v>199900</v>
      </c>
      <c r="N10" s="6">
        <v>0.8</v>
      </c>
      <c r="O10" s="7">
        <f t="shared" si="0"/>
        <v>39980</v>
      </c>
      <c r="P10" s="6" t="s">
        <v>740</v>
      </c>
    </row>
    <row r="11" spans="1:16" x14ac:dyDescent="0.35">
      <c r="A11" s="2" t="s">
        <v>744</v>
      </c>
      <c r="B11" s="3">
        <f t="shared" si="1"/>
        <v>46086</v>
      </c>
      <c r="C11" s="3">
        <f t="shared" si="2"/>
        <v>46092</v>
      </c>
      <c r="D11" s="2">
        <v>3342</v>
      </c>
      <c r="E11" s="2">
        <v>333</v>
      </c>
      <c r="F11" s="2">
        <v>3</v>
      </c>
      <c r="G11" s="4" t="s">
        <v>415</v>
      </c>
      <c r="H11" s="4" t="s">
        <v>416</v>
      </c>
      <c r="I11" s="4" t="s">
        <v>18</v>
      </c>
      <c r="J11" s="4">
        <v>10612769</v>
      </c>
      <c r="K11" s="4" t="s">
        <v>423</v>
      </c>
      <c r="L11" s="4" t="s">
        <v>428</v>
      </c>
      <c r="M11" s="5">
        <v>199900</v>
      </c>
      <c r="N11" s="6">
        <v>0.8</v>
      </c>
      <c r="O11" s="7">
        <f t="shared" si="0"/>
        <v>39980</v>
      </c>
      <c r="P11" s="6" t="s">
        <v>740</v>
      </c>
    </row>
    <row r="12" spans="1:16" x14ac:dyDescent="0.35">
      <c r="A12" s="2" t="s">
        <v>744</v>
      </c>
      <c r="B12" s="3">
        <f t="shared" si="1"/>
        <v>46086</v>
      </c>
      <c r="C12" s="3">
        <f t="shared" si="2"/>
        <v>46092</v>
      </c>
      <c r="D12" s="2">
        <v>3342</v>
      </c>
      <c r="E12" s="2">
        <v>333</v>
      </c>
      <c r="F12" s="2">
        <v>3</v>
      </c>
      <c r="G12" s="4" t="s">
        <v>415</v>
      </c>
      <c r="H12" s="4" t="s">
        <v>416</v>
      </c>
      <c r="I12" s="4" t="s">
        <v>18</v>
      </c>
      <c r="J12" s="4">
        <v>10612778</v>
      </c>
      <c r="K12" s="4" t="s">
        <v>429</v>
      </c>
      <c r="L12" s="4" t="s">
        <v>430</v>
      </c>
      <c r="M12" s="5">
        <v>199900</v>
      </c>
      <c r="N12" s="6">
        <v>0.8</v>
      </c>
      <c r="O12" s="7">
        <f t="shared" si="0"/>
        <v>39980</v>
      </c>
      <c r="P12" s="6" t="s">
        <v>740</v>
      </c>
    </row>
    <row r="13" spans="1:16" x14ac:dyDescent="0.35">
      <c r="A13" s="2" t="s">
        <v>744</v>
      </c>
      <c r="B13" s="3">
        <f t="shared" si="1"/>
        <v>46086</v>
      </c>
      <c r="C13" s="3">
        <f t="shared" si="2"/>
        <v>46092</v>
      </c>
      <c r="D13" s="2">
        <v>3342</v>
      </c>
      <c r="E13" s="2">
        <v>333</v>
      </c>
      <c r="F13" s="2">
        <v>3</v>
      </c>
      <c r="G13" s="4" t="s">
        <v>415</v>
      </c>
      <c r="H13" s="4" t="s">
        <v>416</v>
      </c>
      <c r="I13" s="4" t="s">
        <v>18</v>
      </c>
      <c r="J13" s="4">
        <v>10612787</v>
      </c>
      <c r="K13" s="4" t="s">
        <v>429</v>
      </c>
      <c r="L13" s="4" t="s">
        <v>431</v>
      </c>
      <c r="M13" s="5">
        <v>199900</v>
      </c>
      <c r="N13" s="6">
        <v>0.8</v>
      </c>
      <c r="O13" s="7">
        <f t="shared" si="0"/>
        <v>39980</v>
      </c>
      <c r="P13" s="6" t="s">
        <v>740</v>
      </c>
    </row>
    <row r="14" spans="1:16" x14ac:dyDescent="0.35">
      <c r="A14" s="2" t="s">
        <v>744</v>
      </c>
      <c r="B14" s="3">
        <f t="shared" si="1"/>
        <v>46086</v>
      </c>
      <c r="C14" s="3">
        <f t="shared" si="2"/>
        <v>46092</v>
      </c>
      <c r="D14" s="2">
        <v>3342</v>
      </c>
      <c r="E14" s="2">
        <v>333</v>
      </c>
      <c r="F14" s="2">
        <v>3</v>
      </c>
      <c r="G14" s="4" t="s">
        <v>415</v>
      </c>
      <c r="H14" s="4" t="s">
        <v>416</v>
      </c>
      <c r="I14" s="4" t="s">
        <v>18</v>
      </c>
      <c r="J14" s="4">
        <v>10612796</v>
      </c>
      <c r="K14" s="4" t="s">
        <v>429</v>
      </c>
      <c r="L14" s="4" t="s">
        <v>432</v>
      </c>
      <c r="M14" s="5">
        <v>199900</v>
      </c>
      <c r="N14" s="6">
        <v>0.8</v>
      </c>
      <c r="O14" s="7">
        <f t="shared" si="0"/>
        <v>39980</v>
      </c>
      <c r="P14" s="6" t="s">
        <v>740</v>
      </c>
    </row>
    <row r="15" spans="1:16" x14ac:dyDescent="0.35">
      <c r="A15" s="2" t="s">
        <v>744</v>
      </c>
      <c r="B15" s="3">
        <f t="shared" si="1"/>
        <v>46086</v>
      </c>
      <c r="C15" s="3">
        <f t="shared" si="2"/>
        <v>46092</v>
      </c>
      <c r="D15" s="2">
        <v>3342</v>
      </c>
      <c r="E15" s="2">
        <v>333</v>
      </c>
      <c r="F15" s="2">
        <v>3</v>
      </c>
      <c r="G15" s="4" t="s">
        <v>415</v>
      </c>
      <c r="H15" s="4" t="s">
        <v>416</v>
      </c>
      <c r="I15" s="4" t="s">
        <v>18</v>
      </c>
      <c r="J15" s="4">
        <v>10612803</v>
      </c>
      <c r="K15" s="4" t="s">
        <v>429</v>
      </c>
      <c r="L15" s="4" t="s">
        <v>433</v>
      </c>
      <c r="M15" s="5">
        <v>199900</v>
      </c>
      <c r="N15" s="6">
        <v>0.8</v>
      </c>
      <c r="O15" s="7">
        <f t="shared" si="0"/>
        <v>39980</v>
      </c>
      <c r="P15" s="6" t="s">
        <v>740</v>
      </c>
    </row>
    <row r="16" spans="1:16" x14ac:dyDescent="0.35">
      <c r="A16" s="2" t="s">
        <v>744</v>
      </c>
      <c r="B16" s="3">
        <f t="shared" si="1"/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4" t="s">
        <v>415</v>
      </c>
      <c r="H16" s="4" t="s">
        <v>416</v>
      </c>
      <c r="I16" s="4" t="s">
        <v>18</v>
      </c>
      <c r="J16" s="4">
        <v>10612812</v>
      </c>
      <c r="K16" s="4" t="s">
        <v>429</v>
      </c>
      <c r="L16" s="4" t="s">
        <v>434</v>
      </c>
      <c r="M16" s="5">
        <v>199900</v>
      </c>
      <c r="N16" s="6">
        <v>0.8</v>
      </c>
      <c r="O16" s="7">
        <f t="shared" si="0"/>
        <v>39980</v>
      </c>
      <c r="P16" s="6" t="s">
        <v>740</v>
      </c>
    </row>
    <row r="17" spans="1:16" x14ac:dyDescent="0.35">
      <c r="A17" s="2" t="s">
        <v>744</v>
      </c>
      <c r="B17" s="3">
        <f t="shared" si="1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4" t="s">
        <v>415</v>
      </c>
      <c r="H17" s="4" t="s">
        <v>416</v>
      </c>
      <c r="I17" s="4" t="s">
        <v>18</v>
      </c>
      <c r="J17" s="4">
        <v>10612929</v>
      </c>
      <c r="K17" s="4" t="s">
        <v>435</v>
      </c>
      <c r="L17" s="4" t="s">
        <v>436</v>
      </c>
      <c r="M17" s="5">
        <v>179900</v>
      </c>
      <c r="N17" s="6">
        <v>0.8</v>
      </c>
      <c r="O17" s="7">
        <f t="shared" si="0"/>
        <v>35980</v>
      </c>
      <c r="P17" s="6" t="s">
        <v>740</v>
      </c>
    </row>
    <row r="18" spans="1:16" x14ac:dyDescent="0.35">
      <c r="A18" s="2" t="s">
        <v>744</v>
      </c>
      <c r="B18" s="3">
        <f t="shared" si="1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4" t="s">
        <v>415</v>
      </c>
      <c r="H18" s="4" t="s">
        <v>416</v>
      </c>
      <c r="I18" s="4" t="s">
        <v>18</v>
      </c>
      <c r="J18" s="4">
        <v>10612938</v>
      </c>
      <c r="K18" s="4" t="s">
        <v>435</v>
      </c>
      <c r="L18" s="4" t="s">
        <v>437</v>
      </c>
      <c r="M18" s="5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744</v>
      </c>
      <c r="B19" s="3">
        <f t="shared" si="1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4" t="s">
        <v>415</v>
      </c>
      <c r="H19" s="4" t="s">
        <v>416</v>
      </c>
      <c r="I19" s="4" t="s">
        <v>18</v>
      </c>
      <c r="J19" s="4">
        <v>10612947</v>
      </c>
      <c r="K19" s="4" t="s">
        <v>435</v>
      </c>
      <c r="L19" s="4" t="s">
        <v>438</v>
      </c>
      <c r="M19" s="5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744</v>
      </c>
      <c r="B20" s="3">
        <f t="shared" si="1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4" t="s">
        <v>415</v>
      </c>
      <c r="H20" s="4" t="s">
        <v>416</v>
      </c>
      <c r="I20" s="4" t="s">
        <v>18</v>
      </c>
      <c r="J20" s="4">
        <v>10612956</v>
      </c>
      <c r="K20" s="4" t="s">
        <v>435</v>
      </c>
      <c r="L20" s="4" t="s">
        <v>439</v>
      </c>
      <c r="M20" s="5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744</v>
      </c>
      <c r="B21" s="3">
        <f t="shared" si="1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4" t="s">
        <v>415</v>
      </c>
      <c r="H21" s="4" t="s">
        <v>416</v>
      </c>
      <c r="I21" s="4" t="s">
        <v>18</v>
      </c>
      <c r="J21" s="4">
        <v>10612965</v>
      </c>
      <c r="K21" s="4" t="s">
        <v>435</v>
      </c>
      <c r="L21" s="4" t="s">
        <v>440</v>
      </c>
      <c r="M21" s="5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744</v>
      </c>
      <c r="B22" s="3">
        <f t="shared" si="1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4" t="s">
        <v>415</v>
      </c>
      <c r="H22" s="4" t="s">
        <v>416</v>
      </c>
      <c r="I22" s="4" t="s">
        <v>18</v>
      </c>
      <c r="J22" s="4">
        <v>10612974</v>
      </c>
      <c r="K22" s="4" t="s">
        <v>441</v>
      </c>
      <c r="L22" s="4" t="s">
        <v>442</v>
      </c>
      <c r="M22" s="5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744</v>
      </c>
      <c r="B23" s="3">
        <f t="shared" si="1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4" t="s">
        <v>415</v>
      </c>
      <c r="H23" s="4" t="s">
        <v>416</v>
      </c>
      <c r="I23" s="4" t="s">
        <v>18</v>
      </c>
      <c r="J23" s="4">
        <v>10612983</v>
      </c>
      <c r="K23" s="4" t="s">
        <v>441</v>
      </c>
      <c r="L23" s="4" t="s">
        <v>443</v>
      </c>
      <c r="M23" s="5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744</v>
      </c>
      <c r="B24" s="3">
        <f t="shared" si="1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4" t="s">
        <v>415</v>
      </c>
      <c r="H24" s="4" t="s">
        <v>416</v>
      </c>
      <c r="I24" s="4" t="s">
        <v>18</v>
      </c>
      <c r="J24" s="4">
        <v>10612992</v>
      </c>
      <c r="K24" s="4" t="s">
        <v>441</v>
      </c>
      <c r="L24" s="4" t="s">
        <v>444</v>
      </c>
      <c r="M24" s="5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744</v>
      </c>
      <c r="B25" s="3">
        <f t="shared" si="1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4" t="s">
        <v>415</v>
      </c>
      <c r="H25" s="4" t="s">
        <v>416</v>
      </c>
      <c r="I25" s="4" t="s">
        <v>18</v>
      </c>
      <c r="J25" s="4">
        <v>10613008</v>
      </c>
      <c r="K25" s="4" t="s">
        <v>441</v>
      </c>
      <c r="L25" s="4" t="s">
        <v>445</v>
      </c>
      <c r="M25" s="5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744</v>
      </c>
      <c r="B26" s="3">
        <f t="shared" si="1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4" t="s">
        <v>415</v>
      </c>
      <c r="H26" s="4" t="s">
        <v>416</v>
      </c>
      <c r="I26" s="4" t="s">
        <v>18</v>
      </c>
      <c r="J26" s="4">
        <v>10613017</v>
      </c>
      <c r="K26" s="4" t="s">
        <v>441</v>
      </c>
      <c r="L26" s="4" t="s">
        <v>446</v>
      </c>
      <c r="M26" s="5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744</v>
      </c>
      <c r="B27" s="3">
        <f t="shared" si="1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4" t="s">
        <v>415</v>
      </c>
      <c r="H27" s="4" t="s">
        <v>416</v>
      </c>
      <c r="I27" s="4" t="s">
        <v>18</v>
      </c>
      <c r="J27" s="4">
        <v>10613071</v>
      </c>
      <c r="K27" s="4" t="s">
        <v>447</v>
      </c>
      <c r="L27" s="4" t="s">
        <v>448</v>
      </c>
      <c r="M27" s="5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744</v>
      </c>
      <c r="B28" s="3">
        <f t="shared" si="1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4" t="s">
        <v>415</v>
      </c>
      <c r="H28" s="4" t="s">
        <v>416</v>
      </c>
      <c r="I28" s="4" t="s">
        <v>18</v>
      </c>
      <c r="J28" s="4">
        <v>10613080</v>
      </c>
      <c r="K28" s="4" t="s">
        <v>447</v>
      </c>
      <c r="L28" s="4" t="s">
        <v>449</v>
      </c>
      <c r="M28" s="5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744</v>
      </c>
      <c r="B29" s="3">
        <f t="shared" si="1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4" t="s">
        <v>415</v>
      </c>
      <c r="H29" s="4" t="s">
        <v>416</v>
      </c>
      <c r="I29" s="4" t="s">
        <v>18</v>
      </c>
      <c r="J29" s="4">
        <v>10613099</v>
      </c>
      <c r="K29" s="4" t="s">
        <v>447</v>
      </c>
      <c r="L29" s="4" t="s">
        <v>450</v>
      </c>
      <c r="M29" s="5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744</v>
      </c>
      <c r="B30" s="3">
        <f t="shared" si="1"/>
        <v>46086</v>
      </c>
      <c r="C30" s="3">
        <f t="shared" si="2"/>
        <v>46092</v>
      </c>
      <c r="D30" s="2">
        <v>3342</v>
      </c>
      <c r="E30" s="2">
        <v>333</v>
      </c>
      <c r="F30" s="2">
        <v>3</v>
      </c>
      <c r="G30" s="4" t="s">
        <v>415</v>
      </c>
      <c r="H30" s="4" t="s">
        <v>416</v>
      </c>
      <c r="I30" s="4" t="s">
        <v>18</v>
      </c>
      <c r="J30" s="4">
        <v>10613106</v>
      </c>
      <c r="K30" s="4" t="s">
        <v>447</v>
      </c>
      <c r="L30" s="4" t="s">
        <v>451</v>
      </c>
      <c r="M30" s="5">
        <v>179900</v>
      </c>
      <c r="N30" s="6">
        <v>0.8</v>
      </c>
      <c r="O30" s="7">
        <f t="shared" si="0"/>
        <v>35980</v>
      </c>
      <c r="P30" s="6" t="s">
        <v>740</v>
      </c>
    </row>
    <row r="31" spans="1:16" x14ac:dyDescent="0.35">
      <c r="A31" s="2" t="s">
        <v>744</v>
      </c>
      <c r="B31" s="3">
        <f t="shared" si="1"/>
        <v>46086</v>
      </c>
      <c r="C31" s="3">
        <f t="shared" si="2"/>
        <v>46092</v>
      </c>
      <c r="D31" s="2">
        <v>3342</v>
      </c>
      <c r="E31" s="2">
        <v>333</v>
      </c>
      <c r="F31" s="2">
        <v>3</v>
      </c>
      <c r="G31" s="4" t="s">
        <v>415</v>
      </c>
      <c r="H31" s="4" t="s">
        <v>416</v>
      </c>
      <c r="I31" s="4" t="s">
        <v>18</v>
      </c>
      <c r="J31" s="4">
        <v>10613115</v>
      </c>
      <c r="K31" s="4" t="s">
        <v>447</v>
      </c>
      <c r="L31" s="4" t="s">
        <v>452</v>
      </c>
      <c r="M31" s="5">
        <v>179900</v>
      </c>
      <c r="N31" s="6">
        <v>0.8</v>
      </c>
      <c r="O31" s="7">
        <f t="shared" si="0"/>
        <v>35980</v>
      </c>
      <c r="P31" s="6" t="s">
        <v>740</v>
      </c>
    </row>
    <row r="32" spans="1:16" x14ac:dyDescent="0.35">
      <c r="A32" s="2" t="s">
        <v>744</v>
      </c>
      <c r="B32" s="3">
        <f t="shared" si="1"/>
        <v>46086</v>
      </c>
      <c r="C32" s="3">
        <f t="shared" si="2"/>
        <v>46092</v>
      </c>
      <c r="D32" s="2">
        <v>3342</v>
      </c>
      <c r="E32" s="2">
        <v>333</v>
      </c>
      <c r="F32" s="2">
        <v>3</v>
      </c>
      <c r="G32" s="4" t="s">
        <v>415</v>
      </c>
      <c r="H32" s="4" t="s">
        <v>416</v>
      </c>
      <c r="I32" s="4" t="s">
        <v>18</v>
      </c>
      <c r="J32" s="4">
        <v>10613124</v>
      </c>
      <c r="K32" s="4" t="s">
        <v>453</v>
      </c>
      <c r="L32" s="4" t="s">
        <v>454</v>
      </c>
      <c r="M32" s="5">
        <v>179900</v>
      </c>
      <c r="N32" s="6">
        <v>0.8</v>
      </c>
      <c r="O32" s="7">
        <f t="shared" si="0"/>
        <v>35980</v>
      </c>
      <c r="P32" s="6" t="s">
        <v>740</v>
      </c>
    </row>
    <row r="33" spans="1:16" x14ac:dyDescent="0.35">
      <c r="A33" s="2" t="s">
        <v>744</v>
      </c>
      <c r="B33" s="3">
        <f t="shared" si="1"/>
        <v>46086</v>
      </c>
      <c r="C33" s="3">
        <f t="shared" si="2"/>
        <v>46092</v>
      </c>
      <c r="D33" s="2">
        <v>3342</v>
      </c>
      <c r="E33" s="2">
        <v>333</v>
      </c>
      <c r="F33" s="2">
        <v>3</v>
      </c>
      <c r="G33" s="4" t="s">
        <v>415</v>
      </c>
      <c r="H33" s="4" t="s">
        <v>416</v>
      </c>
      <c r="I33" s="4" t="s">
        <v>18</v>
      </c>
      <c r="J33" s="4">
        <v>10613133</v>
      </c>
      <c r="K33" s="4" t="s">
        <v>453</v>
      </c>
      <c r="L33" s="4" t="s">
        <v>455</v>
      </c>
      <c r="M33" s="5">
        <v>179900</v>
      </c>
      <c r="N33" s="6">
        <v>0.8</v>
      </c>
      <c r="O33" s="7">
        <f t="shared" si="0"/>
        <v>35980</v>
      </c>
      <c r="P33" s="6" t="s">
        <v>740</v>
      </c>
    </row>
    <row r="34" spans="1:16" x14ac:dyDescent="0.35">
      <c r="A34" s="2" t="s">
        <v>744</v>
      </c>
      <c r="B34" s="3">
        <f t="shared" si="1"/>
        <v>46086</v>
      </c>
      <c r="C34" s="3">
        <f t="shared" si="2"/>
        <v>46092</v>
      </c>
      <c r="D34" s="2">
        <v>3342</v>
      </c>
      <c r="E34" s="2">
        <v>333</v>
      </c>
      <c r="F34" s="2">
        <v>3</v>
      </c>
      <c r="G34" s="4" t="s">
        <v>415</v>
      </c>
      <c r="H34" s="4" t="s">
        <v>416</v>
      </c>
      <c r="I34" s="4" t="s">
        <v>18</v>
      </c>
      <c r="J34" s="4">
        <v>10613142</v>
      </c>
      <c r="K34" s="4" t="s">
        <v>453</v>
      </c>
      <c r="L34" s="4" t="s">
        <v>456</v>
      </c>
      <c r="M34" s="5">
        <v>179900</v>
      </c>
      <c r="N34" s="6">
        <v>0.8</v>
      </c>
      <c r="O34" s="7">
        <f t="shared" si="0"/>
        <v>35980</v>
      </c>
      <c r="P34" s="6" t="s">
        <v>740</v>
      </c>
    </row>
    <row r="35" spans="1:16" x14ac:dyDescent="0.35">
      <c r="A35" s="2" t="s">
        <v>744</v>
      </c>
      <c r="B35" s="3">
        <f t="shared" si="1"/>
        <v>46086</v>
      </c>
      <c r="C35" s="3">
        <f t="shared" si="2"/>
        <v>46092</v>
      </c>
      <c r="D35" s="2">
        <v>3342</v>
      </c>
      <c r="E35" s="2">
        <v>333</v>
      </c>
      <c r="F35" s="2">
        <v>3</v>
      </c>
      <c r="G35" s="4" t="s">
        <v>415</v>
      </c>
      <c r="H35" s="4" t="s">
        <v>416</v>
      </c>
      <c r="I35" s="4" t="s">
        <v>18</v>
      </c>
      <c r="J35" s="4">
        <v>10613151</v>
      </c>
      <c r="K35" s="4" t="s">
        <v>453</v>
      </c>
      <c r="L35" s="4" t="s">
        <v>457</v>
      </c>
      <c r="M35" s="5">
        <v>179900</v>
      </c>
      <c r="N35" s="6">
        <v>0.8</v>
      </c>
      <c r="O35" s="7">
        <f t="shared" si="0"/>
        <v>35980</v>
      </c>
      <c r="P35" s="6" t="s">
        <v>740</v>
      </c>
    </row>
    <row r="36" spans="1:16" x14ac:dyDescent="0.35">
      <c r="A36" s="2" t="s">
        <v>744</v>
      </c>
      <c r="B36" s="3">
        <f t="shared" si="1"/>
        <v>46086</v>
      </c>
      <c r="C36" s="3">
        <f t="shared" si="2"/>
        <v>46092</v>
      </c>
      <c r="D36" s="2">
        <v>3342</v>
      </c>
      <c r="E36" s="2">
        <v>333</v>
      </c>
      <c r="F36" s="2">
        <v>3</v>
      </c>
      <c r="G36" s="4" t="s">
        <v>415</v>
      </c>
      <c r="H36" s="4" t="s">
        <v>416</v>
      </c>
      <c r="I36" s="4" t="s">
        <v>18</v>
      </c>
      <c r="J36" s="4">
        <v>10613160</v>
      </c>
      <c r="K36" s="4" t="s">
        <v>453</v>
      </c>
      <c r="L36" s="4" t="s">
        <v>458</v>
      </c>
      <c r="M36" s="5">
        <v>179900</v>
      </c>
      <c r="N36" s="6">
        <v>0.8</v>
      </c>
      <c r="O36" s="7">
        <f t="shared" si="0"/>
        <v>35980</v>
      </c>
      <c r="P36" s="6" t="s">
        <v>740</v>
      </c>
    </row>
    <row r="37" spans="1:16" x14ac:dyDescent="0.35">
      <c r="A37" s="2" t="s">
        <v>744</v>
      </c>
      <c r="B37" s="3">
        <f t="shared" si="1"/>
        <v>46086</v>
      </c>
      <c r="C37" s="3">
        <f t="shared" si="2"/>
        <v>46092</v>
      </c>
      <c r="D37" s="2">
        <v>3342</v>
      </c>
      <c r="E37" s="2">
        <v>333</v>
      </c>
      <c r="F37" s="2">
        <v>3</v>
      </c>
      <c r="G37" s="4" t="s">
        <v>415</v>
      </c>
      <c r="H37" s="4" t="s">
        <v>416</v>
      </c>
      <c r="I37" s="4" t="s">
        <v>18</v>
      </c>
      <c r="J37" s="4">
        <v>16009599</v>
      </c>
      <c r="K37" s="4" t="s">
        <v>459</v>
      </c>
      <c r="L37" s="4" t="s">
        <v>460</v>
      </c>
      <c r="M37" s="5">
        <v>179900</v>
      </c>
      <c r="N37" s="6">
        <v>0.8</v>
      </c>
      <c r="O37" s="7">
        <f t="shared" si="0"/>
        <v>35980</v>
      </c>
      <c r="P37" s="6" t="s">
        <v>740</v>
      </c>
    </row>
    <row r="38" spans="1:16" x14ac:dyDescent="0.35">
      <c r="A38" s="2" t="s">
        <v>744</v>
      </c>
      <c r="B38" s="3">
        <f t="shared" si="1"/>
        <v>46086</v>
      </c>
      <c r="C38" s="3">
        <f t="shared" si="2"/>
        <v>46092</v>
      </c>
      <c r="D38" s="2">
        <v>3342</v>
      </c>
      <c r="E38" s="2">
        <v>333</v>
      </c>
      <c r="F38" s="2">
        <v>3</v>
      </c>
      <c r="G38" s="4" t="s">
        <v>415</v>
      </c>
      <c r="H38" s="4" t="s">
        <v>416</v>
      </c>
      <c r="I38" s="4" t="s">
        <v>18</v>
      </c>
      <c r="J38" s="4">
        <v>16009606</v>
      </c>
      <c r="K38" s="4" t="s">
        <v>459</v>
      </c>
      <c r="L38" s="4" t="s">
        <v>461</v>
      </c>
      <c r="M38" s="5">
        <v>179900</v>
      </c>
      <c r="N38" s="6">
        <v>0.8</v>
      </c>
      <c r="O38" s="7">
        <f t="shared" si="0"/>
        <v>35980</v>
      </c>
      <c r="P38" s="6" t="s">
        <v>740</v>
      </c>
    </row>
    <row r="39" spans="1:16" x14ac:dyDescent="0.35">
      <c r="A39" s="2" t="s">
        <v>744</v>
      </c>
      <c r="B39" s="3">
        <f t="shared" si="1"/>
        <v>46086</v>
      </c>
      <c r="C39" s="3">
        <f t="shared" si="2"/>
        <v>46092</v>
      </c>
      <c r="D39" s="2">
        <v>3342</v>
      </c>
      <c r="E39" s="2">
        <v>333</v>
      </c>
      <c r="F39" s="2">
        <v>3</v>
      </c>
      <c r="G39" s="4" t="s">
        <v>415</v>
      </c>
      <c r="H39" s="4" t="s">
        <v>416</v>
      </c>
      <c r="I39" s="4" t="s">
        <v>18</v>
      </c>
      <c r="J39" s="4">
        <v>16009615</v>
      </c>
      <c r="K39" s="4" t="s">
        <v>459</v>
      </c>
      <c r="L39" s="4" t="s">
        <v>462</v>
      </c>
      <c r="M39" s="5">
        <v>179900</v>
      </c>
      <c r="N39" s="6">
        <v>0.8</v>
      </c>
      <c r="O39" s="7">
        <f t="shared" si="0"/>
        <v>35980</v>
      </c>
      <c r="P39" s="6" t="s">
        <v>740</v>
      </c>
    </row>
    <row r="40" spans="1:16" x14ac:dyDescent="0.35">
      <c r="A40" s="2" t="s">
        <v>744</v>
      </c>
      <c r="B40" s="3">
        <f t="shared" si="1"/>
        <v>46086</v>
      </c>
      <c r="C40" s="3">
        <f t="shared" si="2"/>
        <v>46092</v>
      </c>
      <c r="D40" s="2">
        <v>3342</v>
      </c>
      <c r="E40" s="2">
        <v>333</v>
      </c>
      <c r="F40" s="2">
        <v>3</v>
      </c>
      <c r="G40" s="4" t="s">
        <v>415</v>
      </c>
      <c r="H40" s="4" t="s">
        <v>416</v>
      </c>
      <c r="I40" s="4" t="s">
        <v>18</v>
      </c>
      <c r="J40" s="4">
        <v>16009624</v>
      </c>
      <c r="K40" s="4" t="s">
        <v>459</v>
      </c>
      <c r="L40" s="4" t="s">
        <v>463</v>
      </c>
      <c r="M40" s="5">
        <v>179900</v>
      </c>
      <c r="N40" s="6">
        <v>0.8</v>
      </c>
      <c r="O40" s="7">
        <f t="shared" si="0"/>
        <v>35980</v>
      </c>
      <c r="P40" s="6" t="s">
        <v>740</v>
      </c>
    </row>
    <row r="41" spans="1:16" x14ac:dyDescent="0.35">
      <c r="A41" s="2" t="s">
        <v>744</v>
      </c>
      <c r="B41" s="3">
        <f t="shared" si="1"/>
        <v>46086</v>
      </c>
      <c r="C41" s="3">
        <f t="shared" si="2"/>
        <v>46092</v>
      </c>
      <c r="D41" s="2">
        <v>3342</v>
      </c>
      <c r="E41" s="2">
        <v>333</v>
      </c>
      <c r="F41" s="2">
        <v>3</v>
      </c>
      <c r="G41" s="4" t="s">
        <v>415</v>
      </c>
      <c r="H41" s="4" t="s">
        <v>416</v>
      </c>
      <c r="I41" s="4" t="s">
        <v>18</v>
      </c>
      <c r="J41" s="4">
        <v>16009633</v>
      </c>
      <c r="K41" s="4" t="s">
        <v>459</v>
      </c>
      <c r="L41" s="4" t="s">
        <v>464</v>
      </c>
      <c r="M41" s="5">
        <v>179900</v>
      </c>
      <c r="N41" s="6">
        <v>0.8</v>
      </c>
      <c r="O41" s="7">
        <f t="shared" si="0"/>
        <v>35980</v>
      </c>
      <c r="P41" s="6" t="s">
        <v>740</v>
      </c>
    </row>
    <row r="42" spans="1:16" x14ac:dyDescent="0.35">
      <c r="A42" s="2" t="s">
        <v>744</v>
      </c>
      <c r="B42" s="3">
        <f t="shared" si="1"/>
        <v>46086</v>
      </c>
      <c r="C42" s="3">
        <f t="shared" si="2"/>
        <v>46092</v>
      </c>
      <c r="D42" s="2">
        <v>3342</v>
      </c>
      <c r="E42" s="2">
        <v>333</v>
      </c>
      <c r="F42" s="2">
        <v>3</v>
      </c>
      <c r="G42" s="4" t="s">
        <v>415</v>
      </c>
      <c r="H42" s="4" t="s">
        <v>416</v>
      </c>
      <c r="I42" s="4" t="s">
        <v>18</v>
      </c>
      <c r="J42" s="4">
        <v>16009642</v>
      </c>
      <c r="K42" s="4" t="s">
        <v>465</v>
      </c>
      <c r="L42" s="4" t="s">
        <v>466</v>
      </c>
      <c r="M42" s="5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744</v>
      </c>
      <c r="B43" s="3">
        <f t="shared" si="1"/>
        <v>46086</v>
      </c>
      <c r="C43" s="3">
        <f t="shared" si="2"/>
        <v>46092</v>
      </c>
      <c r="D43" s="2">
        <v>3342</v>
      </c>
      <c r="E43" s="2">
        <v>333</v>
      </c>
      <c r="F43" s="2">
        <v>3</v>
      </c>
      <c r="G43" s="4" t="s">
        <v>415</v>
      </c>
      <c r="H43" s="4" t="s">
        <v>416</v>
      </c>
      <c r="I43" s="4" t="s">
        <v>18</v>
      </c>
      <c r="J43" s="4">
        <v>16009651</v>
      </c>
      <c r="K43" s="4" t="s">
        <v>465</v>
      </c>
      <c r="L43" s="4" t="s">
        <v>467</v>
      </c>
      <c r="M43" s="5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744</v>
      </c>
      <c r="B44" s="3">
        <f t="shared" si="1"/>
        <v>46086</v>
      </c>
      <c r="C44" s="3">
        <f t="shared" si="2"/>
        <v>46092</v>
      </c>
      <c r="D44" s="2">
        <v>3342</v>
      </c>
      <c r="E44" s="2">
        <v>333</v>
      </c>
      <c r="F44" s="2">
        <v>3</v>
      </c>
      <c r="G44" s="4" t="s">
        <v>415</v>
      </c>
      <c r="H44" s="4" t="s">
        <v>416</v>
      </c>
      <c r="I44" s="4" t="s">
        <v>18</v>
      </c>
      <c r="J44" s="4">
        <v>16009660</v>
      </c>
      <c r="K44" s="4" t="s">
        <v>465</v>
      </c>
      <c r="L44" s="4" t="s">
        <v>468</v>
      </c>
      <c r="M44" s="5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744</v>
      </c>
      <c r="B45" s="3">
        <f t="shared" si="1"/>
        <v>46086</v>
      </c>
      <c r="C45" s="3">
        <f t="shared" si="2"/>
        <v>46092</v>
      </c>
      <c r="D45" s="2">
        <v>3342</v>
      </c>
      <c r="E45" s="2">
        <v>333</v>
      </c>
      <c r="F45" s="2">
        <v>3</v>
      </c>
      <c r="G45" s="4" t="s">
        <v>415</v>
      </c>
      <c r="H45" s="4" t="s">
        <v>416</v>
      </c>
      <c r="I45" s="4" t="s">
        <v>18</v>
      </c>
      <c r="J45" s="4">
        <v>16009679</v>
      </c>
      <c r="K45" s="4" t="s">
        <v>465</v>
      </c>
      <c r="L45" s="4" t="s">
        <v>469</v>
      </c>
      <c r="M45" s="5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744</v>
      </c>
      <c r="B46" s="3">
        <f t="shared" si="1"/>
        <v>46086</v>
      </c>
      <c r="C46" s="3">
        <f t="shared" si="2"/>
        <v>46092</v>
      </c>
      <c r="D46" s="2">
        <v>3342</v>
      </c>
      <c r="E46" s="2">
        <v>333</v>
      </c>
      <c r="F46" s="2">
        <v>3</v>
      </c>
      <c r="G46" s="4" t="s">
        <v>415</v>
      </c>
      <c r="H46" s="4" t="s">
        <v>416</v>
      </c>
      <c r="I46" s="4" t="s">
        <v>18</v>
      </c>
      <c r="J46" s="4">
        <v>16009688</v>
      </c>
      <c r="K46" s="4" t="s">
        <v>465</v>
      </c>
      <c r="L46" s="4" t="s">
        <v>470</v>
      </c>
      <c r="M46" s="5">
        <v>179900</v>
      </c>
      <c r="N46" s="6">
        <v>0.8</v>
      </c>
      <c r="O46" s="7">
        <f t="shared" si="0"/>
        <v>35980</v>
      </c>
      <c r="P46" s="6" t="s">
        <v>740</v>
      </c>
    </row>
    <row r="47" spans="1:16" x14ac:dyDescent="0.35">
      <c r="A47" s="2" t="s">
        <v>744</v>
      </c>
      <c r="B47" s="3">
        <f t="shared" si="1"/>
        <v>46086</v>
      </c>
      <c r="C47" s="3">
        <f t="shared" si="2"/>
        <v>46092</v>
      </c>
      <c r="D47" s="2">
        <v>3342</v>
      </c>
      <c r="E47" s="2">
        <v>333</v>
      </c>
      <c r="F47" s="2">
        <v>3</v>
      </c>
      <c r="G47" s="4" t="s">
        <v>415</v>
      </c>
      <c r="H47" s="4" t="s">
        <v>416</v>
      </c>
      <c r="I47" s="4" t="s">
        <v>18</v>
      </c>
      <c r="J47" s="4">
        <v>16009697</v>
      </c>
      <c r="K47" s="4" t="s">
        <v>471</v>
      </c>
      <c r="L47" s="4" t="s">
        <v>472</v>
      </c>
      <c r="M47" s="5">
        <v>179900</v>
      </c>
      <c r="N47" s="6">
        <v>0.8</v>
      </c>
      <c r="O47" s="7">
        <f t="shared" si="0"/>
        <v>35980</v>
      </c>
      <c r="P47" s="6" t="s">
        <v>740</v>
      </c>
    </row>
    <row r="48" spans="1:16" x14ac:dyDescent="0.35">
      <c r="A48" s="2" t="s">
        <v>744</v>
      </c>
      <c r="B48" s="3">
        <f t="shared" si="1"/>
        <v>46086</v>
      </c>
      <c r="C48" s="3">
        <f t="shared" si="2"/>
        <v>46092</v>
      </c>
      <c r="D48" s="2">
        <v>3342</v>
      </c>
      <c r="E48" s="2">
        <v>333</v>
      </c>
      <c r="F48" s="2">
        <v>3</v>
      </c>
      <c r="G48" s="4" t="s">
        <v>415</v>
      </c>
      <c r="H48" s="4" t="s">
        <v>416</v>
      </c>
      <c r="I48" s="4" t="s">
        <v>18</v>
      </c>
      <c r="J48" s="4">
        <v>16009704</v>
      </c>
      <c r="K48" s="4" t="s">
        <v>471</v>
      </c>
      <c r="L48" s="4" t="s">
        <v>473</v>
      </c>
      <c r="M48" s="5">
        <v>179900</v>
      </c>
      <c r="N48" s="6">
        <v>0.8</v>
      </c>
      <c r="O48" s="7">
        <f t="shared" si="0"/>
        <v>35980</v>
      </c>
      <c r="P48" s="6" t="s">
        <v>740</v>
      </c>
    </row>
    <row r="49" spans="1:16" x14ac:dyDescent="0.35">
      <c r="A49" s="2" t="s">
        <v>744</v>
      </c>
      <c r="B49" s="3">
        <f t="shared" si="1"/>
        <v>46086</v>
      </c>
      <c r="C49" s="3">
        <f t="shared" si="2"/>
        <v>46092</v>
      </c>
      <c r="D49" s="2">
        <v>3342</v>
      </c>
      <c r="E49" s="2">
        <v>333</v>
      </c>
      <c r="F49" s="2">
        <v>3</v>
      </c>
      <c r="G49" s="4" t="s">
        <v>415</v>
      </c>
      <c r="H49" s="4" t="s">
        <v>416</v>
      </c>
      <c r="I49" s="4" t="s">
        <v>18</v>
      </c>
      <c r="J49" s="4">
        <v>16009713</v>
      </c>
      <c r="K49" s="4" t="s">
        <v>471</v>
      </c>
      <c r="L49" s="4" t="s">
        <v>474</v>
      </c>
      <c r="M49" s="5">
        <v>179900</v>
      </c>
      <c r="N49" s="6">
        <v>0.8</v>
      </c>
      <c r="O49" s="7">
        <f t="shared" si="0"/>
        <v>35980</v>
      </c>
      <c r="P49" s="6" t="s">
        <v>740</v>
      </c>
    </row>
    <row r="50" spans="1:16" x14ac:dyDescent="0.35">
      <c r="A50" s="2" t="s">
        <v>744</v>
      </c>
      <c r="B50" s="3">
        <f t="shared" si="1"/>
        <v>46086</v>
      </c>
      <c r="C50" s="3">
        <f t="shared" si="2"/>
        <v>46092</v>
      </c>
      <c r="D50" s="2">
        <v>3342</v>
      </c>
      <c r="E50" s="2">
        <v>333</v>
      </c>
      <c r="F50" s="2">
        <v>3</v>
      </c>
      <c r="G50" s="4" t="s">
        <v>415</v>
      </c>
      <c r="H50" s="4" t="s">
        <v>416</v>
      </c>
      <c r="I50" s="4" t="s">
        <v>18</v>
      </c>
      <c r="J50" s="4">
        <v>16009722</v>
      </c>
      <c r="K50" s="4" t="s">
        <v>471</v>
      </c>
      <c r="L50" s="4" t="s">
        <v>475</v>
      </c>
      <c r="M50" s="5">
        <v>179900</v>
      </c>
      <c r="N50" s="6">
        <v>0.8</v>
      </c>
      <c r="O50" s="7">
        <f t="shared" si="0"/>
        <v>35980</v>
      </c>
      <c r="P50" s="6" t="s">
        <v>740</v>
      </c>
    </row>
    <row r="51" spans="1:16" x14ac:dyDescent="0.35">
      <c r="A51" s="2" t="s">
        <v>744</v>
      </c>
      <c r="B51" s="3">
        <f t="shared" si="1"/>
        <v>46086</v>
      </c>
      <c r="C51" s="3">
        <f t="shared" si="2"/>
        <v>46092</v>
      </c>
      <c r="D51" s="2">
        <v>3342</v>
      </c>
      <c r="E51" s="2">
        <v>333</v>
      </c>
      <c r="F51" s="2">
        <v>3</v>
      </c>
      <c r="G51" s="4" t="s">
        <v>415</v>
      </c>
      <c r="H51" s="4" t="s">
        <v>416</v>
      </c>
      <c r="I51" s="4" t="s">
        <v>18</v>
      </c>
      <c r="J51" s="4">
        <v>16009731</v>
      </c>
      <c r="K51" s="4" t="s">
        <v>471</v>
      </c>
      <c r="L51" s="4" t="s">
        <v>476</v>
      </c>
      <c r="M51" s="5">
        <v>179900</v>
      </c>
      <c r="N51" s="6">
        <v>0.8</v>
      </c>
      <c r="O51" s="7">
        <f t="shared" si="0"/>
        <v>35980</v>
      </c>
      <c r="P51" s="6" t="s">
        <v>740</v>
      </c>
    </row>
    <row r="52" spans="1:16" x14ac:dyDescent="0.35">
      <c r="A52" s="2" t="s">
        <v>744</v>
      </c>
      <c r="B52" s="3">
        <f t="shared" si="1"/>
        <v>46086</v>
      </c>
      <c r="C52" s="3">
        <f t="shared" si="2"/>
        <v>46092</v>
      </c>
      <c r="D52" s="2">
        <v>3342</v>
      </c>
      <c r="E52" s="2">
        <v>333</v>
      </c>
      <c r="F52" s="2">
        <v>3</v>
      </c>
      <c r="G52" s="4" t="s">
        <v>415</v>
      </c>
      <c r="H52" s="4" t="s">
        <v>416</v>
      </c>
      <c r="I52" s="4" t="s">
        <v>18</v>
      </c>
      <c r="J52" s="4">
        <v>16009740</v>
      </c>
      <c r="K52" s="4" t="s">
        <v>477</v>
      </c>
      <c r="L52" s="4" t="s">
        <v>478</v>
      </c>
      <c r="M52" s="5">
        <v>179900</v>
      </c>
      <c r="N52" s="6">
        <v>0.8</v>
      </c>
      <c r="O52" s="7">
        <f t="shared" si="0"/>
        <v>35980</v>
      </c>
      <c r="P52" s="6" t="s">
        <v>740</v>
      </c>
    </row>
    <row r="53" spans="1:16" x14ac:dyDescent="0.35">
      <c r="A53" s="2" t="s">
        <v>744</v>
      </c>
      <c r="B53" s="3">
        <f t="shared" si="1"/>
        <v>46086</v>
      </c>
      <c r="C53" s="3">
        <f t="shared" si="2"/>
        <v>46092</v>
      </c>
      <c r="D53" s="2">
        <v>3342</v>
      </c>
      <c r="E53" s="2">
        <v>333</v>
      </c>
      <c r="F53" s="2">
        <v>3</v>
      </c>
      <c r="G53" s="4" t="s">
        <v>415</v>
      </c>
      <c r="H53" s="4" t="s">
        <v>416</v>
      </c>
      <c r="I53" s="4" t="s">
        <v>18</v>
      </c>
      <c r="J53" s="4">
        <v>16009759</v>
      </c>
      <c r="K53" s="4" t="s">
        <v>477</v>
      </c>
      <c r="L53" s="4" t="s">
        <v>479</v>
      </c>
      <c r="M53" s="5">
        <v>179900</v>
      </c>
      <c r="N53" s="6">
        <v>0.8</v>
      </c>
      <c r="O53" s="7">
        <f t="shared" si="0"/>
        <v>35980</v>
      </c>
      <c r="P53" s="6" t="s">
        <v>740</v>
      </c>
    </row>
    <row r="54" spans="1:16" x14ac:dyDescent="0.35">
      <c r="A54" s="2" t="s">
        <v>744</v>
      </c>
      <c r="B54" s="3">
        <f t="shared" si="1"/>
        <v>46086</v>
      </c>
      <c r="C54" s="3">
        <f t="shared" si="2"/>
        <v>46092</v>
      </c>
      <c r="D54" s="2">
        <v>3342</v>
      </c>
      <c r="E54" s="2">
        <v>333</v>
      </c>
      <c r="F54" s="2">
        <v>3</v>
      </c>
      <c r="G54" s="4" t="s">
        <v>415</v>
      </c>
      <c r="H54" s="4" t="s">
        <v>416</v>
      </c>
      <c r="I54" s="4" t="s">
        <v>18</v>
      </c>
      <c r="J54" s="4">
        <v>16009768</v>
      </c>
      <c r="K54" s="4" t="s">
        <v>477</v>
      </c>
      <c r="L54" s="4" t="s">
        <v>480</v>
      </c>
      <c r="M54" s="5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744</v>
      </c>
      <c r="B55" s="3">
        <f t="shared" si="1"/>
        <v>46086</v>
      </c>
      <c r="C55" s="3">
        <f t="shared" si="2"/>
        <v>46092</v>
      </c>
      <c r="D55" s="2">
        <v>3342</v>
      </c>
      <c r="E55" s="2">
        <v>333</v>
      </c>
      <c r="F55" s="2">
        <v>3</v>
      </c>
      <c r="G55" s="4" t="s">
        <v>415</v>
      </c>
      <c r="H55" s="4" t="s">
        <v>416</v>
      </c>
      <c r="I55" s="4" t="s">
        <v>18</v>
      </c>
      <c r="J55" s="4">
        <v>16009777</v>
      </c>
      <c r="K55" s="4" t="s">
        <v>477</v>
      </c>
      <c r="L55" s="4" t="s">
        <v>481</v>
      </c>
      <c r="M55" s="5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744</v>
      </c>
      <c r="B56" s="3">
        <f t="shared" si="1"/>
        <v>46086</v>
      </c>
      <c r="C56" s="3">
        <f t="shared" si="2"/>
        <v>46092</v>
      </c>
      <c r="D56" s="2">
        <v>3342</v>
      </c>
      <c r="E56" s="2">
        <v>333</v>
      </c>
      <c r="F56" s="2">
        <v>3</v>
      </c>
      <c r="G56" s="4" t="s">
        <v>415</v>
      </c>
      <c r="H56" s="4" t="s">
        <v>416</v>
      </c>
      <c r="I56" s="4" t="s">
        <v>18</v>
      </c>
      <c r="J56" s="4">
        <v>16009786</v>
      </c>
      <c r="K56" s="4" t="s">
        <v>477</v>
      </c>
      <c r="L56" s="4" t="s">
        <v>482</v>
      </c>
      <c r="M56" s="5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744</v>
      </c>
      <c r="B57" s="3">
        <f t="shared" si="1"/>
        <v>46086</v>
      </c>
      <c r="C57" s="3">
        <f t="shared" si="2"/>
        <v>46092</v>
      </c>
      <c r="D57" s="2">
        <v>3342</v>
      </c>
      <c r="E57" s="2">
        <v>333</v>
      </c>
      <c r="F57" s="2">
        <v>3</v>
      </c>
      <c r="G57" s="4" t="s">
        <v>415</v>
      </c>
      <c r="H57" s="4" t="s">
        <v>416</v>
      </c>
      <c r="I57" s="4" t="s">
        <v>18</v>
      </c>
      <c r="J57" s="4">
        <v>16035337</v>
      </c>
      <c r="K57" s="4" t="s">
        <v>483</v>
      </c>
      <c r="L57" s="4" t="s">
        <v>484</v>
      </c>
      <c r="M57" s="5">
        <v>199900</v>
      </c>
      <c r="N57" s="6">
        <v>0.8</v>
      </c>
      <c r="O57" s="7">
        <f t="shared" si="0"/>
        <v>39980</v>
      </c>
      <c r="P57" s="6" t="s">
        <v>740</v>
      </c>
    </row>
    <row r="58" spans="1:16" x14ac:dyDescent="0.35">
      <c r="A58" s="2" t="s">
        <v>744</v>
      </c>
      <c r="B58" s="3">
        <f t="shared" si="1"/>
        <v>46086</v>
      </c>
      <c r="C58" s="3">
        <f t="shared" si="2"/>
        <v>46092</v>
      </c>
      <c r="D58" s="2">
        <v>3342</v>
      </c>
      <c r="E58" s="2">
        <v>333</v>
      </c>
      <c r="F58" s="2">
        <v>3</v>
      </c>
      <c r="G58" s="4" t="s">
        <v>415</v>
      </c>
      <c r="H58" s="4" t="s">
        <v>416</v>
      </c>
      <c r="I58" s="4" t="s">
        <v>18</v>
      </c>
      <c r="J58" s="4">
        <v>16035346</v>
      </c>
      <c r="K58" s="4" t="s">
        <v>483</v>
      </c>
      <c r="L58" s="4" t="s">
        <v>485</v>
      </c>
      <c r="M58" s="5">
        <v>199900</v>
      </c>
      <c r="N58" s="6">
        <v>0.8</v>
      </c>
      <c r="O58" s="7">
        <f t="shared" si="0"/>
        <v>39980</v>
      </c>
      <c r="P58" s="6" t="s">
        <v>740</v>
      </c>
    </row>
    <row r="59" spans="1:16" x14ac:dyDescent="0.35">
      <c r="A59" s="2" t="s">
        <v>744</v>
      </c>
      <c r="B59" s="3">
        <f t="shared" si="1"/>
        <v>46086</v>
      </c>
      <c r="C59" s="3">
        <f t="shared" si="2"/>
        <v>46092</v>
      </c>
      <c r="D59" s="2">
        <v>3342</v>
      </c>
      <c r="E59" s="2">
        <v>333</v>
      </c>
      <c r="F59" s="2">
        <v>3</v>
      </c>
      <c r="G59" s="4" t="s">
        <v>415</v>
      </c>
      <c r="H59" s="4" t="s">
        <v>416</v>
      </c>
      <c r="I59" s="4" t="s">
        <v>18</v>
      </c>
      <c r="J59" s="4">
        <v>16035355</v>
      </c>
      <c r="K59" s="4" t="s">
        <v>483</v>
      </c>
      <c r="L59" s="4" t="s">
        <v>486</v>
      </c>
      <c r="M59" s="5">
        <v>199900</v>
      </c>
      <c r="N59" s="6">
        <v>0.8</v>
      </c>
      <c r="O59" s="7">
        <f t="shared" si="0"/>
        <v>39980</v>
      </c>
      <c r="P59" s="6" t="s">
        <v>740</v>
      </c>
    </row>
    <row r="60" spans="1:16" x14ac:dyDescent="0.35">
      <c r="A60" s="2" t="s">
        <v>744</v>
      </c>
      <c r="B60" s="3">
        <f t="shared" si="1"/>
        <v>46086</v>
      </c>
      <c r="C60" s="3">
        <f t="shared" si="2"/>
        <v>46092</v>
      </c>
      <c r="D60" s="2">
        <v>3342</v>
      </c>
      <c r="E60" s="2">
        <v>333</v>
      </c>
      <c r="F60" s="2">
        <v>3</v>
      </c>
      <c r="G60" s="4" t="s">
        <v>415</v>
      </c>
      <c r="H60" s="4" t="s">
        <v>416</v>
      </c>
      <c r="I60" s="4" t="s">
        <v>18</v>
      </c>
      <c r="J60" s="4">
        <v>16035364</v>
      </c>
      <c r="K60" s="4" t="s">
        <v>483</v>
      </c>
      <c r="L60" s="4" t="s">
        <v>487</v>
      </c>
      <c r="M60" s="5">
        <v>199900</v>
      </c>
      <c r="N60" s="6">
        <v>0.8</v>
      </c>
      <c r="O60" s="7">
        <f t="shared" si="0"/>
        <v>39980</v>
      </c>
      <c r="P60" s="6" t="s">
        <v>740</v>
      </c>
    </row>
    <row r="61" spans="1:16" x14ac:dyDescent="0.35">
      <c r="A61" s="2" t="s">
        <v>744</v>
      </c>
      <c r="B61" s="3">
        <f t="shared" si="1"/>
        <v>46086</v>
      </c>
      <c r="C61" s="3">
        <f t="shared" si="2"/>
        <v>46092</v>
      </c>
      <c r="D61" s="2">
        <v>3342</v>
      </c>
      <c r="E61" s="2">
        <v>333</v>
      </c>
      <c r="F61" s="2">
        <v>3</v>
      </c>
      <c r="G61" s="4" t="s">
        <v>415</v>
      </c>
      <c r="H61" s="4" t="s">
        <v>416</v>
      </c>
      <c r="I61" s="4" t="s">
        <v>18</v>
      </c>
      <c r="J61" s="4">
        <v>16035373</v>
      </c>
      <c r="K61" s="4" t="s">
        <v>483</v>
      </c>
      <c r="L61" s="4" t="s">
        <v>488</v>
      </c>
      <c r="M61" s="5">
        <v>199900</v>
      </c>
      <c r="N61" s="6">
        <v>0.8</v>
      </c>
      <c r="O61" s="7">
        <f t="shared" si="0"/>
        <v>39980</v>
      </c>
      <c r="P61" s="6" t="s">
        <v>740</v>
      </c>
    </row>
    <row r="62" spans="1:16" x14ac:dyDescent="0.35">
      <c r="A62" s="2" t="s">
        <v>744</v>
      </c>
      <c r="B62" s="3">
        <f t="shared" si="1"/>
        <v>46086</v>
      </c>
      <c r="C62" s="3">
        <f t="shared" si="2"/>
        <v>46092</v>
      </c>
      <c r="D62" s="2">
        <v>3342</v>
      </c>
      <c r="E62" s="2">
        <v>333</v>
      </c>
      <c r="F62" s="2">
        <v>3</v>
      </c>
      <c r="G62" s="4" t="s">
        <v>415</v>
      </c>
      <c r="H62" s="4" t="s">
        <v>416</v>
      </c>
      <c r="I62" s="4" t="s">
        <v>18</v>
      </c>
      <c r="J62" s="4">
        <v>16035382</v>
      </c>
      <c r="K62" s="4" t="s">
        <v>489</v>
      </c>
      <c r="L62" s="4" t="s">
        <v>490</v>
      </c>
      <c r="M62" s="5">
        <v>199900</v>
      </c>
      <c r="N62" s="6">
        <v>0.8</v>
      </c>
      <c r="O62" s="7">
        <f t="shared" si="0"/>
        <v>39980</v>
      </c>
      <c r="P62" s="6" t="s">
        <v>740</v>
      </c>
    </row>
    <row r="63" spans="1:16" x14ac:dyDescent="0.35">
      <c r="A63" s="2" t="s">
        <v>744</v>
      </c>
      <c r="B63" s="3">
        <f t="shared" si="1"/>
        <v>46086</v>
      </c>
      <c r="C63" s="3">
        <f t="shared" si="2"/>
        <v>46092</v>
      </c>
      <c r="D63" s="2">
        <v>3342</v>
      </c>
      <c r="E63" s="2">
        <v>333</v>
      </c>
      <c r="F63" s="2">
        <v>3</v>
      </c>
      <c r="G63" s="4" t="s">
        <v>415</v>
      </c>
      <c r="H63" s="4" t="s">
        <v>416</v>
      </c>
      <c r="I63" s="4" t="s">
        <v>18</v>
      </c>
      <c r="J63" s="4">
        <v>16035391</v>
      </c>
      <c r="K63" s="4" t="s">
        <v>489</v>
      </c>
      <c r="L63" s="4" t="s">
        <v>491</v>
      </c>
      <c r="M63" s="5">
        <v>199900</v>
      </c>
      <c r="N63" s="6">
        <v>0.8</v>
      </c>
      <c r="O63" s="7">
        <f t="shared" si="0"/>
        <v>39980</v>
      </c>
      <c r="P63" s="6" t="s">
        <v>740</v>
      </c>
    </row>
    <row r="64" spans="1:16" x14ac:dyDescent="0.35">
      <c r="A64" s="2" t="s">
        <v>744</v>
      </c>
      <c r="B64" s="3">
        <f t="shared" si="1"/>
        <v>46086</v>
      </c>
      <c r="C64" s="3">
        <f t="shared" si="2"/>
        <v>46092</v>
      </c>
      <c r="D64" s="2">
        <v>3342</v>
      </c>
      <c r="E64" s="2">
        <v>333</v>
      </c>
      <c r="F64" s="2">
        <v>3</v>
      </c>
      <c r="G64" s="4" t="s">
        <v>415</v>
      </c>
      <c r="H64" s="4" t="s">
        <v>416</v>
      </c>
      <c r="I64" s="4" t="s">
        <v>18</v>
      </c>
      <c r="J64" s="4">
        <v>16035408</v>
      </c>
      <c r="K64" s="4" t="s">
        <v>489</v>
      </c>
      <c r="L64" s="4" t="s">
        <v>492</v>
      </c>
      <c r="M64" s="5">
        <v>199900</v>
      </c>
      <c r="N64" s="6">
        <v>0.8</v>
      </c>
      <c r="O64" s="7">
        <f t="shared" si="0"/>
        <v>39980</v>
      </c>
      <c r="P64" s="6" t="s">
        <v>740</v>
      </c>
    </row>
    <row r="65" spans="1:16" x14ac:dyDescent="0.35">
      <c r="A65" s="2" t="s">
        <v>744</v>
      </c>
      <c r="B65" s="3">
        <f t="shared" si="1"/>
        <v>46086</v>
      </c>
      <c r="C65" s="3">
        <f t="shared" si="2"/>
        <v>46092</v>
      </c>
      <c r="D65" s="2">
        <v>3342</v>
      </c>
      <c r="E65" s="2">
        <v>333</v>
      </c>
      <c r="F65" s="2">
        <v>3</v>
      </c>
      <c r="G65" s="4" t="s">
        <v>415</v>
      </c>
      <c r="H65" s="4" t="s">
        <v>416</v>
      </c>
      <c r="I65" s="4" t="s">
        <v>18</v>
      </c>
      <c r="J65" s="4">
        <v>16035417</v>
      </c>
      <c r="K65" s="4" t="s">
        <v>489</v>
      </c>
      <c r="L65" s="4" t="s">
        <v>493</v>
      </c>
      <c r="M65" s="5">
        <v>199900</v>
      </c>
      <c r="N65" s="6">
        <v>0.8</v>
      </c>
      <c r="O65" s="7">
        <f t="shared" si="0"/>
        <v>39980</v>
      </c>
      <c r="P65" s="6" t="s">
        <v>740</v>
      </c>
    </row>
    <row r="66" spans="1:16" x14ac:dyDescent="0.35">
      <c r="A66" s="2" t="s">
        <v>744</v>
      </c>
      <c r="B66" s="3">
        <f t="shared" si="1"/>
        <v>46086</v>
      </c>
      <c r="C66" s="3">
        <f t="shared" si="2"/>
        <v>46092</v>
      </c>
      <c r="D66" s="2">
        <v>3342</v>
      </c>
      <c r="E66" s="2">
        <v>333</v>
      </c>
      <c r="F66" s="2">
        <v>3</v>
      </c>
      <c r="G66" s="4" t="s">
        <v>415</v>
      </c>
      <c r="H66" s="4" t="s">
        <v>416</v>
      </c>
      <c r="I66" s="4" t="s">
        <v>18</v>
      </c>
      <c r="J66" s="4">
        <v>16035426</v>
      </c>
      <c r="K66" s="4" t="s">
        <v>489</v>
      </c>
      <c r="L66" s="4" t="s">
        <v>494</v>
      </c>
      <c r="M66" s="5">
        <v>199900</v>
      </c>
      <c r="N66" s="6">
        <v>0.8</v>
      </c>
      <c r="O66" s="7">
        <f t="shared" si="0"/>
        <v>39980</v>
      </c>
      <c r="P66" s="6" t="s">
        <v>740</v>
      </c>
    </row>
    <row r="67" spans="1:16" x14ac:dyDescent="0.35">
      <c r="A67" s="2" t="s">
        <v>744</v>
      </c>
      <c r="B67" s="3">
        <f t="shared" si="1"/>
        <v>46086</v>
      </c>
      <c r="C67" s="3">
        <f t="shared" si="2"/>
        <v>46092</v>
      </c>
      <c r="D67" s="2">
        <v>3342</v>
      </c>
      <c r="E67" s="2">
        <v>333</v>
      </c>
      <c r="F67" s="2">
        <v>3</v>
      </c>
      <c r="G67" s="4" t="s">
        <v>415</v>
      </c>
      <c r="H67" s="4" t="s">
        <v>416</v>
      </c>
      <c r="I67" s="4" t="s">
        <v>18</v>
      </c>
      <c r="J67" s="4">
        <v>10611993</v>
      </c>
      <c r="K67" s="4" t="s">
        <v>495</v>
      </c>
      <c r="L67" s="4" t="s">
        <v>496</v>
      </c>
      <c r="M67" s="5">
        <v>199900</v>
      </c>
      <c r="N67" s="6">
        <v>0.8</v>
      </c>
      <c r="O67" s="7">
        <f t="shared" ref="O67:O71" si="3">M67-(M67*N67)</f>
        <v>39980</v>
      </c>
      <c r="P67" s="6" t="s">
        <v>740</v>
      </c>
    </row>
    <row r="68" spans="1:16" x14ac:dyDescent="0.35">
      <c r="A68" s="2" t="s">
        <v>744</v>
      </c>
      <c r="B68" s="3">
        <f t="shared" ref="B68:B71" si="4">B67</f>
        <v>46086</v>
      </c>
      <c r="C68" s="3">
        <f t="shared" ref="C68:C71" si="5">C67</f>
        <v>46092</v>
      </c>
      <c r="D68" s="2">
        <v>3342</v>
      </c>
      <c r="E68" s="2">
        <v>333</v>
      </c>
      <c r="F68" s="2">
        <v>3</v>
      </c>
      <c r="G68" s="4" t="s">
        <v>415</v>
      </c>
      <c r="H68" s="4" t="s">
        <v>416</v>
      </c>
      <c r="I68" s="4" t="s">
        <v>18</v>
      </c>
      <c r="J68" s="4">
        <v>16035444</v>
      </c>
      <c r="K68" s="4" t="s">
        <v>497</v>
      </c>
      <c r="L68" s="4" t="s">
        <v>498</v>
      </c>
      <c r="M68" s="5">
        <v>199900</v>
      </c>
      <c r="N68" s="6">
        <v>0.8</v>
      </c>
      <c r="O68" s="7">
        <f t="shared" si="3"/>
        <v>39980</v>
      </c>
      <c r="P68" s="6" t="s">
        <v>740</v>
      </c>
    </row>
    <row r="69" spans="1:16" x14ac:dyDescent="0.35">
      <c r="A69" s="2" t="s">
        <v>744</v>
      </c>
      <c r="B69" s="3">
        <f t="shared" si="4"/>
        <v>46086</v>
      </c>
      <c r="C69" s="3">
        <f t="shared" si="5"/>
        <v>46092</v>
      </c>
      <c r="D69" s="2">
        <v>3342</v>
      </c>
      <c r="E69" s="2">
        <v>333</v>
      </c>
      <c r="F69" s="2">
        <v>3</v>
      </c>
      <c r="G69" s="4" t="s">
        <v>415</v>
      </c>
      <c r="H69" s="4" t="s">
        <v>416</v>
      </c>
      <c r="I69" s="4" t="s">
        <v>18</v>
      </c>
      <c r="J69" s="4">
        <v>16035453</v>
      </c>
      <c r="K69" s="4" t="s">
        <v>497</v>
      </c>
      <c r="L69" s="4" t="s">
        <v>499</v>
      </c>
      <c r="M69" s="5">
        <v>199900</v>
      </c>
      <c r="N69" s="6">
        <v>0.8</v>
      </c>
      <c r="O69" s="7">
        <f t="shared" si="3"/>
        <v>39980</v>
      </c>
      <c r="P69" s="6" t="s">
        <v>740</v>
      </c>
    </row>
    <row r="70" spans="1:16" x14ac:dyDescent="0.35">
      <c r="A70" s="2" t="s">
        <v>744</v>
      </c>
      <c r="B70" s="3">
        <f t="shared" si="4"/>
        <v>46086</v>
      </c>
      <c r="C70" s="3">
        <f t="shared" si="5"/>
        <v>46092</v>
      </c>
      <c r="D70" s="2">
        <v>3342</v>
      </c>
      <c r="E70" s="2">
        <v>333</v>
      </c>
      <c r="F70" s="2">
        <v>3</v>
      </c>
      <c r="G70" s="4" t="s">
        <v>415</v>
      </c>
      <c r="H70" s="4" t="s">
        <v>416</v>
      </c>
      <c r="I70" s="4" t="s">
        <v>18</v>
      </c>
      <c r="J70" s="4">
        <v>16035462</v>
      </c>
      <c r="K70" s="4" t="s">
        <v>497</v>
      </c>
      <c r="L70" s="4" t="s">
        <v>500</v>
      </c>
      <c r="M70" s="5">
        <v>199900</v>
      </c>
      <c r="N70" s="6">
        <v>0.8</v>
      </c>
      <c r="O70" s="7">
        <f t="shared" si="3"/>
        <v>39980</v>
      </c>
      <c r="P70" s="6" t="s">
        <v>740</v>
      </c>
    </row>
    <row r="71" spans="1:16" x14ac:dyDescent="0.35">
      <c r="A71" s="2" t="s">
        <v>744</v>
      </c>
      <c r="B71" s="3">
        <f t="shared" si="4"/>
        <v>46086</v>
      </c>
      <c r="C71" s="3">
        <f t="shared" si="5"/>
        <v>46092</v>
      </c>
      <c r="D71" s="2">
        <v>3342</v>
      </c>
      <c r="E71" s="2">
        <v>333</v>
      </c>
      <c r="F71" s="2">
        <v>3</v>
      </c>
      <c r="G71" s="4" t="s">
        <v>415</v>
      </c>
      <c r="H71" s="4" t="s">
        <v>416</v>
      </c>
      <c r="I71" s="4" t="s">
        <v>18</v>
      </c>
      <c r="J71" s="4">
        <v>16035471</v>
      </c>
      <c r="K71" s="4" t="s">
        <v>497</v>
      </c>
      <c r="L71" s="4" t="s">
        <v>501</v>
      </c>
      <c r="M71" s="5">
        <v>199900</v>
      </c>
      <c r="N71" s="6">
        <v>0.8</v>
      </c>
      <c r="O71" s="7">
        <f t="shared" si="3"/>
        <v>39980</v>
      </c>
      <c r="P71" s="6" t="s">
        <v>740</v>
      </c>
    </row>
  </sheetData>
  <autoFilter ref="A1:P7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"/>
  <sheetViews>
    <sheetView zoomScale="60" workbookViewId="0">
      <selection activeCell="D2" sqref="D2:F33"/>
    </sheetView>
  </sheetViews>
  <sheetFormatPr defaultColWidth="8.81640625" defaultRowHeight="14.5" x14ac:dyDescent="0.35"/>
  <cols>
    <col min="1" max="1" width="27.81640625" style="8" bestFit="1" customWidth="1"/>
    <col min="2" max="2" width="10.81640625" style="8" bestFit="1" customWidth="1"/>
    <col min="3" max="3" width="10.453125" style="8" bestFit="1" customWidth="1"/>
    <col min="4" max="4" width="5.1796875" style="8" bestFit="1" customWidth="1"/>
    <col min="5" max="5" width="7.1796875" style="8" bestFit="1" customWidth="1"/>
    <col min="6" max="6" width="8.453125" style="8" bestFit="1" customWidth="1"/>
    <col min="7" max="7" width="12.6328125" style="8" bestFit="1" customWidth="1"/>
    <col min="8" max="8" width="32.1796875" style="8" bestFit="1" customWidth="1"/>
    <col min="9" max="9" width="7.7265625" style="8" bestFit="1" customWidth="1"/>
    <col min="10" max="10" width="10" style="8" bestFit="1" customWidth="1"/>
    <col min="11" max="11" width="9.36328125" style="8" bestFit="1" customWidth="1"/>
    <col min="12" max="12" width="81" style="8" bestFit="1" customWidth="1"/>
    <col min="13" max="13" width="14.81640625" style="8" bestFit="1" customWidth="1"/>
    <col min="14" max="14" width="7.26953125" style="8" bestFit="1" customWidth="1"/>
    <col min="15" max="15" width="14" style="8" bestFit="1" customWidth="1"/>
    <col min="16" max="16" width="14.179687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customFormat="1" x14ac:dyDescent="0.35">
      <c r="A2" s="2" t="s">
        <v>745</v>
      </c>
      <c r="B2" s="3">
        <f>'2023 H2 3342 D80'!B2</f>
        <v>46086</v>
      </c>
      <c r="C2" s="3">
        <f>'2023 H2 3342 D80'!C2</f>
        <v>46092</v>
      </c>
      <c r="D2" s="2">
        <v>3342</v>
      </c>
      <c r="E2" s="2">
        <v>333</v>
      </c>
      <c r="F2" s="2">
        <v>3</v>
      </c>
      <c r="G2" s="4" t="s">
        <v>137</v>
      </c>
      <c r="H2" s="4" t="s">
        <v>127</v>
      </c>
      <c r="I2" s="4" t="s">
        <v>18</v>
      </c>
      <c r="J2" s="4">
        <v>10612518</v>
      </c>
      <c r="K2" s="4" t="s">
        <v>138</v>
      </c>
      <c r="L2" s="4" t="s">
        <v>139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customFormat="1" x14ac:dyDescent="0.35">
      <c r="A3" s="2" t="s">
        <v>745</v>
      </c>
      <c r="B3" s="3">
        <f t="shared" ref="B3:C15" si="0">B2</f>
        <v>46086</v>
      </c>
      <c r="C3" s="3">
        <f t="shared" si="0"/>
        <v>46092</v>
      </c>
      <c r="D3" s="2">
        <v>3342</v>
      </c>
      <c r="E3" s="2">
        <v>333</v>
      </c>
      <c r="F3" s="2">
        <v>3</v>
      </c>
      <c r="G3" s="4" t="s">
        <v>137</v>
      </c>
      <c r="H3" s="4" t="s">
        <v>127</v>
      </c>
      <c r="I3" s="4" t="s">
        <v>18</v>
      </c>
      <c r="J3" s="4">
        <v>10612527</v>
      </c>
      <c r="K3" s="4" t="s">
        <v>138</v>
      </c>
      <c r="L3" s="4" t="s">
        <v>140</v>
      </c>
      <c r="M3" s="5">
        <v>99900</v>
      </c>
      <c r="N3" s="6">
        <v>0.8</v>
      </c>
      <c r="O3" s="7">
        <f t="shared" ref="O3:O29" si="1">M3-(M3*N3)</f>
        <v>19980</v>
      </c>
      <c r="P3" s="6" t="s">
        <v>740</v>
      </c>
    </row>
    <row r="4" spans="1:16" customFormat="1" x14ac:dyDescent="0.35">
      <c r="A4" s="2" t="s">
        <v>745</v>
      </c>
      <c r="B4" s="3">
        <f t="shared" si="0"/>
        <v>46086</v>
      </c>
      <c r="C4" s="3">
        <f t="shared" si="0"/>
        <v>46092</v>
      </c>
      <c r="D4" s="2">
        <v>3342</v>
      </c>
      <c r="E4" s="2">
        <v>333</v>
      </c>
      <c r="F4" s="2">
        <v>3</v>
      </c>
      <c r="G4" s="4" t="s">
        <v>137</v>
      </c>
      <c r="H4" s="4" t="s">
        <v>127</v>
      </c>
      <c r="I4" s="4" t="s">
        <v>18</v>
      </c>
      <c r="J4" s="4">
        <v>10612536</v>
      </c>
      <c r="K4" s="4" t="s">
        <v>138</v>
      </c>
      <c r="L4" s="4" t="s">
        <v>141</v>
      </c>
      <c r="M4" s="5">
        <v>99900</v>
      </c>
      <c r="N4" s="6">
        <v>0.8</v>
      </c>
      <c r="O4" s="7">
        <f t="shared" si="1"/>
        <v>19980</v>
      </c>
      <c r="P4" s="6" t="s">
        <v>740</v>
      </c>
    </row>
    <row r="5" spans="1:16" customFormat="1" x14ac:dyDescent="0.35">
      <c r="A5" s="2" t="s">
        <v>745</v>
      </c>
      <c r="B5" s="3">
        <f t="shared" si="0"/>
        <v>46086</v>
      </c>
      <c r="C5" s="3">
        <f t="shared" si="0"/>
        <v>46092</v>
      </c>
      <c r="D5" s="2">
        <v>3342</v>
      </c>
      <c r="E5" s="2">
        <v>333</v>
      </c>
      <c r="F5" s="2">
        <v>3</v>
      </c>
      <c r="G5" s="4" t="s">
        <v>137</v>
      </c>
      <c r="H5" s="4" t="s">
        <v>127</v>
      </c>
      <c r="I5" s="4" t="s">
        <v>18</v>
      </c>
      <c r="J5" s="4">
        <v>10612545</v>
      </c>
      <c r="K5" s="4" t="s">
        <v>138</v>
      </c>
      <c r="L5" s="4" t="s">
        <v>142</v>
      </c>
      <c r="M5" s="5">
        <v>99900</v>
      </c>
      <c r="N5" s="6">
        <v>0.8</v>
      </c>
      <c r="O5" s="7">
        <f t="shared" si="1"/>
        <v>19980</v>
      </c>
      <c r="P5" s="6" t="s">
        <v>740</v>
      </c>
    </row>
    <row r="6" spans="1:16" customFormat="1" x14ac:dyDescent="0.35">
      <c r="A6" s="2" t="s">
        <v>745</v>
      </c>
      <c r="B6" s="3">
        <f t="shared" si="0"/>
        <v>46086</v>
      </c>
      <c r="C6" s="3">
        <f t="shared" si="0"/>
        <v>46092</v>
      </c>
      <c r="D6" s="2">
        <v>3342</v>
      </c>
      <c r="E6" s="2">
        <v>333</v>
      </c>
      <c r="F6" s="2">
        <v>3</v>
      </c>
      <c r="G6" s="4" t="s">
        <v>137</v>
      </c>
      <c r="H6" s="4" t="s">
        <v>127</v>
      </c>
      <c r="I6" s="4" t="s">
        <v>18</v>
      </c>
      <c r="J6" s="4">
        <v>10612554</v>
      </c>
      <c r="K6" s="4" t="s">
        <v>143</v>
      </c>
      <c r="L6" s="4" t="s">
        <v>144</v>
      </c>
      <c r="M6" s="5">
        <v>99900</v>
      </c>
      <c r="N6" s="6">
        <v>0.8</v>
      </c>
      <c r="O6" s="7">
        <f t="shared" si="1"/>
        <v>19980</v>
      </c>
      <c r="P6" s="6" t="s">
        <v>740</v>
      </c>
    </row>
    <row r="7" spans="1:16" customFormat="1" x14ac:dyDescent="0.35">
      <c r="A7" s="2" t="s">
        <v>745</v>
      </c>
      <c r="B7" s="3">
        <f t="shared" si="0"/>
        <v>46086</v>
      </c>
      <c r="C7" s="3">
        <f t="shared" si="0"/>
        <v>46092</v>
      </c>
      <c r="D7" s="2">
        <v>3342</v>
      </c>
      <c r="E7" s="2">
        <v>333</v>
      </c>
      <c r="F7" s="2">
        <v>3</v>
      </c>
      <c r="G7" s="4" t="s">
        <v>137</v>
      </c>
      <c r="H7" s="4" t="s">
        <v>127</v>
      </c>
      <c r="I7" s="4" t="s">
        <v>18</v>
      </c>
      <c r="J7" s="4">
        <v>10612563</v>
      </c>
      <c r="K7" s="4" t="s">
        <v>143</v>
      </c>
      <c r="L7" s="4" t="s">
        <v>145</v>
      </c>
      <c r="M7" s="5">
        <v>99900</v>
      </c>
      <c r="N7" s="6">
        <v>0.8</v>
      </c>
      <c r="O7" s="7">
        <f t="shared" si="1"/>
        <v>19980</v>
      </c>
      <c r="P7" s="6" t="s">
        <v>740</v>
      </c>
    </row>
    <row r="8" spans="1:16" customFormat="1" x14ac:dyDescent="0.35">
      <c r="A8" s="2" t="s">
        <v>745</v>
      </c>
      <c r="B8" s="3">
        <f t="shared" si="0"/>
        <v>46086</v>
      </c>
      <c r="C8" s="3">
        <f t="shared" si="0"/>
        <v>46092</v>
      </c>
      <c r="D8" s="2">
        <v>3342</v>
      </c>
      <c r="E8" s="2">
        <v>333</v>
      </c>
      <c r="F8" s="2">
        <v>3</v>
      </c>
      <c r="G8" s="4" t="s">
        <v>137</v>
      </c>
      <c r="H8" s="4" t="s">
        <v>127</v>
      </c>
      <c r="I8" s="4" t="s">
        <v>18</v>
      </c>
      <c r="J8" s="4">
        <v>10612572</v>
      </c>
      <c r="K8" s="4" t="s">
        <v>143</v>
      </c>
      <c r="L8" s="4" t="s">
        <v>146</v>
      </c>
      <c r="M8" s="5">
        <v>99900</v>
      </c>
      <c r="N8" s="6">
        <v>0.8</v>
      </c>
      <c r="O8" s="7">
        <f t="shared" si="1"/>
        <v>19980</v>
      </c>
      <c r="P8" s="6" t="s">
        <v>740</v>
      </c>
    </row>
    <row r="9" spans="1:16" customFormat="1" x14ac:dyDescent="0.35">
      <c r="A9" s="2" t="s">
        <v>745</v>
      </c>
      <c r="B9" s="3">
        <f t="shared" si="0"/>
        <v>46086</v>
      </c>
      <c r="C9" s="3">
        <f t="shared" si="0"/>
        <v>46092</v>
      </c>
      <c r="D9" s="2">
        <v>3342</v>
      </c>
      <c r="E9" s="2">
        <v>333</v>
      </c>
      <c r="F9" s="2">
        <v>3</v>
      </c>
      <c r="G9" s="4" t="s">
        <v>137</v>
      </c>
      <c r="H9" s="4" t="s">
        <v>127</v>
      </c>
      <c r="I9" s="4" t="s">
        <v>18</v>
      </c>
      <c r="J9" s="4">
        <v>10612581</v>
      </c>
      <c r="K9" s="4" t="s">
        <v>143</v>
      </c>
      <c r="L9" s="4" t="s">
        <v>147</v>
      </c>
      <c r="M9" s="5">
        <v>99900</v>
      </c>
      <c r="N9" s="6">
        <v>0.8</v>
      </c>
      <c r="O9" s="7">
        <f t="shared" si="1"/>
        <v>19980</v>
      </c>
      <c r="P9" s="6" t="s">
        <v>740</v>
      </c>
    </row>
    <row r="10" spans="1:16" customFormat="1" x14ac:dyDescent="0.35">
      <c r="A10" s="2" t="s">
        <v>745</v>
      </c>
      <c r="B10" s="3">
        <f t="shared" si="0"/>
        <v>46086</v>
      </c>
      <c r="C10" s="3">
        <f t="shared" si="0"/>
        <v>46092</v>
      </c>
      <c r="D10" s="2">
        <v>3342</v>
      </c>
      <c r="E10" s="2">
        <v>333</v>
      </c>
      <c r="F10" s="2">
        <v>3</v>
      </c>
      <c r="G10" s="4" t="s">
        <v>137</v>
      </c>
      <c r="H10" s="4" t="s">
        <v>127</v>
      </c>
      <c r="I10" s="4" t="s">
        <v>18</v>
      </c>
      <c r="J10" s="4">
        <v>10612590</v>
      </c>
      <c r="K10" s="4" t="s">
        <v>148</v>
      </c>
      <c r="L10" s="4" t="s">
        <v>149</v>
      </c>
      <c r="M10" s="5">
        <v>99900</v>
      </c>
      <c r="N10" s="6">
        <v>0.8</v>
      </c>
      <c r="O10" s="7">
        <f t="shared" si="1"/>
        <v>19980</v>
      </c>
      <c r="P10" s="6" t="s">
        <v>740</v>
      </c>
    </row>
    <row r="11" spans="1:16" customFormat="1" x14ac:dyDescent="0.35">
      <c r="A11" s="2" t="s">
        <v>745</v>
      </c>
      <c r="B11" s="3">
        <f t="shared" si="0"/>
        <v>46086</v>
      </c>
      <c r="C11" s="3">
        <f t="shared" si="0"/>
        <v>46092</v>
      </c>
      <c r="D11" s="2">
        <v>3342</v>
      </c>
      <c r="E11" s="2">
        <v>333</v>
      </c>
      <c r="F11" s="2">
        <v>3</v>
      </c>
      <c r="G11" s="4" t="s">
        <v>137</v>
      </c>
      <c r="H11" s="4" t="s">
        <v>127</v>
      </c>
      <c r="I11" s="4" t="s">
        <v>18</v>
      </c>
      <c r="J11" s="4">
        <v>10612607</v>
      </c>
      <c r="K11" s="4" t="s">
        <v>148</v>
      </c>
      <c r="L11" s="4" t="s">
        <v>150</v>
      </c>
      <c r="M11" s="5">
        <v>99900</v>
      </c>
      <c r="N11" s="6">
        <v>0.8</v>
      </c>
      <c r="O11" s="7">
        <f t="shared" si="1"/>
        <v>19980</v>
      </c>
      <c r="P11" s="6" t="s">
        <v>740</v>
      </c>
    </row>
    <row r="12" spans="1:16" customFormat="1" x14ac:dyDescent="0.35">
      <c r="A12" s="2" t="s">
        <v>745</v>
      </c>
      <c r="B12" s="3">
        <f t="shared" si="0"/>
        <v>46086</v>
      </c>
      <c r="C12" s="3">
        <f t="shared" si="0"/>
        <v>46092</v>
      </c>
      <c r="D12" s="2">
        <v>3342</v>
      </c>
      <c r="E12" s="2">
        <v>333</v>
      </c>
      <c r="F12" s="2">
        <v>3</v>
      </c>
      <c r="G12" s="4" t="s">
        <v>137</v>
      </c>
      <c r="H12" s="4" t="s">
        <v>127</v>
      </c>
      <c r="I12" s="4" t="s">
        <v>18</v>
      </c>
      <c r="J12" s="4">
        <v>10612616</v>
      </c>
      <c r="K12" s="4" t="s">
        <v>148</v>
      </c>
      <c r="L12" s="4" t="s">
        <v>151</v>
      </c>
      <c r="M12" s="5">
        <v>99900</v>
      </c>
      <c r="N12" s="6">
        <v>0.8</v>
      </c>
      <c r="O12" s="7">
        <f t="shared" si="1"/>
        <v>19980</v>
      </c>
      <c r="P12" s="6" t="s">
        <v>740</v>
      </c>
    </row>
    <row r="13" spans="1:16" customFormat="1" x14ac:dyDescent="0.35">
      <c r="A13" s="2" t="s">
        <v>745</v>
      </c>
      <c r="B13" s="3">
        <f t="shared" si="0"/>
        <v>46086</v>
      </c>
      <c r="C13" s="3">
        <f t="shared" si="0"/>
        <v>46092</v>
      </c>
      <c r="D13" s="2">
        <v>3342</v>
      </c>
      <c r="E13" s="2">
        <v>333</v>
      </c>
      <c r="F13" s="2">
        <v>3</v>
      </c>
      <c r="G13" s="4" t="s">
        <v>137</v>
      </c>
      <c r="H13" s="4" t="s">
        <v>127</v>
      </c>
      <c r="I13" s="4" t="s">
        <v>18</v>
      </c>
      <c r="J13" s="4">
        <v>10612625</v>
      </c>
      <c r="K13" s="4" t="s">
        <v>148</v>
      </c>
      <c r="L13" s="4" t="s">
        <v>152</v>
      </c>
      <c r="M13" s="5">
        <v>99900</v>
      </c>
      <c r="N13" s="6">
        <v>0.8</v>
      </c>
      <c r="O13" s="7">
        <f t="shared" si="1"/>
        <v>19980</v>
      </c>
      <c r="P13" s="6" t="s">
        <v>740</v>
      </c>
    </row>
    <row r="14" spans="1:16" customFormat="1" x14ac:dyDescent="0.35">
      <c r="A14" s="2" t="s">
        <v>745</v>
      </c>
      <c r="B14" s="3">
        <f t="shared" si="0"/>
        <v>46086</v>
      </c>
      <c r="C14" s="3">
        <f t="shared" si="0"/>
        <v>46092</v>
      </c>
      <c r="D14" s="2">
        <v>3342</v>
      </c>
      <c r="E14" s="2">
        <v>333</v>
      </c>
      <c r="F14" s="2">
        <v>3</v>
      </c>
      <c r="G14" s="4" t="s">
        <v>137</v>
      </c>
      <c r="H14" s="4" t="s">
        <v>127</v>
      </c>
      <c r="I14" s="4" t="s">
        <v>18</v>
      </c>
      <c r="J14" s="4">
        <v>10612634</v>
      </c>
      <c r="K14" s="4" t="s">
        <v>153</v>
      </c>
      <c r="L14" s="4" t="s">
        <v>154</v>
      </c>
      <c r="M14" s="5">
        <v>99900</v>
      </c>
      <c r="N14" s="6">
        <v>0.8</v>
      </c>
      <c r="O14" s="7">
        <f t="shared" si="1"/>
        <v>19980</v>
      </c>
      <c r="P14" s="6" t="s">
        <v>740</v>
      </c>
    </row>
    <row r="15" spans="1:16" customFormat="1" x14ac:dyDescent="0.35">
      <c r="A15" s="2" t="s">
        <v>745</v>
      </c>
      <c r="B15" s="3">
        <f t="shared" si="0"/>
        <v>46086</v>
      </c>
      <c r="C15" s="3">
        <f t="shared" si="0"/>
        <v>46092</v>
      </c>
      <c r="D15" s="2">
        <v>3342</v>
      </c>
      <c r="E15" s="2">
        <v>333</v>
      </c>
      <c r="F15" s="2">
        <v>3</v>
      </c>
      <c r="G15" s="4" t="s">
        <v>137</v>
      </c>
      <c r="H15" s="4" t="s">
        <v>127</v>
      </c>
      <c r="I15" s="4" t="s">
        <v>18</v>
      </c>
      <c r="J15" s="4">
        <v>10612643</v>
      </c>
      <c r="K15" s="4" t="s">
        <v>153</v>
      </c>
      <c r="L15" s="4" t="s">
        <v>155</v>
      </c>
      <c r="M15" s="5">
        <v>99900</v>
      </c>
      <c r="N15" s="6">
        <v>0.8</v>
      </c>
      <c r="O15" s="7">
        <f t="shared" si="1"/>
        <v>19980</v>
      </c>
      <c r="P15" s="6" t="s">
        <v>740</v>
      </c>
    </row>
    <row r="16" spans="1:16" customFormat="1" x14ac:dyDescent="0.35">
      <c r="A16" s="2" t="s">
        <v>745</v>
      </c>
      <c r="B16" s="3">
        <f t="shared" ref="B16:C29" si="2">B15</f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4" t="s">
        <v>137</v>
      </c>
      <c r="H16" s="4" t="s">
        <v>127</v>
      </c>
      <c r="I16" s="4" t="s">
        <v>18</v>
      </c>
      <c r="J16" s="4">
        <v>10612652</v>
      </c>
      <c r="K16" s="4" t="s">
        <v>153</v>
      </c>
      <c r="L16" s="4" t="s">
        <v>156</v>
      </c>
      <c r="M16" s="5">
        <v>99900</v>
      </c>
      <c r="N16" s="6">
        <v>0.8</v>
      </c>
      <c r="O16" s="7">
        <f t="shared" si="1"/>
        <v>19980</v>
      </c>
      <c r="P16" s="6" t="s">
        <v>740</v>
      </c>
    </row>
    <row r="17" spans="1:16" customFormat="1" x14ac:dyDescent="0.35">
      <c r="A17" s="2" t="s">
        <v>745</v>
      </c>
      <c r="B17" s="3">
        <f t="shared" si="2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4" t="s">
        <v>137</v>
      </c>
      <c r="H17" s="4" t="s">
        <v>127</v>
      </c>
      <c r="I17" s="4" t="s">
        <v>18</v>
      </c>
      <c r="J17" s="4">
        <v>10612661</v>
      </c>
      <c r="K17" s="4" t="s">
        <v>153</v>
      </c>
      <c r="L17" s="4" t="s">
        <v>157</v>
      </c>
      <c r="M17" s="5">
        <v>99900</v>
      </c>
      <c r="N17" s="6">
        <v>0.8</v>
      </c>
      <c r="O17" s="7">
        <f t="shared" si="1"/>
        <v>19980</v>
      </c>
      <c r="P17" s="6" t="s">
        <v>740</v>
      </c>
    </row>
    <row r="18" spans="1:16" customFormat="1" x14ac:dyDescent="0.35">
      <c r="A18" s="2" t="s">
        <v>745</v>
      </c>
      <c r="B18" s="3">
        <f t="shared" si="2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4" t="s">
        <v>137</v>
      </c>
      <c r="H18" s="4" t="s">
        <v>127</v>
      </c>
      <c r="I18" s="4" t="s">
        <v>18</v>
      </c>
      <c r="J18" s="4">
        <v>16009151</v>
      </c>
      <c r="K18" s="4" t="s">
        <v>158</v>
      </c>
      <c r="L18" s="4" t="s">
        <v>159</v>
      </c>
      <c r="M18" s="5">
        <v>99900</v>
      </c>
      <c r="N18" s="6">
        <v>0.8</v>
      </c>
      <c r="O18" s="7">
        <f t="shared" si="1"/>
        <v>19980</v>
      </c>
      <c r="P18" s="6" t="s">
        <v>740</v>
      </c>
    </row>
    <row r="19" spans="1:16" customFormat="1" x14ac:dyDescent="0.35">
      <c r="A19" s="2" t="s">
        <v>745</v>
      </c>
      <c r="B19" s="3">
        <f t="shared" si="2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4" t="s">
        <v>137</v>
      </c>
      <c r="H19" s="4" t="s">
        <v>127</v>
      </c>
      <c r="I19" s="4" t="s">
        <v>18</v>
      </c>
      <c r="J19" s="4">
        <v>16009160</v>
      </c>
      <c r="K19" s="4" t="s">
        <v>158</v>
      </c>
      <c r="L19" s="4" t="s">
        <v>160</v>
      </c>
      <c r="M19" s="5">
        <v>99900</v>
      </c>
      <c r="N19" s="6">
        <v>0.8</v>
      </c>
      <c r="O19" s="7">
        <f t="shared" si="1"/>
        <v>19980</v>
      </c>
      <c r="P19" s="6" t="s">
        <v>740</v>
      </c>
    </row>
    <row r="20" spans="1:16" customFormat="1" x14ac:dyDescent="0.35">
      <c r="A20" s="2" t="s">
        <v>745</v>
      </c>
      <c r="B20" s="3">
        <f t="shared" si="2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4" t="s">
        <v>137</v>
      </c>
      <c r="H20" s="4" t="s">
        <v>127</v>
      </c>
      <c r="I20" s="4" t="s">
        <v>18</v>
      </c>
      <c r="J20" s="4">
        <v>16009179</v>
      </c>
      <c r="K20" s="4" t="s">
        <v>158</v>
      </c>
      <c r="L20" s="4" t="s">
        <v>161</v>
      </c>
      <c r="M20" s="5">
        <v>99900</v>
      </c>
      <c r="N20" s="6">
        <v>0.8</v>
      </c>
      <c r="O20" s="7">
        <f t="shared" si="1"/>
        <v>19980</v>
      </c>
      <c r="P20" s="6" t="s">
        <v>740</v>
      </c>
    </row>
    <row r="21" spans="1:16" customFormat="1" x14ac:dyDescent="0.35">
      <c r="A21" s="2" t="s">
        <v>745</v>
      </c>
      <c r="B21" s="3">
        <f t="shared" si="2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4" t="s">
        <v>137</v>
      </c>
      <c r="H21" s="4" t="s">
        <v>127</v>
      </c>
      <c r="I21" s="4" t="s">
        <v>18</v>
      </c>
      <c r="J21" s="4">
        <v>16009188</v>
      </c>
      <c r="K21" s="4" t="s">
        <v>158</v>
      </c>
      <c r="L21" s="4" t="s">
        <v>162</v>
      </c>
      <c r="M21" s="5">
        <v>99900</v>
      </c>
      <c r="N21" s="6">
        <v>0.8</v>
      </c>
      <c r="O21" s="7">
        <f t="shared" si="1"/>
        <v>19980</v>
      </c>
      <c r="P21" s="6" t="s">
        <v>740</v>
      </c>
    </row>
    <row r="22" spans="1:16" customFormat="1" x14ac:dyDescent="0.35">
      <c r="A22" s="2" t="s">
        <v>745</v>
      </c>
      <c r="B22" s="3">
        <f t="shared" si="2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4" t="s">
        <v>137</v>
      </c>
      <c r="H22" s="4" t="s">
        <v>127</v>
      </c>
      <c r="I22" s="4" t="s">
        <v>18</v>
      </c>
      <c r="J22" s="4">
        <v>16009197</v>
      </c>
      <c r="K22" s="4" t="s">
        <v>163</v>
      </c>
      <c r="L22" s="4" t="s">
        <v>164</v>
      </c>
      <c r="M22" s="5">
        <v>99900</v>
      </c>
      <c r="N22" s="6">
        <v>0.8</v>
      </c>
      <c r="O22" s="7">
        <f t="shared" si="1"/>
        <v>19980</v>
      </c>
      <c r="P22" s="6" t="s">
        <v>740</v>
      </c>
    </row>
    <row r="23" spans="1:16" customFormat="1" x14ac:dyDescent="0.35">
      <c r="A23" s="2" t="s">
        <v>745</v>
      </c>
      <c r="B23" s="3">
        <f t="shared" si="2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4" t="s">
        <v>137</v>
      </c>
      <c r="H23" s="4" t="s">
        <v>127</v>
      </c>
      <c r="I23" s="4" t="s">
        <v>18</v>
      </c>
      <c r="J23" s="4">
        <v>16009204</v>
      </c>
      <c r="K23" s="4" t="s">
        <v>163</v>
      </c>
      <c r="L23" s="4" t="s">
        <v>165</v>
      </c>
      <c r="M23" s="5">
        <v>99900</v>
      </c>
      <c r="N23" s="6">
        <v>0.8</v>
      </c>
      <c r="O23" s="7">
        <f t="shared" si="1"/>
        <v>19980</v>
      </c>
      <c r="P23" s="6" t="s">
        <v>740</v>
      </c>
    </row>
    <row r="24" spans="1:16" customFormat="1" x14ac:dyDescent="0.35">
      <c r="A24" s="2" t="s">
        <v>745</v>
      </c>
      <c r="B24" s="3">
        <f t="shared" si="2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4" t="s">
        <v>137</v>
      </c>
      <c r="H24" s="4" t="s">
        <v>127</v>
      </c>
      <c r="I24" s="4" t="s">
        <v>18</v>
      </c>
      <c r="J24" s="4">
        <v>16009213</v>
      </c>
      <c r="K24" s="4" t="s">
        <v>163</v>
      </c>
      <c r="L24" s="4" t="s">
        <v>166</v>
      </c>
      <c r="M24" s="5">
        <v>99900</v>
      </c>
      <c r="N24" s="6">
        <v>0.8</v>
      </c>
      <c r="O24" s="7">
        <f t="shared" si="1"/>
        <v>19980</v>
      </c>
      <c r="P24" s="6" t="s">
        <v>740</v>
      </c>
    </row>
    <row r="25" spans="1:16" customFormat="1" x14ac:dyDescent="0.35">
      <c r="A25" s="2" t="s">
        <v>745</v>
      </c>
      <c r="B25" s="3">
        <f t="shared" si="2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4" t="s">
        <v>137</v>
      </c>
      <c r="H25" s="4" t="s">
        <v>127</v>
      </c>
      <c r="I25" s="4" t="s">
        <v>18</v>
      </c>
      <c r="J25" s="4">
        <v>16009222</v>
      </c>
      <c r="K25" s="4" t="s">
        <v>163</v>
      </c>
      <c r="L25" s="4" t="s">
        <v>167</v>
      </c>
      <c r="M25" s="5">
        <v>99900</v>
      </c>
      <c r="N25" s="6">
        <v>0.8</v>
      </c>
      <c r="O25" s="7">
        <f t="shared" si="1"/>
        <v>19980</v>
      </c>
      <c r="P25" s="6" t="s">
        <v>740</v>
      </c>
    </row>
    <row r="26" spans="1:16" customFormat="1" x14ac:dyDescent="0.35">
      <c r="A26" s="2" t="s">
        <v>745</v>
      </c>
      <c r="B26" s="3">
        <f t="shared" si="2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4" t="s">
        <v>137</v>
      </c>
      <c r="H26" s="4" t="s">
        <v>127</v>
      </c>
      <c r="I26" s="4" t="s">
        <v>18</v>
      </c>
      <c r="J26" s="4">
        <v>16035177</v>
      </c>
      <c r="K26" s="4" t="s">
        <v>168</v>
      </c>
      <c r="L26" s="4" t="s">
        <v>169</v>
      </c>
      <c r="M26" s="5">
        <v>99900</v>
      </c>
      <c r="N26" s="6">
        <v>0.8</v>
      </c>
      <c r="O26" s="7">
        <f t="shared" si="1"/>
        <v>19980</v>
      </c>
      <c r="P26" s="6" t="s">
        <v>740</v>
      </c>
    </row>
    <row r="27" spans="1:16" customFormat="1" x14ac:dyDescent="0.35">
      <c r="A27" s="2" t="s">
        <v>745</v>
      </c>
      <c r="B27" s="3">
        <f t="shared" si="2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4" t="s">
        <v>137</v>
      </c>
      <c r="H27" s="4" t="s">
        <v>127</v>
      </c>
      <c r="I27" s="4" t="s">
        <v>18</v>
      </c>
      <c r="J27" s="4">
        <v>16035186</v>
      </c>
      <c r="K27" s="4" t="s">
        <v>168</v>
      </c>
      <c r="L27" s="4" t="s">
        <v>170</v>
      </c>
      <c r="M27" s="5">
        <v>99900</v>
      </c>
      <c r="N27" s="6">
        <v>0.8</v>
      </c>
      <c r="O27" s="7">
        <f t="shared" si="1"/>
        <v>19980</v>
      </c>
      <c r="P27" s="6" t="s">
        <v>740</v>
      </c>
    </row>
    <row r="28" spans="1:16" customFormat="1" x14ac:dyDescent="0.35">
      <c r="A28" s="2" t="s">
        <v>745</v>
      </c>
      <c r="B28" s="3">
        <f t="shared" si="2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4" t="s">
        <v>137</v>
      </c>
      <c r="H28" s="4" t="s">
        <v>127</v>
      </c>
      <c r="I28" s="4" t="s">
        <v>18</v>
      </c>
      <c r="J28" s="4">
        <v>16035195</v>
      </c>
      <c r="K28" s="4" t="s">
        <v>168</v>
      </c>
      <c r="L28" s="4" t="s">
        <v>171</v>
      </c>
      <c r="M28" s="5">
        <v>99900</v>
      </c>
      <c r="N28" s="6">
        <v>0.8</v>
      </c>
      <c r="O28" s="7">
        <f t="shared" si="1"/>
        <v>19980</v>
      </c>
      <c r="P28" s="6" t="s">
        <v>740</v>
      </c>
    </row>
    <row r="29" spans="1:16" customFormat="1" x14ac:dyDescent="0.35">
      <c r="A29" s="2" t="s">
        <v>745</v>
      </c>
      <c r="B29" s="3">
        <f t="shared" si="2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4" t="s">
        <v>137</v>
      </c>
      <c r="H29" s="4" t="s">
        <v>127</v>
      </c>
      <c r="I29" s="4" t="s">
        <v>18</v>
      </c>
      <c r="J29" s="4">
        <v>16035202</v>
      </c>
      <c r="K29" s="4" t="s">
        <v>168</v>
      </c>
      <c r="L29" s="4" t="s">
        <v>172</v>
      </c>
      <c r="M29" s="5">
        <v>99900</v>
      </c>
      <c r="N29" s="6">
        <v>0.8</v>
      </c>
      <c r="O29" s="7">
        <f t="shared" si="1"/>
        <v>19980</v>
      </c>
      <c r="P29" s="6" t="s">
        <v>740</v>
      </c>
    </row>
  </sheetData>
  <autoFilter ref="A1:P2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7"/>
  <sheetViews>
    <sheetView zoomScale="50" workbookViewId="0">
      <selection activeCell="B2" sqref="B2:C3"/>
    </sheetView>
  </sheetViews>
  <sheetFormatPr defaultColWidth="8.81640625" defaultRowHeight="14.5" x14ac:dyDescent="0.35"/>
  <cols>
    <col min="1" max="1" width="55" style="8" bestFit="1" customWidth="1"/>
    <col min="2" max="2" width="15.36328125" style="8" bestFit="1" customWidth="1"/>
    <col min="3" max="3" width="12.6328125" style="8" bestFit="1" customWidth="1"/>
    <col min="4" max="4" width="9.7265625" style="8" bestFit="1" customWidth="1"/>
    <col min="5" max="5" width="11.7265625" style="8" bestFit="1" customWidth="1"/>
    <col min="6" max="6" width="13" style="8" bestFit="1" customWidth="1"/>
    <col min="7" max="7" width="15.453125" style="8" bestFit="1" customWidth="1"/>
    <col min="8" max="8" width="34.1796875" style="8" bestFit="1" customWidth="1"/>
    <col min="9" max="9" width="11.26953125" style="8" bestFit="1" customWidth="1"/>
    <col min="10" max="10" width="9.453125" style="8" bestFit="1" customWidth="1"/>
    <col min="11" max="11" width="12.08984375" style="8" bestFit="1" customWidth="1"/>
    <col min="12" max="12" width="86" style="8" bestFit="1" customWidth="1"/>
    <col min="13" max="13" width="19.36328125" style="8" bestFit="1" customWidth="1"/>
    <col min="14" max="14" width="11.81640625" style="8" bestFit="1" customWidth="1"/>
    <col min="15" max="15" width="18.54296875" style="8" bestFit="1" customWidth="1"/>
    <col min="16" max="16" width="18.7265625" style="8" bestFit="1" customWidth="1"/>
    <col min="17" max="16384" width="8.81640625" style="8"/>
  </cols>
  <sheetData>
    <row r="1" spans="1:16" x14ac:dyDescent="0.35">
      <c r="A1" s="9" t="s">
        <v>0</v>
      </c>
      <c r="B1" s="9" t="s">
        <v>15</v>
      </c>
      <c r="C1" s="9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9" t="s">
        <v>14</v>
      </c>
      <c r="N1" s="9" t="s">
        <v>8</v>
      </c>
      <c r="O1" s="9" t="s">
        <v>9</v>
      </c>
      <c r="P1" s="9" t="s">
        <v>10</v>
      </c>
    </row>
    <row r="2" spans="1:16" x14ac:dyDescent="0.35">
      <c r="A2" s="2" t="s">
        <v>746</v>
      </c>
      <c r="B2" s="3">
        <f>'2023 H2 3342 D80'!B2</f>
        <v>46086</v>
      </c>
      <c r="C2" s="3">
        <f>'2023 H2 3342 D80'!C2</f>
        <v>46092</v>
      </c>
      <c r="D2" s="2">
        <v>3342</v>
      </c>
      <c r="E2" s="2">
        <v>333</v>
      </c>
      <c r="F2" s="2">
        <v>3</v>
      </c>
      <c r="G2" s="10" t="s">
        <v>173</v>
      </c>
      <c r="H2" s="10" t="s">
        <v>174</v>
      </c>
      <c r="I2" s="10" t="s">
        <v>18</v>
      </c>
      <c r="J2" s="10">
        <v>10611591</v>
      </c>
      <c r="K2" s="10" t="s">
        <v>175</v>
      </c>
      <c r="L2" s="10" t="s">
        <v>176</v>
      </c>
      <c r="M2" s="11">
        <v>149900</v>
      </c>
      <c r="N2" s="6">
        <v>0.8</v>
      </c>
      <c r="O2" s="7">
        <f>M2-(M2*N2)</f>
        <v>29980</v>
      </c>
      <c r="P2" s="6" t="s">
        <v>740</v>
      </c>
    </row>
    <row r="3" spans="1:16" x14ac:dyDescent="0.35">
      <c r="A3" s="2" t="s">
        <v>746</v>
      </c>
      <c r="B3" s="3">
        <f>B2</f>
        <v>46086</v>
      </c>
      <c r="C3" s="3">
        <f>C2</f>
        <v>46092</v>
      </c>
      <c r="D3" s="2">
        <v>3342</v>
      </c>
      <c r="E3" s="2">
        <v>333</v>
      </c>
      <c r="F3" s="2">
        <v>3</v>
      </c>
      <c r="G3" s="10" t="s">
        <v>173</v>
      </c>
      <c r="H3" s="10" t="s">
        <v>174</v>
      </c>
      <c r="I3" s="10" t="s">
        <v>18</v>
      </c>
      <c r="J3" s="10">
        <v>10611608</v>
      </c>
      <c r="K3" s="10" t="s">
        <v>175</v>
      </c>
      <c r="L3" s="10" t="s">
        <v>177</v>
      </c>
      <c r="M3" s="11">
        <v>149900</v>
      </c>
      <c r="N3" s="6">
        <v>0.8</v>
      </c>
      <c r="O3" s="7">
        <f t="shared" ref="O3:O66" si="0">M3-(M3*N3)</f>
        <v>29980</v>
      </c>
      <c r="P3" s="6" t="s">
        <v>740</v>
      </c>
    </row>
    <row r="4" spans="1:16" x14ac:dyDescent="0.35">
      <c r="A4" s="2" t="s">
        <v>746</v>
      </c>
      <c r="B4" s="3">
        <f t="shared" ref="B4:B67" si="1">B3</f>
        <v>46086</v>
      </c>
      <c r="C4" s="3">
        <f t="shared" ref="C4:C67" si="2">C3</f>
        <v>46092</v>
      </c>
      <c r="D4" s="2">
        <v>3342</v>
      </c>
      <c r="E4" s="2">
        <v>333</v>
      </c>
      <c r="F4" s="2">
        <v>3</v>
      </c>
      <c r="G4" s="10" t="s">
        <v>173</v>
      </c>
      <c r="H4" s="10" t="s">
        <v>174</v>
      </c>
      <c r="I4" s="10" t="s">
        <v>18</v>
      </c>
      <c r="J4" s="10">
        <v>10611617</v>
      </c>
      <c r="K4" s="10" t="s">
        <v>175</v>
      </c>
      <c r="L4" s="10" t="s">
        <v>178</v>
      </c>
      <c r="M4" s="11">
        <v>149900</v>
      </c>
      <c r="N4" s="6">
        <v>0.8</v>
      </c>
      <c r="O4" s="7">
        <f t="shared" si="0"/>
        <v>29980</v>
      </c>
      <c r="P4" s="6" t="s">
        <v>740</v>
      </c>
    </row>
    <row r="5" spans="1:16" x14ac:dyDescent="0.35">
      <c r="A5" s="2" t="s">
        <v>746</v>
      </c>
      <c r="B5" s="3">
        <f t="shared" si="1"/>
        <v>46086</v>
      </c>
      <c r="C5" s="3">
        <f t="shared" si="2"/>
        <v>46092</v>
      </c>
      <c r="D5" s="2">
        <v>3342</v>
      </c>
      <c r="E5" s="2">
        <v>333</v>
      </c>
      <c r="F5" s="2">
        <v>3</v>
      </c>
      <c r="G5" s="10" t="s">
        <v>173</v>
      </c>
      <c r="H5" s="10" t="s">
        <v>174</v>
      </c>
      <c r="I5" s="10" t="s">
        <v>18</v>
      </c>
      <c r="J5" s="10">
        <v>10611626</v>
      </c>
      <c r="K5" s="10" t="s">
        <v>175</v>
      </c>
      <c r="L5" s="10" t="s">
        <v>179</v>
      </c>
      <c r="M5" s="11">
        <v>149900</v>
      </c>
      <c r="N5" s="6">
        <v>0.8</v>
      </c>
      <c r="O5" s="7">
        <f t="shared" si="0"/>
        <v>29980</v>
      </c>
      <c r="P5" s="6" t="s">
        <v>740</v>
      </c>
    </row>
    <row r="6" spans="1:16" x14ac:dyDescent="0.35">
      <c r="A6" s="2" t="s">
        <v>746</v>
      </c>
      <c r="B6" s="3">
        <f t="shared" si="1"/>
        <v>46086</v>
      </c>
      <c r="C6" s="3">
        <f t="shared" si="2"/>
        <v>46092</v>
      </c>
      <c r="D6" s="2">
        <v>3342</v>
      </c>
      <c r="E6" s="2">
        <v>333</v>
      </c>
      <c r="F6" s="2">
        <v>3</v>
      </c>
      <c r="G6" s="10" t="s">
        <v>173</v>
      </c>
      <c r="H6" s="10" t="s">
        <v>174</v>
      </c>
      <c r="I6" s="10" t="s">
        <v>18</v>
      </c>
      <c r="J6" s="10">
        <v>10611671</v>
      </c>
      <c r="K6" s="10" t="s">
        <v>180</v>
      </c>
      <c r="L6" s="10" t="s">
        <v>181</v>
      </c>
      <c r="M6" s="11">
        <v>149900</v>
      </c>
      <c r="N6" s="6">
        <v>0.8</v>
      </c>
      <c r="O6" s="7">
        <f t="shared" si="0"/>
        <v>29980</v>
      </c>
      <c r="P6" s="6" t="s">
        <v>740</v>
      </c>
    </row>
    <row r="7" spans="1:16" x14ac:dyDescent="0.35">
      <c r="A7" s="2" t="s">
        <v>746</v>
      </c>
      <c r="B7" s="3">
        <f t="shared" si="1"/>
        <v>46086</v>
      </c>
      <c r="C7" s="3">
        <f t="shared" si="2"/>
        <v>46092</v>
      </c>
      <c r="D7" s="2">
        <v>3342</v>
      </c>
      <c r="E7" s="2">
        <v>333</v>
      </c>
      <c r="F7" s="2">
        <v>3</v>
      </c>
      <c r="G7" s="10" t="s">
        <v>173</v>
      </c>
      <c r="H7" s="10" t="s">
        <v>174</v>
      </c>
      <c r="I7" s="10" t="s">
        <v>18</v>
      </c>
      <c r="J7" s="10">
        <v>10611680</v>
      </c>
      <c r="K7" s="10" t="s">
        <v>180</v>
      </c>
      <c r="L7" s="10" t="s">
        <v>182</v>
      </c>
      <c r="M7" s="11">
        <v>149900</v>
      </c>
      <c r="N7" s="6">
        <v>0.8</v>
      </c>
      <c r="O7" s="7">
        <f t="shared" si="0"/>
        <v>29980</v>
      </c>
      <c r="P7" s="6" t="s">
        <v>740</v>
      </c>
    </row>
    <row r="8" spans="1:16" x14ac:dyDescent="0.35">
      <c r="A8" s="2" t="s">
        <v>746</v>
      </c>
      <c r="B8" s="3">
        <f t="shared" si="1"/>
        <v>46086</v>
      </c>
      <c r="C8" s="3">
        <f t="shared" si="2"/>
        <v>46092</v>
      </c>
      <c r="D8" s="2">
        <v>3342</v>
      </c>
      <c r="E8" s="2">
        <v>333</v>
      </c>
      <c r="F8" s="2">
        <v>3</v>
      </c>
      <c r="G8" s="10" t="s">
        <v>173</v>
      </c>
      <c r="H8" s="10" t="s">
        <v>174</v>
      </c>
      <c r="I8" s="10" t="s">
        <v>18</v>
      </c>
      <c r="J8" s="10">
        <v>10611699</v>
      </c>
      <c r="K8" s="10" t="s">
        <v>180</v>
      </c>
      <c r="L8" s="10" t="s">
        <v>183</v>
      </c>
      <c r="M8" s="11">
        <v>149900</v>
      </c>
      <c r="N8" s="6">
        <v>0.8</v>
      </c>
      <c r="O8" s="7">
        <f t="shared" si="0"/>
        <v>29980</v>
      </c>
      <c r="P8" s="6" t="s">
        <v>740</v>
      </c>
    </row>
    <row r="9" spans="1:16" x14ac:dyDescent="0.35">
      <c r="A9" s="2" t="s">
        <v>746</v>
      </c>
      <c r="B9" s="3">
        <f t="shared" si="1"/>
        <v>46086</v>
      </c>
      <c r="C9" s="3">
        <f t="shared" si="2"/>
        <v>46092</v>
      </c>
      <c r="D9" s="2">
        <v>3342</v>
      </c>
      <c r="E9" s="2">
        <v>333</v>
      </c>
      <c r="F9" s="2">
        <v>3</v>
      </c>
      <c r="G9" s="10" t="s">
        <v>173</v>
      </c>
      <c r="H9" s="10" t="s">
        <v>174</v>
      </c>
      <c r="I9" s="10" t="s">
        <v>18</v>
      </c>
      <c r="J9" s="10">
        <v>10611706</v>
      </c>
      <c r="K9" s="10" t="s">
        <v>180</v>
      </c>
      <c r="L9" s="10" t="s">
        <v>184</v>
      </c>
      <c r="M9" s="11">
        <v>149900</v>
      </c>
      <c r="N9" s="6">
        <v>0.8</v>
      </c>
      <c r="O9" s="7">
        <f t="shared" si="0"/>
        <v>29980</v>
      </c>
      <c r="P9" s="6" t="s">
        <v>740</v>
      </c>
    </row>
    <row r="10" spans="1:16" x14ac:dyDescent="0.35">
      <c r="A10" s="2" t="s">
        <v>746</v>
      </c>
      <c r="B10" s="3">
        <f t="shared" si="1"/>
        <v>46086</v>
      </c>
      <c r="C10" s="3">
        <f t="shared" si="2"/>
        <v>46092</v>
      </c>
      <c r="D10" s="2">
        <v>3342</v>
      </c>
      <c r="E10" s="2">
        <v>333</v>
      </c>
      <c r="F10" s="2">
        <v>3</v>
      </c>
      <c r="G10" s="10" t="s">
        <v>173</v>
      </c>
      <c r="H10" s="10" t="s">
        <v>174</v>
      </c>
      <c r="I10" s="10" t="s">
        <v>18</v>
      </c>
      <c r="J10" s="10">
        <v>10611715</v>
      </c>
      <c r="K10" s="10" t="s">
        <v>185</v>
      </c>
      <c r="L10" s="10" t="s">
        <v>186</v>
      </c>
      <c r="M10" s="11">
        <v>149900</v>
      </c>
      <c r="N10" s="6">
        <v>0.8</v>
      </c>
      <c r="O10" s="7">
        <f t="shared" si="0"/>
        <v>29980</v>
      </c>
      <c r="P10" s="6" t="s">
        <v>740</v>
      </c>
    </row>
    <row r="11" spans="1:16" x14ac:dyDescent="0.35">
      <c r="A11" s="2" t="s">
        <v>746</v>
      </c>
      <c r="B11" s="3">
        <f t="shared" si="1"/>
        <v>46086</v>
      </c>
      <c r="C11" s="3">
        <f t="shared" si="2"/>
        <v>46092</v>
      </c>
      <c r="D11" s="2">
        <v>3342</v>
      </c>
      <c r="E11" s="2">
        <v>333</v>
      </c>
      <c r="F11" s="2">
        <v>3</v>
      </c>
      <c r="G11" s="10" t="s">
        <v>173</v>
      </c>
      <c r="H11" s="10" t="s">
        <v>174</v>
      </c>
      <c r="I11" s="10" t="s">
        <v>18</v>
      </c>
      <c r="J11" s="10">
        <v>10611724</v>
      </c>
      <c r="K11" s="10" t="s">
        <v>185</v>
      </c>
      <c r="L11" s="10" t="s">
        <v>187</v>
      </c>
      <c r="M11" s="11">
        <v>149900</v>
      </c>
      <c r="N11" s="6">
        <v>0.8</v>
      </c>
      <c r="O11" s="7">
        <f t="shared" si="0"/>
        <v>29980</v>
      </c>
      <c r="P11" s="6" t="s">
        <v>740</v>
      </c>
    </row>
    <row r="12" spans="1:16" x14ac:dyDescent="0.35">
      <c r="A12" s="2" t="s">
        <v>746</v>
      </c>
      <c r="B12" s="3">
        <f t="shared" si="1"/>
        <v>46086</v>
      </c>
      <c r="C12" s="3">
        <f t="shared" si="2"/>
        <v>46092</v>
      </c>
      <c r="D12" s="2">
        <v>3342</v>
      </c>
      <c r="E12" s="2">
        <v>333</v>
      </c>
      <c r="F12" s="2">
        <v>3</v>
      </c>
      <c r="G12" s="10" t="s">
        <v>173</v>
      </c>
      <c r="H12" s="10" t="s">
        <v>174</v>
      </c>
      <c r="I12" s="10" t="s">
        <v>18</v>
      </c>
      <c r="J12" s="10">
        <v>10611733</v>
      </c>
      <c r="K12" s="10" t="s">
        <v>185</v>
      </c>
      <c r="L12" s="10" t="s">
        <v>188</v>
      </c>
      <c r="M12" s="11">
        <v>149900</v>
      </c>
      <c r="N12" s="6">
        <v>0.8</v>
      </c>
      <c r="O12" s="7">
        <f t="shared" si="0"/>
        <v>29980</v>
      </c>
      <c r="P12" s="6" t="s">
        <v>740</v>
      </c>
    </row>
    <row r="13" spans="1:16" x14ac:dyDescent="0.35">
      <c r="A13" s="2" t="s">
        <v>746</v>
      </c>
      <c r="B13" s="3">
        <f t="shared" si="1"/>
        <v>46086</v>
      </c>
      <c r="C13" s="3">
        <f t="shared" si="2"/>
        <v>46092</v>
      </c>
      <c r="D13" s="2">
        <v>3342</v>
      </c>
      <c r="E13" s="2">
        <v>333</v>
      </c>
      <c r="F13" s="2">
        <v>3</v>
      </c>
      <c r="G13" s="10" t="s">
        <v>173</v>
      </c>
      <c r="H13" s="10" t="s">
        <v>174</v>
      </c>
      <c r="I13" s="10" t="s">
        <v>18</v>
      </c>
      <c r="J13" s="10">
        <v>10611742</v>
      </c>
      <c r="K13" s="10" t="s">
        <v>185</v>
      </c>
      <c r="L13" s="10" t="s">
        <v>189</v>
      </c>
      <c r="M13" s="11">
        <v>149900</v>
      </c>
      <c r="N13" s="6">
        <v>0.8</v>
      </c>
      <c r="O13" s="7">
        <f t="shared" si="0"/>
        <v>29980</v>
      </c>
      <c r="P13" s="6" t="s">
        <v>740</v>
      </c>
    </row>
    <row r="14" spans="1:16" x14ac:dyDescent="0.35">
      <c r="A14" s="2" t="s">
        <v>746</v>
      </c>
      <c r="B14" s="3">
        <f t="shared" si="1"/>
        <v>46086</v>
      </c>
      <c r="C14" s="3">
        <f t="shared" si="2"/>
        <v>46092</v>
      </c>
      <c r="D14" s="2">
        <v>3342</v>
      </c>
      <c r="E14" s="2">
        <v>333</v>
      </c>
      <c r="F14" s="2">
        <v>3</v>
      </c>
      <c r="G14" s="10" t="s">
        <v>173</v>
      </c>
      <c r="H14" s="10" t="s">
        <v>174</v>
      </c>
      <c r="I14" s="10" t="s">
        <v>18</v>
      </c>
      <c r="J14" s="10">
        <v>10611751</v>
      </c>
      <c r="K14" s="10" t="s">
        <v>190</v>
      </c>
      <c r="L14" s="10" t="s">
        <v>191</v>
      </c>
      <c r="M14" s="11">
        <v>149900</v>
      </c>
      <c r="N14" s="6">
        <v>0.8</v>
      </c>
      <c r="O14" s="7">
        <f t="shared" si="0"/>
        <v>29980</v>
      </c>
      <c r="P14" s="6" t="s">
        <v>740</v>
      </c>
    </row>
    <row r="15" spans="1:16" x14ac:dyDescent="0.35">
      <c r="A15" s="2" t="s">
        <v>746</v>
      </c>
      <c r="B15" s="3">
        <f t="shared" si="1"/>
        <v>46086</v>
      </c>
      <c r="C15" s="3">
        <f t="shared" si="2"/>
        <v>46092</v>
      </c>
      <c r="D15" s="2">
        <v>3342</v>
      </c>
      <c r="E15" s="2">
        <v>333</v>
      </c>
      <c r="F15" s="2">
        <v>3</v>
      </c>
      <c r="G15" s="10" t="s">
        <v>173</v>
      </c>
      <c r="H15" s="10" t="s">
        <v>174</v>
      </c>
      <c r="I15" s="10" t="s">
        <v>18</v>
      </c>
      <c r="J15" s="10">
        <v>10611760</v>
      </c>
      <c r="K15" s="10" t="s">
        <v>190</v>
      </c>
      <c r="L15" s="10" t="s">
        <v>192</v>
      </c>
      <c r="M15" s="11">
        <v>149900</v>
      </c>
      <c r="N15" s="6">
        <v>0.8</v>
      </c>
      <c r="O15" s="7">
        <f t="shared" si="0"/>
        <v>29980</v>
      </c>
      <c r="P15" s="6" t="s">
        <v>740</v>
      </c>
    </row>
    <row r="16" spans="1:16" x14ac:dyDescent="0.35">
      <c r="A16" s="2" t="s">
        <v>746</v>
      </c>
      <c r="B16" s="3">
        <f t="shared" si="1"/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10" t="s">
        <v>173</v>
      </c>
      <c r="H16" s="10" t="s">
        <v>174</v>
      </c>
      <c r="I16" s="10" t="s">
        <v>18</v>
      </c>
      <c r="J16" s="10">
        <v>10611779</v>
      </c>
      <c r="K16" s="10" t="s">
        <v>190</v>
      </c>
      <c r="L16" s="10" t="s">
        <v>193</v>
      </c>
      <c r="M16" s="11">
        <v>149900</v>
      </c>
      <c r="N16" s="6">
        <v>0.8</v>
      </c>
      <c r="O16" s="7">
        <f t="shared" si="0"/>
        <v>29980</v>
      </c>
      <c r="P16" s="6" t="s">
        <v>740</v>
      </c>
    </row>
    <row r="17" spans="1:16" x14ac:dyDescent="0.35">
      <c r="A17" s="2" t="s">
        <v>746</v>
      </c>
      <c r="B17" s="3">
        <f t="shared" si="1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10" t="s">
        <v>173</v>
      </c>
      <c r="H17" s="10" t="s">
        <v>174</v>
      </c>
      <c r="I17" s="10" t="s">
        <v>18</v>
      </c>
      <c r="J17" s="10">
        <v>10611788</v>
      </c>
      <c r="K17" s="10" t="s">
        <v>190</v>
      </c>
      <c r="L17" s="10" t="s">
        <v>194</v>
      </c>
      <c r="M17" s="11">
        <v>149900</v>
      </c>
      <c r="N17" s="6">
        <v>0.8</v>
      </c>
      <c r="O17" s="7">
        <f t="shared" si="0"/>
        <v>29980</v>
      </c>
      <c r="P17" s="6" t="s">
        <v>740</v>
      </c>
    </row>
    <row r="18" spans="1:16" x14ac:dyDescent="0.35">
      <c r="A18" s="2" t="s">
        <v>746</v>
      </c>
      <c r="B18" s="3">
        <f t="shared" si="1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10" t="s">
        <v>173</v>
      </c>
      <c r="H18" s="10" t="s">
        <v>174</v>
      </c>
      <c r="I18" s="10" t="s">
        <v>18</v>
      </c>
      <c r="J18" s="10">
        <v>10611831</v>
      </c>
      <c r="K18" s="10" t="s">
        <v>195</v>
      </c>
      <c r="L18" s="10" t="s">
        <v>196</v>
      </c>
      <c r="M18" s="11">
        <v>179900</v>
      </c>
      <c r="N18" s="6">
        <v>0.8</v>
      </c>
      <c r="O18" s="7">
        <f t="shared" si="0"/>
        <v>35980</v>
      </c>
      <c r="P18" s="6" t="s">
        <v>740</v>
      </c>
    </row>
    <row r="19" spans="1:16" x14ac:dyDescent="0.35">
      <c r="A19" s="2" t="s">
        <v>746</v>
      </c>
      <c r="B19" s="3">
        <f t="shared" si="1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10" t="s">
        <v>173</v>
      </c>
      <c r="H19" s="10" t="s">
        <v>174</v>
      </c>
      <c r="I19" s="10" t="s">
        <v>18</v>
      </c>
      <c r="J19" s="10">
        <v>10611840</v>
      </c>
      <c r="K19" s="10" t="s">
        <v>195</v>
      </c>
      <c r="L19" s="10" t="s">
        <v>197</v>
      </c>
      <c r="M19" s="11">
        <v>179900</v>
      </c>
      <c r="N19" s="6">
        <v>0.8</v>
      </c>
      <c r="O19" s="7">
        <f t="shared" si="0"/>
        <v>35980</v>
      </c>
      <c r="P19" s="6" t="s">
        <v>740</v>
      </c>
    </row>
    <row r="20" spans="1:16" x14ac:dyDescent="0.35">
      <c r="A20" s="2" t="s">
        <v>746</v>
      </c>
      <c r="B20" s="3">
        <f t="shared" si="1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10" t="s">
        <v>173</v>
      </c>
      <c r="H20" s="10" t="s">
        <v>174</v>
      </c>
      <c r="I20" s="10" t="s">
        <v>18</v>
      </c>
      <c r="J20" s="10">
        <v>10611859</v>
      </c>
      <c r="K20" s="10" t="s">
        <v>195</v>
      </c>
      <c r="L20" s="10" t="s">
        <v>198</v>
      </c>
      <c r="M20" s="11">
        <v>179900</v>
      </c>
      <c r="N20" s="6">
        <v>0.8</v>
      </c>
      <c r="O20" s="7">
        <f t="shared" si="0"/>
        <v>35980</v>
      </c>
      <c r="P20" s="6" t="s">
        <v>740</v>
      </c>
    </row>
    <row r="21" spans="1:16" x14ac:dyDescent="0.35">
      <c r="A21" s="2" t="s">
        <v>746</v>
      </c>
      <c r="B21" s="3">
        <f t="shared" si="1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10" t="s">
        <v>173</v>
      </c>
      <c r="H21" s="10" t="s">
        <v>174</v>
      </c>
      <c r="I21" s="10" t="s">
        <v>18</v>
      </c>
      <c r="J21" s="10">
        <v>10611868</v>
      </c>
      <c r="K21" s="10" t="s">
        <v>195</v>
      </c>
      <c r="L21" s="10" t="s">
        <v>199</v>
      </c>
      <c r="M21" s="11">
        <v>179900</v>
      </c>
      <c r="N21" s="6">
        <v>0.8</v>
      </c>
      <c r="O21" s="7">
        <f t="shared" si="0"/>
        <v>35980</v>
      </c>
      <c r="P21" s="6" t="s">
        <v>740</v>
      </c>
    </row>
    <row r="22" spans="1:16" x14ac:dyDescent="0.35">
      <c r="A22" s="2" t="s">
        <v>746</v>
      </c>
      <c r="B22" s="3">
        <f t="shared" si="1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10" t="s">
        <v>173</v>
      </c>
      <c r="H22" s="10" t="s">
        <v>174</v>
      </c>
      <c r="I22" s="10" t="s">
        <v>18</v>
      </c>
      <c r="J22" s="10">
        <v>10611877</v>
      </c>
      <c r="K22" s="10" t="s">
        <v>200</v>
      </c>
      <c r="L22" s="10" t="s">
        <v>201</v>
      </c>
      <c r="M22" s="11">
        <v>179900</v>
      </c>
      <c r="N22" s="6">
        <v>0.8</v>
      </c>
      <c r="O22" s="7">
        <f t="shared" si="0"/>
        <v>35980</v>
      </c>
      <c r="P22" s="6" t="s">
        <v>740</v>
      </c>
    </row>
    <row r="23" spans="1:16" x14ac:dyDescent="0.35">
      <c r="A23" s="2" t="s">
        <v>746</v>
      </c>
      <c r="B23" s="3">
        <f t="shared" si="1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10" t="s">
        <v>173</v>
      </c>
      <c r="H23" s="10" t="s">
        <v>174</v>
      </c>
      <c r="I23" s="10" t="s">
        <v>18</v>
      </c>
      <c r="J23" s="10">
        <v>10611886</v>
      </c>
      <c r="K23" s="10" t="s">
        <v>200</v>
      </c>
      <c r="L23" s="10" t="s">
        <v>202</v>
      </c>
      <c r="M23" s="11">
        <v>179900</v>
      </c>
      <c r="N23" s="6">
        <v>0.8</v>
      </c>
      <c r="O23" s="7">
        <f t="shared" si="0"/>
        <v>35980</v>
      </c>
      <c r="P23" s="6" t="s">
        <v>740</v>
      </c>
    </row>
    <row r="24" spans="1:16" x14ac:dyDescent="0.35">
      <c r="A24" s="2" t="s">
        <v>746</v>
      </c>
      <c r="B24" s="3">
        <f t="shared" si="1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10" t="s">
        <v>173</v>
      </c>
      <c r="H24" s="10" t="s">
        <v>174</v>
      </c>
      <c r="I24" s="10" t="s">
        <v>18</v>
      </c>
      <c r="J24" s="10">
        <v>10611895</v>
      </c>
      <c r="K24" s="10" t="s">
        <v>200</v>
      </c>
      <c r="L24" s="10" t="s">
        <v>203</v>
      </c>
      <c r="M24" s="11">
        <v>179900</v>
      </c>
      <c r="N24" s="6">
        <v>0.8</v>
      </c>
      <c r="O24" s="7">
        <f t="shared" si="0"/>
        <v>35980</v>
      </c>
      <c r="P24" s="6" t="s">
        <v>740</v>
      </c>
    </row>
    <row r="25" spans="1:16" x14ac:dyDescent="0.35">
      <c r="A25" s="2" t="s">
        <v>746</v>
      </c>
      <c r="B25" s="3">
        <f t="shared" si="1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10" t="s">
        <v>173</v>
      </c>
      <c r="H25" s="10" t="s">
        <v>174</v>
      </c>
      <c r="I25" s="10" t="s">
        <v>18</v>
      </c>
      <c r="J25" s="10">
        <v>10611902</v>
      </c>
      <c r="K25" s="10" t="s">
        <v>200</v>
      </c>
      <c r="L25" s="10" t="s">
        <v>204</v>
      </c>
      <c r="M25" s="11">
        <v>179900</v>
      </c>
      <c r="N25" s="6">
        <v>0.8</v>
      </c>
      <c r="O25" s="7">
        <f t="shared" si="0"/>
        <v>35980</v>
      </c>
      <c r="P25" s="6" t="s">
        <v>740</v>
      </c>
    </row>
    <row r="26" spans="1:16" x14ac:dyDescent="0.35">
      <c r="A26" s="2" t="s">
        <v>746</v>
      </c>
      <c r="B26" s="3">
        <f t="shared" si="1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10" t="s">
        <v>173</v>
      </c>
      <c r="H26" s="10" t="s">
        <v>174</v>
      </c>
      <c r="I26" s="10" t="s">
        <v>18</v>
      </c>
      <c r="J26" s="10">
        <v>13514440</v>
      </c>
      <c r="K26" s="10" t="s">
        <v>205</v>
      </c>
      <c r="L26" s="10" t="s">
        <v>206</v>
      </c>
      <c r="M26" s="11">
        <v>179900</v>
      </c>
      <c r="N26" s="6">
        <v>0.8</v>
      </c>
      <c r="O26" s="7">
        <f t="shared" si="0"/>
        <v>35980</v>
      </c>
      <c r="P26" s="6" t="s">
        <v>740</v>
      </c>
    </row>
    <row r="27" spans="1:16" x14ac:dyDescent="0.35">
      <c r="A27" s="2" t="s">
        <v>746</v>
      </c>
      <c r="B27" s="3">
        <f t="shared" si="1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10" t="s">
        <v>173</v>
      </c>
      <c r="H27" s="10" t="s">
        <v>174</v>
      </c>
      <c r="I27" s="10" t="s">
        <v>18</v>
      </c>
      <c r="J27" s="10">
        <v>13514459</v>
      </c>
      <c r="K27" s="10" t="s">
        <v>205</v>
      </c>
      <c r="L27" s="10" t="s">
        <v>207</v>
      </c>
      <c r="M27" s="11">
        <v>179900</v>
      </c>
      <c r="N27" s="6">
        <v>0.8</v>
      </c>
      <c r="O27" s="7">
        <f t="shared" si="0"/>
        <v>35980</v>
      </c>
      <c r="P27" s="6" t="s">
        <v>740</v>
      </c>
    </row>
    <row r="28" spans="1:16" x14ac:dyDescent="0.35">
      <c r="A28" s="2" t="s">
        <v>746</v>
      </c>
      <c r="B28" s="3">
        <f t="shared" si="1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10" t="s">
        <v>173</v>
      </c>
      <c r="H28" s="10" t="s">
        <v>174</v>
      </c>
      <c r="I28" s="10" t="s">
        <v>18</v>
      </c>
      <c r="J28" s="10">
        <v>13514468</v>
      </c>
      <c r="K28" s="10" t="s">
        <v>205</v>
      </c>
      <c r="L28" s="10" t="s">
        <v>208</v>
      </c>
      <c r="M28" s="11">
        <v>179900</v>
      </c>
      <c r="N28" s="6">
        <v>0.8</v>
      </c>
      <c r="O28" s="7">
        <f t="shared" si="0"/>
        <v>35980</v>
      </c>
      <c r="P28" s="6" t="s">
        <v>740</v>
      </c>
    </row>
    <row r="29" spans="1:16" x14ac:dyDescent="0.35">
      <c r="A29" s="2" t="s">
        <v>746</v>
      </c>
      <c r="B29" s="3">
        <f t="shared" si="1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10" t="s">
        <v>173</v>
      </c>
      <c r="H29" s="10" t="s">
        <v>174</v>
      </c>
      <c r="I29" s="10" t="s">
        <v>18</v>
      </c>
      <c r="J29" s="10">
        <v>13514477</v>
      </c>
      <c r="K29" s="10" t="s">
        <v>205</v>
      </c>
      <c r="L29" s="10" t="s">
        <v>209</v>
      </c>
      <c r="M29" s="11">
        <v>179900</v>
      </c>
      <c r="N29" s="6">
        <v>0.8</v>
      </c>
      <c r="O29" s="7">
        <f t="shared" si="0"/>
        <v>35980</v>
      </c>
      <c r="P29" s="6" t="s">
        <v>740</v>
      </c>
    </row>
    <row r="30" spans="1:16" x14ac:dyDescent="0.35">
      <c r="A30" s="2" t="s">
        <v>746</v>
      </c>
      <c r="B30" s="3">
        <f t="shared" si="1"/>
        <v>46086</v>
      </c>
      <c r="C30" s="3">
        <f t="shared" si="2"/>
        <v>46092</v>
      </c>
      <c r="D30" s="2">
        <v>3342</v>
      </c>
      <c r="E30" s="2">
        <v>333</v>
      </c>
      <c r="F30" s="2">
        <v>3</v>
      </c>
      <c r="G30" s="10" t="s">
        <v>173</v>
      </c>
      <c r="H30" s="10" t="s">
        <v>174</v>
      </c>
      <c r="I30" s="10" t="s">
        <v>18</v>
      </c>
      <c r="J30" s="10">
        <v>15127454</v>
      </c>
      <c r="K30" s="10" t="s">
        <v>210</v>
      </c>
      <c r="L30" s="10" t="s">
        <v>211</v>
      </c>
      <c r="M30" s="11">
        <v>149900</v>
      </c>
      <c r="N30" s="6">
        <v>0.8</v>
      </c>
      <c r="O30" s="7">
        <f t="shared" si="0"/>
        <v>29980</v>
      </c>
      <c r="P30" s="6" t="s">
        <v>740</v>
      </c>
    </row>
    <row r="31" spans="1:16" x14ac:dyDescent="0.35">
      <c r="A31" s="2" t="s">
        <v>746</v>
      </c>
      <c r="B31" s="3">
        <f t="shared" si="1"/>
        <v>46086</v>
      </c>
      <c r="C31" s="3">
        <f t="shared" si="2"/>
        <v>46092</v>
      </c>
      <c r="D31" s="2">
        <v>3342</v>
      </c>
      <c r="E31" s="2">
        <v>333</v>
      </c>
      <c r="F31" s="2">
        <v>3</v>
      </c>
      <c r="G31" s="10" t="s">
        <v>173</v>
      </c>
      <c r="H31" s="10" t="s">
        <v>174</v>
      </c>
      <c r="I31" s="10" t="s">
        <v>18</v>
      </c>
      <c r="J31" s="10">
        <v>15127463</v>
      </c>
      <c r="K31" s="10" t="s">
        <v>210</v>
      </c>
      <c r="L31" s="10" t="s">
        <v>212</v>
      </c>
      <c r="M31" s="11">
        <v>149900</v>
      </c>
      <c r="N31" s="6">
        <v>0.8</v>
      </c>
      <c r="O31" s="7">
        <f t="shared" si="0"/>
        <v>29980</v>
      </c>
      <c r="P31" s="6" t="s">
        <v>740</v>
      </c>
    </row>
    <row r="32" spans="1:16" x14ac:dyDescent="0.35">
      <c r="A32" s="2" t="s">
        <v>746</v>
      </c>
      <c r="B32" s="3">
        <f t="shared" si="1"/>
        <v>46086</v>
      </c>
      <c r="C32" s="3">
        <f t="shared" si="2"/>
        <v>46092</v>
      </c>
      <c r="D32" s="2">
        <v>3342</v>
      </c>
      <c r="E32" s="2">
        <v>333</v>
      </c>
      <c r="F32" s="2">
        <v>3</v>
      </c>
      <c r="G32" s="10" t="s">
        <v>173</v>
      </c>
      <c r="H32" s="10" t="s">
        <v>174</v>
      </c>
      <c r="I32" s="10" t="s">
        <v>18</v>
      </c>
      <c r="J32" s="10">
        <v>15127472</v>
      </c>
      <c r="K32" s="10" t="s">
        <v>210</v>
      </c>
      <c r="L32" s="10" t="s">
        <v>213</v>
      </c>
      <c r="M32" s="11">
        <v>149900</v>
      </c>
      <c r="N32" s="6">
        <v>0.8</v>
      </c>
      <c r="O32" s="7">
        <f t="shared" si="0"/>
        <v>29980</v>
      </c>
      <c r="P32" s="6" t="s">
        <v>740</v>
      </c>
    </row>
    <row r="33" spans="1:16" x14ac:dyDescent="0.35">
      <c r="A33" s="2" t="s">
        <v>746</v>
      </c>
      <c r="B33" s="3">
        <f t="shared" si="1"/>
        <v>46086</v>
      </c>
      <c r="C33" s="3">
        <f t="shared" si="2"/>
        <v>46092</v>
      </c>
      <c r="D33" s="2">
        <v>3342</v>
      </c>
      <c r="E33" s="2">
        <v>333</v>
      </c>
      <c r="F33" s="2">
        <v>3</v>
      </c>
      <c r="G33" s="10" t="s">
        <v>173</v>
      </c>
      <c r="H33" s="10" t="s">
        <v>174</v>
      </c>
      <c r="I33" s="10" t="s">
        <v>18</v>
      </c>
      <c r="J33" s="10">
        <v>15127481</v>
      </c>
      <c r="K33" s="10" t="s">
        <v>210</v>
      </c>
      <c r="L33" s="10" t="s">
        <v>214</v>
      </c>
      <c r="M33" s="11">
        <v>149900</v>
      </c>
      <c r="N33" s="6">
        <v>0.8</v>
      </c>
      <c r="O33" s="7">
        <f t="shared" si="0"/>
        <v>29980</v>
      </c>
      <c r="P33" s="6" t="s">
        <v>740</v>
      </c>
    </row>
    <row r="34" spans="1:16" x14ac:dyDescent="0.35">
      <c r="A34" s="2" t="s">
        <v>746</v>
      </c>
      <c r="B34" s="3">
        <f t="shared" si="1"/>
        <v>46086</v>
      </c>
      <c r="C34" s="3">
        <f t="shared" si="2"/>
        <v>46092</v>
      </c>
      <c r="D34" s="2">
        <v>3342</v>
      </c>
      <c r="E34" s="2">
        <v>333</v>
      </c>
      <c r="F34" s="2">
        <v>3</v>
      </c>
      <c r="G34" s="10" t="s">
        <v>173</v>
      </c>
      <c r="H34" s="10" t="s">
        <v>174</v>
      </c>
      <c r="I34" s="10" t="s">
        <v>18</v>
      </c>
      <c r="J34" s="10">
        <v>15127490</v>
      </c>
      <c r="K34" s="10" t="s">
        <v>215</v>
      </c>
      <c r="L34" s="10" t="s">
        <v>216</v>
      </c>
      <c r="M34" s="11">
        <v>149900</v>
      </c>
      <c r="N34" s="6">
        <v>0.8</v>
      </c>
      <c r="O34" s="7">
        <f t="shared" si="0"/>
        <v>29980</v>
      </c>
      <c r="P34" s="6" t="s">
        <v>740</v>
      </c>
    </row>
    <row r="35" spans="1:16" x14ac:dyDescent="0.35">
      <c r="A35" s="2" t="s">
        <v>746</v>
      </c>
      <c r="B35" s="3">
        <f t="shared" si="1"/>
        <v>46086</v>
      </c>
      <c r="C35" s="3">
        <f t="shared" si="2"/>
        <v>46092</v>
      </c>
      <c r="D35" s="2">
        <v>3342</v>
      </c>
      <c r="E35" s="2">
        <v>333</v>
      </c>
      <c r="F35" s="2">
        <v>3</v>
      </c>
      <c r="G35" s="10" t="s">
        <v>173</v>
      </c>
      <c r="H35" s="10" t="s">
        <v>174</v>
      </c>
      <c r="I35" s="10" t="s">
        <v>18</v>
      </c>
      <c r="J35" s="10">
        <v>15127507</v>
      </c>
      <c r="K35" s="10" t="s">
        <v>215</v>
      </c>
      <c r="L35" s="10" t="s">
        <v>217</v>
      </c>
      <c r="M35" s="11">
        <v>149900</v>
      </c>
      <c r="N35" s="6">
        <v>0.8</v>
      </c>
      <c r="O35" s="7">
        <f t="shared" si="0"/>
        <v>29980</v>
      </c>
      <c r="P35" s="6" t="s">
        <v>740</v>
      </c>
    </row>
    <row r="36" spans="1:16" x14ac:dyDescent="0.35">
      <c r="A36" s="2" t="s">
        <v>746</v>
      </c>
      <c r="B36" s="3">
        <f t="shared" si="1"/>
        <v>46086</v>
      </c>
      <c r="C36" s="3">
        <f t="shared" si="2"/>
        <v>46092</v>
      </c>
      <c r="D36" s="2">
        <v>3342</v>
      </c>
      <c r="E36" s="2">
        <v>333</v>
      </c>
      <c r="F36" s="2">
        <v>3</v>
      </c>
      <c r="G36" s="10" t="s">
        <v>173</v>
      </c>
      <c r="H36" s="10" t="s">
        <v>174</v>
      </c>
      <c r="I36" s="10" t="s">
        <v>18</v>
      </c>
      <c r="J36" s="10">
        <v>15127516</v>
      </c>
      <c r="K36" s="10" t="s">
        <v>215</v>
      </c>
      <c r="L36" s="10" t="s">
        <v>218</v>
      </c>
      <c r="M36" s="11">
        <v>149900</v>
      </c>
      <c r="N36" s="6">
        <v>0.8</v>
      </c>
      <c r="O36" s="7">
        <f t="shared" si="0"/>
        <v>29980</v>
      </c>
      <c r="P36" s="6" t="s">
        <v>740</v>
      </c>
    </row>
    <row r="37" spans="1:16" x14ac:dyDescent="0.35">
      <c r="A37" s="2" t="s">
        <v>746</v>
      </c>
      <c r="B37" s="3">
        <f t="shared" si="1"/>
        <v>46086</v>
      </c>
      <c r="C37" s="3">
        <f t="shared" si="2"/>
        <v>46092</v>
      </c>
      <c r="D37" s="2">
        <v>3342</v>
      </c>
      <c r="E37" s="2">
        <v>333</v>
      </c>
      <c r="F37" s="2">
        <v>3</v>
      </c>
      <c r="G37" s="10" t="s">
        <v>173</v>
      </c>
      <c r="H37" s="10" t="s">
        <v>174</v>
      </c>
      <c r="I37" s="10" t="s">
        <v>18</v>
      </c>
      <c r="J37" s="10">
        <v>15127525</v>
      </c>
      <c r="K37" s="10" t="s">
        <v>215</v>
      </c>
      <c r="L37" s="10" t="s">
        <v>219</v>
      </c>
      <c r="M37" s="11">
        <v>149900</v>
      </c>
      <c r="N37" s="6">
        <v>0.8</v>
      </c>
      <c r="O37" s="7">
        <f t="shared" si="0"/>
        <v>29980</v>
      </c>
      <c r="P37" s="6" t="s">
        <v>740</v>
      </c>
    </row>
    <row r="38" spans="1:16" x14ac:dyDescent="0.35">
      <c r="A38" s="2" t="s">
        <v>746</v>
      </c>
      <c r="B38" s="3">
        <f t="shared" si="1"/>
        <v>46086</v>
      </c>
      <c r="C38" s="3">
        <f t="shared" si="2"/>
        <v>46092</v>
      </c>
      <c r="D38" s="2">
        <v>3342</v>
      </c>
      <c r="E38" s="2">
        <v>333</v>
      </c>
      <c r="F38" s="2">
        <v>3</v>
      </c>
      <c r="G38" s="10" t="s">
        <v>173</v>
      </c>
      <c r="H38" s="10" t="s">
        <v>174</v>
      </c>
      <c r="I38" s="10" t="s">
        <v>18</v>
      </c>
      <c r="J38" s="10">
        <v>16009071</v>
      </c>
      <c r="K38" s="10" t="s">
        <v>220</v>
      </c>
      <c r="L38" s="10" t="s">
        <v>221</v>
      </c>
      <c r="M38" s="11">
        <v>149900</v>
      </c>
      <c r="N38" s="6">
        <v>0.8</v>
      </c>
      <c r="O38" s="7">
        <f t="shared" si="0"/>
        <v>29980</v>
      </c>
      <c r="P38" s="6" t="s">
        <v>740</v>
      </c>
    </row>
    <row r="39" spans="1:16" x14ac:dyDescent="0.35">
      <c r="A39" s="2" t="s">
        <v>746</v>
      </c>
      <c r="B39" s="3">
        <f t="shared" si="1"/>
        <v>46086</v>
      </c>
      <c r="C39" s="3">
        <f t="shared" si="2"/>
        <v>46092</v>
      </c>
      <c r="D39" s="2">
        <v>3342</v>
      </c>
      <c r="E39" s="2">
        <v>333</v>
      </c>
      <c r="F39" s="2">
        <v>3</v>
      </c>
      <c r="G39" s="10" t="s">
        <v>173</v>
      </c>
      <c r="H39" s="10" t="s">
        <v>174</v>
      </c>
      <c r="I39" s="10" t="s">
        <v>18</v>
      </c>
      <c r="J39" s="10">
        <v>16009080</v>
      </c>
      <c r="K39" s="10" t="s">
        <v>220</v>
      </c>
      <c r="L39" s="10" t="s">
        <v>222</v>
      </c>
      <c r="M39" s="11">
        <v>149900</v>
      </c>
      <c r="N39" s="6">
        <v>0.8</v>
      </c>
      <c r="O39" s="7">
        <f t="shared" si="0"/>
        <v>29980</v>
      </c>
      <c r="P39" s="6" t="s">
        <v>740</v>
      </c>
    </row>
    <row r="40" spans="1:16" x14ac:dyDescent="0.35">
      <c r="A40" s="2" t="s">
        <v>746</v>
      </c>
      <c r="B40" s="3">
        <f t="shared" si="1"/>
        <v>46086</v>
      </c>
      <c r="C40" s="3">
        <f t="shared" si="2"/>
        <v>46092</v>
      </c>
      <c r="D40" s="2">
        <v>3342</v>
      </c>
      <c r="E40" s="2">
        <v>333</v>
      </c>
      <c r="F40" s="2">
        <v>3</v>
      </c>
      <c r="G40" s="10" t="s">
        <v>173</v>
      </c>
      <c r="H40" s="10" t="s">
        <v>174</v>
      </c>
      <c r="I40" s="10" t="s">
        <v>18</v>
      </c>
      <c r="J40" s="10">
        <v>16009099</v>
      </c>
      <c r="K40" s="10" t="s">
        <v>220</v>
      </c>
      <c r="L40" s="10" t="s">
        <v>223</v>
      </c>
      <c r="M40" s="11">
        <v>149900</v>
      </c>
      <c r="N40" s="6">
        <v>0.8</v>
      </c>
      <c r="O40" s="7">
        <f t="shared" si="0"/>
        <v>29980</v>
      </c>
      <c r="P40" s="6" t="s">
        <v>740</v>
      </c>
    </row>
    <row r="41" spans="1:16" x14ac:dyDescent="0.35">
      <c r="A41" s="2" t="s">
        <v>746</v>
      </c>
      <c r="B41" s="3">
        <f t="shared" si="1"/>
        <v>46086</v>
      </c>
      <c r="C41" s="3">
        <f t="shared" si="2"/>
        <v>46092</v>
      </c>
      <c r="D41" s="2">
        <v>3342</v>
      </c>
      <c r="E41" s="2">
        <v>333</v>
      </c>
      <c r="F41" s="2">
        <v>3</v>
      </c>
      <c r="G41" s="10" t="s">
        <v>173</v>
      </c>
      <c r="H41" s="10" t="s">
        <v>174</v>
      </c>
      <c r="I41" s="10" t="s">
        <v>18</v>
      </c>
      <c r="J41" s="10">
        <v>16009106</v>
      </c>
      <c r="K41" s="10" t="s">
        <v>220</v>
      </c>
      <c r="L41" s="10" t="s">
        <v>224</v>
      </c>
      <c r="M41" s="11">
        <v>149900</v>
      </c>
      <c r="N41" s="6">
        <v>0.8</v>
      </c>
      <c r="O41" s="7">
        <f t="shared" si="0"/>
        <v>29980</v>
      </c>
      <c r="P41" s="6" t="s">
        <v>740</v>
      </c>
    </row>
    <row r="42" spans="1:16" x14ac:dyDescent="0.35">
      <c r="A42" s="2" t="s">
        <v>746</v>
      </c>
      <c r="B42" s="3">
        <f t="shared" si="1"/>
        <v>46086</v>
      </c>
      <c r="C42" s="3">
        <f t="shared" si="2"/>
        <v>46092</v>
      </c>
      <c r="D42" s="2">
        <v>3342</v>
      </c>
      <c r="E42" s="2">
        <v>333</v>
      </c>
      <c r="F42" s="2">
        <v>3</v>
      </c>
      <c r="G42" s="10" t="s">
        <v>173</v>
      </c>
      <c r="H42" s="10" t="s">
        <v>174</v>
      </c>
      <c r="I42" s="10" t="s">
        <v>18</v>
      </c>
      <c r="J42" s="10">
        <v>16009115</v>
      </c>
      <c r="K42" s="10" t="s">
        <v>225</v>
      </c>
      <c r="L42" s="10" t="s">
        <v>226</v>
      </c>
      <c r="M42" s="11">
        <v>179900</v>
      </c>
      <c r="N42" s="6">
        <v>0.8</v>
      </c>
      <c r="O42" s="7">
        <f t="shared" si="0"/>
        <v>35980</v>
      </c>
      <c r="P42" s="6" t="s">
        <v>740</v>
      </c>
    </row>
    <row r="43" spans="1:16" x14ac:dyDescent="0.35">
      <c r="A43" s="2" t="s">
        <v>746</v>
      </c>
      <c r="B43" s="3">
        <f t="shared" si="1"/>
        <v>46086</v>
      </c>
      <c r="C43" s="3">
        <f t="shared" si="2"/>
        <v>46092</v>
      </c>
      <c r="D43" s="2">
        <v>3342</v>
      </c>
      <c r="E43" s="2">
        <v>333</v>
      </c>
      <c r="F43" s="2">
        <v>3</v>
      </c>
      <c r="G43" s="10" t="s">
        <v>173</v>
      </c>
      <c r="H43" s="10" t="s">
        <v>174</v>
      </c>
      <c r="I43" s="10" t="s">
        <v>18</v>
      </c>
      <c r="J43" s="10">
        <v>16009124</v>
      </c>
      <c r="K43" s="10" t="s">
        <v>225</v>
      </c>
      <c r="L43" s="10" t="s">
        <v>227</v>
      </c>
      <c r="M43" s="11">
        <v>179900</v>
      </c>
      <c r="N43" s="6">
        <v>0.8</v>
      </c>
      <c r="O43" s="7">
        <f t="shared" si="0"/>
        <v>35980</v>
      </c>
      <c r="P43" s="6" t="s">
        <v>740</v>
      </c>
    </row>
    <row r="44" spans="1:16" x14ac:dyDescent="0.35">
      <c r="A44" s="2" t="s">
        <v>746</v>
      </c>
      <c r="B44" s="3">
        <f t="shared" si="1"/>
        <v>46086</v>
      </c>
      <c r="C44" s="3">
        <f t="shared" si="2"/>
        <v>46092</v>
      </c>
      <c r="D44" s="2">
        <v>3342</v>
      </c>
      <c r="E44" s="2">
        <v>333</v>
      </c>
      <c r="F44" s="2">
        <v>3</v>
      </c>
      <c r="G44" s="10" t="s">
        <v>173</v>
      </c>
      <c r="H44" s="10" t="s">
        <v>174</v>
      </c>
      <c r="I44" s="10" t="s">
        <v>18</v>
      </c>
      <c r="J44" s="10">
        <v>16009133</v>
      </c>
      <c r="K44" s="10" t="s">
        <v>225</v>
      </c>
      <c r="L44" s="10" t="s">
        <v>228</v>
      </c>
      <c r="M44" s="11">
        <v>179900</v>
      </c>
      <c r="N44" s="6">
        <v>0.8</v>
      </c>
      <c r="O44" s="7">
        <f t="shared" si="0"/>
        <v>35980</v>
      </c>
      <c r="P44" s="6" t="s">
        <v>740</v>
      </c>
    </row>
    <row r="45" spans="1:16" x14ac:dyDescent="0.35">
      <c r="A45" s="2" t="s">
        <v>746</v>
      </c>
      <c r="B45" s="3">
        <f t="shared" si="1"/>
        <v>46086</v>
      </c>
      <c r="C45" s="3">
        <f t="shared" si="2"/>
        <v>46092</v>
      </c>
      <c r="D45" s="2">
        <v>3342</v>
      </c>
      <c r="E45" s="2">
        <v>333</v>
      </c>
      <c r="F45" s="2">
        <v>3</v>
      </c>
      <c r="G45" s="10" t="s">
        <v>173</v>
      </c>
      <c r="H45" s="10" t="s">
        <v>174</v>
      </c>
      <c r="I45" s="10" t="s">
        <v>18</v>
      </c>
      <c r="J45" s="10">
        <v>16009142</v>
      </c>
      <c r="K45" s="10" t="s">
        <v>225</v>
      </c>
      <c r="L45" s="10" t="s">
        <v>229</v>
      </c>
      <c r="M45" s="11">
        <v>179900</v>
      </c>
      <c r="N45" s="6">
        <v>0.8</v>
      </c>
      <c r="O45" s="7">
        <f t="shared" si="0"/>
        <v>35980</v>
      </c>
      <c r="P45" s="6" t="s">
        <v>740</v>
      </c>
    </row>
    <row r="46" spans="1:16" x14ac:dyDescent="0.35">
      <c r="A46" s="2" t="s">
        <v>746</v>
      </c>
      <c r="B46" s="3">
        <f t="shared" si="1"/>
        <v>46086</v>
      </c>
      <c r="C46" s="3">
        <f t="shared" si="2"/>
        <v>46092</v>
      </c>
      <c r="D46" s="2">
        <v>3342</v>
      </c>
      <c r="E46" s="2">
        <v>333</v>
      </c>
      <c r="F46" s="2">
        <v>3</v>
      </c>
      <c r="G46" s="10" t="s">
        <v>173</v>
      </c>
      <c r="H46" s="10" t="s">
        <v>174</v>
      </c>
      <c r="I46" s="10" t="s">
        <v>18</v>
      </c>
      <c r="J46" s="10">
        <v>16009875</v>
      </c>
      <c r="K46" s="10" t="s">
        <v>230</v>
      </c>
      <c r="L46" s="10" t="s">
        <v>231</v>
      </c>
      <c r="M46" s="11">
        <v>149900</v>
      </c>
      <c r="N46" s="6">
        <v>0.8</v>
      </c>
      <c r="O46" s="7">
        <f t="shared" si="0"/>
        <v>29980</v>
      </c>
      <c r="P46" s="6" t="s">
        <v>740</v>
      </c>
    </row>
    <row r="47" spans="1:16" x14ac:dyDescent="0.35">
      <c r="A47" s="2" t="s">
        <v>746</v>
      </c>
      <c r="B47" s="3">
        <f t="shared" si="1"/>
        <v>46086</v>
      </c>
      <c r="C47" s="3">
        <f t="shared" si="2"/>
        <v>46092</v>
      </c>
      <c r="D47" s="2">
        <v>3342</v>
      </c>
      <c r="E47" s="2">
        <v>333</v>
      </c>
      <c r="F47" s="2">
        <v>3</v>
      </c>
      <c r="G47" s="10" t="s">
        <v>173</v>
      </c>
      <c r="H47" s="10" t="s">
        <v>174</v>
      </c>
      <c r="I47" s="10" t="s">
        <v>18</v>
      </c>
      <c r="J47" s="10">
        <v>16009884</v>
      </c>
      <c r="K47" s="10" t="s">
        <v>230</v>
      </c>
      <c r="L47" s="10" t="s">
        <v>232</v>
      </c>
      <c r="M47" s="11">
        <v>149900</v>
      </c>
      <c r="N47" s="6">
        <v>0.8</v>
      </c>
      <c r="O47" s="7">
        <f t="shared" si="0"/>
        <v>29980</v>
      </c>
      <c r="P47" s="6" t="s">
        <v>740</v>
      </c>
    </row>
    <row r="48" spans="1:16" x14ac:dyDescent="0.35">
      <c r="A48" s="2" t="s">
        <v>746</v>
      </c>
      <c r="B48" s="3">
        <f t="shared" si="1"/>
        <v>46086</v>
      </c>
      <c r="C48" s="3">
        <f t="shared" si="2"/>
        <v>46092</v>
      </c>
      <c r="D48" s="2">
        <v>3342</v>
      </c>
      <c r="E48" s="2">
        <v>333</v>
      </c>
      <c r="F48" s="2">
        <v>3</v>
      </c>
      <c r="G48" s="10" t="s">
        <v>173</v>
      </c>
      <c r="H48" s="10" t="s">
        <v>174</v>
      </c>
      <c r="I48" s="10" t="s">
        <v>18</v>
      </c>
      <c r="J48" s="10">
        <v>16009893</v>
      </c>
      <c r="K48" s="10" t="s">
        <v>230</v>
      </c>
      <c r="L48" s="10" t="s">
        <v>233</v>
      </c>
      <c r="M48" s="11">
        <v>149900</v>
      </c>
      <c r="N48" s="6">
        <v>0.8</v>
      </c>
      <c r="O48" s="7">
        <f t="shared" si="0"/>
        <v>29980</v>
      </c>
      <c r="P48" s="6" t="s">
        <v>740</v>
      </c>
    </row>
    <row r="49" spans="1:16" x14ac:dyDescent="0.35">
      <c r="A49" s="2" t="s">
        <v>746</v>
      </c>
      <c r="B49" s="3">
        <f t="shared" si="1"/>
        <v>46086</v>
      </c>
      <c r="C49" s="3">
        <f t="shared" si="2"/>
        <v>46092</v>
      </c>
      <c r="D49" s="2">
        <v>3342</v>
      </c>
      <c r="E49" s="2">
        <v>333</v>
      </c>
      <c r="F49" s="2">
        <v>3</v>
      </c>
      <c r="G49" s="10" t="s">
        <v>173</v>
      </c>
      <c r="H49" s="10" t="s">
        <v>174</v>
      </c>
      <c r="I49" s="10" t="s">
        <v>18</v>
      </c>
      <c r="J49" s="10">
        <v>16009900</v>
      </c>
      <c r="K49" s="10" t="s">
        <v>230</v>
      </c>
      <c r="L49" s="10" t="s">
        <v>234</v>
      </c>
      <c r="M49" s="11">
        <v>149900</v>
      </c>
      <c r="N49" s="6">
        <v>0.8</v>
      </c>
      <c r="O49" s="7">
        <f t="shared" si="0"/>
        <v>29980</v>
      </c>
      <c r="P49" s="6" t="s">
        <v>740</v>
      </c>
    </row>
    <row r="50" spans="1:16" x14ac:dyDescent="0.35">
      <c r="A50" s="2" t="s">
        <v>746</v>
      </c>
      <c r="B50" s="3">
        <f t="shared" si="1"/>
        <v>46086</v>
      </c>
      <c r="C50" s="3">
        <f t="shared" si="2"/>
        <v>46092</v>
      </c>
      <c r="D50" s="2">
        <v>3342</v>
      </c>
      <c r="E50" s="2">
        <v>333</v>
      </c>
      <c r="F50" s="2">
        <v>3</v>
      </c>
      <c r="G50" s="10" t="s">
        <v>173</v>
      </c>
      <c r="H50" s="10" t="s">
        <v>174</v>
      </c>
      <c r="I50" s="10" t="s">
        <v>18</v>
      </c>
      <c r="J50" s="10">
        <v>16009919</v>
      </c>
      <c r="K50" s="10" t="s">
        <v>235</v>
      </c>
      <c r="L50" s="10" t="s">
        <v>236</v>
      </c>
      <c r="M50" s="11">
        <v>149900</v>
      </c>
      <c r="N50" s="6">
        <v>0.8</v>
      </c>
      <c r="O50" s="7">
        <f t="shared" si="0"/>
        <v>29980</v>
      </c>
      <c r="P50" s="6" t="s">
        <v>740</v>
      </c>
    </row>
    <row r="51" spans="1:16" x14ac:dyDescent="0.35">
      <c r="A51" s="2" t="s">
        <v>746</v>
      </c>
      <c r="B51" s="3">
        <f t="shared" si="1"/>
        <v>46086</v>
      </c>
      <c r="C51" s="3">
        <f t="shared" si="2"/>
        <v>46092</v>
      </c>
      <c r="D51" s="2">
        <v>3342</v>
      </c>
      <c r="E51" s="2">
        <v>333</v>
      </c>
      <c r="F51" s="2">
        <v>3</v>
      </c>
      <c r="G51" s="10" t="s">
        <v>173</v>
      </c>
      <c r="H51" s="10" t="s">
        <v>174</v>
      </c>
      <c r="I51" s="10" t="s">
        <v>18</v>
      </c>
      <c r="J51" s="10">
        <v>16009928</v>
      </c>
      <c r="K51" s="10" t="s">
        <v>235</v>
      </c>
      <c r="L51" s="10" t="s">
        <v>237</v>
      </c>
      <c r="M51" s="11">
        <v>149900</v>
      </c>
      <c r="N51" s="6">
        <v>0.8</v>
      </c>
      <c r="O51" s="7">
        <f t="shared" si="0"/>
        <v>29980</v>
      </c>
      <c r="P51" s="6" t="s">
        <v>740</v>
      </c>
    </row>
    <row r="52" spans="1:16" x14ac:dyDescent="0.35">
      <c r="A52" s="2" t="s">
        <v>746</v>
      </c>
      <c r="B52" s="3">
        <f t="shared" si="1"/>
        <v>46086</v>
      </c>
      <c r="C52" s="3">
        <f t="shared" si="2"/>
        <v>46092</v>
      </c>
      <c r="D52" s="2">
        <v>3342</v>
      </c>
      <c r="E52" s="2">
        <v>333</v>
      </c>
      <c r="F52" s="2">
        <v>3</v>
      </c>
      <c r="G52" s="10" t="s">
        <v>173</v>
      </c>
      <c r="H52" s="10" t="s">
        <v>174</v>
      </c>
      <c r="I52" s="10" t="s">
        <v>18</v>
      </c>
      <c r="J52" s="10">
        <v>16009937</v>
      </c>
      <c r="K52" s="10" t="s">
        <v>235</v>
      </c>
      <c r="L52" s="10" t="s">
        <v>238</v>
      </c>
      <c r="M52" s="11">
        <v>149900</v>
      </c>
      <c r="N52" s="6">
        <v>0.8</v>
      </c>
      <c r="O52" s="7">
        <f t="shared" si="0"/>
        <v>29980</v>
      </c>
      <c r="P52" s="6" t="s">
        <v>740</v>
      </c>
    </row>
    <row r="53" spans="1:16" x14ac:dyDescent="0.35">
      <c r="A53" s="2" t="s">
        <v>746</v>
      </c>
      <c r="B53" s="3">
        <f t="shared" si="1"/>
        <v>46086</v>
      </c>
      <c r="C53" s="3">
        <f t="shared" si="2"/>
        <v>46092</v>
      </c>
      <c r="D53" s="2">
        <v>3342</v>
      </c>
      <c r="E53" s="2">
        <v>333</v>
      </c>
      <c r="F53" s="2">
        <v>3</v>
      </c>
      <c r="G53" s="10" t="s">
        <v>173</v>
      </c>
      <c r="H53" s="10" t="s">
        <v>174</v>
      </c>
      <c r="I53" s="10" t="s">
        <v>18</v>
      </c>
      <c r="J53" s="10">
        <v>16009946</v>
      </c>
      <c r="K53" s="10" t="s">
        <v>235</v>
      </c>
      <c r="L53" s="10" t="s">
        <v>239</v>
      </c>
      <c r="M53" s="11">
        <v>149900</v>
      </c>
      <c r="N53" s="6">
        <v>0.8</v>
      </c>
      <c r="O53" s="7">
        <f t="shared" si="0"/>
        <v>29980</v>
      </c>
      <c r="P53" s="6" t="s">
        <v>740</v>
      </c>
    </row>
    <row r="54" spans="1:16" x14ac:dyDescent="0.35">
      <c r="A54" s="2" t="s">
        <v>746</v>
      </c>
      <c r="B54" s="3">
        <f t="shared" si="1"/>
        <v>46086</v>
      </c>
      <c r="C54" s="3">
        <f t="shared" si="2"/>
        <v>46092</v>
      </c>
      <c r="D54" s="2">
        <v>3342</v>
      </c>
      <c r="E54" s="2">
        <v>333</v>
      </c>
      <c r="F54" s="2">
        <v>3</v>
      </c>
      <c r="G54" s="10" t="s">
        <v>173</v>
      </c>
      <c r="H54" s="10" t="s">
        <v>174</v>
      </c>
      <c r="I54" s="10" t="s">
        <v>18</v>
      </c>
      <c r="J54" s="10">
        <v>16098850</v>
      </c>
      <c r="K54" s="10" t="s">
        <v>240</v>
      </c>
      <c r="L54" s="10" t="s">
        <v>241</v>
      </c>
      <c r="M54" s="11">
        <v>179900</v>
      </c>
      <c r="N54" s="6">
        <v>0.8</v>
      </c>
      <c r="O54" s="7">
        <f t="shared" si="0"/>
        <v>35980</v>
      </c>
      <c r="P54" s="6" t="s">
        <v>740</v>
      </c>
    </row>
    <row r="55" spans="1:16" x14ac:dyDescent="0.35">
      <c r="A55" s="2" t="s">
        <v>746</v>
      </c>
      <c r="B55" s="3">
        <f t="shared" si="1"/>
        <v>46086</v>
      </c>
      <c r="C55" s="3">
        <f t="shared" si="2"/>
        <v>46092</v>
      </c>
      <c r="D55" s="2">
        <v>3342</v>
      </c>
      <c r="E55" s="2">
        <v>333</v>
      </c>
      <c r="F55" s="2">
        <v>3</v>
      </c>
      <c r="G55" s="10" t="s">
        <v>173</v>
      </c>
      <c r="H55" s="10" t="s">
        <v>174</v>
      </c>
      <c r="I55" s="10" t="s">
        <v>18</v>
      </c>
      <c r="J55" s="10">
        <v>16098869</v>
      </c>
      <c r="K55" s="10" t="s">
        <v>240</v>
      </c>
      <c r="L55" s="10" t="s">
        <v>242</v>
      </c>
      <c r="M55" s="11">
        <v>179900</v>
      </c>
      <c r="N55" s="6">
        <v>0.8</v>
      </c>
      <c r="O55" s="7">
        <f t="shared" si="0"/>
        <v>35980</v>
      </c>
      <c r="P55" s="6" t="s">
        <v>740</v>
      </c>
    </row>
    <row r="56" spans="1:16" x14ac:dyDescent="0.35">
      <c r="A56" s="2" t="s">
        <v>746</v>
      </c>
      <c r="B56" s="3">
        <f t="shared" si="1"/>
        <v>46086</v>
      </c>
      <c r="C56" s="3">
        <f t="shared" si="2"/>
        <v>46092</v>
      </c>
      <c r="D56" s="2">
        <v>3342</v>
      </c>
      <c r="E56" s="2">
        <v>333</v>
      </c>
      <c r="F56" s="2">
        <v>3</v>
      </c>
      <c r="G56" s="10" t="s">
        <v>173</v>
      </c>
      <c r="H56" s="10" t="s">
        <v>174</v>
      </c>
      <c r="I56" s="10" t="s">
        <v>18</v>
      </c>
      <c r="J56" s="10">
        <v>16098878</v>
      </c>
      <c r="K56" s="10" t="s">
        <v>240</v>
      </c>
      <c r="L56" s="10" t="s">
        <v>243</v>
      </c>
      <c r="M56" s="11">
        <v>179900</v>
      </c>
      <c r="N56" s="6">
        <v>0.8</v>
      </c>
      <c r="O56" s="7">
        <f t="shared" si="0"/>
        <v>35980</v>
      </c>
      <c r="P56" s="6" t="s">
        <v>740</v>
      </c>
    </row>
    <row r="57" spans="1:16" x14ac:dyDescent="0.35">
      <c r="A57" s="2" t="s">
        <v>746</v>
      </c>
      <c r="B57" s="3">
        <f t="shared" si="1"/>
        <v>46086</v>
      </c>
      <c r="C57" s="3">
        <f t="shared" si="2"/>
        <v>46092</v>
      </c>
      <c r="D57" s="2">
        <v>3342</v>
      </c>
      <c r="E57" s="2">
        <v>333</v>
      </c>
      <c r="F57" s="2">
        <v>3</v>
      </c>
      <c r="G57" s="10" t="s">
        <v>173</v>
      </c>
      <c r="H57" s="10" t="s">
        <v>174</v>
      </c>
      <c r="I57" s="10" t="s">
        <v>18</v>
      </c>
      <c r="J57" s="10">
        <v>16098887</v>
      </c>
      <c r="K57" s="10" t="s">
        <v>240</v>
      </c>
      <c r="L57" s="10" t="s">
        <v>244</v>
      </c>
      <c r="M57" s="11">
        <v>179900</v>
      </c>
      <c r="N57" s="6">
        <v>0.8</v>
      </c>
      <c r="O57" s="7">
        <f t="shared" si="0"/>
        <v>35980</v>
      </c>
      <c r="P57" s="6" t="s">
        <v>740</v>
      </c>
    </row>
    <row r="58" spans="1:16" x14ac:dyDescent="0.35">
      <c r="A58" s="2" t="s">
        <v>746</v>
      </c>
      <c r="B58" s="3">
        <f t="shared" si="1"/>
        <v>46086</v>
      </c>
      <c r="C58" s="3">
        <f t="shared" si="2"/>
        <v>46092</v>
      </c>
      <c r="D58" s="2">
        <v>3342</v>
      </c>
      <c r="E58" s="2">
        <v>333</v>
      </c>
      <c r="F58" s="2">
        <v>3</v>
      </c>
      <c r="G58" s="10" t="s">
        <v>173</v>
      </c>
      <c r="H58" s="10" t="s">
        <v>174</v>
      </c>
      <c r="I58" s="10" t="s">
        <v>18</v>
      </c>
      <c r="J58" s="10">
        <v>16098896</v>
      </c>
      <c r="K58" s="10" t="s">
        <v>245</v>
      </c>
      <c r="L58" s="10" t="s">
        <v>246</v>
      </c>
      <c r="M58" s="11">
        <v>179900</v>
      </c>
      <c r="N58" s="6">
        <v>0.8</v>
      </c>
      <c r="O58" s="7">
        <f t="shared" si="0"/>
        <v>35980</v>
      </c>
      <c r="P58" s="6" t="s">
        <v>740</v>
      </c>
    </row>
    <row r="59" spans="1:16" x14ac:dyDescent="0.35">
      <c r="A59" s="2" t="s">
        <v>746</v>
      </c>
      <c r="B59" s="3">
        <f t="shared" si="1"/>
        <v>46086</v>
      </c>
      <c r="C59" s="3">
        <f t="shared" si="2"/>
        <v>46092</v>
      </c>
      <c r="D59" s="2">
        <v>3342</v>
      </c>
      <c r="E59" s="2">
        <v>333</v>
      </c>
      <c r="F59" s="2">
        <v>3</v>
      </c>
      <c r="G59" s="10" t="s">
        <v>173</v>
      </c>
      <c r="H59" s="10" t="s">
        <v>174</v>
      </c>
      <c r="I59" s="10" t="s">
        <v>18</v>
      </c>
      <c r="J59" s="10">
        <v>16098903</v>
      </c>
      <c r="K59" s="10" t="s">
        <v>245</v>
      </c>
      <c r="L59" s="10" t="s">
        <v>247</v>
      </c>
      <c r="M59" s="11">
        <v>179900</v>
      </c>
      <c r="N59" s="6">
        <v>0.8</v>
      </c>
      <c r="O59" s="7">
        <f t="shared" si="0"/>
        <v>35980</v>
      </c>
      <c r="P59" s="6" t="s">
        <v>740</v>
      </c>
    </row>
    <row r="60" spans="1:16" x14ac:dyDescent="0.35">
      <c r="A60" s="2" t="s">
        <v>746</v>
      </c>
      <c r="B60" s="3">
        <f t="shared" si="1"/>
        <v>46086</v>
      </c>
      <c r="C60" s="3">
        <f t="shared" si="2"/>
        <v>46092</v>
      </c>
      <c r="D60" s="2">
        <v>3342</v>
      </c>
      <c r="E60" s="2">
        <v>333</v>
      </c>
      <c r="F60" s="2">
        <v>3</v>
      </c>
      <c r="G60" s="10" t="s">
        <v>173</v>
      </c>
      <c r="H60" s="10" t="s">
        <v>174</v>
      </c>
      <c r="I60" s="10" t="s">
        <v>18</v>
      </c>
      <c r="J60" s="10">
        <v>16098912</v>
      </c>
      <c r="K60" s="10" t="s">
        <v>245</v>
      </c>
      <c r="L60" s="10" t="s">
        <v>248</v>
      </c>
      <c r="M60" s="11">
        <v>179900</v>
      </c>
      <c r="N60" s="6">
        <v>0.8</v>
      </c>
      <c r="O60" s="7">
        <f t="shared" si="0"/>
        <v>35980</v>
      </c>
      <c r="P60" s="6" t="s">
        <v>740</v>
      </c>
    </row>
    <row r="61" spans="1:16" x14ac:dyDescent="0.35">
      <c r="A61" s="2" t="s">
        <v>746</v>
      </c>
      <c r="B61" s="3">
        <f t="shared" si="1"/>
        <v>46086</v>
      </c>
      <c r="C61" s="3">
        <f t="shared" si="2"/>
        <v>46092</v>
      </c>
      <c r="D61" s="2">
        <v>3342</v>
      </c>
      <c r="E61" s="2">
        <v>333</v>
      </c>
      <c r="F61" s="2">
        <v>3</v>
      </c>
      <c r="G61" s="10" t="s">
        <v>173</v>
      </c>
      <c r="H61" s="10" t="s">
        <v>174</v>
      </c>
      <c r="I61" s="10" t="s">
        <v>18</v>
      </c>
      <c r="J61" s="10">
        <v>16098921</v>
      </c>
      <c r="K61" s="10" t="s">
        <v>245</v>
      </c>
      <c r="L61" s="10" t="s">
        <v>249</v>
      </c>
      <c r="M61" s="11">
        <v>179900</v>
      </c>
      <c r="N61" s="6">
        <v>0.8</v>
      </c>
      <c r="O61" s="7">
        <f t="shared" si="0"/>
        <v>35980</v>
      </c>
      <c r="P61" s="6" t="s">
        <v>740</v>
      </c>
    </row>
    <row r="62" spans="1:16" x14ac:dyDescent="0.35">
      <c r="A62" s="2" t="s">
        <v>746</v>
      </c>
      <c r="B62" s="3">
        <f t="shared" si="1"/>
        <v>46086</v>
      </c>
      <c r="C62" s="3">
        <f t="shared" si="2"/>
        <v>46092</v>
      </c>
      <c r="D62" s="2">
        <v>3342</v>
      </c>
      <c r="E62" s="2">
        <v>333</v>
      </c>
      <c r="F62" s="2">
        <v>3</v>
      </c>
      <c r="G62" s="10" t="s">
        <v>173</v>
      </c>
      <c r="H62" s="10" t="s">
        <v>174</v>
      </c>
      <c r="I62" s="10" t="s">
        <v>18</v>
      </c>
      <c r="J62" s="10">
        <v>16098930</v>
      </c>
      <c r="K62" s="10" t="s">
        <v>250</v>
      </c>
      <c r="L62" s="10" t="s">
        <v>251</v>
      </c>
      <c r="M62" s="11">
        <v>149900</v>
      </c>
      <c r="N62" s="6">
        <v>0.8</v>
      </c>
      <c r="O62" s="7">
        <f t="shared" si="0"/>
        <v>29980</v>
      </c>
      <c r="P62" s="6" t="s">
        <v>740</v>
      </c>
    </row>
    <row r="63" spans="1:16" x14ac:dyDescent="0.35">
      <c r="A63" s="2" t="s">
        <v>746</v>
      </c>
      <c r="B63" s="3">
        <f t="shared" si="1"/>
        <v>46086</v>
      </c>
      <c r="C63" s="3">
        <f t="shared" si="2"/>
        <v>46092</v>
      </c>
      <c r="D63" s="2">
        <v>3342</v>
      </c>
      <c r="E63" s="2">
        <v>333</v>
      </c>
      <c r="F63" s="2">
        <v>3</v>
      </c>
      <c r="G63" s="10" t="s">
        <v>173</v>
      </c>
      <c r="H63" s="10" t="s">
        <v>174</v>
      </c>
      <c r="I63" s="10" t="s">
        <v>18</v>
      </c>
      <c r="J63" s="10">
        <v>16098949</v>
      </c>
      <c r="K63" s="10" t="s">
        <v>250</v>
      </c>
      <c r="L63" s="10" t="s">
        <v>252</v>
      </c>
      <c r="M63" s="11">
        <v>149900</v>
      </c>
      <c r="N63" s="6">
        <v>0.8</v>
      </c>
      <c r="O63" s="7">
        <f t="shared" si="0"/>
        <v>29980</v>
      </c>
      <c r="P63" s="6" t="s">
        <v>740</v>
      </c>
    </row>
    <row r="64" spans="1:16" x14ac:dyDescent="0.35">
      <c r="A64" s="2" t="s">
        <v>746</v>
      </c>
      <c r="B64" s="3">
        <f t="shared" si="1"/>
        <v>46086</v>
      </c>
      <c r="C64" s="3">
        <f t="shared" si="2"/>
        <v>46092</v>
      </c>
      <c r="D64" s="2">
        <v>3342</v>
      </c>
      <c r="E64" s="2">
        <v>333</v>
      </c>
      <c r="F64" s="2">
        <v>3</v>
      </c>
      <c r="G64" s="10" t="s">
        <v>173</v>
      </c>
      <c r="H64" s="10" t="s">
        <v>174</v>
      </c>
      <c r="I64" s="10" t="s">
        <v>18</v>
      </c>
      <c r="J64" s="10">
        <v>16098958</v>
      </c>
      <c r="K64" s="10" t="s">
        <v>250</v>
      </c>
      <c r="L64" s="10" t="s">
        <v>253</v>
      </c>
      <c r="M64" s="11">
        <v>149900</v>
      </c>
      <c r="N64" s="6">
        <v>0.8</v>
      </c>
      <c r="O64" s="7">
        <f t="shared" si="0"/>
        <v>29980</v>
      </c>
      <c r="P64" s="6" t="s">
        <v>740</v>
      </c>
    </row>
    <row r="65" spans="1:16" x14ac:dyDescent="0.35">
      <c r="A65" s="2" t="s">
        <v>746</v>
      </c>
      <c r="B65" s="3">
        <f t="shared" si="1"/>
        <v>46086</v>
      </c>
      <c r="C65" s="3">
        <f t="shared" si="2"/>
        <v>46092</v>
      </c>
      <c r="D65" s="2">
        <v>3342</v>
      </c>
      <c r="E65" s="2">
        <v>333</v>
      </c>
      <c r="F65" s="2">
        <v>3</v>
      </c>
      <c r="G65" s="10" t="s">
        <v>173</v>
      </c>
      <c r="H65" s="10" t="s">
        <v>174</v>
      </c>
      <c r="I65" s="10" t="s">
        <v>18</v>
      </c>
      <c r="J65" s="10">
        <v>16098967</v>
      </c>
      <c r="K65" s="10" t="s">
        <v>250</v>
      </c>
      <c r="L65" s="10" t="s">
        <v>254</v>
      </c>
      <c r="M65" s="11">
        <v>149900</v>
      </c>
      <c r="N65" s="6">
        <v>0.8</v>
      </c>
      <c r="O65" s="7">
        <f t="shared" si="0"/>
        <v>29980</v>
      </c>
      <c r="P65" s="6" t="s">
        <v>740</v>
      </c>
    </row>
    <row r="66" spans="1:16" x14ac:dyDescent="0.35">
      <c r="A66" s="2" t="s">
        <v>746</v>
      </c>
      <c r="B66" s="3">
        <f t="shared" si="1"/>
        <v>46086</v>
      </c>
      <c r="C66" s="3">
        <f t="shared" si="2"/>
        <v>46092</v>
      </c>
      <c r="D66" s="2">
        <v>3342</v>
      </c>
      <c r="E66" s="2">
        <v>333</v>
      </c>
      <c r="F66" s="2">
        <v>3</v>
      </c>
      <c r="G66" s="10" t="s">
        <v>173</v>
      </c>
      <c r="H66" s="10" t="s">
        <v>255</v>
      </c>
      <c r="I66" s="10" t="s">
        <v>18</v>
      </c>
      <c r="J66" s="10">
        <v>10611037</v>
      </c>
      <c r="K66" s="10" t="s">
        <v>256</v>
      </c>
      <c r="L66" s="10" t="s">
        <v>257</v>
      </c>
      <c r="M66" s="11">
        <v>179900</v>
      </c>
      <c r="N66" s="6">
        <v>0.8</v>
      </c>
      <c r="O66" s="7">
        <f t="shared" si="0"/>
        <v>35980</v>
      </c>
      <c r="P66" s="6" t="s">
        <v>740</v>
      </c>
    </row>
    <row r="67" spans="1:16" x14ac:dyDescent="0.35">
      <c r="A67" s="2" t="s">
        <v>746</v>
      </c>
      <c r="B67" s="3">
        <f t="shared" si="1"/>
        <v>46086</v>
      </c>
      <c r="C67" s="3">
        <f t="shared" si="2"/>
        <v>46092</v>
      </c>
      <c r="D67" s="2">
        <v>3342</v>
      </c>
      <c r="E67" s="2">
        <v>333</v>
      </c>
      <c r="F67" s="2">
        <v>3</v>
      </c>
      <c r="G67" s="10" t="s">
        <v>173</v>
      </c>
      <c r="H67" s="10" t="s">
        <v>255</v>
      </c>
      <c r="I67" s="10" t="s">
        <v>18</v>
      </c>
      <c r="J67" s="10">
        <v>10611046</v>
      </c>
      <c r="K67" s="10" t="s">
        <v>256</v>
      </c>
      <c r="L67" s="10" t="s">
        <v>258</v>
      </c>
      <c r="M67" s="11">
        <v>179900</v>
      </c>
      <c r="N67" s="6">
        <v>0.8</v>
      </c>
      <c r="O67" s="7">
        <f t="shared" ref="O67:O107" si="3">M67-(M67*N67)</f>
        <v>35980</v>
      </c>
      <c r="P67" s="6" t="s">
        <v>740</v>
      </c>
    </row>
    <row r="68" spans="1:16" x14ac:dyDescent="0.35">
      <c r="A68" s="2" t="s">
        <v>746</v>
      </c>
      <c r="B68" s="3">
        <f t="shared" ref="B68:B107" si="4">B67</f>
        <v>46086</v>
      </c>
      <c r="C68" s="3">
        <f t="shared" ref="C68:C107" si="5">C67</f>
        <v>46092</v>
      </c>
      <c r="D68" s="2">
        <v>3342</v>
      </c>
      <c r="E68" s="2">
        <v>333</v>
      </c>
      <c r="F68" s="2">
        <v>3</v>
      </c>
      <c r="G68" s="10" t="s">
        <v>173</v>
      </c>
      <c r="H68" s="10" t="s">
        <v>255</v>
      </c>
      <c r="I68" s="10" t="s">
        <v>18</v>
      </c>
      <c r="J68" s="10">
        <v>10611055</v>
      </c>
      <c r="K68" s="10" t="s">
        <v>256</v>
      </c>
      <c r="L68" s="10" t="s">
        <v>259</v>
      </c>
      <c r="M68" s="11">
        <v>179900</v>
      </c>
      <c r="N68" s="6">
        <v>0.8</v>
      </c>
      <c r="O68" s="7">
        <f t="shared" si="3"/>
        <v>35980</v>
      </c>
      <c r="P68" s="6" t="s">
        <v>740</v>
      </c>
    </row>
    <row r="69" spans="1:16" x14ac:dyDescent="0.35">
      <c r="A69" s="2" t="s">
        <v>746</v>
      </c>
      <c r="B69" s="3">
        <f t="shared" si="4"/>
        <v>46086</v>
      </c>
      <c r="C69" s="3">
        <f t="shared" si="5"/>
        <v>46092</v>
      </c>
      <c r="D69" s="2">
        <v>3342</v>
      </c>
      <c r="E69" s="2">
        <v>333</v>
      </c>
      <c r="F69" s="2">
        <v>3</v>
      </c>
      <c r="G69" s="10" t="s">
        <v>173</v>
      </c>
      <c r="H69" s="10" t="s">
        <v>255</v>
      </c>
      <c r="I69" s="10" t="s">
        <v>18</v>
      </c>
      <c r="J69" s="10">
        <v>10611064</v>
      </c>
      <c r="K69" s="10" t="s">
        <v>256</v>
      </c>
      <c r="L69" s="10" t="s">
        <v>260</v>
      </c>
      <c r="M69" s="11">
        <v>179900</v>
      </c>
      <c r="N69" s="6">
        <v>0.8</v>
      </c>
      <c r="O69" s="7">
        <f t="shared" si="3"/>
        <v>35980</v>
      </c>
      <c r="P69" s="6" t="s">
        <v>740</v>
      </c>
    </row>
    <row r="70" spans="1:16" x14ac:dyDescent="0.35">
      <c r="A70" s="2" t="s">
        <v>746</v>
      </c>
      <c r="B70" s="3">
        <f t="shared" si="4"/>
        <v>46086</v>
      </c>
      <c r="C70" s="3">
        <f t="shared" si="5"/>
        <v>46092</v>
      </c>
      <c r="D70" s="2">
        <v>3342</v>
      </c>
      <c r="E70" s="2">
        <v>333</v>
      </c>
      <c r="F70" s="2">
        <v>3</v>
      </c>
      <c r="G70" s="10" t="s">
        <v>173</v>
      </c>
      <c r="H70" s="10" t="s">
        <v>255</v>
      </c>
      <c r="I70" s="10" t="s">
        <v>18</v>
      </c>
      <c r="J70" s="10">
        <v>10611117</v>
      </c>
      <c r="K70" s="10" t="s">
        <v>261</v>
      </c>
      <c r="L70" s="10" t="s">
        <v>262</v>
      </c>
      <c r="M70" s="11">
        <v>179900</v>
      </c>
      <c r="N70" s="6">
        <v>0.8</v>
      </c>
      <c r="O70" s="7">
        <f t="shared" si="3"/>
        <v>35980</v>
      </c>
      <c r="P70" s="6" t="s">
        <v>740</v>
      </c>
    </row>
    <row r="71" spans="1:16" x14ac:dyDescent="0.35">
      <c r="A71" s="2" t="s">
        <v>746</v>
      </c>
      <c r="B71" s="3">
        <f t="shared" si="4"/>
        <v>46086</v>
      </c>
      <c r="C71" s="3">
        <f t="shared" si="5"/>
        <v>46092</v>
      </c>
      <c r="D71" s="2">
        <v>3342</v>
      </c>
      <c r="E71" s="2">
        <v>333</v>
      </c>
      <c r="F71" s="2">
        <v>3</v>
      </c>
      <c r="G71" s="10" t="s">
        <v>173</v>
      </c>
      <c r="H71" s="10" t="s">
        <v>255</v>
      </c>
      <c r="I71" s="10" t="s">
        <v>18</v>
      </c>
      <c r="J71" s="10">
        <v>10611126</v>
      </c>
      <c r="K71" s="10" t="s">
        <v>261</v>
      </c>
      <c r="L71" s="10" t="s">
        <v>263</v>
      </c>
      <c r="M71" s="11">
        <v>179900</v>
      </c>
      <c r="N71" s="6">
        <v>0.8</v>
      </c>
      <c r="O71" s="7">
        <f t="shared" si="3"/>
        <v>35980</v>
      </c>
      <c r="P71" s="6" t="s">
        <v>740</v>
      </c>
    </row>
    <row r="72" spans="1:16" x14ac:dyDescent="0.35">
      <c r="A72" s="2" t="s">
        <v>746</v>
      </c>
      <c r="B72" s="3">
        <f t="shared" si="4"/>
        <v>46086</v>
      </c>
      <c r="C72" s="3">
        <f t="shared" si="5"/>
        <v>46092</v>
      </c>
      <c r="D72" s="2">
        <v>3342</v>
      </c>
      <c r="E72" s="2">
        <v>333</v>
      </c>
      <c r="F72" s="2">
        <v>3</v>
      </c>
      <c r="G72" s="10" t="s">
        <v>173</v>
      </c>
      <c r="H72" s="10" t="s">
        <v>255</v>
      </c>
      <c r="I72" s="10" t="s">
        <v>18</v>
      </c>
      <c r="J72" s="10">
        <v>10611135</v>
      </c>
      <c r="K72" s="10" t="s">
        <v>261</v>
      </c>
      <c r="L72" s="10" t="s">
        <v>264</v>
      </c>
      <c r="M72" s="11">
        <v>179900</v>
      </c>
      <c r="N72" s="6">
        <v>0.8</v>
      </c>
      <c r="O72" s="7">
        <f t="shared" si="3"/>
        <v>35980</v>
      </c>
      <c r="P72" s="6" t="s">
        <v>740</v>
      </c>
    </row>
    <row r="73" spans="1:16" x14ac:dyDescent="0.35">
      <c r="A73" s="2" t="s">
        <v>746</v>
      </c>
      <c r="B73" s="3">
        <f t="shared" si="4"/>
        <v>46086</v>
      </c>
      <c r="C73" s="3">
        <f t="shared" si="5"/>
        <v>46092</v>
      </c>
      <c r="D73" s="2">
        <v>3342</v>
      </c>
      <c r="E73" s="2">
        <v>333</v>
      </c>
      <c r="F73" s="2">
        <v>3</v>
      </c>
      <c r="G73" s="10" t="s">
        <v>173</v>
      </c>
      <c r="H73" s="10" t="s">
        <v>255</v>
      </c>
      <c r="I73" s="10" t="s">
        <v>18</v>
      </c>
      <c r="J73" s="10">
        <v>10611144</v>
      </c>
      <c r="K73" s="10" t="s">
        <v>261</v>
      </c>
      <c r="L73" s="10" t="s">
        <v>265</v>
      </c>
      <c r="M73" s="11">
        <v>179900</v>
      </c>
      <c r="N73" s="6">
        <v>0.8</v>
      </c>
      <c r="O73" s="7">
        <f t="shared" si="3"/>
        <v>35980</v>
      </c>
      <c r="P73" s="6" t="s">
        <v>740</v>
      </c>
    </row>
    <row r="74" spans="1:16" x14ac:dyDescent="0.35">
      <c r="A74" s="2" t="s">
        <v>746</v>
      </c>
      <c r="B74" s="3">
        <f t="shared" si="4"/>
        <v>46086</v>
      </c>
      <c r="C74" s="3">
        <f t="shared" si="5"/>
        <v>46092</v>
      </c>
      <c r="D74" s="2">
        <v>3342</v>
      </c>
      <c r="E74" s="2">
        <v>333</v>
      </c>
      <c r="F74" s="2">
        <v>3</v>
      </c>
      <c r="G74" s="10" t="s">
        <v>173</v>
      </c>
      <c r="H74" s="10" t="s">
        <v>255</v>
      </c>
      <c r="I74" s="10" t="s">
        <v>18</v>
      </c>
      <c r="J74" s="10">
        <v>15127534</v>
      </c>
      <c r="K74" s="10" t="s">
        <v>266</v>
      </c>
      <c r="L74" s="10" t="s">
        <v>267</v>
      </c>
      <c r="M74" s="11">
        <v>179900</v>
      </c>
      <c r="N74" s="6">
        <v>0.8</v>
      </c>
      <c r="O74" s="7">
        <f t="shared" si="3"/>
        <v>35980</v>
      </c>
      <c r="P74" s="6" t="s">
        <v>740</v>
      </c>
    </row>
    <row r="75" spans="1:16" x14ac:dyDescent="0.35">
      <c r="A75" s="2" t="s">
        <v>746</v>
      </c>
      <c r="B75" s="3">
        <f t="shared" si="4"/>
        <v>46086</v>
      </c>
      <c r="C75" s="3">
        <f t="shared" si="5"/>
        <v>46092</v>
      </c>
      <c r="D75" s="2">
        <v>3342</v>
      </c>
      <c r="E75" s="2">
        <v>333</v>
      </c>
      <c r="F75" s="2">
        <v>3</v>
      </c>
      <c r="G75" s="10" t="s">
        <v>173</v>
      </c>
      <c r="H75" s="10" t="s">
        <v>255</v>
      </c>
      <c r="I75" s="10" t="s">
        <v>18</v>
      </c>
      <c r="J75" s="10">
        <v>15127543</v>
      </c>
      <c r="K75" s="10" t="s">
        <v>266</v>
      </c>
      <c r="L75" s="10" t="s">
        <v>268</v>
      </c>
      <c r="M75" s="11">
        <v>179900</v>
      </c>
      <c r="N75" s="6">
        <v>0.8</v>
      </c>
      <c r="O75" s="7">
        <f t="shared" si="3"/>
        <v>35980</v>
      </c>
      <c r="P75" s="6" t="s">
        <v>740</v>
      </c>
    </row>
    <row r="76" spans="1:16" x14ac:dyDescent="0.35">
      <c r="A76" s="2" t="s">
        <v>746</v>
      </c>
      <c r="B76" s="3">
        <f t="shared" si="4"/>
        <v>46086</v>
      </c>
      <c r="C76" s="3">
        <f t="shared" si="5"/>
        <v>46092</v>
      </c>
      <c r="D76" s="2">
        <v>3342</v>
      </c>
      <c r="E76" s="2">
        <v>333</v>
      </c>
      <c r="F76" s="2">
        <v>3</v>
      </c>
      <c r="G76" s="10" t="s">
        <v>173</v>
      </c>
      <c r="H76" s="10" t="s">
        <v>255</v>
      </c>
      <c r="I76" s="10" t="s">
        <v>18</v>
      </c>
      <c r="J76" s="10">
        <v>15127552</v>
      </c>
      <c r="K76" s="10" t="s">
        <v>266</v>
      </c>
      <c r="L76" s="10" t="s">
        <v>269</v>
      </c>
      <c r="M76" s="11">
        <v>179900</v>
      </c>
      <c r="N76" s="6">
        <v>0.8</v>
      </c>
      <c r="O76" s="7">
        <f t="shared" si="3"/>
        <v>35980</v>
      </c>
      <c r="P76" s="6" t="s">
        <v>740</v>
      </c>
    </row>
    <row r="77" spans="1:16" x14ac:dyDescent="0.35">
      <c r="A77" s="2" t="s">
        <v>746</v>
      </c>
      <c r="B77" s="3">
        <f t="shared" si="4"/>
        <v>46086</v>
      </c>
      <c r="C77" s="3">
        <f t="shared" si="5"/>
        <v>46092</v>
      </c>
      <c r="D77" s="2">
        <v>3342</v>
      </c>
      <c r="E77" s="2">
        <v>333</v>
      </c>
      <c r="F77" s="2">
        <v>3</v>
      </c>
      <c r="G77" s="10" t="s">
        <v>173</v>
      </c>
      <c r="H77" s="10" t="s">
        <v>255</v>
      </c>
      <c r="I77" s="10" t="s">
        <v>18</v>
      </c>
      <c r="J77" s="10">
        <v>15127561</v>
      </c>
      <c r="K77" s="10" t="s">
        <v>266</v>
      </c>
      <c r="L77" s="10" t="s">
        <v>270</v>
      </c>
      <c r="M77" s="11">
        <v>179900</v>
      </c>
      <c r="N77" s="6">
        <v>0.8</v>
      </c>
      <c r="O77" s="7">
        <f t="shared" si="3"/>
        <v>35980</v>
      </c>
      <c r="P77" s="6" t="s">
        <v>740</v>
      </c>
    </row>
    <row r="78" spans="1:16" x14ac:dyDescent="0.35">
      <c r="A78" s="2" t="s">
        <v>746</v>
      </c>
      <c r="B78" s="3">
        <f t="shared" si="4"/>
        <v>46086</v>
      </c>
      <c r="C78" s="3">
        <f t="shared" si="5"/>
        <v>46092</v>
      </c>
      <c r="D78" s="2">
        <v>3342</v>
      </c>
      <c r="E78" s="2">
        <v>333</v>
      </c>
      <c r="F78" s="2">
        <v>3</v>
      </c>
      <c r="G78" s="10" t="s">
        <v>502</v>
      </c>
      <c r="H78" s="10" t="s">
        <v>416</v>
      </c>
      <c r="I78" s="10" t="s">
        <v>18</v>
      </c>
      <c r="J78" s="10">
        <v>16099117</v>
      </c>
      <c r="K78" s="10" t="s">
        <v>515</v>
      </c>
      <c r="L78" s="10" t="s">
        <v>516</v>
      </c>
      <c r="M78" s="11">
        <v>199900</v>
      </c>
      <c r="N78" s="6">
        <v>0.8</v>
      </c>
      <c r="O78" s="7">
        <f t="shared" si="3"/>
        <v>39980</v>
      </c>
      <c r="P78" s="6" t="s">
        <v>740</v>
      </c>
    </row>
    <row r="79" spans="1:16" x14ac:dyDescent="0.35">
      <c r="A79" s="2" t="s">
        <v>746</v>
      </c>
      <c r="B79" s="3">
        <f t="shared" si="4"/>
        <v>46086</v>
      </c>
      <c r="C79" s="3">
        <f t="shared" si="5"/>
        <v>46092</v>
      </c>
      <c r="D79" s="2">
        <v>3342</v>
      </c>
      <c r="E79" s="2">
        <v>333</v>
      </c>
      <c r="F79" s="2">
        <v>3</v>
      </c>
      <c r="G79" s="10" t="s">
        <v>502</v>
      </c>
      <c r="H79" s="10" t="s">
        <v>416</v>
      </c>
      <c r="I79" s="10" t="s">
        <v>18</v>
      </c>
      <c r="J79" s="10">
        <v>16099126</v>
      </c>
      <c r="K79" s="10" t="s">
        <v>515</v>
      </c>
      <c r="L79" s="10" t="s">
        <v>517</v>
      </c>
      <c r="M79" s="11">
        <v>199900</v>
      </c>
      <c r="N79" s="6">
        <v>0.8</v>
      </c>
      <c r="O79" s="7">
        <f t="shared" si="3"/>
        <v>39980</v>
      </c>
      <c r="P79" s="6" t="s">
        <v>740</v>
      </c>
    </row>
    <row r="80" spans="1:16" x14ac:dyDescent="0.35">
      <c r="A80" s="2" t="s">
        <v>746</v>
      </c>
      <c r="B80" s="3">
        <f t="shared" si="4"/>
        <v>46086</v>
      </c>
      <c r="C80" s="3">
        <f t="shared" si="5"/>
        <v>46092</v>
      </c>
      <c r="D80" s="2">
        <v>3342</v>
      </c>
      <c r="E80" s="2">
        <v>333</v>
      </c>
      <c r="F80" s="2">
        <v>3</v>
      </c>
      <c r="G80" s="10" t="s">
        <v>502</v>
      </c>
      <c r="H80" s="10" t="s">
        <v>416</v>
      </c>
      <c r="I80" s="10" t="s">
        <v>18</v>
      </c>
      <c r="J80" s="10">
        <v>16099135</v>
      </c>
      <c r="K80" s="10" t="s">
        <v>515</v>
      </c>
      <c r="L80" s="10" t="s">
        <v>518</v>
      </c>
      <c r="M80" s="11">
        <v>199900</v>
      </c>
      <c r="N80" s="6">
        <v>0.8</v>
      </c>
      <c r="O80" s="7">
        <f t="shared" si="3"/>
        <v>39980</v>
      </c>
      <c r="P80" s="6" t="s">
        <v>740</v>
      </c>
    </row>
    <row r="81" spans="1:16" x14ac:dyDescent="0.35">
      <c r="A81" s="2" t="s">
        <v>746</v>
      </c>
      <c r="B81" s="3">
        <f t="shared" si="4"/>
        <v>46086</v>
      </c>
      <c r="C81" s="3">
        <f t="shared" si="5"/>
        <v>46092</v>
      </c>
      <c r="D81" s="2">
        <v>3342</v>
      </c>
      <c r="E81" s="2">
        <v>333</v>
      </c>
      <c r="F81" s="2">
        <v>3</v>
      </c>
      <c r="G81" s="10" t="s">
        <v>502</v>
      </c>
      <c r="H81" s="10" t="s">
        <v>416</v>
      </c>
      <c r="I81" s="10" t="s">
        <v>18</v>
      </c>
      <c r="J81" s="10">
        <v>16099144</v>
      </c>
      <c r="K81" s="10" t="s">
        <v>515</v>
      </c>
      <c r="L81" s="10" t="s">
        <v>519</v>
      </c>
      <c r="M81" s="11">
        <v>199900</v>
      </c>
      <c r="N81" s="6">
        <v>0.8</v>
      </c>
      <c r="O81" s="7">
        <f t="shared" si="3"/>
        <v>39980</v>
      </c>
      <c r="P81" s="6" t="s">
        <v>740</v>
      </c>
    </row>
    <row r="82" spans="1:16" x14ac:dyDescent="0.35">
      <c r="A82" s="2" t="s">
        <v>746</v>
      </c>
      <c r="B82" s="3">
        <f t="shared" si="4"/>
        <v>46086</v>
      </c>
      <c r="C82" s="3">
        <f t="shared" si="5"/>
        <v>46092</v>
      </c>
      <c r="D82" s="2">
        <v>3342</v>
      </c>
      <c r="E82" s="2">
        <v>333</v>
      </c>
      <c r="F82" s="2">
        <v>3</v>
      </c>
      <c r="G82" s="10" t="s">
        <v>502</v>
      </c>
      <c r="H82" s="10" t="s">
        <v>416</v>
      </c>
      <c r="I82" s="10" t="s">
        <v>18</v>
      </c>
      <c r="J82" s="10">
        <v>16099153</v>
      </c>
      <c r="K82" s="10" t="s">
        <v>515</v>
      </c>
      <c r="L82" s="10" t="s">
        <v>520</v>
      </c>
      <c r="M82" s="11">
        <v>199900</v>
      </c>
      <c r="N82" s="6">
        <v>0.8</v>
      </c>
      <c r="O82" s="7">
        <f t="shared" si="3"/>
        <v>39980</v>
      </c>
      <c r="P82" s="6" t="s">
        <v>740</v>
      </c>
    </row>
    <row r="83" spans="1:16" x14ac:dyDescent="0.35">
      <c r="A83" s="2" t="s">
        <v>746</v>
      </c>
      <c r="B83" s="3">
        <f t="shared" si="4"/>
        <v>46086</v>
      </c>
      <c r="C83" s="3">
        <f t="shared" si="5"/>
        <v>46092</v>
      </c>
      <c r="D83" s="2">
        <v>3342</v>
      </c>
      <c r="E83" s="2">
        <v>333</v>
      </c>
      <c r="F83" s="2">
        <v>3</v>
      </c>
      <c r="G83" s="10" t="s">
        <v>521</v>
      </c>
      <c r="H83" s="10" t="s">
        <v>522</v>
      </c>
      <c r="I83" s="10" t="s">
        <v>18</v>
      </c>
      <c r="J83" s="10">
        <v>16097600</v>
      </c>
      <c r="K83" s="10" t="s">
        <v>523</v>
      </c>
      <c r="L83" s="10" t="s">
        <v>524</v>
      </c>
      <c r="M83" s="11">
        <v>199900</v>
      </c>
      <c r="N83" s="6">
        <v>0.8</v>
      </c>
      <c r="O83" s="7">
        <f t="shared" si="3"/>
        <v>39980</v>
      </c>
      <c r="P83" s="6" t="s">
        <v>740</v>
      </c>
    </row>
    <row r="84" spans="1:16" x14ac:dyDescent="0.35">
      <c r="A84" s="2" t="s">
        <v>746</v>
      </c>
      <c r="B84" s="3">
        <f t="shared" si="4"/>
        <v>46086</v>
      </c>
      <c r="C84" s="3">
        <f t="shared" si="5"/>
        <v>46092</v>
      </c>
      <c r="D84" s="2">
        <v>3342</v>
      </c>
      <c r="E84" s="2">
        <v>333</v>
      </c>
      <c r="F84" s="2">
        <v>3</v>
      </c>
      <c r="G84" s="10" t="s">
        <v>521</v>
      </c>
      <c r="H84" s="10" t="s">
        <v>522</v>
      </c>
      <c r="I84" s="10" t="s">
        <v>18</v>
      </c>
      <c r="J84" s="10">
        <v>16097619</v>
      </c>
      <c r="K84" s="10" t="s">
        <v>523</v>
      </c>
      <c r="L84" s="10" t="s">
        <v>525</v>
      </c>
      <c r="M84" s="11">
        <v>199900</v>
      </c>
      <c r="N84" s="6">
        <v>0.8</v>
      </c>
      <c r="O84" s="7">
        <f t="shared" si="3"/>
        <v>39980</v>
      </c>
      <c r="P84" s="6" t="s">
        <v>740</v>
      </c>
    </row>
    <row r="85" spans="1:16" x14ac:dyDescent="0.35">
      <c r="A85" s="2" t="s">
        <v>746</v>
      </c>
      <c r="B85" s="3">
        <f t="shared" si="4"/>
        <v>46086</v>
      </c>
      <c r="C85" s="3">
        <f t="shared" si="5"/>
        <v>46092</v>
      </c>
      <c r="D85" s="2">
        <v>3342</v>
      </c>
      <c r="E85" s="2">
        <v>333</v>
      </c>
      <c r="F85" s="2">
        <v>3</v>
      </c>
      <c r="G85" s="10" t="s">
        <v>521</v>
      </c>
      <c r="H85" s="10" t="s">
        <v>522</v>
      </c>
      <c r="I85" s="10" t="s">
        <v>18</v>
      </c>
      <c r="J85" s="10">
        <v>16097628</v>
      </c>
      <c r="K85" s="10" t="s">
        <v>523</v>
      </c>
      <c r="L85" s="10" t="s">
        <v>526</v>
      </c>
      <c r="M85" s="11">
        <v>199900</v>
      </c>
      <c r="N85" s="6">
        <v>0.8</v>
      </c>
      <c r="O85" s="7">
        <f t="shared" si="3"/>
        <v>39980</v>
      </c>
      <c r="P85" s="6" t="s">
        <v>740</v>
      </c>
    </row>
    <row r="86" spans="1:16" x14ac:dyDescent="0.35">
      <c r="A86" s="2" t="s">
        <v>746</v>
      </c>
      <c r="B86" s="3">
        <f t="shared" si="4"/>
        <v>46086</v>
      </c>
      <c r="C86" s="3">
        <f t="shared" si="5"/>
        <v>46092</v>
      </c>
      <c r="D86" s="2">
        <v>3342</v>
      </c>
      <c r="E86" s="2">
        <v>333</v>
      </c>
      <c r="F86" s="2">
        <v>3</v>
      </c>
      <c r="G86" s="10" t="s">
        <v>521</v>
      </c>
      <c r="H86" s="10" t="s">
        <v>522</v>
      </c>
      <c r="I86" s="10" t="s">
        <v>18</v>
      </c>
      <c r="J86" s="10">
        <v>16097637</v>
      </c>
      <c r="K86" s="10" t="s">
        <v>523</v>
      </c>
      <c r="L86" s="10" t="s">
        <v>527</v>
      </c>
      <c r="M86" s="11">
        <v>199900</v>
      </c>
      <c r="N86" s="6">
        <v>0.8</v>
      </c>
      <c r="O86" s="7">
        <f t="shared" si="3"/>
        <v>39980</v>
      </c>
      <c r="P86" s="6" t="s">
        <v>740</v>
      </c>
    </row>
    <row r="87" spans="1:16" x14ac:dyDescent="0.35">
      <c r="A87" s="2" t="s">
        <v>746</v>
      </c>
      <c r="B87" s="3">
        <f t="shared" si="4"/>
        <v>46086</v>
      </c>
      <c r="C87" s="3">
        <f t="shared" si="5"/>
        <v>46092</v>
      </c>
      <c r="D87" s="2">
        <v>3342</v>
      </c>
      <c r="E87" s="2">
        <v>333</v>
      </c>
      <c r="F87" s="2">
        <v>3</v>
      </c>
      <c r="G87" s="10" t="s">
        <v>521</v>
      </c>
      <c r="H87" s="10" t="s">
        <v>522</v>
      </c>
      <c r="I87" s="10" t="s">
        <v>18</v>
      </c>
      <c r="J87" s="10">
        <v>16097646</v>
      </c>
      <c r="K87" s="10" t="s">
        <v>523</v>
      </c>
      <c r="L87" s="10" t="s">
        <v>528</v>
      </c>
      <c r="M87" s="11">
        <v>199900</v>
      </c>
      <c r="N87" s="6">
        <v>0.8</v>
      </c>
      <c r="O87" s="7">
        <f t="shared" si="3"/>
        <v>39980</v>
      </c>
      <c r="P87" s="6" t="s">
        <v>740</v>
      </c>
    </row>
    <row r="88" spans="1:16" x14ac:dyDescent="0.35">
      <c r="A88" s="2" t="s">
        <v>746</v>
      </c>
      <c r="B88" s="3">
        <f t="shared" si="4"/>
        <v>46086</v>
      </c>
      <c r="C88" s="3">
        <f t="shared" si="5"/>
        <v>46092</v>
      </c>
      <c r="D88" s="2">
        <v>3342</v>
      </c>
      <c r="E88" s="2">
        <v>333</v>
      </c>
      <c r="F88" s="2">
        <v>3</v>
      </c>
      <c r="G88" s="10" t="s">
        <v>521</v>
      </c>
      <c r="H88" s="10" t="s">
        <v>522</v>
      </c>
      <c r="I88" s="10" t="s">
        <v>18</v>
      </c>
      <c r="J88" s="10">
        <v>16097655</v>
      </c>
      <c r="K88" s="10" t="s">
        <v>529</v>
      </c>
      <c r="L88" s="10" t="s">
        <v>530</v>
      </c>
      <c r="M88" s="11">
        <v>199900</v>
      </c>
      <c r="N88" s="6">
        <v>0.8</v>
      </c>
      <c r="O88" s="7">
        <f t="shared" si="3"/>
        <v>39980</v>
      </c>
      <c r="P88" s="6" t="s">
        <v>740</v>
      </c>
    </row>
    <row r="89" spans="1:16" x14ac:dyDescent="0.35">
      <c r="A89" s="2" t="s">
        <v>746</v>
      </c>
      <c r="B89" s="3">
        <f t="shared" si="4"/>
        <v>46086</v>
      </c>
      <c r="C89" s="3">
        <f t="shared" si="5"/>
        <v>46092</v>
      </c>
      <c r="D89" s="2">
        <v>3342</v>
      </c>
      <c r="E89" s="2">
        <v>333</v>
      </c>
      <c r="F89" s="2">
        <v>3</v>
      </c>
      <c r="G89" s="10" t="s">
        <v>521</v>
      </c>
      <c r="H89" s="10" t="s">
        <v>522</v>
      </c>
      <c r="I89" s="10" t="s">
        <v>18</v>
      </c>
      <c r="J89" s="10">
        <v>16097664</v>
      </c>
      <c r="K89" s="10" t="s">
        <v>529</v>
      </c>
      <c r="L89" s="10" t="s">
        <v>531</v>
      </c>
      <c r="M89" s="11">
        <v>199900</v>
      </c>
      <c r="N89" s="6">
        <v>0.8</v>
      </c>
      <c r="O89" s="7">
        <f t="shared" si="3"/>
        <v>39980</v>
      </c>
      <c r="P89" s="6" t="s">
        <v>740</v>
      </c>
    </row>
    <row r="90" spans="1:16" x14ac:dyDescent="0.35">
      <c r="A90" s="2" t="s">
        <v>746</v>
      </c>
      <c r="B90" s="3">
        <f t="shared" si="4"/>
        <v>46086</v>
      </c>
      <c r="C90" s="3">
        <f t="shared" si="5"/>
        <v>46092</v>
      </c>
      <c r="D90" s="2">
        <v>3342</v>
      </c>
      <c r="E90" s="2">
        <v>333</v>
      </c>
      <c r="F90" s="2">
        <v>3</v>
      </c>
      <c r="G90" s="10" t="s">
        <v>521</v>
      </c>
      <c r="H90" s="10" t="s">
        <v>522</v>
      </c>
      <c r="I90" s="10" t="s">
        <v>18</v>
      </c>
      <c r="J90" s="10">
        <v>16097673</v>
      </c>
      <c r="K90" s="10" t="s">
        <v>529</v>
      </c>
      <c r="L90" s="10" t="s">
        <v>532</v>
      </c>
      <c r="M90" s="11">
        <v>199900</v>
      </c>
      <c r="N90" s="6">
        <v>0.8</v>
      </c>
      <c r="O90" s="7">
        <f t="shared" si="3"/>
        <v>39980</v>
      </c>
      <c r="P90" s="6" t="s">
        <v>740</v>
      </c>
    </row>
    <row r="91" spans="1:16" x14ac:dyDescent="0.35">
      <c r="A91" s="2" t="s">
        <v>746</v>
      </c>
      <c r="B91" s="3">
        <f t="shared" si="4"/>
        <v>46086</v>
      </c>
      <c r="C91" s="3">
        <f t="shared" si="5"/>
        <v>46092</v>
      </c>
      <c r="D91" s="2">
        <v>3342</v>
      </c>
      <c r="E91" s="2">
        <v>333</v>
      </c>
      <c r="F91" s="2">
        <v>3</v>
      </c>
      <c r="G91" s="10" t="s">
        <v>521</v>
      </c>
      <c r="H91" s="10" t="s">
        <v>522</v>
      </c>
      <c r="I91" s="10" t="s">
        <v>18</v>
      </c>
      <c r="J91" s="10">
        <v>16097682</v>
      </c>
      <c r="K91" s="10" t="s">
        <v>529</v>
      </c>
      <c r="L91" s="10" t="s">
        <v>533</v>
      </c>
      <c r="M91" s="11">
        <v>199900</v>
      </c>
      <c r="N91" s="6">
        <v>0.8</v>
      </c>
      <c r="O91" s="7">
        <f t="shared" si="3"/>
        <v>39980</v>
      </c>
      <c r="P91" s="6" t="s">
        <v>740</v>
      </c>
    </row>
    <row r="92" spans="1:16" x14ac:dyDescent="0.35">
      <c r="A92" s="2" t="s">
        <v>746</v>
      </c>
      <c r="B92" s="3">
        <f t="shared" si="4"/>
        <v>46086</v>
      </c>
      <c r="C92" s="3">
        <f t="shared" si="5"/>
        <v>46092</v>
      </c>
      <c r="D92" s="2">
        <v>3342</v>
      </c>
      <c r="E92" s="2">
        <v>333</v>
      </c>
      <c r="F92" s="2">
        <v>3</v>
      </c>
      <c r="G92" s="10" t="s">
        <v>521</v>
      </c>
      <c r="H92" s="10" t="s">
        <v>522</v>
      </c>
      <c r="I92" s="10" t="s">
        <v>18</v>
      </c>
      <c r="J92" s="10">
        <v>16097691</v>
      </c>
      <c r="K92" s="10" t="s">
        <v>529</v>
      </c>
      <c r="L92" s="10" t="s">
        <v>534</v>
      </c>
      <c r="M92" s="11">
        <v>199900</v>
      </c>
      <c r="N92" s="6">
        <v>0.8</v>
      </c>
      <c r="O92" s="7">
        <f t="shared" si="3"/>
        <v>39980</v>
      </c>
      <c r="P92" s="6" t="s">
        <v>740</v>
      </c>
    </row>
    <row r="93" spans="1:16" x14ac:dyDescent="0.35">
      <c r="A93" s="2" t="s">
        <v>746</v>
      </c>
      <c r="B93" s="3">
        <f t="shared" si="4"/>
        <v>46086</v>
      </c>
      <c r="C93" s="3">
        <f t="shared" si="5"/>
        <v>46092</v>
      </c>
      <c r="D93" s="2">
        <v>3342</v>
      </c>
      <c r="E93" s="2">
        <v>333</v>
      </c>
      <c r="F93" s="2">
        <v>3</v>
      </c>
      <c r="G93" s="10" t="s">
        <v>521</v>
      </c>
      <c r="H93" s="10" t="s">
        <v>522</v>
      </c>
      <c r="I93" s="10" t="s">
        <v>18</v>
      </c>
      <c r="J93" s="10">
        <v>16097708</v>
      </c>
      <c r="K93" s="10" t="s">
        <v>535</v>
      </c>
      <c r="L93" s="10" t="s">
        <v>536</v>
      </c>
      <c r="M93" s="11">
        <v>199900</v>
      </c>
      <c r="N93" s="6">
        <v>0.8</v>
      </c>
      <c r="O93" s="7">
        <f t="shared" si="3"/>
        <v>39980</v>
      </c>
      <c r="P93" s="6" t="s">
        <v>740</v>
      </c>
    </row>
    <row r="94" spans="1:16" x14ac:dyDescent="0.35">
      <c r="A94" s="2" t="s">
        <v>746</v>
      </c>
      <c r="B94" s="3">
        <f t="shared" si="4"/>
        <v>46086</v>
      </c>
      <c r="C94" s="3">
        <f t="shared" si="5"/>
        <v>46092</v>
      </c>
      <c r="D94" s="2">
        <v>3342</v>
      </c>
      <c r="E94" s="2">
        <v>333</v>
      </c>
      <c r="F94" s="2">
        <v>3</v>
      </c>
      <c r="G94" s="10" t="s">
        <v>521</v>
      </c>
      <c r="H94" s="10" t="s">
        <v>522</v>
      </c>
      <c r="I94" s="10" t="s">
        <v>18</v>
      </c>
      <c r="J94" s="10">
        <v>16097717</v>
      </c>
      <c r="K94" s="10" t="s">
        <v>535</v>
      </c>
      <c r="L94" s="10" t="s">
        <v>537</v>
      </c>
      <c r="M94" s="11">
        <v>199900</v>
      </c>
      <c r="N94" s="6">
        <v>0.8</v>
      </c>
      <c r="O94" s="7">
        <f t="shared" si="3"/>
        <v>39980</v>
      </c>
      <c r="P94" s="6" t="s">
        <v>740</v>
      </c>
    </row>
    <row r="95" spans="1:16" x14ac:dyDescent="0.35">
      <c r="A95" s="2" t="s">
        <v>746</v>
      </c>
      <c r="B95" s="3">
        <f t="shared" si="4"/>
        <v>46086</v>
      </c>
      <c r="C95" s="3">
        <f t="shared" si="5"/>
        <v>46092</v>
      </c>
      <c r="D95" s="2">
        <v>3342</v>
      </c>
      <c r="E95" s="2">
        <v>333</v>
      </c>
      <c r="F95" s="2">
        <v>3</v>
      </c>
      <c r="G95" s="10" t="s">
        <v>521</v>
      </c>
      <c r="H95" s="10" t="s">
        <v>522</v>
      </c>
      <c r="I95" s="10" t="s">
        <v>18</v>
      </c>
      <c r="J95" s="10">
        <v>16097726</v>
      </c>
      <c r="K95" s="10" t="s">
        <v>535</v>
      </c>
      <c r="L95" s="10" t="s">
        <v>538</v>
      </c>
      <c r="M95" s="11">
        <v>199900</v>
      </c>
      <c r="N95" s="6">
        <v>0.8</v>
      </c>
      <c r="O95" s="7">
        <f t="shared" si="3"/>
        <v>39980</v>
      </c>
      <c r="P95" s="6" t="s">
        <v>740</v>
      </c>
    </row>
    <row r="96" spans="1:16" x14ac:dyDescent="0.35">
      <c r="A96" s="2" t="s">
        <v>746</v>
      </c>
      <c r="B96" s="3">
        <f t="shared" si="4"/>
        <v>46086</v>
      </c>
      <c r="C96" s="3">
        <f t="shared" si="5"/>
        <v>46092</v>
      </c>
      <c r="D96" s="2">
        <v>3342</v>
      </c>
      <c r="E96" s="2">
        <v>333</v>
      </c>
      <c r="F96" s="2">
        <v>3</v>
      </c>
      <c r="G96" s="10" t="s">
        <v>521</v>
      </c>
      <c r="H96" s="10" t="s">
        <v>522</v>
      </c>
      <c r="I96" s="10" t="s">
        <v>18</v>
      </c>
      <c r="J96" s="10">
        <v>16097735</v>
      </c>
      <c r="K96" s="10" t="s">
        <v>535</v>
      </c>
      <c r="L96" s="10" t="s">
        <v>539</v>
      </c>
      <c r="M96" s="11">
        <v>199900</v>
      </c>
      <c r="N96" s="6">
        <v>0.8</v>
      </c>
      <c r="O96" s="7">
        <f t="shared" si="3"/>
        <v>39980</v>
      </c>
      <c r="P96" s="6" t="s">
        <v>740</v>
      </c>
    </row>
    <row r="97" spans="1:16" x14ac:dyDescent="0.35">
      <c r="A97" s="2" t="s">
        <v>746</v>
      </c>
      <c r="B97" s="3">
        <f t="shared" si="4"/>
        <v>46086</v>
      </c>
      <c r="C97" s="3">
        <f t="shared" si="5"/>
        <v>46092</v>
      </c>
      <c r="D97" s="2">
        <v>3342</v>
      </c>
      <c r="E97" s="2">
        <v>333</v>
      </c>
      <c r="F97" s="2">
        <v>3</v>
      </c>
      <c r="G97" s="10" t="s">
        <v>521</v>
      </c>
      <c r="H97" s="10" t="s">
        <v>522</v>
      </c>
      <c r="I97" s="10" t="s">
        <v>18</v>
      </c>
      <c r="J97" s="10">
        <v>16097744</v>
      </c>
      <c r="K97" s="10" t="s">
        <v>535</v>
      </c>
      <c r="L97" s="10" t="s">
        <v>540</v>
      </c>
      <c r="M97" s="11">
        <v>199900</v>
      </c>
      <c r="N97" s="6">
        <v>0.8</v>
      </c>
      <c r="O97" s="7">
        <f t="shared" si="3"/>
        <v>39980</v>
      </c>
      <c r="P97" s="6" t="s">
        <v>740</v>
      </c>
    </row>
    <row r="98" spans="1:16" customFormat="1" x14ac:dyDescent="0.35">
      <c r="A98" s="2" t="s">
        <v>746</v>
      </c>
      <c r="B98" s="3">
        <f t="shared" si="4"/>
        <v>46086</v>
      </c>
      <c r="C98" s="3">
        <f t="shared" si="5"/>
        <v>46092</v>
      </c>
      <c r="D98" s="2">
        <v>3342</v>
      </c>
      <c r="E98" s="2">
        <v>333</v>
      </c>
      <c r="F98" s="2">
        <v>3</v>
      </c>
      <c r="G98" s="4" t="s">
        <v>502</v>
      </c>
      <c r="H98" s="4" t="s">
        <v>416</v>
      </c>
      <c r="I98" s="4" t="s">
        <v>18</v>
      </c>
      <c r="J98" s="4">
        <v>16099019</v>
      </c>
      <c r="K98" s="4" t="s">
        <v>503</v>
      </c>
      <c r="L98" s="4" t="s">
        <v>504</v>
      </c>
      <c r="M98" s="5">
        <v>179900</v>
      </c>
      <c r="N98" s="6">
        <v>0.8</v>
      </c>
      <c r="O98" s="7">
        <f t="shared" si="3"/>
        <v>35980</v>
      </c>
      <c r="P98" s="6" t="s">
        <v>740</v>
      </c>
    </row>
    <row r="99" spans="1:16" customFormat="1" x14ac:dyDescent="0.35">
      <c r="A99" s="2" t="s">
        <v>746</v>
      </c>
      <c r="B99" s="3">
        <f t="shared" si="4"/>
        <v>46086</v>
      </c>
      <c r="C99" s="3">
        <f t="shared" si="5"/>
        <v>46092</v>
      </c>
      <c r="D99" s="2">
        <v>3342</v>
      </c>
      <c r="E99" s="2">
        <v>333</v>
      </c>
      <c r="F99" s="2">
        <v>3</v>
      </c>
      <c r="G99" s="4" t="s">
        <v>502</v>
      </c>
      <c r="H99" s="4" t="s">
        <v>416</v>
      </c>
      <c r="I99" s="4" t="s">
        <v>18</v>
      </c>
      <c r="J99" s="4">
        <v>16099028</v>
      </c>
      <c r="K99" s="4" t="s">
        <v>503</v>
      </c>
      <c r="L99" s="4" t="s">
        <v>505</v>
      </c>
      <c r="M99" s="5">
        <v>179900</v>
      </c>
      <c r="N99" s="6">
        <v>0.8</v>
      </c>
      <c r="O99" s="7">
        <f t="shared" si="3"/>
        <v>35980</v>
      </c>
      <c r="P99" s="6" t="s">
        <v>740</v>
      </c>
    </row>
    <row r="100" spans="1:16" customFormat="1" x14ac:dyDescent="0.35">
      <c r="A100" s="2" t="s">
        <v>746</v>
      </c>
      <c r="B100" s="3">
        <f t="shared" si="4"/>
        <v>46086</v>
      </c>
      <c r="C100" s="3">
        <f t="shared" si="5"/>
        <v>46092</v>
      </c>
      <c r="D100" s="2">
        <v>3342</v>
      </c>
      <c r="E100" s="2">
        <v>333</v>
      </c>
      <c r="F100" s="2">
        <v>3</v>
      </c>
      <c r="G100" s="4" t="s">
        <v>502</v>
      </c>
      <c r="H100" s="4" t="s">
        <v>416</v>
      </c>
      <c r="I100" s="4" t="s">
        <v>18</v>
      </c>
      <c r="J100" s="4">
        <v>16099037</v>
      </c>
      <c r="K100" s="4" t="s">
        <v>503</v>
      </c>
      <c r="L100" s="4" t="s">
        <v>506</v>
      </c>
      <c r="M100" s="5">
        <v>179900</v>
      </c>
      <c r="N100" s="6">
        <v>0.8</v>
      </c>
      <c r="O100" s="7">
        <f t="shared" si="3"/>
        <v>35980</v>
      </c>
      <c r="P100" s="6" t="s">
        <v>740</v>
      </c>
    </row>
    <row r="101" spans="1:16" customFormat="1" x14ac:dyDescent="0.35">
      <c r="A101" s="2" t="s">
        <v>746</v>
      </c>
      <c r="B101" s="3">
        <f t="shared" si="4"/>
        <v>46086</v>
      </c>
      <c r="C101" s="3">
        <f t="shared" si="5"/>
        <v>46092</v>
      </c>
      <c r="D101" s="2">
        <v>3342</v>
      </c>
      <c r="E101" s="2">
        <v>333</v>
      </c>
      <c r="F101" s="2">
        <v>3</v>
      </c>
      <c r="G101" s="4" t="s">
        <v>502</v>
      </c>
      <c r="H101" s="4" t="s">
        <v>416</v>
      </c>
      <c r="I101" s="4" t="s">
        <v>18</v>
      </c>
      <c r="J101" s="4">
        <v>16099046</v>
      </c>
      <c r="K101" s="4" t="s">
        <v>503</v>
      </c>
      <c r="L101" s="4" t="s">
        <v>507</v>
      </c>
      <c r="M101" s="5">
        <v>179900</v>
      </c>
      <c r="N101" s="6">
        <v>0.8</v>
      </c>
      <c r="O101" s="7">
        <f t="shared" si="3"/>
        <v>35980</v>
      </c>
      <c r="P101" s="6" t="s">
        <v>740</v>
      </c>
    </row>
    <row r="102" spans="1:16" customFormat="1" x14ac:dyDescent="0.35">
      <c r="A102" s="2" t="s">
        <v>746</v>
      </c>
      <c r="B102" s="3">
        <f t="shared" si="4"/>
        <v>46086</v>
      </c>
      <c r="C102" s="3">
        <f t="shared" si="5"/>
        <v>46092</v>
      </c>
      <c r="D102" s="2">
        <v>3342</v>
      </c>
      <c r="E102" s="2">
        <v>333</v>
      </c>
      <c r="F102" s="2">
        <v>3</v>
      </c>
      <c r="G102" s="4" t="s">
        <v>502</v>
      </c>
      <c r="H102" s="4" t="s">
        <v>416</v>
      </c>
      <c r="I102" s="4" t="s">
        <v>18</v>
      </c>
      <c r="J102" s="4">
        <v>16099055</v>
      </c>
      <c r="K102" s="4" t="s">
        <v>503</v>
      </c>
      <c r="L102" s="4" t="s">
        <v>508</v>
      </c>
      <c r="M102" s="5">
        <v>179900</v>
      </c>
      <c r="N102" s="6">
        <v>0.8</v>
      </c>
      <c r="O102" s="7">
        <f t="shared" si="3"/>
        <v>35980</v>
      </c>
      <c r="P102" s="6" t="s">
        <v>740</v>
      </c>
    </row>
    <row r="103" spans="1:16" customFormat="1" x14ac:dyDescent="0.35">
      <c r="A103" s="2" t="s">
        <v>746</v>
      </c>
      <c r="B103" s="3">
        <f t="shared" si="4"/>
        <v>46086</v>
      </c>
      <c r="C103" s="3">
        <f t="shared" si="5"/>
        <v>46092</v>
      </c>
      <c r="D103" s="2">
        <v>3342</v>
      </c>
      <c r="E103" s="2">
        <v>333</v>
      </c>
      <c r="F103" s="2">
        <v>3</v>
      </c>
      <c r="G103" s="4" t="s">
        <v>502</v>
      </c>
      <c r="H103" s="4" t="s">
        <v>416</v>
      </c>
      <c r="I103" s="4" t="s">
        <v>18</v>
      </c>
      <c r="J103" s="4">
        <v>16099064</v>
      </c>
      <c r="K103" s="4" t="s">
        <v>509</v>
      </c>
      <c r="L103" s="4" t="s">
        <v>510</v>
      </c>
      <c r="M103" s="5">
        <v>179900</v>
      </c>
      <c r="N103" s="6">
        <v>0.8</v>
      </c>
      <c r="O103" s="7">
        <f t="shared" si="3"/>
        <v>35980</v>
      </c>
      <c r="P103" s="6" t="s">
        <v>740</v>
      </c>
    </row>
    <row r="104" spans="1:16" customFormat="1" x14ac:dyDescent="0.35">
      <c r="A104" s="2" t="s">
        <v>746</v>
      </c>
      <c r="B104" s="3">
        <f t="shared" si="4"/>
        <v>46086</v>
      </c>
      <c r="C104" s="3">
        <f t="shared" si="5"/>
        <v>46092</v>
      </c>
      <c r="D104" s="2">
        <v>3342</v>
      </c>
      <c r="E104" s="2">
        <v>333</v>
      </c>
      <c r="F104" s="2">
        <v>3</v>
      </c>
      <c r="G104" s="4" t="s">
        <v>502</v>
      </c>
      <c r="H104" s="4" t="s">
        <v>416</v>
      </c>
      <c r="I104" s="4" t="s">
        <v>18</v>
      </c>
      <c r="J104" s="4">
        <v>16099073</v>
      </c>
      <c r="K104" s="4" t="s">
        <v>509</v>
      </c>
      <c r="L104" s="4" t="s">
        <v>511</v>
      </c>
      <c r="M104" s="5">
        <v>179900</v>
      </c>
      <c r="N104" s="6">
        <v>0.8</v>
      </c>
      <c r="O104" s="7">
        <f t="shared" si="3"/>
        <v>35980</v>
      </c>
      <c r="P104" s="6" t="s">
        <v>740</v>
      </c>
    </row>
    <row r="105" spans="1:16" customFormat="1" x14ac:dyDescent="0.35">
      <c r="A105" s="2" t="s">
        <v>746</v>
      </c>
      <c r="B105" s="3">
        <f t="shared" si="4"/>
        <v>46086</v>
      </c>
      <c r="C105" s="3">
        <f t="shared" si="5"/>
        <v>46092</v>
      </c>
      <c r="D105" s="2">
        <v>3342</v>
      </c>
      <c r="E105" s="2">
        <v>333</v>
      </c>
      <c r="F105" s="2">
        <v>3</v>
      </c>
      <c r="G105" s="4" t="s">
        <v>502</v>
      </c>
      <c r="H105" s="4" t="s">
        <v>416</v>
      </c>
      <c r="I105" s="4" t="s">
        <v>18</v>
      </c>
      <c r="J105" s="4">
        <v>16099082</v>
      </c>
      <c r="K105" s="4" t="s">
        <v>509</v>
      </c>
      <c r="L105" s="4" t="s">
        <v>512</v>
      </c>
      <c r="M105" s="5">
        <v>179900</v>
      </c>
      <c r="N105" s="6">
        <v>0.8</v>
      </c>
      <c r="O105" s="7">
        <f t="shared" si="3"/>
        <v>35980</v>
      </c>
      <c r="P105" s="6" t="s">
        <v>740</v>
      </c>
    </row>
    <row r="106" spans="1:16" customFormat="1" x14ac:dyDescent="0.35">
      <c r="A106" s="2" t="s">
        <v>746</v>
      </c>
      <c r="B106" s="3">
        <f t="shared" si="4"/>
        <v>46086</v>
      </c>
      <c r="C106" s="3">
        <f t="shared" si="5"/>
        <v>46092</v>
      </c>
      <c r="D106" s="2">
        <v>3342</v>
      </c>
      <c r="E106" s="2">
        <v>333</v>
      </c>
      <c r="F106" s="2">
        <v>3</v>
      </c>
      <c r="G106" s="4" t="s">
        <v>502</v>
      </c>
      <c r="H106" s="4" t="s">
        <v>416</v>
      </c>
      <c r="I106" s="4" t="s">
        <v>18</v>
      </c>
      <c r="J106" s="4">
        <v>16099091</v>
      </c>
      <c r="K106" s="4" t="s">
        <v>509</v>
      </c>
      <c r="L106" s="4" t="s">
        <v>513</v>
      </c>
      <c r="M106" s="5">
        <v>179900</v>
      </c>
      <c r="N106" s="6">
        <v>0.8</v>
      </c>
      <c r="O106" s="7">
        <f t="shared" si="3"/>
        <v>35980</v>
      </c>
      <c r="P106" s="6" t="s">
        <v>740</v>
      </c>
    </row>
    <row r="107" spans="1:16" customFormat="1" x14ac:dyDescent="0.35">
      <c r="A107" s="2" t="s">
        <v>746</v>
      </c>
      <c r="B107" s="3">
        <f t="shared" si="4"/>
        <v>46086</v>
      </c>
      <c r="C107" s="3">
        <f t="shared" si="5"/>
        <v>46092</v>
      </c>
      <c r="D107" s="2">
        <v>3342</v>
      </c>
      <c r="E107" s="2">
        <v>333</v>
      </c>
      <c r="F107" s="2">
        <v>3</v>
      </c>
      <c r="G107" s="4" t="s">
        <v>502</v>
      </c>
      <c r="H107" s="4" t="s">
        <v>416</v>
      </c>
      <c r="I107" s="4" t="s">
        <v>18</v>
      </c>
      <c r="J107" s="4">
        <v>16099108</v>
      </c>
      <c r="K107" s="4" t="s">
        <v>509</v>
      </c>
      <c r="L107" s="4" t="s">
        <v>514</v>
      </c>
      <c r="M107" s="5">
        <v>179900</v>
      </c>
      <c r="N107" s="6">
        <v>0.8</v>
      </c>
      <c r="O107" s="7">
        <f t="shared" si="3"/>
        <v>35980</v>
      </c>
      <c r="P107" s="6" t="s">
        <v>740</v>
      </c>
    </row>
  </sheetData>
  <autoFilter ref="A1:P9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tabSelected="1" zoomScale="50" workbookViewId="0">
      <selection activeCell="M23" sqref="M23"/>
    </sheetView>
  </sheetViews>
  <sheetFormatPr defaultRowHeight="14.5" x14ac:dyDescent="0.35"/>
  <cols>
    <col min="1" max="1" width="37.90625" bestFit="1" customWidth="1"/>
    <col min="2" max="2" width="16.90625" bestFit="1" customWidth="1"/>
    <col min="3" max="3" width="14" bestFit="1" customWidth="1"/>
    <col min="4" max="4" width="11.08984375" bestFit="1" customWidth="1"/>
    <col min="5" max="5" width="13.26953125" bestFit="1" customWidth="1"/>
    <col min="6" max="6" width="14.6328125" bestFit="1" customWidth="1"/>
    <col min="7" max="7" width="11.7265625" bestFit="1" customWidth="1"/>
    <col min="8" max="8" width="30.7265625" bestFit="1" customWidth="1"/>
    <col min="9" max="9" width="12.90625" bestFit="1" customWidth="1"/>
    <col min="10" max="10" width="10.08984375" bestFit="1" customWidth="1"/>
    <col min="11" max="11" width="13.453125" bestFit="1" customWidth="1"/>
    <col min="12" max="12" width="66.1796875" bestFit="1" customWidth="1"/>
    <col min="13" max="13" width="21.08984375" bestFit="1" customWidth="1"/>
    <col min="14" max="14" width="13.36328125" bestFit="1" customWidth="1"/>
    <col min="15" max="15" width="20.26953125" bestFit="1" customWidth="1"/>
    <col min="16" max="16" width="20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" t="s">
        <v>747</v>
      </c>
      <c r="B2" s="3">
        <f>'2023 H2 3342 D80'!B2</f>
        <v>46086</v>
      </c>
      <c r="C2" s="3">
        <f>'2023 H2 3342 D80'!C2</f>
        <v>46092</v>
      </c>
      <c r="D2" s="2">
        <v>3342</v>
      </c>
      <c r="E2" s="2">
        <v>333</v>
      </c>
      <c r="F2" s="2">
        <v>3</v>
      </c>
      <c r="G2" s="4" t="s">
        <v>292</v>
      </c>
      <c r="H2" s="4" t="s">
        <v>271</v>
      </c>
      <c r="I2" s="4" t="s">
        <v>18</v>
      </c>
      <c r="J2" s="4">
        <v>10611233</v>
      </c>
      <c r="K2" s="4" t="s">
        <v>293</v>
      </c>
      <c r="L2" s="4" t="s">
        <v>294</v>
      </c>
      <c r="M2" s="5">
        <v>99900</v>
      </c>
      <c r="N2" s="6">
        <v>0.8</v>
      </c>
      <c r="O2" s="7">
        <f>M2-(M2*N2)</f>
        <v>19980</v>
      </c>
      <c r="P2" s="6" t="s">
        <v>740</v>
      </c>
    </row>
    <row r="3" spans="1:16" x14ac:dyDescent="0.35">
      <c r="A3" s="2" t="s">
        <v>747</v>
      </c>
      <c r="B3" s="3">
        <f>B2</f>
        <v>46086</v>
      </c>
      <c r="C3" s="3">
        <f>C2</f>
        <v>46092</v>
      </c>
      <c r="D3" s="2">
        <v>3342</v>
      </c>
      <c r="E3" s="2">
        <v>333</v>
      </c>
      <c r="F3" s="2">
        <v>3</v>
      </c>
      <c r="G3" s="4" t="s">
        <v>292</v>
      </c>
      <c r="H3" s="4" t="s">
        <v>271</v>
      </c>
      <c r="I3" s="4" t="s">
        <v>18</v>
      </c>
      <c r="J3" s="4">
        <v>10611242</v>
      </c>
      <c r="K3" s="4" t="s">
        <v>293</v>
      </c>
      <c r="L3" s="4" t="s">
        <v>295</v>
      </c>
      <c r="M3" s="5">
        <v>99900</v>
      </c>
      <c r="N3" s="6">
        <v>0.8</v>
      </c>
      <c r="O3" s="7">
        <f t="shared" ref="O3:O45" si="0">M3-(M3*N3)</f>
        <v>19980</v>
      </c>
      <c r="P3" s="6" t="s">
        <v>740</v>
      </c>
    </row>
    <row r="4" spans="1:16" x14ac:dyDescent="0.35">
      <c r="A4" s="2" t="s">
        <v>747</v>
      </c>
      <c r="B4" s="3">
        <f t="shared" ref="B4:B45" si="1">B3</f>
        <v>46086</v>
      </c>
      <c r="C4" s="3">
        <f t="shared" ref="C4:C45" si="2">C3</f>
        <v>46092</v>
      </c>
      <c r="D4" s="2">
        <v>3342</v>
      </c>
      <c r="E4" s="2">
        <v>333</v>
      </c>
      <c r="F4" s="2">
        <v>3</v>
      </c>
      <c r="G4" s="4" t="s">
        <v>292</v>
      </c>
      <c r="H4" s="4" t="s">
        <v>271</v>
      </c>
      <c r="I4" s="4" t="s">
        <v>18</v>
      </c>
      <c r="J4" s="4">
        <v>10611251</v>
      </c>
      <c r="K4" s="4" t="s">
        <v>293</v>
      </c>
      <c r="L4" s="4" t="s">
        <v>296</v>
      </c>
      <c r="M4" s="5">
        <v>99900</v>
      </c>
      <c r="N4" s="6">
        <v>0.8</v>
      </c>
      <c r="O4" s="7">
        <f t="shared" si="0"/>
        <v>19980</v>
      </c>
      <c r="P4" s="6" t="s">
        <v>740</v>
      </c>
    </row>
    <row r="5" spans="1:16" x14ac:dyDescent="0.35">
      <c r="A5" s="2" t="s">
        <v>747</v>
      </c>
      <c r="B5" s="3">
        <f t="shared" si="1"/>
        <v>46086</v>
      </c>
      <c r="C5" s="3">
        <f t="shared" si="2"/>
        <v>46092</v>
      </c>
      <c r="D5" s="2">
        <v>3342</v>
      </c>
      <c r="E5" s="2">
        <v>333</v>
      </c>
      <c r="F5" s="2">
        <v>3</v>
      </c>
      <c r="G5" s="4" t="s">
        <v>292</v>
      </c>
      <c r="H5" s="4" t="s">
        <v>271</v>
      </c>
      <c r="I5" s="4" t="s">
        <v>18</v>
      </c>
      <c r="J5" s="4">
        <v>10611260</v>
      </c>
      <c r="K5" s="4" t="s">
        <v>293</v>
      </c>
      <c r="L5" s="4" t="s">
        <v>297</v>
      </c>
      <c r="M5" s="5">
        <v>99900</v>
      </c>
      <c r="N5" s="6">
        <v>0.8</v>
      </c>
      <c r="O5" s="7">
        <f t="shared" si="0"/>
        <v>19980</v>
      </c>
      <c r="P5" s="6" t="s">
        <v>740</v>
      </c>
    </row>
    <row r="6" spans="1:16" x14ac:dyDescent="0.35">
      <c r="A6" s="2" t="s">
        <v>747</v>
      </c>
      <c r="B6" s="3">
        <f t="shared" si="1"/>
        <v>46086</v>
      </c>
      <c r="C6" s="3">
        <f t="shared" si="2"/>
        <v>46092</v>
      </c>
      <c r="D6" s="2">
        <v>3342</v>
      </c>
      <c r="E6" s="2">
        <v>333</v>
      </c>
      <c r="F6" s="2">
        <v>3</v>
      </c>
      <c r="G6" s="4" t="s">
        <v>292</v>
      </c>
      <c r="H6" s="4" t="s">
        <v>271</v>
      </c>
      <c r="I6" s="4" t="s">
        <v>18</v>
      </c>
      <c r="J6" s="4">
        <v>10611279</v>
      </c>
      <c r="K6" s="4" t="s">
        <v>298</v>
      </c>
      <c r="L6" s="4" t="s">
        <v>299</v>
      </c>
      <c r="M6" s="5">
        <v>99900</v>
      </c>
      <c r="N6" s="6">
        <v>0.8</v>
      </c>
      <c r="O6" s="7">
        <f t="shared" si="0"/>
        <v>19980</v>
      </c>
      <c r="P6" s="6" t="s">
        <v>740</v>
      </c>
    </row>
    <row r="7" spans="1:16" x14ac:dyDescent="0.35">
      <c r="A7" s="2" t="s">
        <v>747</v>
      </c>
      <c r="B7" s="3">
        <f t="shared" si="1"/>
        <v>46086</v>
      </c>
      <c r="C7" s="3">
        <f t="shared" si="2"/>
        <v>46092</v>
      </c>
      <c r="D7" s="2">
        <v>3342</v>
      </c>
      <c r="E7" s="2">
        <v>333</v>
      </c>
      <c r="F7" s="2">
        <v>3</v>
      </c>
      <c r="G7" s="4" t="s">
        <v>292</v>
      </c>
      <c r="H7" s="4" t="s">
        <v>271</v>
      </c>
      <c r="I7" s="4" t="s">
        <v>18</v>
      </c>
      <c r="J7" s="4">
        <v>10611288</v>
      </c>
      <c r="K7" s="4" t="s">
        <v>298</v>
      </c>
      <c r="L7" s="4" t="s">
        <v>300</v>
      </c>
      <c r="M7" s="5">
        <v>99900</v>
      </c>
      <c r="N7" s="6">
        <v>0.8</v>
      </c>
      <c r="O7" s="7">
        <f t="shared" si="0"/>
        <v>19980</v>
      </c>
      <c r="P7" s="6" t="s">
        <v>740</v>
      </c>
    </row>
    <row r="8" spans="1:16" x14ac:dyDescent="0.35">
      <c r="A8" s="2" t="s">
        <v>747</v>
      </c>
      <c r="B8" s="3">
        <f t="shared" si="1"/>
        <v>46086</v>
      </c>
      <c r="C8" s="3">
        <f t="shared" si="2"/>
        <v>46092</v>
      </c>
      <c r="D8" s="2">
        <v>3342</v>
      </c>
      <c r="E8" s="2">
        <v>333</v>
      </c>
      <c r="F8" s="2">
        <v>3</v>
      </c>
      <c r="G8" s="4" t="s">
        <v>292</v>
      </c>
      <c r="H8" s="4" t="s">
        <v>271</v>
      </c>
      <c r="I8" s="4" t="s">
        <v>18</v>
      </c>
      <c r="J8" s="4">
        <v>10611297</v>
      </c>
      <c r="K8" s="4" t="s">
        <v>298</v>
      </c>
      <c r="L8" s="4" t="s">
        <v>301</v>
      </c>
      <c r="M8" s="5">
        <v>99900</v>
      </c>
      <c r="N8" s="6">
        <v>0.8</v>
      </c>
      <c r="O8" s="7">
        <f t="shared" si="0"/>
        <v>19980</v>
      </c>
      <c r="P8" s="6" t="s">
        <v>740</v>
      </c>
    </row>
    <row r="9" spans="1:16" x14ac:dyDescent="0.35">
      <c r="A9" s="2" t="s">
        <v>747</v>
      </c>
      <c r="B9" s="3">
        <f t="shared" si="1"/>
        <v>46086</v>
      </c>
      <c r="C9" s="3">
        <f t="shared" si="2"/>
        <v>46092</v>
      </c>
      <c r="D9" s="2">
        <v>3342</v>
      </c>
      <c r="E9" s="2">
        <v>333</v>
      </c>
      <c r="F9" s="2">
        <v>3</v>
      </c>
      <c r="G9" s="4" t="s">
        <v>292</v>
      </c>
      <c r="H9" s="4" t="s">
        <v>271</v>
      </c>
      <c r="I9" s="4" t="s">
        <v>18</v>
      </c>
      <c r="J9" s="4">
        <v>10611304</v>
      </c>
      <c r="K9" s="4" t="s">
        <v>298</v>
      </c>
      <c r="L9" s="4" t="s">
        <v>302</v>
      </c>
      <c r="M9" s="5">
        <v>99900</v>
      </c>
      <c r="N9" s="6">
        <v>0.8</v>
      </c>
      <c r="O9" s="7">
        <f t="shared" si="0"/>
        <v>19980</v>
      </c>
      <c r="P9" s="6" t="s">
        <v>740</v>
      </c>
    </row>
    <row r="10" spans="1:16" x14ac:dyDescent="0.35">
      <c r="A10" s="2" t="s">
        <v>747</v>
      </c>
      <c r="B10" s="3">
        <f t="shared" si="1"/>
        <v>46086</v>
      </c>
      <c r="C10" s="3">
        <f t="shared" si="2"/>
        <v>46092</v>
      </c>
      <c r="D10" s="2">
        <v>3342</v>
      </c>
      <c r="E10" s="2">
        <v>333</v>
      </c>
      <c r="F10" s="2">
        <v>3</v>
      </c>
      <c r="G10" s="4" t="s">
        <v>292</v>
      </c>
      <c r="H10" s="4" t="s">
        <v>271</v>
      </c>
      <c r="I10" s="4" t="s">
        <v>18</v>
      </c>
      <c r="J10" s="4">
        <v>16009437</v>
      </c>
      <c r="K10" s="4" t="s">
        <v>303</v>
      </c>
      <c r="L10" s="4" t="s">
        <v>304</v>
      </c>
      <c r="M10" s="5">
        <v>99900</v>
      </c>
      <c r="N10" s="6">
        <v>0.8</v>
      </c>
      <c r="O10" s="7">
        <f t="shared" si="0"/>
        <v>19980</v>
      </c>
      <c r="P10" s="6" t="s">
        <v>740</v>
      </c>
    </row>
    <row r="11" spans="1:16" x14ac:dyDescent="0.35">
      <c r="A11" s="2" t="s">
        <v>747</v>
      </c>
      <c r="B11" s="3">
        <f t="shared" si="1"/>
        <v>46086</v>
      </c>
      <c r="C11" s="3">
        <f t="shared" si="2"/>
        <v>46092</v>
      </c>
      <c r="D11" s="2">
        <v>3342</v>
      </c>
      <c r="E11" s="2">
        <v>333</v>
      </c>
      <c r="F11" s="2">
        <v>3</v>
      </c>
      <c r="G11" s="4" t="s">
        <v>292</v>
      </c>
      <c r="H11" s="4" t="s">
        <v>271</v>
      </c>
      <c r="I11" s="4" t="s">
        <v>18</v>
      </c>
      <c r="J11" s="4">
        <v>16009446</v>
      </c>
      <c r="K11" s="4" t="s">
        <v>303</v>
      </c>
      <c r="L11" s="4" t="s">
        <v>305</v>
      </c>
      <c r="M11" s="5">
        <v>99900</v>
      </c>
      <c r="N11" s="6">
        <v>0.8</v>
      </c>
      <c r="O11" s="7">
        <f t="shared" si="0"/>
        <v>19980</v>
      </c>
      <c r="P11" s="6" t="s">
        <v>740</v>
      </c>
    </row>
    <row r="12" spans="1:16" x14ac:dyDescent="0.35">
      <c r="A12" s="2" t="s">
        <v>747</v>
      </c>
      <c r="B12" s="3">
        <f t="shared" si="1"/>
        <v>46086</v>
      </c>
      <c r="C12" s="3">
        <f t="shared" si="2"/>
        <v>46092</v>
      </c>
      <c r="D12" s="2">
        <v>3342</v>
      </c>
      <c r="E12" s="2">
        <v>333</v>
      </c>
      <c r="F12" s="2">
        <v>3</v>
      </c>
      <c r="G12" s="4" t="s">
        <v>292</v>
      </c>
      <c r="H12" s="4" t="s">
        <v>271</v>
      </c>
      <c r="I12" s="4" t="s">
        <v>18</v>
      </c>
      <c r="J12" s="4">
        <v>16009455</v>
      </c>
      <c r="K12" s="4" t="s">
        <v>303</v>
      </c>
      <c r="L12" s="4" t="s">
        <v>306</v>
      </c>
      <c r="M12" s="5">
        <v>99900</v>
      </c>
      <c r="N12" s="6">
        <v>0.8</v>
      </c>
      <c r="O12" s="7">
        <f t="shared" si="0"/>
        <v>19980</v>
      </c>
      <c r="P12" s="6" t="s">
        <v>740</v>
      </c>
    </row>
    <row r="13" spans="1:16" x14ac:dyDescent="0.35">
      <c r="A13" s="2" t="s">
        <v>747</v>
      </c>
      <c r="B13" s="3">
        <f t="shared" si="1"/>
        <v>46086</v>
      </c>
      <c r="C13" s="3">
        <f t="shared" si="2"/>
        <v>46092</v>
      </c>
      <c r="D13" s="2">
        <v>3342</v>
      </c>
      <c r="E13" s="2">
        <v>333</v>
      </c>
      <c r="F13" s="2">
        <v>3</v>
      </c>
      <c r="G13" s="4" t="s">
        <v>292</v>
      </c>
      <c r="H13" s="4" t="s">
        <v>271</v>
      </c>
      <c r="I13" s="4" t="s">
        <v>18</v>
      </c>
      <c r="J13" s="4">
        <v>16009464</v>
      </c>
      <c r="K13" s="4" t="s">
        <v>303</v>
      </c>
      <c r="L13" s="4" t="s">
        <v>307</v>
      </c>
      <c r="M13" s="5">
        <v>99900</v>
      </c>
      <c r="N13" s="6">
        <v>0.8</v>
      </c>
      <c r="O13" s="7">
        <f t="shared" si="0"/>
        <v>19980</v>
      </c>
      <c r="P13" s="6" t="s">
        <v>740</v>
      </c>
    </row>
    <row r="14" spans="1:16" x14ac:dyDescent="0.35">
      <c r="A14" s="2" t="s">
        <v>747</v>
      </c>
      <c r="B14" s="3">
        <f t="shared" si="1"/>
        <v>46086</v>
      </c>
      <c r="C14" s="3">
        <f t="shared" si="2"/>
        <v>46092</v>
      </c>
      <c r="D14" s="2">
        <v>3342</v>
      </c>
      <c r="E14" s="2">
        <v>333</v>
      </c>
      <c r="F14" s="2">
        <v>3</v>
      </c>
      <c r="G14" s="4" t="s">
        <v>292</v>
      </c>
      <c r="H14" s="4" t="s">
        <v>271</v>
      </c>
      <c r="I14" s="4" t="s">
        <v>18</v>
      </c>
      <c r="J14" s="4">
        <v>16009473</v>
      </c>
      <c r="K14" s="4" t="s">
        <v>308</v>
      </c>
      <c r="L14" s="4" t="s">
        <v>309</v>
      </c>
      <c r="M14" s="5">
        <v>99900</v>
      </c>
      <c r="N14" s="6">
        <v>0.8</v>
      </c>
      <c r="O14" s="7">
        <f t="shared" si="0"/>
        <v>19980</v>
      </c>
      <c r="P14" s="6" t="s">
        <v>740</v>
      </c>
    </row>
    <row r="15" spans="1:16" x14ac:dyDescent="0.35">
      <c r="A15" s="2" t="s">
        <v>747</v>
      </c>
      <c r="B15" s="3">
        <f t="shared" si="1"/>
        <v>46086</v>
      </c>
      <c r="C15" s="3">
        <f t="shared" si="2"/>
        <v>46092</v>
      </c>
      <c r="D15" s="2">
        <v>3342</v>
      </c>
      <c r="E15" s="2">
        <v>333</v>
      </c>
      <c r="F15" s="2">
        <v>3</v>
      </c>
      <c r="G15" s="4" t="s">
        <v>292</v>
      </c>
      <c r="H15" s="4" t="s">
        <v>271</v>
      </c>
      <c r="I15" s="4" t="s">
        <v>18</v>
      </c>
      <c r="J15" s="4">
        <v>16009482</v>
      </c>
      <c r="K15" s="4" t="s">
        <v>308</v>
      </c>
      <c r="L15" s="4" t="s">
        <v>310</v>
      </c>
      <c r="M15" s="5">
        <v>99900</v>
      </c>
      <c r="N15" s="6">
        <v>0.8</v>
      </c>
      <c r="O15" s="7">
        <f t="shared" si="0"/>
        <v>19980</v>
      </c>
      <c r="P15" s="6" t="s">
        <v>740</v>
      </c>
    </row>
    <row r="16" spans="1:16" x14ac:dyDescent="0.35">
      <c r="A16" s="2" t="s">
        <v>747</v>
      </c>
      <c r="B16" s="3">
        <f t="shared" si="1"/>
        <v>46086</v>
      </c>
      <c r="C16" s="3">
        <f t="shared" si="2"/>
        <v>46092</v>
      </c>
      <c r="D16" s="2">
        <v>3342</v>
      </c>
      <c r="E16" s="2">
        <v>333</v>
      </c>
      <c r="F16" s="2">
        <v>3</v>
      </c>
      <c r="G16" s="4" t="s">
        <v>292</v>
      </c>
      <c r="H16" s="4" t="s">
        <v>271</v>
      </c>
      <c r="I16" s="4" t="s">
        <v>18</v>
      </c>
      <c r="J16" s="4">
        <v>16009491</v>
      </c>
      <c r="K16" s="4" t="s">
        <v>308</v>
      </c>
      <c r="L16" s="4" t="s">
        <v>311</v>
      </c>
      <c r="M16" s="5">
        <v>99900</v>
      </c>
      <c r="N16" s="6">
        <v>0.8</v>
      </c>
      <c r="O16" s="7">
        <f t="shared" si="0"/>
        <v>19980</v>
      </c>
      <c r="P16" s="6" t="s">
        <v>740</v>
      </c>
    </row>
    <row r="17" spans="1:16" x14ac:dyDescent="0.35">
      <c r="A17" s="2" t="s">
        <v>747</v>
      </c>
      <c r="B17" s="3">
        <f t="shared" si="1"/>
        <v>46086</v>
      </c>
      <c r="C17" s="3">
        <f t="shared" si="2"/>
        <v>46092</v>
      </c>
      <c r="D17" s="2">
        <v>3342</v>
      </c>
      <c r="E17" s="2">
        <v>333</v>
      </c>
      <c r="F17" s="2">
        <v>3</v>
      </c>
      <c r="G17" s="4" t="s">
        <v>292</v>
      </c>
      <c r="H17" s="4" t="s">
        <v>271</v>
      </c>
      <c r="I17" s="4" t="s">
        <v>18</v>
      </c>
      <c r="J17" s="4">
        <v>16009508</v>
      </c>
      <c r="K17" s="4" t="s">
        <v>308</v>
      </c>
      <c r="L17" s="4" t="s">
        <v>312</v>
      </c>
      <c r="M17" s="5">
        <v>99900</v>
      </c>
      <c r="N17" s="6">
        <v>0.8</v>
      </c>
      <c r="O17" s="7">
        <f t="shared" si="0"/>
        <v>19980</v>
      </c>
      <c r="P17" s="6" t="s">
        <v>740</v>
      </c>
    </row>
    <row r="18" spans="1:16" x14ac:dyDescent="0.35">
      <c r="A18" s="2" t="s">
        <v>747</v>
      </c>
      <c r="B18" s="3">
        <f t="shared" si="1"/>
        <v>46086</v>
      </c>
      <c r="C18" s="3">
        <f t="shared" si="2"/>
        <v>46092</v>
      </c>
      <c r="D18" s="2">
        <v>3342</v>
      </c>
      <c r="E18" s="2">
        <v>333</v>
      </c>
      <c r="F18" s="2">
        <v>3</v>
      </c>
      <c r="G18" s="4" t="s">
        <v>292</v>
      </c>
      <c r="H18" s="4" t="s">
        <v>271</v>
      </c>
      <c r="I18" s="4" t="s">
        <v>18</v>
      </c>
      <c r="J18" s="4">
        <v>16009517</v>
      </c>
      <c r="K18" s="4" t="s">
        <v>313</v>
      </c>
      <c r="L18" s="4" t="s">
        <v>314</v>
      </c>
      <c r="M18" s="5">
        <v>99900</v>
      </c>
      <c r="N18" s="6">
        <v>0.8</v>
      </c>
      <c r="O18" s="7">
        <f t="shared" si="0"/>
        <v>19980</v>
      </c>
      <c r="P18" s="6" t="s">
        <v>740</v>
      </c>
    </row>
    <row r="19" spans="1:16" x14ac:dyDescent="0.35">
      <c r="A19" s="2" t="s">
        <v>747</v>
      </c>
      <c r="B19" s="3">
        <f t="shared" si="1"/>
        <v>46086</v>
      </c>
      <c r="C19" s="3">
        <f t="shared" si="2"/>
        <v>46092</v>
      </c>
      <c r="D19" s="2">
        <v>3342</v>
      </c>
      <c r="E19" s="2">
        <v>333</v>
      </c>
      <c r="F19" s="2">
        <v>3</v>
      </c>
      <c r="G19" s="4" t="s">
        <v>292</v>
      </c>
      <c r="H19" s="4" t="s">
        <v>271</v>
      </c>
      <c r="I19" s="4" t="s">
        <v>18</v>
      </c>
      <c r="J19" s="4">
        <v>16009526</v>
      </c>
      <c r="K19" s="4" t="s">
        <v>313</v>
      </c>
      <c r="L19" s="4" t="s">
        <v>315</v>
      </c>
      <c r="M19" s="5">
        <v>99900</v>
      </c>
      <c r="N19" s="6">
        <v>0.8</v>
      </c>
      <c r="O19" s="7">
        <f t="shared" si="0"/>
        <v>19980</v>
      </c>
      <c r="P19" s="6" t="s">
        <v>740</v>
      </c>
    </row>
    <row r="20" spans="1:16" x14ac:dyDescent="0.35">
      <c r="A20" s="2" t="s">
        <v>747</v>
      </c>
      <c r="B20" s="3">
        <f t="shared" si="1"/>
        <v>46086</v>
      </c>
      <c r="C20" s="3">
        <f t="shared" si="2"/>
        <v>46092</v>
      </c>
      <c r="D20" s="2">
        <v>3342</v>
      </c>
      <c r="E20" s="2">
        <v>333</v>
      </c>
      <c r="F20" s="2">
        <v>3</v>
      </c>
      <c r="G20" s="4" t="s">
        <v>292</v>
      </c>
      <c r="H20" s="4" t="s">
        <v>271</v>
      </c>
      <c r="I20" s="4" t="s">
        <v>18</v>
      </c>
      <c r="J20" s="4">
        <v>16009535</v>
      </c>
      <c r="K20" s="4" t="s">
        <v>313</v>
      </c>
      <c r="L20" s="4" t="s">
        <v>316</v>
      </c>
      <c r="M20" s="5">
        <v>99900</v>
      </c>
      <c r="N20" s="6">
        <v>0.8</v>
      </c>
      <c r="O20" s="7">
        <f t="shared" si="0"/>
        <v>19980</v>
      </c>
      <c r="P20" s="6" t="s">
        <v>740</v>
      </c>
    </row>
    <row r="21" spans="1:16" x14ac:dyDescent="0.35">
      <c r="A21" s="2" t="s">
        <v>747</v>
      </c>
      <c r="B21" s="3">
        <f t="shared" si="1"/>
        <v>46086</v>
      </c>
      <c r="C21" s="3">
        <f t="shared" si="2"/>
        <v>46092</v>
      </c>
      <c r="D21" s="2">
        <v>3342</v>
      </c>
      <c r="E21" s="2">
        <v>333</v>
      </c>
      <c r="F21" s="2">
        <v>3</v>
      </c>
      <c r="G21" s="4" t="s">
        <v>292</v>
      </c>
      <c r="H21" s="4" t="s">
        <v>271</v>
      </c>
      <c r="I21" s="4" t="s">
        <v>18</v>
      </c>
      <c r="J21" s="4">
        <v>16009544</v>
      </c>
      <c r="K21" s="4" t="s">
        <v>313</v>
      </c>
      <c r="L21" s="4" t="s">
        <v>317</v>
      </c>
      <c r="M21" s="5">
        <v>99900</v>
      </c>
      <c r="N21" s="6">
        <v>0.8</v>
      </c>
      <c r="O21" s="7">
        <f t="shared" si="0"/>
        <v>19980</v>
      </c>
      <c r="P21" s="6" t="s">
        <v>740</v>
      </c>
    </row>
    <row r="22" spans="1:16" x14ac:dyDescent="0.35">
      <c r="A22" s="2" t="s">
        <v>747</v>
      </c>
      <c r="B22" s="3">
        <f t="shared" si="1"/>
        <v>46086</v>
      </c>
      <c r="C22" s="3">
        <f t="shared" si="2"/>
        <v>46092</v>
      </c>
      <c r="D22" s="2">
        <v>3342</v>
      </c>
      <c r="E22" s="2">
        <v>333</v>
      </c>
      <c r="F22" s="2">
        <v>3</v>
      </c>
      <c r="G22" s="4" t="s">
        <v>292</v>
      </c>
      <c r="H22" s="4" t="s">
        <v>271</v>
      </c>
      <c r="I22" s="4" t="s">
        <v>18</v>
      </c>
      <c r="J22" s="4">
        <v>16259588</v>
      </c>
      <c r="K22" s="4" t="s">
        <v>318</v>
      </c>
      <c r="L22" s="4" t="s">
        <v>319</v>
      </c>
      <c r="M22" s="5">
        <v>99900</v>
      </c>
      <c r="N22" s="6">
        <v>0.8</v>
      </c>
      <c r="O22" s="7">
        <f t="shared" si="0"/>
        <v>19980</v>
      </c>
      <c r="P22" s="6" t="s">
        <v>740</v>
      </c>
    </row>
    <row r="23" spans="1:16" x14ac:dyDescent="0.35">
      <c r="A23" s="2" t="s">
        <v>747</v>
      </c>
      <c r="B23" s="3">
        <f t="shared" si="1"/>
        <v>46086</v>
      </c>
      <c r="C23" s="3">
        <f t="shared" si="2"/>
        <v>46092</v>
      </c>
      <c r="D23" s="2">
        <v>3342</v>
      </c>
      <c r="E23" s="2">
        <v>333</v>
      </c>
      <c r="F23" s="2">
        <v>3</v>
      </c>
      <c r="G23" s="4" t="s">
        <v>292</v>
      </c>
      <c r="H23" s="4" t="s">
        <v>271</v>
      </c>
      <c r="I23" s="4" t="s">
        <v>18</v>
      </c>
      <c r="J23" s="4">
        <v>16259597</v>
      </c>
      <c r="K23" s="4" t="s">
        <v>318</v>
      </c>
      <c r="L23" s="4" t="s">
        <v>320</v>
      </c>
      <c r="M23" s="5">
        <v>99900</v>
      </c>
      <c r="N23" s="6">
        <v>0.8</v>
      </c>
      <c r="O23" s="7">
        <f t="shared" si="0"/>
        <v>19980</v>
      </c>
      <c r="P23" s="6" t="s">
        <v>740</v>
      </c>
    </row>
    <row r="24" spans="1:16" x14ac:dyDescent="0.35">
      <c r="A24" s="2" t="s">
        <v>747</v>
      </c>
      <c r="B24" s="3">
        <f t="shared" si="1"/>
        <v>46086</v>
      </c>
      <c r="C24" s="3">
        <f t="shared" si="2"/>
        <v>46092</v>
      </c>
      <c r="D24" s="2">
        <v>3342</v>
      </c>
      <c r="E24" s="2">
        <v>333</v>
      </c>
      <c r="F24" s="2">
        <v>3</v>
      </c>
      <c r="G24" s="4" t="s">
        <v>292</v>
      </c>
      <c r="H24" s="4" t="s">
        <v>271</v>
      </c>
      <c r="I24" s="4" t="s">
        <v>18</v>
      </c>
      <c r="J24" s="4">
        <v>16259604</v>
      </c>
      <c r="K24" s="4" t="s">
        <v>318</v>
      </c>
      <c r="L24" s="4" t="s">
        <v>321</v>
      </c>
      <c r="M24" s="5">
        <v>99900</v>
      </c>
      <c r="N24" s="6">
        <v>0.8</v>
      </c>
      <c r="O24" s="7">
        <f t="shared" si="0"/>
        <v>19980</v>
      </c>
      <c r="P24" s="6" t="s">
        <v>740</v>
      </c>
    </row>
    <row r="25" spans="1:16" x14ac:dyDescent="0.35">
      <c r="A25" s="2" t="s">
        <v>747</v>
      </c>
      <c r="B25" s="3">
        <f t="shared" si="1"/>
        <v>46086</v>
      </c>
      <c r="C25" s="3">
        <f t="shared" si="2"/>
        <v>46092</v>
      </c>
      <c r="D25" s="2">
        <v>3342</v>
      </c>
      <c r="E25" s="2">
        <v>333</v>
      </c>
      <c r="F25" s="2">
        <v>3</v>
      </c>
      <c r="G25" s="4" t="s">
        <v>292</v>
      </c>
      <c r="H25" s="4" t="s">
        <v>271</v>
      </c>
      <c r="I25" s="4" t="s">
        <v>18</v>
      </c>
      <c r="J25" s="4">
        <v>16259613</v>
      </c>
      <c r="K25" s="4" t="s">
        <v>318</v>
      </c>
      <c r="L25" s="4" t="s">
        <v>322</v>
      </c>
      <c r="M25" s="5">
        <v>99900</v>
      </c>
      <c r="N25" s="6">
        <v>0.8</v>
      </c>
      <c r="O25" s="7">
        <f t="shared" si="0"/>
        <v>19980</v>
      </c>
      <c r="P25" s="6" t="s">
        <v>740</v>
      </c>
    </row>
    <row r="26" spans="1:16" x14ac:dyDescent="0.35">
      <c r="A26" s="2" t="s">
        <v>747</v>
      </c>
      <c r="B26" s="3">
        <f t="shared" si="1"/>
        <v>46086</v>
      </c>
      <c r="C26" s="3">
        <f t="shared" si="2"/>
        <v>46092</v>
      </c>
      <c r="D26" s="2">
        <v>3342</v>
      </c>
      <c r="E26" s="2">
        <v>333</v>
      </c>
      <c r="F26" s="2">
        <v>3</v>
      </c>
      <c r="G26" s="4" t="s">
        <v>389</v>
      </c>
      <c r="H26" s="4" t="s">
        <v>323</v>
      </c>
      <c r="I26" s="4" t="s">
        <v>18</v>
      </c>
      <c r="J26" s="4">
        <v>10612232</v>
      </c>
      <c r="K26" s="4" t="s">
        <v>390</v>
      </c>
      <c r="L26" s="4" t="s">
        <v>391</v>
      </c>
      <c r="M26" s="5">
        <v>59900</v>
      </c>
      <c r="N26" s="6">
        <v>0.8</v>
      </c>
      <c r="O26" s="7">
        <f t="shared" si="0"/>
        <v>11980</v>
      </c>
      <c r="P26" s="6" t="s">
        <v>740</v>
      </c>
    </row>
    <row r="27" spans="1:16" x14ac:dyDescent="0.35">
      <c r="A27" s="2" t="s">
        <v>747</v>
      </c>
      <c r="B27" s="3">
        <f t="shared" si="1"/>
        <v>46086</v>
      </c>
      <c r="C27" s="3">
        <f t="shared" si="2"/>
        <v>46092</v>
      </c>
      <c r="D27" s="2">
        <v>3342</v>
      </c>
      <c r="E27" s="2">
        <v>333</v>
      </c>
      <c r="F27" s="2">
        <v>3</v>
      </c>
      <c r="G27" s="4" t="s">
        <v>389</v>
      </c>
      <c r="H27" s="4" t="s">
        <v>323</v>
      </c>
      <c r="I27" s="4" t="s">
        <v>18</v>
      </c>
      <c r="J27" s="4">
        <v>10612241</v>
      </c>
      <c r="K27" s="4" t="s">
        <v>390</v>
      </c>
      <c r="L27" s="4" t="s">
        <v>392</v>
      </c>
      <c r="M27" s="5">
        <v>59900</v>
      </c>
      <c r="N27" s="6">
        <v>0.8</v>
      </c>
      <c r="O27" s="7">
        <f t="shared" si="0"/>
        <v>11980</v>
      </c>
      <c r="P27" s="6" t="s">
        <v>740</v>
      </c>
    </row>
    <row r="28" spans="1:16" x14ac:dyDescent="0.35">
      <c r="A28" s="2" t="s">
        <v>747</v>
      </c>
      <c r="B28" s="3">
        <f t="shared" si="1"/>
        <v>46086</v>
      </c>
      <c r="C28" s="3">
        <f t="shared" si="2"/>
        <v>46092</v>
      </c>
      <c r="D28" s="2">
        <v>3342</v>
      </c>
      <c r="E28" s="2">
        <v>333</v>
      </c>
      <c r="F28" s="2">
        <v>3</v>
      </c>
      <c r="G28" s="4" t="s">
        <v>389</v>
      </c>
      <c r="H28" s="4" t="s">
        <v>323</v>
      </c>
      <c r="I28" s="4" t="s">
        <v>18</v>
      </c>
      <c r="J28" s="4">
        <v>10612250</v>
      </c>
      <c r="K28" s="4" t="s">
        <v>390</v>
      </c>
      <c r="L28" s="4" t="s">
        <v>393</v>
      </c>
      <c r="M28" s="5">
        <v>59900</v>
      </c>
      <c r="N28" s="6">
        <v>0.8</v>
      </c>
      <c r="O28" s="7">
        <f t="shared" si="0"/>
        <v>11980</v>
      </c>
      <c r="P28" s="6" t="s">
        <v>740</v>
      </c>
    </row>
    <row r="29" spans="1:16" x14ac:dyDescent="0.35">
      <c r="A29" s="2" t="s">
        <v>747</v>
      </c>
      <c r="B29" s="3">
        <f t="shared" si="1"/>
        <v>46086</v>
      </c>
      <c r="C29" s="3">
        <f t="shared" si="2"/>
        <v>46092</v>
      </c>
      <c r="D29" s="2">
        <v>3342</v>
      </c>
      <c r="E29" s="2">
        <v>333</v>
      </c>
      <c r="F29" s="2">
        <v>3</v>
      </c>
      <c r="G29" s="4" t="s">
        <v>389</v>
      </c>
      <c r="H29" s="4" t="s">
        <v>323</v>
      </c>
      <c r="I29" s="4" t="s">
        <v>18</v>
      </c>
      <c r="J29" s="4">
        <v>10612269</v>
      </c>
      <c r="K29" s="4" t="s">
        <v>390</v>
      </c>
      <c r="L29" s="4" t="s">
        <v>394</v>
      </c>
      <c r="M29" s="5">
        <v>59900</v>
      </c>
      <c r="N29" s="6">
        <v>0.8</v>
      </c>
      <c r="O29" s="7">
        <f t="shared" si="0"/>
        <v>11980</v>
      </c>
      <c r="P29" s="6" t="s">
        <v>740</v>
      </c>
    </row>
    <row r="30" spans="1:16" x14ac:dyDescent="0.35">
      <c r="A30" s="2" t="s">
        <v>747</v>
      </c>
      <c r="B30" s="3">
        <f t="shared" si="1"/>
        <v>46086</v>
      </c>
      <c r="C30" s="3">
        <f t="shared" si="2"/>
        <v>46092</v>
      </c>
      <c r="D30" s="2">
        <v>3342</v>
      </c>
      <c r="E30" s="2">
        <v>333</v>
      </c>
      <c r="F30" s="2">
        <v>3</v>
      </c>
      <c r="G30" s="4" t="s">
        <v>389</v>
      </c>
      <c r="H30" s="4" t="s">
        <v>323</v>
      </c>
      <c r="I30" s="4" t="s">
        <v>18</v>
      </c>
      <c r="J30" s="4">
        <v>10612278</v>
      </c>
      <c r="K30" s="4" t="s">
        <v>395</v>
      </c>
      <c r="L30" s="4" t="s">
        <v>396</v>
      </c>
      <c r="M30" s="5">
        <v>59900</v>
      </c>
      <c r="N30" s="6">
        <v>0.8</v>
      </c>
      <c r="O30" s="7">
        <f t="shared" si="0"/>
        <v>11980</v>
      </c>
      <c r="P30" s="6" t="s">
        <v>740</v>
      </c>
    </row>
    <row r="31" spans="1:16" x14ac:dyDescent="0.35">
      <c r="A31" s="2" t="s">
        <v>747</v>
      </c>
      <c r="B31" s="3">
        <f t="shared" si="1"/>
        <v>46086</v>
      </c>
      <c r="C31" s="3">
        <f t="shared" si="2"/>
        <v>46092</v>
      </c>
      <c r="D31" s="2">
        <v>3342</v>
      </c>
      <c r="E31" s="2">
        <v>333</v>
      </c>
      <c r="F31" s="2">
        <v>3</v>
      </c>
      <c r="G31" s="4" t="s">
        <v>389</v>
      </c>
      <c r="H31" s="4" t="s">
        <v>323</v>
      </c>
      <c r="I31" s="4" t="s">
        <v>18</v>
      </c>
      <c r="J31" s="4">
        <v>10612287</v>
      </c>
      <c r="K31" s="4" t="s">
        <v>395</v>
      </c>
      <c r="L31" s="4" t="s">
        <v>397</v>
      </c>
      <c r="M31" s="5">
        <v>59900</v>
      </c>
      <c r="N31" s="6">
        <v>0.8</v>
      </c>
      <c r="O31" s="7">
        <f t="shared" si="0"/>
        <v>11980</v>
      </c>
      <c r="P31" s="6" t="s">
        <v>740</v>
      </c>
    </row>
    <row r="32" spans="1:16" x14ac:dyDescent="0.35">
      <c r="A32" s="2" t="s">
        <v>747</v>
      </c>
      <c r="B32" s="3">
        <f t="shared" si="1"/>
        <v>46086</v>
      </c>
      <c r="C32" s="3">
        <f t="shared" si="2"/>
        <v>46092</v>
      </c>
      <c r="D32" s="2">
        <v>3342</v>
      </c>
      <c r="E32" s="2">
        <v>333</v>
      </c>
      <c r="F32" s="2">
        <v>3</v>
      </c>
      <c r="G32" s="4" t="s">
        <v>389</v>
      </c>
      <c r="H32" s="4" t="s">
        <v>323</v>
      </c>
      <c r="I32" s="4" t="s">
        <v>18</v>
      </c>
      <c r="J32" s="4">
        <v>10612296</v>
      </c>
      <c r="K32" s="4" t="s">
        <v>395</v>
      </c>
      <c r="L32" s="4" t="s">
        <v>398</v>
      </c>
      <c r="M32" s="5">
        <v>59900</v>
      </c>
      <c r="N32" s="6">
        <v>0.8</v>
      </c>
      <c r="O32" s="7">
        <f t="shared" si="0"/>
        <v>11980</v>
      </c>
      <c r="P32" s="6" t="s">
        <v>740</v>
      </c>
    </row>
    <row r="33" spans="1:16" x14ac:dyDescent="0.35">
      <c r="A33" s="2" t="s">
        <v>747</v>
      </c>
      <c r="B33" s="3">
        <f t="shared" si="1"/>
        <v>46086</v>
      </c>
      <c r="C33" s="3">
        <f t="shared" si="2"/>
        <v>46092</v>
      </c>
      <c r="D33" s="2">
        <v>3342</v>
      </c>
      <c r="E33" s="2">
        <v>333</v>
      </c>
      <c r="F33" s="2">
        <v>3</v>
      </c>
      <c r="G33" s="4" t="s">
        <v>389</v>
      </c>
      <c r="H33" s="4" t="s">
        <v>323</v>
      </c>
      <c r="I33" s="4" t="s">
        <v>18</v>
      </c>
      <c r="J33" s="4">
        <v>10612303</v>
      </c>
      <c r="K33" s="4" t="s">
        <v>395</v>
      </c>
      <c r="L33" s="4" t="s">
        <v>399</v>
      </c>
      <c r="M33" s="5">
        <v>59900</v>
      </c>
      <c r="N33" s="6">
        <v>0.8</v>
      </c>
      <c r="O33" s="7">
        <f t="shared" si="0"/>
        <v>11980</v>
      </c>
      <c r="P33" s="6" t="s">
        <v>740</v>
      </c>
    </row>
    <row r="34" spans="1:16" x14ac:dyDescent="0.35">
      <c r="A34" s="2" t="s">
        <v>747</v>
      </c>
      <c r="B34" s="3">
        <f t="shared" si="1"/>
        <v>46086</v>
      </c>
      <c r="C34" s="3">
        <f t="shared" si="2"/>
        <v>46092</v>
      </c>
      <c r="D34" s="2">
        <v>3342</v>
      </c>
      <c r="E34" s="2">
        <v>333</v>
      </c>
      <c r="F34" s="2">
        <v>3</v>
      </c>
      <c r="G34" s="4" t="s">
        <v>389</v>
      </c>
      <c r="H34" s="4" t="s">
        <v>323</v>
      </c>
      <c r="I34" s="4" t="s">
        <v>18</v>
      </c>
      <c r="J34" s="4">
        <v>13491957</v>
      </c>
      <c r="K34" s="4" t="s">
        <v>400</v>
      </c>
      <c r="L34" s="4" t="s">
        <v>401</v>
      </c>
      <c r="M34" s="5">
        <v>59900</v>
      </c>
      <c r="N34" s="6">
        <v>0.8</v>
      </c>
      <c r="O34" s="7">
        <f t="shared" si="0"/>
        <v>11980</v>
      </c>
      <c r="P34" s="6" t="s">
        <v>740</v>
      </c>
    </row>
    <row r="35" spans="1:16" x14ac:dyDescent="0.35">
      <c r="A35" s="2" t="s">
        <v>747</v>
      </c>
      <c r="B35" s="3">
        <f t="shared" si="1"/>
        <v>46086</v>
      </c>
      <c r="C35" s="3">
        <f t="shared" si="2"/>
        <v>46092</v>
      </c>
      <c r="D35" s="2">
        <v>3342</v>
      </c>
      <c r="E35" s="2">
        <v>333</v>
      </c>
      <c r="F35" s="2">
        <v>3</v>
      </c>
      <c r="G35" s="4" t="s">
        <v>389</v>
      </c>
      <c r="H35" s="4" t="s">
        <v>323</v>
      </c>
      <c r="I35" s="4" t="s">
        <v>18</v>
      </c>
      <c r="J35" s="4">
        <v>13491966</v>
      </c>
      <c r="K35" s="4" t="s">
        <v>400</v>
      </c>
      <c r="L35" s="4" t="s">
        <v>402</v>
      </c>
      <c r="M35" s="5">
        <v>59900</v>
      </c>
      <c r="N35" s="6">
        <v>0.8</v>
      </c>
      <c r="O35" s="7">
        <f t="shared" si="0"/>
        <v>11980</v>
      </c>
      <c r="P35" s="6" t="s">
        <v>740</v>
      </c>
    </row>
    <row r="36" spans="1:16" x14ac:dyDescent="0.35">
      <c r="A36" s="2" t="s">
        <v>747</v>
      </c>
      <c r="B36" s="3">
        <f t="shared" si="1"/>
        <v>46086</v>
      </c>
      <c r="C36" s="3">
        <f t="shared" si="2"/>
        <v>46092</v>
      </c>
      <c r="D36" s="2">
        <v>3342</v>
      </c>
      <c r="E36" s="2">
        <v>333</v>
      </c>
      <c r="F36" s="2">
        <v>3</v>
      </c>
      <c r="G36" s="4" t="s">
        <v>389</v>
      </c>
      <c r="H36" s="4" t="s">
        <v>323</v>
      </c>
      <c r="I36" s="4" t="s">
        <v>18</v>
      </c>
      <c r="J36" s="4">
        <v>13491975</v>
      </c>
      <c r="K36" s="4" t="s">
        <v>400</v>
      </c>
      <c r="L36" s="4" t="s">
        <v>403</v>
      </c>
      <c r="M36" s="5">
        <v>59900</v>
      </c>
      <c r="N36" s="6">
        <v>0.8</v>
      </c>
      <c r="O36" s="7">
        <f t="shared" si="0"/>
        <v>11980</v>
      </c>
      <c r="P36" s="6" t="s">
        <v>740</v>
      </c>
    </row>
    <row r="37" spans="1:16" x14ac:dyDescent="0.35">
      <c r="A37" s="2" t="s">
        <v>747</v>
      </c>
      <c r="B37" s="3">
        <f t="shared" si="1"/>
        <v>46086</v>
      </c>
      <c r="C37" s="3">
        <f t="shared" si="2"/>
        <v>46092</v>
      </c>
      <c r="D37" s="2">
        <v>3342</v>
      </c>
      <c r="E37" s="2">
        <v>333</v>
      </c>
      <c r="F37" s="2">
        <v>3</v>
      </c>
      <c r="G37" s="4" t="s">
        <v>389</v>
      </c>
      <c r="H37" s="4" t="s">
        <v>323</v>
      </c>
      <c r="I37" s="4" t="s">
        <v>18</v>
      </c>
      <c r="J37" s="4">
        <v>13491984</v>
      </c>
      <c r="K37" s="4" t="s">
        <v>400</v>
      </c>
      <c r="L37" s="4" t="s">
        <v>404</v>
      </c>
      <c r="M37" s="5">
        <v>59900</v>
      </c>
      <c r="N37" s="6">
        <v>0.8</v>
      </c>
      <c r="O37" s="7">
        <f t="shared" si="0"/>
        <v>11980</v>
      </c>
      <c r="P37" s="6" t="s">
        <v>740</v>
      </c>
    </row>
    <row r="38" spans="1:16" x14ac:dyDescent="0.35">
      <c r="A38" s="2" t="s">
        <v>747</v>
      </c>
      <c r="B38" s="3">
        <f t="shared" si="1"/>
        <v>46086</v>
      </c>
      <c r="C38" s="3">
        <f t="shared" si="2"/>
        <v>46092</v>
      </c>
      <c r="D38" s="2">
        <v>3342</v>
      </c>
      <c r="E38" s="2">
        <v>333</v>
      </c>
      <c r="F38" s="2">
        <v>3</v>
      </c>
      <c r="G38" s="4" t="s">
        <v>389</v>
      </c>
      <c r="H38" s="4" t="s">
        <v>323</v>
      </c>
      <c r="I38" s="4" t="s">
        <v>18</v>
      </c>
      <c r="J38" s="4">
        <v>16035211</v>
      </c>
      <c r="K38" s="4" t="s">
        <v>405</v>
      </c>
      <c r="L38" s="4" t="s">
        <v>406</v>
      </c>
      <c r="M38" s="5">
        <v>59900</v>
      </c>
      <c r="N38" s="6">
        <v>0.8</v>
      </c>
      <c r="O38" s="7">
        <f t="shared" si="0"/>
        <v>11980</v>
      </c>
      <c r="P38" s="6" t="s">
        <v>740</v>
      </c>
    </row>
    <row r="39" spans="1:16" x14ac:dyDescent="0.35">
      <c r="A39" s="2" t="s">
        <v>747</v>
      </c>
      <c r="B39" s="3">
        <f t="shared" si="1"/>
        <v>46086</v>
      </c>
      <c r="C39" s="3">
        <f t="shared" si="2"/>
        <v>46092</v>
      </c>
      <c r="D39" s="2">
        <v>3342</v>
      </c>
      <c r="E39" s="2">
        <v>333</v>
      </c>
      <c r="F39" s="2">
        <v>3</v>
      </c>
      <c r="G39" s="4" t="s">
        <v>389</v>
      </c>
      <c r="H39" s="4" t="s">
        <v>323</v>
      </c>
      <c r="I39" s="4" t="s">
        <v>18</v>
      </c>
      <c r="J39" s="4">
        <v>16035220</v>
      </c>
      <c r="K39" s="4" t="s">
        <v>405</v>
      </c>
      <c r="L39" s="4" t="s">
        <v>407</v>
      </c>
      <c r="M39" s="5">
        <v>59900</v>
      </c>
      <c r="N39" s="6">
        <v>0.8</v>
      </c>
      <c r="O39" s="7">
        <f t="shared" si="0"/>
        <v>11980</v>
      </c>
      <c r="P39" s="6" t="s">
        <v>740</v>
      </c>
    </row>
    <row r="40" spans="1:16" x14ac:dyDescent="0.35">
      <c r="A40" s="2" t="s">
        <v>747</v>
      </c>
      <c r="B40" s="3">
        <f t="shared" si="1"/>
        <v>46086</v>
      </c>
      <c r="C40" s="3">
        <f t="shared" si="2"/>
        <v>46092</v>
      </c>
      <c r="D40" s="2">
        <v>3342</v>
      </c>
      <c r="E40" s="2">
        <v>333</v>
      </c>
      <c r="F40" s="2">
        <v>3</v>
      </c>
      <c r="G40" s="4" t="s">
        <v>389</v>
      </c>
      <c r="H40" s="4" t="s">
        <v>323</v>
      </c>
      <c r="I40" s="4" t="s">
        <v>18</v>
      </c>
      <c r="J40" s="4">
        <v>16035239</v>
      </c>
      <c r="K40" s="4" t="s">
        <v>405</v>
      </c>
      <c r="L40" s="4" t="s">
        <v>408</v>
      </c>
      <c r="M40" s="5">
        <v>59900</v>
      </c>
      <c r="N40" s="6">
        <v>0.8</v>
      </c>
      <c r="O40" s="7">
        <f t="shared" si="0"/>
        <v>11980</v>
      </c>
      <c r="P40" s="6" t="s">
        <v>740</v>
      </c>
    </row>
    <row r="41" spans="1:16" x14ac:dyDescent="0.35">
      <c r="A41" s="2" t="s">
        <v>747</v>
      </c>
      <c r="B41" s="3">
        <f t="shared" si="1"/>
        <v>46086</v>
      </c>
      <c r="C41" s="3">
        <f t="shared" si="2"/>
        <v>46092</v>
      </c>
      <c r="D41" s="2">
        <v>3342</v>
      </c>
      <c r="E41" s="2">
        <v>333</v>
      </c>
      <c r="F41" s="2">
        <v>3</v>
      </c>
      <c r="G41" s="4" t="s">
        <v>389</v>
      </c>
      <c r="H41" s="4" t="s">
        <v>323</v>
      </c>
      <c r="I41" s="4" t="s">
        <v>18</v>
      </c>
      <c r="J41" s="4">
        <v>16035248</v>
      </c>
      <c r="K41" s="4" t="s">
        <v>405</v>
      </c>
      <c r="L41" s="4" t="s">
        <v>409</v>
      </c>
      <c r="M41" s="5">
        <v>59900</v>
      </c>
      <c r="N41" s="6">
        <v>0.8</v>
      </c>
      <c r="O41" s="7">
        <f t="shared" si="0"/>
        <v>11980</v>
      </c>
      <c r="P41" s="6" t="s">
        <v>740</v>
      </c>
    </row>
    <row r="42" spans="1:16" x14ac:dyDescent="0.35">
      <c r="A42" s="2" t="s">
        <v>747</v>
      </c>
      <c r="B42" s="3">
        <f t="shared" si="1"/>
        <v>46086</v>
      </c>
      <c r="C42" s="3">
        <f t="shared" si="2"/>
        <v>46092</v>
      </c>
      <c r="D42" s="2">
        <v>3342</v>
      </c>
      <c r="E42" s="2">
        <v>333</v>
      </c>
      <c r="F42" s="2">
        <v>3</v>
      </c>
      <c r="G42" s="4" t="s">
        <v>389</v>
      </c>
      <c r="H42" s="4" t="s">
        <v>323</v>
      </c>
      <c r="I42" s="4" t="s">
        <v>18</v>
      </c>
      <c r="J42" s="4">
        <v>16128602</v>
      </c>
      <c r="K42" s="4" t="s">
        <v>410</v>
      </c>
      <c r="L42" s="4" t="s">
        <v>411</v>
      </c>
      <c r="M42" s="5">
        <v>59900</v>
      </c>
      <c r="N42" s="6">
        <v>0.8</v>
      </c>
      <c r="O42" s="7">
        <f t="shared" si="0"/>
        <v>11980</v>
      </c>
      <c r="P42" s="6" t="s">
        <v>740</v>
      </c>
    </row>
    <row r="43" spans="1:16" x14ac:dyDescent="0.35">
      <c r="A43" s="2" t="s">
        <v>747</v>
      </c>
      <c r="B43" s="3">
        <f t="shared" si="1"/>
        <v>46086</v>
      </c>
      <c r="C43" s="3">
        <f t="shared" si="2"/>
        <v>46092</v>
      </c>
      <c r="D43" s="2">
        <v>3342</v>
      </c>
      <c r="E43" s="2">
        <v>333</v>
      </c>
      <c r="F43" s="2">
        <v>3</v>
      </c>
      <c r="G43" s="4" t="s">
        <v>389</v>
      </c>
      <c r="H43" s="4" t="s">
        <v>323</v>
      </c>
      <c r="I43" s="4" t="s">
        <v>18</v>
      </c>
      <c r="J43" s="4">
        <v>16128611</v>
      </c>
      <c r="K43" s="4" t="s">
        <v>410</v>
      </c>
      <c r="L43" s="4" t="s">
        <v>412</v>
      </c>
      <c r="M43" s="5">
        <v>59900</v>
      </c>
      <c r="N43" s="6">
        <v>0.8</v>
      </c>
      <c r="O43" s="7">
        <f t="shared" si="0"/>
        <v>11980</v>
      </c>
      <c r="P43" s="6" t="s">
        <v>740</v>
      </c>
    </row>
    <row r="44" spans="1:16" x14ac:dyDescent="0.35">
      <c r="A44" s="2" t="s">
        <v>747</v>
      </c>
      <c r="B44" s="3">
        <f t="shared" si="1"/>
        <v>46086</v>
      </c>
      <c r="C44" s="3">
        <f t="shared" si="2"/>
        <v>46092</v>
      </c>
      <c r="D44" s="2">
        <v>3342</v>
      </c>
      <c r="E44" s="2">
        <v>333</v>
      </c>
      <c r="F44" s="2">
        <v>3</v>
      </c>
      <c r="G44" s="4" t="s">
        <v>389</v>
      </c>
      <c r="H44" s="4" t="s">
        <v>323</v>
      </c>
      <c r="I44" s="4" t="s">
        <v>18</v>
      </c>
      <c r="J44" s="4">
        <v>16128620</v>
      </c>
      <c r="K44" s="4" t="s">
        <v>410</v>
      </c>
      <c r="L44" s="4" t="s">
        <v>413</v>
      </c>
      <c r="M44" s="5">
        <v>59900</v>
      </c>
      <c r="N44" s="6">
        <v>0.8</v>
      </c>
      <c r="O44" s="7">
        <f t="shared" si="0"/>
        <v>11980</v>
      </c>
      <c r="P44" s="6" t="s">
        <v>740</v>
      </c>
    </row>
    <row r="45" spans="1:16" x14ac:dyDescent="0.35">
      <c r="A45" s="2" t="s">
        <v>747</v>
      </c>
      <c r="B45" s="3">
        <f t="shared" si="1"/>
        <v>46086</v>
      </c>
      <c r="C45" s="3">
        <f t="shared" si="2"/>
        <v>46092</v>
      </c>
      <c r="D45" s="2">
        <v>3342</v>
      </c>
      <c r="E45" s="2">
        <v>333</v>
      </c>
      <c r="F45" s="2">
        <v>3</v>
      </c>
      <c r="G45" s="4" t="s">
        <v>389</v>
      </c>
      <c r="H45" s="4" t="s">
        <v>323</v>
      </c>
      <c r="I45" s="4" t="s">
        <v>18</v>
      </c>
      <c r="J45" s="4">
        <v>16128639</v>
      </c>
      <c r="K45" s="4" t="s">
        <v>410</v>
      </c>
      <c r="L45" s="4" t="s">
        <v>414</v>
      </c>
      <c r="M45" s="5">
        <v>59900</v>
      </c>
      <c r="N45" s="6">
        <v>0.8</v>
      </c>
      <c r="O45" s="7">
        <f t="shared" si="0"/>
        <v>11980</v>
      </c>
      <c r="P45" s="6" t="s">
        <v>740</v>
      </c>
    </row>
  </sheetData>
  <autoFilter ref="A1:P45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2023 H2 3342 D80</vt:lpstr>
      <vt:lpstr>2024 H1 OUTERWEAR D80</vt:lpstr>
      <vt:lpstr>H1 3342 T SHIRT D80</vt:lpstr>
      <vt:lpstr>2024 H1 3342 D80</vt:lpstr>
      <vt:lpstr>3342 SHORT KNIT PANTS D80</vt:lpstr>
      <vt:lpstr>2024 Q1 SHIRT DEN WOV PANT D80</vt:lpstr>
      <vt:lpstr>2024 H1 3342 ALL ITEM D80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2026-03-02T04:37:17Z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79708a55f6c241be9920de7892745a97</vt:lpwstr>
  </property>
</Properties>
</file>