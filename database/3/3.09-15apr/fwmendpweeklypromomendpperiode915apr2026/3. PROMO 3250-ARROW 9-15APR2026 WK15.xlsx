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5 26\"/>
    </mc:Choice>
  </mc:AlternateContent>
  <xr:revisionPtr revIDLastSave="0" documentId="13_ncr:1_{2EE1042C-7E79-4FCD-9C7C-DC08310334D4}" xr6:coauthVersionLast="47" xr6:coauthVersionMax="47" xr10:uidLastSave="{00000000-0000-0000-0000-000000000000}"/>
  <bookViews>
    <workbookView xWindow="-110" yWindow="-110" windowWidth="19420" windowHeight="10300" tabRatio="642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D95'!$A$1:$P$235</definedName>
    <definedName name="_xlnm._FilterDatabase" localSheetId="1" hidden="1">'2020 ALL D95'!$A$1:$P$228</definedName>
    <definedName name="_xlnm._FilterDatabase" localSheetId="2" hidden="1">'2021 ALL D95'!$A$1:$P$386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6" i="3" l="1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<sst xmlns="http://schemas.openxmlformats.org/spreadsheetml/2006/main" count="4278" uniqueCount="1060">
  <si>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</si>
  <si>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</si>
  <si>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</si>
  <si>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</si>
  <si>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</si>
  <si>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</si>
  <si>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</si>
  <si>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</si>
  <si>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</si>
  <si>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</si>
  <si>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</si>
  <si>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</si>
  <si>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</si>
  <si>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</si>
  <si>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</si>
  <si>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</si>
  <si>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</si>
  <si>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ARROW</t>
  </si>
  <si>
    <t>LSRWR313</t>
  </si>
  <si>
    <t>LS BASIC REG SRGM 313:WHITE:16</t>
  </si>
  <si>
    <t>AWKLOCKCH</t>
  </si>
  <si>
    <t>WK STRIPE INTERLOCK:CHARCOAL:S</t>
  </si>
  <si>
    <t>AWK114NV</t>
  </si>
  <si>
    <t>WK SOLID LACOSE JAQUARD COLLAR:NAVY BLUE:M</t>
  </si>
  <si>
    <t>PLJ157RD</t>
  </si>
  <si>
    <t>WK LACOSE JAQUARD COLLAR:CLASSIC RED:M</t>
  </si>
  <si>
    <t>WKDB51NV</t>
  </si>
  <si>
    <t>WK JAQUARD DOT:NAVY BLUE:S</t>
  </si>
  <si>
    <t>WKDB51MR</t>
  </si>
  <si>
    <t>WK JAQUARD DOT:MAROON:S</t>
  </si>
  <si>
    <t>AWKH90GY</t>
  </si>
  <si>
    <t>WK DOUBLE KNIT STRIPE:FROST GREY:XL</t>
  </si>
  <si>
    <t>AKRS32NV</t>
  </si>
  <si>
    <t>POLO LACOSE STRIPE:NAVY BLUE:S</t>
  </si>
  <si>
    <t>POLO LACOSE STRIPE:NAVY BLUE:L</t>
  </si>
  <si>
    <t>PTXSTRD</t>
  </si>
  <si>
    <t>WK TEX BAHU POLOS STR BWH AB:CLASSIC RED:S</t>
  </si>
  <si>
    <t>PLJ156BU</t>
  </si>
  <si>
    <t>WK LACOSE JAQUARD COLLAR:CLASSIC BLUE:S</t>
  </si>
  <si>
    <t>WK LACOSE JAQUARD COLLAR:CLASSIC BLUE:M</t>
  </si>
  <si>
    <t>WK LACOSE JAQUARD COLLAR:CLASSIC BLUE:L</t>
  </si>
  <si>
    <t>WK LACOSE JAQUARD COLLAR:CLASSIC BLUE:XL</t>
  </si>
  <si>
    <t>WK LACOSE JAQUARD COLLAR:CLASSIC RED:S</t>
  </si>
  <si>
    <t>WK LACOSE JAQUARD COLLAR:CLASSIC RED:L</t>
  </si>
  <si>
    <t>APBSTR81</t>
  </si>
  <si>
    <t>ARROW PANTS TR 81:KHAKI:40</t>
  </si>
  <si>
    <t>ARROW PANTS TR 81:WOOD BROWN:30</t>
  </si>
  <si>
    <t>ARROW PANTS TR 81:WOOD BROWN:31</t>
  </si>
  <si>
    <t>ARROW PANTS TR 81:WOOD BROWN:32</t>
  </si>
  <si>
    <t>ARROW PANTS TR 81:WOOD BROWN:34</t>
  </si>
  <si>
    <t>ARROW PANTS TR 81:WOOD BROWN:36</t>
  </si>
  <si>
    <t>ARROW PANTS TR 81:WOOD BROWN:38</t>
  </si>
  <si>
    <t>ARROW PANTS TR 81:WOOD BROWN:40</t>
  </si>
  <si>
    <t>ARROW PANTS TR 81:WOOD BROWN:42</t>
  </si>
  <si>
    <t>ARBTZY53</t>
  </si>
  <si>
    <t>ARROW PANTS T.ZY-891453 MOONLIGHT GREY:FROST GREY:31</t>
  </si>
  <si>
    <t>ARROW PANTS T.ZY-891453 MOONLIGHT GREY:FROST GREY:32</t>
  </si>
  <si>
    <t>ARROW PANTS T.ZY-891453 MOONLIGHT GREY:FROST GREY:34</t>
  </si>
  <si>
    <t>ARBT2890</t>
  </si>
  <si>
    <t>ARROW PANTS T.52890 BLACK:BLACK:35</t>
  </si>
  <si>
    <t>APLEVINA</t>
  </si>
  <si>
    <t>ARROW PANTS LEVINA:BLACK:38</t>
  </si>
  <si>
    <t>APMAXIMA</t>
  </si>
  <si>
    <t>ARROW PANTS MAXIMA:BLACK:33</t>
  </si>
  <si>
    <t>APMAXMEN</t>
  </si>
  <si>
    <t>ARROW PANTS MAXIMEN:NAVY BLUE:30</t>
  </si>
  <si>
    <t>TR81LTKH</t>
  </si>
  <si>
    <t>ARROW PANTS TR 81 LIGHT KHAKI:MISTY LIGHT KHAKI:30</t>
  </si>
  <si>
    <t>ARROW PANTS TR 81 LIGHT KHAKI:MISTY LIGHT KHAKI:31</t>
  </si>
  <si>
    <t>ARROW PANTS TR 81 LIGHT KHAKI:MISTY LIGHT KHAKI:32</t>
  </si>
  <si>
    <t>ARROW PANTS TR 81 LIGHT KHAKI:MISTY LIGHT KHAKI:33</t>
  </si>
  <si>
    <t>ARROW PANTS TR 81 LIGHT KHAKI:MISTY LIGHT KHAKI:34</t>
  </si>
  <si>
    <t>ARROW PANTS TR 81 LIGHT KHAKI:MISTY LIGHT KHAKI:38</t>
  </si>
  <si>
    <t>ARROW PANTS TR 81 LIGHT KHAKI:MISTY LIGHT KHAKI:40</t>
  </si>
  <si>
    <t>ARROW PANTS TR 81 LIGHT KHAKI:MISTY LIGHT KHAKI:42</t>
  </si>
  <si>
    <t>ARROW PANTS TR 81 LIGHT KHAKI:MISTY LIGHT KHAKI:35</t>
  </si>
  <si>
    <t>AR-TRS-BL</t>
  </si>
  <si>
    <t>ARROW PANTS TRS BLACK:BLACK:30</t>
  </si>
  <si>
    <t>ARROW PANTS TRS BLACK:BLACK:31</t>
  </si>
  <si>
    <t>ARROW PANTS TRS BLACK:BLACK:32</t>
  </si>
  <si>
    <t>ARROW PANTS TRS BLACK:BLACK:34</t>
  </si>
  <si>
    <t>ARROW PANTS TRS BLACK:BLACK:40</t>
  </si>
  <si>
    <t>AR-TRS-GR</t>
  </si>
  <si>
    <t>ARROW PANTS TRS GREY:FROST GREY:30</t>
  </si>
  <si>
    <t>ARROW PANTS TRS GREY:FROST GREY:31</t>
  </si>
  <si>
    <t>ARROW PANTS TRS GREY:FROST GREY:36</t>
  </si>
  <si>
    <t>ARROW PANTS TRS GREY:FROST GREY:38</t>
  </si>
  <si>
    <t>ARROW PANTS TRS GREY:FROST GREY:40</t>
  </si>
  <si>
    <t>ARROW PANTS TRS GREY:FROST GREY:42</t>
  </si>
  <si>
    <t>ARROW PANTS TRS GREY:FROST GREY:35</t>
  </si>
  <si>
    <t>AR-TRS-KH</t>
  </si>
  <si>
    <t>ARROW PANTS TRS KHAKI:KHAKI:30</t>
  </si>
  <si>
    <t>ARROW PANTS TRS KHAKI:KHAKI:31</t>
  </si>
  <si>
    <t>ARROW PANTS TRS KHAKI:KHAKI:32</t>
  </si>
  <si>
    <t>ARROW PANTS TRS KHAKI:KHAKI:33</t>
  </si>
  <si>
    <t>ARROW PANTS TRS KHAKI:KHAKI:34</t>
  </si>
  <si>
    <t>ARROW PANTS TRS KHAKI:KHAKI:36</t>
  </si>
  <si>
    <t>ARROW PANTS TRS KHAKI:KHAKI:38</t>
  </si>
  <si>
    <t>ARROW PANTS TRS KHAKI:KHAKI:40</t>
  </si>
  <si>
    <t>ARROW PANTS TRS KHAKI:KHAKI:42</t>
  </si>
  <si>
    <t>AR-TRS-NV</t>
  </si>
  <si>
    <t>ARROW PANTS TRS NAVY:NAVY BLUE:30</t>
  </si>
  <si>
    <t>ARROW PANTS TRS NAVY:NAVY BLUE:31</t>
  </si>
  <si>
    <t>ARROW PANTS TRS NAVY:NAVY BLUE:32</t>
  </si>
  <si>
    <t>ARROW PANTS TRS NAVY:NAVY BLUE:33</t>
  </si>
  <si>
    <t>ARROW PANTS TRS NAVY:NAVY BLUE:34</t>
  </si>
  <si>
    <t>ARROW PANTS TRS NAVY:NAVY BLUE:38</t>
  </si>
  <si>
    <t>L4FLFTSC</t>
  </si>
  <si>
    <t>LS FILAFIL TEAL</t>
  </si>
  <si>
    <t>S8SDRD05</t>
  </si>
  <si>
    <t>SS 38 STR MED S-1002/5 :CLASSIC RED:17</t>
  </si>
  <si>
    <t>B85</t>
  </si>
  <si>
    <t>33 SS CHK MED B85:CLASSIC RED:14.5</t>
  </si>
  <si>
    <t>33 SS CHK MED B85:CLASSIC RED:15</t>
  </si>
  <si>
    <t>33 SS CHK MED B85:CLASSIC RED:15.5</t>
  </si>
  <si>
    <t>33 SS CHK MED B85:CLASSIC RED:16</t>
  </si>
  <si>
    <t>033</t>
  </si>
  <si>
    <t>34 LS TXT STR 033 WHITE:OFF WHITE:15</t>
  </si>
  <si>
    <t>34 LS TXT STR 033 WHITE:OFF WHITE:15.5</t>
  </si>
  <si>
    <t>34 LS TXT STR 033 WHITE:OFF WHITE:16</t>
  </si>
  <si>
    <t>34 LS TXT STR 033 WHITE:OFF WHITE:17</t>
  </si>
  <si>
    <t>2011</t>
  </si>
  <si>
    <t>34 LS SALUR 2011 WHITE:WHITE:15</t>
  </si>
  <si>
    <t>34 LS SALUR 2011 WHITE:WHITE:15.5</t>
  </si>
  <si>
    <t>34 LS SALUR 2011 WHITE:WHITE:16</t>
  </si>
  <si>
    <t>34 LS SALUR 2011 WHITE:WHITE:16.5</t>
  </si>
  <si>
    <t>2016-41</t>
  </si>
  <si>
    <t>36 SS NL 2016-41:WHITE:14.5</t>
  </si>
  <si>
    <t>CHKSSNC</t>
  </si>
  <si>
    <t>36 SS CHK BIG B168:CLASSIC RED:14.5</t>
  </si>
  <si>
    <t>36 SS CHK BIG B168:CLASSIC RED:15</t>
  </si>
  <si>
    <t>36 SS CHK BIG B168:CLASSIC RED:15.5</t>
  </si>
  <si>
    <t>36 SS CHK BIG B168:CLASSIC RED:16</t>
  </si>
  <si>
    <t>36 SS CHK BIG B168:CLASSIC RED:17</t>
  </si>
  <si>
    <t>34 SS CVC CHECK 732 WHITE REG:WHITE:14.5</t>
  </si>
  <si>
    <t>34 SS CVC CHECK 732 WHITE REG:WHITE:15</t>
  </si>
  <si>
    <t>34 SS CVC CHECK 732 WHITE REG:WHITE:15.5</t>
  </si>
  <si>
    <t>32 SS TC CHECK LC 841070 BLACK:BLACK:15</t>
  </si>
  <si>
    <t>32 SS TC CHECK LC 841070 BLACK:BLACK:15.5</t>
  </si>
  <si>
    <t>TEXFILLS</t>
  </si>
  <si>
    <t>32 LS_TEX FILAFIL_20B-4 NAVY_REG	:NAVY BLUE:16</t>
  </si>
  <si>
    <t>SOLLSCC</t>
  </si>
  <si>
    <t>31 LS_SOLID JAQ LIST_62B-14# WHITE_REG	:WHITE:15.5</t>
  </si>
  <si>
    <t>31 LS_SOLID JAQ LIST_62B-4# NAVY_REG	:NAVY BLUE:15.5</t>
  </si>
  <si>
    <t>FILLSNC</t>
  </si>
  <si>
    <t>32 LS_TEX FILAFIL_20B-79# PURPLE_REG	:CLASSIC PURPLE:14.5</t>
  </si>
  <si>
    <t>32 LS_TEX FILAFIL_20B-7# GREY_REG	:FROST GREY:17</t>
  </si>
  <si>
    <t>ARP530A</t>
  </si>
  <si>
    <t>32 SS_TEX _530/A WH/NAVY/BLUE_REG	:CLASSIC BLUE:15.5</t>
  </si>
  <si>
    <t>ARPCM911</t>
  </si>
  <si>
    <t>34 LS_MINI CHECK _M91-1 RED_REG	:CLASSIC RED:15</t>
  </si>
  <si>
    <t>ARPSTR02A</t>
  </si>
  <si>
    <t>33 SS_ MED STRIPE 100%CTN_ARSTR-02A_REG	:CLASSIC BLUE:14.5</t>
  </si>
  <si>
    <t>33 SS_ MED STRIPE 100%CTN_ARSTR-02A_REG	:CLASSIC BLUE:15</t>
  </si>
  <si>
    <t>33 SS_ MED STRIPE 100%CTN_ARSTR-02A_REG	:CLASSIC BLUE:15.5</t>
  </si>
  <si>
    <t>ARPSTR02B</t>
  </si>
  <si>
    <t>33 SS_ MED STRIPE 100%CTN_ARSTR-02B_REG	:CLASSIC RED:14.5</t>
  </si>
  <si>
    <t>34 SS_SMALL CHECK 100%CTN_H46-5 BLACK/WHITE_REG:BLACK:14.5</t>
  </si>
  <si>
    <t>STRLSNC</t>
  </si>
  <si>
    <t>33 LS_THIN STRIPE 100%CTN_H19-3 GREY_REG:FROST GREY:16</t>
  </si>
  <si>
    <t>TEXLSNC</t>
  </si>
  <si>
    <t>32 LS_TEX WEAVE_F1608029-003 WH/BLUE_REG:CLASSIC BLUE:14.5</t>
  </si>
  <si>
    <t>32 LS_TEX WEAVE_F1608029-003 WH/BLUE_REG:CLASSIC BLUE:15</t>
  </si>
  <si>
    <t>32 LS_TEX WEAVE_F1608029-003 WH/BLUE_REG:CLASSIC BLUE:16.5</t>
  </si>
  <si>
    <t>32 SS_TEX JAQ HERRINGBONE ZIGZAG_NEW B77 LT BLUE_REG:LIGHT BLUE:16</t>
  </si>
  <si>
    <t>ARCHK02</t>
  </si>
  <si>
    <t>34 SS_SMALL CHECK 100% CTN_ARCHK-02 PUR_WH_REG:CLASSIC PURPL:17</t>
  </si>
  <si>
    <t>ARA9029-9</t>
  </si>
  <si>
    <t>32 SS_TEXTURE FILAFIL_A 9029-A BLUE_REG:CLASSIC BLUE:14.5</t>
  </si>
  <si>
    <t>ARP-H57-1</t>
  </si>
  <si>
    <t>32 LS TEXTURE JAQ H57-1 BLUE_WH-REG:CLASSIC BLUE:15</t>
  </si>
  <si>
    <t>32 LS TEXTURE JAQ H57-1 BLUE_WH-REG:CLASSIC BLUE:15.5</t>
  </si>
  <si>
    <t>32 LS TEXTURE JAQ H57-1 BLUE_WH-REG:CLASSIC BLUE:16</t>
  </si>
  <si>
    <t>ARP-B71-5</t>
  </si>
  <si>
    <t>34 SS SMALL CHECK 100% COTTON B71-5 BLUE_WH-REG:CLASSIC BLUE:15</t>
  </si>
  <si>
    <t>34 SS SMALL CHECK 100% COTTON B71-5 BLUE_WH-REG:CLASSIC BLUE:16.5</t>
  </si>
  <si>
    <t>ARP-B71-6</t>
  </si>
  <si>
    <t>34 SS SMALL CHECK 100% COTTON B-71-6 GREY_WH-REG:FROST GREY:14.5</t>
  </si>
  <si>
    <t>AR1607127</t>
  </si>
  <si>
    <t>32 SS TEXTURE D1607127-A PURPLE_REG:CLASSIC PURPLE:15.5</t>
  </si>
  <si>
    <t>AR-P-H168</t>
  </si>
  <si>
    <t>33 LS STRIPE H-168 100% COTTON-BLUE_WH-REG:CLASSIC BLUE:14.5</t>
  </si>
  <si>
    <t>33 LS STRIPE H-168 100% COTTON-BLUE_WH-REG:CLASSIC BLUE:15</t>
  </si>
  <si>
    <t>33 LS STRIPE H-168 100% COTTON-BLUE_WH-REG:CLASSIC BLUE:15.5</t>
  </si>
  <si>
    <t>AR-P-H20</t>
  </si>
  <si>
    <t>32 LS_TEXTURE 100% CTN_H20 ORI NAVY_REG:NAVY BLUE:14.5</t>
  </si>
  <si>
    <t>32 LS_TEXTURE 100% CTN_H20 ORI NAVY_REG:NAVY BLUE:15</t>
  </si>
  <si>
    <t>32 LS_TEXTURE 100% CTN_H20 ORI NAVY_REG:NAVY BLUE:17</t>
  </si>
  <si>
    <t>AROX3033</t>
  </si>
  <si>
    <t>32 LS_TEX OXFORD_OX30/30-3_LIGHT BLUE-REG:LIGHT BLUE:15</t>
  </si>
  <si>
    <t>32 LS_TEX OXFORD_OX30/30-3_LIGHT BLUE-REG:LIGHT BLUE:16.5</t>
  </si>
  <si>
    <t>ARP13131</t>
  </si>
  <si>
    <t>33 SS STRIPE 1313-11 YELLOW_WHITE-REG:CLASSIC YELLOW:14.5</t>
  </si>
  <si>
    <t>33 SS STRIPE 1313-11 YELLOW_WHITE-REG:CLASSIC YELLOW:15</t>
  </si>
  <si>
    <t>ARPSTB39</t>
  </si>
  <si>
    <t>33 SS STRIPE B39 WHITE_NAVY-REG:NAVY BLUE:14.5</t>
  </si>
  <si>
    <t>33 SS STRIPE B39 WHITE_NAVY-REG:NAVY BLUE:15</t>
  </si>
  <si>
    <t>33 SS STRIPE B39 WHITE_NAVY-REG:NAVY BLUE:15.5</t>
  </si>
  <si>
    <t>ARPB160</t>
  </si>
  <si>
    <t>32 LS TEXTURE B-160 TOSCA:DEEP SEA:15</t>
  </si>
  <si>
    <t>ARP20B13</t>
  </si>
  <si>
    <t>32 LS TEXTURE 20B-13 TURKISH:TURQUOISE:14.5</t>
  </si>
  <si>
    <t>32 LS TEXTURE 20B-13 TURKISH:TURQUOISE:15</t>
  </si>
  <si>
    <t>32 LS TEXTURE 20B-13 TURKISH:TURQUOISE:15.5</t>
  </si>
  <si>
    <t>32 LS TEXTURE 20B-13 TURKISH:TURQUOISE:16</t>
  </si>
  <si>
    <t>32 LS TEXTURE 20B-13 TURKISH:TURQUOISE:16.5</t>
  </si>
  <si>
    <t>32 LS TEXTURE 20B-13 TURKISH:TURQUOISE:17</t>
  </si>
  <si>
    <t>ARP20B12</t>
  </si>
  <si>
    <t>32 LS TEXTURE 20B-112 LIGHT_BLUE:LIGHT BLUE:14.5</t>
  </si>
  <si>
    <t>32 LS TEXTURE 20B-112 LIGHT_BLUE:LIGHT BLUE:15</t>
  </si>
  <si>
    <t>32 LS TEXTURE 20B-112 LIGHT_BLUE:LIGHT BLUE:15.5</t>
  </si>
  <si>
    <t>32 LS TEXTURE 20B-112 LIGHT_BLUE:LIGHT BLUE:16</t>
  </si>
  <si>
    <t>32 LS TEXTURE 20B-112 LIGHT_BLUE:LIGHT BLUE:16.5</t>
  </si>
  <si>
    <t>32 LS TEXTURE 20B-112 LIGHT_BLUE:LIGHT BLUE:17</t>
  </si>
  <si>
    <t>ARSTH16O</t>
  </si>
  <si>
    <t>33 LS STRIPE_100% COTTON_H16_ORI_WHITE_GREY_OLIVE-REG:FROST GREY:14.5</t>
  </si>
  <si>
    <t>33 LS STRIPE_100% COTTON_H16_ORI_WHITE_GREY_OLIVE-REG:FROST GREY:15</t>
  </si>
  <si>
    <t>ARSTRH17</t>
  </si>
  <si>
    <t>33 LS STRIPE_100% CTN_H17_WHITE_LT BLUE_NAVY-REG:LIGHT BLUE:14.5</t>
  </si>
  <si>
    <t>33 LS STRIPE_100% CTN_H17_WHITE_LT BLUE_NAVY-REG:LIGHT BLUE:15</t>
  </si>
  <si>
    <t>33 LS STRIPE_100% CTN_H17_WHITE_LT BLUE_NAVY-REG:LIGHT BLUE:15.5</t>
  </si>
  <si>
    <t>33 LS STRIPE_100% CTN_H17_WHITE_LT BLUE_NAVY-REG:LIGHT BLUE:17</t>
  </si>
  <si>
    <t>ARSTRH18</t>
  </si>
  <si>
    <t>33 LS STRIPE_100% COTTON_H18_WHITE_PINK_NAVY-REG:DUSTY PINK:15.5</t>
  </si>
  <si>
    <t>ARPH1852</t>
  </si>
  <si>
    <t>34 SS CHECK_100% COTTON_H185-2_LIGHT BROWN:GOLDEN BROWN:14.5</t>
  </si>
  <si>
    <t>ARPH1853</t>
  </si>
  <si>
    <t>34 SS CHECK_100% COTTON_H185-3_LIGHT BLUE-REG:LIGHT BLUE:14.5</t>
  </si>
  <si>
    <t>ARPH56-3</t>
  </si>
  <si>
    <t>34 LS MINI CHECK_H56/3_WHITE_NAVY-REG:NAVY BLUE:14.5</t>
  </si>
  <si>
    <t>ARPH145-4</t>
  </si>
  <si>
    <t>32 SS_TEXTURE_STRIPE_100% CTN_H145-4_WHT_GREY-REG:FROST GREY:15.5</t>
  </si>
  <si>
    <t>32 SS_TEXTURE_STRIPE_100% CTN_H145-4_WHT_GREY-REG:FROST GREY:16</t>
  </si>
  <si>
    <t>ARPDW115</t>
  </si>
  <si>
    <t>32 SS_TEXTURE DOBBY_115 WHITE-REG:WHITE:14.5</t>
  </si>
  <si>
    <t>32 SS_TEXTURE DOBBY_115 WHITE-REG:WHITE:15</t>
  </si>
  <si>
    <t>32 SS_TEXTURE DOBBY_115 WHITE-REG:WHITE:15.5</t>
  </si>
  <si>
    <t>32 SS_TEXTURE DOBBY_115 WHITE-REG:WHITE:16</t>
  </si>
  <si>
    <t>ARSTR-03A</t>
  </si>
  <si>
    <t>33 LS MED STRIPE ASTR-03A 100% CTN GREY_NAVY-REG:FROST GREY:14.5</t>
  </si>
  <si>
    <t>33 LS MED STRIPE 100% CTN ASTR-03A_GREY_NAVY-REG:FROST GREY:14.5</t>
  </si>
  <si>
    <t>33 LS MED STRIPE 100% CTN ASTR-03A_GREY_NAVY-REG:FROST GREY:15.5</t>
  </si>
  <si>
    <t>ARPDW114</t>
  </si>
  <si>
    <t>32 LS TEXTURE 114 DOBBY WHT-REG:WHITE:14.5</t>
  </si>
  <si>
    <t>32 LS TEXTURE 114 DOBBY WHT-REG:WHITE:16.5</t>
  </si>
  <si>
    <t>ARPC-H45</t>
  </si>
  <si>
    <t>32 LS TEXTURE H45_AQUA_WH-REG:AQUA:14.5</t>
  </si>
  <si>
    <t>32 LS TEXTURE H45_AQUA_WH-REG:AQUA:15.5</t>
  </si>
  <si>
    <t>ARSTR01</t>
  </si>
  <si>
    <t>33 LS THIN STRIPE 100% CTN ASTR-01_GREY_WH-REG:BLACK:14.5</t>
  </si>
  <si>
    <t>33 LS THIN STRIPE 100% CTN ASTR-01_GREY_WH-REG:BLACK:15</t>
  </si>
  <si>
    <t>33 LS THIN STRIPE 100% CTN ASTR-01_GREY_WH-REG:BLACK:15.5</t>
  </si>
  <si>
    <t>33 LS THIN STRIPE 100% CTN ASTR-01_GREY_WH-REG:BLACK:16</t>
  </si>
  <si>
    <t>ARPCHK01</t>
  </si>
  <si>
    <t>34 SS SMALL CHECK 100% CTN ARCHK-01_WH_NV_BU-REG:CLASSIC BLUE:14.5</t>
  </si>
  <si>
    <t>34 SS SMALL CHECK 100% CTN ARCHK-01_WH_NV_BU-REG:CLASSIC BLUE:15</t>
  </si>
  <si>
    <t>34 SS SMALL CHECK 100% CTN ARCHK-01_WH_NV_BU-REG:CLASSIC BLUE:15.5</t>
  </si>
  <si>
    <t>ARPC-H185</t>
  </si>
  <si>
    <t>34 SS CHECK 100% CTN H185_GR_WH-REG:FROST GREY:14.5</t>
  </si>
  <si>
    <t>34 SS CHECK 100% CTN H185_GR_WH-REG:FROST GREY:15</t>
  </si>
  <si>
    <t>AR-P-F13</t>
  </si>
  <si>
    <t>32 LS_TEXTURE_F13_GREEN-REG:CLASSIC GREEN:14.5</t>
  </si>
  <si>
    <t>32 LS_TEXTURE_F13_GREEN-REG:CLASSIC GREEN:15</t>
  </si>
  <si>
    <t>32 LS_TEXTURE_F13_GREEN-REG:CLASSIC GREEN:16.5</t>
  </si>
  <si>
    <t>AR-A77C</t>
  </si>
  <si>
    <t>32 SS_TEXTURE A77/C_CORAL_WH-REG:CORAL:14.5</t>
  </si>
  <si>
    <t>32 SS_TEXTURE A77/C_CORAL_WH-REG:CORAL:15</t>
  </si>
  <si>
    <t>AR-A77E</t>
  </si>
  <si>
    <t>32 SS_TEXTURE_A77/E_KHAKI_WH-REG:KHAKI:15</t>
  </si>
  <si>
    <t>32 SS_TEXTURE_A77/E_KHAKI_WH-REG:KHAKI:15.5</t>
  </si>
  <si>
    <t>ARA9027-1</t>
  </si>
  <si>
    <t>32 SS_TEXTURE_A9027-1_PURPLE-REG:CLASSIC PURPLE:14.5</t>
  </si>
  <si>
    <t>32 SS_TEXTURE_A9027-1_PURPLE-REG:CLASSIC PURPLE:15</t>
  </si>
  <si>
    <t>AR20B-57</t>
  </si>
  <si>
    <t>23 LS_TEXTURE_20B-57_BLUE-REG:CLASSIC BLUE:14.5</t>
  </si>
  <si>
    <t>23 LS_TEXTURE_20B-57_BLUE-REG:CLASSIC BLUE:16.5</t>
  </si>
  <si>
    <t>AR20B-53</t>
  </si>
  <si>
    <t>32 LS_TEXTURE_20B-53_BROWN_BK-REG:BROWN SUGAR:14.5</t>
  </si>
  <si>
    <t>32 LS_TEXTURE_20B-53_BROWN_BK-REG:BROWN SUGAR:15</t>
  </si>
  <si>
    <t>32 LS_TEXTURE_20B-53_BROWN_BK-REG:BROWN SUGAR:15.5</t>
  </si>
  <si>
    <t>32 LS_TEXTURE_20B-53_BROWN_BK-REG:BROWN SUGAR:16</t>
  </si>
  <si>
    <t>ARSTS577</t>
  </si>
  <si>
    <t>33 LS_MINI STRIPE_S57-7_WH_BLACK-REG:BLACK:14.5</t>
  </si>
  <si>
    <t>33 LS_MINI STRIPE_S57-7_WH_BLACK-REG:BLACK:15</t>
  </si>
  <si>
    <t>ARSTS578</t>
  </si>
  <si>
    <t>33 LS_MINI STRIPE_S57-8_WH_LT BLUE-REG:LIGHT BLUE:14.5</t>
  </si>
  <si>
    <t>33 LS_MINI STRIPE_S57-8_WH_LT BLUE-REG:LIGHT BLUE:15</t>
  </si>
  <si>
    <t>33 LS_MINI STRIPE_S57-8_WH_LT BLUE-REG:LIGHT BLUE:15.5</t>
  </si>
  <si>
    <t>33 LS_MINI STRIPE_S57-8_WH_LT BLUE-REG:LIGHT BLUE:16</t>
  </si>
  <si>
    <t>33 LS_MINI STRIPE_S57-8_WH_LT BLUE-REG:LIGHT BLUE:16.5</t>
  </si>
  <si>
    <t>ARCHS515</t>
  </si>
  <si>
    <t>34 SS MINI CHECK_S51-5_GREY_WH_REG:FROST GREY:14.5</t>
  </si>
  <si>
    <t>ARA81321</t>
  </si>
  <si>
    <t>31 LS_SOLID_A8132-1_BLACK_REG:BLACK:15</t>
  </si>
  <si>
    <t>31 LS_SOLID_A8132-1_BLACK_REG:BLACK:15.5</t>
  </si>
  <si>
    <t>ARDW-106</t>
  </si>
  <si>
    <t>32 LS_TEXTURE_106_DOBBY_WHITE-REG:WHITE:14.5</t>
  </si>
  <si>
    <t>32 LS_TEXTURE_106_DOBBY_WHITE-REG:WHITE:15</t>
  </si>
  <si>
    <t>32 LS_TEXTURE_106_DOBBY_WHITE-REG:WHITE:15.5</t>
  </si>
  <si>
    <t>32 LS_TEXTURE_106_DOBBY_WHITE-REG:WHITE:16</t>
  </si>
  <si>
    <t>32 LS_TEXTURE_106_DOBBY_WHITE-REG:WHITE:16.5</t>
  </si>
  <si>
    <t>32 LS_TEXTURE_106_DOBBY_WHITE-REG:WHITE:17</t>
  </si>
  <si>
    <t>ARCHS771</t>
  </si>
  <si>
    <t>34 LS MINI CHECK_S77-1_BR_MR_WH_GR-REG:MAROON:14.5</t>
  </si>
  <si>
    <t>ARCHS773</t>
  </si>
  <si>
    <t>34 LS MINI CHECK_S77-3_NV_BLUE_WH-REG:CLASSIC BLUE:14.5</t>
  </si>
  <si>
    <t>34 LS MINI CHECK_S77-3_NV_BLUE_WH-REG:CLASSIC BLUE:15</t>
  </si>
  <si>
    <t>34 LS MINI CHECK_S77-3_NV_BLUE_WH-REG:CLASSIC BLUE:15.5</t>
  </si>
  <si>
    <t>ARSTS54TL</t>
  </si>
  <si>
    <t>33 LS_THIN STRIPE_S54_TEAL-REG:TEAL:14.5</t>
  </si>
  <si>
    <t>33 LS_THIN STRIPE_S54_TEAL-REG:TEAL:15</t>
  </si>
  <si>
    <t>33 LS_THIN STRIPE_S54_TEAL-REG:TEAL:15.5</t>
  </si>
  <si>
    <t>33 LS_THIN STRIPE_S54_TEAL-REG:TEAL:16</t>
  </si>
  <si>
    <t>33 LS_THIN STRIPE_S54_TEAL-REG:TEAL:16.5</t>
  </si>
  <si>
    <t>33 LS_THIN STRIPE_S54_TEAL-REG:TEAL:17</t>
  </si>
  <si>
    <t>ARSTS54NV</t>
  </si>
  <si>
    <t>33 LS_THIN STRIPE_S54_NAVYL-REG:NAVY BLUE:14.5</t>
  </si>
  <si>
    <t>33 LS_THIN STRIPE_S54_NAVYL-REG:NAVY BLUE:15</t>
  </si>
  <si>
    <t>33 LS_THIN STRIPE_S54_NAVYL-REG:NAVY BLUE:15.5</t>
  </si>
  <si>
    <t>33 LS_THIN STRIPE_S54_NAVYL-REG:NAVY BLUE:16</t>
  </si>
  <si>
    <t>33 LS_THIN STRIPE_S54_NAVYL-REG:NAVY BLUE:16.5</t>
  </si>
  <si>
    <t>AR120257</t>
  </si>
  <si>
    <t>34 LS TEX 100% CTN 120257 LUX_L BLUE_WH-REG:LIGHT BLUE:15.5</t>
  </si>
  <si>
    <t>ARCHS44BU</t>
  </si>
  <si>
    <t>34 SS MINI CHECK_S44_L-BLUE_WH-REG:LIGHT BLUE:15</t>
  </si>
  <si>
    <t>ARPB75OL</t>
  </si>
  <si>
    <t>32 SS TEXTURE_B75_OLIVE-REG:OLIVE:14.5</t>
  </si>
  <si>
    <t>ARPC0033</t>
  </si>
  <si>
    <t>32 SS_TEX MIX SUPIMA COTTON_0033 GREEN_REG:CLASSIC GREEN:15</t>
  </si>
  <si>
    <t>32 SS_TEX MIX SUPIMA COTTON_0033 GREEN_REG:CLASSIC GREEN:15.5</t>
  </si>
  <si>
    <t>ARPC0032</t>
  </si>
  <si>
    <t>32 SS_TEX MIX SUPIMA COTTON_0032 BLUE_REG:CLASSIC BLUE:14.5</t>
  </si>
  <si>
    <t>32 SS_TEX MIX SUPIMA COTTON_0032 BLUE_REG:CLASSIC BLUE:15.5</t>
  </si>
  <si>
    <t>ARPC0029</t>
  </si>
  <si>
    <t>32 SS_TEX MIX SUPIMA COTTON_0029 CORAL_REG:CORAL:14.5</t>
  </si>
  <si>
    <t>32 SS_TEX MIX SUPIMA COTTON_0029 CORAL_REG:CORAL:15.5</t>
  </si>
  <si>
    <t>32 SS_TEX MIX SUPIMA COTTON_0029 CORAL_REG:CORAL:16</t>
  </si>
  <si>
    <t>PTXSTBU</t>
  </si>
  <si>
    <t>WK TEX BAHU POLOS STR BWH AB:CLASSIC BLUE:S</t>
  </si>
  <si>
    <t>WK TEX BAHU POLOS STR BWH AB:CLASSIC BLUE:L</t>
  </si>
  <si>
    <t>AR-B12NV</t>
  </si>
  <si>
    <t xml:space="preserve"> WK DBL KNIT SS REG JAQ COLLAR STR:NAVY BLUE:S</t>
  </si>
  <si>
    <t xml:space="preserve"> WK DBL KNIT SS REG JAQ COLLAR STR:NAVY BLUE:L</t>
  </si>
  <si>
    <t xml:space="preserve"> WK DBL KNIT SS REG JAQ COLLAR STR:NAVY BLUE:XL</t>
  </si>
  <si>
    <t>AR-B12BU</t>
  </si>
  <si>
    <t xml:space="preserve"> WK DBL KNIT SS REG JAQ COLLAR STR:CLASSIC BLUE:S</t>
  </si>
  <si>
    <t>AR-B12RD</t>
  </si>
  <si>
    <t xml:space="preserve"> WK DBL KNIT SS REG JAQ COLLAR STR:CLASSIC RED:S</t>
  </si>
  <si>
    <t xml:space="preserve"> WK DBL KNIT SS REG JAQ COLLAR STR:CLASSIC RED:M</t>
  </si>
  <si>
    <t xml:space="preserve"> WK DBL KNIT SS REG JAQ COLLAR STR:CLASSIC RED:L</t>
  </si>
  <si>
    <t xml:space="preserve"> WK DBL KNIT SS REG JAQ COLLAR STR:CLASSIC RED:XL</t>
  </si>
  <si>
    <t>AR-B39GR</t>
  </si>
  <si>
    <t>POLO SOLID JAG COLLAR JAG STRIPE - SS REG:FROST GREY:M</t>
  </si>
  <si>
    <t>POLO SOLID JAG COLLAR JAG STRIPE - SS REG:FROST GREY:L</t>
  </si>
  <si>
    <t>POLO SOLID JAG COLLAR JAG STRIPE - SS REG:FROST GREY:XL</t>
  </si>
  <si>
    <t>AR-B39TR</t>
  </si>
  <si>
    <t>POLO SOLID JAG COLLAR JAG STRIPE - SS REG:MANDARIN ORANG:S</t>
  </si>
  <si>
    <t>POLO SOLID JAG COLLAR JAG STRIPE - SS REG:MANDARIN ORANG:L</t>
  </si>
  <si>
    <t>PLSDWH</t>
  </si>
  <si>
    <t>POLO BASIC LACOSE:WHITE:S</t>
  </si>
  <si>
    <t>POLO BASIC LACOSE:WHITE:M</t>
  </si>
  <si>
    <t>POLO BASIC LACOSE:WHITE:L</t>
  </si>
  <si>
    <t>POLO BASIC LACOSE:WHITE:XL</t>
  </si>
  <si>
    <t>PLSDNV</t>
  </si>
  <si>
    <t>POLO BASIC LACOSE:NAVY BLUE:S</t>
  </si>
  <si>
    <t>POLO BASIC LACOSE:NAVY BLUE:M</t>
  </si>
  <si>
    <t>POLO BASIC LACOSE:NAVY BLUE:L</t>
  </si>
  <si>
    <t>POLO BASIC LACOSE:NAVY BLUE:XL</t>
  </si>
  <si>
    <t>PLSDMR</t>
  </si>
  <si>
    <t>POLO BASIC LACOSE:MAROON:S</t>
  </si>
  <si>
    <t>POLO BASIC LACOSE:MAROON:XL</t>
  </si>
  <si>
    <t>PLSDTR</t>
  </si>
  <si>
    <t>POLO BASIC LACOSE:MANDARIN ORANGE:S</t>
  </si>
  <si>
    <t>POLO BASIC LACOSE:MANDARIN ORANGE:M</t>
  </si>
  <si>
    <t>POLO BASIC LACOSE:MANDARIN ORANGE:L</t>
  </si>
  <si>
    <t>POLO BASIC LACOSE:MANDARIN ORANGE:XL</t>
  </si>
  <si>
    <t>ARAW67073</t>
  </si>
  <si>
    <t>ARROW PANTS AW-67073 SLIM FIT:BLACK:30</t>
  </si>
  <si>
    <t>ARROW PANTS AW-67073 SLIM FIT:BLACK:31</t>
  </si>
  <si>
    <t>ARROW PANTS AW-67073 SLIM FIT:BLACK:32</t>
  </si>
  <si>
    <t>ARROW PANTS AW-67073 SLIM FIT:BLACK:33</t>
  </si>
  <si>
    <t>ARROW PANTS AW-67073 SLIM FIT:BLACK:36</t>
  </si>
  <si>
    <t>ARROW PANTS AW-67073 SLIM FIT:BLACK:38</t>
  </si>
  <si>
    <t>ARROW PANTS AW-67073 SLIM FIT:BLACK:40</t>
  </si>
  <si>
    <t>ARROW PANTS AW-67073 SLIM FIT:BLACK:35</t>
  </si>
  <si>
    <t>APMAXBRS</t>
  </si>
  <si>
    <t>ARROW PANTS MAXBROSS:BLACK:30</t>
  </si>
  <si>
    <t>ARROW PANTS MAXBROSS:BLACK:31</t>
  </si>
  <si>
    <t>ARROW PANTS MAXBROSS:BLACK:32</t>
  </si>
  <si>
    <t>ARROW PANTS MAXBROSS:BLACK:33</t>
  </si>
  <si>
    <t>ARROW PANTS MAXBROSS:BLACK:34</t>
  </si>
  <si>
    <t>ARROW PANTS MAXBROSS:BLACK:36</t>
  </si>
  <si>
    <t>ARROW PANTS MAXBROSS:BLACK:38</t>
  </si>
  <si>
    <t>ARROW PANTS MAXBROSS:BLACK:40</t>
  </si>
  <si>
    <t>ARROW PANTS MAXBROSS:BLACK:42</t>
  </si>
  <si>
    <t>ARROW PANTS MAXBROSS:BLACK:35</t>
  </si>
  <si>
    <t>ARCHK177</t>
  </si>
  <si>
    <t>34 LS SMALL CHECK 100% CTN H-177 WH_NV_BR_PN-REG:WHITE:14.5</t>
  </si>
  <si>
    <t>34 LS SMALL CHECK 100% CTN H-177 WH_NV_BR_PN-REG:WHITE:15</t>
  </si>
  <si>
    <t>34 LS SMALL CHECK 100% CTN H-177 WH_NV_BR_PN-REG:WHITE:15.5</t>
  </si>
  <si>
    <t>34 LS SMALL CHECK 100% CTN H-177 WH_NV_BR_PN-REG:WHITE:16</t>
  </si>
  <si>
    <t>34 LS SMALL CHECK 100% CTN H-177 WH_NV_BR_PN-REG:WHITE:17</t>
  </si>
  <si>
    <t>AR1069-74</t>
  </si>
  <si>
    <t>32 LS_TEXTURE_1069/74_YELLOW-REG:PASTEL YELLOW:14.5</t>
  </si>
  <si>
    <t>32 LS_TEXTURE_1069/74_YELLOW-REG:PASTEL YELLOW:15</t>
  </si>
  <si>
    <t>32 LS_TEXTURE_1069/74_YELLOW-REG:PASTEL YELLOW:15.5</t>
  </si>
  <si>
    <t>32 LS_TEXTURE_1069/74_YELLOW-REG:PASTEL YELLOW:16</t>
  </si>
  <si>
    <t>32 LS_TEXTURE_1069/74_YELLOW-REG:PASTEL YELLOW:16.5</t>
  </si>
  <si>
    <t>32 LS_TEXTURE_1069/74_YELLOW-REG:PASTEL YELLOW:17</t>
  </si>
  <si>
    <t>AR20B-140</t>
  </si>
  <si>
    <t>32 LS_TEXTURE_20B-140_BROWN-REG:GOLDEN BROWN:16.5</t>
  </si>
  <si>
    <t>32 LS_TEXTURE_20B-140_BROWN-REG:GOLDEN BROWN:17</t>
  </si>
  <si>
    <t>AR-ORG2</t>
  </si>
  <si>
    <t>34 LS MINI CHECK TEX_ORANGE 2:CLASSIC ORANGE:14.5</t>
  </si>
  <si>
    <t>34 LS MINI CHECK TEX_ORANGE 2:CLASSIC ORANGE:15</t>
  </si>
  <si>
    <t>34 LS MINI CHECK TEX_ORANGE 2:CLASSIC ORANGE:15.5</t>
  </si>
  <si>
    <t>34 LS MINI CHECK TEX_ORANGE 2:CLASSIC ORANGE:16</t>
  </si>
  <si>
    <t>34 LS MINI CHECK TEX_ORANGE 2:CLASSIC ORANGE:16.5</t>
  </si>
  <si>
    <t>34 LS MINI CHECK TEX_ORANGE 2:CLASSIC ORANGE:17</t>
  </si>
  <si>
    <t>AROX3035</t>
  </si>
  <si>
    <t>32 LS_TEX OXFORD_OX30/3-5_GREY-REG:FROST GREY:14.5</t>
  </si>
  <si>
    <t>32 LS_TEX OXFORD_OX30/3-5_GREY-REG:FROST GREY:15</t>
  </si>
  <si>
    <t>32 LS_TEX OXFORD_OX30/3-5_GREY-REG:FROST GREY:15.5</t>
  </si>
  <si>
    <t>32 LS_TEX OXFORD_OX30/3-5_GREY-REG:FROST GREY:16</t>
  </si>
  <si>
    <t>AR-H19GR</t>
  </si>
  <si>
    <t>34 SS CHECK H19-10 100% COTTON GREY-REG:FROST GREY:14.5</t>
  </si>
  <si>
    <t>34 SS CHECK H19-10 100% COTTON GREY-REG:FROST GREY:15</t>
  </si>
  <si>
    <t>34 SS CHECK H19-10 100% COTTON GREY-REG:FROST GREY:15.5</t>
  </si>
  <si>
    <t>34 SS CHECK H19-10 100% COTTON GREY-REG:FROST GREY:16</t>
  </si>
  <si>
    <t>AR-902917</t>
  </si>
  <si>
    <t>32 SS TEXTURE A9029-17 RED-REG:CLASSIC RED:14.5</t>
  </si>
  <si>
    <t>32 SS TEXTURE A9029-17 RED-REG:CLASSIC RED:15</t>
  </si>
  <si>
    <t>32 SS TEXTURE A9029-17 RED-REG:CLASSIC RED:15.5</t>
  </si>
  <si>
    <t>32 SS TEXTURE A9029-17 RED-REG:CLASSIC RED:16</t>
  </si>
  <si>
    <t>32 SS TEXTURE A9029-17 RED-REG:CLASSIC RED:16.5</t>
  </si>
  <si>
    <t>32 SS TEXTURE A9029-17 RED-REG:CLASSIC RED:17</t>
  </si>
  <si>
    <t>AR-B175MR</t>
  </si>
  <si>
    <t>32 LS TEXTURE B175 MAROON-REG:MAROON:14.5</t>
  </si>
  <si>
    <t>32 LS TEXTURE B175 MAROON-REG:MAROON:15</t>
  </si>
  <si>
    <t>32 LS TEXTURE B175 MAROON-REG:MAROON:15.5</t>
  </si>
  <si>
    <t>32 LS TEXTURE B175 MAROON-REG:MAROON:16</t>
  </si>
  <si>
    <t>32 LS TEXTURE B175 MAROON-REG:MAROON:16.5</t>
  </si>
  <si>
    <t>AR-B83NV</t>
  </si>
  <si>
    <t>32 LS TEXTURE B83 NAVY BLUE-REG:NAVY BLUE:14.5</t>
  </si>
  <si>
    <t>32 LS TEXTURE B83 NAVY BLUE-REG:NAVY BLUE:15</t>
  </si>
  <si>
    <t>32 LS TEXTURE B83 NAVY BLUE-REG:NAVY BLUE:15.5</t>
  </si>
  <si>
    <t>ARF1608BU</t>
  </si>
  <si>
    <t>32 SS TEXTURE F1608029-001 BLUE_WHT-REG:LIGHT BLUE:14.5</t>
  </si>
  <si>
    <t>32 SS TEXTURE F1608029-001 BLUE_WHT-REG:LIGHT BLUE:15</t>
  </si>
  <si>
    <t>32 SS TEXTURE F1608029-001 BLUE_WHT-REG:LIGHT BLUE:15.5</t>
  </si>
  <si>
    <t>ARS04001</t>
  </si>
  <si>
    <t>34 SS MED CHECK S-04044-1513611-1:NAVY BLUE:14.5</t>
  </si>
  <si>
    <t>34 SS MED CHECK S-04044-1513611-1:NAVY BLUE:15</t>
  </si>
  <si>
    <t>AR20B53BR</t>
  </si>
  <si>
    <t>32 SS TEXTURE FIL_20B-53_BROWN-REG:GOLDEN BROWN:14.5</t>
  </si>
  <si>
    <t>32 SS TEXTURE FIL_20B-53_BROWN-REG:GOLDEN BROWN:15</t>
  </si>
  <si>
    <t>32 SS TEXTURE FIL_20B-53_BROWN-REG:GOLDEN BROWN:15.5</t>
  </si>
  <si>
    <t>32 SS TEXTURE FIL_20B-53_BROWN-REG:GOLDEN BROWN:16</t>
  </si>
  <si>
    <t>32 SS TEXTURE FIL_20B-53_BROWN-REG:GOLDEN BROWN:16.5</t>
  </si>
  <si>
    <t>32 SS TEXTURE FIL_20B-53_BROWN-REG:GOLDEN BROWN:17</t>
  </si>
  <si>
    <t>ARPR23NV</t>
  </si>
  <si>
    <t>35 SS PRINT EU23-REG:NAVY BLUE:14.5</t>
  </si>
  <si>
    <t>35 SS PRINT EU23-REG:NAVY BLUE:15.5</t>
  </si>
  <si>
    <t>ARPR23MR</t>
  </si>
  <si>
    <t>35 SS PRINT EU23-REG:MAROON:14.5</t>
  </si>
  <si>
    <t>35 SS PRINT EU23-REG:MAROON:15</t>
  </si>
  <si>
    <t>35 SS PRINT EU23-REG:MAROON:15.5</t>
  </si>
  <si>
    <t>ARPR38GR</t>
  </si>
  <si>
    <t>35 LS PRINT US38_GREY_NAVY-REG:FROST GREY:14.5</t>
  </si>
  <si>
    <t>35 LS PRINT US38_GREY_NAVY-REG:FROST GREY:15</t>
  </si>
  <si>
    <t>35 LS PRINT US38_GREY_NAVY-REG:FROST GREY:15.5</t>
  </si>
  <si>
    <t>AR-A16GR</t>
  </si>
  <si>
    <t>32 LS TEXTURE A16 GREY-REG:FROST GREY:14.5</t>
  </si>
  <si>
    <t>32 LS TEXTURE A16 GREY-REG:FROST GREY:15</t>
  </si>
  <si>
    <t>32 LS TEXTURE A16 GREY-REG:FROST GREY:15.5</t>
  </si>
  <si>
    <t>32 LS TEXTURE A16 GREY-REG:FROST GREY:16</t>
  </si>
  <si>
    <t>AR-H84GR</t>
  </si>
  <si>
    <t>34 SS CHECK H84-REG:FROST GREY:14.5</t>
  </si>
  <si>
    <t>34 SS CHECK H84-REG:FROST GREY:15</t>
  </si>
  <si>
    <t>34 SS CHECK H84-REG:FROST GREY:15.5</t>
  </si>
  <si>
    <t>AR-H84NV</t>
  </si>
  <si>
    <t>34 SS CHECK H84-REG:NAVY BLUE:14.5</t>
  </si>
  <si>
    <t>34 SS CHECK H84-REG:NAVY BLUE:15</t>
  </si>
  <si>
    <t>34 SS CHECK H84-REG:NAVY BLUE:15.5</t>
  </si>
  <si>
    <t>34 SS CHECK H84-REG:NAVY BLUE:17</t>
  </si>
  <si>
    <t>AR-H01NV</t>
  </si>
  <si>
    <t>34 LS CHECK H01 - REG:NAVY BLUE:14.5</t>
  </si>
  <si>
    <t>34 LS CHECK H01 - REG:NAVY BLUE:15</t>
  </si>
  <si>
    <t>34 LS CHECK H01 - REG:NAVY BLUE:15.5</t>
  </si>
  <si>
    <t>34 LS CHECK H01 - REG:NAVY BLUE:17</t>
  </si>
  <si>
    <t>AR-H01LB</t>
  </si>
  <si>
    <t>34 LS CHECK H01 - REG:LIGHT BLUE:14.5</t>
  </si>
  <si>
    <t>34 LS CHECK H01 - REG:LIGHT BLUE:15</t>
  </si>
  <si>
    <t>34 LS CHECK H01 - REG:LIGHT BLUE:15.5</t>
  </si>
  <si>
    <t>34 LS CHECK H01 - REG:LIGHT BLUE:16</t>
  </si>
  <si>
    <t>34 LS CHECK H01 - REG:LIGHT BLUE:17</t>
  </si>
  <si>
    <t>ARD16051</t>
  </si>
  <si>
    <t>32 SS TEXTURE D1605107-001 BLACK-REG:BLACK:14.5</t>
  </si>
  <si>
    <t>32 SS TEXTURE D1605107-001 BLACK-REG:BLACK:15</t>
  </si>
  <si>
    <t>32 SS TEXTURE D1605107-001 BLACK-REG:BLACK:15.5</t>
  </si>
  <si>
    <t>32 SS TEXTURE D1605107-001 BLACK-REG:BLACK:17</t>
  </si>
  <si>
    <t>AR-B74GR</t>
  </si>
  <si>
    <t>32 LS TEXTURE B74 DARK GREY-REG:CHARCOAL:14.5</t>
  </si>
  <si>
    <t>32 LS TEXTURE B74 DARK GREY-REG:CHARCOAL:15</t>
  </si>
  <si>
    <t>32 LS TEXTURE B74 DARK GREY-REG:CHARCOAL:15.5</t>
  </si>
  <si>
    <t>32 LS TEXTURE B74 DARK GREY-REG:CHARCOAL:16.5</t>
  </si>
  <si>
    <t>AROX30WH</t>
  </si>
  <si>
    <t>32 LS TEXTURE OX 30/3/13 WHITE-REG:WHITE:14.5</t>
  </si>
  <si>
    <t>32 LS TEXTURE OX 30/3/13 WHITE-REG:WHITE:15</t>
  </si>
  <si>
    <t>32 LS TEXTURE OX 30/3/13 WHITE-REG:WHITE:15.5</t>
  </si>
  <si>
    <t>32 LS TEXTURE OX 30/3/13 WHITE-REG:WHITE:16</t>
  </si>
  <si>
    <t>32 LS TEXTURE OX 30/3/13 WHITE-REG:WHITE:16.5</t>
  </si>
  <si>
    <t>32 LS TEXTURE OX 30/3/13 WHITE-REG:WHITE:17</t>
  </si>
  <si>
    <t>AR-H71-WH</t>
  </si>
  <si>
    <t>32 SS_TEX_H71_WHITE-REG:WHITE:14.5</t>
  </si>
  <si>
    <t>32 SS_TEX_H71_WHITE-REG:WHITE:15</t>
  </si>
  <si>
    <t>32 SS_TEX_H71_WHITE-REG:WHITE:15.5</t>
  </si>
  <si>
    <t>32 SS_TEX_H71_WHITE-REG:WHITE:16</t>
  </si>
  <si>
    <t>32 SS_TEX_H71_WHITE-REG:WHITE:16.5</t>
  </si>
  <si>
    <t>32 SS_TEX_H71_WHITE-REG:WHITE:17</t>
  </si>
  <si>
    <t>AR121225</t>
  </si>
  <si>
    <t>32 SS TEXTURE 121225 (CLUB PLUS)-REG:MAROON:14.5</t>
  </si>
  <si>
    <t>32 SS TEXTURE 121225 (CLUB PLUS)-REG:MAROON:15</t>
  </si>
  <si>
    <t>32 SS TEXTURE 121225 (CLUB PLUS)-REG:MAROON:15.5</t>
  </si>
  <si>
    <t>32 SS TEXTURE 121225 (CLUB PLUS)-REG:MAROON:17</t>
  </si>
  <si>
    <t>AROX4BK</t>
  </si>
  <si>
    <t>32 LS TEXTURE OXR 4 BLACK-REG:BLACK:14.5</t>
  </si>
  <si>
    <t>32 LS TEXTURE OXR 4 BLACK-REG:BLACK:15</t>
  </si>
  <si>
    <t>32 LS TEXTURE OXR 4 BLACK-REG:BLACK:15.5</t>
  </si>
  <si>
    <t>32 LS TEXTURE OXR 4 BLACK-REG:BLACK:16</t>
  </si>
  <si>
    <t>32 LS TEXTURE OXR 4 BLACK-REG:BLACK:16.5</t>
  </si>
  <si>
    <t>32 LS TEXTURE OXR 4 BLACK-REG:BLACK:17</t>
  </si>
  <si>
    <t>AR-A9028</t>
  </si>
  <si>
    <t>32 LS TEXTURE A 9028-11 BLACK-REG:BLACK:14.5</t>
  </si>
  <si>
    <t>32 LS TEXTURE A 9028-11 BLACK-REG:BLACK:15</t>
  </si>
  <si>
    <t>32 LS TEXTURE A 9028-11 BLACK-REG:BLACK:15.5</t>
  </si>
  <si>
    <t>32 LS TEXTURE A 9028-11 BLACK-REG:BLACK:16</t>
  </si>
  <si>
    <t>32 LS TEXTURE A 9028-11 BLACK-REG:BLACK:16.5</t>
  </si>
  <si>
    <t>32 LS TEXTURE A 9028-11 BLACK-REG:BLACK:17</t>
  </si>
  <si>
    <t>ARTX27MR</t>
  </si>
  <si>
    <t>32 SS TEXTURE US27 MAROON-REG:MAROON:14.5</t>
  </si>
  <si>
    <t>32 SS TEXTURE US27 MAROON-REG:MAROON:15</t>
  </si>
  <si>
    <t>32 SS TEXTURE US27 MAROON-REG:MAROON:15.5</t>
  </si>
  <si>
    <t>32 SS TEXTURE US27 MAROON-REG:MAROON:16</t>
  </si>
  <si>
    <t>32 SS TEXTURE US27 MAROON-REG:MAROON:16.5</t>
  </si>
  <si>
    <t>32 SS TEXTURE US27 MAROON-REG:MAROON:17</t>
  </si>
  <si>
    <t>ARCH76PN</t>
  </si>
  <si>
    <t>34 SS MEDIUM CHECK US76 PINK-REG:PASTEL PINK:14.5</t>
  </si>
  <si>
    <t>34 SS MEDIUM CHECK US76 PINK-REG:PASTEL PINK:15</t>
  </si>
  <si>
    <t>34 SS MEDIUM CHECK US76 PINK-REG:PASTEL PINK:15.5</t>
  </si>
  <si>
    <t>34 SS MEDIUM CHECK US76 PINK-REG:PASTEL PINK:16</t>
  </si>
  <si>
    <t>ARPRT2LB</t>
  </si>
  <si>
    <t>35 SS PRINT EU2 LIGHT BLUE-REG:LIGHT BLUE:14.5</t>
  </si>
  <si>
    <t>35 SS PRINT EU2 LIGHT BLUE-REG:LIGHT BLUE:15</t>
  </si>
  <si>
    <t>35 SS PRINT EU2 LIGHT BLUE-REG:LIGHT BLUE:15.5</t>
  </si>
  <si>
    <t>35 SS PRINT EU2 LIGHT BLUE-REG:LIGHT BLUE:17</t>
  </si>
  <si>
    <t>AR-696WH</t>
  </si>
  <si>
    <t>32 LS_TEXTURE_DOBBY WHITE 696-REG:WHITE:14.5</t>
  </si>
  <si>
    <t>32 LS_TEXTURE_DOBBY WHITE 696-REG:WHITE:15</t>
  </si>
  <si>
    <t>32 LS_TEXTURE_DOBBY WHITE 696-REG:WHITE:15.5</t>
  </si>
  <si>
    <t>32 LS_TEXTURE_DOBBY WHITE 696-REG:WHITE:16</t>
  </si>
  <si>
    <t>32 LS_TEXTURE_DOBBY WHITE 696-REG:WHITE:16.5</t>
  </si>
  <si>
    <t>32 LS_TEXTURE_DOBBY WHITE 696-REG:WHITE:17</t>
  </si>
  <si>
    <t>AR-AZA-GR</t>
  </si>
  <si>
    <t>32 LS_TEXTURE_AZZARO/C-REG:CHRISTMAS GREEN:14.5</t>
  </si>
  <si>
    <t>32 LS_TEXTURE_AZZARO/C-REG:CHRISTMAS GREEN:15</t>
  </si>
  <si>
    <t>32 LS_TEXTURE_AZZARO/C-REG:CHRISTMAS GREEN:15.5</t>
  </si>
  <si>
    <t>AR-AZR20C</t>
  </si>
  <si>
    <t>32 SS_TEXTURE_AZZARO/20C-REG:TEAL:14.5</t>
  </si>
  <si>
    <t>32 SS_TEXTURE_AZZARO/20C-REG:TEAL:15</t>
  </si>
  <si>
    <t>32 SS_TEXTURE_AZZARO/20C-REG:TEAL:15.5</t>
  </si>
  <si>
    <t>AR-8899BU</t>
  </si>
  <si>
    <t>33 SS STRIPE_A 8899/2-REG:LIGHT BLUE:14.5</t>
  </si>
  <si>
    <t>33 SS STRIPE_A 8899/2-REG:LIGHT BLUE:15</t>
  </si>
  <si>
    <t>33 SS STRIPE_A 8899/2-REG:LIGHT BLUE:15.5</t>
  </si>
  <si>
    <t>33 SS STRIPE_A 8899/2-REG:LIGHT BLUE:16</t>
  </si>
  <si>
    <t>33 SS STRIPE_A 8899/2-REG:LIGHT BLUE:17</t>
  </si>
  <si>
    <t>AR-KHSBU</t>
  </si>
  <si>
    <t>32 SS_TEXTURE_KHS-160-REG:LIGHT BLUE:14.5</t>
  </si>
  <si>
    <t>32 SS_TEXTURE_KHS-160-REG:LIGHT BLUE:15</t>
  </si>
  <si>
    <t>32 SS_TEXTURE_KHS-160-REG:LIGHT BLUE:15.5</t>
  </si>
  <si>
    <t>32 SS_TEXTURE_KHS-160-REG:LIGHT BLUE:16</t>
  </si>
  <si>
    <t>AR-BF10BU</t>
  </si>
  <si>
    <t>32 SS_TEXTURE_BF-1005-REG:LIGHT BLUE:14.5</t>
  </si>
  <si>
    <t>32 SS_TEXTURE_BF-1005-REG:LIGHT BLUE:15</t>
  </si>
  <si>
    <t>32 SS_TEXTURE_BF-1005-REG:LIGHT BLUE:15.5</t>
  </si>
  <si>
    <t>32 SS_TEXTURE_BF-1005-REG:LIGHT BLUE:16</t>
  </si>
  <si>
    <t>32 SS_TEXTURE_BF-1005-REG:LIGHT BLUE:17</t>
  </si>
  <si>
    <t>ARCOS23NV</t>
  </si>
  <si>
    <t>34 SS_CHECKS_COS-23_NAVY-REG:NAVY BLUE:14.5</t>
  </si>
  <si>
    <t>34 SS_CHECKS_COS-23_NAVY-REG:NAVY BLUE:15</t>
  </si>
  <si>
    <t>34 SS_CHECKS_COS-23_NAVY-REG:NAVY BLUE:15.5</t>
  </si>
  <si>
    <t>34 SS_CHECKS_COS-23_NAVY-REG:NAVY BLUE:16</t>
  </si>
  <si>
    <t>ARCOS17LB</t>
  </si>
  <si>
    <t>34 SS_CHECK_COS-17_LIGHT BLUE-REG:LIGHT BLUE:14.5</t>
  </si>
  <si>
    <t>34 SS_CHECK_COS-17_LIGHT BLUE-REG:LIGHT BLUE:15</t>
  </si>
  <si>
    <t>34 SS_CHECK_COS-17_LIGHT BLUE-REG:LIGHT BLUE:15.5</t>
  </si>
  <si>
    <t>34 SS_CHECK_COS-17_LIGHT BLUE-REG:LIGHT BLUE:16</t>
  </si>
  <si>
    <t>34 SS_CHECK_COS-17_LIGHT BLUE-REG:LIGHT BLUE:16.5</t>
  </si>
  <si>
    <t>34 SS_CHECK_COS-17_LIGHT BLUE-REG:LIGHT BLUE:17</t>
  </si>
  <si>
    <t>ARPR97NV</t>
  </si>
  <si>
    <t>SS SHIRT REGULAR ARPR97:NAVY BLUE:14.5:PRINT:SS SHIRT</t>
  </si>
  <si>
    <t>SS SHIRT REGULAR ARPR97:NAVY BLUE:15:PRINT:SS SHIRT</t>
  </si>
  <si>
    <t>ARCH96</t>
  </si>
  <si>
    <t>SS REGULAR MINI CHECK US96:NAVY BLUE:14.5:CHECK:SS SHIRT</t>
  </si>
  <si>
    <t>SS REGULAR MINI CHECK US96:NAVY BLUE:15:CHECK:SS SHIRT</t>
  </si>
  <si>
    <t>SS REGULAR MINI CHECK US96:NAVY BLUE:15.5:CHECK:SS SHIRT</t>
  </si>
  <si>
    <t>SS REGULAR MINI CHECK US96:NAVY BLUE:17:CHECK:SS SHIRT</t>
  </si>
  <si>
    <t>AR-AKYDT6</t>
  </si>
  <si>
    <t>SS CHK SEERSUCKER NAVY_RED-REG:NAVY BLUE:S</t>
  </si>
  <si>
    <t>SS CHK SEERSUCKER NAVY_RED-REG:NAVY BLUE:M</t>
  </si>
  <si>
    <t>SS CHK SEERSUCKER NAVY_RED-REG:NAVY BLUE:L</t>
  </si>
  <si>
    <t>SS CHK SEERSUCKER NAVY_RED-REG:NAVY BLUE:XL</t>
  </si>
  <si>
    <t>AR-STRNV</t>
  </si>
  <si>
    <t>SS STRIPE HERRINGBONE NAVY_WHT-REG:NAVY BLUE:S</t>
  </si>
  <si>
    <t>SS STRIPE HERRINGBONE NAVY_WHT-REG:NAVY BLUE:M</t>
  </si>
  <si>
    <t>SS STRIPE HERRINGBONE NAVY_WHT-REG:NAVY BLUE:L</t>
  </si>
  <si>
    <t>SS STRIPE HERRINGBONE NAVY_WHT-REG:NAVY BLUE:XL</t>
  </si>
  <si>
    <t>LBSW-145</t>
  </si>
  <si>
    <t>31 LS BASIC WHITE : 14.5</t>
  </si>
  <si>
    <t>LBSW-150</t>
  </si>
  <si>
    <t>31 LS BASIC WHITE 15</t>
  </si>
  <si>
    <t>LBSW-155</t>
  </si>
  <si>
    <t>31 LS BASIC WHITE 15.5</t>
  </si>
  <si>
    <t>LBSW-160</t>
  </si>
  <si>
    <t>31 LS BASIC WHITE 16</t>
  </si>
  <si>
    <t>LBSW-165</t>
  </si>
  <si>
    <t>31 LS BASIC WHITE 16.5</t>
  </si>
  <si>
    <t>LBSW-170</t>
  </si>
  <si>
    <t>31 LS BASIC WHITE 17</t>
  </si>
  <si>
    <t>SBSWH145</t>
  </si>
  <si>
    <t>31 SS BASIC WHT 14.5</t>
  </si>
  <si>
    <t>SBSWH150</t>
  </si>
  <si>
    <t>31 SS BASIC WHT 15</t>
  </si>
  <si>
    <t>SBSWH155</t>
  </si>
  <si>
    <t>31 SS BASIC WHT 15.5</t>
  </si>
  <si>
    <t>SBSWH160</t>
  </si>
  <si>
    <t>31 SS BASIC WHT 16</t>
  </si>
  <si>
    <t>SBSWH165</t>
  </si>
  <si>
    <t>31 SS BASIC WHT 16.5</t>
  </si>
  <si>
    <t>SBSWH170</t>
  </si>
  <si>
    <t>31 SS BASIC WHT 17</t>
  </si>
  <si>
    <t>SOLLSNC</t>
  </si>
  <si>
    <t>31 LS SOLID 100% CTN C4119 GREY:FROST GREY:14.5</t>
  </si>
  <si>
    <t>31 LS SOLID 100% CTN C4119 GREY:FROST GREY:15</t>
  </si>
  <si>
    <t>31 LS SOLID 100% CTN C4119 GREY:FROST GREY:15.5</t>
  </si>
  <si>
    <t>31 LS SOLID 100% CTN C4119 GREY:FROST GREY:16</t>
  </si>
  <si>
    <t>31 LS SOLID 100% CTN C4119 GREY:FROST GREY:16.5</t>
  </si>
  <si>
    <t>31 LS SOLID 100% CTN C4119 GREY:FROST GREY:17</t>
  </si>
  <si>
    <t>31 LS CVC SOLID 100% CTN C4119 RED:CLASSIC RED:14.5</t>
  </si>
  <si>
    <t>31 LS CVC SOLID 100% CTN C4119 RED:CLASSIC RED:15</t>
  </si>
  <si>
    <t>31 LS CVC SOLID 100% CTN C4119 RED:CLASSIC RED:15.5</t>
  </si>
  <si>
    <t>31 LS CVC SOLID 100% CTN C4119 RED:CLASSIC RED:16</t>
  </si>
  <si>
    <t>31 LS CVC SOLID 100% CTN C4119 RED:CLASSIC RED:16.5</t>
  </si>
  <si>
    <t>31 LS CVC SOLID 100% CTN C4119 RED:CLASSIC RED:17</t>
  </si>
  <si>
    <t>31 LS SOLID 100% CTN C4119 NAVY REG:NAVY BLUE:14.5</t>
  </si>
  <si>
    <t>31 LS SOLID 100% CTN C4119 NAVY REG:NAVY BLUE:15</t>
  </si>
  <si>
    <t>31 LS SOLID 100% CTN C4119 NAVY REG:NAVY BLUE:15.5</t>
  </si>
  <si>
    <t>31 LS SOLID 100% CTN C4119 NAVY REG:NAVY BLUE:16</t>
  </si>
  <si>
    <t>31 LS SOLID 100% CTN C4119 NAVY REG:NAVY BLUE:16.5</t>
  </si>
  <si>
    <t>31 LS SOLID 100% CTN C4119 NAVY REG:NAVY BLUE:17</t>
  </si>
  <si>
    <t>31 LS_SOLID 100% CTN_C4119 BLACK_REG	:BLACK:14.5</t>
  </si>
  <si>
    <t>31 LS_SOLID 100% CTN_C4119 BLACK_REG	:BLACK:15</t>
  </si>
  <si>
    <t>31 LS_SOLID 100% CTN_C4119 BLACK_REG	:BLACK:15.5</t>
  </si>
  <si>
    <t>31 LS_SOLID 100% CTN_C4119 BLACK_REG	:BLACK:16</t>
  </si>
  <si>
    <t>31 LS_SOLID 100% CTN_C4119 BLACK_REG	:BLACK:16.5</t>
  </si>
  <si>
    <t>31 LS_SOLID 100% CTN_C4119 BLACK_REG	:BLACK:17</t>
  </si>
  <si>
    <t>31 LS_SOLID 100% CTN_C4119 MAROON_REG	:MAROON:14.5</t>
  </si>
  <si>
    <t>31 LS_SOLID 100% CTN_C4119 MAROON_REG	:MAROON:15.5</t>
  </si>
  <si>
    <t>31 LS_SOLID 100% CTN_C4119 MAROON_REG	:MAROON:16</t>
  </si>
  <si>
    <t>31 LS_SOLID 100% CTN_C4119 MAROON_REG	:MAROON:17</t>
  </si>
  <si>
    <t>SOLSSNC</t>
  </si>
  <si>
    <t>31 SS_SOLID 100% CTN MAROON REG:MAROON:15.5</t>
  </si>
  <si>
    <t>31 SS_SOLID 100% CTN MAROON REG:MAROON:17</t>
  </si>
  <si>
    <t>AR4119BL</t>
  </si>
  <si>
    <t>31 SS_SOLID 100% COTTON_C4119:BLACK:14.5</t>
  </si>
  <si>
    <t>31 SS_SOLID 100% COTTON_C4119:BLACK:15</t>
  </si>
  <si>
    <t>31 SS_SOLID 100% COTTON_C4119:BLACK:15.5</t>
  </si>
  <si>
    <t>31 SS_SOLID 100% COTTON_C4119:BLACK:16</t>
  </si>
  <si>
    <t>31 SS_SOLID 100% COTTON_C4119:BLACK:16.5</t>
  </si>
  <si>
    <t>31 SS_SOLID 100% COTTON_C4119:BLACK:17</t>
  </si>
  <si>
    <t>AR4119GR</t>
  </si>
  <si>
    <t>31 SS_SOLID 100% COTTON_C4119:FROST GREY:14.5</t>
  </si>
  <si>
    <t>31 SS_SOLID 100% COTTON_C4119:FROST GREY:15</t>
  </si>
  <si>
    <t>31 SS_SOLID 100% COTTON_C4119:FROST GREY:15.5</t>
  </si>
  <si>
    <t>31 SS_SOLID 100% COTTON_C4119:FROST GREY:16</t>
  </si>
  <si>
    <t>31 SS_SOLID 100% COTTON_C4119:FROST GREY:16.5</t>
  </si>
  <si>
    <t>31 SS_SOLID 100% COTTON_C4119:FROST GREY:17</t>
  </si>
  <si>
    <t>AR4119WH</t>
  </si>
  <si>
    <t>31 SS_SOLID 100% COTTON_C4119:WHITE:14.5</t>
  </si>
  <si>
    <t>31 SS_SOLID 100% COTTON_C4119:WHITE:15</t>
  </si>
  <si>
    <t>31 SS_SOLID 100% COTTON_C4119:WHITE:15.5</t>
  </si>
  <si>
    <t>31 SS_SOLID 100% COTTON_C4119:WHITE:16</t>
  </si>
  <si>
    <t>31 SS_SOLID 100% COTTON_C4119:WHITE:16.5</t>
  </si>
  <si>
    <t>31 SS_SOLID 100% COTTON_C4119:WHITE:17</t>
  </si>
  <si>
    <t>AR4119BU</t>
  </si>
  <si>
    <t>31 SS_SOLID 100% COTTON_C4119:NAVY BLUE:14.5</t>
  </si>
  <si>
    <t>31 SS_SOLID 100% COTTON_C4119:NAVY BLUE:15</t>
  </si>
  <si>
    <t>31 SS_SOLID 100% COTTON_C4119:NAVY BLUE:15.5</t>
  </si>
  <si>
    <t>31 SS_SOLID 100% COTTON_C4119:NAVY BLUE:16</t>
  </si>
  <si>
    <t>31 SS_SOLID 100% COTTON_C4119:NAVY BLUE:16.5</t>
  </si>
  <si>
    <t>31 SS_SOLID 100% COTTON_C4119:NAVY BLUE:17</t>
  </si>
  <si>
    <t>AR4119</t>
  </si>
  <si>
    <t>SS SHIRT 31 SOLID 100 COTTON C4119 AR4119:CLASSIC RED:14.5:SOLID:SS SHIRT</t>
  </si>
  <si>
    <t>SS SHIRT 31 SOLID 100 COTTON C4119 AR4119:CLASSIC RED:15:SOLID:SS SHIRT</t>
  </si>
  <si>
    <t>SS SHIRT 31 SOLID 100 COTTON C4119 AR4119:CLASSIC RED:15.5:SOLID:SS SHIRT</t>
  </si>
  <si>
    <t>SS SHIRT 31 SOLID 100 COTTON C4119 AR4119:CLASSIC RED:16:SOLID:SS SHIRT</t>
  </si>
  <si>
    <t>SS SHIRT 31 SOLID 100 COTTON C4119 AR4119:CLASSIC RED:16.5:SOLID:SS SHIRT</t>
  </si>
  <si>
    <t>SS SHIRT 31 SOLID 100 COTTON C4119 AR4119:CLASSIC RED:17:SOLID:SS SHIRT</t>
  </si>
  <si>
    <t>PLSDTL</t>
  </si>
  <si>
    <t>POLO BASIC SS REG LACOSE 100% CTN TEAL:TEAL:S</t>
  </si>
  <si>
    <t>POLO BASIC SS REG LACOSE 100% CTN TEAL:TEAL:M</t>
  </si>
  <si>
    <t>POLO BASIC SS REG LACOSE 100% CTN TEAL:TEAL:L</t>
  </si>
  <si>
    <t>POLO BASIC SS REG LACOSE 100% CTN TEAL:TEAL:XL</t>
  </si>
  <si>
    <t>ARROW PANTS MAXIMEN CHARCOAL:CHARCOAL:32</t>
  </si>
  <si>
    <t>ARROW PANTS MAXIMEN CHARCOAL:CHARCOAL:33</t>
  </si>
  <si>
    <t>ARROW PANTS MAXIMEN CHARCOAL:CHARCOAL:34</t>
  </si>
  <si>
    <t>ARROW PANTS MAXIMEN CHARCOAL :CHARCOAL:40</t>
  </si>
  <si>
    <t>ARROW PANTS MAXIMEN CHARCOAL:CHARCOAL:42</t>
  </si>
  <si>
    <t>ARROW PANTS MAXIMEN CHARCOAL:CHARCOAL:35</t>
  </si>
  <si>
    <t>ARROW PANTS MAXIMEN BROWN:WOOD BROWN:30</t>
  </si>
  <si>
    <t>ARROW PANTS MAXIMEN BROWN:WOOD BROWN:31</t>
  </si>
  <si>
    <t>ARROW PANTS MAXIMEN BROWN:WOOD BROWN:33</t>
  </si>
  <si>
    <t>ARROW PANTS MAXIMEN BROWN:WOOD BROWN:34</t>
  </si>
  <si>
    <t>ARROW PANTS MAXIMEN BROWN:WOOD BROWN:36</t>
  </si>
  <si>
    <t>ARROW PANTS MAXIMEN BROWN:WOOD BROWN:38</t>
  </si>
  <si>
    <t>ARROW PANTS MAXIMEN BROWN:WOOD BROWN:40</t>
  </si>
  <si>
    <t>ARROW PANTS MAXIMEN BROWN:WOOD BROWN:42</t>
  </si>
  <si>
    <t>ARROW PANTS MAXIMEN BROWN:WOOD BROWN:35</t>
  </si>
  <si>
    <t>ARROW PANTS MAXIMEN INDIGO:INDIGO BLUE:32</t>
  </si>
  <si>
    <t>ARROW PANTS MAXIMEN INDIGO:INDIGO BLUE:34</t>
  </si>
  <si>
    <t>ARROW PANTS MAXIMEN INDIGO:INDIGO BLUE:36</t>
  </si>
  <si>
    <t>ARROW PANTS MAXIMEN INDIGO:INDIGO BLUE:38</t>
  </si>
  <si>
    <t>ARROW PANTS MAXIMEN INDIGO:INDIGO BLUE:40</t>
  </si>
  <si>
    <t>ARROW PANTS MAXIMEN INDIGO:INDIGO BLUE:42</t>
  </si>
  <si>
    <t>ARROW PANTS MAXIMEN INDIGO:INDIGO BLUE:35</t>
  </si>
  <si>
    <t>AR-HB</t>
  </si>
  <si>
    <t>LONG PANTS ARROW SLIM HUGO BOSS-BLACK AR-HB:BLACK:30:SOLID:LONG PANTS</t>
  </si>
  <si>
    <t>LONG PANTS ARROW SLIM HUGO BOSS-BLACK AR-HB:BLACK:31:SOLID:LONG PANTS</t>
  </si>
  <si>
    <t>LONG PANTS ARROW SLIM HUGO BOSS-BLACK AR-HB:BLACK:32:SOLID:LONG PANTS</t>
  </si>
  <si>
    <t>LONG PANTS ARROW SLIM HUGO BOSS-BLACK AR-HB:BLACK:33:SOLID:LONG PANTS</t>
  </si>
  <si>
    <t>LONG PANTS ARROW SLIM HUGO BOSS-BLACK AR-HB:BLACK:34:SOLID:LONG PANTS</t>
  </si>
  <si>
    <t>LONG PANTS ARROW SLIM HUGO BOSS-BLACK AR-HB:BLACK:35:SOLID:LONG PANTS</t>
  </si>
  <si>
    <t>LONG PANTS ARROW SLIM HUGO BOSS-BLACK AR-HB:BLACK:36:SOLID:LONG PANTS</t>
  </si>
  <si>
    <t>LONG PANTS ARROW SLIM HUGO BOSS-BLACK AR-HB:BLACK:38:SOLID:LONG PANTS</t>
  </si>
  <si>
    <t>LONG PANTS ARROW SLIM HUGO BOSS-BLACK AR-HB:BLACK:40:SOLID:LONG PANTS</t>
  </si>
  <si>
    <t>LONG PANTS ARROW SLIM HUGO BOSS-BLACK AR-HB:BLACK:42:SOLID:LONG PANTS</t>
  </si>
  <si>
    <t>LONG PANTS ARROW SLIM HUGO BOSS-BLACK AR-HB:FROST GREY:30:SOLID:LONG PANTS</t>
  </si>
  <si>
    <t>LONG PANTS ARROW SLIM HUGO BOSS-BLACK AR-HB:FROST GREY:31:SOLID:LONG PANTS</t>
  </si>
  <si>
    <t>LONG PANTS ARROW SLIM HUGO BOSS-BLACK AR-HB:FROST GREY:32:SOLID:LONG PANTS</t>
  </si>
  <si>
    <t>LONG PANTS ARROW SLIM HUGO BOSS-BLACK AR-HB:FROST GREY:33:SOLID:LONG PANTS</t>
  </si>
  <si>
    <t>LONG PANTS ARROW SLIM HUGO BOSS-BLACK AR-HB:FROST GREY:34:SOLID:LONG PANTS</t>
  </si>
  <si>
    <t>LONG PANTS ARROW SLIM HUGO BOSS-BLACK AR-HB:FROST GREY:35:SOLID:LONG PANTS</t>
  </si>
  <si>
    <t>LONG PANTS ARROW SLIM HUGO BOSS-BLACK AR-HB:FROST GREY:36:SOLID:LONG PANTS</t>
  </si>
  <si>
    <t>LONG PANTS ARROW SLIM HUGO BOSS-BLACK AR-HB:FROST GREY:38:SOLID:LONG PANTS</t>
  </si>
  <si>
    <t>LONG PANTS ARROW SLIM HUGO BOSS-BLACK AR-HB:FROST GREY:40:SOLID:LONG PANTS</t>
  </si>
  <si>
    <t>LONG PANTS ARROW SLIM HUGO BOSS-BLACK AR-HB:FROST GREY:42:SOLID:LONG PANTS</t>
  </si>
  <si>
    <t>LONG PANTS ARROW SLIM HUGO BOSS-BLACK AR-HB:CHARCOAL:30:SOLID:LONG PANTS</t>
  </si>
  <si>
    <t>LONG PANTS ARROW SLIM HUGO BOSS-BLACK AR-HB:CHARCOAL:31:SOLID:LONG PANTS</t>
  </si>
  <si>
    <t>LONG PANTS ARROW SLIM HUGO BOSS-BLACK AR-HB:CHARCOAL:32:SOLID:LONG PANTS</t>
  </si>
  <si>
    <t>LONG PANTS ARROW SLIM HUGO BOSS-BLACK AR-HB:CHARCOAL:33:SOLID:LONG PANTS</t>
  </si>
  <si>
    <t>LONG PANTS ARROW SLIM HUGO BOSS-BLACK AR-HB:CHARCOAL:34:SOLID:LONG PANTS</t>
  </si>
  <si>
    <t>LONG PANTS ARROW SLIM HUGO BOSS-BLACK AR-HB:CHARCOAL:35:SOLID:LONG PANTS</t>
  </si>
  <si>
    <t>LONG PANTS ARROW SLIM HUGO BOSS-BLACK AR-HB:CHARCOAL:36:SOLID:LONG PANTS</t>
  </si>
  <si>
    <t>LONG PANTS ARROW SLIM HUGO BOSS-BLACK AR-HB:CHARCOAL:38:SOLID:LONG PANTS</t>
  </si>
  <si>
    <t>LONG PANTS ARROW SLIM HUGO BOSS-BLACK AR-HB:CHARCOAL:40:SOLID:LONG PANTS</t>
  </si>
  <si>
    <t>LONG PANTS ARROW SLIM HUGO BOSS-BLACK AR-HB:CHARCOAL:42:SOLID:LONG PANTS</t>
  </si>
  <si>
    <t>ARROW PANTS TR 81:BLACK:30</t>
  </si>
  <si>
    <t>ARROW PANTS TR 81:BLACK:31</t>
  </si>
  <si>
    <t>ARROW PANTS TR 81:BLACK:32</t>
  </si>
  <si>
    <t>ARROW PANTS TR 81:BLACK:33</t>
  </si>
  <si>
    <t>ARROW PANTS TR 81:BLACK:34</t>
  </si>
  <si>
    <t>ARROW PANTS TR 81:BLACK:36</t>
  </si>
  <si>
    <t>ARROW PANTS TR 81:BLACK:38</t>
  </si>
  <si>
    <t>ARROW PANTS TR 81:BLACK:40</t>
  </si>
  <si>
    <t>ARROW PANTS TR 81:BLACK:42</t>
  </si>
  <si>
    <t>ARROW PANTS TR 81:BLACK:35</t>
  </si>
  <si>
    <t>ARROW PANTS TR 81:FROST GREY:30</t>
  </si>
  <si>
    <t>ARROW PANTS TR 81:FROST GREY:31</t>
  </si>
  <si>
    <t>ARROW PANTS TR 81:FROST GREY:33</t>
  </si>
  <si>
    <t>ARROW PANTS TR 81:FROST GREY:34</t>
  </si>
  <si>
    <t>ARROW PANTS TR 81:FROST GREY:36</t>
  </si>
  <si>
    <t>ARROW PANTS TR 81:FROST GREY:38</t>
  </si>
  <si>
    <t>ARROW PANTS TR 81:FROST GREY:40</t>
  </si>
  <si>
    <t>ARROW PANTS TR 81:FROST GREY:42</t>
  </si>
  <si>
    <t>ARROW PANTS TR 81:FROST GREY:35</t>
  </si>
  <si>
    <t>ARROW PANTS TR 81:NAVY BLUE:30</t>
  </si>
  <si>
    <t>ARROW PANTS TR 81:NAVY BLUE:31</t>
  </si>
  <si>
    <t>ARROW PANTS TR 81:NAVY BLUE:32</t>
  </si>
  <si>
    <t>ARROW PANTS TR 81:NAVY BLUE:33</t>
  </si>
  <si>
    <t>ARROW PANTS TR 81:NAVY BLUE:34</t>
  </si>
  <si>
    <t>ARROW PANTS TR 81:NAVY BLUE:36</t>
  </si>
  <si>
    <t>ARROW PANTS TR 81:NAVY BLUE:38</t>
  </si>
  <si>
    <t>ARROW PANTS TR 81:NAVY BLUE:40</t>
  </si>
  <si>
    <t>ARROW PANTS TR 81:NAVY BLUE:42</t>
  </si>
  <si>
    <t>ARROW PANTS TR 81:NAVY BLUE:35</t>
  </si>
  <si>
    <t>32 LS_TEXTURE_20B-140_BROWN-REG:GOLDEN BROWN:14.5</t>
  </si>
  <si>
    <t>32 LS_TEXTURE_20B-140_BROWN-REG:GOLDEN BROWN:15</t>
  </si>
  <si>
    <t>32 LS_TEXTURE_20B-140_BROWN-REG:GOLDEN BROWN:15.5</t>
  </si>
  <si>
    <t>32 LS_TEXTURE_20B-140_BROWN-REG:GOLDEN BROWN:16</t>
  </si>
  <si>
    <t>AR20B-106</t>
  </si>
  <si>
    <t>32 LS_TEXTURE_20B-106_ORANGE-REG:CLASSIC ORANGE:14.5</t>
  </si>
  <si>
    <t>32 LS_TEXTURE_20B-106_ORANGE-REG:CLASSIC ORANGE:15</t>
  </si>
  <si>
    <t>32 LS_TEXTURE_20B-106_ORANGE-REG:CLASSIC ORANGE:15.5</t>
  </si>
  <si>
    <t>32 LS_TEXTURE_20B-106_ORANGE-REG:CLASSIC ORANGE:16</t>
  </si>
  <si>
    <t>32 LS_TEXTURE_20B-106_ORANGE-REG:CLASSIC ORANGE:16.5</t>
  </si>
  <si>
    <t>32 LS_TEXTURE_20B-106_ORANGE-REG:CLASSIC ORANGE:17</t>
  </si>
  <si>
    <t>AR-451WH</t>
  </si>
  <si>
    <t>32 SS TEXTURE DOBBY WHITE 451-REG:WHITE:14.5</t>
  </si>
  <si>
    <t>32 SS TEXTURE DOBBY WHITE 451-REG:WHITE:15</t>
  </si>
  <si>
    <t>32 SS TEXTURE DOBBY WHITE 451-REG:WHITE:15.5</t>
  </si>
  <si>
    <t>32 SS TEXTURE DOBBY WHITE 451-REG:WHITE:16</t>
  </si>
  <si>
    <t>32 SS TEXTURE DOBBY WHITE 451-REG:WHITE:16.5</t>
  </si>
  <si>
    <t>32 SS TEXTURE DOBBY WHITE 451-REG:WHITE:17</t>
  </si>
  <si>
    <t>AR-406WH</t>
  </si>
  <si>
    <t>32 SS TEXTURE DOBBY WHITE 406-REG:WHITE:14.5</t>
  </si>
  <si>
    <t>32 SS TEXTURE DOBBY WHITE 406-REG:WHITE:15</t>
  </si>
  <si>
    <t>32 SS TEXTURE DOBBY WHITE 406-REG:WHITE:15.5</t>
  </si>
  <si>
    <t>32 SS TEXTURE DOBBY WHITE 406-REG:WHITE:16</t>
  </si>
  <si>
    <t>32 SS TEXTURE DOBBY WHITE 406-REG:WHITE:16.5</t>
  </si>
  <si>
    <t>32 SS TEXTURE DOBBY WHITE 406-REG:WHITE:17</t>
  </si>
  <si>
    <t>AR-A904NV</t>
  </si>
  <si>
    <t>33 LS STRIPE A-9004/1-REG:NAVY BLUE:14.5</t>
  </si>
  <si>
    <t>33 LS STRIPE A-9004/1-REG:NAVY BLUE:15</t>
  </si>
  <si>
    <t>33 LS STRIPE A-9004/1-REG:NAVY BLUE:15.5</t>
  </si>
  <si>
    <t>33 LS STRIPE A-9004/1-REG:NAVY BLUE:16</t>
  </si>
  <si>
    <t>33 LS STRIPE A-9004/1-REG:NAVY BLUE:16.5</t>
  </si>
  <si>
    <t>33 LS STRIPE A-9004/1-REG:NAVY BLUE:17</t>
  </si>
  <si>
    <t>AR-A89BU</t>
  </si>
  <si>
    <t>33 SS_STRIPE_A-8899/1-REG:CLASSIC BLUE:14.5</t>
  </si>
  <si>
    <t>33 SS_STRIPE_A-8899/1-REG:CLASSIC BLUE:15</t>
  </si>
  <si>
    <t>33 SS_STRIPE_A-8899/1-REG:CLASSIC BLUE:15.5</t>
  </si>
  <si>
    <t>33 SS_STRIPE_A-8899/1-REG:CLASSIC BLUE:16</t>
  </si>
  <si>
    <t>33 SS_STRIPE_A-8899/1-REG:CLASSIC BLUE:16.5</t>
  </si>
  <si>
    <t>33 SS_STRIPE_A-8899/1-REG:CLASSIC BLUE:17</t>
  </si>
  <si>
    <t>AR-KL-BYL</t>
  </si>
  <si>
    <t>34 SS CHECK KING LOUIE/B-REG:PASTEL YELLOW:14.5</t>
  </si>
  <si>
    <t>34 SS CHECK KING LOUIE/B-REG:PASTEL YELLOW:15</t>
  </si>
  <si>
    <t>34 SS CHECK KING LOUIE/B-REG:PASTEL YELLOW:15.5</t>
  </si>
  <si>
    <t>34 SS CHECK KING LOUIE/B-REG:PASTEL YELLOW:16</t>
  </si>
  <si>
    <t>34 SS CHECK KING LOUIE/B-REG:PASTEL YELLOW:16.5</t>
  </si>
  <si>
    <t>34 SS CHECK KING LOUIE/B-REG:PASTEL YELLOW:17</t>
  </si>
  <si>
    <t>AR-AZA-BL</t>
  </si>
  <si>
    <t>32 LS_TEXTURE_AZZARO-REG:BLACK:14.5</t>
  </si>
  <si>
    <t>32 LS_TEXTURE_AZZARO-REG:BLACK:15</t>
  </si>
  <si>
    <t>32 LS_TEXTURE_AZZARO-REG:BLACK:15.5</t>
  </si>
  <si>
    <t>32 LS_TEXTURE_AZZARO-REG:BLACK:16</t>
  </si>
  <si>
    <t>32 LS_TEXTURE_AZZARO-REG:BLACK:16.5</t>
  </si>
  <si>
    <t>32 LS_TEXTURE_AZZARO-REG:BLACK:17</t>
  </si>
  <si>
    <t>AR-AZA-NV</t>
  </si>
  <si>
    <t>32 LS_TEXTURE_AZZARO-REG:NAVY BLUE:14.5</t>
  </si>
  <si>
    <t>32 LS_TEXTURE_AZZARO-REG:NAVY BLUE:15</t>
  </si>
  <si>
    <t>32 LS_TEXTURE_AZZARO-REG:NAVY BLUE:15.5</t>
  </si>
  <si>
    <t>32 LS_TEXTURE_AZZARO-REG:NAVY BLUE:16</t>
  </si>
  <si>
    <t>32 LS_TEXTURE_AZZARO-REG:NAVY BLUE:16.5</t>
  </si>
  <si>
    <t>32 LS_TEXTURE_AZZARO-REG:NAVY BLUE:17</t>
  </si>
  <si>
    <t>AR-AZR20A</t>
  </si>
  <si>
    <t>32 SS_TEXTURE_AZZARO/20A-REG:NAVY BLUE:14.5</t>
  </si>
  <si>
    <t>32 SS_TEXTURE_AZZARO/20A-REG:NAVY BLUE:15</t>
  </si>
  <si>
    <t>32 SS_TEXTURE_AZZARO/20A-REG:NAVY BLUE:15.5</t>
  </si>
  <si>
    <t>32 SS_TEXTURE_AZZARO/20A-REG:NAVY BLUE:16</t>
  </si>
  <si>
    <t>32 SS_TEXTURE_AZZARO/20A-REG:NAVY BLUE:16.5</t>
  </si>
  <si>
    <t>32 SS_TEXTURE_AZZARO/20A-REG:NAVY BLUE:17</t>
  </si>
  <si>
    <t>AR-A86NV</t>
  </si>
  <si>
    <t>32 SS_PRINT_85671-1 REG:NAVY BLUE:14.5</t>
  </si>
  <si>
    <t>32 SS_PRINT_85671-1 REG:NAVY BLUE:15</t>
  </si>
  <si>
    <t>32 SS_PRINT_85671-1 REG:NAVY BLUE:15.5</t>
  </si>
  <si>
    <t>32 SS_PRINT_85671-1 REG:NAVY BLUE:16</t>
  </si>
  <si>
    <t>32 SS_PRINT_85671-1 REG:NAVY BLUE:16.5</t>
  </si>
  <si>
    <t>32 SS_PRINT_85671-1 REG:NAVY BLUE:17</t>
  </si>
  <si>
    <t>AR-KL-ABU</t>
  </si>
  <si>
    <t>34 SS_CHECK_KING LOUIE:LIGHT BLUE:14.5:SS SHIRT:CHECK</t>
  </si>
  <si>
    <t>34 SS_CHECK_KING LOUIE:LIGHT BLUE:15:SS SHIRT:CHECK</t>
  </si>
  <si>
    <t>34 SS_CHECK_KING LOUIE:LIGHT BLUE:15.5:SS SHIRT:CHECK</t>
  </si>
  <si>
    <t>34 SS_CHECK_KING LOUIE:LIGHT BLUE:16:SS SHIRT:CHECK</t>
  </si>
  <si>
    <t>34 SS_CHECK_KING LOUIE:LIGHT BLUE:16.5:SS SHIRT:CHECK</t>
  </si>
  <si>
    <t>34 SS_CHECK_KING LOUIE:LIGHT BLUE:17:SS SHIRT:CHECK</t>
  </si>
  <si>
    <t>AR-134BU</t>
  </si>
  <si>
    <t>34 SS_CHECK_13495/8-REG:LIGHT BLUE:14.5:CHECK:SS SHIRT</t>
  </si>
  <si>
    <t>34 SS_CHECK_13495/8-REG:LIGHT BLUE:15:CHECK:SS SHIRT</t>
  </si>
  <si>
    <t>34 SS_CHECK_13495/8-REG:LIGHT BLUE:15.5:CHECK:SS SHIRT</t>
  </si>
  <si>
    <t>34 SS_CHECK_13495/8-REG:LIGHT BLUE:16:CHECK:SS SHIRT</t>
  </si>
  <si>
    <t>34 SS_CHECK_13495/8-REG:LIGHT BLUE:16.5:CHECK:SS SHIRT</t>
  </si>
  <si>
    <t>34 SS_CHECK_13495/8-REG:LIGHT BLUE:17:CHECK:SS SHIRT</t>
  </si>
  <si>
    <t>AR-A904</t>
  </si>
  <si>
    <t>33 LS_STRIPE_A9004/4-REG:FROST GREY:14.5:STRIPE:LS SHIRT</t>
  </si>
  <si>
    <t>33 LS_STRIPE_A9004/4-REG:FROST GREY:15:STRIPE:LS SHIRT</t>
  </si>
  <si>
    <t>33 LS_STRIPE_A9004/4-REG:FROST GREY:15.5:STRIPE:LS SHIRT</t>
  </si>
  <si>
    <t>33 LS_STRIPE_A9004/4-REG:FROST GREY:16:STRIPE:LS SHIRT</t>
  </si>
  <si>
    <t>33 LS_STRIPE_A9004/4-REG:FROST GREY:16.5:STRIPE:LS SHIRT</t>
  </si>
  <si>
    <t>33 LS_STRIPE_A9004/4-REG:FROST GREY:17:STRIPE:LS SHIRT</t>
  </si>
  <si>
    <t>AR-H07</t>
  </si>
  <si>
    <t>33 H07-REG:NAVY BLUE:14.5:STRIPE:SS SHIRT</t>
  </si>
  <si>
    <t>33 H07-REG:NAVY BLUE:15:STRIPE:SS SHIRT</t>
  </si>
  <si>
    <t>33 H07-REG:NAVY BLUE:15.5:STRIPE:SS SHIRT</t>
  </si>
  <si>
    <t>33 H07-REG:NAVY BLUE:16:STRIPE:SS SHIRT</t>
  </si>
  <si>
    <t>33 H07-REG:NAVY BLUE:17:STRIPE:SS SHIRT</t>
  </si>
  <si>
    <t>ARCH80LB</t>
  </si>
  <si>
    <t>34 US80-REG:LIGHT BLUE:14.5:CHECK:LS SHIRT</t>
  </si>
  <si>
    <t>34 US80-REG:LIGHT BLUE:15:CHECK:LS SHIRT</t>
  </si>
  <si>
    <t>34 US80-REG:LIGHT BLUE:15.5:CHECK:LS SHIRT</t>
  </si>
  <si>
    <t>34 US80-REG:LIGHT BLUE:16:CHECK:LS SHIRT</t>
  </si>
  <si>
    <t>34 US80-REG:LIGHT BLUE:16.5:CHECK:LS SHIRT</t>
  </si>
  <si>
    <t>34 US80-REG:LIGHT BLUE:17:CHECK:LS SHIRT</t>
  </si>
  <si>
    <t>ARB107-5</t>
  </si>
  <si>
    <t>LS SHIRT REGULAR ARB107-5:BLACK:14.5:CHECK:LS SHIRT</t>
  </si>
  <si>
    <t>LS SHIRT REGULAR ARB107-5:BLACK:15:CHECK:LS SHIRT</t>
  </si>
  <si>
    <t>LS SHIRT REGULAR ARB107-5:BLACK:15.5:CHECK:LS SHIRT</t>
  </si>
  <si>
    <t>LS SHIRT REGULAR ARB107-5:BLACK:16:CHECK:LS SHIRT</t>
  </si>
  <si>
    <t>LS SHIRT REGULAR ARB107-5:BLACK:16.5:CHECK:LS SHIRT</t>
  </si>
  <si>
    <t>LS SHIRT REGULAR ARB107-5:BLACK:17:CHECK:LS SHIRT</t>
  </si>
  <si>
    <t>LS SHIRT REGULAR ARB107-5:MAROON:14.5:CHECK:LS SHIRT</t>
  </si>
  <si>
    <t>LS SHIRT REGULAR ARB107-5:MAROON:15:CHECK:LS SHIRT</t>
  </si>
  <si>
    <t>LS SHIRT REGULAR ARB107-5:MAROON:15.5:CHECK:LS SHIRT</t>
  </si>
  <si>
    <t>LS SHIRT REGULAR ARB107-5:MAROON:16:CHECK:LS SHIRT</t>
  </si>
  <si>
    <t>LS SHIRT REGULAR ARB107-5:MAROON:16.5:CHECK:LS SHIRT</t>
  </si>
  <si>
    <t>LS SHIRT REGULAR ARB107-5:MAROON:17:CHECK:LS SHIRT</t>
  </si>
  <si>
    <t>AR-H03</t>
  </si>
  <si>
    <t>SS SHIRT REGULAR AR-H03:LIGHT BLUE:14.5:STRIPE:SS SHIRT</t>
  </si>
  <si>
    <t>SS SHIRT REGULAR AR-H03:LIGHT BLUE:15:STRIPE:SS SHIRT</t>
  </si>
  <si>
    <t>SS SHIRT REGULAR AR-H03:LIGHT BLUE:15.5:STRIPE:SS SHIRT</t>
  </si>
  <si>
    <t>SS SHIRT REGULAR AR-H03:LIGHT BLUE:16:STRIPE:SS SHIRT</t>
  </si>
  <si>
    <t>SS SHIRT REGULAR AR-H03:LIGHT BLUE:16.5:STRIPE:SS SHIRT</t>
  </si>
  <si>
    <t>SS SHIRT REGULAR AR-H03:LIGHT BLUE:17:STRIPE:SS SHIRT</t>
  </si>
  <si>
    <t>AR-H06</t>
  </si>
  <si>
    <t>SS SHIRT REGULAR AR-H06:PASTEL PINK:14.5:STRIPE:SS SHIRT</t>
  </si>
  <si>
    <t>SS SHIRT REGULAR AR-H06:PASTEL PINK:15:STRIPE:SS SHIRT</t>
  </si>
  <si>
    <t>SS SHIRT REGULAR AR-H06:PASTEL PINK:15.5:STRIPE:SS SHIRT</t>
  </si>
  <si>
    <t>SS SHIRT REGULAR AR-H06:PASTEL PINK:16:STRIPE:SS SHIRT</t>
  </si>
  <si>
    <t>SS SHIRT REGULAR AR-H06:PASTEL PINK:16.5:STRIPE:SS SHIRT</t>
  </si>
  <si>
    <t>SS SHIRT REGULAR AR-H06:PASTEL PINK:17:STRIPE:SS SHIRT</t>
  </si>
  <si>
    <t>ARPR65</t>
  </si>
  <si>
    <t>SS SHIRT REGULAR ARPR65:LIGHT BLUE:14.5:PRINT:SS SHIRT</t>
  </si>
  <si>
    <t>SS SHIRT REGULAR ARPR65:LIGHT BLUE:15:PRINT:SS SHIRT</t>
  </si>
  <si>
    <t>SS SHIRT REGULAR ARPR65:LIGHT BLUE:15.5:PRINT:SS SHIRT</t>
  </si>
  <si>
    <t>SS SHIRT REGULAR ARPR65:LIGHT BLUE:16:PRINT:SS SHIRT</t>
  </si>
  <si>
    <t>SS SHIRT REGULAR ARPR65:LIGHT BLUE:16.5:PRINT:SS SHIRT</t>
  </si>
  <si>
    <t>SS SHIRT REGULAR ARPR65:LIGHT BLUE:17:PRINT:SS SHIRT</t>
  </si>
  <si>
    <t>AR-US88</t>
  </si>
  <si>
    <t>SS SHIRT REGULAR AR-US88:LIGHT BLUE:14.5:PRINT:SS SHIRT</t>
  </si>
  <si>
    <t>SS SHIRT REGULAR AR-US88:LIGHT BLUE:15:PRINT:SS SHIRT</t>
  </si>
  <si>
    <t>SS SHIRT REGULAR AR-US88:LIGHT BLUE:15.5:PRINT:SS SHIRT</t>
  </si>
  <si>
    <t>SS SHIRT REGULAR AR-US88:LIGHT BLUE:16:PRINT:SS SHIRT</t>
  </si>
  <si>
    <t>SS SHIRT REGULAR AR-US88:LIGHT BLUE:16.5:PRINT:SS SHIRT</t>
  </si>
  <si>
    <t>SS SHIRT REGULAR AR-US88:LIGHT BLUE:17:PRINT:SS SHIRT</t>
  </si>
  <si>
    <t>ARB8273</t>
  </si>
  <si>
    <t>LS SHIRT STRIPE REGULAR BU-WH-RD ARB8273:CLASSIC BLUE:14.5:STRIPE:LS SHIRT</t>
  </si>
  <si>
    <t>LS SHIRT STRIPE REGULAR BU-WH-RD ARB8273:CLASSIC BLUE:15:STRIPE:LS SHIRT</t>
  </si>
  <si>
    <t>LS SHIRT STRIPE REGULAR BU-WH-RD ARB8273:CLASSIC BLUE:15.5:STRIPE:LS SHIRT</t>
  </si>
  <si>
    <t>LS SHIRT STRIPE REGULAR BU-WH-RD ARB8273:CLASSIC BLUE:16:STRIPE:LS SHIRT</t>
  </si>
  <si>
    <t>LS SHIRT STRIPE REGULAR BU-WH-RD ARB8273:CLASSIC BLUE:16.5:STRIPE:LS SHIRT</t>
  </si>
  <si>
    <t>LS SHIRT STRIPE REGULAR BU-WH-RD ARB8273:CLASSIC BLUE:17:STRIPE:LS SHIRT</t>
  </si>
  <si>
    <t>AR-AZ31</t>
  </si>
  <si>
    <t>SS SHIRT TEXTURE AZZARO 31 AR-AZ31:NAVY BLUE:14.5:TEXTURE:SS SHIRT</t>
  </si>
  <si>
    <t>SS SHIRT TEXTURE AZZARO 31 AR-AZ31:NAVY BLUE:15:TEXTURE:SS SHIRT</t>
  </si>
  <si>
    <t>SS SHIRT TEXTURE AZZARO 31 AR-AZ31:NAVY BLUE:15.5:TEXTURE:SS SHIRT</t>
  </si>
  <si>
    <t>SS SHIRT TEXTURE AZZARO 31 AR-AZ31:NAVY BLUE:16:TEXTURE:SS SHIRT</t>
  </si>
  <si>
    <t>SS SHIRT TEXTURE AZZARO 31 AR-AZ31:NAVY BLUE:16.5:TEXTURE:SS SHIRT</t>
  </si>
  <si>
    <t>SS SHIRT TEXTURE AZZARO 31 AR-AZ31:NAVY BLUE:17:TEXTURE:SS SHIRT</t>
  </si>
  <si>
    <t>AR-AZ2/D</t>
  </si>
  <si>
    <t>LS SHIRT TEXTURE AZZARO 2/D AR-AZ2/D:BLACK:14.5:TEXTURE:LS SHIRT</t>
  </si>
  <si>
    <t>LS SHIRT TEXTURE AZZARO 2/D AR-AZ2/D:BLACK:15:TEXTURE:LS SHIRT</t>
  </si>
  <si>
    <t>LS SHIRT TEXTURE AZZARO 2/D AR-AZ2/D:BLACK:15.5:TEXTURE:LS SHIRT</t>
  </si>
  <si>
    <t>LS SHIRT TEXTURE AZZARO 2/D AR-AZ2/D:BLACK:16:TEXTURE:LS SHIRT</t>
  </si>
  <si>
    <t>LS SHIRT TEXTURE AZZARO 2/D AR-AZ2/D:BLACK:16.5:TEXTURE:LS SHIRT</t>
  </si>
  <si>
    <t>LS SHIRT TEXTURE AZZARO 2/D AR-AZ2/D:BLACK:17:TEXTURE:LS SHIRT</t>
  </si>
  <si>
    <t>AR134948</t>
  </si>
  <si>
    <t>SS SHIRT CHECK 13494-8 GREY AR134948:14.5:CHECK:SS SHIRT</t>
  </si>
  <si>
    <t>SS SHIRT CHECK 13494-8 GREY AR134948:15:CHECK:SS SHIRT</t>
  </si>
  <si>
    <t>SS SHIRT CHECK 13494-8 GREY AR134948:FROST GREY:15.5:CHECK:SS SHIRT</t>
  </si>
  <si>
    <t>SS SHIRT CHECK 13494-8 GREY AR134948:FROST GREY:16:CHECK:SS SHIRT</t>
  </si>
  <si>
    <t>SS SHIRT CHECK 13494-8 GREY AR134948:FROST GREY:16.5:CHECK:SS SHIRT</t>
  </si>
  <si>
    <t>SS SHIRT CHECK 13494-8 GREY AR134948:FROST GREY:17:CHECK:SS SHIRT</t>
  </si>
  <si>
    <t>AR-US90</t>
  </si>
  <si>
    <t>SS PRINT US90 WHITE-NAVY:NAVY BLUE:14.5:PRINT:SS SHIRT</t>
  </si>
  <si>
    <t>SS PRINT US90 WHITE-NAVY:NAVY BLUE:15:PRINT:SS SHIRT</t>
  </si>
  <si>
    <t>SS PRINT US90 WHITE-NAVY:NAVY BLUE:15.5:PRINT:SS SHIRT</t>
  </si>
  <si>
    <t>SS PRINT US90 WHITE-NAVY:NAVY BLUE:16:PRINT:SS SHIRT</t>
  </si>
  <si>
    <t>SS PRINT US90 WHITE-NAVY:NAVY BLUE:16.5:PRINT:SS SHIRT</t>
  </si>
  <si>
    <t>SS PRINT US90 WHITE-NAVY:NAVY BLUE:17:PRINT:SS SHIRT</t>
  </si>
  <si>
    <t>SS SHIRT TEXTURE AZZARO 31 AR-AZ31:MAROON:14.5:TEXTURE:SS SHIRT</t>
  </si>
  <si>
    <t>SS SHIRT TEXTURE AZZARO 31 AR-AZ31:MAROON:15:TEXTURE:SS SHIRT</t>
  </si>
  <si>
    <t>SS SHIRT TEXTURE AZZARO 31 AR-AZ31:MAROON:15.5:TEXTURE:SS SHIRT</t>
  </si>
  <si>
    <t>SS SHIRT TEXTURE AZZARO 31 AR-AZ31:MAROON:16:TEXTURE:SS SHIRT</t>
  </si>
  <si>
    <t>SS SHIRT TEXTURE AZZARO 31 AR-AZ31:MAROON:16.5:TEXTURE:SS SHIRT</t>
  </si>
  <si>
    <t>AR-A8277</t>
  </si>
  <si>
    <t>LS SHIRT 32 SOLID DOBBY WHITE A 8277/1-REG AR-A8277:WHITE:14.5:SOLID:LS SHIRT</t>
  </si>
  <si>
    <t>LS SHIRT 32 SOLID DOBBY WHITE A 8277/1-REG AR-A8277:WHITE:15:SOLID:LS SHIRT</t>
  </si>
  <si>
    <t>LS SHIRT 32 SOLID DOBBY WHITE A 8277/1-REG AR-A8277:WHITE:15.5:SOLID:LS SHIRT</t>
  </si>
  <si>
    <t>LS SHIRT 32 SOLID DOBBY WHITE A 8277/1-REG AR-A8277:WHITE:16:SOLID:LS SHIRT</t>
  </si>
  <si>
    <t>LS SHIRT 32 SOLID DOBBY WHITE A 8277/1-REG AR-A8277:WHITE:16.5:SOLID:LS SHIRT</t>
  </si>
  <si>
    <t>LS SHIRT 32 SOLID DOBBY WHITE A 8277/1-REG AR-A8277:WHITE:17:SOLID:LS SHIRT</t>
  </si>
  <si>
    <t>AR-A827</t>
  </si>
  <si>
    <t>LS SHIRT 32 SOLID A8277/11-REG AR-A827:FROST GREY:14.5:SOLID:LS SHIRT</t>
  </si>
  <si>
    <t>LS SHIRT 32 SOLID A8277/11-REG AR-A827:FROST GREY:15:SOLID:LS SHIRT</t>
  </si>
  <si>
    <t>LS SHIRT 32 SOLID A8277/11-REG AR-A827:FROST GREY:15.5:SOLID:LS SHIRT</t>
  </si>
  <si>
    <t>LS SHIRT 32 SOLID A8277/11-REG AR-A827:FROST GREY:16:SOLID:LS SHIRT</t>
  </si>
  <si>
    <t>LS SHIRT 32 SOLID A8277/11-REG AR-A827:FROST GREY:16.5:SOLID:LS SHIRT</t>
  </si>
  <si>
    <t>LS SHIRT 32 SOLID A8277/11-REG AR-A827:FROST GREY:17:SOLID:LS SHIRT</t>
  </si>
  <si>
    <t>ARSL4119</t>
  </si>
  <si>
    <t>LS SHIRT SOLID POINT COLLAR C4119 REG ARSL4119:LIGHT BLUE:14.5:SOLID:LS SHIRT</t>
  </si>
  <si>
    <t>LS SHIRT SOLID POINT COLLAR C4119 REG ARSL4119:LIGHT BLUE:15.5:SOLID:LS SHIRT</t>
  </si>
  <si>
    <t>LS SHIRT SOLID POINT COLLAR C4119 REG ARSL4119:LIGHT BLUE:16:SOLID:LS SHIRT</t>
  </si>
  <si>
    <t>LS SHIRT SOLID POINT COLLAR C4119 REG ARSL4119:LIGHT BLUE:16.5:SOLID:LS SHIRT</t>
  </si>
  <si>
    <t>LS SHIRT SOLID POINT COLLAR C4119 REG ARSL4119:LIGHT BLUE:17:SOLID:LS SHIRT</t>
  </si>
  <si>
    <t>ARPR3760</t>
  </si>
  <si>
    <t>SS SHIRT PRINT POINT COLLAR PNT3760B REG ARPR3760:CLASSIC RED:14.5:PRINT:SS SHIRT</t>
  </si>
  <si>
    <t>SS SHIRT PRINT POINT COLLAR PNT3760B REG ARPR3760:CLASSIC RED:15:PRINT:SS SHIRT</t>
  </si>
  <si>
    <t>SS SHIRT PRINT POINT COLLAR PNT3760B REG ARPR3760:CLASSIC RED:15.5:PRINT:SS SHIRT</t>
  </si>
  <si>
    <t>SS SHIRT PRINT POINT COLLAR PNT3760B REG ARPR3760:CLASSIC RED:16:PRINT:SS SHIRT</t>
  </si>
  <si>
    <t>SS SHIRT PRINT POINT COLLAR PNT3760B REG ARPR3760:CLASSIC RED:16.5:PRINT:SS SHIRT</t>
  </si>
  <si>
    <t>SS SHIRT PRINT POINT COLLAR PNT3760B REG ARPR3760:CLASSIC RED:17:PRINT:SS SHIRT</t>
  </si>
  <si>
    <t>ARCH170-2</t>
  </si>
  <si>
    <t>SS SHIRT CHECK BUTTON DOWN COLLAR BC0170-2 REG ARCH170-2:CLASSIC RE:14.5:CHECKS:SS SHIRT</t>
  </si>
  <si>
    <t>SS SHIRT CHECK BUTTON DOWN COLLAR BC0170-2 REG ARCH170-2:CLASSIC RE:15:CHECKS:SS SHIRT</t>
  </si>
  <si>
    <t>SS SHIRT CHECK BUTTON DOWN COLLAR BC0170-2 REG ARCH170-2:CLASSIC RE:15.5:CHECKS:SS SHIRT</t>
  </si>
  <si>
    <t>SS SHIRT CHECK BUTTON DOWN COLLAR BC0170-2 REG ARCH170-2:CLASSIC RE:16:CHECKS:SS SHIRT</t>
  </si>
  <si>
    <t>SS SHIRT CHECK BUTTON DOWN COLLAR BC0170-2 REG ARCH170-2:CLASSIC RE:16.5:CHECKS:SS SHIRT</t>
  </si>
  <si>
    <t>SS SHIRT CHECK BUTTON DOWN COLLAR BC0170-2 REG ARCH170-2:CLASSIC RE:17:CHECKS:SS SHIRT</t>
  </si>
  <si>
    <t>AR-US82</t>
  </si>
  <si>
    <t>LS SHIRT SOLID US82 GREY - REG AR-US82:FROST GREY:14.5:SOLID:LS SHIRT</t>
  </si>
  <si>
    <t>LS SHIRT SOLID US82 GREY - REG AR-US82:FROST GREY:15:SOLID:LS SHIRT</t>
  </si>
  <si>
    <t>LS SHIRT SOLID US82 GREY - REG AR-US82:FROST GREY:15.5:SOLID:LS SHIRT</t>
  </si>
  <si>
    <t>LS SHIRT SOLID US82 GREY - REG AR-US82:FROST GREY:16:SOLID:LS SHIRT</t>
  </si>
  <si>
    <t>LS SHIRT SOLID US82 GREY - REG AR-US82:FROST GREY:16.5:SOLID:LS SHIRT</t>
  </si>
  <si>
    <t>LS SHIRT SOLID US82 GREY - REG AR-US82:FROST GREY:17:SOLID:LS SHIRT</t>
  </si>
  <si>
    <t>ARTX98</t>
  </si>
  <si>
    <t>LS SHIRT 32 CHECK  US98 BLUE- REGULAR ARTX98:CLASSIC BLUE:14.5:CHECKS:LS SHIRT</t>
  </si>
  <si>
    <t>LS SHIRT 32 CHECK  US98 BLUE- REGULAR ARTX98:CLASSIC BLUE:15:CHECKS:LS SHIRT</t>
  </si>
  <si>
    <t>LS SHIRT 32 CHECK  US98 BLUE- REGULAR ARTX98:CLASSIC BLUE:15.5:CHECKS:LS SHIRT</t>
  </si>
  <si>
    <t>LS SHIRT 32 CHECK  US98 BLUE- REGULAR ARTX98:CLASSIC BLUE:16:CHECKS:LS SHIRT</t>
  </si>
  <si>
    <t>LS SHIRT 32 CHECK  US98 BLUE- REGULAR ARTX98:CLASSIC BLUE:16.5:CHECKS:LS SHIRT</t>
  </si>
  <si>
    <t>LS SHIRT 32 CHECK  US98 BLUE- REGULAR ARTX98:CLASSIC BLUE:17:CHECKS:LS SHIRT</t>
  </si>
  <si>
    <t>ARCMTR</t>
  </si>
  <si>
    <t>SS SHIRT CHECK GINGHAM MTR GREEN ARCMTR:CLASSIC GREEN:14.5:CHECK:SS SHIRT</t>
  </si>
  <si>
    <t>SS SHIRT CHECK GINGHAM MTR GREEN ARCMTR:CLASSIC GREEN:15:CHECK:SS SHIRT</t>
  </si>
  <si>
    <t>SS SHIRT CHECK GINGHAM MTR GREEN ARCMTR:CLASSIC GREEN:15.5:CHECK:SS SHIRT</t>
  </si>
  <si>
    <t>SS SHIRT CHECK GINGHAM MTR GREEN ARCMTR:CLASSIC GREEN:16:CHECK:SS SHIRT</t>
  </si>
  <si>
    <t>SS SHIRT CHECK GINGHAM MTR GREEN ARCMTR:CLASSIC GREEN:16.5:CHECK:SS SHIRT</t>
  </si>
  <si>
    <t>SS SHIRT CHECK GINGHAM MTR GREEN ARCMTR:CLASSIC GREEN:17:CHECK:SS SHIRT</t>
  </si>
  <si>
    <t>SS SHIRT CHECK GINGHAM MTR NAVY ARCMTR:NAVY BLUE:14.5:CHECK:SS SHIRT</t>
  </si>
  <si>
    <t>SS SHIRT CHECK GINGHAM MTR NAVY ARCMTR:NAVY BLUE:15:CHECK:SS SHIRT</t>
  </si>
  <si>
    <t>SS SHIRT CHECK GINGHAM MTR NAVY ARCMTR:NAVY BLUE:15.5:CHECK:SS SHIRT</t>
  </si>
  <si>
    <t>SS SHIRT CHECK GINGHAM MTR NAVY ARCMTR:NAVY BLUE:16:CHECK:SS SHIRT</t>
  </si>
  <si>
    <t>SS SHIRT CHECK GINGHAM MTR NAVY ARCMTR:NAVY BLUE:16.5:CHECK:SS SHIRT</t>
  </si>
  <si>
    <t>SS SHIRT CHECK GINGHAM MTR BLUE ARCMTR:CLASSIC BLUE:14.5:CHECK:SS SHIRT</t>
  </si>
  <si>
    <t>SS SHIRT CHECK GINGHAM MTR BLUE ARCMTR:CLASSIC BLUE:15:CHECK:SS SHIRT</t>
  </si>
  <si>
    <t>SS SHIRT CHECK GINGHAM MTR BLUE ARCMTR:CLASSIC BLUE:15.5:CHECK:SS SHIRT</t>
  </si>
  <si>
    <t>SS SHIRT CHECK GINGHAM MTR BLUE ARCMTR:CLASSIC BLUE:16:CHECK:SS SHIRT</t>
  </si>
  <si>
    <t>SS SHIRT CHECK GINGHAM MTR BLUE ARCMTR:CLASSIC BLUE:16.5:CHECK:SS SHIRT</t>
  </si>
  <si>
    <t>SS SHIRT CHECK GINGHAM MTR BLUE ARCMTR:CLASSIC BLUE:17:CHECK:SS SHIRT</t>
  </si>
  <si>
    <t>SS SHIRT CHECK GINGHAM MTR RED ARCMTR:CLASSIC RED:14.5:CHECK:SS SHIRT</t>
  </si>
  <si>
    <t>SS SHIRT CHECK GINGHAM MTR RED ARCMTR:CLASSIC RED:15:CHECK:SS SHIRT</t>
  </si>
  <si>
    <t>SS SHIRT CHECK GINGHAM MTR RED ARCMTR:CLASSIC RED:15.5:CHECK:SS SHIRT</t>
  </si>
  <si>
    <t>SS SHIRT CHECK GINGHAM MTR RED ARCMTR:CLASSIC RED:16:CHECK:SS SHIRT</t>
  </si>
  <si>
    <t>SS SHIRT CHECK GINGHAM MTR RED ARCMTR:CLASSIC RED:16.5:CHECK:SS SHIRT</t>
  </si>
  <si>
    <t>SS SHIRT CHECK GINGHAM MTR RED ARCMTR:CLASSIC RED:17:CHECK:SS SHIRT</t>
  </si>
  <si>
    <t>2019 All Items &amp; Older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</si>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</sst>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zoomScale="90" workbookViewId="0">
      <pane ySplit="1" topLeftCell="A2" activePane="bottomLeft" state="frozen"/>
      <selection pane="bottomLeft" activeCell="C3" sqref="C3"/>
    </sheetView>
  </sheetViews>
  <sheetFormatPr defaultColWidth="9.1796875" defaultRowHeight="14.5" x14ac:dyDescent="0.35"/>
  <cols>
    <col min="1" max="1" width="34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70.3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9.17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1057</v>
      </c>
      <c r="B2" s="11">
        <v>46121</v>
      </c>
      <c r="C2" s="11">
        <v>46127</v>
      </c>
      <c r="D2" s="10">
        <v>3250</v>
      </c>
      <c r="E2" s="10">
        <v>332</v>
      </c>
      <c r="F2" s="10">
        <v>3</v>
      </c>
      <c r="G2" s="10">
        <v>6</v>
      </c>
      <c r="H2" s="10">
        <v>81314</v>
      </c>
      <c r="I2" s="10" t="s">
        <v>17</v>
      </c>
      <c r="J2" s="10">
        <v>17253037</v>
      </c>
      <c r="K2" s="12" t="s">
        <v>18</v>
      </c>
      <c r="L2" s="12" t="s">
        <v>19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1057</v>
      </c>
      <c r="B3" s="11">
        <f>B2</f>
        <v>46121</v>
      </c>
      <c r="C3" s="11">
        <f>C2</f>
        <v>46127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20407445</v>
      </c>
      <c r="K3" s="12" t="s">
        <v>20</v>
      </c>
      <c r="L3" s="12" t="s">
        <v>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1057</v>
      </c>
      <c r="B4" s="11">
        <f t="shared" ref="B4:B67" si="1">B3</f>
        <v>46121</v>
      </c>
      <c r="C4" s="11">
        <f t="shared" ref="C4:C67" si="2">C3</f>
        <v>46127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20721677</v>
      </c>
      <c r="K4" s="12" t="s">
        <v>22</v>
      </c>
      <c r="L4" s="12" t="s">
        <v>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1057</v>
      </c>
      <c r="B5" s="11">
        <f t="shared" si="1"/>
        <v>46121</v>
      </c>
      <c r="C5" s="11">
        <f t="shared" si="2"/>
        <v>46127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22635909</v>
      </c>
      <c r="K5" s="12" t="s">
        <v>24</v>
      </c>
      <c r="L5" s="12" t="s">
        <v>25</v>
      </c>
      <c r="M5" s="13">
        <v>259900</v>
      </c>
      <c r="N5" s="14">
        <v>0.95</v>
      </c>
      <c r="O5" s="13">
        <f t="shared" si="0"/>
        <v>12995</v>
      </c>
      <c r="P5" s="10" t="s">
        <v>16</v>
      </c>
    </row>
    <row r="6" spans="1:16" x14ac:dyDescent="0.35">
      <c r="A6" s="10" t="s">
        <v>1057</v>
      </c>
      <c r="B6" s="11">
        <f t="shared" si="1"/>
        <v>46121</v>
      </c>
      <c r="C6" s="11">
        <f t="shared" si="2"/>
        <v>46127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23397906</v>
      </c>
      <c r="K6" s="12" t="s">
        <v>26</v>
      </c>
      <c r="L6" s="12" t="s">
        <v>27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1057</v>
      </c>
      <c r="B7" s="11">
        <f t="shared" si="1"/>
        <v>46121</v>
      </c>
      <c r="C7" s="11">
        <f t="shared" si="2"/>
        <v>46127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23397942</v>
      </c>
      <c r="K7" s="12" t="s">
        <v>28</v>
      </c>
      <c r="L7" s="12" t="s">
        <v>29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1057</v>
      </c>
      <c r="B8" s="11">
        <f t="shared" si="1"/>
        <v>46121</v>
      </c>
      <c r="C8" s="11">
        <f t="shared" si="2"/>
        <v>46127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23993593</v>
      </c>
      <c r="K8" s="12" t="s">
        <v>30</v>
      </c>
      <c r="L8" s="12" t="s">
        <v>31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1057</v>
      </c>
      <c r="B9" s="11">
        <f t="shared" si="1"/>
        <v>46121</v>
      </c>
      <c r="C9" s="11">
        <f t="shared" si="2"/>
        <v>46127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24318936</v>
      </c>
      <c r="K9" s="12" t="s">
        <v>32</v>
      </c>
      <c r="L9" s="12" t="s">
        <v>33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1057</v>
      </c>
      <c r="B10" s="11">
        <f t="shared" si="1"/>
        <v>46121</v>
      </c>
      <c r="C10" s="11">
        <f t="shared" si="2"/>
        <v>46127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24318954</v>
      </c>
      <c r="K10" s="12" t="s">
        <v>32</v>
      </c>
      <c r="L10" s="12" t="s">
        <v>34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1057</v>
      </c>
      <c r="B11" s="11">
        <f t="shared" si="1"/>
        <v>46121</v>
      </c>
      <c r="C11" s="11">
        <f t="shared" si="2"/>
        <v>46127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24382545</v>
      </c>
      <c r="K11" s="12" t="s">
        <v>35</v>
      </c>
      <c r="L11" s="12" t="s">
        <v>36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1057</v>
      </c>
      <c r="B12" s="11">
        <f t="shared" si="1"/>
        <v>46121</v>
      </c>
      <c r="C12" s="11">
        <f t="shared" si="2"/>
        <v>46127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24808700</v>
      </c>
      <c r="K12" s="12" t="s">
        <v>37</v>
      </c>
      <c r="L12" s="12" t="s">
        <v>38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1057</v>
      </c>
      <c r="B13" s="11">
        <f t="shared" si="1"/>
        <v>46121</v>
      </c>
      <c r="C13" s="11">
        <f t="shared" si="2"/>
        <v>46127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24808719</v>
      </c>
      <c r="K13" s="12" t="s">
        <v>37</v>
      </c>
      <c r="L13" s="12" t="s">
        <v>39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1057</v>
      </c>
      <c r="B14" s="11">
        <f t="shared" si="1"/>
        <v>46121</v>
      </c>
      <c r="C14" s="11">
        <f t="shared" si="2"/>
        <v>46127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24808728</v>
      </c>
      <c r="K14" s="12" t="s">
        <v>37</v>
      </c>
      <c r="L14" s="12" t="s">
        <v>40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1057</v>
      </c>
      <c r="B15" s="11">
        <f t="shared" si="1"/>
        <v>46121</v>
      </c>
      <c r="C15" s="11">
        <f t="shared" si="2"/>
        <v>46127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24808737</v>
      </c>
      <c r="K15" s="12" t="s">
        <v>37</v>
      </c>
      <c r="L15" s="12" t="s">
        <v>41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1057</v>
      </c>
      <c r="B16" s="11">
        <f t="shared" si="1"/>
        <v>46121</v>
      </c>
      <c r="C16" s="11">
        <f t="shared" si="2"/>
        <v>46127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24808746</v>
      </c>
      <c r="K16" s="12" t="s">
        <v>24</v>
      </c>
      <c r="L16" s="12" t="s">
        <v>42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1057</v>
      </c>
      <c r="B17" s="11">
        <f t="shared" si="1"/>
        <v>46121</v>
      </c>
      <c r="C17" s="11">
        <f t="shared" si="2"/>
        <v>46127</v>
      </c>
      <c r="D17" s="10">
        <v>3250</v>
      </c>
      <c r="E17" s="10">
        <v>332</v>
      </c>
      <c r="F17" s="10">
        <v>3</v>
      </c>
      <c r="G17" s="10">
        <v>2</v>
      </c>
      <c r="H17" s="10">
        <v>81468</v>
      </c>
      <c r="I17" s="10" t="s">
        <v>17</v>
      </c>
      <c r="J17" s="10">
        <v>24808755</v>
      </c>
      <c r="K17" s="12" t="s">
        <v>24</v>
      </c>
      <c r="L17" s="12" t="s">
        <v>25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1057</v>
      </c>
      <c r="B18" s="11">
        <f t="shared" si="1"/>
        <v>46121</v>
      </c>
      <c r="C18" s="11">
        <f t="shared" si="2"/>
        <v>46127</v>
      </c>
      <c r="D18" s="10">
        <v>3250</v>
      </c>
      <c r="E18" s="10">
        <v>332</v>
      </c>
      <c r="F18" s="10">
        <v>3</v>
      </c>
      <c r="G18" s="10">
        <v>2</v>
      </c>
      <c r="H18" s="10">
        <v>81468</v>
      </c>
      <c r="I18" s="10" t="s">
        <v>17</v>
      </c>
      <c r="J18" s="10">
        <v>24808764</v>
      </c>
      <c r="K18" s="12" t="s">
        <v>24</v>
      </c>
      <c r="L18" s="12" t="s">
        <v>43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1057</v>
      </c>
      <c r="B19" s="11">
        <f t="shared" si="1"/>
        <v>46121</v>
      </c>
      <c r="C19" s="11">
        <f t="shared" si="2"/>
        <v>46127</v>
      </c>
      <c r="D19" s="10">
        <v>3250</v>
      </c>
      <c r="E19" s="10">
        <v>332</v>
      </c>
      <c r="F19" s="10">
        <v>3</v>
      </c>
      <c r="G19" s="10">
        <v>4</v>
      </c>
      <c r="H19" s="10">
        <v>81447</v>
      </c>
      <c r="I19" s="10" t="s">
        <v>17</v>
      </c>
      <c r="J19" s="10">
        <v>17640056</v>
      </c>
      <c r="K19" s="12" t="s">
        <v>44</v>
      </c>
      <c r="L19" s="12" t="s">
        <v>45</v>
      </c>
      <c r="M19" s="13">
        <v>299900</v>
      </c>
      <c r="N19" s="14">
        <v>0.95</v>
      </c>
      <c r="O19" s="13">
        <f t="shared" si="0"/>
        <v>14995</v>
      </c>
      <c r="P19" s="10" t="s">
        <v>16</v>
      </c>
    </row>
    <row r="20" spans="1:16" x14ac:dyDescent="0.35">
      <c r="A20" s="10" t="s">
        <v>1057</v>
      </c>
      <c r="B20" s="11">
        <f t="shared" si="1"/>
        <v>46121</v>
      </c>
      <c r="C20" s="11">
        <f t="shared" si="2"/>
        <v>46127</v>
      </c>
      <c r="D20" s="10">
        <v>3250</v>
      </c>
      <c r="E20" s="10">
        <v>332</v>
      </c>
      <c r="F20" s="10">
        <v>3</v>
      </c>
      <c r="G20" s="10">
        <v>4</v>
      </c>
      <c r="H20" s="10">
        <v>81447</v>
      </c>
      <c r="I20" s="10" t="s">
        <v>17</v>
      </c>
      <c r="J20" s="10">
        <v>17640083</v>
      </c>
      <c r="K20" s="12" t="s">
        <v>44</v>
      </c>
      <c r="L20" s="12" t="s">
        <v>46</v>
      </c>
      <c r="M20" s="13">
        <v>299900</v>
      </c>
      <c r="N20" s="14">
        <v>0.95</v>
      </c>
      <c r="O20" s="13">
        <f t="shared" si="0"/>
        <v>14995</v>
      </c>
      <c r="P20" s="10" t="s">
        <v>16</v>
      </c>
    </row>
    <row r="21" spans="1:16" x14ac:dyDescent="0.35">
      <c r="A21" s="10" t="s">
        <v>1057</v>
      </c>
      <c r="B21" s="11">
        <f t="shared" si="1"/>
        <v>46121</v>
      </c>
      <c r="C21" s="11">
        <f t="shared" si="2"/>
        <v>46127</v>
      </c>
      <c r="D21" s="10">
        <v>3250</v>
      </c>
      <c r="E21" s="10">
        <v>332</v>
      </c>
      <c r="F21" s="10">
        <v>3</v>
      </c>
      <c r="G21" s="10">
        <v>4</v>
      </c>
      <c r="H21" s="10">
        <v>81447</v>
      </c>
      <c r="I21" s="10" t="s">
        <v>17</v>
      </c>
      <c r="J21" s="10">
        <v>17640092</v>
      </c>
      <c r="K21" s="12" t="s">
        <v>44</v>
      </c>
      <c r="L21" s="12" t="s">
        <v>47</v>
      </c>
      <c r="M21" s="13">
        <v>299900</v>
      </c>
      <c r="N21" s="14">
        <v>0.95</v>
      </c>
      <c r="O21" s="13">
        <f t="shared" si="0"/>
        <v>14995</v>
      </c>
      <c r="P21" s="10" t="s">
        <v>16</v>
      </c>
    </row>
    <row r="22" spans="1:16" x14ac:dyDescent="0.35">
      <c r="A22" s="10" t="s">
        <v>1057</v>
      </c>
      <c r="B22" s="11">
        <f t="shared" si="1"/>
        <v>46121</v>
      </c>
      <c r="C22" s="11">
        <f t="shared" si="2"/>
        <v>46127</v>
      </c>
      <c r="D22" s="10">
        <v>3250</v>
      </c>
      <c r="E22" s="10">
        <v>332</v>
      </c>
      <c r="F22" s="10">
        <v>3</v>
      </c>
      <c r="G22" s="10">
        <v>4</v>
      </c>
      <c r="H22" s="10">
        <v>81447</v>
      </c>
      <c r="I22" s="10" t="s">
        <v>17</v>
      </c>
      <c r="J22" s="10">
        <v>17640109</v>
      </c>
      <c r="K22" s="12" t="s">
        <v>44</v>
      </c>
      <c r="L22" s="12" t="s">
        <v>48</v>
      </c>
      <c r="M22" s="13">
        <v>299900</v>
      </c>
      <c r="N22" s="14">
        <v>0.95</v>
      </c>
      <c r="O22" s="13">
        <f t="shared" si="0"/>
        <v>14995</v>
      </c>
      <c r="P22" s="10" t="s">
        <v>16</v>
      </c>
    </row>
    <row r="23" spans="1:16" x14ac:dyDescent="0.35">
      <c r="A23" s="10" t="s">
        <v>1057</v>
      </c>
      <c r="B23" s="11">
        <f t="shared" si="1"/>
        <v>46121</v>
      </c>
      <c r="C23" s="11">
        <f t="shared" si="2"/>
        <v>46127</v>
      </c>
      <c r="D23" s="10">
        <v>3250</v>
      </c>
      <c r="E23" s="10">
        <v>332</v>
      </c>
      <c r="F23" s="10">
        <v>3</v>
      </c>
      <c r="G23" s="10">
        <v>4</v>
      </c>
      <c r="H23" s="10">
        <v>81447</v>
      </c>
      <c r="I23" s="10" t="s">
        <v>17</v>
      </c>
      <c r="J23" s="10">
        <v>17640127</v>
      </c>
      <c r="K23" s="12" t="s">
        <v>44</v>
      </c>
      <c r="L23" s="12" t="s">
        <v>49</v>
      </c>
      <c r="M23" s="13">
        <v>299900</v>
      </c>
      <c r="N23" s="14">
        <v>0.95</v>
      </c>
      <c r="O23" s="13">
        <f t="shared" si="0"/>
        <v>14995</v>
      </c>
      <c r="P23" s="10" t="s">
        <v>16</v>
      </c>
    </row>
    <row r="24" spans="1:16" x14ac:dyDescent="0.35">
      <c r="A24" s="10" t="s">
        <v>1057</v>
      </c>
      <c r="B24" s="11">
        <f t="shared" si="1"/>
        <v>46121</v>
      </c>
      <c r="C24" s="11">
        <f t="shared" si="2"/>
        <v>46127</v>
      </c>
      <c r="D24" s="10">
        <v>3250</v>
      </c>
      <c r="E24" s="10">
        <v>332</v>
      </c>
      <c r="F24" s="10">
        <v>3</v>
      </c>
      <c r="G24" s="10">
        <v>4</v>
      </c>
      <c r="H24" s="10">
        <v>81447</v>
      </c>
      <c r="I24" s="10" t="s">
        <v>17</v>
      </c>
      <c r="J24" s="10">
        <v>17640136</v>
      </c>
      <c r="K24" s="12" t="s">
        <v>44</v>
      </c>
      <c r="L24" s="12" t="s">
        <v>50</v>
      </c>
      <c r="M24" s="13">
        <v>299900</v>
      </c>
      <c r="N24" s="14">
        <v>0.95</v>
      </c>
      <c r="O24" s="13">
        <f t="shared" si="0"/>
        <v>14995</v>
      </c>
      <c r="P24" s="10" t="s">
        <v>16</v>
      </c>
    </row>
    <row r="25" spans="1:16" x14ac:dyDescent="0.35">
      <c r="A25" s="10" t="s">
        <v>1057</v>
      </c>
      <c r="B25" s="11">
        <f t="shared" si="1"/>
        <v>46121</v>
      </c>
      <c r="C25" s="11">
        <f t="shared" si="2"/>
        <v>46127</v>
      </c>
      <c r="D25" s="10">
        <v>3250</v>
      </c>
      <c r="E25" s="10">
        <v>332</v>
      </c>
      <c r="F25" s="10">
        <v>3</v>
      </c>
      <c r="G25" s="10">
        <v>4</v>
      </c>
      <c r="H25" s="10">
        <v>81447</v>
      </c>
      <c r="I25" s="10" t="s">
        <v>17</v>
      </c>
      <c r="J25" s="10">
        <v>17640145</v>
      </c>
      <c r="K25" s="12" t="s">
        <v>44</v>
      </c>
      <c r="L25" s="12" t="s">
        <v>51</v>
      </c>
      <c r="M25" s="13">
        <v>299900</v>
      </c>
      <c r="N25" s="14">
        <v>0.95</v>
      </c>
      <c r="O25" s="13">
        <f t="shared" si="0"/>
        <v>14995</v>
      </c>
      <c r="P25" s="10" t="s">
        <v>16</v>
      </c>
    </row>
    <row r="26" spans="1:16" x14ac:dyDescent="0.35">
      <c r="A26" s="10" t="s">
        <v>1057</v>
      </c>
      <c r="B26" s="11">
        <f t="shared" si="1"/>
        <v>46121</v>
      </c>
      <c r="C26" s="11">
        <f t="shared" si="2"/>
        <v>46127</v>
      </c>
      <c r="D26" s="10">
        <v>3250</v>
      </c>
      <c r="E26" s="10">
        <v>332</v>
      </c>
      <c r="F26" s="10">
        <v>3</v>
      </c>
      <c r="G26" s="10">
        <v>4</v>
      </c>
      <c r="H26" s="10">
        <v>81447</v>
      </c>
      <c r="I26" s="10" t="s">
        <v>17</v>
      </c>
      <c r="J26" s="10">
        <v>17640154</v>
      </c>
      <c r="K26" s="12" t="s">
        <v>44</v>
      </c>
      <c r="L26" s="12" t="s">
        <v>52</v>
      </c>
      <c r="M26" s="13">
        <v>299900</v>
      </c>
      <c r="N26" s="14">
        <v>0.95</v>
      </c>
      <c r="O26" s="13">
        <f t="shared" si="0"/>
        <v>14995</v>
      </c>
      <c r="P26" s="10" t="s">
        <v>16</v>
      </c>
    </row>
    <row r="27" spans="1:16" x14ac:dyDescent="0.35">
      <c r="A27" s="10" t="s">
        <v>1057</v>
      </c>
      <c r="B27" s="11">
        <f t="shared" si="1"/>
        <v>46121</v>
      </c>
      <c r="C27" s="11">
        <f t="shared" si="2"/>
        <v>46127</v>
      </c>
      <c r="D27" s="10">
        <v>3250</v>
      </c>
      <c r="E27" s="10">
        <v>332</v>
      </c>
      <c r="F27" s="10">
        <v>3</v>
      </c>
      <c r="G27" s="10">
        <v>4</v>
      </c>
      <c r="H27" s="10">
        <v>81447</v>
      </c>
      <c r="I27" s="10" t="s">
        <v>17</v>
      </c>
      <c r="J27" s="10">
        <v>17640163</v>
      </c>
      <c r="K27" s="12" t="s">
        <v>44</v>
      </c>
      <c r="L27" s="12" t="s">
        <v>53</v>
      </c>
      <c r="M27" s="13">
        <v>299900</v>
      </c>
      <c r="N27" s="14">
        <v>0.95</v>
      </c>
      <c r="O27" s="13">
        <f t="shared" si="0"/>
        <v>14995</v>
      </c>
      <c r="P27" s="10" t="s">
        <v>16</v>
      </c>
    </row>
    <row r="28" spans="1:16" x14ac:dyDescent="0.35">
      <c r="A28" s="10" t="s">
        <v>1057</v>
      </c>
      <c r="B28" s="11">
        <f t="shared" si="1"/>
        <v>46121</v>
      </c>
      <c r="C28" s="11">
        <f t="shared" si="2"/>
        <v>46127</v>
      </c>
      <c r="D28" s="10">
        <v>3250</v>
      </c>
      <c r="E28" s="10">
        <v>332</v>
      </c>
      <c r="F28" s="10">
        <v>3</v>
      </c>
      <c r="G28" s="10">
        <v>4</v>
      </c>
      <c r="H28" s="10">
        <v>81447</v>
      </c>
      <c r="I28" s="10" t="s">
        <v>17</v>
      </c>
      <c r="J28" s="10">
        <v>24351220</v>
      </c>
      <c r="K28" s="12" t="s">
        <v>54</v>
      </c>
      <c r="L28" s="12" t="s">
        <v>55</v>
      </c>
      <c r="M28" s="13">
        <v>329900</v>
      </c>
      <c r="N28" s="14">
        <v>0.95</v>
      </c>
      <c r="O28" s="13">
        <f t="shared" si="0"/>
        <v>16495</v>
      </c>
      <c r="P28" s="10" t="s">
        <v>16</v>
      </c>
    </row>
    <row r="29" spans="1:16" x14ac:dyDescent="0.35">
      <c r="A29" s="10" t="s">
        <v>1057</v>
      </c>
      <c r="B29" s="11">
        <f t="shared" si="1"/>
        <v>46121</v>
      </c>
      <c r="C29" s="11">
        <f t="shared" si="2"/>
        <v>46127</v>
      </c>
      <c r="D29" s="10">
        <v>3250</v>
      </c>
      <c r="E29" s="10">
        <v>332</v>
      </c>
      <c r="F29" s="10">
        <v>3</v>
      </c>
      <c r="G29" s="10">
        <v>4</v>
      </c>
      <c r="H29" s="10">
        <v>81447</v>
      </c>
      <c r="I29" s="10" t="s">
        <v>17</v>
      </c>
      <c r="J29" s="10">
        <v>24351239</v>
      </c>
      <c r="K29" s="12" t="s">
        <v>54</v>
      </c>
      <c r="L29" s="12" t="s">
        <v>56</v>
      </c>
      <c r="M29" s="13">
        <v>329900</v>
      </c>
      <c r="N29" s="14">
        <v>0.95</v>
      </c>
      <c r="O29" s="13">
        <f t="shared" si="0"/>
        <v>16495</v>
      </c>
      <c r="P29" s="10" t="s">
        <v>16</v>
      </c>
    </row>
    <row r="30" spans="1:16" x14ac:dyDescent="0.35">
      <c r="A30" s="10" t="s">
        <v>1057</v>
      </c>
      <c r="B30" s="11">
        <f t="shared" si="1"/>
        <v>46121</v>
      </c>
      <c r="C30" s="11">
        <f t="shared" si="2"/>
        <v>46127</v>
      </c>
      <c r="D30" s="10">
        <v>3250</v>
      </c>
      <c r="E30" s="10">
        <v>332</v>
      </c>
      <c r="F30" s="10">
        <v>3</v>
      </c>
      <c r="G30" s="10">
        <v>4</v>
      </c>
      <c r="H30" s="10">
        <v>81447</v>
      </c>
      <c r="I30" s="10" t="s">
        <v>17</v>
      </c>
      <c r="J30" s="10">
        <v>24351257</v>
      </c>
      <c r="K30" s="12" t="s">
        <v>54</v>
      </c>
      <c r="L30" s="12" t="s">
        <v>57</v>
      </c>
      <c r="M30" s="13">
        <v>329900</v>
      </c>
      <c r="N30" s="14">
        <v>0.95</v>
      </c>
      <c r="O30" s="13">
        <f t="shared" si="0"/>
        <v>16495</v>
      </c>
      <c r="P30" s="10" t="s">
        <v>16</v>
      </c>
    </row>
    <row r="31" spans="1:16" x14ac:dyDescent="0.35">
      <c r="A31" s="10" t="s">
        <v>1057</v>
      </c>
      <c r="B31" s="11">
        <f t="shared" si="1"/>
        <v>46121</v>
      </c>
      <c r="C31" s="11">
        <f t="shared" si="2"/>
        <v>46127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24354772</v>
      </c>
      <c r="K31" s="12" t="s">
        <v>58</v>
      </c>
      <c r="L31" s="12" t="s">
        <v>59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1057</v>
      </c>
      <c r="B32" s="11">
        <f t="shared" si="1"/>
        <v>46121</v>
      </c>
      <c r="C32" s="11">
        <f t="shared" si="2"/>
        <v>46127</v>
      </c>
      <c r="D32" s="10">
        <v>3250</v>
      </c>
      <c r="E32" s="10">
        <v>332</v>
      </c>
      <c r="F32" s="10">
        <v>3</v>
      </c>
      <c r="G32" s="10">
        <v>4</v>
      </c>
      <c r="H32" s="10">
        <v>81548</v>
      </c>
      <c r="I32" s="10" t="s">
        <v>17</v>
      </c>
      <c r="J32" s="10">
        <v>17375003</v>
      </c>
      <c r="K32" s="12" t="s">
        <v>60</v>
      </c>
      <c r="L32" s="12" t="s">
        <v>61</v>
      </c>
      <c r="M32" s="13">
        <v>279900</v>
      </c>
      <c r="N32" s="14">
        <v>0.95</v>
      </c>
      <c r="O32" s="13">
        <f t="shared" si="0"/>
        <v>13995</v>
      </c>
      <c r="P32" s="10" t="s">
        <v>16</v>
      </c>
    </row>
    <row r="33" spans="1:16" x14ac:dyDescent="0.35">
      <c r="A33" s="10" t="s">
        <v>1057</v>
      </c>
      <c r="B33" s="11">
        <f t="shared" si="1"/>
        <v>46121</v>
      </c>
      <c r="C33" s="11">
        <f t="shared" si="2"/>
        <v>46127</v>
      </c>
      <c r="D33" s="10">
        <v>3250</v>
      </c>
      <c r="E33" s="10">
        <v>332</v>
      </c>
      <c r="F33" s="10">
        <v>3</v>
      </c>
      <c r="G33" s="10">
        <v>4</v>
      </c>
      <c r="H33" s="10">
        <v>81548</v>
      </c>
      <c r="I33" s="10" t="s">
        <v>17</v>
      </c>
      <c r="J33" s="10">
        <v>17640814</v>
      </c>
      <c r="K33" s="12" t="s">
        <v>62</v>
      </c>
      <c r="L33" s="12" t="s">
        <v>63</v>
      </c>
      <c r="M33" s="13">
        <v>279900</v>
      </c>
      <c r="N33" s="14">
        <v>0.95</v>
      </c>
      <c r="O33" s="13">
        <f t="shared" si="0"/>
        <v>13995</v>
      </c>
      <c r="P33" s="10" t="s">
        <v>16</v>
      </c>
    </row>
    <row r="34" spans="1:16" x14ac:dyDescent="0.35">
      <c r="A34" s="10" t="s">
        <v>1057</v>
      </c>
      <c r="B34" s="11">
        <f t="shared" si="1"/>
        <v>46121</v>
      </c>
      <c r="C34" s="11">
        <f t="shared" si="2"/>
        <v>46127</v>
      </c>
      <c r="D34" s="10">
        <v>3250</v>
      </c>
      <c r="E34" s="10">
        <v>332</v>
      </c>
      <c r="F34" s="10">
        <v>3</v>
      </c>
      <c r="G34" s="10">
        <v>4</v>
      </c>
      <c r="H34" s="10">
        <v>81548</v>
      </c>
      <c r="I34" s="10" t="s">
        <v>17</v>
      </c>
      <c r="J34" s="10">
        <v>17641519</v>
      </c>
      <c r="K34" s="12" t="s">
        <v>64</v>
      </c>
      <c r="L34" s="12" t="s">
        <v>65</v>
      </c>
      <c r="M34" s="13">
        <v>289900</v>
      </c>
      <c r="N34" s="14">
        <v>0.95</v>
      </c>
      <c r="O34" s="13">
        <f t="shared" si="0"/>
        <v>14495</v>
      </c>
      <c r="P34" s="10" t="s">
        <v>16</v>
      </c>
    </row>
    <row r="35" spans="1:16" x14ac:dyDescent="0.35">
      <c r="A35" s="10" t="s">
        <v>1057</v>
      </c>
      <c r="B35" s="11">
        <f t="shared" si="1"/>
        <v>46121</v>
      </c>
      <c r="C35" s="11">
        <f t="shared" si="2"/>
        <v>46127</v>
      </c>
      <c r="D35" s="10">
        <v>3250</v>
      </c>
      <c r="E35" s="10">
        <v>332</v>
      </c>
      <c r="F35" s="10">
        <v>3</v>
      </c>
      <c r="G35" s="10">
        <v>4</v>
      </c>
      <c r="H35" s="10">
        <v>81548</v>
      </c>
      <c r="I35" s="10" t="s">
        <v>17</v>
      </c>
      <c r="J35" s="10">
        <v>21922672</v>
      </c>
      <c r="K35" s="12" t="s">
        <v>66</v>
      </c>
      <c r="L35" s="12" t="s">
        <v>67</v>
      </c>
      <c r="M35" s="13">
        <v>299900</v>
      </c>
      <c r="N35" s="14">
        <v>0.95</v>
      </c>
      <c r="O35" s="13">
        <f t="shared" si="0"/>
        <v>14995</v>
      </c>
      <c r="P35" s="10" t="s">
        <v>16</v>
      </c>
    </row>
    <row r="36" spans="1:16" x14ac:dyDescent="0.35">
      <c r="A36" s="10" t="s">
        <v>1057</v>
      </c>
      <c r="B36" s="11">
        <f t="shared" si="1"/>
        <v>46121</v>
      </c>
      <c r="C36" s="11">
        <f t="shared" si="2"/>
        <v>46127</v>
      </c>
      <c r="D36" s="10">
        <v>3250</v>
      </c>
      <c r="E36" s="10">
        <v>332</v>
      </c>
      <c r="F36" s="10">
        <v>3</v>
      </c>
      <c r="G36" s="10">
        <v>4</v>
      </c>
      <c r="H36" s="10">
        <v>81548</v>
      </c>
      <c r="I36" s="10" t="s">
        <v>17</v>
      </c>
      <c r="J36" s="10">
        <v>21922681</v>
      </c>
      <c r="K36" s="12" t="s">
        <v>66</v>
      </c>
      <c r="L36" s="12" t="s">
        <v>68</v>
      </c>
      <c r="M36" s="13">
        <v>299900</v>
      </c>
      <c r="N36" s="14">
        <v>0.95</v>
      </c>
      <c r="O36" s="13">
        <f t="shared" si="0"/>
        <v>14995</v>
      </c>
      <c r="P36" s="10" t="s">
        <v>16</v>
      </c>
    </row>
    <row r="37" spans="1:16" x14ac:dyDescent="0.35">
      <c r="A37" s="10" t="s">
        <v>1057</v>
      </c>
      <c r="B37" s="11">
        <f t="shared" si="1"/>
        <v>46121</v>
      </c>
      <c r="C37" s="11">
        <f t="shared" si="2"/>
        <v>46127</v>
      </c>
      <c r="D37" s="10">
        <v>3250</v>
      </c>
      <c r="E37" s="10">
        <v>332</v>
      </c>
      <c r="F37" s="10">
        <v>3</v>
      </c>
      <c r="G37" s="10">
        <v>4</v>
      </c>
      <c r="H37" s="10">
        <v>81548</v>
      </c>
      <c r="I37" s="10" t="s">
        <v>17</v>
      </c>
      <c r="J37" s="10">
        <v>21922690</v>
      </c>
      <c r="K37" s="12" t="s">
        <v>66</v>
      </c>
      <c r="L37" s="12" t="s">
        <v>69</v>
      </c>
      <c r="M37" s="13">
        <v>299900</v>
      </c>
      <c r="N37" s="14">
        <v>0.95</v>
      </c>
      <c r="O37" s="13">
        <f t="shared" si="0"/>
        <v>14995</v>
      </c>
      <c r="P37" s="10" t="s">
        <v>16</v>
      </c>
    </row>
    <row r="38" spans="1:16" x14ac:dyDescent="0.35">
      <c r="A38" s="10" t="s">
        <v>1057</v>
      </c>
      <c r="B38" s="11">
        <f t="shared" si="1"/>
        <v>46121</v>
      </c>
      <c r="C38" s="11">
        <f t="shared" si="2"/>
        <v>46127</v>
      </c>
      <c r="D38" s="10">
        <v>3250</v>
      </c>
      <c r="E38" s="10">
        <v>332</v>
      </c>
      <c r="F38" s="10">
        <v>3</v>
      </c>
      <c r="G38" s="10">
        <v>4</v>
      </c>
      <c r="H38" s="10">
        <v>81548</v>
      </c>
      <c r="I38" s="10" t="s">
        <v>17</v>
      </c>
      <c r="J38" s="10">
        <v>21922707</v>
      </c>
      <c r="K38" s="12" t="s">
        <v>66</v>
      </c>
      <c r="L38" s="12" t="s">
        <v>70</v>
      </c>
      <c r="M38" s="13">
        <v>299900</v>
      </c>
      <c r="N38" s="14">
        <v>0.95</v>
      </c>
      <c r="O38" s="13">
        <f t="shared" si="0"/>
        <v>14995</v>
      </c>
      <c r="P38" s="10" t="s">
        <v>16</v>
      </c>
    </row>
    <row r="39" spans="1:16" x14ac:dyDescent="0.35">
      <c r="A39" s="10" t="s">
        <v>1057</v>
      </c>
      <c r="B39" s="11">
        <f t="shared" si="1"/>
        <v>46121</v>
      </c>
      <c r="C39" s="11">
        <f t="shared" si="2"/>
        <v>46127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21922716</v>
      </c>
      <c r="K39" s="12" t="s">
        <v>66</v>
      </c>
      <c r="L39" s="12" t="s">
        <v>71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1057</v>
      </c>
      <c r="B40" s="11">
        <f t="shared" si="1"/>
        <v>46121</v>
      </c>
      <c r="C40" s="11">
        <f t="shared" si="2"/>
        <v>46127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21922734</v>
      </c>
      <c r="K40" s="12" t="s">
        <v>66</v>
      </c>
      <c r="L40" s="12" t="s">
        <v>72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1057</v>
      </c>
      <c r="B41" s="11">
        <f t="shared" si="1"/>
        <v>46121</v>
      </c>
      <c r="C41" s="11">
        <f t="shared" si="2"/>
        <v>46127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21922743</v>
      </c>
      <c r="K41" s="12" t="s">
        <v>66</v>
      </c>
      <c r="L41" s="12" t="s">
        <v>73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1057</v>
      </c>
      <c r="B42" s="11">
        <f t="shared" si="1"/>
        <v>46121</v>
      </c>
      <c r="C42" s="11">
        <f t="shared" si="2"/>
        <v>46127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21922752</v>
      </c>
      <c r="K42" s="12" t="s">
        <v>66</v>
      </c>
      <c r="L42" s="12" t="s">
        <v>74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1057</v>
      </c>
      <c r="B43" s="11">
        <f t="shared" si="1"/>
        <v>46121</v>
      </c>
      <c r="C43" s="11">
        <f t="shared" si="2"/>
        <v>46127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21922761</v>
      </c>
      <c r="K43" s="12" t="s">
        <v>66</v>
      </c>
      <c r="L43" s="12" t="s">
        <v>75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1057</v>
      </c>
      <c r="B44" s="11">
        <f t="shared" si="1"/>
        <v>46121</v>
      </c>
      <c r="C44" s="11">
        <f t="shared" si="2"/>
        <v>46127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24883487</v>
      </c>
      <c r="K44" s="12" t="s">
        <v>76</v>
      </c>
      <c r="L44" s="12" t="s">
        <v>77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1057</v>
      </c>
      <c r="B45" s="11">
        <f t="shared" si="1"/>
        <v>46121</v>
      </c>
      <c r="C45" s="11">
        <f t="shared" si="2"/>
        <v>46127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24883496</v>
      </c>
      <c r="K45" s="12" t="s">
        <v>76</v>
      </c>
      <c r="L45" s="12" t="s">
        <v>78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1057</v>
      </c>
      <c r="B46" s="11">
        <f t="shared" si="1"/>
        <v>46121</v>
      </c>
      <c r="C46" s="11">
        <f t="shared" si="2"/>
        <v>46127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24883503</v>
      </c>
      <c r="K46" s="12" t="s">
        <v>76</v>
      </c>
      <c r="L46" s="12" t="s">
        <v>79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1057</v>
      </c>
      <c r="B47" s="11">
        <f t="shared" si="1"/>
        <v>46121</v>
      </c>
      <c r="C47" s="11">
        <f t="shared" si="2"/>
        <v>46127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24883521</v>
      </c>
      <c r="K47" s="12" t="s">
        <v>76</v>
      </c>
      <c r="L47" s="12" t="s">
        <v>80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1057</v>
      </c>
      <c r="B48" s="11">
        <f t="shared" si="1"/>
        <v>46121</v>
      </c>
      <c r="C48" s="11">
        <f t="shared" si="2"/>
        <v>46127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24883558</v>
      </c>
      <c r="K48" s="12" t="s">
        <v>76</v>
      </c>
      <c r="L48" s="12" t="s">
        <v>81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1057</v>
      </c>
      <c r="B49" s="11">
        <f t="shared" si="1"/>
        <v>46121</v>
      </c>
      <c r="C49" s="11">
        <f t="shared" si="2"/>
        <v>46127</v>
      </c>
      <c r="D49" s="10">
        <v>3250</v>
      </c>
      <c r="E49" s="10">
        <v>332</v>
      </c>
      <c r="F49" s="10">
        <v>3</v>
      </c>
      <c r="G49" s="10">
        <v>4</v>
      </c>
      <c r="H49" s="10">
        <v>81548</v>
      </c>
      <c r="I49" s="10" t="s">
        <v>17</v>
      </c>
      <c r="J49" s="10">
        <v>24883709</v>
      </c>
      <c r="K49" s="12" t="s">
        <v>82</v>
      </c>
      <c r="L49" s="12" t="s">
        <v>83</v>
      </c>
      <c r="M49" s="13">
        <v>299900</v>
      </c>
      <c r="N49" s="14">
        <v>0.95</v>
      </c>
      <c r="O49" s="13">
        <f t="shared" si="0"/>
        <v>14995</v>
      </c>
      <c r="P49" s="10" t="s">
        <v>16</v>
      </c>
    </row>
    <row r="50" spans="1:16" x14ac:dyDescent="0.35">
      <c r="A50" s="10" t="s">
        <v>1057</v>
      </c>
      <c r="B50" s="11">
        <f t="shared" si="1"/>
        <v>46121</v>
      </c>
      <c r="C50" s="11">
        <f t="shared" si="2"/>
        <v>46127</v>
      </c>
      <c r="D50" s="10">
        <v>3250</v>
      </c>
      <c r="E50" s="10">
        <v>332</v>
      </c>
      <c r="F50" s="10">
        <v>3</v>
      </c>
      <c r="G50" s="10">
        <v>4</v>
      </c>
      <c r="H50" s="10">
        <v>81548</v>
      </c>
      <c r="I50" s="10" t="s">
        <v>17</v>
      </c>
      <c r="J50" s="10">
        <v>24883718</v>
      </c>
      <c r="K50" s="12" t="s">
        <v>82</v>
      </c>
      <c r="L50" s="12" t="s">
        <v>84</v>
      </c>
      <c r="M50" s="13">
        <v>299900</v>
      </c>
      <c r="N50" s="14">
        <v>0.95</v>
      </c>
      <c r="O50" s="13">
        <f t="shared" si="0"/>
        <v>14995</v>
      </c>
      <c r="P50" s="10" t="s">
        <v>16</v>
      </c>
    </row>
    <row r="51" spans="1:16" x14ac:dyDescent="0.35">
      <c r="A51" s="10" t="s">
        <v>1057</v>
      </c>
      <c r="B51" s="11">
        <f t="shared" si="1"/>
        <v>46121</v>
      </c>
      <c r="C51" s="11">
        <f t="shared" si="2"/>
        <v>46127</v>
      </c>
      <c r="D51" s="10">
        <v>3250</v>
      </c>
      <c r="E51" s="10">
        <v>332</v>
      </c>
      <c r="F51" s="10">
        <v>3</v>
      </c>
      <c r="G51" s="10">
        <v>4</v>
      </c>
      <c r="H51" s="10">
        <v>81548</v>
      </c>
      <c r="I51" s="10" t="s">
        <v>17</v>
      </c>
      <c r="J51" s="10">
        <v>24883754</v>
      </c>
      <c r="K51" s="12" t="s">
        <v>82</v>
      </c>
      <c r="L51" s="12" t="s">
        <v>85</v>
      </c>
      <c r="M51" s="13">
        <v>299900</v>
      </c>
      <c r="N51" s="14">
        <v>0.95</v>
      </c>
      <c r="O51" s="13">
        <f t="shared" si="0"/>
        <v>14995</v>
      </c>
      <c r="P51" s="10" t="s">
        <v>16</v>
      </c>
    </row>
    <row r="52" spans="1:16" x14ac:dyDescent="0.35">
      <c r="A52" s="10" t="s">
        <v>1057</v>
      </c>
      <c r="B52" s="11">
        <f t="shared" si="1"/>
        <v>46121</v>
      </c>
      <c r="C52" s="11">
        <f t="shared" si="2"/>
        <v>46127</v>
      </c>
      <c r="D52" s="10">
        <v>3250</v>
      </c>
      <c r="E52" s="10">
        <v>332</v>
      </c>
      <c r="F52" s="10">
        <v>3</v>
      </c>
      <c r="G52" s="10">
        <v>4</v>
      </c>
      <c r="H52" s="10">
        <v>81548</v>
      </c>
      <c r="I52" s="10" t="s">
        <v>17</v>
      </c>
      <c r="J52" s="10">
        <v>24883763</v>
      </c>
      <c r="K52" s="12" t="s">
        <v>82</v>
      </c>
      <c r="L52" s="12" t="s">
        <v>86</v>
      </c>
      <c r="M52" s="13">
        <v>299900</v>
      </c>
      <c r="N52" s="14">
        <v>0.95</v>
      </c>
      <c r="O52" s="13">
        <f t="shared" si="0"/>
        <v>14995</v>
      </c>
      <c r="P52" s="10" t="s">
        <v>16</v>
      </c>
    </row>
    <row r="53" spans="1:16" x14ac:dyDescent="0.35">
      <c r="A53" s="10" t="s">
        <v>1057</v>
      </c>
      <c r="B53" s="11">
        <f t="shared" si="1"/>
        <v>46121</v>
      </c>
      <c r="C53" s="11">
        <f t="shared" si="2"/>
        <v>46127</v>
      </c>
      <c r="D53" s="10">
        <v>3250</v>
      </c>
      <c r="E53" s="10">
        <v>332</v>
      </c>
      <c r="F53" s="10">
        <v>3</v>
      </c>
      <c r="G53" s="10">
        <v>4</v>
      </c>
      <c r="H53" s="10">
        <v>81548</v>
      </c>
      <c r="I53" s="10" t="s">
        <v>17</v>
      </c>
      <c r="J53" s="10">
        <v>24883772</v>
      </c>
      <c r="K53" s="12" t="s">
        <v>82</v>
      </c>
      <c r="L53" s="12" t="s">
        <v>87</v>
      </c>
      <c r="M53" s="13">
        <v>299900</v>
      </c>
      <c r="N53" s="14">
        <v>0.95</v>
      </c>
      <c r="O53" s="13">
        <f t="shared" si="0"/>
        <v>14995</v>
      </c>
      <c r="P53" s="10" t="s">
        <v>16</v>
      </c>
    </row>
    <row r="54" spans="1:16" x14ac:dyDescent="0.35">
      <c r="A54" s="10" t="s">
        <v>1057</v>
      </c>
      <c r="B54" s="11">
        <f t="shared" si="1"/>
        <v>46121</v>
      </c>
      <c r="C54" s="11">
        <f t="shared" si="2"/>
        <v>46127</v>
      </c>
      <c r="D54" s="10">
        <v>3250</v>
      </c>
      <c r="E54" s="10">
        <v>332</v>
      </c>
      <c r="F54" s="10">
        <v>3</v>
      </c>
      <c r="G54" s="10">
        <v>4</v>
      </c>
      <c r="H54" s="10">
        <v>81548</v>
      </c>
      <c r="I54" s="10" t="s">
        <v>17</v>
      </c>
      <c r="J54" s="10">
        <v>24883781</v>
      </c>
      <c r="K54" s="12" t="s">
        <v>82</v>
      </c>
      <c r="L54" s="12" t="s">
        <v>88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1057</v>
      </c>
      <c r="B55" s="11">
        <f t="shared" si="1"/>
        <v>46121</v>
      </c>
      <c r="C55" s="11">
        <f t="shared" si="2"/>
        <v>46127</v>
      </c>
      <c r="D55" s="10">
        <v>3250</v>
      </c>
      <c r="E55" s="10">
        <v>332</v>
      </c>
      <c r="F55" s="10">
        <v>3</v>
      </c>
      <c r="G55" s="10">
        <v>4</v>
      </c>
      <c r="H55" s="10">
        <v>81548</v>
      </c>
      <c r="I55" s="10" t="s">
        <v>17</v>
      </c>
      <c r="J55" s="10">
        <v>24883790</v>
      </c>
      <c r="K55" s="12" t="s">
        <v>82</v>
      </c>
      <c r="L55" s="12" t="s">
        <v>89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1057</v>
      </c>
      <c r="B56" s="11">
        <f t="shared" si="1"/>
        <v>46121</v>
      </c>
      <c r="C56" s="11">
        <f t="shared" si="2"/>
        <v>46127</v>
      </c>
      <c r="D56" s="10">
        <v>3250</v>
      </c>
      <c r="E56" s="10">
        <v>332</v>
      </c>
      <c r="F56" s="10">
        <v>3</v>
      </c>
      <c r="G56" s="10">
        <v>4</v>
      </c>
      <c r="H56" s="10">
        <v>81548</v>
      </c>
      <c r="I56" s="10" t="s">
        <v>17</v>
      </c>
      <c r="J56" s="10">
        <v>24888964</v>
      </c>
      <c r="K56" s="12" t="s">
        <v>90</v>
      </c>
      <c r="L56" s="12" t="s">
        <v>91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1057</v>
      </c>
      <c r="B57" s="11">
        <f t="shared" si="1"/>
        <v>46121</v>
      </c>
      <c r="C57" s="11">
        <f t="shared" si="2"/>
        <v>46127</v>
      </c>
      <c r="D57" s="10">
        <v>3250</v>
      </c>
      <c r="E57" s="10">
        <v>332</v>
      </c>
      <c r="F57" s="10">
        <v>3</v>
      </c>
      <c r="G57" s="10">
        <v>4</v>
      </c>
      <c r="H57" s="10">
        <v>81548</v>
      </c>
      <c r="I57" s="10" t="s">
        <v>17</v>
      </c>
      <c r="J57" s="10">
        <v>24888973</v>
      </c>
      <c r="K57" s="12" t="s">
        <v>90</v>
      </c>
      <c r="L57" s="12" t="s">
        <v>92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1057</v>
      </c>
      <c r="B58" s="11">
        <f t="shared" si="1"/>
        <v>46121</v>
      </c>
      <c r="C58" s="11">
        <f t="shared" si="2"/>
        <v>46127</v>
      </c>
      <c r="D58" s="10">
        <v>3250</v>
      </c>
      <c r="E58" s="10">
        <v>332</v>
      </c>
      <c r="F58" s="10">
        <v>3</v>
      </c>
      <c r="G58" s="10">
        <v>4</v>
      </c>
      <c r="H58" s="10">
        <v>81548</v>
      </c>
      <c r="I58" s="10" t="s">
        <v>17</v>
      </c>
      <c r="J58" s="10">
        <v>24888982</v>
      </c>
      <c r="K58" s="12" t="s">
        <v>90</v>
      </c>
      <c r="L58" s="12" t="s">
        <v>93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1057</v>
      </c>
      <c r="B59" s="11">
        <f t="shared" si="1"/>
        <v>46121</v>
      </c>
      <c r="C59" s="11">
        <f t="shared" si="2"/>
        <v>46127</v>
      </c>
      <c r="D59" s="10">
        <v>3250</v>
      </c>
      <c r="E59" s="10">
        <v>332</v>
      </c>
      <c r="F59" s="10">
        <v>3</v>
      </c>
      <c r="G59" s="10">
        <v>4</v>
      </c>
      <c r="H59" s="10">
        <v>81548</v>
      </c>
      <c r="I59" s="10" t="s">
        <v>17</v>
      </c>
      <c r="J59" s="10">
        <v>24888991</v>
      </c>
      <c r="K59" s="12" t="s">
        <v>90</v>
      </c>
      <c r="L59" s="12" t="s">
        <v>94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1057</v>
      </c>
      <c r="B60" s="11">
        <f t="shared" si="1"/>
        <v>46121</v>
      </c>
      <c r="C60" s="11">
        <f t="shared" si="2"/>
        <v>46127</v>
      </c>
      <c r="D60" s="10">
        <v>3250</v>
      </c>
      <c r="E60" s="10">
        <v>332</v>
      </c>
      <c r="F60" s="10">
        <v>3</v>
      </c>
      <c r="G60" s="10">
        <v>4</v>
      </c>
      <c r="H60" s="10">
        <v>81548</v>
      </c>
      <c r="I60" s="10" t="s">
        <v>17</v>
      </c>
      <c r="J60" s="10">
        <v>24889007</v>
      </c>
      <c r="K60" s="12" t="s">
        <v>90</v>
      </c>
      <c r="L60" s="12" t="s">
        <v>95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1057</v>
      </c>
      <c r="B61" s="11">
        <f t="shared" si="1"/>
        <v>46121</v>
      </c>
      <c r="C61" s="11">
        <f t="shared" si="2"/>
        <v>46127</v>
      </c>
      <c r="D61" s="10">
        <v>3250</v>
      </c>
      <c r="E61" s="10">
        <v>332</v>
      </c>
      <c r="F61" s="10">
        <v>3</v>
      </c>
      <c r="G61" s="10">
        <v>4</v>
      </c>
      <c r="H61" s="10">
        <v>81548</v>
      </c>
      <c r="I61" s="10" t="s">
        <v>17</v>
      </c>
      <c r="J61" s="10">
        <v>24889016</v>
      </c>
      <c r="K61" s="12" t="s">
        <v>90</v>
      </c>
      <c r="L61" s="12" t="s">
        <v>96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1057</v>
      </c>
      <c r="B62" s="11">
        <f t="shared" si="1"/>
        <v>46121</v>
      </c>
      <c r="C62" s="11">
        <f t="shared" si="2"/>
        <v>46127</v>
      </c>
      <c r="D62" s="10">
        <v>3250</v>
      </c>
      <c r="E62" s="10">
        <v>332</v>
      </c>
      <c r="F62" s="10">
        <v>3</v>
      </c>
      <c r="G62" s="10">
        <v>4</v>
      </c>
      <c r="H62" s="10">
        <v>81548</v>
      </c>
      <c r="I62" s="10" t="s">
        <v>17</v>
      </c>
      <c r="J62" s="10">
        <v>24889025</v>
      </c>
      <c r="K62" s="12" t="s">
        <v>90</v>
      </c>
      <c r="L62" s="12" t="s">
        <v>97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1057</v>
      </c>
      <c r="B63" s="11">
        <f t="shared" si="1"/>
        <v>46121</v>
      </c>
      <c r="C63" s="11">
        <f t="shared" si="2"/>
        <v>46127</v>
      </c>
      <c r="D63" s="10">
        <v>3250</v>
      </c>
      <c r="E63" s="10">
        <v>332</v>
      </c>
      <c r="F63" s="10">
        <v>3</v>
      </c>
      <c r="G63" s="10">
        <v>4</v>
      </c>
      <c r="H63" s="10">
        <v>81548</v>
      </c>
      <c r="I63" s="10" t="s">
        <v>17</v>
      </c>
      <c r="J63" s="10">
        <v>24889034</v>
      </c>
      <c r="K63" s="12" t="s">
        <v>90</v>
      </c>
      <c r="L63" s="12" t="s">
        <v>98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1057</v>
      </c>
      <c r="B64" s="11">
        <f t="shared" si="1"/>
        <v>46121</v>
      </c>
      <c r="C64" s="11">
        <f t="shared" si="2"/>
        <v>46127</v>
      </c>
      <c r="D64" s="10">
        <v>3250</v>
      </c>
      <c r="E64" s="10">
        <v>332</v>
      </c>
      <c r="F64" s="10">
        <v>3</v>
      </c>
      <c r="G64" s="10">
        <v>4</v>
      </c>
      <c r="H64" s="10">
        <v>81548</v>
      </c>
      <c r="I64" s="10" t="s">
        <v>17</v>
      </c>
      <c r="J64" s="10">
        <v>24889043</v>
      </c>
      <c r="K64" s="12" t="s">
        <v>90</v>
      </c>
      <c r="L64" s="12" t="s">
        <v>99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1057</v>
      </c>
      <c r="B65" s="11">
        <f t="shared" si="1"/>
        <v>46121</v>
      </c>
      <c r="C65" s="11">
        <f t="shared" si="2"/>
        <v>46127</v>
      </c>
      <c r="D65" s="10">
        <v>3250</v>
      </c>
      <c r="E65" s="10">
        <v>332</v>
      </c>
      <c r="F65" s="10">
        <v>3</v>
      </c>
      <c r="G65" s="10">
        <v>4</v>
      </c>
      <c r="H65" s="10">
        <v>81548</v>
      </c>
      <c r="I65" s="10" t="s">
        <v>17</v>
      </c>
      <c r="J65" s="10">
        <v>24889114</v>
      </c>
      <c r="K65" s="12" t="s">
        <v>100</v>
      </c>
      <c r="L65" s="12" t="s">
        <v>101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1057</v>
      </c>
      <c r="B66" s="11">
        <f t="shared" si="1"/>
        <v>46121</v>
      </c>
      <c r="C66" s="11">
        <f t="shared" si="2"/>
        <v>46127</v>
      </c>
      <c r="D66" s="10">
        <v>3250</v>
      </c>
      <c r="E66" s="10">
        <v>332</v>
      </c>
      <c r="F66" s="10">
        <v>3</v>
      </c>
      <c r="G66" s="10">
        <v>4</v>
      </c>
      <c r="H66" s="10">
        <v>81548</v>
      </c>
      <c r="I66" s="10" t="s">
        <v>17</v>
      </c>
      <c r="J66" s="10">
        <v>24889123</v>
      </c>
      <c r="K66" s="12" t="s">
        <v>100</v>
      </c>
      <c r="L66" s="12" t="s">
        <v>102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1057</v>
      </c>
      <c r="B67" s="11">
        <f t="shared" si="1"/>
        <v>46121</v>
      </c>
      <c r="C67" s="11">
        <f t="shared" si="2"/>
        <v>46127</v>
      </c>
      <c r="D67" s="10">
        <v>3250</v>
      </c>
      <c r="E67" s="10">
        <v>332</v>
      </c>
      <c r="F67" s="10">
        <v>3</v>
      </c>
      <c r="G67" s="10">
        <v>4</v>
      </c>
      <c r="H67" s="10">
        <v>81548</v>
      </c>
      <c r="I67" s="10" t="s">
        <v>17</v>
      </c>
      <c r="J67" s="10">
        <v>24889132</v>
      </c>
      <c r="K67" s="12" t="s">
        <v>100</v>
      </c>
      <c r="L67" s="12" t="s">
        <v>103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1057</v>
      </c>
      <c r="B68" s="11">
        <f t="shared" ref="B68:B131" si="4">B67</f>
        <v>46121</v>
      </c>
      <c r="C68" s="11">
        <f t="shared" ref="C68:C131" si="5">C67</f>
        <v>46127</v>
      </c>
      <c r="D68" s="10">
        <v>3250</v>
      </c>
      <c r="E68" s="10">
        <v>332</v>
      </c>
      <c r="F68" s="10">
        <v>3</v>
      </c>
      <c r="G68" s="10">
        <v>4</v>
      </c>
      <c r="H68" s="10">
        <v>81548</v>
      </c>
      <c r="I68" s="10" t="s">
        <v>17</v>
      </c>
      <c r="J68" s="10">
        <v>24889141</v>
      </c>
      <c r="K68" s="12" t="s">
        <v>100</v>
      </c>
      <c r="L68" s="12" t="s">
        <v>104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1057</v>
      </c>
      <c r="B69" s="11">
        <f t="shared" si="4"/>
        <v>46121</v>
      </c>
      <c r="C69" s="11">
        <f t="shared" si="5"/>
        <v>46127</v>
      </c>
      <c r="D69" s="10">
        <v>3250</v>
      </c>
      <c r="E69" s="10">
        <v>332</v>
      </c>
      <c r="F69" s="10">
        <v>3</v>
      </c>
      <c r="G69" s="10">
        <v>4</v>
      </c>
      <c r="H69" s="10">
        <v>81548</v>
      </c>
      <c r="I69" s="10" t="s">
        <v>17</v>
      </c>
      <c r="J69" s="10">
        <v>24889150</v>
      </c>
      <c r="K69" s="12" t="s">
        <v>100</v>
      </c>
      <c r="L69" s="12" t="s">
        <v>105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1057</v>
      </c>
      <c r="B70" s="11">
        <f t="shared" si="4"/>
        <v>46121</v>
      </c>
      <c r="C70" s="11">
        <f t="shared" si="5"/>
        <v>46127</v>
      </c>
      <c r="D70" s="10">
        <v>3250</v>
      </c>
      <c r="E70" s="10">
        <v>332</v>
      </c>
      <c r="F70" s="10">
        <v>3</v>
      </c>
      <c r="G70" s="10">
        <v>4</v>
      </c>
      <c r="H70" s="10">
        <v>81548</v>
      </c>
      <c r="I70" s="10" t="s">
        <v>17</v>
      </c>
      <c r="J70" s="10">
        <v>24889178</v>
      </c>
      <c r="K70" s="12" t="s">
        <v>100</v>
      </c>
      <c r="L70" s="12" t="s">
        <v>106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1057</v>
      </c>
      <c r="B71" s="11">
        <f t="shared" si="4"/>
        <v>46121</v>
      </c>
      <c r="C71" s="11">
        <f t="shared" si="5"/>
        <v>46127</v>
      </c>
      <c r="D71" s="10">
        <v>3250</v>
      </c>
      <c r="E71" s="10">
        <v>332</v>
      </c>
      <c r="F71" s="10">
        <v>3</v>
      </c>
      <c r="G71" s="10">
        <v>1</v>
      </c>
      <c r="H71" s="10">
        <v>81314</v>
      </c>
      <c r="I71" s="10" t="s">
        <v>17</v>
      </c>
      <c r="J71" s="10">
        <v>16115205</v>
      </c>
      <c r="K71" s="12" t="s">
        <v>107</v>
      </c>
      <c r="L71" s="12" t="s">
        <v>108</v>
      </c>
      <c r="M71" s="13">
        <v>239900</v>
      </c>
      <c r="N71" s="14">
        <v>0.95</v>
      </c>
      <c r="O71" s="13">
        <f t="shared" si="3"/>
        <v>11995</v>
      </c>
      <c r="P71" s="10" t="s">
        <v>16</v>
      </c>
    </row>
    <row r="72" spans="1:16" x14ac:dyDescent="0.35">
      <c r="A72" s="10" t="s">
        <v>1057</v>
      </c>
      <c r="B72" s="11">
        <f t="shared" si="4"/>
        <v>46121</v>
      </c>
      <c r="C72" s="11">
        <f t="shared" si="5"/>
        <v>46127</v>
      </c>
      <c r="D72" s="10">
        <v>3250</v>
      </c>
      <c r="E72" s="10">
        <v>332</v>
      </c>
      <c r="F72" s="10">
        <v>3</v>
      </c>
      <c r="G72" s="10">
        <v>1</v>
      </c>
      <c r="H72" s="10">
        <v>81314</v>
      </c>
      <c r="I72" s="10" t="s">
        <v>17</v>
      </c>
      <c r="J72" s="10">
        <v>17459413</v>
      </c>
      <c r="K72" s="12" t="s">
        <v>109</v>
      </c>
      <c r="L72" s="12" t="s">
        <v>110</v>
      </c>
      <c r="M72" s="13">
        <v>249900</v>
      </c>
      <c r="N72" s="14">
        <v>0.95</v>
      </c>
      <c r="O72" s="13">
        <f t="shared" si="3"/>
        <v>12495</v>
      </c>
      <c r="P72" s="10" t="s">
        <v>16</v>
      </c>
    </row>
    <row r="73" spans="1:16" x14ac:dyDescent="0.35">
      <c r="A73" s="10" t="s">
        <v>1057</v>
      </c>
      <c r="B73" s="11">
        <f t="shared" si="4"/>
        <v>46121</v>
      </c>
      <c r="C73" s="11">
        <f t="shared" si="5"/>
        <v>46127</v>
      </c>
      <c r="D73" s="10">
        <v>3250</v>
      </c>
      <c r="E73" s="10">
        <v>332</v>
      </c>
      <c r="F73" s="10">
        <v>3</v>
      </c>
      <c r="G73" s="10">
        <v>1</v>
      </c>
      <c r="H73" s="10">
        <v>81314</v>
      </c>
      <c r="I73" s="10" t="s">
        <v>17</v>
      </c>
      <c r="J73" s="10">
        <v>20595500</v>
      </c>
      <c r="K73" s="12" t="s">
        <v>111</v>
      </c>
      <c r="L73" s="12" t="s">
        <v>112</v>
      </c>
      <c r="M73" s="13">
        <v>259900</v>
      </c>
      <c r="N73" s="14">
        <v>0.95</v>
      </c>
      <c r="O73" s="13">
        <f t="shared" si="3"/>
        <v>12995</v>
      </c>
      <c r="P73" s="10" t="s">
        <v>16</v>
      </c>
    </row>
    <row r="74" spans="1:16" x14ac:dyDescent="0.35">
      <c r="A74" s="10" t="s">
        <v>1057</v>
      </c>
      <c r="B74" s="11">
        <f t="shared" si="4"/>
        <v>46121</v>
      </c>
      <c r="C74" s="11">
        <f t="shared" si="5"/>
        <v>46127</v>
      </c>
      <c r="D74" s="10">
        <v>3250</v>
      </c>
      <c r="E74" s="10">
        <v>332</v>
      </c>
      <c r="F74" s="10">
        <v>3</v>
      </c>
      <c r="G74" s="10">
        <v>1</v>
      </c>
      <c r="H74" s="10">
        <v>81314</v>
      </c>
      <c r="I74" s="10" t="s">
        <v>17</v>
      </c>
      <c r="J74" s="10">
        <v>20595519</v>
      </c>
      <c r="K74" s="12" t="s">
        <v>111</v>
      </c>
      <c r="L74" s="12" t="s">
        <v>113</v>
      </c>
      <c r="M74" s="13">
        <v>259900</v>
      </c>
      <c r="N74" s="14">
        <v>0.95</v>
      </c>
      <c r="O74" s="13">
        <f t="shared" si="3"/>
        <v>12995</v>
      </c>
      <c r="P74" s="10" t="s">
        <v>16</v>
      </c>
    </row>
    <row r="75" spans="1:16" x14ac:dyDescent="0.35">
      <c r="A75" s="10" t="s">
        <v>1057</v>
      </c>
      <c r="B75" s="11">
        <f t="shared" si="4"/>
        <v>46121</v>
      </c>
      <c r="C75" s="11">
        <f t="shared" si="5"/>
        <v>46127</v>
      </c>
      <c r="D75" s="10">
        <v>3250</v>
      </c>
      <c r="E75" s="10">
        <v>332</v>
      </c>
      <c r="F75" s="10">
        <v>3</v>
      </c>
      <c r="G75" s="10">
        <v>1</v>
      </c>
      <c r="H75" s="10">
        <v>81314</v>
      </c>
      <c r="I75" s="10" t="s">
        <v>17</v>
      </c>
      <c r="J75" s="10">
        <v>20595528</v>
      </c>
      <c r="K75" s="12" t="s">
        <v>111</v>
      </c>
      <c r="L75" s="12" t="s">
        <v>114</v>
      </c>
      <c r="M75" s="13">
        <v>259900</v>
      </c>
      <c r="N75" s="14">
        <v>0.95</v>
      </c>
      <c r="O75" s="13">
        <f t="shared" si="3"/>
        <v>12995</v>
      </c>
      <c r="P75" s="10" t="s">
        <v>16</v>
      </c>
    </row>
    <row r="76" spans="1:16" x14ac:dyDescent="0.35">
      <c r="A76" s="10" t="s">
        <v>1057</v>
      </c>
      <c r="B76" s="11">
        <f t="shared" si="4"/>
        <v>46121</v>
      </c>
      <c r="C76" s="11">
        <f t="shared" si="5"/>
        <v>46127</v>
      </c>
      <c r="D76" s="10">
        <v>3250</v>
      </c>
      <c r="E76" s="10">
        <v>332</v>
      </c>
      <c r="F76" s="10">
        <v>3</v>
      </c>
      <c r="G76" s="10">
        <v>1</v>
      </c>
      <c r="H76" s="10">
        <v>81314</v>
      </c>
      <c r="I76" s="10" t="s">
        <v>17</v>
      </c>
      <c r="J76" s="10">
        <v>20595537</v>
      </c>
      <c r="K76" s="12" t="s">
        <v>111</v>
      </c>
      <c r="L76" s="12" t="s">
        <v>115</v>
      </c>
      <c r="M76" s="13">
        <v>259900</v>
      </c>
      <c r="N76" s="14">
        <v>0.95</v>
      </c>
      <c r="O76" s="13">
        <f t="shared" si="3"/>
        <v>12995</v>
      </c>
      <c r="P76" s="10" t="s">
        <v>16</v>
      </c>
    </row>
    <row r="77" spans="1:16" x14ac:dyDescent="0.35">
      <c r="A77" s="10" t="s">
        <v>1057</v>
      </c>
      <c r="B77" s="11">
        <f t="shared" si="4"/>
        <v>46121</v>
      </c>
      <c r="C77" s="11">
        <f t="shared" si="5"/>
        <v>46127</v>
      </c>
      <c r="D77" s="10">
        <v>3250</v>
      </c>
      <c r="E77" s="10">
        <v>332</v>
      </c>
      <c r="F77" s="10">
        <v>3</v>
      </c>
      <c r="G77" s="10">
        <v>1</v>
      </c>
      <c r="H77" s="10">
        <v>81314</v>
      </c>
      <c r="I77" s="10" t="s">
        <v>17</v>
      </c>
      <c r="J77" s="10">
        <v>20748989</v>
      </c>
      <c r="K77" s="12" t="s">
        <v>116</v>
      </c>
      <c r="L77" s="12" t="s">
        <v>117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1057</v>
      </c>
      <c r="B78" s="11">
        <f t="shared" si="4"/>
        <v>46121</v>
      </c>
      <c r="C78" s="11">
        <f t="shared" si="5"/>
        <v>46127</v>
      </c>
      <c r="D78" s="10">
        <v>3250</v>
      </c>
      <c r="E78" s="10">
        <v>332</v>
      </c>
      <c r="F78" s="10">
        <v>3</v>
      </c>
      <c r="G78" s="10">
        <v>1</v>
      </c>
      <c r="H78" s="10">
        <v>81314</v>
      </c>
      <c r="I78" s="10" t="s">
        <v>17</v>
      </c>
      <c r="J78" s="10">
        <v>20748998</v>
      </c>
      <c r="K78" s="12" t="s">
        <v>116</v>
      </c>
      <c r="L78" s="12" t="s">
        <v>118</v>
      </c>
      <c r="M78" s="13">
        <v>269900</v>
      </c>
      <c r="N78" s="14">
        <v>0.95</v>
      </c>
      <c r="O78" s="13">
        <f t="shared" si="3"/>
        <v>13495</v>
      </c>
      <c r="P78" s="10" t="s">
        <v>16</v>
      </c>
    </row>
    <row r="79" spans="1:16" x14ac:dyDescent="0.35">
      <c r="A79" s="10" t="s">
        <v>1057</v>
      </c>
      <c r="B79" s="11">
        <f t="shared" si="4"/>
        <v>46121</v>
      </c>
      <c r="C79" s="11">
        <f t="shared" si="5"/>
        <v>46127</v>
      </c>
      <c r="D79" s="10">
        <v>3250</v>
      </c>
      <c r="E79" s="10">
        <v>332</v>
      </c>
      <c r="F79" s="10">
        <v>3</v>
      </c>
      <c r="G79" s="10">
        <v>1</v>
      </c>
      <c r="H79" s="10">
        <v>81314</v>
      </c>
      <c r="I79" s="10" t="s">
        <v>17</v>
      </c>
      <c r="J79" s="10">
        <v>20749004</v>
      </c>
      <c r="K79" s="12" t="s">
        <v>116</v>
      </c>
      <c r="L79" s="12" t="s">
        <v>119</v>
      </c>
      <c r="M79" s="13">
        <v>269900</v>
      </c>
      <c r="N79" s="14">
        <v>0.95</v>
      </c>
      <c r="O79" s="13">
        <f t="shared" si="3"/>
        <v>13495</v>
      </c>
      <c r="P79" s="10" t="s">
        <v>16</v>
      </c>
    </row>
    <row r="80" spans="1:16" x14ac:dyDescent="0.35">
      <c r="A80" s="10" t="s">
        <v>1057</v>
      </c>
      <c r="B80" s="11">
        <f t="shared" si="4"/>
        <v>46121</v>
      </c>
      <c r="C80" s="11">
        <f t="shared" si="5"/>
        <v>46127</v>
      </c>
      <c r="D80" s="10">
        <v>3250</v>
      </c>
      <c r="E80" s="10">
        <v>332</v>
      </c>
      <c r="F80" s="10">
        <v>3</v>
      </c>
      <c r="G80" s="10">
        <v>1</v>
      </c>
      <c r="H80" s="10">
        <v>81314</v>
      </c>
      <c r="I80" s="10" t="s">
        <v>17</v>
      </c>
      <c r="J80" s="10">
        <v>20749022</v>
      </c>
      <c r="K80" s="12" t="s">
        <v>116</v>
      </c>
      <c r="L80" s="12" t="s">
        <v>120</v>
      </c>
      <c r="M80" s="13">
        <v>269900</v>
      </c>
      <c r="N80" s="14">
        <v>0.95</v>
      </c>
      <c r="O80" s="13">
        <f t="shared" si="3"/>
        <v>13495</v>
      </c>
      <c r="P80" s="10" t="s">
        <v>16</v>
      </c>
    </row>
    <row r="81" spans="1:16" x14ac:dyDescent="0.35">
      <c r="A81" s="10" t="s">
        <v>1057</v>
      </c>
      <c r="B81" s="11">
        <f t="shared" si="4"/>
        <v>46121</v>
      </c>
      <c r="C81" s="11">
        <f t="shared" si="5"/>
        <v>46127</v>
      </c>
      <c r="D81" s="10">
        <v>3250</v>
      </c>
      <c r="E81" s="10">
        <v>332</v>
      </c>
      <c r="F81" s="10">
        <v>3</v>
      </c>
      <c r="G81" s="10">
        <v>1</v>
      </c>
      <c r="H81" s="10">
        <v>81314</v>
      </c>
      <c r="I81" s="10" t="s">
        <v>17</v>
      </c>
      <c r="J81" s="10">
        <v>20758656</v>
      </c>
      <c r="K81" s="12" t="s">
        <v>121</v>
      </c>
      <c r="L81" s="12" t="s">
        <v>122</v>
      </c>
      <c r="M81" s="13">
        <v>269900</v>
      </c>
      <c r="N81" s="14">
        <v>0.95</v>
      </c>
      <c r="O81" s="13">
        <f t="shared" si="3"/>
        <v>13495</v>
      </c>
      <c r="P81" s="10" t="s">
        <v>16</v>
      </c>
    </row>
    <row r="82" spans="1:16" x14ac:dyDescent="0.35">
      <c r="A82" s="10" t="s">
        <v>1057</v>
      </c>
      <c r="B82" s="11">
        <f t="shared" si="4"/>
        <v>46121</v>
      </c>
      <c r="C82" s="11">
        <f t="shared" si="5"/>
        <v>46127</v>
      </c>
      <c r="D82" s="10">
        <v>3250</v>
      </c>
      <c r="E82" s="10">
        <v>332</v>
      </c>
      <c r="F82" s="10">
        <v>3</v>
      </c>
      <c r="G82" s="10">
        <v>1</v>
      </c>
      <c r="H82" s="10">
        <v>81314</v>
      </c>
      <c r="I82" s="10" t="s">
        <v>17</v>
      </c>
      <c r="J82" s="10">
        <v>20758665</v>
      </c>
      <c r="K82" s="12" t="s">
        <v>121</v>
      </c>
      <c r="L82" s="12" t="s">
        <v>123</v>
      </c>
      <c r="M82" s="13">
        <v>269900</v>
      </c>
      <c r="N82" s="14">
        <v>0.95</v>
      </c>
      <c r="O82" s="13">
        <f t="shared" si="3"/>
        <v>13495</v>
      </c>
      <c r="P82" s="10" t="s">
        <v>16</v>
      </c>
    </row>
    <row r="83" spans="1:16" x14ac:dyDescent="0.35">
      <c r="A83" s="10" t="s">
        <v>1057</v>
      </c>
      <c r="B83" s="11">
        <f t="shared" si="4"/>
        <v>46121</v>
      </c>
      <c r="C83" s="11">
        <f t="shared" si="5"/>
        <v>46127</v>
      </c>
      <c r="D83" s="10">
        <v>3250</v>
      </c>
      <c r="E83" s="10">
        <v>332</v>
      </c>
      <c r="F83" s="10">
        <v>3</v>
      </c>
      <c r="G83" s="10">
        <v>1</v>
      </c>
      <c r="H83" s="10">
        <v>81314</v>
      </c>
      <c r="I83" s="10" t="s">
        <v>17</v>
      </c>
      <c r="J83" s="10">
        <v>20758674</v>
      </c>
      <c r="K83" s="12" t="s">
        <v>121</v>
      </c>
      <c r="L83" s="12" t="s">
        <v>124</v>
      </c>
      <c r="M83" s="13">
        <v>269900</v>
      </c>
      <c r="N83" s="14">
        <v>0.95</v>
      </c>
      <c r="O83" s="13">
        <f t="shared" si="3"/>
        <v>13495</v>
      </c>
      <c r="P83" s="10" t="s">
        <v>16</v>
      </c>
    </row>
    <row r="84" spans="1:16" x14ac:dyDescent="0.35">
      <c r="A84" s="10" t="s">
        <v>1057</v>
      </c>
      <c r="B84" s="11">
        <f t="shared" si="4"/>
        <v>46121</v>
      </c>
      <c r="C84" s="11">
        <f t="shared" si="5"/>
        <v>46127</v>
      </c>
      <c r="D84" s="10">
        <v>3250</v>
      </c>
      <c r="E84" s="10">
        <v>332</v>
      </c>
      <c r="F84" s="10">
        <v>3</v>
      </c>
      <c r="G84" s="10">
        <v>1</v>
      </c>
      <c r="H84" s="10">
        <v>81314</v>
      </c>
      <c r="I84" s="10" t="s">
        <v>17</v>
      </c>
      <c r="J84" s="10">
        <v>20758683</v>
      </c>
      <c r="K84" s="12" t="s">
        <v>121</v>
      </c>
      <c r="L84" s="12" t="s">
        <v>125</v>
      </c>
      <c r="M84" s="13">
        <v>269900</v>
      </c>
      <c r="N84" s="14">
        <v>0.95</v>
      </c>
      <c r="O84" s="13">
        <f t="shared" si="3"/>
        <v>13495</v>
      </c>
      <c r="P84" s="10" t="s">
        <v>16</v>
      </c>
    </row>
    <row r="85" spans="1:16" x14ac:dyDescent="0.35">
      <c r="A85" s="10" t="s">
        <v>1057</v>
      </c>
      <c r="B85" s="11">
        <f t="shared" si="4"/>
        <v>46121</v>
      </c>
      <c r="C85" s="11">
        <f t="shared" si="5"/>
        <v>46127</v>
      </c>
      <c r="D85" s="10">
        <v>3250</v>
      </c>
      <c r="E85" s="10">
        <v>332</v>
      </c>
      <c r="F85" s="10">
        <v>3</v>
      </c>
      <c r="G85" s="10">
        <v>1</v>
      </c>
      <c r="H85" s="10">
        <v>81571</v>
      </c>
      <c r="I85" s="10" t="s">
        <v>17</v>
      </c>
      <c r="J85" s="10">
        <v>20220735</v>
      </c>
      <c r="K85" s="12" t="s">
        <v>126</v>
      </c>
      <c r="L85" s="12" t="s">
        <v>127</v>
      </c>
      <c r="M85" s="13">
        <v>269900</v>
      </c>
      <c r="N85" s="14">
        <v>0.95</v>
      </c>
      <c r="O85" s="13">
        <f t="shared" si="3"/>
        <v>13495</v>
      </c>
      <c r="P85" s="10" t="s">
        <v>16</v>
      </c>
    </row>
    <row r="86" spans="1:16" x14ac:dyDescent="0.35">
      <c r="A86" s="10" t="s">
        <v>1057</v>
      </c>
      <c r="B86" s="11">
        <f t="shared" si="4"/>
        <v>46121</v>
      </c>
      <c r="C86" s="11">
        <f t="shared" si="5"/>
        <v>46127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20597839</v>
      </c>
      <c r="K86" s="12" t="s">
        <v>128</v>
      </c>
      <c r="L86" s="12" t="s">
        <v>129</v>
      </c>
      <c r="M86" s="13">
        <v>259900</v>
      </c>
      <c r="N86" s="14">
        <v>0.95</v>
      </c>
      <c r="O86" s="13">
        <f t="shared" si="3"/>
        <v>12995</v>
      </c>
      <c r="P86" s="10" t="s">
        <v>16</v>
      </c>
    </row>
    <row r="87" spans="1:16" x14ac:dyDescent="0.35">
      <c r="A87" s="10" t="s">
        <v>1057</v>
      </c>
      <c r="B87" s="11">
        <f t="shared" si="4"/>
        <v>46121</v>
      </c>
      <c r="C87" s="11">
        <f t="shared" si="5"/>
        <v>46127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20597848</v>
      </c>
      <c r="K87" s="12" t="s">
        <v>128</v>
      </c>
      <c r="L87" s="12" t="s">
        <v>130</v>
      </c>
      <c r="M87" s="13">
        <v>259900</v>
      </c>
      <c r="N87" s="14">
        <v>0.95</v>
      </c>
      <c r="O87" s="13">
        <f t="shared" si="3"/>
        <v>12995</v>
      </c>
      <c r="P87" s="10" t="s">
        <v>16</v>
      </c>
    </row>
    <row r="88" spans="1:16" x14ac:dyDescent="0.35">
      <c r="A88" s="10" t="s">
        <v>1057</v>
      </c>
      <c r="B88" s="11">
        <f t="shared" si="4"/>
        <v>46121</v>
      </c>
      <c r="C88" s="11">
        <f t="shared" si="5"/>
        <v>46127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20597857</v>
      </c>
      <c r="K88" s="12" t="s">
        <v>128</v>
      </c>
      <c r="L88" s="12" t="s">
        <v>131</v>
      </c>
      <c r="M88" s="13">
        <v>259900</v>
      </c>
      <c r="N88" s="14">
        <v>0.95</v>
      </c>
      <c r="O88" s="13">
        <f t="shared" si="3"/>
        <v>12995</v>
      </c>
      <c r="P88" s="10" t="s">
        <v>16</v>
      </c>
    </row>
    <row r="89" spans="1:16" x14ac:dyDescent="0.35">
      <c r="A89" s="10" t="s">
        <v>1057</v>
      </c>
      <c r="B89" s="11">
        <f t="shared" si="4"/>
        <v>46121</v>
      </c>
      <c r="C89" s="11">
        <f t="shared" si="5"/>
        <v>46127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20597866</v>
      </c>
      <c r="K89" s="12" t="s">
        <v>128</v>
      </c>
      <c r="L89" s="12" t="s">
        <v>132</v>
      </c>
      <c r="M89" s="13">
        <v>259900</v>
      </c>
      <c r="N89" s="14">
        <v>0.95</v>
      </c>
      <c r="O89" s="13">
        <f t="shared" si="3"/>
        <v>12995</v>
      </c>
      <c r="P89" s="10" t="s">
        <v>16</v>
      </c>
    </row>
    <row r="90" spans="1:16" x14ac:dyDescent="0.35">
      <c r="A90" s="10" t="s">
        <v>1057</v>
      </c>
      <c r="B90" s="11">
        <f t="shared" si="4"/>
        <v>46121</v>
      </c>
      <c r="C90" s="11">
        <f t="shared" si="5"/>
        <v>46127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20597884</v>
      </c>
      <c r="K90" s="12" t="s">
        <v>128</v>
      </c>
      <c r="L90" s="12" t="s">
        <v>133</v>
      </c>
      <c r="M90" s="13">
        <v>259900</v>
      </c>
      <c r="N90" s="14">
        <v>0.95</v>
      </c>
      <c r="O90" s="13">
        <f t="shared" si="3"/>
        <v>12995</v>
      </c>
      <c r="P90" s="10" t="s">
        <v>16</v>
      </c>
    </row>
    <row r="91" spans="1:16" x14ac:dyDescent="0.35">
      <c r="A91" s="10" t="s">
        <v>1057</v>
      </c>
      <c r="B91" s="11">
        <f t="shared" si="4"/>
        <v>46121</v>
      </c>
      <c r="C91" s="11">
        <f t="shared" si="5"/>
        <v>46127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21004664</v>
      </c>
      <c r="K91" s="12" t="s">
        <v>128</v>
      </c>
      <c r="L91" s="12" t="s">
        <v>134</v>
      </c>
      <c r="M91" s="13">
        <v>259900</v>
      </c>
      <c r="N91" s="14">
        <v>0.95</v>
      </c>
      <c r="O91" s="13">
        <f t="shared" si="3"/>
        <v>12995</v>
      </c>
      <c r="P91" s="10" t="s">
        <v>16</v>
      </c>
    </row>
    <row r="92" spans="1:16" x14ac:dyDescent="0.35">
      <c r="A92" s="10" t="s">
        <v>1057</v>
      </c>
      <c r="B92" s="11">
        <f t="shared" si="4"/>
        <v>46121</v>
      </c>
      <c r="C92" s="11">
        <f t="shared" si="5"/>
        <v>46127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21004673</v>
      </c>
      <c r="K92" s="12" t="s">
        <v>128</v>
      </c>
      <c r="L92" s="12" t="s">
        <v>135</v>
      </c>
      <c r="M92" s="13">
        <v>259900</v>
      </c>
      <c r="N92" s="14">
        <v>0.95</v>
      </c>
      <c r="O92" s="13">
        <f t="shared" si="3"/>
        <v>12995</v>
      </c>
      <c r="P92" s="10" t="s">
        <v>16</v>
      </c>
    </row>
    <row r="93" spans="1:16" x14ac:dyDescent="0.35">
      <c r="A93" s="10" t="s">
        <v>1057</v>
      </c>
      <c r="B93" s="11">
        <f t="shared" si="4"/>
        <v>46121</v>
      </c>
      <c r="C93" s="11">
        <f t="shared" si="5"/>
        <v>46127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21004682</v>
      </c>
      <c r="K93" s="12" t="s">
        <v>128</v>
      </c>
      <c r="L93" s="12" t="s">
        <v>136</v>
      </c>
      <c r="M93" s="13">
        <v>259900</v>
      </c>
      <c r="N93" s="14">
        <v>0.95</v>
      </c>
      <c r="O93" s="13">
        <f t="shared" si="3"/>
        <v>12995</v>
      </c>
      <c r="P93" s="10" t="s">
        <v>16</v>
      </c>
    </row>
    <row r="94" spans="1:16" x14ac:dyDescent="0.35">
      <c r="A94" s="10" t="s">
        <v>1057</v>
      </c>
      <c r="B94" s="11">
        <f t="shared" si="4"/>
        <v>46121</v>
      </c>
      <c r="C94" s="11">
        <f t="shared" si="5"/>
        <v>46127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21053156</v>
      </c>
      <c r="K94" s="12" t="s">
        <v>128</v>
      </c>
      <c r="L94" s="12" t="s">
        <v>137</v>
      </c>
      <c r="M94" s="13">
        <v>259900</v>
      </c>
      <c r="N94" s="14">
        <v>0.95</v>
      </c>
      <c r="O94" s="13">
        <f t="shared" si="3"/>
        <v>12995</v>
      </c>
      <c r="P94" s="10" t="s">
        <v>16</v>
      </c>
    </row>
    <row r="95" spans="1:16" x14ac:dyDescent="0.35">
      <c r="A95" s="10" t="s">
        <v>1057</v>
      </c>
      <c r="B95" s="11">
        <f t="shared" si="4"/>
        <v>46121</v>
      </c>
      <c r="C95" s="11">
        <f t="shared" si="5"/>
        <v>46127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21053165</v>
      </c>
      <c r="K95" s="12" t="s">
        <v>128</v>
      </c>
      <c r="L95" s="12" t="s">
        <v>138</v>
      </c>
      <c r="M95" s="13">
        <v>259900</v>
      </c>
      <c r="N95" s="14">
        <v>0.95</v>
      </c>
      <c r="O95" s="13">
        <f t="shared" si="3"/>
        <v>12995</v>
      </c>
      <c r="P95" s="10" t="s">
        <v>16</v>
      </c>
    </row>
    <row r="96" spans="1:16" x14ac:dyDescent="0.35">
      <c r="A96" s="10" t="s">
        <v>1057</v>
      </c>
      <c r="B96" s="11">
        <f t="shared" si="4"/>
        <v>46121</v>
      </c>
      <c r="C96" s="11">
        <f t="shared" si="5"/>
        <v>46127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21289929</v>
      </c>
      <c r="K96" s="12" t="s">
        <v>139</v>
      </c>
      <c r="L96" s="12" t="s">
        <v>140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1057</v>
      </c>
      <c r="B97" s="11">
        <f t="shared" si="4"/>
        <v>46121</v>
      </c>
      <c r="C97" s="11">
        <f t="shared" si="5"/>
        <v>46127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21663425</v>
      </c>
      <c r="K97" s="12" t="s">
        <v>141</v>
      </c>
      <c r="L97" s="12" t="s">
        <v>142</v>
      </c>
      <c r="M97" s="13">
        <v>269900</v>
      </c>
      <c r="N97" s="14">
        <v>0.95</v>
      </c>
      <c r="O97" s="13">
        <f t="shared" si="3"/>
        <v>13495</v>
      </c>
      <c r="P97" s="10" t="s">
        <v>16</v>
      </c>
    </row>
    <row r="98" spans="1:16" x14ac:dyDescent="0.35">
      <c r="A98" s="10" t="s">
        <v>1057</v>
      </c>
      <c r="B98" s="11">
        <f t="shared" si="4"/>
        <v>46121</v>
      </c>
      <c r="C98" s="11">
        <f t="shared" si="5"/>
        <v>46127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21663489</v>
      </c>
      <c r="K98" s="12" t="s">
        <v>141</v>
      </c>
      <c r="L98" s="12" t="s">
        <v>143</v>
      </c>
      <c r="M98" s="13">
        <v>269900</v>
      </c>
      <c r="N98" s="14">
        <v>0.95</v>
      </c>
      <c r="O98" s="13">
        <f t="shared" si="3"/>
        <v>13495</v>
      </c>
      <c r="P98" s="10" t="s">
        <v>16</v>
      </c>
    </row>
    <row r="99" spans="1:16" x14ac:dyDescent="0.35">
      <c r="A99" s="10" t="s">
        <v>1057</v>
      </c>
      <c r="B99" s="11">
        <f t="shared" si="4"/>
        <v>46121</v>
      </c>
      <c r="C99" s="11">
        <f t="shared" si="5"/>
        <v>46127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21793697</v>
      </c>
      <c r="K99" s="12" t="s">
        <v>144</v>
      </c>
      <c r="L99" s="12" t="s">
        <v>145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1057</v>
      </c>
      <c r="B100" s="11">
        <f t="shared" si="4"/>
        <v>46121</v>
      </c>
      <c r="C100" s="11">
        <f t="shared" si="5"/>
        <v>46127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22088564</v>
      </c>
      <c r="K100" s="12" t="s">
        <v>144</v>
      </c>
      <c r="L100" s="12" t="s">
        <v>146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1057</v>
      </c>
      <c r="B101" s="11">
        <f t="shared" si="4"/>
        <v>46121</v>
      </c>
      <c r="C101" s="11">
        <f t="shared" si="5"/>
        <v>46127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22979833</v>
      </c>
      <c r="K101" s="12" t="s">
        <v>147</v>
      </c>
      <c r="L101" s="12" t="s">
        <v>148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1057</v>
      </c>
      <c r="B102" s="11">
        <f t="shared" si="4"/>
        <v>46121</v>
      </c>
      <c r="C102" s="11">
        <f t="shared" si="5"/>
        <v>46127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23093921</v>
      </c>
      <c r="K102" s="12" t="s">
        <v>149</v>
      </c>
      <c r="L102" s="12" t="s">
        <v>150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1057</v>
      </c>
      <c r="B103" s="11">
        <f t="shared" si="4"/>
        <v>46121</v>
      </c>
      <c r="C103" s="11">
        <f t="shared" si="5"/>
        <v>46127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23094591</v>
      </c>
      <c r="K103" s="12" t="s">
        <v>151</v>
      </c>
      <c r="L103" s="12" t="s">
        <v>152</v>
      </c>
      <c r="M103" s="13">
        <v>329900</v>
      </c>
      <c r="N103" s="14">
        <v>0.95</v>
      </c>
      <c r="O103" s="13">
        <f t="shared" si="3"/>
        <v>16495</v>
      </c>
      <c r="P103" s="10" t="s">
        <v>16</v>
      </c>
    </row>
    <row r="104" spans="1:16" x14ac:dyDescent="0.35">
      <c r="A104" s="10" t="s">
        <v>1057</v>
      </c>
      <c r="B104" s="11">
        <f t="shared" si="4"/>
        <v>46121</v>
      </c>
      <c r="C104" s="11">
        <f t="shared" si="5"/>
        <v>46127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23094608</v>
      </c>
      <c r="K104" s="12" t="s">
        <v>151</v>
      </c>
      <c r="L104" s="12" t="s">
        <v>153</v>
      </c>
      <c r="M104" s="13">
        <v>329900</v>
      </c>
      <c r="N104" s="14">
        <v>0.95</v>
      </c>
      <c r="O104" s="13">
        <f t="shared" si="3"/>
        <v>16495</v>
      </c>
      <c r="P104" s="10" t="s">
        <v>16</v>
      </c>
    </row>
    <row r="105" spans="1:16" x14ac:dyDescent="0.35">
      <c r="A105" s="10" t="s">
        <v>1057</v>
      </c>
      <c r="B105" s="11">
        <f t="shared" si="4"/>
        <v>46121</v>
      </c>
      <c r="C105" s="11">
        <f t="shared" si="5"/>
        <v>46127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23094617</v>
      </c>
      <c r="K105" s="12" t="s">
        <v>151</v>
      </c>
      <c r="L105" s="12" t="s">
        <v>154</v>
      </c>
      <c r="M105" s="13">
        <v>329900</v>
      </c>
      <c r="N105" s="14">
        <v>0.95</v>
      </c>
      <c r="O105" s="13">
        <f t="shared" si="3"/>
        <v>16495</v>
      </c>
      <c r="P105" s="10" t="s">
        <v>16</v>
      </c>
    </row>
    <row r="106" spans="1:16" x14ac:dyDescent="0.35">
      <c r="A106" s="10" t="s">
        <v>1057</v>
      </c>
      <c r="B106" s="11">
        <f t="shared" si="4"/>
        <v>46121</v>
      </c>
      <c r="C106" s="11">
        <f t="shared" si="5"/>
        <v>46127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23094653</v>
      </c>
      <c r="K106" s="12" t="s">
        <v>155</v>
      </c>
      <c r="L106" s="12" t="s">
        <v>156</v>
      </c>
      <c r="M106" s="13">
        <v>329900</v>
      </c>
      <c r="N106" s="14">
        <v>0.95</v>
      </c>
      <c r="O106" s="13">
        <f t="shared" si="3"/>
        <v>16495</v>
      </c>
      <c r="P106" s="10" t="s">
        <v>16</v>
      </c>
    </row>
    <row r="107" spans="1:16" x14ac:dyDescent="0.35">
      <c r="A107" s="10" t="s">
        <v>1057</v>
      </c>
      <c r="B107" s="11">
        <f t="shared" si="4"/>
        <v>46121</v>
      </c>
      <c r="C107" s="11">
        <f t="shared" si="5"/>
        <v>46127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23330601</v>
      </c>
      <c r="K107" s="12" t="s">
        <v>128</v>
      </c>
      <c r="L107" s="12" t="s">
        <v>157</v>
      </c>
      <c r="M107" s="13">
        <v>329900</v>
      </c>
      <c r="N107" s="14">
        <v>0.95</v>
      </c>
      <c r="O107" s="13">
        <f t="shared" si="3"/>
        <v>16495</v>
      </c>
      <c r="P107" s="10" t="s">
        <v>16</v>
      </c>
    </row>
    <row r="108" spans="1:16" x14ac:dyDescent="0.35">
      <c r="A108" s="10" t="s">
        <v>1057</v>
      </c>
      <c r="B108" s="11">
        <f t="shared" si="4"/>
        <v>46121</v>
      </c>
      <c r="C108" s="11">
        <f t="shared" si="5"/>
        <v>46127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23331664</v>
      </c>
      <c r="K108" s="12" t="s">
        <v>158</v>
      </c>
      <c r="L108" s="12" t="s">
        <v>159</v>
      </c>
      <c r="M108" s="13">
        <v>329900</v>
      </c>
      <c r="N108" s="14">
        <v>0.95</v>
      </c>
      <c r="O108" s="13">
        <f t="shared" si="3"/>
        <v>16495</v>
      </c>
      <c r="P108" s="10" t="s">
        <v>16</v>
      </c>
    </row>
    <row r="109" spans="1:16" x14ac:dyDescent="0.35">
      <c r="A109" s="10" t="s">
        <v>1057</v>
      </c>
      <c r="B109" s="11">
        <f t="shared" si="4"/>
        <v>46121</v>
      </c>
      <c r="C109" s="11">
        <f t="shared" si="5"/>
        <v>46127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23496451</v>
      </c>
      <c r="K109" s="12" t="s">
        <v>160</v>
      </c>
      <c r="L109" s="12" t="s">
        <v>161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1057</v>
      </c>
      <c r="B110" s="11">
        <f t="shared" si="4"/>
        <v>46121</v>
      </c>
      <c r="C110" s="11">
        <f t="shared" si="5"/>
        <v>46127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23496460</v>
      </c>
      <c r="K110" s="12" t="s">
        <v>160</v>
      </c>
      <c r="L110" s="12" t="s">
        <v>162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1057</v>
      </c>
      <c r="B111" s="11">
        <f t="shared" si="4"/>
        <v>46121</v>
      </c>
      <c r="C111" s="11">
        <f t="shared" si="5"/>
        <v>46127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23496497</v>
      </c>
      <c r="K111" s="12" t="s">
        <v>160</v>
      </c>
      <c r="L111" s="12" t="s">
        <v>163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1057</v>
      </c>
      <c r="B112" s="11">
        <f t="shared" si="4"/>
        <v>46121</v>
      </c>
      <c r="C112" s="11">
        <f t="shared" si="5"/>
        <v>46127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23498315</v>
      </c>
      <c r="K112" s="12" t="s">
        <v>160</v>
      </c>
      <c r="L112" s="12" t="s">
        <v>164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1057</v>
      </c>
      <c r="B113" s="11">
        <f t="shared" si="4"/>
        <v>46121</v>
      </c>
      <c r="C113" s="11">
        <f t="shared" si="5"/>
        <v>46127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23539655</v>
      </c>
      <c r="K113" s="12" t="s">
        <v>165</v>
      </c>
      <c r="L113" s="12" t="s">
        <v>166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1057</v>
      </c>
      <c r="B114" s="11">
        <f t="shared" si="4"/>
        <v>46121</v>
      </c>
      <c r="C114" s="11">
        <f t="shared" si="5"/>
        <v>46127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23606760</v>
      </c>
      <c r="K114" s="12" t="s">
        <v>167</v>
      </c>
      <c r="L114" s="12" t="s">
        <v>168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1057</v>
      </c>
      <c r="B115" s="11">
        <f t="shared" si="4"/>
        <v>46121</v>
      </c>
      <c r="C115" s="11">
        <f t="shared" si="5"/>
        <v>46127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23610157</v>
      </c>
      <c r="K115" s="12" t="s">
        <v>169</v>
      </c>
      <c r="L115" s="12" t="s">
        <v>170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1057</v>
      </c>
      <c r="B116" s="11">
        <f t="shared" si="4"/>
        <v>46121</v>
      </c>
      <c r="C116" s="11">
        <f t="shared" si="5"/>
        <v>46127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23610166</v>
      </c>
      <c r="K116" s="12" t="s">
        <v>169</v>
      </c>
      <c r="L116" s="12" t="s">
        <v>171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1057</v>
      </c>
      <c r="B117" s="11">
        <f t="shared" si="4"/>
        <v>46121</v>
      </c>
      <c r="C117" s="11">
        <f t="shared" si="5"/>
        <v>46127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23610175</v>
      </c>
      <c r="K117" s="12" t="s">
        <v>169</v>
      </c>
      <c r="L117" s="12" t="s">
        <v>172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1057</v>
      </c>
      <c r="B118" s="11">
        <f t="shared" si="4"/>
        <v>46121</v>
      </c>
      <c r="C118" s="11">
        <f t="shared" si="5"/>
        <v>46127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23632768</v>
      </c>
      <c r="K118" s="12" t="s">
        <v>173</v>
      </c>
      <c r="L118" s="12" t="s">
        <v>174</v>
      </c>
      <c r="M118" s="13">
        <v>329900</v>
      </c>
      <c r="N118" s="14">
        <v>0.95</v>
      </c>
      <c r="O118" s="13">
        <f t="shared" si="3"/>
        <v>16495</v>
      </c>
      <c r="P118" s="10" t="s">
        <v>16</v>
      </c>
    </row>
    <row r="119" spans="1:16" x14ac:dyDescent="0.35">
      <c r="A119" s="10" t="s">
        <v>1057</v>
      </c>
      <c r="B119" s="11">
        <f t="shared" si="4"/>
        <v>46121</v>
      </c>
      <c r="C119" s="11">
        <f t="shared" si="5"/>
        <v>46127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23632795</v>
      </c>
      <c r="K119" s="12" t="s">
        <v>173</v>
      </c>
      <c r="L119" s="12" t="s">
        <v>175</v>
      </c>
      <c r="M119" s="13">
        <v>329900</v>
      </c>
      <c r="N119" s="14">
        <v>0.95</v>
      </c>
      <c r="O119" s="13">
        <f t="shared" si="3"/>
        <v>16495</v>
      </c>
      <c r="P119" s="10" t="s">
        <v>16</v>
      </c>
    </row>
    <row r="120" spans="1:16" x14ac:dyDescent="0.35">
      <c r="A120" s="10" t="s">
        <v>1057</v>
      </c>
      <c r="B120" s="11">
        <f t="shared" si="4"/>
        <v>46121</v>
      </c>
      <c r="C120" s="11">
        <f t="shared" si="5"/>
        <v>46127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23633007</v>
      </c>
      <c r="K120" s="12" t="s">
        <v>176</v>
      </c>
      <c r="L120" s="12" t="s">
        <v>177</v>
      </c>
      <c r="M120" s="13">
        <v>329900</v>
      </c>
      <c r="N120" s="14">
        <v>0.95</v>
      </c>
      <c r="O120" s="13">
        <f t="shared" si="3"/>
        <v>16495</v>
      </c>
      <c r="P120" s="10" t="s">
        <v>16</v>
      </c>
    </row>
    <row r="121" spans="1:16" x14ac:dyDescent="0.35">
      <c r="A121" s="10" t="s">
        <v>1057</v>
      </c>
      <c r="B121" s="11">
        <f t="shared" si="4"/>
        <v>46121</v>
      </c>
      <c r="C121" s="11">
        <f t="shared" si="5"/>
        <v>46127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23633267</v>
      </c>
      <c r="K121" s="12" t="s">
        <v>178</v>
      </c>
      <c r="L121" s="12" t="s">
        <v>179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1057</v>
      </c>
      <c r="B122" s="11">
        <f t="shared" si="4"/>
        <v>46121</v>
      </c>
      <c r="C122" s="11">
        <f t="shared" si="5"/>
        <v>46127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23633356</v>
      </c>
      <c r="K122" s="12" t="s">
        <v>180</v>
      </c>
      <c r="L122" s="12" t="s">
        <v>181</v>
      </c>
      <c r="M122" s="13">
        <v>329900</v>
      </c>
      <c r="N122" s="14">
        <v>0.95</v>
      </c>
      <c r="O122" s="13">
        <f t="shared" si="3"/>
        <v>16495</v>
      </c>
      <c r="P122" s="10" t="s">
        <v>16</v>
      </c>
    </row>
    <row r="123" spans="1:16" x14ac:dyDescent="0.35">
      <c r="A123" s="10" t="s">
        <v>1057</v>
      </c>
      <c r="B123" s="11">
        <f t="shared" si="4"/>
        <v>46121</v>
      </c>
      <c r="C123" s="11">
        <f t="shared" si="5"/>
        <v>46127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23633365</v>
      </c>
      <c r="K123" s="12" t="s">
        <v>180</v>
      </c>
      <c r="L123" s="12" t="s">
        <v>182</v>
      </c>
      <c r="M123" s="13">
        <v>329900</v>
      </c>
      <c r="N123" s="14">
        <v>0.95</v>
      </c>
      <c r="O123" s="13">
        <f t="shared" si="3"/>
        <v>16495</v>
      </c>
      <c r="P123" s="10" t="s">
        <v>16</v>
      </c>
    </row>
    <row r="124" spans="1:16" x14ac:dyDescent="0.35">
      <c r="A124" s="10" t="s">
        <v>1057</v>
      </c>
      <c r="B124" s="11">
        <f t="shared" si="4"/>
        <v>46121</v>
      </c>
      <c r="C124" s="11">
        <f t="shared" si="5"/>
        <v>46127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23633374</v>
      </c>
      <c r="K124" s="12" t="s">
        <v>180</v>
      </c>
      <c r="L124" s="12" t="s">
        <v>183</v>
      </c>
      <c r="M124" s="13">
        <v>329900</v>
      </c>
      <c r="N124" s="14">
        <v>0.95</v>
      </c>
      <c r="O124" s="13">
        <f t="shared" si="3"/>
        <v>16495</v>
      </c>
      <c r="P124" s="10" t="s">
        <v>16</v>
      </c>
    </row>
    <row r="125" spans="1:16" x14ac:dyDescent="0.35">
      <c r="A125" s="10" t="s">
        <v>1057</v>
      </c>
      <c r="B125" s="11">
        <f t="shared" si="4"/>
        <v>46121</v>
      </c>
      <c r="C125" s="11">
        <f t="shared" si="5"/>
        <v>46127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23654155</v>
      </c>
      <c r="K125" s="12" t="s">
        <v>184</v>
      </c>
      <c r="L125" s="12" t="s">
        <v>185</v>
      </c>
      <c r="M125" s="13">
        <v>329900</v>
      </c>
      <c r="N125" s="14">
        <v>0.95</v>
      </c>
      <c r="O125" s="13">
        <f t="shared" si="3"/>
        <v>16495</v>
      </c>
      <c r="P125" s="10" t="s">
        <v>16</v>
      </c>
    </row>
    <row r="126" spans="1:16" x14ac:dyDescent="0.35">
      <c r="A126" s="10" t="s">
        <v>1057</v>
      </c>
      <c r="B126" s="11">
        <f t="shared" si="4"/>
        <v>46121</v>
      </c>
      <c r="C126" s="11">
        <f t="shared" si="5"/>
        <v>46127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23654164</v>
      </c>
      <c r="K126" s="12" t="s">
        <v>184</v>
      </c>
      <c r="L126" s="12" t="s">
        <v>186</v>
      </c>
      <c r="M126" s="13">
        <v>329900</v>
      </c>
      <c r="N126" s="14">
        <v>0.95</v>
      </c>
      <c r="O126" s="13">
        <f t="shared" si="3"/>
        <v>16495</v>
      </c>
      <c r="P126" s="10" t="s">
        <v>16</v>
      </c>
    </row>
    <row r="127" spans="1:16" x14ac:dyDescent="0.35">
      <c r="A127" s="10" t="s">
        <v>1057</v>
      </c>
      <c r="B127" s="11">
        <f t="shared" si="4"/>
        <v>46121</v>
      </c>
      <c r="C127" s="11">
        <f t="shared" si="5"/>
        <v>46127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23654208</v>
      </c>
      <c r="K127" s="12" t="s">
        <v>184</v>
      </c>
      <c r="L127" s="12" t="s">
        <v>187</v>
      </c>
      <c r="M127" s="13">
        <v>329900</v>
      </c>
      <c r="N127" s="14">
        <v>0.95</v>
      </c>
      <c r="O127" s="13">
        <f t="shared" si="3"/>
        <v>16495</v>
      </c>
      <c r="P127" s="10" t="s">
        <v>16</v>
      </c>
    </row>
    <row r="128" spans="1:16" x14ac:dyDescent="0.35">
      <c r="A128" s="10" t="s">
        <v>1057</v>
      </c>
      <c r="B128" s="11">
        <f t="shared" si="4"/>
        <v>46121</v>
      </c>
      <c r="C128" s="11">
        <f t="shared" si="5"/>
        <v>46127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23901271</v>
      </c>
      <c r="K128" s="12" t="s">
        <v>188</v>
      </c>
      <c r="L128" s="12" t="s">
        <v>189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1057</v>
      </c>
      <c r="B129" s="11">
        <f t="shared" si="4"/>
        <v>46121</v>
      </c>
      <c r="C129" s="11">
        <f t="shared" si="5"/>
        <v>46127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23901306</v>
      </c>
      <c r="K129" s="12" t="s">
        <v>188</v>
      </c>
      <c r="L129" s="12" t="s">
        <v>190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1057</v>
      </c>
      <c r="B130" s="11">
        <f t="shared" si="4"/>
        <v>46121</v>
      </c>
      <c r="C130" s="11">
        <f t="shared" si="5"/>
        <v>46127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23909906</v>
      </c>
      <c r="K130" s="12" t="s">
        <v>191</v>
      </c>
      <c r="L130" s="12" t="s">
        <v>192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1057</v>
      </c>
      <c r="B131" s="11">
        <f t="shared" si="4"/>
        <v>46121</v>
      </c>
      <c r="C131" s="11">
        <f t="shared" si="5"/>
        <v>46127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23909915</v>
      </c>
      <c r="K131" s="12" t="s">
        <v>191</v>
      </c>
      <c r="L131" s="12" t="s">
        <v>193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1057</v>
      </c>
      <c r="B132" s="11">
        <f t="shared" ref="B132:B195" si="7">B131</f>
        <v>46121</v>
      </c>
      <c r="C132" s="11">
        <f t="shared" ref="C132:C195" si="8">C131</f>
        <v>46127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23910243</v>
      </c>
      <c r="K132" s="12" t="s">
        <v>194</v>
      </c>
      <c r="L132" s="12" t="s">
        <v>195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1057</v>
      </c>
      <c r="B133" s="11">
        <f t="shared" si="7"/>
        <v>46121</v>
      </c>
      <c r="C133" s="11">
        <f t="shared" si="8"/>
        <v>46127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23910252</v>
      </c>
      <c r="K133" s="12" t="s">
        <v>194</v>
      </c>
      <c r="L133" s="12" t="s">
        <v>196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1057</v>
      </c>
      <c r="B134" s="11">
        <f t="shared" si="7"/>
        <v>46121</v>
      </c>
      <c r="C134" s="11">
        <f t="shared" si="8"/>
        <v>46127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23910261</v>
      </c>
      <c r="K134" s="12" t="s">
        <v>194</v>
      </c>
      <c r="L134" s="12" t="s">
        <v>197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1057</v>
      </c>
      <c r="B135" s="11">
        <f t="shared" si="7"/>
        <v>46121</v>
      </c>
      <c r="C135" s="11">
        <f t="shared" si="8"/>
        <v>46127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23920189</v>
      </c>
      <c r="K135" s="12" t="s">
        <v>198</v>
      </c>
      <c r="L135" s="12" t="s">
        <v>199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1057</v>
      </c>
      <c r="B136" s="11">
        <f t="shared" si="7"/>
        <v>46121</v>
      </c>
      <c r="C136" s="11">
        <f t="shared" si="8"/>
        <v>46127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23920803</v>
      </c>
      <c r="K136" s="12" t="s">
        <v>200</v>
      </c>
      <c r="L136" s="12" t="s">
        <v>201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1057</v>
      </c>
      <c r="B137" s="11">
        <f t="shared" si="7"/>
        <v>46121</v>
      </c>
      <c r="C137" s="11">
        <f t="shared" si="8"/>
        <v>46127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23920812</v>
      </c>
      <c r="K137" s="12" t="s">
        <v>200</v>
      </c>
      <c r="L137" s="12" t="s">
        <v>202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1057</v>
      </c>
      <c r="B138" s="11">
        <f t="shared" si="7"/>
        <v>46121</v>
      </c>
      <c r="C138" s="11">
        <f t="shared" si="8"/>
        <v>46127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23920821</v>
      </c>
      <c r="K138" s="12" t="s">
        <v>200</v>
      </c>
      <c r="L138" s="12" t="s">
        <v>203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1057</v>
      </c>
      <c r="B139" s="11">
        <f t="shared" si="7"/>
        <v>46121</v>
      </c>
      <c r="C139" s="11">
        <f t="shared" si="8"/>
        <v>46127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23920830</v>
      </c>
      <c r="K139" s="12" t="s">
        <v>200</v>
      </c>
      <c r="L139" s="12" t="s">
        <v>204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1057</v>
      </c>
      <c r="B140" s="11">
        <f t="shared" si="7"/>
        <v>46121</v>
      </c>
      <c r="C140" s="11">
        <f t="shared" si="8"/>
        <v>46127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23920849</v>
      </c>
      <c r="K140" s="12" t="s">
        <v>200</v>
      </c>
      <c r="L140" s="12" t="s">
        <v>205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1057</v>
      </c>
      <c r="B141" s="11">
        <f t="shared" si="7"/>
        <v>46121</v>
      </c>
      <c r="C141" s="11">
        <f t="shared" si="8"/>
        <v>46127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23920858</v>
      </c>
      <c r="K141" s="12" t="s">
        <v>200</v>
      </c>
      <c r="L141" s="12" t="s">
        <v>206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1057</v>
      </c>
      <c r="B142" s="11">
        <f t="shared" si="7"/>
        <v>46121</v>
      </c>
      <c r="C142" s="11">
        <f t="shared" si="8"/>
        <v>46127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23924149</v>
      </c>
      <c r="K142" s="12" t="s">
        <v>207</v>
      </c>
      <c r="L142" s="12" t="s">
        <v>208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1057</v>
      </c>
      <c r="B143" s="11">
        <f t="shared" si="7"/>
        <v>46121</v>
      </c>
      <c r="C143" s="11">
        <f t="shared" si="8"/>
        <v>46127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23924158</v>
      </c>
      <c r="K143" s="12" t="s">
        <v>207</v>
      </c>
      <c r="L143" s="12" t="s">
        <v>209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1057</v>
      </c>
      <c r="B144" s="11">
        <f t="shared" si="7"/>
        <v>46121</v>
      </c>
      <c r="C144" s="11">
        <f t="shared" si="8"/>
        <v>46127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23924167</v>
      </c>
      <c r="K144" s="12" t="s">
        <v>207</v>
      </c>
      <c r="L144" s="12" t="s">
        <v>210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1057</v>
      </c>
      <c r="B145" s="11">
        <f t="shared" si="7"/>
        <v>46121</v>
      </c>
      <c r="C145" s="11">
        <f t="shared" si="8"/>
        <v>46127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23924176</v>
      </c>
      <c r="K145" s="12" t="s">
        <v>207</v>
      </c>
      <c r="L145" s="12" t="s">
        <v>211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1057</v>
      </c>
      <c r="B146" s="11">
        <f t="shared" si="7"/>
        <v>46121</v>
      </c>
      <c r="C146" s="11">
        <f t="shared" si="8"/>
        <v>46127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23924185</v>
      </c>
      <c r="K146" s="12" t="s">
        <v>207</v>
      </c>
      <c r="L146" s="12" t="s">
        <v>212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1057</v>
      </c>
      <c r="B147" s="11">
        <f t="shared" si="7"/>
        <v>46121</v>
      </c>
      <c r="C147" s="11">
        <f t="shared" si="8"/>
        <v>46127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23924194</v>
      </c>
      <c r="K147" s="12" t="s">
        <v>207</v>
      </c>
      <c r="L147" s="12" t="s">
        <v>213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1057</v>
      </c>
      <c r="B148" s="11">
        <f t="shared" si="7"/>
        <v>46121</v>
      </c>
      <c r="C148" s="11">
        <f t="shared" si="8"/>
        <v>46127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23929626</v>
      </c>
      <c r="K148" s="12" t="s">
        <v>214</v>
      </c>
      <c r="L148" s="12" t="s">
        <v>215</v>
      </c>
      <c r="M148" s="13">
        <v>329900</v>
      </c>
      <c r="N148" s="14">
        <v>0.95</v>
      </c>
      <c r="O148" s="13">
        <f t="shared" si="6"/>
        <v>16495</v>
      </c>
      <c r="P148" s="10" t="s">
        <v>16</v>
      </c>
    </row>
    <row r="149" spans="1:16" x14ac:dyDescent="0.35">
      <c r="A149" s="10" t="s">
        <v>1057</v>
      </c>
      <c r="B149" s="11">
        <f t="shared" si="7"/>
        <v>46121</v>
      </c>
      <c r="C149" s="11">
        <f t="shared" si="8"/>
        <v>46127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23929635</v>
      </c>
      <c r="K149" s="12" t="s">
        <v>214</v>
      </c>
      <c r="L149" s="12" t="s">
        <v>216</v>
      </c>
      <c r="M149" s="13">
        <v>329900</v>
      </c>
      <c r="N149" s="14">
        <v>0.95</v>
      </c>
      <c r="O149" s="13">
        <f t="shared" si="6"/>
        <v>16495</v>
      </c>
      <c r="P149" s="10" t="s">
        <v>16</v>
      </c>
    </row>
    <row r="150" spans="1:16" x14ac:dyDescent="0.35">
      <c r="A150" s="10" t="s">
        <v>1057</v>
      </c>
      <c r="B150" s="11">
        <f t="shared" si="7"/>
        <v>46121</v>
      </c>
      <c r="C150" s="11">
        <f t="shared" si="8"/>
        <v>46127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23929831</v>
      </c>
      <c r="K150" s="12" t="s">
        <v>217</v>
      </c>
      <c r="L150" s="12" t="s">
        <v>218</v>
      </c>
      <c r="M150" s="13">
        <v>329900</v>
      </c>
      <c r="N150" s="14">
        <v>0.95</v>
      </c>
      <c r="O150" s="13">
        <f t="shared" si="6"/>
        <v>16495</v>
      </c>
      <c r="P150" s="10" t="s">
        <v>16</v>
      </c>
    </row>
    <row r="151" spans="1:16" x14ac:dyDescent="0.35">
      <c r="A151" s="10" t="s">
        <v>1057</v>
      </c>
      <c r="B151" s="11">
        <f t="shared" si="7"/>
        <v>46121</v>
      </c>
      <c r="C151" s="11">
        <f t="shared" si="8"/>
        <v>46127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23929840</v>
      </c>
      <c r="K151" s="12" t="s">
        <v>217</v>
      </c>
      <c r="L151" s="12" t="s">
        <v>219</v>
      </c>
      <c r="M151" s="13">
        <v>329900</v>
      </c>
      <c r="N151" s="14">
        <v>0.95</v>
      </c>
      <c r="O151" s="13">
        <f t="shared" si="6"/>
        <v>16495</v>
      </c>
      <c r="P151" s="10" t="s">
        <v>16</v>
      </c>
    </row>
    <row r="152" spans="1:16" x14ac:dyDescent="0.35">
      <c r="A152" s="10" t="s">
        <v>1057</v>
      </c>
      <c r="B152" s="11">
        <f t="shared" si="7"/>
        <v>46121</v>
      </c>
      <c r="C152" s="11">
        <f t="shared" si="8"/>
        <v>46127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23929859</v>
      </c>
      <c r="K152" s="12" t="s">
        <v>217</v>
      </c>
      <c r="L152" s="12" t="s">
        <v>220</v>
      </c>
      <c r="M152" s="13">
        <v>329900</v>
      </c>
      <c r="N152" s="14">
        <v>0.95</v>
      </c>
      <c r="O152" s="13">
        <f t="shared" si="6"/>
        <v>16495</v>
      </c>
      <c r="P152" s="10" t="s">
        <v>16</v>
      </c>
    </row>
    <row r="153" spans="1:16" x14ac:dyDescent="0.35">
      <c r="A153" s="10" t="s">
        <v>1057</v>
      </c>
      <c r="B153" s="11">
        <f t="shared" si="7"/>
        <v>46121</v>
      </c>
      <c r="C153" s="11">
        <f t="shared" si="8"/>
        <v>46127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23929886</v>
      </c>
      <c r="K153" s="12" t="s">
        <v>217</v>
      </c>
      <c r="L153" s="12" t="s">
        <v>221</v>
      </c>
      <c r="M153" s="13">
        <v>329900</v>
      </c>
      <c r="N153" s="14">
        <v>0.95</v>
      </c>
      <c r="O153" s="13">
        <f t="shared" si="6"/>
        <v>16495</v>
      </c>
      <c r="P153" s="10" t="s">
        <v>16</v>
      </c>
    </row>
    <row r="154" spans="1:16" x14ac:dyDescent="0.35">
      <c r="A154" s="10" t="s">
        <v>1057</v>
      </c>
      <c r="B154" s="11">
        <f t="shared" si="7"/>
        <v>46121</v>
      </c>
      <c r="C154" s="11">
        <f t="shared" si="8"/>
        <v>46127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23929911</v>
      </c>
      <c r="K154" s="12" t="s">
        <v>222</v>
      </c>
      <c r="L154" s="12" t="s">
        <v>223</v>
      </c>
      <c r="M154" s="13">
        <v>329900</v>
      </c>
      <c r="N154" s="14">
        <v>0.95</v>
      </c>
      <c r="O154" s="13">
        <f t="shared" si="6"/>
        <v>16495</v>
      </c>
      <c r="P154" s="10" t="s">
        <v>16</v>
      </c>
    </row>
    <row r="155" spans="1:16" x14ac:dyDescent="0.35">
      <c r="A155" s="10" t="s">
        <v>1057</v>
      </c>
      <c r="B155" s="11">
        <f t="shared" si="7"/>
        <v>46121</v>
      </c>
      <c r="C155" s="11">
        <f t="shared" si="8"/>
        <v>46127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23931239</v>
      </c>
      <c r="K155" s="12" t="s">
        <v>224</v>
      </c>
      <c r="L155" s="12" t="s">
        <v>225</v>
      </c>
      <c r="M155" s="13">
        <v>329900</v>
      </c>
      <c r="N155" s="14">
        <v>0.95</v>
      </c>
      <c r="O155" s="13">
        <f t="shared" si="6"/>
        <v>16495</v>
      </c>
      <c r="P155" s="10" t="s">
        <v>16</v>
      </c>
    </row>
    <row r="156" spans="1:16" x14ac:dyDescent="0.35">
      <c r="A156" s="10" t="s">
        <v>1057</v>
      </c>
      <c r="B156" s="11">
        <f t="shared" si="7"/>
        <v>46121</v>
      </c>
      <c r="C156" s="11">
        <f t="shared" si="8"/>
        <v>46127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23931373</v>
      </c>
      <c r="K156" s="12" t="s">
        <v>226</v>
      </c>
      <c r="L156" s="12" t="s">
        <v>227</v>
      </c>
      <c r="M156" s="13">
        <v>329900</v>
      </c>
      <c r="N156" s="14">
        <v>0.95</v>
      </c>
      <c r="O156" s="13">
        <f t="shared" si="6"/>
        <v>16495</v>
      </c>
      <c r="P156" s="10" t="s">
        <v>16</v>
      </c>
    </row>
    <row r="157" spans="1:16" x14ac:dyDescent="0.35">
      <c r="A157" s="10" t="s">
        <v>1057</v>
      </c>
      <c r="B157" s="11">
        <f t="shared" si="7"/>
        <v>46121</v>
      </c>
      <c r="C157" s="11">
        <f t="shared" si="8"/>
        <v>46127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23932630</v>
      </c>
      <c r="K157" s="12" t="s">
        <v>228</v>
      </c>
      <c r="L157" s="12" t="s">
        <v>229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1057</v>
      </c>
      <c r="B158" s="11">
        <f t="shared" si="7"/>
        <v>46121</v>
      </c>
      <c r="C158" s="11">
        <f t="shared" si="8"/>
        <v>46127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23959988</v>
      </c>
      <c r="K158" s="12" t="s">
        <v>230</v>
      </c>
      <c r="L158" s="12" t="s">
        <v>231</v>
      </c>
      <c r="M158" s="13">
        <v>329900</v>
      </c>
      <c r="N158" s="14">
        <v>0.95</v>
      </c>
      <c r="O158" s="13">
        <f t="shared" si="6"/>
        <v>16495</v>
      </c>
      <c r="P158" s="10" t="s">
        <v>16</v>
      </c>
    </row>
    <row r="159" spans="1:16" x14ac:dyDescent="0.35">
      <c r="A159" s="10" t="s">
        <v>1057</v>
      </c>
      <c r="B159" s="11">
        <f t="shared" si="7"/>
        <v>46121</v>
      </c>
      <c r="C159" s="11">
        <f t="shared" si="8"/>
        <v>46127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23959997</v>
      </c>
      <c r="K159" s="12" t="s">
        <v>230</v>
      </c>
      <c r="L159" s="12" t="s">
        <v>232</v>
      </c>
      <c r="M159" s="13">
        <v>329900</v>
      </c>
      <c r="N159" s="14">
        <v>0.95</v>
      </c>
      <c r="O159" s="13">
        <f t="shared" si="6"/>
        <v>16495</v>
      </c>
      <c r="P159" s="10" t="s">
        <v>16</v>
      </c>
    </row>
    <row r="160" spans="1:16" x14ac:dyDescent="0.35">
      <c r="A160" s="10" t="s">
        <v>1057</v>
      </c>
      <c r="B160" s="11">
        <f t="shared" si="7"/>
        <v>46121</v>
      </c>
      <c r="C160" s="11">
        <f t="shared" si="8"/>
        <v>46127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23960145</v>
      </c>
      <c r="K160" s="12" t="s">
        <v>233</v>
      </c>
      <c r="L160" s="12" t="s">
        <v>234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1057</v>
      </c>
      <c r="B161" s="11">
        <f t="shared" si="7"/>
        <v>46121</v>
      </c>
      <c r="C161" s="11">
        <f t="shared" si="8"/>
        <v>46127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23960154</v>
      </c>
      <c r="K161" s="12" t="s">
        <v>233</v>
      </c>
      <c r="L161" s="12" t="s">
        <v>235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1057</v>
      </c>
      <c r="B162" s="11">
        <f t="shared" si="7"/>
        <v>46121</v>
      </c>
      <c r="C162" s="11">
        <f t="shared" si="8"/>
        <v>46127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23960163</v>
      </c>
      <c r="K162" s="12" t="s">
        <v>233</v>
      </c>
      <c r="L162" s="12" t="s">
        <v>236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1057</v>
      </c>
      <c r="B163" s="11">
        <f t="shared" si="7"/>
        <v>46121</v>
      </c>
      <c r="C163" s="11">
        <f t="shared" si="8"/>
        <v>46127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23960172</v>
      </c>
      <c r="K163" s="12" t="s">
        <v>233</v>
      </c>
      <c r="L163" s="12" t="s">
        <v>237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1057</v>
      </c>
      <c r="B164" s="11">
        <f t="shared" si="7"/>
        <v>46121</v>
      </c>
      <c r="C164" s="11">
        <f t="shared" si="8"/>
        <v>46127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24030924</v>
      </c>
      <c r="K164" s="12" t="s">
        <v>238</v>
      </c>
      <c r="L164" s="12" t="s">
        <v>239</v>
      </c>
      <c r="M164" s="13">
        <v>329900</v>
      </c>
      <c r="N164" s="14">
        <v>0.95</v>
      </c>
      <c r="O164" s="13">
        <f t="shared" si="6"/>
        <v>16495</v>
      </c>
      <c r="P164" s="10" t="s">
        <v>16</v>
      </c>
    </row>
    <row r="165" spans="1:16" x14ac:dyDescent="0.35">
      <c r="A165" s="10" t="s">
        <v>1057</v>
      </c>
      <c r="B165" s="11">
        <f t="shared" si="7"/>
        <v>46121</v>
      </c>
      <c r="C165" s="11">
        <f t="shared" si="8"/>
        <v>46127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24097121</v>
      </c>
      <c r="K165" s="12" t="s">
        <v>238</v>
      </c>
      <c r="L165" s="12" t="s">
        <v>240</v>
      </c>
      <c r="M165" s="13">
        <v>329900</v>
      </c>
      <c r="N165" s="14">
        <v>0.95</v>
      </c>
      <c r="O165" s="13">
        <f t="shared" si="6"/>
        <v>16495</v>
      </c>
      <c r="P165" s="10" t="s">
        <v>16</v>
      </c>
    </row>
    <row r="166" spans="1:16" x14ac:dyDescent="0.35">
      <c r="A166" s="10" t="s">
        <v>1057</v>
      </c>
      <c r="B166" s="11">
        <f t="shared" si="7"/>
        <v>46121</v>
      </c>
      <c r="C166" s="11">
        <f t="shared" si="8"/>
        <v>46127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24097149</v>
      </c>
      <c r="K166" s="12" t="s">
        <v>238</v>
      </c>
      <c r="L166" s="12" t="s">
        <v>241</v>
      </c>
      <c r="M166" s="13">
        <v>329900</v>
      </c>
      <c r="N166" s="14">
        <v>0.95</v>
      </c>
      <c r="O166" s="13">
        <f t="shared" si="6"/>
        <v>16495</v>
      </c>
      <c r="P166" s="10" t="s">
        <v>16</v>
      </c>
    </row>
    <row r="167" spans="1:16" x14ac:dyDescent="0.35">
      <c r="A167" s="10" t="s">
        <v>1057</v>
      </c>
      <c r="B167" s="11">
        <f t="shared" si="7"/>
        <v>46121</v>
      </c>
      <c r="C167" s="11">
        <f t="shared" si="8"/>
        <v>46127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24097998</v>
      </c>
      <c r="K167" s="12" t="s">
        <v>242</v>
      </c>
      <c r="L167" s="12" t="s">
        <v>243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1057</v>
      </c>
      <c r="B168" s="11">
        <f t="shared" si="7"/>
        <v>46121</v>
      </c>
      <c r="C168" s="11">
        <f t="shared" si="8"/>
        <v>46127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24098031</v>
      </c>
      <c r="K168" s="12" t="s">
        <v>242</v>
      </c>
      <c r="L168" s="12" t="s">
        <v>244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1057</v>
      </c>
      <c r="B169" s="11">
        <f t="shared" si="7"/>
        <v>46121</v>
      </c>
      <c r="C169" s="11">
        <f t="shared" si="8"/>
        <v>46127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24098095</v>
      </c>
      <c r="K169" s="12" t="s">
        <v>245</v>
      </c>
      <c r="L169" s="12" t="s">
        <v>246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1057</v>
      </c>
      <c r="B170" s="11">
        <f t="shared" si="7"/>
        <v>46121</v>
      </c>
      <c r="C170" s="11">
        <f t="shared" si="8"/>
        <v>46127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24098111</v>
      </c>
      <c r="K170" s="12" t="s">
        <v>245</v>
      </c>
      <c r="L170" s="12" t="s">
        <v>247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1057</v>
      </c>
      <c r="B171" s="11">
        <f t="shared" si="7"/>
        <v>46121</v>
      </c>
      <c r="C171" s="11">
        <f t="shared" si="8"/>
        <v>46127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24098335</v>
      </c>
      <c r="K171" s="12" t="s">
        <v>248</v>
      </c>
      <c r="L171" s="12" t="s">
        <v>249</v>
      </c>
      <c r="M171" s="13">
        <v>329900</v>
      </c>
      <c r="N171" s="14">
        <v>0.95</v>
      </c>
      <c r="O171" s="13">
        <f t="shared" si="6"/>
        <v>16495</v>
      </c>
      <c r="P171" s="10" t="s">
        <v>16</v>
      </c>
    </row>
    <row r="172" spans="1:16" x14ac:dyDescent="0.35">
      <c r="A172" s="10" t="s">
        <v>1057</v>
      </c>
      <c r="B172" s="11">
        <f t="shared" si="7"/>
        <v>46121</v>
      </c>
      <c r="C172" s="11">
        <f t="shared" si="8"/>
        <v>46127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24098344</v>
      </c>
      <c r="K172" s="12" t="s">
        <v>248</v>
      </c>
      <c r="L172" s="12" t="s">
        <v>250</v>
      </c>
      <c r="M172" s="13">
        <v>329900</v>
      </c>
      <c r="N172" s="14">
        <v>0.95</v>
      </c>
      <c r="O172" s="13">
        <f t="shared" si="6"/>
        <v>16495</v>
      </c>
      <c r="P172" s="10" t="s">
        <v>16</v>
      </c>
    </row>
    <row r="173" spans="1:16" x14ac:dyDescent="0.35">
      <c r="A173" s="10" t="s">
        <v>1057</v>
      </c>
      <c r="B173" s="11">
        <f t="shared" si="7"/>
        <v>46121</v>
      </c>
      <c r="C173" s="11">
        <f t="shared" si="8"/>
        <v>46127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24098353</v>
      </c>
      <c r="K173" s="12" t="s">
        <v>248</v>
      </c>
      <c r="L173" s="12" t="s">
        <v>251</v>
      </c>
      <c r="M173" s="13">
        <v>329900</v>
      </c>
      <c r="N173" s="14">
        <v>0.95</v>
      </c>
      <c r="O173" s="13">
        <f t="shared" si="6"/>
        <v>16495</v>
      </c>
      <c r="P173" s="10" t="s">
        <v>16</v>
      </c>
    </row>
    <row r="174" spans="1:16" x14ac:dyDescent="0.35">
      <c r="A174" s="10" t="s">
        <v>1057</v>
      </c>
      <c r="B174" s="11">
        <f t="shared" si="7"/>
        <v>46121</v>
      </c>
      <c r="C174" s="11">
        <f t="shared" si="8"/>
        <v>46127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24098362</v>
      </c>
      <c r="K174" s="12" t="s">
        <v>248</v>
      </c>
      <c r="L174" s="12" t="s">
        <v>252</v>
      </c>
      <c r="M174" s="13">
        <v>329900</v>
      </c>
      <c r="N174" s="14">
        <v>0.95</v>
      </c>
      <c r="O174" s="13">
        <f t="shared" si="6"/>
        <v>16495</v>
      </c>
      <c r="P174" s="10" t="s">
        <v>16</v>
      </c>
    </row>
    <row r="175" spans="1:16" x14ac:dyDescent="0.35">
      <c r="A175" s="10" t="s">
        <v>1057</v>
      </c>
      <c r="B175" s="11">
        <f t="shared" si="7"/>
        <v>46121</v>
      </c>
      <c r="C175" s="11">
        <f t="shared" si="8"/>
        <v>46127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24098451</v>
      </c>
      <c r="K175" s="12" t="s">
        <v>253</v>
      </c>
      <c r="L175" s="12" t="s">
        <v>254</v>
      </c>
      <c r="M175" s="13">
        <v>329900</v>
      </c>
      <c r="N175" s="14">
        <v>0.95</v>
      </c>
      <c r="O175" s="13">
        <f t="shared" si="6"/>
        <v>16495</v>
      </c>
      <c r="P175" s="10" t="s">
        <v>16</v>
      </c>
    </row>
    <row r="176" spans="1:16" x14ac:dyDescent="0.35">
      <c r="A176" s="10" t="s">
        <v>1057</v>
      </c>
      <c r="B176" s="11">
        <f t="shared" si="7"/>
        <v>46121</v>
      </c>
      <c r="C176" s="11">
        <f t="shared" si="8"/>
        <v>46127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24098460</v>
      </c>
      <c r="K176" s="12" t="s">
        <v>253</v>
      </c>
      <c r="L176" s="12" t="s">
        <v>255</v>
      </c>
      <c r="M176" s="13">
        <v>329900</v>
      </c>
      <c r="N176" s="14">
        <v>0.95</v>
      </c>
      <c r="O176" s="13">
        <f t="shared" si="6"/>
        <v>16495</v>
      </c>
      <c r="P176" s="10" t="s">
        <v>16</v>
      </c>
    </row>
    <row r="177" spans="1:16" x14ac:dyDescent="0.35">
      <c r="A177" s="10" t="s">
        <v>1057</v>
      </c>
      <c r="B177" s="11">
        <f t="shared" si="7"/>
        <v>46121</v>
      </c>
      <c r="C177" s="11">
        <f t="shared" si="8"/>
        <v>46127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24098479</v>
      </c>
      <c r="K177" s="12" t="s">
        <v>253</v>
      </c>
      <c r="L177" s="12" t="s">
        <v>256</v>
      </c>
      <c r="M177" s="13">
        <v>329900</v>
      </c>
      <c r="N177" s="14">
        <v>0.95</v>
      </c>
      <c r="O177" s="13">
        <f t="shared" si="6"/>
        <v>16495</v>
      </c>
      <c r="P177" s="10" t="s">
        <v>16</v>
      </c>
    </row>
    <row r="178" spans="1:16" x14ac:dyDescent="0.35">
      <c r="A178" s="10" t="s">
        <v>1057</v>
      </c>
      <c r="B178" s="11">
        <f t="shared" si="7"/>
        <v>46121</v>
      </c>
      <c r="C178" s="11">
        <f t="shared" si="8"/>
        <v>46127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24119071</v>
      </c>
      <c r="K178" s="12" t="s">
        <v>257</v>
      </c>
      <c r="L178" s="12" t="s">
        <v>258</v>
      </c>
      <c r="M178" s="13">
        <v>329900</v>
      </c>
      <c r="N178" s="14">
        <v>0.95</v>
      </c>
      <c r="O178" s="13">
        <f t="shared" si="6"/>
        <v>16495</v>
      </c>
      <c r="P178" s="10" t="s">
        <v>16</v>
      </c>
    </row>
    <row r="179" spans="1:16" x14ac:dyDescent="0.35">
      <c r="A179" s="10" t="s">
        <v>1057</v>
      </c>
      <c r="B179" s="11">
        <f t="shared" si="7"/>
        <v>46121</v>
      </c>
      <c r="C179" s="11">
        <f t="shared" si="8"/>
        <v>46127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24119080</v>
      </c>
      <c r="K179" s="12" t="s">
        <v>257</v>
      </c>
      <c r="L179" s="12" t="s">
        <v>259</v>
      </c>
      <c r="M179" s="13">
        <v>329900</v>
      </c>
      <c r="N179" s="14">
        <v>0.95</v>
      </c>
      <c r="O179" s="13">
        <f t="shared" si="6"/>
        <v>16495</v>
      </c>
      <c r="P179" s="10" t="s">
        <v>16</v>
      </c>
    </row>
    <row r="180" spans="1:16" x14ac:dyDescent="0.35">
      <c r="A180" s="10" t="s">
        <v>1057</v>
      </c>
      <c r="B180" s="11">
        <f t="shared" si="7"/>
        <v>46121</v>
      </c>
      <c r="C180" s="11">
        <f t="shared" si="8"/>
        <v>46127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24190047</v>
      </c>
      <c r="K180" s="12" t="s">
        <v>260</v>
      </c>
      <c r="L180" s="12" t="s">
        <v>261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1057</v>
      </c>
      <c r="B181" s="11">
        <f t="shared" si="7"/>
        <v>46121</v>
      </c>
      <c r="C181" s="11">
        <f t="shared" si="8"/>
        <v>46127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24190056</v>
      </c>
      <c r="K181" s="12" t="s">
        <v>260</v>
      </c>
      <c r="L181" s="12" t="s">
        <v>262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1057</v>
      </c>
      <c r="B182" s="11">
        <f t="shared" si="7"/>
        <v>46121</v>
      </c>
      <c r="C182" s="11">
        <f t="shared" si="8"/>
        <v>46127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24190083</v>
      </c>
      <c r="K182" s="12" t="s">
        <v>260</v>
      </c>
      <c r="L182" s="12" t="s">
        <v>263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1057</v>
      </c>
      <c r="B183" s="11">
        <f t="shared" si="7"/>
        <v>46121</v>
      </c>
      <c r="C183" s="11">
        <f t="shared" si="8"/>
        <v>46127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24190109</v>
      </c>
      <c r="K183" s="12" t="s">
        <v>264</v>
      </c>
      <c r="L183" s="12" t="s">
        <v>265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1057</v>
      </c>
      <c r="B184" s="11">
        <f t="shared" si="7"/>
        <v>46121</v>
      </c>
      <c r="C184" s="11">
        <f t="shared" si="8"/>
        <v>46127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24190118</v>
      </c>
      <c r="K184" s="12" t="s">
        <v>264</v>
      </c>
      <c r="L184" s="12" t="s">
        <v>266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1057</v>
      </c>
      <c r="B185" s="11">
        <f t="shared" si="7"/>
        <v>46121</v>
      </c>
      <c r="C185" s="11">
        <f t="shared" si="8"/>
        <v>46127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24190172</v>
      </c>
      <c r="K185" s="12" t="s">
        <v>267</v>
      </c>
      <c r="L185" s="12" t="s">
        <v>268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1057</v>
      </c>
      <c r="B186" s="11">
        <f t="shared" si="7"/>
        <v>46121</v>
      </c>
      <c r="C186" s="11">
        <f t="shared" si="8"/>
        <v>46127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24190181</v>
      </c>
      <c r="K186" s="12" t="s">
        <v>267</v>
      </c>
      <c r="L186" s="12" t="s">
        <v>269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1057</v>
      </c>
      <c r="B187" s="11">
        <f t="shared" si="7"/>
        <v>46121</v>
      </c>
      <c r="C187" s="11">
        <f t="shared" si="8"/>
        <v>46127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24190430</v>
      </c>
      <c r="K187" s="12" t="s">
        <v>270</v>
      </c>
      <c r="L187" s="12" t="s">
        <v>271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1057</v>
      </c>
      <c r="B188" s="11">
        <f t="shared" si="7"/>
        <v>46121</v>
      </c>
      <c r="C188" s="11">
        <f t="shared" si="8"/>
        <v>46127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24190449</v>
      </c>
      <c r="K188" s="12" t="s">
        <v>270</v>
      </c>
      <c r="L188" s="12" t="s">
        <v>272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1057</v>
      </c>
      <c r="B189" s="11">
        <f t="shared" si="7"/>
        <v>46121</v>
      </c>
      <c r="C189" s="11">
        <f t="shared" si="8"/>
        <v>46127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24385506</v>
      </c>
      <c r="K189" s="12" t="s">
        <v>273</v>
      </c>
      <c r="L189" s="12" t="s">
        <v>274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1057</v>
      </c>
      <c r="B190" s="11">
        <f t="shared" si="7"/>
        <v>46121</v>
      </c>
      <c r="C190" s="11">
        <f t="shared" si="8"/>
        <v>46127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24385542</v>
      </c>
      <c r="K190" s="12" t="s">
        <v>273</v>
      </c>
      <c r="L190" s="12" t="s">
        <v>275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1057</v>
      </c>
      <c r="B191" s="11">
        <f t="shared" si="7"/>
        <v>46121</v>
      </c>
      <c r="C191" s="11">
        <f t="shared" si="8"/>
        <v>46127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24398476</v>
      </c>
      <c r="K191" s="12" t="s">
        <v>276</v>
      </c>
      <c r="L191" s="12" t="s">
        <v>277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1057</v>
      </c>
      <c r="B192" s="11">
        <f t="shared" si="7"/>
        <v>46121</v>
      </c>
      <c r="C192" s="11">
        <f t="shared" si="8"/>
        <v>46127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24398485</v>
      </c>
      <c r="K192" s="12" t="s">
        <v>276</v>
      </c>
      <c r="L192" s="12" t="s">
        <v>278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1057</v>
      </c>
      <c r="B193" s="11">
        <f t="shared" si="7"/>
        <v>46121</v>
      </c>
      <c r="C193" s="11">
        <f t="shared" si="8"/>
        <v>46127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24398494</v>
      </c>
      <c r="K193" s="12" t="s">
        <v>276</v>
      </c>
      <c r="L193" s="12" t="s">
        <v>279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1057</v>
      </c>
      <c r="B194" s="11">
        <f t="shared" si="7"/>
        <v>46121</v>
      </c>
      <c r="C194" s="11">
        <f t="shared" si="8"/>
        <v>46127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24398501</v>
      </c>
      <c r="K194" s="12" t="s">
        <v>276</v>
      </c>
      <c r="L194" s="12" t="s">
        <v>280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1057</v>
      </c>
      <c r="B195" s="11">
        <f t="shared" si="7"/>
        <v>46121</v>
      </c>
      <c r="C195" s="11">
        <f t="shared" si="8"/>
        <v>46127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24402559</v>
      </c>
      <c r="K195" s="12" t="s">
        <v>281</v>
      </c>
      <c r="L195" s="12" t="s">
        <v>282</v>
      </c>
      <c r="M195" s="13">
        <v>299900</v>
      </c>
      <c r="N195" s="14">
        <v>0.95</v>
      </c>
      <c r="O195" s="13">
        <f t="shared" ref="O195:O235" si="9">M195-(M195*N195)</f>
        <v>14995</v>
      </c>
      <c r="P195" s="10" t="s">
        <v>16</v>
      </c>
    </row>
    <row r="196" spans="1:16" x14ac:dyDescent="0.35">
      <c r="A196" s="10" t="s">
        <v>1057</v>
      </c>
      <c r="B196" s="11">
        <f t="shared" ref="B196:B235" si="10">B195</f>
        <v>46121</v>
      </c>
      <c r="C196" s="11">
        <f t="shared" ref="C196:C235" si="11">C195</f>
        <v>46127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24402568</v>
      </c>
      <c r="K196" s="12" t="s">
        <v>281</v>
      </c>
      <c r="L196" s="12" t="s">
        <v>283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1057</v>
      </c>
      <c r="B197" s="11">
        <f t="shared" si="10"/>
        <v>46121</v>
      </c>
      <c r="C197" s="11">
        <f t="shared" si="11"/>
        <v>46127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24402700</v>
      </c>
      <c r="K197" s="12" t="s">
        <v>284</v>
      </c>
      <c r="L197" s="12" t="s">
        <v>285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1057</v>
      </c>
      <c r="B198" s="11">
        <f t="shared" si="10"/>
        <v>46121</v>
      </c>
      <c r="C198" s="11">
        <f t="shared" si="11"/>
        <v>46127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24402719</v>
      </c>
      <c r="K198" s="12" t="s">
        <v>284</v>
      </c>
      <c r="L198" s="12" t="s">
        <v>286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1057</v>
      </c>
      <c r="B199" s="11">
        <f t="shared" si="10"/>
        <v>46121</v>
      </c>
      <c r="C199" s="11">
        <f t="shared" si="11"/>
        <v>46127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24402728</v>
      </c>
      <c r="K199" s="12" t="s">
        <v>284</v>
      </c>
      <c r="L199" s="12" t="s">
        <v>287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1057</v>
      </c>
      <c r="B200" s="11">
        <f t="shared" si="10"/>
        <v>46121</v>
      </c>
      <c r="C200" s="11">
        <f t="shared" si="11"/>
        <v>46127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24402737</v>
      </c>
      <c r="K200" s="12" t="s">
        <v>284</v>
      </c>
      <c r="L200" s="12" t="s">
        <v>288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1057</v>
      </c>
      <c r="B201" s="11">
        <f t="shared" si="10"/>
        <v>46121</v>
      </c>
      <c r="C201" s="11">
        <f t="shared" si="11"/>
        <v>46127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24402746</v>
      </c>
      <c r="K201" s="12" t="s">
        <v>284</v>
      </c>
      <c r="L201" s="12" t="s">
        <v>289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1057</v>
      </c>
      <c r="B202" s="11">
        <f t="shared" si="10"/>
        <v>46121</v>
      </c>
      <c r="C202" s="11">
        <f t="shared" si="11"/>
        <v>46127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24404155</v>
      </c>
      <c r="K202" s="12" t="s">
        <v>290</v>
      </c>
      <c r="L202" s="12" t="s">
        <v>291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1057</v>
      </c>
      <c r="B203" s="11">
        <f t="shared" si="10"/>
        <v>46121</v>
      </c>
      <c r="C203" s="11">
        <f t="shared" si="11"/>
        <v>46127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24404226</v>
      </c>
      <c r="K203" s="12" t="s">
        <v>292</v>
      </c>
      <c r="L203" s="12" t="s">
        <v>293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1057</v>
      </c>
      <c r="B204" s="11">
        <f t="shared" si="10"/>
        <v>46121</v>
      </c>
      <c r="C204" s="11">
        <f t="shared" si="11"/>
        <v>46127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24404235</v>
      </c>
      <c r="K204" s="12" t="s">
        <v>292</v>
      </c>
      <c r="L204" s="12" t="s">
        <v>294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1057</v>
      </c>
      <c r="B205" s="11">
        <f t="shared" si="10"/>
        <v>46121</v>
      </c>
      <c r="C205" s="11">
        <f t="shared" si="11"/>
        <v>46127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24411343</v>
      </c>
      <c r="K205" s="12" t="s">
        <v>295</v>
      </c>
      <c r="L205" s="12" t="s">
        <v>296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1057</v>
      </c>
      <c r="B206" s="11">
        <f t="shared" si="10"/>
        <v>46121</v>
      </c>
      <c r="C206" s="11">
        <f t="shared" si="11"/>
        <v>46127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24411352</v>
      </c>
      <c r="K206" s="12" t="s">
        <v>295</v>
      </c>
      <c r="L206" s="12" t="s">
        <v>297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1057</v>
      </c>
      <c r="B207" s="11">
        <f t="shared" si="10"/>
        <v>46121</v>
      </c>
      <c r="C207" s="11">
        <f t="shared" si="11"/>
        <v>46127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24411361</v>
      </c>
      <c r="K207" s="12" t="s">
        <v>295</v>
      </c>
      <c r="L207" s="12" t="s">
        <v>298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1057</v>
      </c>
      <c r="B208" s="11">
        <f t="shared" si="10"/>
        <v>46121</v>
      </c>
      <c r="C208" s="11">
        <f t="shared" si="11"/>
        <v>46127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24411370</v>
      </c>
      <c r="K208" s="12" t="s">
        <v>295</v>
      </c>
      <c r="L208" s="12" t="s">
        <v>299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1057</v>
      </c>
      <c r="B209" s="11">
        <f t="shared" si="10"/>
        <v>46121</v>
      </c>
      <c r="C209" s="11">
        <f t="shared" si="11"/>
        <v>46127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24411389</v>
      </c>
      <c r="K209" s="12" t="s">
        <v>295</v>
      </c>
      <c r="L209" s="12" t="s">
        <v>300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1057</v>
      </c>
      <c r="B210" s="11">
        <f t="shared" si="10"/>
        <v>46121</v>
      </c>
      <c r="C210" s="11">
        <f t="shared" si="11"/>
        <v>46127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24411398</v>
      </c>
      <c r="K210" s="12" t="s">
        <v>295</v>
      </c>
      <c r="L210" s="12" t="s">
        <v>301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1057</v>
      </c>
      <c r="B211" s="11">
        <f t="shared" si="10"/>
        <v>46121</v>
      </c>
      <c r="C211" s="11">
        <f t="shared" si="11"/>
        <v>46127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24411414</v>
      </c>
      <c r="K211" s="12" t="s">
        <v>302</v>
      </c>
      <c r="L211" s="12" t="s">
        <v>303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1057</v>
      </c>
      <c r="B212" s="11">
        <f t="shared" si="10"/>
        <v>46121</v>
      </c>
      <c r="C212" s="11">
        <f t="shared" si="11"/>
        <v>46127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24411487</v>
      </c>
      <c r="K212" s="12" t="s">
        <v>304</v>
      </c>
      <c r="L212" s="12" t="s">
        <v>305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1057</v>
      </c>
      <c r="B213" s="11">
        <f t="shared" si="10"/>
        <v>46121</v>
      </c>
      <c r="C213" s="11">
        <f t="shared" si="11"/>
        <v>46127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24411496</v>
      </c>
      <c r="K213" s="12" t="s">
        <v>304</v>
      </c>
      <c r="L213" s="12" t="s">
        <v>306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1057</v>
      </c>
      <c r="B214" s="11">
        <f t="shared" si="10"/>
        <v>46121</v>
      </c>
      <c r="C214" s="11">
        <f t="shared" si="11"/>
        <v>46127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24411503</v>
      </c>
      <c r="K214" s="12" t="s">
        <v>304</v>
      </c>
      <c r="L214" s="12" t="s">
        <v>307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1057</v>
      </c>
      <c r="B215" s="11">
        <f t="shared" si="10"/>
        <v>46121</v>
      </c>
      <c r="C215" s="11">
        <f t="shared" si="11"/>
        <v>46127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24411754</v>
      </c>
      <c r="K215" s="12" t="s">
        <v>308</v>
      </c>
      <c r="L215" s="12" t="s">
        <v>309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1057</v>
      </c>
      <c r="B216" s="11">
        <f t="shared" si="10"/>
        <v>46121</v>
      </c>
      <c r="C216" s="11">
        <f t="shared" si="11"/>
        <v>46127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24411763</v>
      </c>
      <c r="K216" s="12" t="s">
        <v>308</v>
      </c>
      <c r="L216" s="12" t="s">
        <v>310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1057</v>
      </c>
      <c r="B217" s="11">
        <f t="shared" si="10"/>
        <v>46121</v>
      </c>
      <c r="C217" s="11">
        <f t="shared" si="11"/>
        <v>46127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24411772</v>
      </c>
      <c r="K217" s="12" t="s">
        <v>308</v>
      </c>
      <c r="L217" s="12" t="s">
        <v>311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1057</v>
      </c>
      <c r="B218" s="11">
        <f t="shared" si="10"/>
        <v>46121</v>
      </c>
      <c r="C218" s="11">
        <f t="shared" si="11"/>
        <v>46127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24411781</v>
      </c>
      <c r="K218" s="12" t="s">
        <v>308</v>
      </c>
      <c r="L218" s="12" t="s">
        <v>312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1057</v>
      </c>
      <c r="B219" s="11">
        <f t="shared" si="10"/>
        <v>46121</v>
      </c>
      <c r="C219" s="11">
        <f t="shared" si="11"/>
        <v>46127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24411790</v>
      </c>
      <c r="K219" s="12" t="s">
        <v>308</v>
      </c>
      <c r="L219" s="12" t="s">
        <v>313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1057</v>
      </c>
      <c r="B220" s="11">
        <f t="shared" si="10"/>
        <v>46121</v>
      </c>
      <c r="C220" s="11">
        <f t="shared" si="11"/>
        <v>46127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24411807</v>
      </c>
      <c r="K220" s="12" t="s">
        <v>308</v>
      </c>
      <c r="L220" s="12" t="s">
        <v>314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1057</v>
      </c>
      <c r="B221" s="11">
        <f t="shared" si="10"/>
        <v>46121</v>
      </c>
      <c r="C221" s="11">
        <f t="shared" si="11"/>
        <v>46127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24411861</v>
      </c>
      <c r="K221" s="12" t="s">
        <v>315</v>
      </c>
      <c r="L221" s="12" t="s">
        <v>316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1057</v>
      </c>
      <c r="B222" s="11">
        <f t="shared" si="10"/>
        <v>46121</v>
      </c>
      <c r="C222" s="11">
        <f t="shared" si="11"/>
        <v>46127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24411870</v>
      </c>
      <c r="K222" s="12" t="s">
        <v>315</v>
      </c>
      <c r="L222" s="12" t="s">
        <v>317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1057</v>
      </c>
      <c r="B223" s="11">
        <f t="shared" si="10"/>
        <v>46121</v>
      </c>
      <c r="C223" s="11">
        <f t="shared" si="11"/>
        <v>46127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24411889</v>
      </c>
      <c r="K223" s="12" t="s">
        <v>315</v>
      </c>
      <c r="L223" s="12" t="s">
        <v>318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1057</v>
      </c>
      <c r="B224" s="11">
        <f t="shared" si="10"/>
        <v>46121</v>
      </c>
      <c r="C224" s="11">
        <f t="shared" si="11"/>
        <v>46127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24411898</v>
      </c>
      <c r="K224" s="12" t="s">
        <v>315</v>
      </c>
      <c r="L224" s="12" t="s">
        <v>319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1057</v>
      </c>
      <c r="B225" s="11">
        <f t="shared" si="10"/>
        <v>46121</v>
      </c>
      <c r="C225" s="11">
        <f t="shared" si="11"/>
        <v>46127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24411905</v>
      </c>
      <c r="K225" s="12" t="s">
        <v>315</v>
      </c>
      <c r="L225" s="12" t="s">
        <v>320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1057</v>
      </c>
      <c r="B226" s="11">
        <f t="shared" si="10"/>
        <v>46121</v>
      </c>
      <c r="C226" s="11">
        <f t="shared" si="11"/>
        <v>46127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24411969</v>
      </c>
      <c r="K226" s="12" t="s">
        <v>321</v>
      </c>
      <c r="L226" s="12" t="s">
        <v>322</v>
      </c>
      <c r="M226" s="13">
        <v>329900</v>
      </c>
      <c r="N226" s="14">
        <v>0.95</v>
      </c>
      <c r="O226" s="13">
        <f t="shared" si="9"/>
        <v>16495</v>
      </c>
      <c r="P226" s="10" t="s">
        <v>16</v>
      </c>
    </row>
    <row r="227" spans="1:16" x14ac:dyDescent="0.35">
      <c r="A227" s="10" t="s">
        <v>1057</v>
      </c>
      <c r="B227" s="11">
        <f t="shared" si="10"/>
        <v>46121</v>
      </c>
      <c r="C227" s="11">
        <f t="shared" si="11"/>
        <v>46127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24412146</v>
      </c>
      <c r="K227" s="12" t="s">
        <v>323</v>
      </c>
      <c r="L227" s="12" t="s">
        <v>324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1057</v>
      </c>
      <c r="B228" s="11">
        <f t="shared" si="10"/>
        <v>46121</v>
      </c>
      <c r="C228" s="11">
        <f t="shared" si="11"/>
        <v>46127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24698893</v>
      </c>
      <c r="K228" s="12" t="s">
        <v>325</v>
      </c>
      <c r="L228" s="12" t="s">
        <v>326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1057</v>
      </c>
      <c r="B229" s="11">
        <f t="shared" si="10"/>
        <v>46121</v>
      </c>
      <c r="C229" s="11">
        <f t="shared" si="11"/>
        <v>46127</v>
      </c>
      <c r="D229" s="10">
        <v>3250</v>
      </c>
      <c r="E229" s="10">
        <v>332</v>
      </c>
      <c r="F229" s="10">
        <v>3</v>
      </c>
      <c r="G229" s="10">
        <v>1</v>
      </c>
      <c r="H229" s="10">
        <v>81648</v>
      </c>
      <c r="I229" s="10" t="s">
        <v>17</v>
      </c>
      <c r="J229" s="10">
        <v>23366270</v>
      </c>
      <c r="K229" s="12" t="s">
        <v>327</v>
      </c>
      <c r="L229" s="12" t="s">
        <v>328</v>
      </c>
      <c r="M229" s="13">
        <v>349900</v>
      </c>
      <c r="N229" s="14">
        <v>0.95</v>
      </c>
      <c r="O229" s="13">
        <f t="shared" si="9"/>
        <v>17495</v>
      </c>
      <c r="P229" s="10" t="s">
        <v>16</v>
      </c>
    </row>
    <row r="230" spans="1:16" x14ac:dyDescent="0.35">
      <c r="A230" s="10" t="s">
        <v>1057</v>
      </c>
      <c r="B230" s="11">
        <f t="shared" si="10"/>
        <v>46121</v>
      </c>
      <c r="C230" s="11">
        <f t="shared" si="11"/>
        <v>46127</v>
      </c>
      <c r="D230" s="10">
        <v>3250</v>
      </c>
      <c r="E230" s="10">
        <v>332</v>
      </c>
      <c r="F230" s="10">
        <v>3</v>
      </c>
      <c r="G230" s="10">
        <v>1</v>
      </c>
      <c r="H230" s="10">
        <v>81648</v>
      </c>
      <c r="I230" s="10" t="s">
        <v>17</v>
      </c>
      <c r="J230" s="10">
        <v>23366289</v>
      </c>
      <c r="K230" s="12" t="s">
        <v>327</v>
      </c>
      <c r="L230" s="12" t="s">
        <v>329</v>
      </c>
      <c r="M230" s="13">
        <v>349900</v>
      </c>
      <c r="N230" s="14">
        <v>0.95</v>
      </c>
      <c r="O230" s="13">
        <f t="shared" si="9"/>
        <v>17495</v>
      </c>
      <c r="P230" s="10" t="s">
        <v>16</v>
      </c>
    </row>
    <row r="231" spans="1:16" x14ac:dyDescent="0.35">
      <c r="A231" s="10" t="s">
        <v>1057</v>
      </c>
      <c r="B231" s="11">
        <f t="shared" si="10"/>
        <v>46121</v>
      </c>
      <c r="C231" s="11">
        <f t="shared" si="11"/>
        <v>46127</v>
      </c>
      <c r="D231" s="10">
        <v>3250</v>
      </c>
      <c r="E231" s="10">
        <v>332</v>
      </c>
      <c r="F231" s="10">
        <v>3</v>
      </c>
      <c r="G231" s="10">
        <v>1</v>
      </c>
      <c r="H231" s="10">
        <v>81648</v>
      </c>
      <c r="I231" s="10" t="s">
        <v>17</v>
      </c>
      <c r="J231" s="10">
        <v>23366323</v>
      </c>
      <c r="K231" s="12" t="s">
        <v>330</v>
      </c>
      <c r="L231" s="12" t="s">
        <v>331</v>
      </c>
      <c r="M231" s="13">
        <v>349900</v>
      </c>
      <c r="N231" s="14">
        <v>0.95</v>
      </c>
      <c r="O231" s="13">
        <f t="shared" si="9"/>
        <v>17495</v>
      </c>
      <c r="P231" s="10" t="s">
        <v>16</v>
      </c>
    </row>
    <row r="232" spans="1:16" x14ac:dyDescent="0.35">
      <c r="A232" s="10" t="s">
        <v>1057</v>
      </c>
      <c r="B232" s="11">
        <f t="shared" si="10"/>
        <v>46121</v>
      </c>
      <c r="C232" s="11">
        <f t="shared" si="11"/>
        <v>46127</v>
      </c>
      <c r="D232" s="10">
        <v>3250</v>
      </c>
      <c r="E232" s="10">
        <v>332</v>
      </c>
      <c r="F232" s="10">
        <v>3</v>
      </c>
      <c r="G232" s="10">
        <v>1</v>
      </c>
      <c r="H232" s="10">
        <v>81648</v>
      </c>
      <c r="I232" s="10" t="s">
        <v>17</v>
      </c>
      <c r="J232" s="10">
        <v>23366341</v>
      </c>
      <c r="K232" s="12" t="s">
        <v>330</v>
      </c>
      <c r="L232" s="12" t="s">
        <v>332</v>
      </c>
      <c r="M232" s="13">
        <v>349900</v>
      </c>
      <c r="N232" s="14">
        <v>0.95</v>
      </c>
      <c r="O232" s="13">
        <f t="shared" si="9"/>
        <v>17495</v>
      </c>
      <c r="P232" s="10" t="s">
        <v>16</v>
      </c>
    </row>
    <row r="233" spans="1:16" x14ac:dyDescent="0.35">
      <c r="A233" s="10" t="s">
        <v>1057</v>
      </c>
      <c r="B233" s="11">
        <f t="shared" si="10"/>
        <v>46121</v>
      </c>
      <c r="C233" s="11">
        <f t="shared" si="11"/>
        <v>46127</v>
      </c>
      <c r="D233" s="10">
        <v>3250</v>
      </c>
      <c r="E233" s="10">
        <v>332</v>
      </c>
      <c r="F233" s="10">
        <v>3</v>
      </c>
      <c r="G233" s="10">
        <v>1</v>
      </c>
      <c r="H233" s="10">
        <v>81648</v>
      </c>
      <c r="I233" s="10" t="s">
        <v>17</v>
      </c>
      <c r="J233" s="10">
        <v>23366387</v>
      </c>
      <c r="K233" s="12" t="s">
        <v>333</v>
      </c>
      <c r="L233" s="12" t="s">
        <v>334</v>
      </c>
      <c r="M233" s="13">
        <v>349900</v>
      </c>
      <c r="N233" s="14">
        <v>0.95</v>
      </c>
      <c r="O233" s="13">
        <f t="shared" si="9"/>
        <v>17495</v>
      </c>
      <c r="P233" s="10" t="s">
        <v>16</v>
      </c>
    </row>
    <row r="234" spans="1:16" x14ac:dyDescent="0.35">
      <c r="A234" s="10" t="s">
        <v>1057</v>
      </c>
      <c r="B234" s="11">
        <f t="shared" si="10"/>
        <v>46121</v>
      </c>
      <c r="C234" s="11">
        <f t="shared" si="11"/>
        <v>46127</v>
      </c>
      <c r="D234" s="10">
        <v>3250</v>
      </c>
      <c r="E234" s="10">
        <v>332</v>
      </c>
      <c r="F234" s="10">
        <v>3</v>
      </c>
      <c r="G234" s="10">
        <v>1</v>
      </c>
      <c r="H234" s="10">
        <v>81648</v>
      </c>
      <c r="I234" s="10" t="s">
        <v>17</v>
      </c>
      <c r="J234" s="10">
        <v>23366403</v>
      </c>
      <c r="K234" s="12" t="s">
        <v>333</v>
      </c>
      <c r="L234" s="12" t="s">
        <v>335</v>
      </c>
      <c r="M234" s="13">
        <v>349900</v>
      </c>
      <c r="N234" s="14">
        <v>0.95</v>
      </c>
      <c r="O234" s="13">
        <f t="shared" si="9"/>
        <v>17495</v>
      </c>
      <c r="P234" s="10" t="s">
        <v>16</v>
      </c>
    </row>
    <row r="235" spans="1:16" x14ac:dyDescent="0.35">
      <c r="A235" s="10" t="s">
        <v>1057</v>
      </c>
      <c r="B235" s="11">
        <f t="shared" si="10"/>
        <v>46121</v>
      </c>
      <c r="C235" s="11">
        <f t="shared" si="11"/>
        <v>46127</v>
      </c>
      <c r="D235" s="10">
        <v>3250</v>
      </c>
      <c r="E235" s="10">
        <v>332</v>
      </c>
      <c r="F235" s="10">
        <v>3</v>
      </c>
      <c r="G235" s="10">
        <v>1</v>
      </c>
      <c r="H235" s="10">
        <v>81648</v>
      </c>
      <c r="I235" s="10" t="s">
        <v>17</v>
      </c>
      <c r="J235" s="10">
        <v>23366412</v>
      </c>
      <c r="K235" s="12" t="s">
        <v>333</v>
      </c>
      <c r="L235" s="12" t="s">
        <v>336</v>
      </c>
      <c r="M235" s="13">
        <v>349900</v>
      </c>
      <c r="N235" s="14">
        <v>0.95</v>
      </c>
      <c r="O235" s="13">
        <f t="shared" si="9"/>
        <v>17495</v>
      </c>
      <c r="P235" s="10" t="s">
        <v>16</v>
      </c>
    </row>
  </sheetData>
  <autoFilter ref="A1:P235" xr:uid="{00000000-0009-0000-0000-000000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8"/>
  <sheetViews>
    <sheetView zoomScale="90" workbookViewId="0">
      <pane ySplit="1" topLeftCell="A71" activePane="bottomLeft" state="frozen"/>
      <selection pane="bottomLeft" activeCell="B71" sqref="B71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60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1058</v>
      </c>
      <c r="B2" s="11">
        <f>' 2019 ALL D95'!B2</f>
        <v>46121</v>
      </c>
      <c r="C2" s="11">
        <f>' 2019 ALL D95'!C2</f>
        <v>46127</v>
      </c>
      <c r="D2" s="10">
        <v>3250</v>
      </c>
      <c r="E2" s="10">
        <v>332</v>
      </c>
      <c r="F2" s="10">
        <v>3</v>
      </c>
      <c r="G2" s="10">
        <v>2</v>
      </c>
      <c r="H2" s="10">
        <v>81468</v>
      </c>
      <c r="I2" s="10" t="s">
        <v>17</v>
      </c>
      <c r="J2" s="10">
        <v>24382509</v>
      </c>
      <c r="K2" s="12" t="s">
        <v>337</v>
      </c>
      <c r="L2" s="12" t="s">
        <v>338</v>
      </c>
      <c r="M2" s="13">
        <v>269900</v>
      </c>
      <c r="N2" s="14">
        <v>0.95</v>
      </c>
      <c r="O2" s="13">
        <f>M2-(M2*N2)</f>
        <v>13495</v>
      </c>
      <c r="P2" s="10" t="s">
        <v>16</v>
      </c>
    </row>
    <row r="3" spans="1:16" x14ac:dyDescent="0.35">
      <c r="A3" s="10" t="s">
        <v>1058</v>
      </c>
      <c r="B3" s="11">
        <f>B2</f>
        <v>46121</v>
      </c>
      <c r="C3" s="11">
        <f>C2</f>
        <v>46127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24382527</v>
      </c>
      <c r="K3" s="12" t="s">
        <v>337</v>
      </c>
      <c r="L3" s="12" t="s">
        <v>339</v>
      </c>
      <c r="M3" s="13">
        <v>269900</v>
      </c>
      <c r="N3" s="14">
        <v>0.95</v>
      </c>
      <c r="O3" s="13">
        <f t="shared" ref="O3:O66" si="0">M3-(M3*N3)</f>
        <v>13495</v>
      </c>
      <c r="P3" s="10" t="s">
        <v>16</v>
      </c>
    </row>
    <row r="4" spans="1:16" x14ac:dyDescent="0.35">
      <c r="A4" s="10" t="s">
        <v>1058</v>
      </c>
      <c r="B4" s="11">
        <f t="shared" ref="B4:B67" si="1">B3</f>
        <v>46121</v>
      </c>
      <c r="C4" s="11">
        <f t="shared" ref="C4:C67" si="2">C3</f>
        <v>46127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26269969</v>
      </c>
      <c r="K4" s="12" t="s">
        <v>340</v>
      </c>
      <c r="L4" s="12" t="s">
        <v>341</v>
      </c>
      <c r="M4" s="13">
        <v>269900</v>
      </c>
      <c r="N4" s="14">
        <v>0.95</v>
      </c>
      <c r="O4" s="13">
        <f t="shared" si="0"/>
        <v>13495</v>
      </c>
      <c r="P4" s="10" t="s">
        <v>16</v>
      </c>
    </row>
    <row r="5" spans="1:16" x14ac:dyDescent="0.35">
      <c r="A5" s="10" t="s">
        <v>1058</v>
      </c>
      <c r="B5" s="11">
        <f t="shared" si="1"/>
        <v>46121</v>
      </c>
      <c r="C5" s="11">
        <f t="shared" si="2"/>
        <v>46127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26269987</v>
      </c>
      <c r="K5" s="12" t="s">
        <v>340</v>
      </c>
      <c r="L5" s="12" t="s">
        <v>342</v>
      </c>
      <c r="M5" s="13">
        <v>269900</v>
      </c>
      <c r="N5" s="14">
        <v>0.95</v>
      </c>
      <c r="O5" s="13">
        <f t="shared" si="0"/>
        <v>13495</v>
      </c>
      <c r="P5" s="10" t="s">
        <v>16</v>
      </c>
    </row>
    <row r="6" spans="1:16" x14ac:dyDescent="0.35">
      <c r="A6" s="10" t="s">
        <v>1058</v>
      </c>
      <c r="B6" s="11">
        <f t="shared" si="1"/>
        <v>46121</v>
      </c>
      <c r="C6" s="11">
        <f t="shared" si="2"/>
        <v>46127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26269996</v>
      </c>
      <c r="K6" s="12" t="s">
        <v>340</v>
      </c>
      <c r="L6" s="12" t="s">
        <v>343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1058</v>
      </c>
      <c r="B7" s="11">
        <f t="shared" si="1"/>
        <v>46121</v>
      </c>
      <c r="C7" s="11">
        <f t="shared" si="2"/>
        <v>46127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26270000</v>
      </c>
      <c r="K7" s="12" t="s">
        <v>344</v>
      </c>
      <c r="L7" s="12" t="s">
        <v>345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1058</v>
      </c>
      <c r="B8" s="11">
        <f t="shared" si="1"/>
        <v>46121</v>
      </c>
      <c r="C8" s="11">
        <f t="shared" si="2"/>
        <v>46127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26270046</v>
      </c>
      <c r="K8" s="12" t="s">
        <v>346</v>
      </c>
      <c r="L8" s="12" t="s">
        <v>347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1058</v>
      </c>
      <c r="B9" s="11">
        <f t="shared" si="1"/>
        <v>46121</v>
      </c>
      <c r="C9" s="11">
        <f t="shared" si="2"/>
        <v>46127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26270055</v>
      </c>
      <c r="K9" s="12" t="s">
        <v>346</v>
      </c>
      <c r="L9" s="12" t="s">
        <v>348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1058</v>
      </c>
      <c r="B10" s="11">
        <f t="shared" si="1"/>
        <v>46121</v>
      </c>
      <c r="C10" s="11">
        <f t="shared" si="2"/>
        <v>46127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26270064</v>
      </c>
      <c r="K10" s="12" t="s">
        <v>346</v>
      </c>
      <c r="L10" s="12" t="s">
        <v>349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1058</v>
      </c>
      <c r="B11" s="11">
        <f t="shared" si="1"/>
        <v>46121</v>
      </c>
      <c r="C11" s="11">
        <f t="shared" si="2"/>
        <v>46127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26270073</v>
      </c>
      <c r="K11" s="12" t="s">
        <v>346</v>
      </c>
      <c r="L11" s="12" t="s">
        <v>350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1058</v>
      </c>
      <c r="B12" s="11">
        <f t="shared" si="1"/>
        <v>46121</v>
      </c>
      <c r="C12" s="11">
        <f t="shared" si="2"/>
        <v>46127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26390710</v>
      </c>
      <c r="K12" s="12" t="s">
        <v>351</v>
      </c>
      <c r="L12" s="12" t="s">
        <v>352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1058</v>
      </c>
      <c r="B13" s="11">
        <f t="shared" si="1"/>
        <v>46121</v>
      </c>
      <c r="C13" s="11">
        <f t="shared" si="2"/>
        <v>46127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26390729</v>
      </c>
      <c r="K13" s="12" t="s">
        <v>351</v>
      </c>
      <c r="L13" s="12" t="s">
        <v>353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1058</v>
      </c>
      <c r="B14" s="11">
        <f t="shared" si="1"/>
        <v>46121</v>
      </c>
      <c r="C14" s="11">
        <f t="shared" si="2"/>
        <v>46127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26390738</v>
      </c>
      <c r="K14" s="12" t="s">
        <v>351</v>
      </c>
      <c r="L14" s="12" t="s">
        <v>354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1058</v>
      </c>
      <c r="B15" s="11">
        <f t="shared" si="1"/>
        <v>46121</v>
      </c>
      <c r="C15" s="11">
        <f t="shared" si="2"/>
        <v>46127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26390747</v>
      </c>
      <c r="K15" s="12" t="s">
        <v>355</v>
      </c>
      <c r="L15" s="12" t="s">
        <v>356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1058</v>
      </c>
      <c r="B16" s="11">
        <f t="shared" si="1"/>
        <v>46121</v>
      </c>
      <c r="C16" s="11">
        <f t="shared" si="2"/>
        <v>46127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26390765</v>
      </c>
      <c r="K16" s="12" t="s">
        <v>355</v>
      </c>
      <c r="L16" s="12" t="s">
        <v>357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1058</v>
      </c>
      <c r="B17" s="11">
        <f t="shared" si="1"/>
        <v>46121</v>
      </c>
      <c r="C17" s="11">
        <f t="shared" si="2"/>
        <v>46127</v>
      </c>
      <c r="D17" s="10">
        <v>3250</v>
      </c>
      <c r="E17" s="10">
        <v>332</v>
      </c>
      <c r="F17" s="10">
        <v>3</v>
      </c>
      <c r="G17" s="10">
        <v>2</v>
      </c>
      <c r="H17" s="10">
        <v>81462</v>
      </c>
      <c r="I17" s="10" t="s">
        <v>17</v>
      </c>
      <c r="J17" s="10">
        <v>23522538</v>
      </c>
      <c r="K17" s="12" t="s">
        <v>358</v>
      </c>
      <c r="L17" s="12" t="s">
        <v>359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1058</v>
      </c>
      <c r="B18" s="11">
        <f t="shared" si="1"/>
        <v>46121</v>
      </c>
      <c r="C18" s="11">
        <f t="shared" si="2"/>
        <v>46127</v>
      </c>
      <c r="D18" s="10">
        <v>3250</v>
      </c>
      <c r="E18" s="10">
        <v>332</v>
      </c>
      <c r="F18" s="10">
        <v>3</v>
      </c>
      <c r="G18" s="10">
        <v>2</v>
      </c>
      <c r="H18" s="10">
        <v>81462</v>
      </c>
      <c r="I18" s="10" t="s">
        <v>17</v>
      </c>
      <c r="J18" s="10">
        <v>23522547</v>
      </c>
      <c r="K18" s="12" t="s">
        <v>358</v>
      </c>
      <c r="L18" s="12" t="s">
        <v>360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1058</v>
      </c>
      <c r="B19" s="11">
        <f t="shared" si="1"/>
        <v>46121</v>
      </c>
      <c r="C19" s="11">
        <f t="shared" si="2"/>
        <v>46127</v>
      </c>
      <c r="D19" s="10">
        <v>3250</v>
      </c>
      <c r="E19" s="10">
        <v>332</v>
      </c>
      <c r="F19" s="10">
        <v>3</v>
      </c>
      <c r="G19" s="10">
        <v>2</v>
      </c>
      <c r="H19" s="10">
        <v>81462</v>
      </c>
      <c r="I19" s="10" t="s">
        <v>17</v>
      </c>
      <c r="J19" s="10">
        <v>23522556</v>
      </c>
      <c r="K19" s="12" t="s">
        <v>358</v>
      </c>
      <c r="L19" s="12" t="s">
        <v>361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1058</v>
      </c>
      <c r="B20" s="11">
        <f t="shared" si="1"/>
        <v>46121</v>
      </c>
      <c r="C20" s="11">
        <f t="shared" si="2"/>
        <v>46127</v>
      </c>
      <c r="D20" s="10">
        <v>3250</v>
      </c>
      <c r="E20" s="10">
        <v>332</v>
      </c>
      <c r="F20" s="10">
        <v>3</v>
      </c>
      <c r="G20" s="10">
        <v>2</v>
      </c>
      <c r="H20" s="10">
        <v>81462</v>
      </c>
      <c r="I20" s="10" t="s">
        <v>17</v>
      </c>
      <c r="J20" s="10">
        <v>23522565</v>
      </c>
      <c r="K20" s="12" t="s">
        <v>358</v>
      </c>
      <c r="L20" s="12" t="s">
        <v>362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1058</v>
      </c>
      <c r="B21" s="11">
        <f t="shared" si="1"/>
        <v>46121</v>
      </c>
      <c r="C21" s="11">
        <f t="shared" si="2"/>
        <v>46127</v>
      </c>
      <c r="D21" s="10">
        <v>3250</v>
      </c>
      <c r="E21" s="10">
        <v>332</v>
      </c>
      <c r="F21" s="10">
        <v>3</v>
      </c>
      <c r="G21" s="10">
        <v>2</v>
      </c>
      <c r="H21" s="10">
        <v>81462</v>
      </c>
      <c r="I21" s="10" t="s">
        <v>17</v>
      </c>
      <c r="J21" s="10">
        <v>23522574</v>
      </c>
      <c r="K21" s="12" t="s">
        <v>363</v>
      </c>
      <c r="L21" s="12" t="s">
        <v>364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1058</v>
      </c>
      <c r="B22" s="11">
        <f t="shared" si="1"/>
        <v>46121</v>
      </c>
      <c r="C22" s="11">
        <f t="shared" si="2"/>
        <v>46127</v>
      </c>
      <c r="D22" s="10">
        <v>3250</v>
      </c>
      <c r="E22" s="10">
        <v>332</v>
      </c>
      <c r="F22" s="10">
        <v>3</v>
      </c>
      <c r="G22" s="10">
        <v>2</v>
      </c>
      <c r="H22" s="10">
        <v>81462</v>
      </c>
      <c r="I22" s="10" t="s">
        <v>17</v>
      </c>
      <c r="J22" s="10">
        <v>23522583</v>
      </c>
      <c r="K22" s="12" t="s">
        <v>363</v>
      </c>
      <c r="L22" s="12" t="s">
        <v>365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1058</v>
      </c>
      <c r="B23" s="11">
        <f t="shared" si="1"/>
        <v>46121</v>
      </c>
      <c r="C23" s="11">
        <f t="shared" si="2"/>
        <v>46127</v>
      </c>
      <c r="D23" s="10">
        <v>3250</v>
      </c>
      <c r="E23" s="10">
        <v>332</v>
      </c>
      <c r="F23" s="10">
        <v>3</v>
      </c>
      <c r="G23" s="10">
        <v>2</v>
      </c>
      <c r="H23" s="10">
        <v>81462</v>
      </c>
      <c r="I23" s="10" t="s">
        <v>17</v>
      </c>
      <c r="J23" s="10">
        <v>23522592</v>
      </c>
      <c r="K23" s="12" t="s">
        <v>363</v>
      </c>
      <c r="L23" s="12" t="s">
        <v>366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1058</v>
      </c>
      <c r="B24" s="11">
        <f t="shared" si="1"/>
        <v>46121</v>
      </c>
      <c r="C24" s="11">
        <f t="shared" si="2"/>
        <v>46127</v>
      </c>
      <c r="D24" s="10">
        <v>3250</v>
      </c>
      <c r="E24" s="10">
        <v>332</v>
      </c>
      <c r="F24" s="10">
        <v>3</v>
      </c>
      <c r="G24" s="10">
        <v>2</v>
      </c>
      <c r="H24" s="10">
        <v>81462</v>
      </c>
      <c r="I24" s="10" t="s">
        <v>17</v>
      </c>
      <c r="J24" s="10">
        <v>23522609</v>
      </c>
      <c r="K24" s="12" t="s">
        <v>363</v>
      </c>
      <c r="L24" s="12" t="s">
        <v>367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1058</v>
      </c>
      <c r="B25" s="11">
        <f t="shared" si="1"/>
        <v>46121</v>
      </c>
      <c r="C25" s="11">
        <f t="shared" si="2"/>
        <v>46127</v>
      </c>
      <c r="D25" s="10">
        <v>3250</v>
      </c>
      <c r="E25" s="10">
        <v>332</v>
      </c>
      <c r="F25" s="10">
        <v>3</v>
      </c>
      <c r="G25" s="10">
        <v>2</v>
      </c>
      <c r="H25" s="10">
        <v>81462</v>
      </c>
      <c r="I25" s="10" t="s">
        <v>17</v>
      </c>
      <c r="J25" s="10">
        <v>23522654</v>
      </c>
      <c r="K25" s="12" t="s">
        <v>368</v>
      </c>
      <c r="L25" s="12" t="s">
        <v>369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1058</v>
      </c>
      <c r="B26" s="11">
        <f t="shared" si="1"/>
        <v>46121</v>
      </c>
      <c r="C26" s="11">
        <f t="shared" si="2"/>
        <v>46127</v>
      </c>
      <c r="D26" s="10">
        <v>3250</v>
      </c>
      <c r="E26" s="10">
        <v>332</v>
      </c>
      <c r="F26" s="10">
        <v>3</v>
      </c>
      <c r="G26" s="10">
        <v>2</v>
      </c>
      <c r="H26" s="10">
        <v>81462</v>
      </c>
      <c r="I26" s="10" t="s">
        <v>17</v>
      </c>
      <c r="J26" s="10">
        <v>23522681</v>
      </c>
      <c r="K26" s="12" t="s">
        <v>368</v>
      </c>
      <c r="L26" s="12" t="s">
        <v>370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1058</v>
      </c>
      <c r="B27" s="11">
        <f t="shared" si="1"/>
        <v>46121</v>
      </c>
      <c r="C27" s="11">
        <f t="shared" si="2"/>
        <v>46127</v>
      </c>
      <c r="D27" s="10">
        <v>3250</v>
      </c>
      <c r="E27" s="10">
        <v>332</v>
      </c>
      <c r="F27" s="10">
        <v>3</v>
      </c>
      <c r="G27" s="10">
        <v>2</v>
      </c>
      <c r="H27" s="10">
        <v>81462</v>
      </c>
      <c r="I27" s="10" t="s">
        <v>17</v>
      </c>
      <c r="J27" s="10">
        <v>23522690</v>
      </c>
      <c r="K27" s="12" t="s">
        <v>371</v>
      </c>
      <c r="L27" s="12" t="s">
        <v>372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1058</v>
      </c>
      <c r="B28" s="11">
        <f t="shared" si="1"/>
        <v>46121</v>
      </c>
      <c r="C28" s="11">
        <f t="shared" si="2"/>
        <v>46127</v>
      </c>
      <c r="D28" s="10">
        <v>3250</v>
      </c>
      <c r="E28" s="10">
        <v>332</v>
      </c>
      <c r="F28" s="10">
        <v>3</v>
      </c>
      <c r="G28" s="10">
        <v>2</v>
      </c>
      <c r="H28" s="10">
        <v>81462</v>
      </c>
      <c r="I28" s="10" t="s">
        <v>17</v>
      </c>
      <c r="J28" s="10">
        <v>23522707</v>
      </c>
      <c r="K28" s="12" t="s">
        <v>371</v>
      </c>
      <c r="L28" s="12" t="s">
        <v>373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1058</v>
      </c>
      <c r="B29" s="11">
        <f t="shared" si="1"/>
        <v>46121</v>
      </c>
      <c r="C29" s="11">
        <f t="shared" si="2"/>
        <v>46127</v>
      </c>
      <c r="D29" s="10">
        <v>3250</v>
      </c>
      <c r="E29" s="10">
        <v>332</v>
      </c>
      <c r="F29" s="10">
        <v>3</v>
      </c>
      <c r="G29" s="10">
        <v>2</v>
      </c>
      <c r="H29" s="10">
        <v>81462</v>
      </c>
      <c r="I29" s="10" t="s">
        <v>17</v>
      </c>
      <c r="J29" s="10">
        <v>23522716</v>
      </c>
      <c r="K29" s="12" t="s">
        <v>371</v>
      </c>
      <c r="L29" s="12" t="s">
        <v>374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1058</v>
      </c>
      <c r="B30" s="11">
        <f t="shared" si="1"/>
        <v>46121</v>
      </c>
      <c r="C30" s="11">
        <f t="shared" si="2"/>
        <v>46127</v>
      </c>
      <c r="D30" s="10">
        <v>3250</v>
      </c>
      <c r="E30" s="10">
        <v>332</v>
      </c>
      <c r="F30" s="10">
        <v>3</v>
      </c>
      <c r="G30" s="10">
        <v>2</v>
      </c>
      <c r="H30" s="10">
        <v>81462</v>
      </c>
      <c r="I30" s="10" t="s">
        <v>17</v>
      </c>
      <c r="J30" s="10">
        <v>23522725</v>
      </c>
      <c r="K30" s="12" t="s">
        <v>371</v>
      </c>
      <c r="L30" s="12" t="s">
        <v>375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1058</v>
      </c>
      <c r="B31" s="11">
        <f t="shared" si="1"/>
        <v>46121</v>
      </c>
      <c r="C31" s="11">
        <f t="shared" si="2"/>
        <v>46127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26224275</v>
      </c>
      <c r="K31" s="12" t="s">
        <v>376</v>
      </c>
      <c r="L31" s="12" t="s">
        <v>377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1058</v>
      </c>
      <c r="B32" s="11">
        <f t="shared" si="1"/>
        <v>46121</v>
      </c>
      <c r="C32" s="11">
        <f t="shared" si="2"/>
        <v>46127</v>
      </c>
      <c r="D32" s="10">
        <v>3250</v>
      </c>
      <c r="E32" s="10">
        <v>332</v>
      </c>
      <c r="F32" s="10">
        <v>3</v>
      </c>
      <c r="G32" s="10">
        <v>4</v>
      </c>
      <c r="H32" s="10">
        <v>81447</v>
      </c>
      <c r="I32" s="10" t="s">
        <v>17</v>
      </c>
      <c r="J32" s="10">
        <v>26224284</v>
      </c>
      <c r="K32" s="12" t="s">
        <v>376</v>
      </c>
      <c r="L32" s="12" t="s">
        <v>378</v>
      </c>
      <c r="M32" s="13">
        <v>329900</v>
      </c>
      <c r="N32" s="14">
        <v>0.95</v>
      </c>
      <c r="O32" s="13">
        <f t="shared" si="0"/>
        <v>16495</v>
      </c>
      <c r="P32" s="10" t="s">
        <v>16</v>
      </c>
    </row>
    <row r="33" spans="1:16" x14ac:dyDescent="0.35">
      <c r="A33" s="10" t="s">
        <v>1058</v>
      </c>
      <c r="B33" s="11">
        <f t="shared" si="1"/>
        <v>46121</v>
      </c>
      <c r="C33" s="11">
        <f t="shared" si="2"/>
        <v>46127</v>
      </c>
      <c r="D33" s="10">
        <v>3250</v>
      </c>
      <c r="E33" s="10">
        <v>332</v>
      </c>
      <c r="F33" s="10">
        <v>3</v>
      </c>
      <c r="G33" s="10">
        <v>4</v>
      </c>
      <c r="H33" s="10">
        <v>81447</v>
      </c>
      <c r="I33" s="10" t="s">
        <v>17</v>
      </c>
      <c r="J33" s="10">
        <v>26224293</v>
      </c>
      <c r="K33" s="12" t="s">
        <v>376</v>
      </c>
      <c r="L33" s="12" t="s">
        <v>379</v>
      </c>
      <c r="M33" s="13">
        <v>329900</v>
      </c>
      <c r="N33" s="14">
        <v>0.95</v>
      </c>
      <c r="O33" s="13">
        <f t="shared" si="0"/>
        <v>16495</v>
      </c>
      <c r="P33" s="10" t="s">
        <v>16</v>
      </c>
    </row>
    <row r="34" spans="1:16" x14ac:dyDescent="0.35">
      <c r="A34" s="10" t="s">
        <v>1058</v>
      </c>
      <c r="B34" s="11">
        <f t="shared" si="1"/>
        <v>46121</v>
      </c>
      <c r="C34" s="11">
        <f t="shared" si="2"/>
        <v>46127</v>
      </c>
      <c r="D34" s="10">
        <v>3250</v>
      </c>
      <c r="E34" s="10">
        <v>332</v>
      </c>
      <c r="F34" s="10">
        <v>3</v>
      </c>
      <c r="G34" s="10">
        <v>4</v>
      </c>
      <c r="H34" s="10">
        <v>81447</v>
      </c>
      <c r="I34" s="10" t="s">
        <v>17</v>
      </c>
      <c r="J34" s="10">
        <v>26224300</v>
      </c>
      <c r="K34" s="12" t="s">
        <v>376</v>
      </c>
      <c r="L34" s="12" t="s">
        <v>380</v>
      </c>
      <c r="M34" s="13">
        <v>329900</v>
      </c>
      <c r="N34" s="14">
        <v>0.95</v>
      </c>
      <c r="O34" s="13">
        <f t="shared" si="0"/>
        <v>16495</v>
      </c>
      <c r="P34" s="10" t="s">
        <v>16</v>
      </c>
    </row>
    <row r="35" spans="1:16" x14ac:dyDescent="0.35">
      <c r="A35" s="10" t="s">
        <v>1058</v>
      </c>
      <c r="B35" s="11">
        <f t="shared" si="1"/>
        <v>46121</v>
      </c>
      <c r="C35" s="11">
        <f t="shared" si="2"/>
        <v>46127</v>
      </c>
      <c r="D35" s="10">
        <v>3250</v>
      </c>
      <c r="E35" s="10">
        <v>332</v>
      </c>
      <c r="F35" s="10">
        <v>3</v>
      </c>
      <c r="G35" s="10">
        <v>4</v>
      </c>
      <c r="H35" s="10">
        <v>81447</v>
      </c>
      <c r="I35" s="10" t="s">
        <v>17</v>
      </c>
      <c r="J35" s="10">
        <v>26224328</v>
      </c>
      <c r="K35" s="12" t="s">
        <v>376</v>
      </c>
      <c r="L35" s="12" t="s">
        <v>381</v>
      </c>
      <c r="M35" s="13">
        <v>329900</v>
      </c>
      <c r="N35" s="14">
        <v>0.95</v>
      </c>
      <c r="O35" s="13">
        <f t="shared" si="0"/>
        <v>16495</v>
      </c>
      <c r="P35" s="10" t="s">
        <v>16</v>
      </c>
    </row>
    <row r="36" spans="1:16" x14ac:dyDescent="0.35">
      <c r="A36" s="10" t="s">
        <v>1058</v>
      </c>
      <c r="B36" s="11">
        <f t="shared" si="1"/>
        <v>46121</v>
      </c>
      <c r="C36" s="11">
        <f t="shared" si="2"/>
        <v>46127</v>
      </c>
      <c r="D36" s="10">
        <v>3250</v>
      </c>
      <c r="E36" s="10">
        <v>332</v>
      </c>
      <c r="F36" s="10">
        <v>3</v>
      </c>
      <c r="G36" s="10">
        <v>4</v>
      </c>
      <c r="H36" s="10">
        <v>81447</v>
      </c>
      <c r="I36" s="10" t="s">
        <v>17</v>
      </c>
      <c r="J36" s="10">
        <v>26224337</v>
      </c>
      <c r="K36" s="12" t="s">
        <v>376</v>
      </c>
      <c r="L36" s="12" t="s">
        <v>382</v>
      </c>
      <c r="M36" s="13">
        <v>329900</v>
      </c>
      <c r="N36" s="14">
        <v>0.95</v>
      </c>
      <c r="O36" s="13">
        <f t="shared" si="0"/>
        <v>16495</v>
      </c>
      <c r="P36" s="10" t="s">
        <v>16</v>
      </c>
    </row>
    <row r="37" spans="1:16" x14ac:dyDescent="0.35">
      <c r="A37" s="10" t="s">
        <v>1058</v>
      </c>
      <c r="B37" s="11">
        <f t="shared" si="1"/>
        <v>46121</v>
      </c>
      <c r="C37" s="11">
        <f t="shared" si="2"/>
        <v>46127</v>
      </c>
      <c r="D37" s="10">
        <v>3250</v>
      </c>
      <c r="E37" s="10">
        <v>332</v>
      </c>
      <c r="F37" s="10">
        <v>3</v>
      </c>
      <c r="G37" s="10">
        <v>4</v>
      </c>
      <c r="H37" s="10">
        <v>81447</v>
      </c>
      <c r="I37" s="10" t="s">
        <v>17</v>
      </c>
      <c r="J37" s="10">
        <v>26224346</v>
      </c>
      <c r="K37" s="12" t="s">
        <v>376</v>
      </c>
      <c r="L37" s="12" t="s">
        <v>383</v>
      </c>
      <c r="M37" s="13">
        <v>329900</v>
      </c>
      <c r="N37" s="14">
        <v>0.95</v>
      </c>
      <c r="O37" s="13">
        <f t="shared" si="0"/>
        <v>16495</v>
      </c>
      <c r="P37" s="10" t="s">
        <v>16</v>
      </c>
    </row>
    <row r="38" spans="1:16" x14ac:dyDescent="0.35">
      <c r="A38" s="10" t="s">
        <v>1058</v>
      </c>
      <c r="B38" s="11">
        <f t="shared" si="1"/>
        <v>46121</v>
      </c>
      <c r="C38" s="11">
        <f t="shared" si="2"/>
        <v>46127</v>
      </c>
      <c r="D38" s="10">
        <v>3250</v>
      </c>
      <c r="E38" s="10">
        <v>332</v>
      </c>
      <c r="F38" s="10">
        <v>3</v>
      </c>
      <c r="G38" s="10">
        <v>4</v>
      </c>
      <c r="H38" s="10">
        <v>81447</v>
      </c>
      <c r="I38" s="10" t="s">
        <v>17</v>
      </c>
      <c r="J38" s="10">
        <v>26224355</v>
      </c>
      <c r="K38" s="12" t="s">
        <v>376</v>
      </c>
      <c r="L38" s="12" t="s">
        <v>384</v>
      </c>
      <c r="M38" s="13">
        <v>329900</v>
      </c>
      <c r="N38" s="14">
        <v>0.95</v>
      </c>
      <c r="O38" s="13">
        <f t="shared" si="0"/>
        <v>16495</v>
      </c>
      <c r="P38" s="10" t="s">
        <v>16</v>
      </c>
    </row>
    <row r="39" spans="1:16" x14ac:dyDescent="0.35">
      <c r="A39" s="10" t="s">
        <v>1058</v>
      </c>
      <c r="B39" s="11">
        <f t="shared" si="1"/>
        <v>46121</v>
      </c>
      <c r="C39" s="11">
        <f t="shared" si="2"/>
        <v>46127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17640681</v>
      </c>
      <c r="K39" s="12" t="s">
        <v>385</v>
      </c>
      <c r="L39" s="12" t="s">
        <v>386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1058</v>
      </c>
      <c r="B40" s="11">
        <f t="shared" si="1"/>
        <v>46121</v>
      </c>
      <c r="C40" s="11">
        <f t="shared" si="2"/>
        <v>46127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17640690</v>
      </c>
      <c r="K40" s="12" t="s">
        <v>385</v>
      </c>
      <c r="L40" s="12" t="s">
        <v>387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1058</v>
      </c>
      <c r="B41" s="11">
        <f t="shared" si="1"/>
        <v>46121</v>
      </c>
      <c r="C41" s="11">
        <f t="shared" si="2"/>
        <v>46127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17640707</v>
      </c>
      <c r="K41" s="12" t="s">
        <v>385</v>
      </c>
      <c r="L41" s="12" t="s">
        <v>388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1058</v>
      </c>
      <c r="B42" s="11">
        <f t="shared" si="1"/>
        <v>46121</v>
      </c>
      <c r="C42" s="11">
        <f t="shared" si="2"/>
        <v>46127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17640716</v>
      </c>
      <c r="K42" s="12" t="s">
        <v>385</v>
      </c>
      <c r="L42" s="12" t="s">
        <v>389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1058</v>
      </c>
      <c r="B43" s="11">
        <f t="shared" si="1"/>
        <v>46121</v>
      </c>
      <c r="C43" s="11">
        <f t="shared" si="2"/>
        <v>46127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17640725</v>
      </c>
      <c r="K43" s="12" t="s">
        <v>385</v>
      </c>
      <c r="L43" s="12" t="s">
        <v>390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1058</v>
      </c>
      <c r="B44" s="11">
        <f t="shared" si="1"/>
        <v>46121</v>
      </c>
      <c r="C44" s="11">
        <f t="shared" si="2"/>
        <v>46127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17640734</v>
      </c>
      <c r="K44" s="12" t="s">
        <v>385</v>
      </c>
      <c r="L44" s="12" t="s">
        <v>391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1058</v>
      </c>
      <c r="B45" s="11">
        <f t="shared" si="1"/>
        <v>46121</v>
      </c>
      <c r="C45" s="11">
        <f t="shared" si="2"/>
        <v>46127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17640743</v>
      </c>
      <c r="K45" s="12" t="s">
        <v>385</v>
      </c>
      <c r="L45" s="12" t="s">
        <v>392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1058</v>
      </c>
      <c r="B46" s="11">
        <f t="shared" si="1"/>
        <v>46121</v>
      </c>
      <c r="C46" s="11">
        <f t="shared" si="2"/>
        <v>46127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17640752</v>
      </c>
      <c r="K46" s="12" t="s">
        <v>385</v>
      </c>
      <c r="L46" s="12" t="s">
        <v>393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1058</v>
      </c>
      <c r="B47" s="11">
        <f t="shared" si="1"/>
        <v>46121</v>
      </c>
      <c r="C47" s="11">
        <f t="shared" si="2"/>
        <v>46127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17640761</v>
      </c>
      <c r="K47" s="12" t="s">
        <v>385</v>
      </c>
      <c r="L47" s="12" t="s">
        <v>394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1058</v>
      </c>
      <c r="B48" s="11">
        <f t="shared" si="1"/>
        <v>46121</v>
      </c>
      <c r="C48" s="11">
        <f t="shared" si="2"/>
        <v>46127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17640770</v>
      </c>
      <c r="K48" s="12" t="s">
        <v>385</v>
      </c>
      <c r="L48" s="12" t="s">
        <v>395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1058</v>
      </c>
      <c r="B49" s="11">
        <f t="shared" si="1"/>
        <v>46121</v>
      </c>
      <c r="C49" s="11">
        <f t="shared" si="2"/>
        <v>46127</v>
      </c>
      <c r="D49" s="10">
        <v>3250</v>
      </c>
      <c r="E49" s="10">
        <v>332</v>
      </c>
      <c r="F49" s="10">
        <v>3</v>
      </c>
      <c r="G49" s="10">
        <v>1</v>
      </c>
      <c r="H49" s="10">
        <v>81642</v>
      </c>
      <c r="I49" s="10" t="s">
        <v>17</v>
      </c>
      <c r="J49" s="10">
        <v>24107164</v>
      </c>
      <c r="K49" s="12" t="s">
        <v>396</v>
      </c>
      <c r="L49" s="12" t="s">
        <v>397</v>
      </c>
      <c r="M49" s="13">
        <v>329900</v>
      </c>
      <c r="N49" s="14">
        <v>0.95</v>
      </c>
      <c r="O49" s="13">
        <f t="shared" si="0"/>
        <v>16495</v>
      </c>
      <c r="P49" s="10" t="s">
        <v>16</v>
      </c>
    </row>
    <row r="50" spans="1:16" x14ac:dyDescent="0.35">
      <c r="A50" s="10" t="s">
        <v>1058</v>
      </c>
      <c r="B50" s="11">
        <f t="shared" si="1"/>
        <v>46121</v>
      </c>
      <c r="C50" s="11">
        <f t="shared" si="2"/>
        <v>46127</v>
      </c>
      <c r="D50" s="10">
        <v>3250</v>
      </c>
      <c r="E50" s="10">
        <v>332</v>
      </c>
      <c r="F50" s="10">
        <v>3</v>
      </c>
      <c r="G50" s="10">
        <v>1</v>
      </c>
      <c r="H50" s="10">
        <v>81642</v>
      </c>
      <c r="I50" s="10" t="s">
        <v>17</v>
      </c>
      <c r="J50" s="10">
        <v>24107173</v>
      </c>
      <c r="K50" s="12" t="s">
        <v>396</v>
      </c>
      <c r="L50" s="12" t="s">
        <v>398</v>
      </c>
      <c r="M50" s="13">
        <v>329900</v>
      </c>
      <c r="N50" s="14">
        <v>0.95</v>
      </c>
      <c r="O50" s="13">
        <f t="shared" si="0"/>
        <v>16495</v>
      </c>
      <c r="P50" s="10" t="s">
        <v>16</v>
      </c>
    </row>
    <row r="51" spans="1:16" x14ac:dyDescent="0.35">
      <c r="A51" s="10" t="s">
        <v>1058</v>
      </c>
      <c r="B51" s="11">
        <f t="shared" si="1"/>
        <v>46121</v>
      </c>
      <c r="C51" s="11">
        <f t="shared" si="2"/>
        <v>46127</v>
      </c>
      <c r="D51" s="10">
        <v>3250</v>
      </c>
      <c r="E51" s="10">
        <v>332</v>
      </c>
      <c r="F51" s="10">
        <v>3</v>
      </c>
      <c r="G51" s="10">
        <v>1</v>
      </c>
      <c r="H51" s="10">
        <v>81642</v>
      </c>
      <c r="I51" s="10" t="s">
        <v>17</v>
      </c>
      <c r="J51" s="10">
        <v>24107182</v>
      </c>
      <c r="K51" s="12" t="s">
        <v>396</v>
      </c>
      <c r="L51" s="12" t="s">
        <v>399</v>
      </c>
      <c r="M51" s="13">
        <v>329900</v>
      </c>
      <c r="N51" s="14">
        <v>0.95</v>
      </c>
      <c r="O51" s="13">
        <f t="shared" si="0"/>
        <v>16495</v>
      </c>
      <c r="P51" s="10" t="s">
        <v>16</v>
      </c>
    </row>
    <row r="52" spans="1:16" x14ac:dyDescent="0.35">
      <c r="A52" s="10" t="s">
        <v>1058</v>
      </c>
      <c r="B52" s="11">
        <f t="shared" si="1"/>
        <v>46121</v>
      </c>
      <c r="C52" s="11">
        <f t="shared" si="2"/>
        <v>46127</v>
      </c>
      <c r="D52" s="10">
        <v>3250</v>
      </c>
      <c r="E52" s="10">
        <v>332</v>
      </c>
      <c r="F52" s="10">
        <v>3</v>
      </c>
      <c r="G52" s="10">
        <v>1</v>
      </c>
      <c r="H52" s="10">
        <v>81642</v>
      </c>
      <c r="I52" s="10" t="s">
        <v>17</v>
      </c>
      <c r="J52" s="10">
        <v>24107191</v>
      </c>
      <c r="K52" s="12" t="s">
        <v>396</v>
      </c>
      <c r="L52" s="12" t="s">
        <v>400</v>
      </c>
      <c r="M52" s="13">
        <v>329900</v>
      </c>
      <c r="N52" s="14">
        <v>0.95</v>
      </c>
      <c r="O52" s="13">
        <f t="shared" si="0"/>
        <v>16495</v>
      </c>
      <c r="P52" s="10" t="s">
        <v>16</v>
      </c>
    </row>
    <row r="53" spans="1:16" x14ac:dyDescent="0.35">
      <c r="A53" s="10" t="s">
        <v>1058</v>
      </c>
      <c r="B53" s="11">
        <f t="shared" si="1"/>
        <v>46121</v>
      </c>
      <c r="C53" s="11">
        <f t="shared" si="2"/>
        <v>46127</v>
      </c>
      <c r="D53" s="10">
        <v>3250</v>
      </c>
      <c r="E53" s="10">
        <v>332</v>
      </c>
      <c r="F53" s="10">
        <v>3</v>
      </c>
      <c r="G53" s="10">
        <v>1</v>
      </c>
      <c r="H53" s="10">
        <v>81642</v>
      </c>
      <c r="I53" s="10" t="s">
        <v>17</v>
      </c>
      <c r="J53" s="10">
        <v>24107217</v>
      </c>
      <c r="K53" s="12" t="s">
        <v>396</v>
      </c>
      <c r="L53" s="12" t="s">
        <v>401</v>
      </c>
      <c r="M53" s="13">
        <v>329900</v>
      </c>
      <c r="N53" s="14">
        <v>0.95</v>
      </c>
      <c r="O53" s="13">
        <f t="shared" si="0"/>
        <v>16495</v>
      </c>
      <c r="P53" s="10" t="s">
        <v>16</v>
      </c>
    </row>
    <row r="54" spans="1:16" x14ac:dyDescent="0.35">
      <c r="A54" s="10" t="s">
        <v>1058</v>
      </c>
      <c r="B54" s="11">
        <f t="shared" si="1"/>
        <v>46121</v>
      </c>
      <c r="C54" s="11">
        <f t="shared" si="2"/>
        <v>46127</v>
      </c>
      <c r="D54" s="10">
        <v>3250</v>
      </c>
      <c r="E54" s="10">
        <v>332</v>
      </c>
      <c r="F54" s="10">
        <v>3</v>
      </c>
      <c r="G54" s="10">
        <v>1</v>
      </c>
      <c r="H54" s="10">
        <v>81642</v>
      </c>
      <c r="I54" s="10" t="s">
        <v>17</v>
      </c>
      <c r="J54" s="10">
        <v>24190225</v>
      </c>
      <c r="K54" s="12" t="s">
        <v>402</v>
      </c>
      <c r="L54" s="12" t="s">
        <v>403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1058</v>
      </c>
      <c r="B55" s="11">
        <f t="shared" si="1"/>
        <v>46121</v>
      </c>
      <c r="C55" s="11">
        <f t="shared" si="2"/>
        <v>46127</v>
      </c>
      <c r="D55" s="10">
        <v>3250</v>
      </c>
      <c r="E55" s="10">
        <v>332</v>
      </c>
      <c r="F55" s="10">
        <v>3</v>
      </c>
      <c r="G55" s="10">
        <v>1</v>
      </c>
      <c r="H55" s="10">
        <v>81642</v>
      </c>
      <c r="I55" s="10" t="s">
        <v>17</v>
      </c>
      <c r="J55" s="10">
        <v>24190234</v>
      </c>
      <c r="K55" s="12" t="s">
        <v>402</v>
      </c>
      <c r="L55" s="12" t="s">
        <v>404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1058</v>
      </c>
      <c r="B56" s="11">
        <f t="shared" si="1"/>
        <v>46121</v>
      </c>
      <c r="C56" s="11">
        <f t="shared" si="2"/>
        <v>46127</v>
      </c>
      <c r="D56" s="10">
        <v>3250</v>
      </c>
      <c r="E56" s="10">
        <v>332</v>
      </c>
      <c r="F56" s="10">
        <v>3</v>
      </c>
      <c r="G56" s="10">
        <v>1</v>
      </c>
      <c r="H56" s="10">
        <v>81642</v>
      </c>
      <c r="I56" s="10" t="s">
        <v>17</v>
      </c>
      <c r="J56" s="10">
        <v>24190243</v>
      </c>
      <c r="K56" s="12" t="s">
        <v>402</v>
      </c>
      <c r="L56" s="12" t="s">
        <v>405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1058</v>
      </c>
      <c r="B57" s="11">
        <f t="shared" si="1"/>
        <v>46121</v>
      </c>
      <c r="C57" s="11">
        <f t="shared" si="2"/>
        <v>46127</v>
      </c>
      <c r="D57" s="10">
        <v>3250</v>
      </c>
      <c r="E57" s="10">
        <v>332</v>
      </c>
      <c r="F57" s="10">
        <v>3</v>
      </c>
      <c r="G57" s="10">
        <v>1</v>
      </c>
      <c r="H57" s="10">
        <v>81642</v>
      </c>
      <c r="I57" s="10" t="s">
        <v>17</v>
      </c>
      <c r="J57" s="10">
        <v>24190252</v>
      </c>
      <c r="K57" s="12" t="s">
        <v>402</v>
      </c>
      <c r="L57" s="12" t="s">
        <v>406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1058</v>
      </c>
      <c r="B58" s="11">
        <f t="shared" si="1"/>
        <v>46121</v>
      </c>
      <c r="C58" s="11">
        <f t="shared" si="2"/>
        <v>46127</v>
      </c>
      <c r="D58" s="10">
        <v>3250</v>
      </c>
      <c r="E58" s="10">
        <v>332</v>
      </c>
      <c r="F58" s="10">
        <v>3</v>
      </c>
      <c r="G58" s="10">
        <v>1</v>
      </c>
      <c r="H58" s="10">
        <v>81642</v>
      </c>
      <c r="I58" s="10" t="s">
        <v>17</v>
      </c>
      <c r="J58" s="10">
        <v>24190261</v>
      </c>
      <c r="K58" s="12" t="s">
        <v>402</v>
      </c>
      <c r="L58" s="12" t="s">
        <v>407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1058</v>
      </c>
      <c r="B59" s="11">
        <f t="shared" si="1"/>
        <v>46121</v>
      </c>
      <c r="C59" s="11">
        <f t="shared" si="2"/>
        <v>46127</v>
      </c>
      <c r="D59" s="10">
        <v>3250</v>
      </c>
      <c r="E59" s="10">
        <v>332</v>
      </c>
      <c r="F59" s="10">
        <v>3</v>
      </c>
      <c r="G59" s="10">
        <v>1</v>
      </c>
      <c r="H59" s="10">
        <v>81642</v>
      </c>
      <c r="I59" s="10" t="s">
        <v>17</v>
      </c>
      <c r="J59" s="10">
        <v>24190270</v>
      </c>
      <c r="K59" s="12" t="s">
        <v>402</v>
      </c>
      <c r="L59" s="12" t="s">
        <v>408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1058</v>
      </c>
      <c r="B60" s="11">
        <f t="shared" si="1"/>
        <v>46121</v>
      </c>
      <c r="C60" s="11">
        <f t="shared" si="2"/>
        <v>46127</v>
      </c>
      <c r="D60" s="10">
        <v>3250</v>
      </c>
      <c r="E60" s="10">
        <v>332</v>
      </c>
      <c r="F60" s="10">
        <v>3</v>
      </c>
      <c r="G60" s="10">
        <v>1</v>
      </c>
      <c r="H60" s="10">
        <v>81642</v>
      </c>
      <c r="I60" s="10" t="s">
        <v>17</v>
      </c>
      <c r="J60" s="10">
        <v>24190887</v>
      </c>
      <c r="K60" s="12" t="s">
        <v>409</v>
      </c>
      <c r="L60" s="12" t="s">
        <v>410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1058</v>
      </c>
      <c r="B61" s="11">
        <f t="shared" si="1"/>
        <v>46121</v>
      </c>
      <c r="C61" s="11">
        <f t="shared" si="2"/>
        <v>46127</v>
      </c>
      <c r="D61" s="10">
        <v>3250</v>
      </c>
      <c r="E61" s="10">
        <v>332</v>
      </c>
      <c r="F61" s="10">
        <v>3</v>
      </c>
      <c r="G61" s="10">
        <v>1</v>
      </c>
      <c r="H61" s="10">
        <v>81642</v>
      </c>
      <c r="I61" s="10" t="s">
        <v>17</v>
      </c>
      <c r="J61" s="10">
        <v>24190896</v>
      </c>
      <c r="K61" s="12" t="s">
        <v>409</v>
      </c>
      <c r="L61" s="12" t="s">
        <v>411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1058</v>
      </c>
      <c r="B62" s="11">
        <f t="shared" si="1"/>
        <v>46121</v>
      </c>
      <c r="C62" s="11">
        <f t="shared" si="2"/>
        <v>46127</v>
      </c>
      <c r="D62" s="10">
        <v>3250</v>
      </c>
      <c r="E62" s="10">
        <v>332</v>
      </c>
      <c r="F62" s="10">
        <v>3</v>
      </c>
      <c r="G62" s="10">
        <v>1</v>
      </c>
      <c r="H62" s="10">
        <v>81642</v>
      </c>
      <c r="I62" s="10" t="s">
        <v>17</v>
      </c>
      <c r="J62" s="10">
        <v>24404922</v>
      </c>
      <c r="K62" s="12" t="s">
        <v>412</v>
      </c>
      <c r="L62" s="12" t="s">
        <v>413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1058</v>
      </c>
      <c r="B63" s="11">
        <f t="shared" si="1"/>
        <v>46121</v>
      </c>
      <c r="C63" s="11">
        <f t="shared" si="2"/>
        <v>46127</v>
      </c>
      <c r="D63" s="10">
        <v>3250</v>
      </c>
      <c r="E63" s="10">
        <v>332</v>
      </c>
      <c r="F63" s="10">
        <v>3</v>
      </c>
      <c r="G63" s="10">
        <v>1</v>
      </c>
      <c r="H63" s="10">
        <v>81642</v>
      </c>
      <c r="I63" s="10" t="s">
        <v>17</v>
      </c>
      <c r="J63" s="10">
        <v>24404931</v>
      </c>
      <c r="K63" s="12" t="s">
        <v>412</v>
      </c>
      <c r="L63" s="12" t="s">
        <v>414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1058</v>
      </c>
      <c r="B64" s="11">
        <f t="shared" si="1"/>
        <v>46121</v>
      </c>
      <c r="C64" s="11">
        <f t="shared" si="2"/>
        <v>46127</v>
      </c>
      <c r="D64" s="10">
        <v>3250</v>
      </c>
      <c r="E64" s="10">
        <v>332</v>
      </c>
      <c r="F64" s="10">
        <v>3</v>
      </c>
      <c r="G64" s="10">
        <v>1</v>
      </c>
      <c r="H64" s="10">
        <v>81642</v>
      </c>
      <c r="I64" s="10" t="s">
        <v>17</v>
      </c>
      <c r="J64" s="10">
        <v>24404940</v>
      </c>
      <c r="K64" s="12" t="s">
        <v>412</v>
      </c>
      <c r="L64" s="12" t="s">
        <v>415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1058</v>
      </c>
      <c r="B65" s="11">
        <f t="shared" si="1"/>
        <v>46121</v>
      </c>
      <c r="C65" s="11">
        <f t="shared" si="2"/>
        <v>46127</v>
      </c>
      <c r="D65" s="10">
        <v>3250</v>
      </c>
      <c r="E65" s="10">
        <v>332</v>
      </c>
      <c r="F65" s="10">
        <v>3</v>
      </c>
      <c r="G65" s="10">
        <v>1</v>
      </c>
      <c r="H65" s="10">
        <v>81642</v>
      </c>
      <c r="I65" s="10" t="s">
        <v>17</v>
      </c>
      <c r="J65" s="10">
        <v>24404959</v>
      </c>
      <c r="K65" s="12" t="s">
        <v>412</v>
      </c>
      <c r="L65" s="12" t="s">
        <v>416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1058</v>
      </c>
      <c r="B66" s="11">
        <f t="shared" si="1"/>
        <v>46121</v>
      </c>
      <c r="C66" s="11">
        <f t="shared" si="2"/>
        <v>46127</v>
      </c>
      <c r="D66" s="10">
        <v>3250</v>
      </c>
      <c r="E66" s="10">
        <v>332</v>
      </c>
      <c r="F66" s="10">
        <v>3</v>
      </c>
      <c r="G66" s="10">
        <v>1</v>
      </c>
      <c r="H66" s="10">
        <v>81642</v>
      </c>
      <c r="I66" s="10" t="s">
        <v>17</v>
      </c>
      <c r="J66" s="10">
        <v>24404968</v>
      </c>
      <c r="K66" s="12" t="s">
        <v>412</v>
      </c>
      <c r="L66" s="12" t="s">
        <v>417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1058</v>
      </c>
      <c r="B67" s="11">
        <f t="shared" si="1"/>
        <v>46121</v>
      </c>
      <c r="C67" s="11">
        <f t="shared" si="2"/>
        <v>46127</v>
      </c>
      <c r="D67" s="10">
        <v>3250</v>
      </c>
      <c r="E67" s="10">
        <v>332</v>
      </c>
      <c r="F67" s="10">
        <v>3</v>
      </c>
      <c r="G67" s="10">
        <v>1</v>
      </c>
      <c r="H67" s="10">
        <v>81642</v>
      </c>
      <c r="I67" s="10" t="s">
        <v>17</v>
      </c>
      <c r="J67" s="10">
        <v>24404977</v>
      </c>
      <c r="K67" s="12" t="s">
        <v>412</v>
      </c>
      <c r="L67" s="12" t="s">
        <v>418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1058</v>
      </c>
      <c r="B68" s="11">
        <f t="shared" ref="B68:B131" si="4">B67</f>
        <v>46121</v>
      </c>
      <c r="C68" s="11">
        <f t="shared" ref="C68:C131" si="5">C67</f>
        <v>46127</v>
      </c>
      <c r="D68" s="10">
        <v>3250</v>
      </c>
      <c r="E68" s="10">
        <v>332</v>
      </c>
      <c r="F68" s="10">
        <v>3</v>
      </c>
      <c r="G68" s="10">
        <v>1</v>
      </c>
      <c r="H68" s="10">
        <v>81642</v>
      </c>
      <c r="I68" s="10" t="s">
        <v>17</v>
      </c>
      <c r="J68" s="10">
        <v>24698839</v>
      </c>
      <c r="K68" s="12" t="s">
        <v>419</v>
      </c>
      <c r="L68" s="12" t="s">
        <v>420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1058</v>
      </c>
      <c r="B69" s="11">
        <f t="shared" si="4"/>
        <v>46121</v>
      </c>
      <c r="C69" s="11">
        <f t="shared" si="5"/>
        <v>46127</v>
      </c>
      <c r="D69" s="10">
        <v>3250</v>
      </c>
      <c r="E69" s="10">
        <v>332</v>
      </c>
      <c r="F69" s="10">
        <v>3</v>
      </c>
      <c r="G69" s="10">
        <v>1</v>
      </c>
      <c r="H69" s="10">
        <v>81642</v>
      </c>
      <c r="I69" s="10" t="s">
        <v>17</v>
      </c>
      <c r="J69" s="10">
        <v>24698848</v>
      </c>
      <c r="K69" s="12" t="s">
        <v>419</v>
      </c>
      <c r="L69" s="12" t="s">
        <v>421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1058</v>
      </c>
      <c r="B70" s="11">
        <f t="shared" si="4"/>
        <v>46121</v>
      </c>
      <c r="C70" s="11">
        <f t="shared" si="5"/>
        <v>46127</v>
      </c>
      <c r="D70" s="10">
        <v>3250</v>
      </c>
      <c r="E70" s="10">
        <v>332</v>
      </c>
      <c r="F70" s="10">
        <v>3</v>
      </c>
      <c r="G70" s="10">
        <v>1</v>
      </c>
      <c r="H70" s="10">
        <v>81642</v>
      </c>
      <c r="I70" s="10" t="s">
        <v>17</v>
      </c>
      <c r="J70" s="10">
        <v>24698857</v>
      </c>
      <c r="K70" s="12" t="s">
        <v>419</v>
      </c>
      <c r="L70" s="12" t="s">
        <v>422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1058</v>
      </c>
      <c r="B71" s="11">
        <f t="shared" si="4"/>
        <v>46121</v>
      </c>
      <c r="C71" s="11">
        <f t="shared" si="5"/>
        <v>46127</v>
      </c>
      <c r="D71" s="10">
        <v>3250</v>
      </c>
      <c r="E71" s="10">
        <v>332</v>
      </c>
      <c r="F71" s="10">
        <v>3</v>
      </c>
      <c r="G71" s="10">
        <v>1</v>
      </c>
      <c r="H71" s="10">
        <v>81642</v>
      </c>
      <c r="I71" s="10" t="s">
        <v>17</v>
      </c>
      <c r="J71" s="10">
        <v>24698866</v>
      </c>
      <c r="K71" s="12" t="s">
        <v>419</v>
      </c>
      <c r="L71" s="12" t="s">
        <v>423</v>
      </c>
      <c r="M71" s="13">
        <v>299900</v>
      </c>
      <c r="N71" s="14">
        <v>0.95</v>
      </c>
      <c r="O71" s="13">
        <f t="shared" si="3"/>
        <v>14995</v>
      </c>
      <c r="P71" s="10" t="s">
        <v>16</v>
      </c>
    </row>
    <row r="72" spans="1:16" x14ac:dyDescent="0.35">
      <c r="A72" s="10" t="s">
        <v>1058</v>
      </c>
      <c r="B72" s="11">
        <f t="shared" si="4"/>
        <v>46121</v>
      </c>
      <c r="C72" s="11">
        <f t="shared" si="5"/>
        <v>46127</v>
      </c>
      <c r="D72" s="10">
        <v>3250</v>
      </c>
      <c r="E72" s="10">
        <v>332</v>
      </c>
      <c r="F72" s="10">
        <v>3</v>
      </c>
      <c r="G72" s="10">
        <v>1</v>
      </c>
      <c r="H72" s="10">
        <v>81642</v>
      </c>
      <c r="I72" s="10" t="s">
        <v>17</v>
      </c>
      <c r="J72" s="10">
        <v>24974183</v>
      </c>
      <c r="K72" s="12" t="s">
        <v>424</v>
      </c>
      <c r="L72" s="12" t="s">
        <v>425</v>
      </c>
      <c r="M72" s="13">
        <v>329900</v>
      </c>
      <c r="N72" s="14">
        <v>0.95</v>
      </c>
      <c r="O72" s="13">
        <f t="shared" si="3"/>
        <v>16495</v>
      </c>
      <c r="P72" s="10" t="s">
        <v>16</v>
      </c>
    </row>
    <row r="73" spans="1:16" x14ac:dyDescent="0.35">
      <c r="A73" s="10" t="s">
        <v>1058</v>
      </c>
      <c r="B73" s="11">
        <f t="shared" si="4"/>
        <v>46121</v>
      </c>
      <c r="C73" s="11">
        <f t="shared" si="5"/>
        <v>46127</v>
      </c>
      <c r="D73" s="10">
        <v>3250</v>
      </c>
      <c r="E73" s="10">
        <v>332</v>
      </c>
      <c r="F73" s="10">
        <v>3</v>
      </c>
      <c r="G73" s="10">
        <v>1</v>
      </c>
      <c r="H73" s="10">
        <v>81642</v>
      </c>
      <c r="I73" s="10" t="s">
        <v>17</v>
      </c>
      <c r="J73" s="10">
        <v>24974192</v>
      </c>
      <c r="K73" s="12" t="s">
        <v>424</v>
      </c>
      <c r="L73" s="12" t="s">
        <v>426</v>
      </c>
      <c r="M73" s="13">
        <v>329900</v>
      </c>
      <c r="N73" s="14">
        <v>0.95</v>
      </c>
      <c r="O73" s="13">
        <f t="shared" si="3"/>
        <v>16495</v>
      </c>
      <c r="P73" s="10" t="s">
        <v>16</v>
      </c>
    </row>
    <row r="74" spans="1:16" x14ac:dyDescent="0.35">
      <c r="A74" s="10" t="s">
        <v>1058</v>
      </c>
      <c r="B74" s="11">
        <f t="shared" si="4"/>
        <v>46121</v>
      </c>
      <c r="C74" s="11">
        <f t="shared" si="5"/>
        <v>46127</v>
      </c>
      <c r="D74" s="10">
        <v>3250</v>
      </c>
      <c r="E74" s="10">
        <v>332</v>
      </c>
      <c r="F74" s="10">
        <v>3</v>
      </c>
      <c r="G74" s="10">
        <v>1</v>
      </c>
      <c r="H74" s="10">
        <v>81642</v>
      </c>
      <c r="I74" s="10" t="s">
        <v>17</v>
      </c>
      <c r="J74" s="10">
        <v>24974209</v>
      </c>
      <c r="K74" s="12" t="s">
        <v>424</v>
      </c>
      <c r="L74" s="12" t="s">
        <v>427</v>
      </c>
      <c r="M74" s="13">
        <v>329900</v>
      </c>
      <c r="N74" s="14">
        <v>0.95</v>
      </c>
      <c r="O74" s="13">
        <f t="shared" si="3"/>
        <v>16495</v>
      </c>
      <c r="P74" s="10" t="s">
        <v>16</v>
      </c>
    </row>
    <row r="75" spans="1:16" x14ac:dyDescent="0.35">
      <c r="A75" s="10" t="s">
        <v>1058</v>
      </c>
      <c r="B75" s="11">
        <f t="shared" si="4"/>
        <v>46121</v>
      </c>
      <c r="C75" s="11">
        <f t="shared" si="5"/>
        <v>46127</v>
      </c>
      <c r="D75" s="10">
        <v>3250</v>
      </c>
      <c r="E75" s="10">
        <v>332</v>
      </c>
      <c r="F75" s="10">
        <v>3</v>
      </c>
      <c r="G75" s="10">
        <v>1</v>
      </c>
      <c r="H75" s="10">
        <v>81642</v>
      </c>
      <c r="I75" s="10" t="s">
        <v>17</v>
      </c>
      <c r="J75" s="10">
        <v>24974218</v>
      </c>
      <c r="K75" s="12" t="s">
        <v>424</v>
      </c>
      <c r="L75" s="12" t="s">
        <v>428</v>
      </c>
      <c r="M75" s="13">
        <v>329900</v>
      </c>
      <c r="N75" s="14">
        <v>0.95</v>
      </c>
      <c r="O75" s="13">
        <f t="shared" si="3"/>
        <v>16495</v>
      </c>
      <c r="P75" s="10" t="s">
        <v>16</v>
      </c>
    </row>
    <row r="76" spans="1:16" x14ac:dyDescent="0.35">
      <c r="A76" s="10" t="s">
        <v>1058</v>
      </c>
      <c r="B76" s="11">
        <f t="shared" si="4"/>
        <v>46121</v>
      </c>
      <c r="C76" s="11">
        <f t="shared" si="5"/>
        <v>46127</v>
      </c>
      <c r="D76" s="10">
        <v>3250</v>
      </c>
      <c r="E76" s="10">
        <v>332</v>
      </c>
      <c r="F76" s="10">
        <v>3</v>
      </c>
      <c r="G76" s="10">
        <v>1</v>
      </c>
      <c r="H76" s="10">
        <v>81642</v>
      </c>
      <c r="I76" s="10" t="s">
        <v>17</v>
      </c>
      <c r="J76" s="10">
        <v>26155902</v>
      </c>
      <c r="K76" s="12" t="s">
        <v>429</v>
      </c>
      <c r="L76" s="12" t="s">
        <v>430</v>
      </c>
      <c r="M76" s="13">
        <v>299900</v>
      </c>
      <c r="N76" s="14">
        <v>0.95</v>
      </c>
      <c r="O76" s="13">
        <f t="shared" si="3"/>
        <v>14995</v>
      </c>
      <c r="P76" s="10" t="s">
        <v>16</v>
      </c>
    </row>
    <row r="77" spans="1:16" x14ac:dyDescent="0.35">
      <c r="A77" s="10" t="s">
        <v>1058</v>
      </c>
      <c r="B77" s="11">
        <f t="shared" si="4"/>
        <v>46121</v>
      </c>
      <c r="C77" s="11">
        <f t="shared" si="5"/>
        <v>46127</v>
      </c>
      <c r="D77" s="10">
        <v>3250</v>
      </c>
      <c r="E77" s="10">
        <v>332</v>
      </c>
      <c r="F77" s="10">
        <v>3</v>
      </c>
      <c r="G77" s="10">
        <v>1</v>
      </c>
      <c r="H77" s="10">
        <v>81642</v>
      </c>
      <c r="I77" s="10" t="s">
        <v>17</v>
      </c>
      <c r="J77" s="10">
        <v>26155911</v>
      </c>
      <c r="K77" s="12" t="s">
        <v>429</v>
      </c>
      <c r="L77" s="12" t="s">
        <v>431</v>
      </c>
      <c r="M77" s="13">
        <v>299900</v>
      </c>
      <c r="N77" s="14">
        <v>0.95</v>
      </c>
      <c r="O77" s="13">
        <f t="shared" si="3"/>
        <v>14995</v>
      </c>
      <c r="P77" s="10" t="s">
        <v>16</v>
      </c>
    </row>
    <row r="78" spans="1:16" x14ac:dyDescent="0.35">
      <c r="A78" s="10" t="s">
        <v>1058</v>
      </c>
      <c r="B78" s="11">
        <f t="shared" si="4"/>
        <v>46121</v>
      </c>
      <c r="C78" s="11">
        <f t="shared" si="5"/>
        <v>46127</v>
      </c>
      <c r="D78" s="10">
        <v>3250</v>
      </c>
      <c r="E78" s="10">
        <v>332</v>
      </c>
      <c r="F78" s="10">
        <v>3</v>
      </c>
      <c r="G78" s="10">
        <v>1</v>
      </c>
      <c r="H78" s="10">
        <v>81642</v>
      </c>
      <c r="I78" s="10" t="s">
        <v>17</v>
      </c>
      <c r="J78" s="10">
        <v>26155920</v>
      </c>
      <c r="K78" s="12" t="s">
        <v>429</v>
      </c>
      <c r="L78" s="12" t="s">
        <v>432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1058</v>
      </c>
      <c r="B79" s="11">
        <f t="shared" si="4"/>
        <v>46121</v>
      </c>
      <c r="C79" s="11">
        <f t="shared" si="5"/>
        <v>46127</v>
      </c>
      <c r="D79" s="10">
        <v>3250</v>
      </c>
      <c r="E79" s="10">
        <v>332</v>
      </c>
      <c r="F79" s="10">
        <v>3</v>
      </c>
      <c r="G79" s="10">
        <v>1</v>
      </c>
      <c r="H79" s="10">
        <v>81642</v>
      </c>
      <c r="I79" s="10" t="s">
        <v>17</v>
      </c>
      <c r="J79" s="10">
        <v>26155939</v>
      </c>
      <c r="K79" s="12" t="s">
        <v>429</v>
      </c>
      <c r="L79" s="12" t="s">
        <v>433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1058</v>
      </c>
      <c r="B80" s="11">
        <f t="shared" si="4"/>
        <v>46121</v>
      </c>
      <c r="C80" s="11">
        <f t="shared" si="5"/>
        <v>46127</v>
      </c>
      <c r="D80" s="10">
        <v>3250</v>
      </c>
      <c r="E80" s="10">
        <v>332</v>
      </c>
      <c r="F80" s="10">
        <v>3</v>
      </c>
      <c r="G80" s="10">
        <v>1</v>
      </c>
      <c r="H80" s="10">
        <v>81642</v>
      </c>
      <c r="I80" s="10" t="s">
        <v>17</v>
      </c>
      <c r="J80" s="10">
        <v>26155948</v>
      </c>
      <c r="K80" s="12" t="s">
        <v>429</v>
      </c>
      <c r="L80" s="12" t="s">
        <v>434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1058</v>
      </c>
      <c r="B81" s="11">
        <f t="shared" si="4"/>
        <v>46121</v>
      </c>
      <c r="C81" s="11">
        <f t="shared" si="5"/>
        <v>46127</v>
      </c>
      <c r="D81" s="10">
        <v>3250</v>
      </c>
      <c r="E81" s="10">
        <v>332</v>
      </c>
      <c r="F81" s="10">
        <v>3</v>
      </c>
      <c r="G81" s="10">
        <v>1</v>
      </c>
      <c r="H81" s="10">
        <v>81642</v>
      </c>
      <c r="I81" s="10" t="s">
        <v>17</v>
      </c>
      <c r="J81" s="10">
        <v>26155957</v>
      </c>
      <c r="K81" s="12" t="s">
        <v>429</v>
      </c>
      <c r="L81" s="12" t="s">
        <v>435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1058</v>
      </c>
      <c r="B82" s="11">
        <f t="shared" si="4"/>
        <v>46121</v>
      </c>
      <c r="C82" s="11">
        <f t="shared" si="5"/>
        <v>46127</v>
      </c>
      <c r="D82" s="10">
        <v>3250</v>
      </c>
      <c r="E82" s="10">
        <v>332</v>
      </c>
      <c r="F82" s="10">
        <v>3</v>
      </c>
      <c r="G82" s="10">
        <v>1</v>
      </c>
      <c r="H82" s="10">
        <v>81642</v>
      </c>
      <c r="I82" s="10" t="s">
        <v>17</v>
      </c>
      <c r="J82" s="10">
        <v>26156009</v>
      </c>
      <c r="K82" s="12" t="s">
        <v>436</v>
      </c>
      <c r="L82" s="12" t="s">
        <v>437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1058</v>
      </c>
      <c r="B83" s="11">
        <f t="shared" si="4"/>
        <v>46121</v>
      </c>
      <c r="C83" s="11">
        <f t="shared" si="5"/>
        <v>46127</v>
      </c>
      <c r="D83" s="10">
        <v>3250</v>
      </c>
      <c r="E83" s="10">
        <v>332</v>
      </c>
      <c r="F83" s="10">
        <v>3</v>
      </c>
      <c r="G83" s="10">
        <v>1</v>
      </c>
      <c r="H83" s="10">
        <v>81642</v>
      </c>
      <c r="I83" s="10" t="s">
        <v>17</v>
      </c>
      <c r="J83" s="10">
        <v>26156018</v>
      </c>
      <c r="K83" s="12" t="s">
        <v>436</v>
      </c>
      <c r="L83" s="12" t="s">
        <v>438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1058</v>
      </c>
      <c r="B84" s="11">
        <f t="shared" si="4"/>
        <v>46121</v>
      </c>
      <c r="C84" s="11">
        <f t="shared" si="5"/>
        <v>46127</v>
      </c>
      <c r="D84" s="10">
        <v>3250</v>
      </c>
      <c r="E84" s="10">
        <v>332</v>
      </c>
      <c r="F84" s="10">
        <v>3</v>
      </c>
      <c r="G84" s="10">
        <v>1</v>
      </c>
      <c r="H84" s="10">
        <v>81642</v>
      </c>
      <c r="I84" s="10" t="s">
        <v>17</v>
      </c>
      <c r="J84" s="10">
        <v>26156027</v>
      </c>
      <c r="K84" s="12" t="s">
        <v>436</v>
      </c>
      <c r="L84" s="12" t="s">
        <v>439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1058</v>
      </c>
      <c r="B85" s="11">
        <f t="shared" si="4"/>
        <v>46121</v>
      </c>
      <c r="C85" s="11">
        <f t="shared" si="5"/>
        <v>46127</v>
      </c>
      <c r="D85" s="10">
        <v>3250</v>
      </c>
      <c r="E85" s="10">
        <v>332</v>
      </c>
      <c r="F85" s="10">
        <v>3</v>
      </c>
      <c r="G85" s="10">
        <v>1</v>
      </c>
      <c r="H85" s="10">
        <v>81642</v>
      </c>
      <c r="I85" s="10" t="s">
        <v>17</v>
      </c>
      <c r="J85" s="10">
        <v>26156036</v>
      </c>
      <c r="K85" s="12" t="s">
        <v>436</v>
      </c>
      <c r="L85" s="12" t="s">
        <v>440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1058</v>
      </c>
      <c r="B86" s="11">
        <f t="shared" si="4"/>
        <v>46121</v>
      </c>
      <c r="C86" s="11">
        <f t="shared" si="5"/>
        <v>46127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26156045</v>
      </c>
      <c r="K86" s="12" t="s">
        <v>436</v>
      </c>
      <c r="L86" s="12" t="s">
        <v>441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1058</v>
      </c>
      <c r="B87" s="11">
        <f t="shared" si="4"/>
        <v>46121</v>
      </c>
      <c r="C87" s="11">
        <f t="shared" si="5"/>
        <v>46127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26156787</v>
      </c>
      <c r="K87" s="12" t="s">
        <v>442</v>
      </c>
      <c r="L87" s="12" t="s">
        <v>443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1058</v>
      </c>
      <c r="B88" s="11">
        <f t="shared" si="4"/>
        <v>46121</v>
      </c>
      <c r="C88" s="11">
        <f t="shared" si="5"/>
        <v>46127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26156796</v>
      </c>
      <c r="K88" s="12" t="s">
        <v>442</v>
      </c>
      <c r="L88" s="12" t="s">
        <v>444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1058</v>
      </c>
      <c r="B89" s="11">
        <f t="shared" si="4"/>
        <v>46121</v>
      </c>
      <c r="C89" s="11">
        <f t="shared" si="5"/>
        <v>46127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26156803</v>
      </c>
      <c r="K89" s="12" t="s">
        <v>442</v>
      </c>
      <c r="L89" s="12" t="s">
        <v>445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1058</v>
      </c>
      <c r="B90" s="11">
        <f t="shared" si="4"/>
        <v>46121</v>
      </c>
      <c r="C90" s="11">
        <f t="shared" si="5"/>
        <v>46127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26156965</v>
      </c>
      <c r="K90" s="12" t="s">
        <v>446</v>
      </c>
      <c r="L90" s="12" t="s">
        <v>447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1058</v>
      </c>
      <c r="B91" s="11">
        <f t="shared" si="4"/>
        <v>46121</v>
      </c>
      <c r="C91" s="11">
        <f t="shared" si="5"/>
        <v>46127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26156974</v>
      </c>
      <c r="K91" s="12" t="s">
        <v>446</v>
      </c>
      <c r="L91" s="12" t="s">
        <v>448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1058</v>
      </c>
      <c r="B92" s="11">
        <f t="shared" si="4"/>
        <v>46121</v>
      </c>
      <c r="C92" s="11">
        <f t="shared" si="5"/>
        <v>46127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26156983</v>
      </c>
      <c r="K92" s="12" t="s">
        <v>446</v>
      </c>
      <c r="L92" s="12" t="s">
        <v>449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1058</v>
      </c>
      <c r="B93" s="11">
        <f t="shared" si="4"/>
        <v>46121</v>
      </c>
      <c r="C93" s="11">
        <f t="shared" si="5"/>
        <v>46127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26157786</v>
      </c>
      <c r="K93" s="12" t="s">
        <v>450</v>
      </c>
      <c r="L93" s="12" t="s">
        <v>451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1058</v>
      </c>
      <c r="B94" s="11">
        <f t="shared" si="4"/>
        <v>46121</v>
      </c>
      <c r="C94" s="11">
        <f t="shared" si="5"/>
        <v>46127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26157795</v>
      </c>
      <c r="K94" s="12" t="s">
        <v>450</v>
      </c>
      <c r="L94" s="12" t="s">
        <v>452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1058</v>
      </c>
      <c r="B95" s="11">
        <f t="shared" si="4"/>
        <v>46121</v>
      </c>
      <c r="C95" s="11">
        <f t="shared" si="5"/>
        <v>46127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26177497</v>
      </c>
      <c r="K95" s="12" t="s">
        <v>453</v>
      </c>
      <c r="L95" s="12" t="s">
        <v>454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1058</v>
      </c>
      <c r="B96" s="11">
        <f t="shared" si="4"/>
        <v>46121</v>
      </c>
      <c r="C96" s="11">
        <f t="shared" si="5"/>
        <v>46127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26177504</v>
      </c>
      <c r="K96" s="12" t="s">
        <v>453</v>
      </c>
      <c r="L96" s="12" t="s">
        <v>455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1058</v>
      </c>
      <c r="B97" s="11">
        <f t="shared" si="4"/>
        <v>46121</v>
      </c>
      <c r="C97" s="11">
        <f t="shared" si="5"/>
        <v>46127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26177513</v>
      </c>
      <c r="K97" s="12" t="s">
        <v>453</v>
      </c>
      <c r="L97" s="12" t="s">
        <v>456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1058</v>
      </c>
      <c r="B98" s="11">
        <f t="shared" si="4"/>
        <v>46121</v>
      </c>
      <c r="C98" s="11">
        <f t="shared" si="5"/>
        <v>46127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26177522</v>
      </c>
      <c r="K98" s="12" t="s">
        <v>453</v>
      </c>
      <c r="L98" s="12" t="s">
        <v>457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1058</v>
      </c>
      <c r="B99" s="11">
        <f t="shared" si="4"/>
        <v>46121</v>
      </c>
      <c r="C99" s="11">
        <f t="shared" si="5"/>
        <v>46127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26177531</v>
      </c>
      <c r="K99" s="12" t="s">
        <v>453</v>
      </c>
      <c r="L99" s="12" t="s">
        <v>458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1058</v>
      </c>
      <c r="B100" s="11">
        <f t="shared" si="4"/>
        <v>46121</v>
      </c>
      <c r="C100" s="11">
        <f t="shared" si="5"/>
        <v>46127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26177540</v>
      </c>
      <c r="K100" s="12" t="s">
        <v>453</v>
      </c>
      <c r="L100" s="12" t="s">
        <v>459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1058</v>
      </c>
      <c r="B101" s="11">
        <f t="shared" si="4"/>
        <v>46121</v>
      </c>
      <c r="C101" s="11">
        <f t="shared" si="5"/>
        <v>46127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26241569</v>
      </c>
      <c r="K101" s="12" t="s">
        <v>460</v>
      </c>
      <c r="L101" s="12" t="s">
        <v>461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1058</v>
      </c>
      <c r="B102" s="11">
        <f t="shared" si="4"/>
        <v>46121</v>
      </c>
      <c r="C102" s="11">
        <f t="shared" si="5"/>
        <v>46127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26241587</v>
      </c>
      <c r="K102" s="12" t="s">
        <v>460</v>
      </c>
      <c r="L102" s="12" t="s">
        <v>462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1058</v>
      </c>
      <c r="B103" s="11">
        <f t="shared" si="4"/>
        <v>46121</v>
      </c>
      <c r="C103" s="11">
        <f t="shared" si="5"/>
        <v>46127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26241621</v>
      </c>
      <c r="K103" s="12" t="s">
        <v>463</v>
      </c>
      <c r="L103" s="12" t="s">
        <v>464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1058</v>
      </c>
      <c r="B104" s="11">
        <f t="shared" si="4"/>
        <v>46121</v>
      </c>
      <c r="C104" s="11">
        <f t="shared" si="5"/>
        <v>46127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26241630</v>
      </c>
      <c r="K104" s="12" t="s">
        <v>463</v>
      </c>
      <c r="L104" s="12" t="s">
        <v>465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1058</v>
      </c>
      <c r="B105" s="11">
        <f t="shared" si="4"/>
        <v>46121</v>
      </c>
      <c r="C105" s="11">
        <f t="shared" si="5"/>
        <v>46127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26241649</v>
      </c>
      <c r="K105" s="12" t="s">
        <v>463</v>
      </c>
      <c r="L105" s="12" t="s">
        <v>466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1058</v>
      </c>
      <c r="B106" s="11">
        <f t="shared" si="4"/>
        <v>46121</v>
      </c>
      <c r="C106" s="11">
        <f t="shared" si="5"/>
        <v>46127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26243101</v>
      </c>
      <c r="K106" s="12" t="s">
        <v>467</v>
      </c>
      <c r="L106" s="12" t="s">
        <v>468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1058</v>
      </c>
      <c r="B107" s="11">
        <f t="shared" si="4"/>
        <v>46121</v>
      </c>
      <c r="C107" s="11">
        <f t="shared" si="5"/>
        <v>46127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26243110</v>
      </c>
      <c r="K107" s="12" t="s">
        <v>467</v>
      </c>
      <c r="L107" s="12" t="s">
        <v>469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1058</v>
      </c>
      <c r="B108" s="11">
        <f t="shared" si="4"/>
        <v>46121</v>
      </c>
      <c r="C108" s="11">
        <f t="shared" si="5"/>
        <v>46127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26243129</v>
      </c>
      <c r="K108" s="12" t="s">
        <v>467</v>
      </c>
      <c r="L108" s="12" t="s">
        <v>470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1058</v>
      </c>
      <c r="B109" s="11">
        <f t="shared" si="4"/>
        <v>46121</v>
      </c>
      <c r="C109" s="11">
        <f t="shared" si="5"/>
        <v>46127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26243478</v>
      </c>
      <c r="K109" s="12" t="s">
        <v>471</v>
      </c>
      <c r="L109" s="12" t="s">
        <v>472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1058</v>
      </c>
      <c r="B110" s="11">
        <f t="shared" si="4"/>
        <v>46121</v>
      </c>
      <c r="C110" s="11">
        <f t="shared" si="5"/>
        <v>46127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26243487</v>
      </c>
      <c r="K110" s="12" t="s">
        <v>471</v>
      </c>
      <c r="L110" s="12" t="s">
        <v>473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1058</v>
      </c>
      <c r="B111" s="11">
        <f t="shared" si="4"/>
        <v>46121</v>
      </c>
      <c r="C111" s="11">
        <f t="shared" si="5"/>
        <v>46127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26243496</v>
      </c>
      <c r="K111" s="12" t="s">
        <v>471</v>
      </c>
      <c r="L111" s="12" t="s">
        <v>474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1058</v>
      </c>
      <c r="B112" s="11">
        <f t="shared" si="4"/>
        <v>46121</v>
      </c>
      <c r="C112" s="11">
        <f t="shared" si="5"/>
        <v>46127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26243503</v>
      </c>
      <c r="K112" s="12" t="s">
        <v>471</v>
      </c>
      <c r="L112" s="12" t="s">
        <v>475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1058</v>
      </c>
      <c r="B113" s="11">
        <f t="shared" si="4"/>
        <v>46121</v>
      </c>
      <c r="C113" s="11">
        <f t="shared" si="5"/>
        <v>46127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26274060</v>
      </c>
      <c r="K113" s="12" t="s">
        <v>476</v>
      </c>
      <c r="L113" s="12" t="s">
        <v>477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1058</v>
      </c>
      <c r="B114" s="11">
        <f t="shared" si="4"/>
        <v>46121</v>
      </c>
      <c r="C114" s="11">
        <f t="shared" si="5"/>
        <v>46127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26274079</v>
      </c>
      <c r="K114" s="12" t="s">
        <v>476</v>
      </c>
      <c r="L114" s="12" t="s">
        <v>478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1058</v>
      </c>
      <c r="B115" s="11">
        <f t="shared" si="4"/>
        <v>46121</v>
      </c>
      <c r="C115" s="11">
        <f t="shared" si="5"/>
        <v>46127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26274088</v>
      </c>
      <c r="K115" s="12" t="s">
        <v>476</v>
      </c>
      <c r="L115" s="12" t="s">
        <v>479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1058</v>
      </c>
      <c r="B116" s="11">
        <f t="shared" si="4"/>
        <v>46121</v>
      </c>
      <c r="C116" s="11">
        <f t="shared" si="5"/>
        <v>46127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26274122</v>
      </c>
      <c r="K116" s="12" t="s">
        <v>480</v>
      </c>
      <c r="L116" s="12" t="s">
        <v>481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1058</v>
      </c>
      <c r="B117" s="11">
        <f t="shared" si="4"/>
        <v>46121</v>
      </c>
      <c r="C117" s="11">
        <f t="shared" si="5"/>
        <v>46127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26274131</v>
      </c>
      <c r="K117" s="12" t="s">
        <v>480</v>
      </c>
      <c r="L117" s="12" t="s">
        <v>482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1058</v>
      </c>
      <c r="B118" s="11">
        <f t="shared" si="4"/>
        <v>46121</v>
      </c>
      <c r="C118" s="11">
        <f t="shared" si="5"/>
        <v>46127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26274140</v>
      </c>
      <c r="K118" s="12" t="s">
        <v>480</v>
      </c>
      <c r="L118" s="12" t="s">
        <v>483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1058</v>
      </c>
      <c r="B119" s="11">
        <f t="shared" si="4"/>
        <v>46121</v>
      </c>
      <c r="C119" s="11">
        <f t="shared" si="5"/>
        <v>46127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26274177</v>
      </c>
      <c r="K119" s="12" t="s">
        <v>480</v>
      </c>
      <c r="L119" s="12" t="s">
        <v>484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1058</v>
      </c>
      <c r="B120" s="11">
        <f t="shared" si="4"/>
        <v>46121</v>
      </c>
      <c r="C120" s="11">
        <f t="shared" si="5"/>
        <v>46127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26274462</v>
      </c>
      <c r="K120" s="12" t="s">
        <v>485</v>
      </c>
      <c r="L120" s="12" t="s">
        <v>486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1058</v>
      </c>
      <c r="B121" s="11">
        <f t="shared" si="4"/>
        <v>46121</v>
      </c>
      <c r="C121" s="11">
        <f t="shared" si="5"/>
        <v>46127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26274471</v>
      </c>
      <c r="K121" s="12" t="s">
        <v>485</v>
      </c>
      <c r="L121" s="12" t="s">
        <v>487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1058</v>
      </c>
      <c r="B122" s="11">
        <f t="shared" si="4"/>
        <v>46121</v>
      </c>
      <c r="C122" s="11">
        <f t="shared" si="5"/>
        <v>46127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26274480</v>
      </c>
      <c r="K122" s="12" t="s">
        <v>485</v>
      </c>
      <c r="L122" s="12" t="s">
        <v>488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1058</v>
      </c>
      <c r="B123" s="11">
        <f t="shared" si="4"/>
        <v>46121</v>
      </c>
      <c r="C123" s="11">
        <f t="shared" si="5"/>
        <v>46127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26274515</v>
      </c>
      <c r="K123" s="12" t="s">
        <v>485</v>
      </c>
      <c r="L123" s="12" t="s">
        <v>489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1058</v>
      </c>
      <c r="B124" s="11">
        <f t="shared" si="4"/>
        <v>46121</v>
      </c>
      <c r="C124" s="11">
        <f t="shared" si="5"/>
        <v>46127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26274524</v>
      </c>
      <c r="K124" s="12" t="s">
        <v>490</v>
      </c>
      <c r="L124" s="12" t="s">
        <v>491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1058</v>
      </c>
      <c r="B125" s="11">
        <f t="shared" si="4"/>
        <v>46121</v>
      </c>
      <c r="C125" s="11">
        <f t="shared" si="5"/>
        <v>46127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26274533</v>
      </c>
      <c r="K125" s="12" t="s">
        <v>490</v>
      </c>
      <c r="L125" s="12" t="s">
        <v>492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1058</v>
      </c>
      <c r="B126" s="11">
        <f t="shared" si="4"/>
        <v>46121</v>
      </c>
      <c r="C126" s="11">
        <f t="shared" si="5"/>
        <v>46127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26274542</v>
      </c>
      <c r="K126" s="12" t="s">
        <v>490</v>
      </c>
      <c r="L126" s="12" t="s">
        <v>493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1058</v>
      </c>
      <c r="B127" s="11">
        <f t="shared" si="4"/>
        <v>46121</v>
      </c>
      <c r="C127" s="11">
        <f t="shared" si="5"/>
        <v>46127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26274551</v>
      </c>
      <c r="K127" s="12" t="s">
        <v>490</v>
      </c>
      <c r="L127" s="12" t="s">
        <v>494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1058</v>
      </c>
      <c r="B128" s="11">
        <f t="shared" si="4"/>
        <v>46121</v>
      </c>
      <c r="C128" s="11">
        <f t="shared" si="5"/>
        <v>46127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26274579</v>
      </c>
      <c r="K128" s="12" t="s">
        <v>490</v>
      </c>
      <c r="L128" s="12" t="s">
        <v>495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1058</v>
      </c>
      <c r="B129" s="11">
        <f t="shared" si="4"/>
        <v>46121</v>
      </c>
      <c r="C129" s="11">
        <f t="shared" si="5"/>
        <v>46127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26274953</v>
      </c>
      <c r="K129" s="12" t="s">
        <v>496</v>
      </c>
      <c r="L129" s="12" t="s">
        <v>497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1058</v>
      </c>
      <c r="B130" s="11">
        <f t="shared" si="4"/>
        <v>46121</v>
      </c>
      <c r="C130" s="11">
        <f t="shared" si="5"/>
        <v>46127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26274962</v>
      </c>
      <c r="K130" s="12" t="s">
        <v>496</v>
      </c>
      <c r="L130" s="12" t="s">
        <v>498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1058</v>
      </c>
      <c r="B131" s="11">
        <f t="shared" si="4"/>
        <v>46121</v>
      </c>
      <c r="C131" s="11">
        <f t="shared" si="5"/>
        <v>46127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26274971</v>
      </c>
      <c r="K131" s="12" t="s">
        <v>496</v>
      </c>
      <c r="L131" s="12" t="s">
        <v>499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1058</v>
      </c>
      <c r="B132" s="11">
        <f t="shared" ref="B132:B195" si="7">B131</f>
        <v>46121</v>
      </c>
      <c r="C132" s="11">
        <f t="shared" ref="C132:C195" si="8">C131</f>
        <v>46127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26275005</v>
      </c>
      <c r="K132" s="12" t="s">
        <v>496</v>
      </c>
      <c r="L132" s="12" t="s">
        <v>500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1058</v>
      </c>
      <c r="B133" s="11">
        <f t="shared" si="7"/>
        <v>46121</v>
      </c>
      <c r="C133" s="11">
        <f t="shared" si="8"/>
        <v>46127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26275336</v>
      </c>
      <c r="K133" s="12" t="s">
        <v>501</v>
      </c>
      <c r="L133" s="12" t="s">
        <v>502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1058</v>
      </c>
      <c r="B134" s="11">
        <f t="shared" si="7"/>
        <v>46121</v>
      </c>
      <c r="C134" s="11">
        <f t="shared" si="8"/>
        <v>46127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26275345</v>
      </c>
      <c r="K134" s="12" t="s">
        <v>501</v>
      </c>
      <c r="L134" s="12" t="s">
        <v>503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1058</v>
      </c>
      <c r="B135" s="11">
        <f t="shared" si="7"/>
        <v>46121</v>
      </c>
      <c r="C135" s="11">
        <f t="shared" si="8"/>
        <v>46127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26275354</v>
      </c>
      <c r="K135" s="12" t="s">
        <v>501</v>
      </c>
      <c r="L135" s="12" t="s">
        <v>504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1058</v>
      </c>
      <c r="B136" s="11">
        <f t="shared" si="7"/>
        <v>46121</v>
      </c>
      <c r="C136" s="11">
        <f t="shared" si="8"/>
        <v>46127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26275372</v>
      </c>
      <c r="K136" s="12" t="s">
        <v>501</v>
      </c>
      <c r="L136" s="12" t="s">
        <v>505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1058</v>
      </c>
      <c r="B137" s="11">
        <f t="shared" si="7"/>
        <v>46121</v>
      </c>
      <c r="C137" s="11">
        <f t="shared" si="8"/>
        <v>46127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26397919</v>
      </c>
      <c r="K137" s="12" t="s">
        <v>506</v>
      </c>
      <c r="L137" s="12" t="s">
        <v>507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1058</v>
      </c>
      <c r="B138" s="11">
        <f t="shared" si="7"/>
        <v>46121</v>
      </c>
      <c r="C138" s="11">
        <f t="shared" si="8"/>
        <v>46127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26397928</v>
      </c>
      <c r="K138" s="12" t="s">
        <v>506</v>
      </c>
      <c r="L138" s="12" t="s">
        <v>508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1058</v>
      </c>
      <c r="B139" s="11">
        <f t="shared" si="7"/>
        <v>46121</v>
      </c>
      <c r="C139" s="11">
        <f t="shared" si="8"/>
        <v>46127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26397937</v>
      </c>
      <c r="K139" s="12" t="s">
        <v>506</v>
      </c>
      <c r="L139" s="12" t="s">
        <v>509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1058</v>
      </c>
      <c r="B140" s="11">
        <f t="shared" si="7"/>
        <v>46121</v>
      </c>
      <c r="C140" s="11">
        <f t="shared" si="8"/>
        <v>46127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26397946</v>
      </c>
      <c r="K140" s="12" t="s">
        <v>506</v>
      </c>
      <c r="L140" s="12" t="s">
        <v>510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1058</v>
      </c>
      <c r="B141" s="11">
        <f t="shared" si="7"/>
        <v>46121</v>
      </c>
      <c r="C141" s="11">
        <f t="shared" si="8"/>
        <v>46127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26397955</v>
      </c>
      <c r="K141" s="12" t="s">
        <v>506</v>
      </c>
      <c r="L141" s="12" t="s">
        <v>511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1058</v>
      </c>
      <c r="B142" s="11">
        <f t="shared" si="7"/>
        <v>46121</v>
      </c>
      <c r="C142" s="11">
        <f t="shared" si="8"/>
        <v>46127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26397964</v>
      </c>
      <c r="K142" s="12" t="s">
        <v>506</v>
      </c>
      <c r="L142" s="12" t="s">
        <v>512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1058</v>
      </c>
      <c r="B143" s="11">
        <f t="shared" si="7"/>
        <v>46121</v>
      </c>
      <c r="C143" s="11">
        <f t="shared" si="8"/>
        <v>46127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26398258</v>
      </c>
      <c r="K143" s="12" t="s">
        <v>513</v>
      </c>
      <c r="L143" s="12" t="s">
        <v>514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1058</v>
      </c>
      <c r="B144" s="11">
        <f t="shared" si="7"/>
        <v>46121</v>
      </c>
      <c r="C144" s="11">
        <f t="shared" si="8"/>
        <v>46127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26398267</v>
      </c>
      <c r="K144" s="12" t="s">
        <v>513</v>
      </c>
      <c r="L144" s="12" t="s">
        <v>515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1058</v>
      </c>
      <c r="B145" s="11">
        <f t="shared" si="7"/>
        <v>46121</v>
      </c>
      <c r="C145" s="11">
        <f t="shared" si="8"/>
        <v>46127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26398276</v>
      </c>
      <c r="K145" s="12" t="s">
        <v>513</v>
      </c>
      <c r="L145" s="12" t="s">
        <v>516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1058</v>
      </c>
      <c r="B146" s="11">
        <f t="shared" si="7"/>
        <v>46121</v>
      </c>
      <c r="C146" s="11">
        <f t="shared" si="8"/>
        <v>46127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26398285</v>
      </c>
      <c r="K146" s="12" t="s">
        <v>513</v>
      </c>
      <c r="L146" s="12" t="s">
        <v>517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1058</v>
      </c>
      <c r="B147" s="11">
        <f t="shared" si="7"/>
        <v>46121</v>
      </c>
      <c r="C147" s="11">
        <f t="shared" si="8"/>
        <v>46127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26398294</v>
      </c>
      <c r="K147" s="12" t="s">
        <v>513</v>
      </c>
      <c r="L147" s="12" t="s">
        <v>518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1058</v>
      </c>
      <c r="B148" s="11">
        <f t="shared" si="7"/>
        <v>46121</v>
      </c>
      <c r="C148" s="11">
        <f t="shared" si="8"/>
        <v>46127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26398301</v>
      </c>
      <c r="K148" s="12" t="s">
        <v>513</v>
      </c>
      <c r="L148" s="12" t="s">
        <v>519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1058</v>
      </c>
      <c r="B149" s="11">
        <f t="shared" si="7"/>
        <v>46121</v>
      </c>
      <c r="C149" s="11">
        <f t="shared" si="8"/>
        <v>46127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26399499</v>
      </c>
      <c r="K149" s="12" t="s">
        <v>520</v>
      </c>
      <c r="L149" s="12" t="s">
        <v>521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1058</v>
      </c>
      <c r="B150" s="11">
        <f t="shared" si="7"/>
        <v>46121</v>
      </c>
      <c r="C150" s="11">
        <f t="shared" si="8"/>
        <v>46127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26399506</v>
      </c>
      <c r="K150" s="12" t="s">
        <v>520</v>
      </c>
      <c r="L150" s="12" t="s">
        <v>522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1058</v>
      </c>
      <c r="B151" s="11">
        <f t="shared" si="7"/>
        <v>46121</v>
      </c>
      <c r="C151" s="11">
        <f t="shared" si="8"/>
        <v>46127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26399515</v>
      </c>
      <c r="K151" s="12" t="s">
        <v>520</v>
      </c>
      <c r="L151" s="12" t="s">
        <v>523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1058</v>
      </c>
      <c r="B152" s="11">
        <f t="shared" si="7"/>
        <v>46121</v>
      </c>
      <c r="C152" s="11">
        <f t="shared" si="8"/>
        <v>46127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26399542</v>
      </c>
      <c r="K152" s="12" t="s">
        <v>520</v>
      </c>
      <c r="L152" s="12" t="s">
        <v>524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1058</v>
      </c>
      <c r="B153" s="11">
        <f t="shared" si="7"/>
        <v>46121</v>
      </c>
      <c r="C153" s="11">
        <f t="shared" si="8"/>
        <v>46127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26422284</v>
      </c>
      <c r="K153" s="12" t="s">
        <v>525</v>
      </c>
      <c r="L153" s="12" t="s">
        <v>526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1058</v>
      </c>
      <c r="B154" s="11">
        <f t="shared" si="7"/>
        <v>46121</v>
      </c>
      <c r="C154" s="11">
        <f t="shared" si="8"/>
        <v>46127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26422293</v>
      </c>
      <c r="K154" s="12" t="s">
        <v>525</v>
      </c>
      <c r="L154" s="12" t="s">
        <v>527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1058</v>
      </c>
      <c r="B155" s="11">
        <f t="shared" si="7"/>
        <v>46121</v>
      </c>
      <c r="C155" s="11">
        <f t="shared" si="8"/>
        <v>46127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26422300</v>
      </c>
      <c r="K155" s="12" t="s">
        <v>525</v>
      </c>
      <c r="L155" s="12" t="s">
        <v>528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1058</v>
      </c>
      <c r="B156" s="11">
        <f t="shared" si="7"/>
        <v>46121</v>
      </c>
      <c r="C156" s="11">
        <f t="shared" si="8"/>
        <v>46127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26422319</v>
      </c>
      <c r="K156" s="12" t="s">
        <v>525</v>
      </c>
      <c r="L156" s="12" t="s">
        <v>529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1058</v>
      </c>
      <c r="B157" s="11">
        <f t="shared" si="7"/>
        <v>46121</v>
      </c>
      <c r="C157" s="11">
        <f t="shared" si="8"/>
        <v>46127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26422328</v>
      </c>
      <c r="K157" s="12" t="s">
        <v>525</v>
      </c>
      <c r="L157" s="12" t="s">
        <v>530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1058</v>
      </c>
      <c r="B158" s="11">
        <f t="shared" si="7"/>
        <v>46121</v>
      </c>
      <c r="C158" s="11">
        <f t="shared" si="8"/>
        <v>46127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26422337</v>
      </c>
      <c r="K158" s="12" t="s">
        <v>525</v>
      </c>
      <c r="L158" s="12" t="s">
        <v>531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1058</v>
      </c>
      <c r="B159" s="11">
        <f t="shared" si="7"/>
        <v>46121</v>
      </c>
      <c r="C159" s="11">
        <f t="shared" si="8"/>
        <v>46127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26422480</v>
      </c>
      <c r="K159" s="12" t="s">
        <v>532</v>
      </c>
      <c r="L159" s="12" t="s">
        <v>533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1058</v>
      </c>
      <c r="B160" s="11">
        <f t="shared" si="7"/>
        <v>46121</v>
      </c>
      <c r="C160" s="11">
        <f t="shared" si="8"/>
        <v>46127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26422499</v>
      </c>
      <c r="K160" s="12" t="s">
        <v>532</v>
      </c>
      <c r="L160" s="12" t="s">
        <v>534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1058</v>
      </c>
      <c r="B161" s="11">
        <f t="shared" si="7"/>
        <v>46121</v>
      </c>
      <c r="C161" s="11">
        <f t="shared" si="8"/>
        <v>46127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26422506</v>
      </c>
      <c r="K161" s="12" t="s">
        <v>532</v>
      </c>
      <c r="L161" s="12" t="s">
        <v>535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1058</v>
      </c>
      <c r="B162" s="11">
        <f t="shared" si="7"/>
        <v>46121</v>
      </c>
      <c r="C162" s="11">
        <f t="shared" si="8"/>
        <v>46127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26422515</v>
      </c>
      <c r="K162" s="12" t="s">
        <v>532</v>
      </c>
      <c r="L162" s="12" t="s">
        <v>536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1058</v>
      </c>
      <c r="B163" s="11">
        <f t="shared" si="7"/>
        <v>46121</v>
      </c>
      <c r="C163" s="11">
        <f t="shared" si="8"/>
        <v>46127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26422524</v>
      </c>
      <c r="K163" s="12" t="s">
        <v>532</v>
      </c>
      <c r="L163" s="12" t="s">
        <v>537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1058</v>
      </c>
      <c r="B164" s="11">
        <f t="shared" si="7"/>
        <v>46121</v>
      </c>
      <c r="C164" s="11">
        <f t="shared" si="8"/>
        <v>46127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26422533</v>
      </c>
      <c r="K164" s="12" t="s">
        <v>532</v>
      </c>
      <c r="L164" s="12" t="s">
        <v>538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1058</v>
      </c>
      <c r="B165" s="11">
        <f t="shared" si="7"/>
        <v>46121</v>
      </c>
      <c r="C165" s="11">
        <f t="shared" si="8"/>
        <v>46127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26422702</v>
      </c>
      <c r="K165" s="12" t="s">
        <v>539</v>
      </c>
      <c r="L165" s="12" t="s">
        <v>540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1058</v>
      </c>
      <c r="B166" s="11">
        <f t="shared" si="7"/>
        <v>46121</v>
      </c>
      <c r="C166" s="11">
        <f t="shared" si="8"/>
        <v>46127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26422711</v>
      </c>
      <c r="K166" s="12" t="s">
        <v>539</v>
      </c>
      <c r="L166" s="12" t="s">
        <v>541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1058</v>
      </c>
      <c r="B167" s="11">
        <f t="shared" si="7"/>
        <v>46121</v>
      </c>
      <c r="C167" s="11">
        <f t="shared" si="8"/>
        <v>46127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26422720</v>
      </c>
      <c r="K167" s="12" t="s">
        <v>539</v>
      </c>
      <c r="L167" s="12" t="s">
        <v>542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1058</v>
      </c>
      <c r="B168" s="11">
        <f t="shared" si="7"/>
        <v>46121</v>
      </c>
      <c r="C168" s="11">
        <f t="shared" si="8"/>
        <v>46127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26422739</v>
      </c>
      <c r="K168" s="12" t="s">
        <v>539</v>
      </c>
      <c r="L168" s="12" t="s">
        <v>543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1058</v>
      </c>
      <c r="B169" s="11">
        <f t="shared" si="7"/>
        <v>46121</v>
      </c>
      <c r="C169" s="11">
        <f t="shared" si="8"/>
        <v>46127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26422748</v>
      </c>
      <c r="K169" s="12" t="s">
        <v>539</v>
      </c>
      <c r="L169" s="12" t="s">
        <v>544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1058</v>
      </c>
      <c r="B170" s="11">
        <f t="shared" si="7"/>
        <v>46121</v>
      </c>
      <c r="C170" s="11">
        <f t="shared" si="8"/>
        <v>46127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26422757</v>
      </c>
      <c r="K170" s="12" t="s">
        <v>539</v>
      </c>
      <c r="L170" s="12" t="s">
        <v>545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1058</v>
      </c>
      <c r="B171" s="11">
        <f t="shared" si="7"/>
        <v>46121</v>
      </c>
      <c r="C171" s="11">
        <f t="shared" si="8"/>
        <v>46127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26423194</v>
      </c>
      <c r="K171" s="12" t="s">
        <v>546</v>
      </c>
      <c r="L171" s="12" t="s">
        <v>547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1058</v>
      </c>
      <c r="B172" s="11">
        <f t="shared" si="7"/>
        <v>46121</v>
      </c>
      <c r="C172" s="11">
        <f t="shared" si="8"/>
        <v>46127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26423201</v>
      </c>
      <c r="K172" s="12" t="s">
        <v>546</v>
      </c>
      <c r="L172" s="12" t="s">
        <v>548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1058</v>
      </c>
      <c r="B173" s="11">
        <f t="shared" si="7"/>
        <v>46121</v>
      </c>
      <c r="C173" s="11">
        <f t="shared" si="8"/>
        <v>46127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26423210</v>
      </c>
      <c r="K173" s="12" t="s">
        <v>546</v>
      </c>
      <c r="L173" s="12" t="s">
        <v>549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1058</v>
      </c>
      <c r="B174" s="11">
        <f t="shared" si="7"/>
        <v>46121</v>
      </c>
      <c r="C174" s="11">
        <f t="shared" si="8"/>
        <v>46127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26423229</v>
      </c>
      <c r="K174" s="12" t="s">
        <v>546</v>
      </c>
      <c r="L174" s="12" t="s">
        <v>550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1058</v>
      </c>
      <c r="B175" s="11">
        <f t="shared" si="7"/>
        <v>46121</v>
      </c>
      <c r="C175" s="11">
        <f t="shared" si="8"/>
        <v>46127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26438473</v>
      </c>
      <c r="K175" s="12" t="s">
        <v>551</v>
      </c>
      <c r="L175" s="12" t="s">
        <v>552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1058</v>
      </c>
      <c r="B176" s="11">
        <f t="shared" si="7"/>
        <v>46121</v>
      </c>
      <c r="C176" s="11">
        <f t="shared" si="8"/>
        <v>46127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26438482</v>
      </c>
      <c r="K176" s="12" t="s">
        <v>551</v>
      </c>
      <c r="L176" s="12" t="s">
        <v>553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1058</v>
      </c>
      <c r="B177" s="11">
        <f t="shared" si="7"/>
        <v>46121</v>
      </c>
      <c r="C177" s="11">
        <f t="shared" si="8"/>
        <v>46127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26438491</v>
      </c>
      <c r="K177" s="12" t="s">
        <v>551</v>
      </c>
      <c r="L177" s="12" t="s">
        <v>554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1058</v>
      </c>
      <c r="B178" s="11">
        <f t="shared" si="7"/>
        <v>46121</v>
      </c>
      <c r="C178" s="11">
        <f t="shared" si="8"/>
        <v>46127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26438526</v>
      </c>
      <c r="K178" s="12" t="s">
        <v>551</v>
      </c>
      <c r="L178" s="12" t="s">
        <v>555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1058</v>
      </c>
      <c r="B179" s="11">
        <f t="shared" si="7"/>
        <v>46121</v>
      </c>
      <c r="C179" s="11">
        <f t="shared" si="8"/>
        <v>46127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26562356</v>
      </c>
      <c r="K179" s="12" t="s">
        <v>556</v>
      </c>
      <c r="L179" s="12" t="s">
        <v>557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1058</v>
      </c>
      <c r="B180" s="11">
        <f t="shared" si="7"/>
        <v>46121</v>
      </c>
      <c r="C180" s="11">
        <f t="shared" si="8"/>
        <v>46127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26562365</v>
      </c>
      <c r="K180" s="12" t="s">
        <v>556</v>
      </c>
      <c r="L180" s="12" t="s">
        <v>558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1058</v>
      </c>
      <c r="B181" s="11">
        <f t="shared" si="7"/>
        <v>46121</v>
      </c>
      <c r="C181" s="11">
        <f t="shared" si="8"/>
        <v>46127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26562374</v>
      </c>
      <c r="K181" s="12" t="s">
        <v>556</v>
      </c>
      <c r="L181" s="12" t="s">
        <v>559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1058</v>
      </c>
      <c r="B182" s="11">
        <f t="shared" si="7"/>
        <v>46121</v>
      </c>
      <c r="C182" s="11">
        <f t="shared" si="8"/>
        <v>46127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26562383</v>
      </c>
      <c r="K182" s="12" t="s">
        <v>556</v>
      </c>
      <c r="L182" s="12" t="s">
        <v>560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1058</v>
      </c>
      <c r="B183" s="11">
        <f t="shared" si="7"/>
        <v>46121</v>
      </c>
      <c r="C183" s="11">
        <f t="shared" si="8"/>
        <v>46127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26562392</v>
      </c>
      <c r="K183" s="12" t="s">
        <v>556</v>
      </c>
      <c r="L183" s="12" t="s">
        <v>561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1058</v>
      </c>
      <c r="B184" s="11">
        <f t="shared" si="7"/>
        <v>46121</v>
      </c>
      <c r="C184" s="11">
        <f t="shared" si="8"/>
        <v>46127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26562409</v>
      </c>
      <c r="K184" s="12" t="s">
        <v>556</v>
      </c>
      <c r="L184" s="12" t="s">
        <v>562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1058</v>
      </c>
      <c r="B185" s="11">
        <f t="shared" si="7"/>
        <v>46121</v>
      </c>
      <c r="C185" s="11">
        <f t="shared" si="8"/>
        <v>46127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26562623</v>
      </c>
      <c r="K185" s="12" t="s">
        <v>563</v>
      </c>
      <c r="L185" s="12" t="s">
        <v>564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1058</v>
      </c>
      <c r="B186" s="11">
        <f t="shared" si="7"/>
        <v>46121</v>
      </c>
      <c r="C186" s="11">
        <f t="shared" si="8"/>
        <v>46127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26562632</v>
      </c>
      <c r="K186" s="12" t="s">
        <v>563</v>
      </c>
      <c r="L186" s="12" t="s">
        <v>565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1058</v>
      </c>
      <c r="B187" s="11">
        <f t="shared" si="7"/>
        <v>46121</v>
      </c>
      <c r="C187" s="11">
        <f t="shared" si="8"/>
        <v>46127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26562641</v>
      </c>
      <c r="K187" s="12" t="s">
        <v>563</v>
      </c>
      <c r="L187" s="12" t="s">
        <v>566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1058</v>
      </c>
      <c r="B188" s="11">
        <f t="shared" si="7"/>
        <v>46121</v>
      </c>
      <c r="C188" s="11">
        <f t="shared" si="8"/>
        <v>46127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26563113</v>
      </c>
      <c r="K188" s="12" t="s">
        <v>567</v>
      </c>
      <c r="L188" s="12" t="s">
        <v>568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1058</v>
      </c>
      <c r="B189" s="11">
        <f t="shared" si="7"/>
        <v>46121</v>
      </c>
      <c r="C189" s="11">
        <f t="shared" si="8"/>
        <v>46127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26563122</v>
      </c>
      <c r="K189" s="12" t="s">
        <v>567</v>
      </c>
      <c r="L189" s="12" t="s">
        <v>569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1058</v>
      </c>
      <c r="B190" s="11">
        <f t="shared" si="7"/>
        <v>46121</v>
      </c>
      <c r="C190" s="11">
        <f t="shared" si="8"/>
        <v>46127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26563131</v>
      </c>
      <c r="K190" s="12" t="s">
        <v>567</v>
      </c>
      <c r="L190" s="12" t="s">
        <v>570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1058</v>
      </c>
      <c r="B191" s="11">
        <f t="shared" si="7"/>
        <v>46121</v>
      </c>
      <c r="C191" s="11">
        <f t="shared" si="8"/>
        <v>46127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26563284</v>
      </c>
      <c r="K191" s="12" t="s">
        <v>571</v>
      </c>
      <c r="L191" s="12" t="s">
        <v>572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1058</v>
      </c>
      <c r="B192" s="11">
        <f t="shared" si="7"/>
        <v>46121</v>
      </c>
      <c r="C192" s="11">
        <f t="shared" si="8"/>
        <v>46127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26563293</v>
      </c>
      <c r="K192" s="12" t="s">
        <v>571</v>
      </c>
      <c r="L192" s="12" t="s">
        <v>573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1058</v>
      </c>
      <c r="B193" s="11">
        <f t="shared" si="7"/>
        <v>46121</v>
      </c>
      <c r="C193" s="11">
        <f t="shared" si="8"/>
        <v>46127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26563300</v>
      </c>
      <c r="K193" s="12" t="s">
        <v>571</v>
      </c>
      <c r="L193" s="12" t="s">
        <v>574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1058</v>
      </c>
      <c r="B194" s="11">
        <f t="shared" si="7"/>
        <v>46121</v>
      </c>
      <c r="C194" s="11">
        <f t="shared" si="8"/>
        <v>46127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26563319</v>
      </c>
      <c r="K194" s="12" t="s">
        <v>571</v>
      </c>
      <c r="L194" s="12" t="s">
        <v>575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1058</v>
      </c>
      <c r="B195" s="11">
        <f t="shared" si="7"/>
        <v>46121</v>
      </c>
      <c r="C195" s="11">
        <f t="shared" si="8"/>
        <v>46127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26563337</v>
      </c>
      <c r="K195" s="12" t="s">
        <v>571</v>
      </c>
      <c r="L195" s="12" t="s">
        <v>576</v>
      </c>
      <c r="M195" s="13">
        <v>299900</v>
      </c>
      <c r="N195" s="14">
        <v>0.95</v>
      </c>
      <c r="O195" s="13">
        <f t="shared" ref="O195:O228" si="9">M195-(M195*N195)</f>
        <v>14995</v>
      </c>
      <c r="P195" s="10" t="s">
        <v>16</v>
      </c>
    </row>
    <row r="196" spans="1:16" x14ac:dyDescent="0.35">
      <c r="A196" s="10" t="s">
        <v>1058</v>
      </c>
      <c r="B196" s="11">
        <f t="shared" ref="B196:B228" si="10">B195</f>
        <v>46121</v>
      </c>
      <c r="C196" s="11">
        <f t="shared" ref="C196:C228" si="11">C195</f>
        <v>46127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26563444</v>
      </c>
      <c r="K196" s="12" t="s">
        <v>577</v>
      </c>
      <c r="L196" s="12" t="s">
        <v>578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1058</v>
      </c>
      <c r="B197" s="11">
        <f t="shared" si="10"/>
        <v>46121</v>
      </c>
      <c r="C197" s="11">
        <f t="shared" si="11"/>
        <v>46127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26563453</v>
      </c>
      <c r="K197" s="12" t="s">
        <v>577</v>
      </c>
      <c r="L197" s="12" t="s">
        <v>579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1058</v>
      </c>
      <c r="B198" s="11">
        <f t="shared" si="10"/>
        <v>46121</v>
      </c>
      <c r="C198" s="11">
        <f t="shared" si="11"/>
        <v>46127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26563462</v>
      </c>
      <c r="K198" s="12" t="s">
        <v>577</v>
      </c>
      <c r="L198" s="12" t="s">
        <v>580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1058</v>
      </c>
      <c r="B199" s="11">
        <f t="shared" si="10"/>
        <v>46121</v>
      </c>
      <c r="C199" s="11">
        <f t="shared" si="11"/>
        <v>46127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26563471</v>
      </c>
      <c r="K199" s="12" t="s">
        <v>577</v>
      </c>
      <c r="L199" s="12" t="s">
        <v>581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1058</v>
      </c>
      <c r="B200" s="11">
        <f t="shared" si="10"/>
        <v>46121</v>
      </c>
      <c r="C200" s="11">
        <f t="shared" si="11"/>
        <v>46127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26563613</v>
      </c>
      <c r="K200" s="12" t="s">
        <v>582</v>
      </c>
      <c r="L200" s="12" t="s">
        <v>583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1058</v>
      </c>
      <c r="B201" s="11">
        <f t="shared" si="10"/>
        <v>46121</v>
      </c>
      <c r="C201" s="11">
        <f t="shared" si="11"/>
        <v>46127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26563622</v>
      </c>
      <c r="K201" s="12" t="s">
        <v>582</v>
      </c>
      <c r="L201" s="12" t="s">
        <v>584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1058</v>
      </c>
      <c r="B202" s="11">
        <f t="shared" si="10"/>
        <v>46121</v>
      </c>
      <c r="C202" s="11">
        <f t="shared" si="11"/>
        <v>46127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26563631</v>
      </c>
      <c r="K202" s="12" t="s">
        <v>582</v>
      </c>
      <c r="L202" s="12" t="s">
        <v>585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1058</v>
      </c>
      <c r="B203" s="11">
        <f t="shared" si="10"/>
        <v>46121</v>
      </c>
      <c r="C203" s="11">
        <f t="shared" si="11"/>
        <v>46127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26563640</v>
      </c>
      <c r="K203" s="12" t="s">
        <v>582</v>
      </c>
      <c r="L203" s="12" t="s">
        <v>586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1058</v>
      </c>
      <c r="B204" s="11">
        <f t="shared" si="10"/>
        <v>46121</v>
      </c>
      <c r="C204" s="11">
        <f t="shared" si="11"/>
        <v>46127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26563668</v>
      </c>
      <c r="K204" s="12" t="s">
        <v>582</v>
      </c>
      <c r="L204" s="12" t="s">
        <v>587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1058</v>
      </c>
      <c r="B205" s="11">
        <f t="shared" si="10"/>
        <v>46121</v>
      </c>
      <c r="C205" s="11">
        <f t="shared" si="11"/>
        <v>46127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26575039</v>
      </c>
      <c r="K205" s="12" t="s">
        <v>588</v>
      </c>
      <c r="L205" s="12" t="s">
        <v>589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1058</v>
      </c>
      <c r="B206" s="11">
        <f t="shared" si="10"/>
        <v>46121</v>
      </c>
      <c r="C206" s="11">
        <f t="shared" si="11"/>
        <v>46127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26575048</v>
      </c>
      <c r="K206" s="12" t="s">
        <v>588</v>
      </c>
      <c r="L206" s="12" t="s">
        <v>590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1058</v>
      </c>
      <c r="B207" s="11">
        <f t="shared" si="10"/>
        <v>46121</v>
      </c>
      <c r="C207" s="11">
        <f t="shared" si="11"/>
        <v>46127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26575057</v>
      </c>
      <c r="K207" s="12" t="s">
        <v>588</v>
      </c>
      <c r="L207" s="12" t="s">
        <v>591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1058</v>
      </c>
      <c r="B208" s="11">
        <f t="shared" si="10"/>
        <v>46121</v>
      </c>
      <c r="C208" s="11">
        <f t="shared" si="11"/>
        <v>46127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26575066</v>
      </c>
      <c r="K208" s="12" t="s">
        <v>588</v>
      </c>
      <c r="L208" s="12" t="s">
        <v>592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1058</v>
      </c>
      <c r="B209" s="11">
        <f t="shared" si="10"/>
        <v>46121</v>
      </c>
      <c r="C209" s="11">
        <f t="shared" si="11"/>
        <v>46127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26575280</v>
      </c>
      <c r="K209" s="12" t="s">
        <v>593</v>
      </c>
      <c r="L209" s="12" t="s">
        <v>594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1058</v>
      </c>
      <c r="B210" s="11">
        <f t="shared" si="10"/>
        <v>46121</v>
      </c>
      <c r="C210" s="11">
        <f t="shared" si="11"/>
        <v>46127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26575299</v>
      </c>
      <c r="K210" s="12" t="s">
        <v>593</v>
      </c>
      <c r="L210" s="12" t="s">
        <v>595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1058</v>
      </c>
      <c r="B211" s="11">
        <f t="shared" si="10"/>
        <v>46121</v>
      </c>
      <c r="C211" s="11">
        <f t="shared" si="11"/>
        <v>46127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26575306</v>
      </c>
      <c r="K211" s="12" t="s">
        <v>593</v>
      </c>
      <c r="L211" s="12" t="s">
        <v>596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1058</v>
      </c>
      <c r="B212" s="11">
        <f t="shared" si="10"/>
        <v>46121</v>
      </c>
      <c r="C212" s="11">
        <f t="shared" si="11"/>
        <v>46127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26575315</v>
      </c>
      <c r="K212" s="12" t="s">
        <v>593</v>
      </c>
      <c r="L212" s="12" t="s">
        <v>597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1058</v>
      </c>
      <c r="B213" s="11">
        <f t="shared" si="10"/>
        <v>46121</v>
      </c>
      <c r="C213" s="11">
        <f t="shared" si="11"/>
        <v>46127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26575324</v>
      </c>
      <c r="K213" s="12" t="s">
        <v>593</v>
      </c>
      <c r="L213" s="12" t="s">
        <v>598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1058</v>
      </c>
      <c r="B214" s="11">
        <f t="shared" si="10"/>
        <v>46121</v>
      </c>
      <c r="C214" s="11">
        <f t="shared" si="11"/>
        <v>46127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26575333</v>
      </c>
      <c r="K214" s="12" t="s">
        <v>593</v>
      </c>
      <c r="L214" s="12" t="s">
        <v>599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1058</v>
      </c>
      <c r="B215" s="11">
        <f t="shared" si="10"/>
        <v>46121</v>
      </c>
      <c r="C215" s="11">
        <f t="shared" si="11"/>
        <v>46127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26606371</v>
      </c>
      <c r="K215" s="12" t="s">
        <v>600</v>
      </c>
      <c r="L215" s="12" t="s">
        <v>601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1058</v>
      </c>
      <c r="B216" s="11">
        <f t="shared" si="10"/>
        <v>46121</v>
      </c>
      <c r="C216" s="11">
        <f t="shared" si="11"/>
        <v>46127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26606380</v>
      </c>
      <c r="K216" s="12" t="s">
        <v>600</v>
      </c>
      <c r="L216" s="12" t="s">
        <v>602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1058</v>
      </c>
      <c r="B217" s="11">
        <f t="shared" si="10"/>
        <v>46121</v>
      </c>
      <c r="C217" s="11">
        <f t="shared" si="11"/>
        <v>46127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26617270</v>
      </c>
      <c r="K217" s="12" t="s">
        <v>603</v>
      </c>
      <c r="L217" s="12" t="s">
        <v>604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1058</v>
      </c>
      <c r="B218" s="11">
        <f t="shared" si="10"/>
        <v>46121</v>
      </c>
      <c r="C218" s="11">
        <f t="shared" si="11"/>
        <v>46127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26617289</v>
      </c>
      <c r="K218" s="12" t="s">
        <v>603</v>
      </c>
      <c r="L218" s="12" t="s">
        <v>605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1058</v>
      </c>
      <c r="B219" s="11">
        <f t="shared" si="10"/>
        <v>46121</v>
      </c>
      <c r="C219" s="11">
        <f t="shared" si="11"/>
        <v>46127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26617298</v>
      </c>
      <c r="K219" s="12" t="s">
        <v>603</v>
      </c>
      <c r="L219" s="12" t="s">
        <v>606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1058</v>
      </c>
      <c r="B220" s="11">
        <f t="shared" si="10"/>
        <v>46121</v>
      </c>
      <c r="C220" s="11">
        <f t="shared" si="11"/>
        <v>46127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26617323</v>
      </c>
      <c r="K220" s="12" t="s">
        <v>603</v>
      </c>
      <c r="L220" s="12" t="s">
        <v>607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1058</v>
      </c>
      <c r="B221" s="11">
        <f t="shared" si="10"/>
        <v>46121</v>
      </c>
      <c r="C221" s="11">
        <f t="shared" si="11"/>
        <v>46127</v>
      </c>
      <c r="D221" s="10">
        <v>3250</v>
      </c>
      <c r="E221" s="10">
        <v>332</v>
      </c>
      <c r="F221" s="10">
        <v>3</v>
      </c>
      <c r="G221" s="10">
        <v>1</v>
      </c>
      <c r="H221" s="10">
        <v>8074</v>
      </c>
      <c r="I221" s="10" t="s">
        <v>17</v>
      </c>
      <c r="J221" s="10">
        <v>26314294</v>
      </c>
      <c r="K221" s="12" t="s">
        <v>608</v>
      </c>
      <c r="L221" s="12" t="s">
        <v>609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1058</v>
      </c>
      <c r="B222" s="11">
        <f t="shared" si="10"/>
        <v>46121</v>
      </c>
      <c r="C222" s="11">
        <f t="shared" si="11"/>
        <v>46127</v>
      </c>
      <c r="D222" s="10">
        <v>3250</v>
      </c>
      <c r="E222" s="10">
        <v>332</v>
      </c>
      <c r="F222" s="10">
        <v>3</v>
      </c>
      <c r="G222" s="10">
        <v>1</v>
      </c>
      <c r="H222" s="10">
        <v>8074</v>
      </c>
      <c r="I222" s="10" t="s">
        <v>17</v>
      </c>
      <c r="J222" s="10">
        <v>26314301</v>
      </c>
      <c r="K222" s="12" t="s">
        <v>608</v>
      </c>
      <c r="L222" s="12" t="s">
        <v>610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1058</v>
      </c>
      <c r="B223" s="11">
        <f t="shared" si="10"/>
        <v>46121</v>
      </c>
      <c r="C223" s="11">
        <f t="shared" si="11"/>
        <v>46127</v>
      </c>
      <c r="D223" s="10">
        <v>3250</v>
      </c>
      <c r="E223" s="10">
        <v>332</v>
      </c>
      <c r="F223" s="10">
        <v>3</v>
      </c>
      <c r="G223" s="10">
        <v>1</v>
      </c>
      <c r="H223" s="10">
        <v>8074</v>
      </c>
      <c r="I223" s="10" t="s">
        <v>17</v>
      </c>
      <c r="J223" s="10">
        <v>26314310</v>
      </c>
      <c r="K223" s="12" t="s">
        <v>608</v>
      </c>
      <c r="L223" s="12" t="s">
        <v>611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1058</v>
      </c>
      <c r="B224" s="11">
        <f t="shared" si="10"/>
        <v>46121</v>
      </c>
      <c r="C224" s="11">
        <f t="shared" si="11"/>
        <v>46127</v>
      </c>
      <c r="D224" s="10">
        <v>3250</v>
      </c>
      <c r="E224" s="10">
        <v>332</v>
      </c>
      <c r="F224" s="10">
        <v>3</v>
      </c>
      <c r="G224" s="10">
        <v>1</v>
      </c>
      <c r="H224" s="10">
        <v>8074</v>
      </c>
      <c r="I224" s="10" t="s">
        <v>17</v>
      </c>
      <c r="J224" s="10">
        <v>26314329</v>
      </c>
      <c r="K224" s="12" t="s">
        <v>608</v>
      </c>
      <c r="L224" s="12" t="s">
        <v>612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1058</v>
      </c>
      <c r="B225" s="11">
        <f t="shared" si="10"/>
        <v>46121</v>
      </c>
      <c r="C225" s="11">
        <f t="shared" si="11"/>
        <v>46127</v>
      </c>
      <c r="D225" s="10">
        <v>3250</v>
      </c>
      <c r="E225" s="10">
        <v>332</v>
      </c>
      <c r="F225" s="10">
        <v>3</v>
      </c>
      <c r="G225" s="10">
        <v>1</v>
      </c>
      <c r="H225" s="10">
        <v>8074</v>
      </c>
      <c r="I225" s="10" t="s">
        <v>17</v>
      </c>
      <c r="J225" s="10">
        <v>26400431</v>
      </c>
      <c r="K225" s="12" t="s">
        <v>613</v>
      </c>
      <c r="L225" s="12" t="s">
        <v>614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1058</v>
      </c>
      <c r="B226" s="11">
        <f t="shared" si="10"/>
        <v>46121</v>
      </c>
      <c r="C226" s="11">
        <f t="shared" si="11"/>
        <v>46127</v>
      </c>
      <c r="D226" s="10">
        <v>3250</v>
      </c>
      <c r="E226" s="10">
        <v>332</v>
      </c>
      <c r="F226" s="10">
        <v>3</v>
      </c>
      <c r="G226" s="10">
        <v>1</v>
      </c>
      <c r="H226" s="10">
        <v>8074</v>
      </c>
      <c r="I226" s="10" t="s">
        <v>17</v>
      </c>
      <c r="J226" s="10">
        <v>26400440</v>
      </c>
      <c r="K226" s="12" t="s">
        <v>613</v>
      </c>
      <c r="L226" s="12" t="s">
        <v>615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1058</v>
      </c>
      <c r="B227" s="11">
        <f t="shared" si="10"/>
        <v>46121</v>
      </c>
      <c r="C227" s="11">
        <f t="shared" si="11"/>
        <v>46127</v>
      </c>
      <c r="D227" s="10">
        <v>3250</v>
      </c>
      <c r="E227" s="10">
        <v>332</v>
      </c>
      <c r="F227" s="10">
        <v>3</v>
      </c>
      <c r="G227" s="10">
        <v>1</v>
      </c>
      <c r="H227" s="10">
        <v>8074</v>
      </c>
      <c r="I227" s="10" t="s">
        <v>17</v>
      </c>
      <c r="J227" s="10">
        <v>26400459</v>
      </c>
      <c r="K227" s="12" t="s">
        <v>613</v>
      </c>
      <c r="L227" s="12" t="s">
        <v>616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1058</v>
      </c>
      <c r="B228" s="11">
        <f t="shared" si="10"/>
        <v>46121</v>
      </c>
      <c r="C228" s="11">
        <f t="shared" si="11"/>
        <v>46127</v>
      </c>
      <c r="D228" s="10">
        <v>3250</v>
      </c>
      <c r="E228" s="10">
        <v>332</v>
      </c>
      <c r="F228" s="10">
        <v>3</v>
      </c>
      <c r="G228" s="10">
        <v>1</v>
      </c>
      <c r="H228" s="10">
        <v>8074</v>
      </c>
      <c r="I228" s="10" t="s">
        <v>17</v>
      </c>
      <c r="J228" s="10">
        <v>26400468</v>
      </c>
      <c r="K228" s="12" t="s">
        <v>613</v>
      </c>
      <c r="L228" s="12" t="s">
        <v>617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</sheetData>
  <autoFilter ref="A1:P228" xr:uid="{00000000-0009-0000-0000-000001000000}"/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tabSelected="1" zoomScale="90" workbookViewId="0">
      <pane ySplit="1" topLeftCell="A367" activePane="bottomLeft" state="frozen"/>
      <selection pane="bottomLeft" activeCell="F379" sqref="F379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86.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1059</v>
      </c>
      <c r="B2" s="11">
        <f>' 2019 ALL D95'!B2</f>
        <v>46121</v>
      </c>
      <c r="C2" s="11">
        <f>' 2019 ALL D95'!C2</f>
        <v>46127</v>
      </c>
      <c r="D2" s="10">
        <v>3250</v>
      </c>
      <c r="E2" s="10">
        <v>332</v>
      </c>
      <c r="F2" s="10">
        <v>3</v>
      </c>
      <c r="G2" s="10">
        <v>6</v>
      </c>
      <c r="H2" s="10">
        <v>81642</v>
      </c>
      <c r="I2" s="10" t="s">
        <v>17</v>
      </c>
      <c r="J2" s="10">
        <v>15317301</v>
      </c>
      <c r="K2" s="12" t="s">
        <v>618</v>
      </c>
      <c r="L2" s="12" t="s">
        <v>619</v>
      </c>
      <c r="M2" s="13">
        <v>249900</v>
      </c>
      <c r="N2" s="14">
        <v>0.95</v>
      </c>
      <c r="O2" s="13">
        <f>M2-(M2*N2)</f>
        <v>12495</v>
      </c>
      <c r="P2" s="10" t="s">
        <v>16</v>
      </c>
    </row>
    <row r="3" spans="1:16" x14ac:dyDescent="0.35">
      <c r="A3" s="10" t="s">
        <v>1059</v>
      </c>
      <c r="B3" s="11">
        <f>B2</f>
        <v>46121</v>
      </c>
      <c r="C3" s="11">
        <f>C2</f>
        <v>46127</v>
      </c>
      <c r="D3" s="10">
        <v>3250</v>
      </c>
      <c r="E3" s="10">
        <v>332</v>
      </c>
      <c r="F3" s="10">
        <v>3</v>
      </c>
      <c r="G3" s="10">
        <v>6</v>
      </c>
      <c r="H3" s="10">
        <v>81642</v>
      </c>
      <c r="I3" s="10" t="s">
        <v>17</v>
      </c>
      <c r="J3" s="10">
        <v>15317310</v>
      </c>
      <c r="K3" s="12" t="s">
        <v>620</v>
      </c>
      <c r="L3" s="12" t="s">
        <v>621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1059</v>
      </c>
      <c r="B4" s="11">
        <f t="shared" ref="B4:B67" si="1">B3</f>
        <v>46121</v>
      </c>
      <c r="C4" s="11">
        <f t="shared" ref="C4:C67" si="2">C3</f>
        <v>46127</v>
      </c>
      <c r="D4" s="10">
        <v>3250</v>
      </c>
      <c r="E4" s="10">
        <v>332</v>
      </c>
      <c r="F4" s="10">
        <v>3</v>
      </c>
      <c r="G4" s="10">
        <v>6</v>
      </c>
      <c r="H4" s="10">
        <v>81642</v>
      </c>
      <c r="I4" s="10" t="s">
        <v>17</v>
      </c>
      <c r="J4" s="10">
        <v>15317329</v>
      </c>
      <c r="K4" s="12" t="s">
        <v>622</v>
      </c>
      <c r="L4" s="12" t="s">
        <v>623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1059</v>
      </c>
      <c r="B5" s="11">
        <f t="shared" si="1"/>
        <v>46121</v>
      </c>
      <c r="C5" s="11">
        <f t="shared" si="2"/>
        <v>46127</v>
      </c>
      <c r="D5" s="10">
        <v>3250</v>
      </c>
      <c r="E5" s="10">
        <v>332</v>
      </c>
      <c r="F5" s="10">
        <v>3</v>
      </c>
      <c r="G5" s="10">
        <v>6</v>
      </c>
      <c r="H5" s="10">
        <v>81642</v>
      </c>
      <c r="I5" s="10" t="s">
        <v>17</v>
      </c>
      <c r="J5" s="10">
        <v>15317338</v>
      </c>
      <c r="K5" s="12" t="s">
        <v>624</v>
      </c>
      <c r="L5" s="12" t="s">
        <v>625</v>
      </c>
      <c r="M5" s="13">
        <v>249900</v>
      </c>
      <c r="N5" s="14">
        <v>0.95</v>
      </c>
      <c r="O5" s="13">
        <f t="shared" si="0"/>
        <v>12495</v>
      </c>
      <c r="P5" s="10" t="s">
        <v>16</v>
      </c>
    </row>
    <row r="6" spans="1:16" x14ac:dyDescent="0.35">
      <c r="A6" s="10" t="s">
        <v>1059</v>
      </c>
      <c r="B6" s="11">
        <f t="shared" si="1"/>
        <v>46121</v>
      </c>
      <c r="C6" s="11">
        <f t="shared" si="2"/>
        <v>46127</v>
      </c>
      <c r="D6" s="10">
        <v>3250</v>
      </c>
      <c r="E6" s="10">
        <v>332</v>
      </c>
      <c r="F6" s="10">
        <v>3</v>
      </c>
      <c r="G6" s="10">
        <v>6</v>
      </c>
      <c r="H6" s="10">
        <v>81642</v>
      </c>
      <c r="I6" s="10" t="s">
        <v>17</v>
      </c>
      <c r="J6" s="10">
        <v>15317347</v>
      </c>
      <c r="K6" s="12" t="s">
        <v>626</v>
      </c>
      <c r="L6" s="12" t="s">
        <v>627</v>
      </c>
      <c r="M6" s="13">
        <v>249900</v>
      </c>
      <c r="N6" s="14">
        <v>0.95</v>
      </c>
      <c r="O6" s="13">
        <f t="shared" si="0"/>
        <v>12495</v>
      </c>
      <c r="P6" s="10" t="s">
        <v>16</v>
      </c>
    </row>
    <row r="7" spans="1:16" x14ac:dyDescent="0.35">
      <c r="A7" s="10" t="s">
        <v>1059</v>
      </c>
      <c r="B7" s="11">
        <f t="shared" si="1"/>
        <v>46121</v>
      </c>
      <c r="C7" s="11">
        <f t="shared" si="2"/>
        <v>46127</v>
      </c>
      <c r="D7" s="10">
        <v>3250</v>
      </c>
      <c r="E7" s="10">
        <v>332</v>
      </c>
      <c r="F7" s="10">
        <v>3</v>
      </c>
      <c r="G7" s="10">
        <v>6</v>
      </c>
      <c r="H7" s="10">
        <v>81642</v>
      </c>
      <c r="I7" s="10" t="s">
        <v>17</v>
      </c>
      <c r="J7" s="10">
        <v>15317356</v>
      </c>
      <c r="K7" s="12" t="s">
        <v>628</v>
      </c>
      <c r="L7" s="12" t="s">
        <v>629</v>
      </c>
      <c r="M7" s="13">
        <v>249900</v>
      </c>
      <c r="N7" s="14">
        <v>0.95</v>
      </c>
      <c r="O7" s="13">
        <f t="shared" si="0"/>
        <v>12495</v>
      </c>
      <c r="P7" s="10" t="s">
        <v>16</v>
      </c>
    </row>
    <row r="8" spans="1:16" x14ac:dyDescent="0.35">
      <c r="A8" s="10" t="s">
        <v>1059</v>
      </c>
      <c r="B8" s="11">
        <f t="shared" si="1"/>
        <v>46121</v>
      </c>
      <c r="C8" s="11">
        <f t="shared" si="2"/>
        <v>46127</v>
      </c>
      <c r="D8" s="10">
        <v>3250</v>
      </c>
      <c r="E8" s="10">
        <v>332</v>
      </c>
      <c r="F8" s="10">
        <v>3</v>
      </c>
      <c r="G8" s="10">
        <v>6</v>
      </c>
      <c r="H8" s="10">
        <v>81642</v>
      </c>
      <c r="I8" s="10" t="s">
        <v>17</v>
      </c>
      <c r="J8" s="10">
        <v>16707290</v>
      </c>
      <c r="K8" s="12" t="s">
        <v>630</v>
      </c>
      <c r="L8" s="12" t="s">
        <v>631</v>
      </c>
      <c r="M8" s="13">
        <v>249900</v>
      </c>
      <c r="N8" s="14">
        <v>0.95</v>
      </c>
      <c r="O8" s="13">
        <f t="shared" si="0"/>
        <v>12495</v>
      </c>
      <c r="P8" s="10" t="s">
        <v>16</v>
      </c>
    </row>
    <row r="9" spans="1:16" x14ac:dyDescent="0.35">
      <c r="A9" s="10" t="s">
        <v>1059</v>
      </c>
      <c r="B9" s="11">
        <f t="shared" si="1"/>
        <v>46121</v>
      </c>
      <c r="C9" s="11">
        <f t="shared" si="2"/>
        <v>46127</v>
      </c>
      <c r="D9" s="10">
        <v>3250</v>
      </c>
      <c r="E9" s="10">
        <v>332</v>
      </c>
      <c r="F9" s="10">
        <v>3</v>
      </c>
      <c r="G9" s="10">
        <v>6</v>
      </c>
      <c r="H9" s="10">
        <v>81642</v>
      </c>
      <c r="I9" s="10" t="s">
        <v>17</v>
      </c>
      <c r="J9" s="10">
        <v>16707307</v>
      </c>
      <c r="K9" s="12" t="s">
        <v>632</v>
      </c>
      <c r="L9" s="12" t="s">
        <v>633</v>
      </c>
      <c r="M9" s="13">
        <v>249900</v>
      </c>
      <c r="N9" s="14">
        <v>0.95</v>
      </c>
      <c r="O9" s="13">
        <f t="shared" si="0"/>
        <v>12495</v>
      </c>
      <c r="P9" s="10" t="s">
        <v>16</v>
      </c>
    </row>
    <row r="10" spans="1:16" x14ac:dyDescent="0.35">
      <c r="A10" s="10" t="s">
        <v>1059</v>
      </c>
      <c r="B10" s="11">
        <f t="shared" si="1"/>
        <v>46121</v>
      </c>
      <c r="C10" s="11">
        <f t="shared" si="2"/>
        <v>46127</v>
      </c>
      <c r="D10" s="10">
        <v>3250</v>
      </c>
      <c r="E10" s="10">
        <v>332</v>
      </c>
      <c r="F10" s="10">
        <v>3</v>
      </c>
      <c r="G10" s="10">
        <v>6</v>
      </c>
      <c r="H10" s="10">
        <v>81642</v>
      </c>
      <c r="I10" s="10" t="s">
        <v>17</v>
      </c>
      <c r="J10" s="10">
        <v>16707316</v>
      </c>
      <c r="K10" s="12" t="s">
        <v>634</v>
      </c>
      <c r="L10" s="12" t="s">
        <v>635</v>
      </c>
      <c r="M10" s="13">
        <v>249900</v>
      </c>
      <c r="N10" s="14">
        <v>0.95</v>
      </c>
      <c r="O10" s="13">
        <f t="shared" si="0"/>
        <v>12495</v>
      </c>
      <c r="P10" s="10" t="s">
        <v>16</v>
      </c>
    </row>
    <row r="11" spans="1:16" x14ac:dyDescent="0.35">
      <c r="A11" s="10" t="s">
        <v>1059</v>
      </c>
      <c r="B11" s="11">
        <f t="shared" si="1"/>
        <v>46121</v>
      </c>
      <c r="C11" s="11">
        <f t="shared" si="2"/>
        <v>46127</v>
      </c>
      <c r="D11" s="10">
        <v>3250</v>
      </c>
      <c r="E11" s="10">
        <v>332</v>
      </c>
      <c r="F11" s="10">
        <v>3</v>
      </c>
      <c r="G11" s="10">
        <v>6</v>
      </c>
      <c r="H11" s="10">
        <v>81642</v>
      </c>
      <c r="I11" s="10" t="s">
        <v>17</v>
      </c>
      <c r="J11" s="10">
        <v>16707325</v>
      </c>
      <c r="K11" s="12" t="s">
        <v>636</v>
      </c>
      <c r="L11" s="12" t="s">
        <v>637</v>
      </c>
      <c r="M11" s="13">
        <v>249900</v>
      </c>
      <c r="N11" s="14">
        <v>0.95</v>
      </c>
      <c r="O11" s="13">
        <f t="shared" si="0"/>
        <v>12495</v>
      </c>
      <c r="P11" s="10" t="s">
        <v>16</v>
      </c>
    </row>
    <row r="12" spans="1:16" x14ac:dyDescent="0.35">
      <c r="A12" s="10" t="s">
        <v>1059</v>
      </c>
      <c r="B12" s="11">
        <f t="shared" si="1"/>
        <v>46121</v>
      </c>
      <c r="C12" s="11">
        <f t="shared" si="2"/>
        <v>46127</v>
      </c>
      <c r="D12" s="10">
        <v>3250</v>
      </c>
      <c r="E12" s="10">
        <v>332</v>
      </c>
      <c r="F12" s="10">
        <v>3</v>
      </c>
      <c r="G12" s="10">
        <v>6</v>
      </c>
      <c r="H12" s="10">
        <v>81642</v>
      </c>
      <c r="I12" s="10" t="s">
        <v>17</v>
      </c>
      <c r="J12" s="10">
        <v>16707334</v>
      </c>
      <c r="K12" s="12" t="s">
        <v>638</v>
      </c>
      <c r="L12" s="12" t="s">
        <v>639</v>
      </c>
      <c r="M12" s="13">
        <v>249900</v>
      </c>
      <c r="N12" s="14">
        <v>0.95</v>
      </c>
      <c r="O12" s="13">
        <f t="shared" si="0"/>
        <v>12495</v>
      </c>
      <c r="P12" s="10" t="s">
        <v>16</v>
      </c>
    </row>
    <row r="13" spans="1:16" x14ac:dyDescent="0.35">
      <c r="A13" s="10" t="s">
        <v>1059</v>
      </c>
      <c r="B13" s="11">
        <f t="shared" si="1"/>
        <v>46121</v>
      </c>
      <c r="C13" s="11">
        <f t="shared" si="2"/>
        <v>46127</v>
      </c>
      <c r="D13" s="10">
        <v>3250</v>
      </c>
      <c r="E13" s="10">
        <v>332</v>
      </c>
      <c r="F13" s="10">
        <v>3</v>
      </c>
      <c r="G13" s="10">
        <v>6</v>
      </c>
      <c r="H13" s="10">
        <v>81642</v>
      </c>
      <c r="I13" s="10" t="s">
        <v>17</v>
      </c>
      <c r="J13" s="10">
        <v>16707352</v>
      </c>
      <c r="K13" s="12" t="s">
        <v>640</v>
      </c>
      <c r="L13" s="12" t="s">
        <v>641</v>
      </c>
      <c r="M13" s="13">
        <v>249900</v>
      </c>
      <c r="N13" s="14">
        <v>0.95</v>
      </c>
      <c r="O13" s="13">
        <f t="shared" si="0"/>
        <v>12495</v>
      </c>
      <c r="P13" s="10" t="s">
        <v>16</v>
      </c>
    </row>
    <row r="14" spans="1:16" x14ac:dyDescent="0.35">
      <c r="A14" s="10" t="s">
        <v>1059</v>
      </c>
      <c r="B14" s="11">
        <f t="shared" si="1"/>
        <v>46121</v>
      </c>
      <c r="C14" s="11">
        <f t="shared" si="2"/>
        <v>46127</v>
      </c>
      <c r="D14" s="10">
        <v>3250</v>
      </c>
      <c r="E14" s="10">
        <v>332</v>
      </c>
      <c r="F14" s="10">
        <v>3</v>
      </c>
      <c r="G14" s="10">
        <v>6</v>
      </c>
      <c r="H14" s="10">
        <v>81642</v>
      </c>
      <c r="I14" s="10" t="s">
        <v>17</v>
      </c>
      <c r="J14" s="10">
        <v>21055887</v>
      </c>
      <c r="K14" s="12" t="s">
        <v>642</v>
      </c>
      <c r="L14" s="12" t="s">
        <v>643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1059</v>
      </c>
      <c r="B15" s="11">
        <f t="shared" si="1"/>
        <v>46121</v>
      </c>
      <c r="C15" s="11">
        <f t="shared" si="2"/>
        <v>46127</v>
      </c>
      <c r="D15" s="10">
        <v>3250</v>
      </c>
      <c r="E15" s="10">
        <v>332</v>
      </c>
      <c r="F15" s="10">
        <v>3</v>
      </c>
      <c r="G15" s="10">
        <v>6</v>
      </c>
      <c r="H15" s="10">
        <v>81642</v>
      </c>
      <c r="I15" s="10" t="s">
        <v>17</v>
      </c>
      <c r="J15" s="10">
        <v>21055896</v>
      </c>
      <c r="K15" s="12" t="s">
        <v>642</v>
      </c>
      <c r="L15" s="12" t="s">
        <v>644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1059</v>
      </c>
      <c r="B16" s="11">
        <f t="shared" si="1"/>
        <v>46121</v>
      </c>
      <c r="C16" s="11">
        <f t="shared" si="2"/>
        <v>46127</v>
      </c>
      <c r="D16" s="10">
        <v>3250</v>
      </c>
      <c r="E16" s="10">
        <v>332</v>
      </c>
      <c r="F16" s="10">
        <v>3</v>
      </c>
      <c r="G16" s="10">
        <v>6</v>
      </c>
      <c r="H16" s="10">
        <v>81642</v>
      </c>
      <c r="I16" s="10" t="s">
        <v>17</v>
      </c>
      <c r="J16" s="10">
        <v>21055903</v>
      </c>
      <c r="K16" s="12" t="s">
        <v>642</v>
      </c>
      <c r="L16" s="12" t="s">
        <v>645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1059</v>
      </c>
      <c r="B17" s="11">
        <f t="shared" si="1"/>
        <v>46121</v>
      </c>
      <c r="C17" s="11">
        <f t="shared" si="2"/>
        <v>46127</v>
      </c>
      <c r="D17" s="10">
        <v>3250</v>
      </c>
      <c r="E17" s="10">
        <v>332</v>
      </c>
      <c r="F17" s="10">
        <v>3</v>
      </c>
      <c r="G17" s="10">
        <v>6</v>
      </c>
      <c r="H17" s="10">
        <v>81642</v>
      </c>
      <c r="I17" s="10" t="s">
        <v>17</v>
      </c>
      <c r="J17" s="10">
        <v>21055912</v>
      </c>
      <c r="K17" s="12" t="s">
        <v>642</v>
      </c>
      <c r="L17" s="12" t="s">
        <v>646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1059</v>
      </c>
      <c r="B18" s="11">
        <f t="shared" si="1"/>
        <v>46121</v>
      </c>
      <c r="C18" s="11">
        <f t="shared" si="2"/>
        <v>46127</v>
      </c>
      <c r="D18" s="10">
        <v>3250</v>
      </c>
      <c r="E18" s="10">
        <v>332</v>
      </c>
      <c r="F18" s="10">
        <v>3</v>
      </c>
      <c r="G18" s="10">
        <v>6</v>
      </c>
      <c r="H18" s="10">
        <v>81642</v>
      </c>
      <c r="I18" s="10" t="s">
        <v>17</v>
      </c>
      <c r="J18" s="10">
        <v>21055921</v>
      </c>
      <c r="K18" s="12" t="s">
        <v>642</v>
      </c>
      <c r="L18" s="12" t="s">
        <v>647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1059</v>
      </c>
      <c r="B19" s="11">
        <f t="shared" si="1"/>
        <v>46121</v>
      </c>
      <c r="C19" s="11">
        <f t="shared" si="2"/>
        <v>46127</v>
      </c>
      <c r="D19" s="10">
        <v>3250</v>
      </c>
      <c r="E19" s="10">
        <v>332</v>
      </c>
      <c r="F19" s="10">
        <v>3</v>
      </c>
      <c r="G19" s="10">
        <v>6</v>
      </c>
      <c r="H19" s="10">
        <v>81642</v>
      </c>
      <c r="I19" s="10" t="s">
        <v>17</v>
      </c>
      <c r="J19" s="10">
        <v>21055930</v>
      </c>
      <c r="K19" s="12" t="s">
        <v>642</v>
      </c>
      <c r="L19" s="12" t="s">
        <v>648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1059</v>
      </c>
      <c r="B20" s="11">
        <f t="shared" si="1"/>
        <v>46121</v>
      </c>
      <c r="C20" s="11">
        <f t="shared" si="2"/>
        <v>46127</v>
      </c>
      <c r="D20" s="10">
        <v>3250</v>
      </c>
      <c r="E20" s="10">
        <v>332</v>
      </c>
      <c r="F20" s="10">
        <v>3</v>
      </c>
      <c r="G20" s="10">
        <v>6</v>
      </c>
      <c r="H20" s="10">
        <v>81642</v>
      </c>
      <c r="I20" s="10" t="s">
        <v>17</v>
      </c>
      <c r="J20" s="10">
        <v>21118130</v>
      </c>
      <c r="K20" s="12" t="s">
        <v>642</v>
      </c>
      <c r="L20" s="12" t="s">
        <v>649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1059</v>
      </c>
      <c r="B21" s="11">
        <f t="shared" si="1"/>
        <v>46121</v>
      </c>
      <c r="C21" s="11">
        <f t="shared" si="2"/>
        <v>46127</v>
      </c>
      <c r="D21" s="10">
        <v>3250</v>
      </c>
      <c r="E21" s="10">
        <v>332</v>
      </c>
      <c r="F21" s="10">
        <v>3</v>
      </c>
      <c r="G21" s="10">
        <v>6</v>
      </c>
      <c r="H21" s="10">
        <v>81642</v>
      </c>
      <c r="I21" s="10" t="s">
        <v>17</v>
      </c>
      <c r="J21" s="10">
        <v>21118149</v>
      </c>
      <c r="K21" s="12" t="s">
        <v>642</v>
      </c>
      <c r="L21" s="12" t="s">
        <v>650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1059</v>
      </c>
      <c r="B22" s="11">
        <f t="shared" si="1"/>
        <v>46121</v>
      </c>
      <c r="C22" s="11">
        <f t="shared" si="2"/>
        <v>46127</v>
      </c>
      <c r="D22" s="10">
        <v>3250</v>
      </c>
      <c r="E22" s="10">
        <v>332</v>
      </c>
      <c r="F22" s="10">
        <v>3</v>
      </c>
      <c r="G22" s="10">
        <v>6</v>
      </c>
      <c r="H22" s="10">
        <v>81642</v>
      </c>
      <c r="I22" s="10" t="s">
        <v>17</v>
      </c>
      <c r="J22" s="10">
        <v>21118158</v>
      </c>
      <c r="K22" s="12" t="s">
        <v>642</v>
      </c>
      <c r="L22" s="12" t="s">
        <v>651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1059</v>
      </c>
      <c r="B23" s="11">
        <f t="shared" si="1"/>
        <v>46121</v>
      </c>
      <c r="C23" s="11">
        <f t="shared" si="2"/>
        <v>46127</v>
      </c>
      <c r="D23" s="10">
        <v>3250</v>
      </c>
      <c r="E23" s="10">
        <v>332</v>
      </c>
      <c r="F23" s="10">
        <v>3</v>
      </c>
      <c r="G23" s="10">
        <v>6</v>
      </c>
      <c r="H23" s="10">
        <v>81642</v>
      </c>
      <c r="I23" s="10" t="s">
        <v>17</v>
      </c>
      <c r="J23" s="10">
        <v>21118167</v>
      </c>
      <c r="K23" s="12" t="s">
        <v>642</v>
      </c>
      <c r="L23" s="12" t="s">
        <v>652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1059</v>
      </c>
      <c r="B24" s="11">
        <f t="shared" si="1"/>
        <v>46121</v>
      </c>
      <c r="C24" s="11">
        <f t="shared" si="2"/>
        <v>46127</v>
      </c>
      <c r="D24" s="10">
        <v>3250</v>
      </c>
      <c r="E24" s="10">
        <v>332</v>
      </c>
      <c r="F24" s="10">
        <v>3</v>
      </c>
      <c r="G24" s="10">
        <v>6</v>
      </c>
      <c r="H24" s="10">
        <v>81642</v>
      </c>
      <c r="I24" s="10" t="s">
        <v>17</v>
      </c>
      <c r="J24" s="10">
        <v>21118176</v>
      </c>
      <c r="K24" s="12" t="s">
        <v>642</v>
      </c>
      <c r="L24" s="12" t="s">
        <v>653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1059</v>
      </c>
      <c r="B25" s="11">
        <f t="shared" si="1"/>
        <v>46121</v>
      </c>
      <c r="C25" s="11">
        <f t="shared" si="2"/>
        <v>46127</v>
      </c>
      <c r="D25" s="10">
        <v>3250</v>
      </c>
      <c r="E25" s="10">
        <v>332</v>
      </c>
      <c r="F25" s="10">
        <v>3</v>
      </c>
      <c r="G25" s="10">
        <v>6</v>
      </c>
      <c r="H25" s="10">
        <v>81642</v>
      </c>
      <c r="I25" s="10" t="s">
        <v>17</v>
      </c>
      <c r="J25" s="10">
        <v>21118185</v>
      </c>
      <c r="K25" s="12" t="s">
        <v>642</v>
      </c>
      <c r="L25" s="12" t="s">
        <v>654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1059</v>
      </c>
      <c r="B26" s="11">
        <f t="shared" si="1"/>
        <v>46121</v>
      </c>
      <c r="C26" s="11">
        <f t="shared" si="2"/>
        <v>46127</v>
      </c>
      <c r="D26" s="10">
        <v>3250</v>
      </c>
      <c r="E26" s="10">
        <v>332</v>
      </c>
      <c r="F26" s="10">
        <v>3</v>
      </c>
      <c r="G26" s="10">
        <v>6</v>
      </c>
      <c r="H26" s="10">
        <v>81642</v>
      </c>
      <c r="I26" s="10" t="s">
        <v>17</v>
      </c>
      <c r="J26" s="10">
        <v>21375282</v>
      </c>
      <c r="K26" s="12" t="s">
        <v>642</v>
      </c>
      <c r="L26" s="12" t="s">
        <v>655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1059</v>
      </c>
      <c r="B27" s="11">
        <f t="shared" si="1"/>
        <v>46121</v>
      </c>
      <c r="C27" s="11">
        <f t="shared" si="2"/>
        <v>46127</v>
      </c>
      <c r="D27" s="10">
        <v>3250</v>
      </c>
      <c r="E27" s="10">
        <v>332</v>
      </c>
      <c r="F27" s="10">
        <v>3</v>
      </c>
      <c r="G27" s="10">
        <v>6</v>
      </c>
      <c r="H27" s="10">
        <v>81642</v>
      </c>
      <c r="I27" s="10" t="s">
        <v>17</v>
      </c>
      <c r="J27" s="10">
        <v>21375291</v>
      </c>
      <c r="K27" s="12" t="s">
        <v>642</v>
      </c>
      <c r="L27" s="12" t="s">
        <v>656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1059</v>
      </c>
      <c r="B28" s="11">
        <f t="shared" si="1"/>
        <v>46121</v>
      </c>
      <c r="C28" s="11">
        <f t="shared" si="2"/>
        <v>46127</v>
      </c>
      <c r="D28" s="10">
        <v>3250</v>
      </c>
      <c r="E28" s="10">
        <v>332</v>
      </c>
      <c r="F28" s="10">
        <v>3</v>
      </c>
      <c r="G28" s="10">
        <v>6</v>
      </c>
      <c r="H28" s="10">
        <v>81642</v>
      </c>
      <c r="I28" s="10" t="s">
        <v>17</v>
      </c>
      <c r="J28" s="10">
        <v>21375308</v>
      </c>
      <c r="K28" s="12" t="s">
        <v>642</v>
      </c>
      <c r="L28" s="12" t="s">
        <v>657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1059</v>
      </c>
      <c r="B29" s="11">
        <f t="shared" si="1"/>
        <v>46121</v>
      </c>
      <c r="C29" s="11">
        <f t="shared" si="2"/>
        <v>46127</v>
      </c>
      <c r="D29" s="10">
        <v>3250</v>
      </c>
      <c r="E29" s="10">
        <v>332</v>
      </c>
      <c r="F29" s="10">
        <v>3</v>
      </c>
      <c r="G29" s="10">
        <v>6</v>
      </c>
      <c r="H29" s="10">
        <v>81642</v>
      </c>
      <c r="I29" s="10" t="s">
        <v>17</v>
      </c>
      <c r="J29" s="10">
        <v>21375317</v>
      </c>
      <c r="K29" s="12" t="s">
        <v>642</v>
      </c>
      <c r="L29" s="12" t="s">
        <v>658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1059</v>
      </c>
      <c r="B30" s="11">
        <f t="shared" si="1"/>
        <v>46121</v>
      </c>
      <c r="C30" s="11">
        <f t="shared" si="2"/>
        <v>46127</v>
      </c>
      <c r="D30" s="10">
        <v>3250</v>
      </c>
      <c r="E30" s="10">
        <v>332</v>
      </c>
      <c r="F30" s="10">
        <v>3</v>
      </c>
      <c r="G30" s="10">
        <v>6</v>
      </c>
      <c r="H30" s="10">
        <v>81642</v>
      </c>
      <c r="I30" s="10" t="s">
        <v>17</v>
      </c>
      <c r="J30" s="10">
        <v>21375326</v>
      </c>
      <c r="K30" s="12" t="s">
        <v>642</v>
      </c>
      <c r="L30" s="12" t="s">
        <v>659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1059</v>
      </c>
      <c r="B31" s="11">
        <f t="shared" si="1"/>
        <v>46121</v>
      </c>
      <c r="C31" s="11">
        <f t="shared" si="2"/>
        <v>46127</v>
      </c>
      <c r="D31" s="10">
        <v>3250</v>
      </c>
      <c r="E31" s="10">
        <v>332</v>
      </c>
      <c r="F31" s="10">
        <v>3</v>
      </c>
      <c r="G31" s="10">
        <v>6</v>
      </c>
      <c r="H31" s="10">
        <v>81642</v>
      </c>
      <c r="I31" s="10" t="s">
        <v>17</v>
      </c>
      <c r="J31" s="10">
        <v>21375335</v>
      </c>
      <c r="K31" s="12" t="s">
        <v>642</v>
      </c>
      <c r="L31" s="12" t="s">
        <v>660</v>
      </c>
      <c r="M31" s="13">
        <v>269900</v>
      </c>
      <c r="N31" s="14">
        <v>0.95</v>
      </c>
      <c r="O31" s="13">
        <f t="shared" si="0"/>
        <v>13495</v>
      </c>
      <c r="P31" s="10" t="s">
        <v>16</v>
      </c>
    </row>
    <row r="32" spans="1:16" x14ac:dyDescent="0.35">
      <c r="A32" s="10" t="s">
        <v>1059</v>
      </c>
      <c r="B32" s="11">
        <f t="shared" si="1"/>
        <v>46121</v>
      </c>
      <c r="C32" s="11">
        <f t="shared" si="2"/>
        <v>46127</v>
      </c>
      <c r="D32" s="10">
        <v>3250</v>
      </c>
      <c r="E32" s="10">
        <v>332</v>
      </c>
      <c r="F32" s="10">
        <v>3</v>
      </c>
      <c r="G32" s="10">
        <v>6</v>
      </c>
      <c r="H32" s="10">
        <v>81642</v>
      </c>
      <c r="I32" s="10" t="s">
        <v>17</v>
      </c>
      <c r="J32" s="10">
        <v>21966670</v>
      </c>
      <c r="K32" s="12" t="s">
        <v>642</v>
      </c>
      <c r="L32" s="12" t="s">
        <v>661</v>
      </c>
      <c r="M32" s="13">
        <v>269900</v>
      </c>
      <c r="N32" s="14">
        <v>0.95</v>
      </c>
      <c r="O32" s="13">
        <f t="shared" si="0"/>
        <v>13495</v>
      </c>
      <c r="P32" s="10" t="s">
        <v>16</v>
      </c>
    </row>
    <row r="33" spans="1:16" x14ac:dyDescent="0.35">
      <c r="A33" s="10" t="s">
        <v>1059</v>
      </c>
      <c r="B33" s="11">
        <f t="shared" si="1"/>
        <v>46121</v>
      </c>
      <c r="C33" s="11">
        <f t="shared" si="2"/>
        <v>46127</v>
      </c>
      <c r="D33" s="10">
        <v>3250</v>
      </c>
      <c r="E33" s="10">
        <v>332</v>
      </c>
      <c r="F33" s="10">
        <v>3</v>
      </c>
      <c r="G33" s="10">
        <v>6</v>
      </c>
      <c r="H33" s="10">
        <v>81642</v>
      </c>
      <c r="I33" s="10" t="s">
        <v>17</v>
      </c>
      <c r="J33" s="10">
        <v>21966689</v>
      </c>
      <c r="K33" s="12" t="s">
        <v>642</v>
      </c>
      <c r="L33" s="12" t="s">
        <v>662</v>
      </c>
      <c r="M33" s="13">
        <v>269900</v>
      </c>
      <c r="N33" s="14">
        <v>0.95</v>
      </c>
      <c r="O33" s="13">
        <f t="shared" si="0"/>
        <v>13495</v>
      </c>
      <c r="P33" s="10" t="s">
        <v>16</v>
      </c>
    </row>
    <row r="34" spans="1:16" x14ac:dyDescent="0.35">
      <c r="A34" s="10" t="s">
        <v>1059</v>
      </c>
      <c r="B34" s="11">
        <f t="shared" si="1"/>
        <v>46121</v>
      </c>
      <c r="C34" s="11">
        <f t="shared" si="2"/>
        <v>46127</v>
      </c>
      <c r="D34" s="10">
        <v>3250</v>
      </c>
      <c r="E34" s="10">
        <v>332</v>
      </c>
      <c r="F34" s="10">
        <v>3</v>
      </c>
      <c r="G34" s="10">
        <v>6</v>
      </c>
      <c r="H34" s="10">
        <v>81642</v>
      </c>
      <c r="I34" s="10" t="s">
        <v>17</v>
      </c>
      <c r="J34" s="10">
        <v>21966698</v>
      </c>
      <c r="K34" s="12" t="s">
        <v>642</v>
      </c>
      <c r="L34" s="12" t="s">
        <v>663</v>
      </c>
      <c r="M34" s="13">
        <v>269900</v>
      </c>
      <c r="N34" s="14">
        <v>0.95</v>
      </c>
      <c r="O34" s="13">
        <f t="shared" si="0"/>
        <v>13495</v>
      </c>
      <c r="P34" s="10" t="s">
        <v>16</v>
      </c>
    </row>
    <row r="35" spans="1:16" x14ac:dyDescent="0.35">
      <c r="A35" s="10" t="s">
        <v>1059</v>
      </c>
      <c r="B35" s="11">
        <f t="shared" si="1"/>
        <v>46121</v>
      </c>
      <c r="C35" s="11">
        <f t="shared" si="2"/>
        <v>46127</v>
      </c>
      <c r="D35" s="10">
        <v>3250</v>
      </c>
      <c r="E35" s="10">
        <v>332</v>
      </c>
      <c r="F35" s="10">
        <v>3</v>
      </c>
      <c r="G35" s="10">
        <v>6</v>
      </c>
      <c r="H35" s="10">
        <v>81642</v>
      </c>
      <c r="I35" s="10" t="s">
        <v>17</v>
      </c>
      <c r="J35" s="10">
        <v>21966705</v>
      </c>
      <c r="K35" s="12" t="s">
        <v>642</v>
      </c>
      <c r="L35" s="12" t="s">
        <v>664</v>
      </c>
      <c r="M35" s="13">
        <v>269900</v>
      </c>
      <c r="N35" s="14">
        <v>0.95</v>
      </c>
      <c r="O35" s="13">
        <f t="shared" si="0"/>
        <v>13495</v>
      </c>
      <c r="P35" s="10" t="s">
        <v>16</v>
      </c>
    </row>
    <row r="36" spans="1:16" x14ac:dyDescent="0.35">
      <c r="A36" s="10" t="s">
        <v>1059</v>
      </c>
      <c r="B36" s="11">
        <f t="shared" si="1"/>
        <v>46121</v>
      </c>
      <c r="C36" s="11">
        <f t="shared" si="2"/>
        <v>46127</v>
      </c>
      <c r="D36" s="10">
        <v>3250</v>
      </c>
      <c r="E36" s="10">
        <v>332</v>
      </c>
      <c r="F36" s="10">
        <v>3</v>
      </c>
      <c r="G36" s="10">
        <v>6</v>
      </c>
      <c r="H36" s="10">
        <v>81642</v>
      </c>
      <c r="I36" s="10" t="s">
        <v>17</v>
      </c>
      <c r="J36" s="10">
        <v>21966714</v>
      </c>
      <c r="K36" s="12" t="s">
        <v>642</v>
      </c>
      <c r="L36" s="12" t="s">
        <v>665</v>
      </c>
      <c r="M36" s="13">
        <v>269900</v>
      </c>
      <c r="N36" s="14">
        <v>0.95</v>
      </c>
      <c r="O36" s="13">
        <f t="shared" si="0"/>
        <v>13495</v>
      </c>
      <c r="P36" s="10" t="s">
        <v>16</v>
      </c>
    </row>
    <row r="37" spans="1:16" x14ac:dyDescent="0.35">
      <c r="A37" s="10" t="s">
        <v>1059</v>
      </c>
      <c r="B37" s="11">
        <f t="shared" si="1"/>
        <v>46121</v>
      </c>
      <c r="C37" s="11">
        <f t="shared" si="2"/>
        <v>46127</v>
      </c>
      <c r="D37" s="10">
        <v>3250</v>
      </c>
      <c r="E37" s="10">
        <v>332</v>
      </c>
      <c r="F37" s="10">
        <v>3</v>
      </c>
      <c r="G37" s="10">
        <v>6</v>
      </c>
      <c r="H37" s="10">
        <v>81642</v>
      </c>
      <c r="I37" s="10" t="s">
        <v>17</v>
      </c>
      <c r="J37" s="10">
        <v>21966723</v>
      </c>
      <c r="K37" s="12" t="s">
        <v>642</v>
      </c>
      <c r="L37" s="12" t="s">
        <v>666</v>
      </c>
      <c r="M37" s="13">
        <v>269900</v>
      </c>
      <c r="N37" s="14">
        <v>0.95</v>
      </c>
      <c r="O37" s="13">
        <f t="shared" si="0"/>
        <v>13495</v>
      </c>
      <c r="P37" s="10" t="s">
        <v>16</v>
      </c>
    </row>
    <row r="38" spans="1:16" x14ac:dyDescent="0.35">
      <c r="A38" s="10" t="s">
        <v>1059</v>
      </c>
      <c r="B38" s="11">
        <f t="shared" si="1"/>
        <v>46121</v>
      </c>
      <c r="C38" s="11">
        <f t="shared" si="2"/>
        <v>46127</v>
      </c>
      <c r="D38" s="10">
        <v>3250</v>
      </c>
      <c r="E38" s="10">
        <v>332</v>
      </c>
      <c r="F38" s="10">
        <v>3</v>
      </c>
      <c r="G38" s="10">
        <v>6</v>
      </c>
      <c r="H38" s="10">
        <v>81642</v>
      </c>
      <c r="I38" s="10" t="s">
        <v>17</v>
      </c>
      <c r="J38" s="10">
        <v>21966885</v>
      </c>
      <c r="K38" s="12" t="s">
        <v>642</v>
      </c>
      <c r="L38" s="12" t="s">
        <v>667</v>
      </c>
      <c r="M38" s="13">
        <v>269900</v>
      </c>
      <c r="N38" s="14">
        <v>0.95</v>
      </c>
      <c r="O38" s="13">
        <f t="shared" si="0"/>
        <v>13495</v>
      </c>
      <c r="P38" s="10" t="s">
        <v>16</v>
      </c>
    </row>
    <row r="39" spans="1:16" x14ac:dyDescent="0.35">
      <c r="A39" s="10" t="s">
        <v>1059</v>
      </c>
      <c r="B39" s="11">
        <f t="shared" si="1"/>
        <v>46121</v>
      </c>
      <c r="C39" s="11">
        <f t="shared" si="2"/>
        <v>46127</v>
      </c>
      <c r="D39" s="10">
        <v>3250</v>
      </c>
      <c r="E39" s="10">
        <v>332</v>
      </c>
      <c r="F39" s="10">
        <v>3</v>
      </c>
      <c r="G39" s="10">
        <v>6</v>
      </c>
      <c r="H39" s="10">
        <v>81642</v>
      </c>
      <c r="I39" s="10" t="s">
        <v>17</v>
      </c>
      <c r="J39" s="10">
        <v>21966901</v>
      </c>
      <c r="K39" s="12" t="s">
        <v>642</v>
      </c>
      <c r="L39" s="12" t="s">
        <v>668</v>
      </c>
      <c r="M39" s="13">
        <v>269900</v>
      </c>
      <c r="N39" s="14">
        <v>0.95</v>
      </c>
      <c r="O39" s="13">
        <f t="shared" si="0"/>
        <v>13495</v>
      </c>
      <c r="P39" s="10" t="s">
        <v>16</v>
      </c>
    </row>
    <row r="40" spans="1:16" x14ac:dyDescent="0.35">
      <c r="A40" s="10" t="s">
        <v>1059</v>
      </c>
      <c r="B40" s="11">
        <f t="shared" si="1"/>
        <v>46121</v>
      </c>
      <c r="C40" s="11">
        <f t="shared" si="2"/>
        <v>46127</v>
      </c>
      <c r="D40" s="10">
        <v>3250</v>
      </c>
      <c r="E40" s="10">
        <v>332</v>
      </c>
      <c r="F40" s="10">
        <v>3</v>
      </c>
      <c r="G40" s="10">
        <v>6</v>
      </c>
      <c r="H40" s="10">
        <v>81642</v>
      </c>
      <c r="I40" s="10" t="s">
        <v>17</v>
      </c>
      <c r="J40" s="10">
        <v>21966910</v>
      </c>
      <c r="K40" s="12" t="s">
        <v>642</v>
      </c>
      <c r="L40" s="12" t="s">
        <v>669</v>
      </c>
      <c r="M40" s="13">
        <v>269900</v>
      </c>
      <c r="N40" s="14">
        <v>0.95</v>
      </c>
      <c r="O40" s="13">
        <f t="shared" si="0"/>
        <v>13495</v>
      </c>
      <c r="P40" s="10" t="s">
        <v>16</v>
      </c>
    </row>
    <row r="41" spans="1:16" x14ac:dyDescent="0.35">
      <c r="A41" s="10" t="s">
        <v>1059</v>
      </c>
      <c r="B41" s="11">
        <f t="shared" si="1"/>
        <v>46121</v>
      </c>
      <c r="C41" s="11">
        <f t="shared" si="2"/>
        <v>46127</v>
      </c>
      <c r="D41" s="10">
        <v>3250</v>
      </c>
      <c r="E41" s="10">
        <v>332</v>
      </c>
      <c r="F41" s="10">
        <v>3</v>
      </c>
      <c r="G41" s="10">
        <v>6</v>
      </c>
      <c r="H41" s="10">
        <v>81642</v>
      </c>
      <c r="I41" s="10" t="s">
        <v>17</v>
      </c>
      <c r="J41" s="10">
        <v>21966938</v>
      </c>
      <c r="K41" s="12" t="s">
        <v>642</v>
      </c>
      <c r="L41" s="12" t="s">
        <v>670</v>
      </c>
      <c r="M41" s="13">
        <v>269900</v>
      </c>
      <c r="N41" s="14">
        <v>0.95</v>
      </c>
      <c r="O41" s="13">
        <f t="shared" si="0"/>
        <v>13495</v>
      </c>
      <c r="P41" s="10" t="s">
        <v>16</v>
      </c>
    </row>
    <row r="42" spans="1:16" x14ac:dyDescent="0.35">
      <c r="A42" s="10" t="s">
        <v>1059</v>
      </c>
      <c r="B42" s="11">
        <f t="shared" si="1"/>
        <v>46121</v>
      </c>
      <c r="C42" s="11">
        <f t="shared" si="2"/>
        <v>46127</v>
      </c>
      <c r="D42" s="10">
        <v>3250</v>
      </c>
      <c r="E42" s="10">
        <v>332</v>
      </c>
      <c r="F42" s="10">
        <v>3</v>
      </c>
      <c r="G42" s="10">
        <v>6</v>
      </c>
      <c r="H42" s="10">
        <v>81642</v>
      </c>
      <c r="I42" s="10" t="s">
        <v>17</v>
      </c>
      <c r="J42" s="10">
        <v>21970969</v>
      </c>
      <c r="K42" s="12" t="s">
        <v>671</v>
      </c>
      <c r="L42" s="12" t="s">
        <v>672</v>
      </c>
      <c r="M42" s="13">
        <v>269900</v>
      </c>
      <c r="N42" s="14">
        <v>0.95</v>
      </c>
      <c r="O42" s="13">
        <f t="shared" si="0"/>
        <v>13495</v>
      </c>
      <c r="P42" s="10" t="s">
        <v>16</v>
      </c>
    </row>
    <row r="43" spans="1:16" x14ac:dyDescent="0.35">
      <c r="A43" s="10" t="s">
        <v>1059</v>
      </c>
      <c r="B43" s="11">
        <f t="shared" si="1"/>
        <v>46121</v>
      </c>
      <c r="C43" s="11">
        <f t="shared" si="2"/>
        <v>46127</v>
      </c>
      <c r="D43" s="10">
        <v>3250</v>
      </c>
      <c r="E43" s="10">
        <v>332</v>
      </c>
      <c r="F43" s="10">
        <v>3</v>
      </c>
      <c r="G43" s="10">
        <v>6</v>
      </c>
      <c r="H43" s="10">
        <v>81642</v>
      </c>
      <c r="I43" s="10" t="s">
        <v>17</v>
      </c>
      <c r="J43" s="10">
        <v>21970996</v>
      </c>
      <c r="K43" s="12" t="s">
        <v>671</v>
      </c>
      <c r="L43" s="12" t="s">
        <v>673</v>
      </c>
      <c r="M43" s="13">
        <v>269900</v>
      </c>
      <c r="N43" s="14">
        <v>0.95</v>
      </c>
      <c r="O43" s="13">
        <f t="shared" si="0"/>
        <v>13495</v>
      </c>
      <c r="P43" s="10" t="s">
        <v>16</v>
      </c>
    </row>
    <row r="44" spans="1:16" x14ac:dyDescent="0.35">
      <c r="A44" s="10" t="s">
        <v>1059</v>
      </c>
      <c r="B44" s="11">
        <f t="shared" si="1"/>
        <v>46121</v>
      </c>
      <c r="C44" s="11">
        <f t="shared" si="2"/>
        <v>46127</v>
      </c>
      <c r="D44" s="10">
        <v>3250</v>
      </c>
      <c r="E44" s="10">
        <v>332</v>
      </c>
      <c r="F44" s="10">
        <v>3</v>
      </c>
      <c r="G44" s="10">
        <v>6</v>
      </c>
      <c r="H44" s="10">
        <v>81642</v>
      </c>
      <c r="I44" s="10" t="s">
        <v>17</v>
      </c>
      <c r="J44" s="10">
        <v>23918852</v>
      </c>
      <c r="K44" s="12" t="s">
        <v>674</v>
      </c>
      <c r="L44" s="12" t="s">
        <v>675</v>
      </c>
      <c r="M44" s="13">
        <v>269900</v>
      </c>
      <c r="N44" s="14">
        <v>0.95</v>
      </c>
      <c r="O44" s="13">
        <f t="shared" si="0"/>
        <v>13495</v>
      </c>
      <c r="P44" s="10" t="s">
        <v>16</v>
      </c>
    </row>
    <row r="45" spans="1:16" x14ac:dyDescent="0.35">
      <c r="A45" s="10" t="s">
        <v>1059</v>
      </c>
      <c r="B45" s="11">
        <f t="shared" si="1"/>
        <v>46121</v>
      </c>
      <c r="C45" s="11">
        <f t="shared" si="2"/>
        <v>46127</v>
      </c>
      <c r="D45" s="10">
        <v>3250</v>
      </c>
      <c r="E45" s="10">
        <v>332</v>
      </c>
      <c r="F45" s="10">
        <v>3</v>
      </c>
      <c r="G45" s="10">
        <v>6</v>
      </c>
      <c r="H45" s="10">
        <v>81642</v>
      </c>
      <c r="I45" s="10" t="s">
        <v>17</v>
      </c>
      <c r="J45" s="10">
        <v>23918861</v>
      </c>
      <c r="K45" s="12" t="s">
        <v>674</v>
      </c>
      <c r="L45" s="12" t="s">
        <v>676</v>
      </c>
      <c r="M45" s="13">
        <v>269900</v>
      </c>
      <c r="N45" s="14">
        <v>0.95</v>
      </c>
      <c r="O45" s="13">
        <f t="shared" si="0"/>
        <v>13495</v>
      </c>
      <c r="P45" s="10" t="s">
        <v>16</v>
      </c>
    </row>
    <row r="46" spans="1:16" x14ac:dyDescent="0.35">
      <c r="A46" s="10" t="s">
        <v>1059</v>
      </c>
      <c r="B46" s="11">
        <f t="shared" si="1"/>
        <v>46121</v>
      </c>
      <c r="C46" s="11">
        <f t="shared" si="2"/>
        <v>46127</v>
      </c>
      <c r="D46" s="10">
        <v>3250</v>
      </c>
      <c r="E46" s="10">
        <v>332</v>
      </c>
      <c r="F46" s="10">
        <v>3</v>
      </c>
      <c r="G46" s="10">
        <v>6</v>
      </c>
      <c r="H46" s="10">
        <v>81642</v>
      </c>
      <c r="I46" s="10" t="s">
        <v>17</v>
      </c>
      <c r="J46" s="10">
        <v>23918870</v>
      </c>
      <c r="K46" s="12" t="s">
        <v>674</v>
      </c>
      <c r="L46" s="12" t="s">
        <v>677</v>
      </c>
      <c r="M46" s="13">
        <v>269900</v>
      </c>
      <c r="N46" s="14">
        <v>0.95</v>
      </c>
      <c r="O46" s="13">
        <f t="shared" si="0"/>
        <v>13495</v>
      </c>
      <c r="P46" s="10" t="s">
        <v>16</v>
      </c>
    </row>
    <row r="47" spans="1:16" x14ac:dyDescent="0.35">
      <c r="A47" s="10" t="s">
        <v>1059</v>
      </c>
      <c r="B47" s="11">
        <f t="shared" si="1"/>
        <v>46121</v>
      </c>
      <c r="C47" s="11">
        <f t="shared" si="2"/>
        <v>46127</v>
      </c>
      <c r="D47" s="10">
        <v>3250</v>
      </c>
      <c r="E47" s="10">
        <v>332</v>
      </c>
      <c r="F47" s="10">
        <v>3</v>
      </c>
      <c r="G47" s="10">
        <v>6</v>
      </c>
      <c r="H47" s="10">
        <v>81642</v>
      </c>
      <c r="I47" s="10" t="s">
        <v>17</v>
      </c>
      <c r="J47" s="10">
        <v>23918889</v>
      </c>
      <c r="K47" s="12" t="s">
        <v>674</v>
      </c>
      <c r="L47" s="12" t="s">
        <v>678</v>
      </c>
      <c r="M47" s="13">
        <v>269900</v>
      </c>
      <c r="N47" s="14">
        <v>0.95</v>
      </c>
      <c r="O47" s="13">
        <f t="shared" si="0"/>
        <v>13495</v>
      </c>
      <c r="P47" s="10" t="s">
        <v>16</v>
      </c>
    </row>
    <row r="48" spans="1:16" x14ac:dyDescent="0.35">
      <c r="A48" s="10" t="s">
        <v>1059</v>
      </c>
      <c r="B48" s="11">
        <f t="shared" si="1"/>
        <v>46121</v>
      </c>
      <c r="C48" s="11">
        <f t="shared" si="2"/>
        <v>46127</v>
      </c>
      <c r="D48" s="10">
        <v>3250</v>
      </c>
      <c r="E48" s="10">
        <v>332</v>
      </c>
      <c r="F48" s="10">
        <v>3</v>
      </c>
      <c r="G48" s="10">
        <v>6</v>
      </c>
      <c r="H48" s="10">
        <v>81642</v>
      </c>
      <c r="I48" s="10" t="s">
        <v>17</v>
      </c>
      <c r="J48" s="10">
        <v>23918898</v>
      </c>
      <c r="K48" s="12" t="s">
        <v>674</v>
      </c>
      <c r="L48" s="12" t="s">
        <v>679</v>
      </c>
      <c r="M48" s="13">
        <v>269900</v>
      </c>
      <c r="N48" s="14">
        <v>0.95</v>
      </c>
      <c r="O48" s="13">
        <f t="shared" si="0"/>
        <v>13495</v>
      </c>
      <c r="P48" s="10" t="s">
        <v>16</v>
      </c>
    </row>
    <row r="49" spans="1:16" x14ac:dyDescent="0.35">
      <c r="A49" s="10" t="s">
        <v>1059</v>
      </c>
      <c r="B49" s="11">
        <f t="shared" si="1"/>
        <v>46121</v>
      </c>
      <c r="C49" s="11">
        <f t="shared" si="2"/>
        <v>46127</v>
      </c>
      <c r="D49" s="10">
        <v>3250</v>
      </c>
      <c r="E49" s="10">
        <v>332</v>
      </c>
      <c r="F49" s="10">
        <v>3</v>
      </c>
      <c r="G49" s="10">
        <v>6</v>
      </c>
      <c r="H49" s="10">
        <v>81642</v>
      </c>
      <c r="I49" s="10" t="s">
        <v>17</v>
      </c>
      <c r="J49" s="10">
        <v>23918905</v>
      </c>
      <c r="K49" s="12" t="s">
        <v>674</v>
      </c>
      <c r="L49" s="12" t="s">
        <v>680</v>
      </c>
      <c r="M49" s="13">
        <v>269900</v>
      </c>
      <c r="N49" s="14">
        <v>0.95</v>
      </c>
      <c r="O49" s="13">
        <f t="shared" si="0"/>
        <v>13495</v>
      </c>
      <c r="P49" s="10" t="s">
        <v>16</v>
      </c>
    </row>
    <row r="50" spans="1:16" x14ac:dyDescent="0.35">
      <c r="A50" s="10" t="s">
        <v>1059</v>
      </c>
      <c r="B50" s="11">
        <f t="shared" si="1"/>
        <v>46121</v>
      </c>
      <c r="C50" s="11">
        <f t="shared" si="2"/>
        <v>46127</v>
      </c>
      <c r="D50" s="10">
        <v>3250</v>
      </c>
      <c r="E50" s="10">
        <v>332</v>
      </c>
      <c r="F50" s="10">
        <v>3</v>
      </c>
      <c r="G50" s="10">
        <v>6</v>
      </c>
      <c r="H50" s="10">
        <v>81642</v>
      </c>
      <c r="I50" s="10" t="s">
        <v>17</v>
      </c>
      <c r="J50" s="10">
        <v>23918914</v>
      </c>
      <c r="K50" s="12" t="s">
        <v>681</v>
      </c>
      <c r="L50" s="12" t="s">
        <v>682</v>
      </c>
      <c r="M50" s="13">
        <v>269900</v>
      </c>
      <c r="N50" s="14">
        <v>0.95</v>
      </c>
      <c r="O50" s="13">
        <f t="shared" si="0"/>
        <v>13495</v>
      </c>
      <c r="P50" s="10" t="s">
        <v>16</v>
      </c>
    </row>
    <row r="51" spans="1:16" x14ac:dyDescent="0.35">
      <c r="A51" s="10" t="s">
        <v>1059</v>
      </c>
      <c r="B51" s="11">
        <f t="shared" si="1"/>
        <v>46121</v>
      </c>
      <c r="C51" s="11">
        <f t="shared" si="2"/>
        <v>46127</v>
      </c>
      <c r="D51" s="10">
        <v>3250</v>
      </c>
      <c r="E51" s="10">
        <v>332</v>
      </c>
      <c r="F51" s="10">
        <v>3</v>
      </c>
      <c r="G51" s="10">
        <v>6</v>
      </c>
      <c r="H51" s="10">
        <v>81642</v>
      </c>
      <c r="I51" s="10" t="s">
        <v>17</v>
      </c>
      <c r="J51" s="10">
        <v>23918923</v>
      </c>
      <c r="K51" s="12" t="s">
        <v>681</v>
      </c>
      <c r="L51" s="12" t="s">
        <v>683</v>
      </c>
      <c r="M51" s="13">
        <v>269900</v>
      </c>
      <c r="N51" s="14">
        <v>0.95</v>
      </c>
      <c r="O51" s="13">
        <f t="shared" si="0"/>
        <v>13495</v>
      </c>
      <c r="P51" s="10" t="s">
        <v>16</v>
      </c>
    </row>
    <row r="52" spans="1:16" x14ac:dyDescent="0.35">
      <c r="A52" s="10" t="s">
        <v>1059</v>
      </c>
      <c r="B52" s="11">
        <f t="shared" si="1"/>
        <v>46121</v>
      </c>
      <c r="C52" s="11">
        <f t="shared" si="2"/>
        <v>46127</v>
      </c>
      <c r="D52" s="10">
        <v>3250</v>
      </c>
      <c r="E52" s="10">
        <v>332</v>
      </c>
      <c r="F52" s="10">
        <v>3</v>
      </c>
      <c r="G52" s="10">
        <v>6</v>
      </c>
      <c r="H52" s="10">
        <v>81642</v>
      </c>
      <c r="I52" s="10" t="s">
        <v>17</v>
      </c>
      <c r="J52" s="10">
        <v>23918932</v>
      </c>
      <c r="K52" s="12" t="s">
        <v>681</v>
      </c>
      <c r="L52" s="12" t="s">
        <v>684</v>
      </c>
      <c r="M52" s="13">
        <v>269900</v>
      </c>
      <c r="N52" s="14">
        <v>0.95</v>
      </c>
      <c r="O52" s="13">
        <f t="shared" si="0"/>
        <v>13495</v>
      </c>
      <c r="P52" s="10" t="s">
        <v>16</v>
      </c>
    </row>
    <row r="53" spans="1:16" x14ac:dyDescent="0.35">
      <c r="A53" s="10" t="s">
        <v>1059</v>
      </c>
      <c r="B53" s="11">
        <f t="shared" si="1"/>
        <v>46121</v>
      </c>
      <c r="C53" s="11">
        <f t="shared" si="2"/>
        <v>46127</v>
      </c>
      <c r="D53" s="10">
        <v>3250</v>
      </c>
      <c r="E53" s="10">
        <v>332</v>
      </c>
      <c r="F53" s="10">
        <v>3</v>
      </c>
      <c r="G53" s="10">
        <v>6</v>
      </c>
      <c r="H53" s="10">
        <v>81642</v>
      </c>
      <c r="I53" s="10" t="s">
        <v>17</v>
      </c>
      <c r="J53" s="10">
        <v>23918941</v>
      </c>
      <c r="K53" s="12" t="s">
        <v>681</v>
      </c>
      <c r="L53" s="12" t="s">
        <v>685</v>
      </c>
      <c r="M53" s="13">
        <v>269900</v>
      </c>
      <c r="N53" s="14">
        <v>0.95</v>
      </c>
      <c r="O53" s="13">
        <f t="shared" si="0"/>
        <v>13495</v>
      </c>
      <c r="P53" s="10" t="s">
        <v>16</v>
      </c>
    </row>
    <row r="54" spans="1:16" x14ac:dyDescent="0.35">
      <c r="A54" s="10" t="s">
        <v>1059</v>
      </c>
      <c r="B54" s="11">
        <f t="shared" si="1"/>
        <v>46121</v>
      </c>
      <c r="C54" s="11">
        <f t="shared" si="2"/>
        <v>46127</v>
      </c>
      <c r="D54" s="10">
        <v>3250</v>
      </c>
      <c r="E54" s="10">
        <v>332</v>
      </c>
      <c r="F54" s="10">
        <v>3</v>
      </c>
      <c r="G54" s="10">
        <v>6</v>
      </c>
      <c r="H54" s="10">
        <v>81642</v>
      </c>
      <c r="I54" s="10" t="s">
        <v>17</v>
      </c>
      <c r="J54" s="10">
        <v>23918950</v>
      </c>
      <c r="K54" s="12" t="s">
        <v>681</v>
      </c>
      <c r="L54" s="12" t="s">
        <v>686</v>
      </c>
      <c r="M54" s="13">
        <v>269900</v>
      </c>
      <c r="N54" s="14">
        <v>0.95</v>
      </c>
      <c r="O54" s="13">
        <f t="shared" si="0"/>
        <v>13495</v>
      </c>
      <c r="P54" s="10" t="s">
        <v>16</v>
      </c>
    </row>
    <row r="55" spans="1:16" x14ac:dyDescent="0.35">
      <c r="A55" s="10" t="s">
        <v>1059</v>
      </c>
      <c r="B55" s="11">
        <f t="shared" si="1"/>
        <v>46121</v>
      </c>
      <c r="C55" s="11">
        <f t="shared" si="2"/>
        <v>46127</v>
      </c>
      <c r="D55" s="10">
        <v>3250</v>
      </c>
      <c r="E55" s="10">
        <v>332</v>
      </c>
      <c r="F55" s="10">
        <v>3</v>
      </c>
      <c r="G55" s="10">
        <v>6</v>
      </c>
      <c r="H55" s="10">
        <v>81642</v>
      </c>
      <c r="I55" s="10" t="s">
        <v>17</v>
      </c>
      <c r="J55" s="10">
        <v>23918969</v>
      </c>
      <c r="K55" s="12" t="s">
        <v>681</v>
      </c>
      <c r="L55" s="12" t="s">
        <v>687</v>
      </c>
      <c r="M55" s="13">
        <v>269900</v>
      </c>
      <c r="N55" s="14">
        <v>0.95</v>
      </c>
      <c r="O55" s="13">
        <f t="shared" si="0"/>
        <v>13495</v>
      </c>
      <c r="P55" s="10" t="s">
        <v>16</v>
      </c>
    </row>
    <row r="56" spans="1:16" x14ac:dyDescent="0.35">
      <c r="A56" s="10" t="s">
        <v>1059</v>
      </c>
      <c r="B56" s="11">
        <f t="shared" si="1"/>
        <v>46121</v>
      </c>
      <c r="C56" s="11">
        <f t="shared" si="2"/>
        <v>46127</v>
      </c>
      <c r="D56" s="10">
        <v>3250</v>
      </c>
      <c r="E56" s="10">
        <v>332</v>
      </c>
      <c r="F56" s="10">
        <v>3</v>
      </c>
      <c r="G56" s="10">
        <v>6</v>
      </c>
      <c r="H56" s="10">
        <v>81642</v>
      </c>
      <c r="I56" s="10" t="s">
        <v>17</v>
      </c>
      <c r="J56" s="10">
        <v>23918978</v>
      </c>
      <c r="K56" s="12" t="s">
        <v>688</v>
      </c>
      <c r="L56" s="12" t="s">
        <v>689</v>
      </c>
      <c r="M56" s="13">
        <v>269900</v>
      </c>
      <c r="N56" s="14">
        <v>0.95</v>
      </c>
      <c r="O56" s="13">
        <f t="shared" si="0"/>
        <v>13495</v>
      </c>
      <c r="P56" s="10" t="s">
        <v>16</v>
      </c>
    </row>
    <row r="57" spans="1:16" x14ac:dyDescent="0.35">
      <c r="A57" s="10" t="s">
        <v>1059</v>
      </c>
      <c r="B57" s="11">
        <f t="shared" si="1"/>
        <v>46121</v>
      </c>
      <c r="C57" s="11">
        <f t="shared" si="2"/>
        <v>46127</v>
      </c>
      <c r="D57" s="10">
        <v>3250</v>
      </c>
      <c r="E57" s="10">
        <v>332</v>
      </c>
      <c r="F57" s="10">
        <v>3</v>
      </c>
      <c r="G57" s="10">
        <v>6</v>
      </c>
      <c r="H57" s="10">
        <v>81642</v>
      </c>
      <c r="I57" s="10" t="s">
        <v>17</v>
      </c>
      <c r="J57" s="10">
        <v>23918987</v>
      </c>
      <c r="K57" s="12" t="s">
        <v>688</v>
      </c>
      <c r="L57" s="12" t="s">
        <v>690</v>
      </c>
      <c r="M57" s="13">
        <v>269900</v>
      </c>
      <c r="N57" s="14">
        <v>0.95</v>
      </c>
      <c r="O57" s="13">
        <f t="shared" si="0"/>
        <v>13495</v>
      </c>
      <c r="P57" s="10" t="s">
        <v>16</v>
      </c>
    </row>
    <row r="58" spans="1:16" x14ac:dyDescent="0.35">
      <c r="A58" s="10" t="s">
        <v>1059</v>
      </c>
      <c r="B58" s="11">
        <f t="shared" si="1"/>
        <v>46121</v>
      </c>
      <c r="C58" s="11">
        <f t="shared" si="2"/>
        <v>46127</v>
      </c>
      <c r="D58" s="10">
        <v>3250</v>
      </c>
      <c r="E58" s="10">
        <v>332</v>
      </c>
      <c r="F58" s="10">
        <v>3</v>
      </c>
      <c r="G58" s="10">
        <v>6</v>
      </c>
      <c r="H58" s="10">
        <v>81642</v>
      </c>
      <c r="I58" s="10" t="s">
        <v>17</v>
      </c>
      <c r="J58" s="10">
        <v>23918996</v>
      </c>
      <c r="K58" s="12" t="s">
        <v>688</v>
      </c>
      <c r="L58" s="12" t="s">
        <v>691</v>
      </c>
      <c r="M58" s="13">
        <v>269900</v>
      </c>
      <c r="N58" s="14">
        <v>0.95</v>
      </c>
      <c r="O58" s="13">
        <f t="shared" si="0"/>
        <v>13495</v>
      </c>
      <c r="P58" s="10" t="s">
        <v>16</v>
      </c>
    </row>
    <row r="59" spans="1:16" x14ac:dyDescent="0.35">
      <c r="A59" s="10" t="s">
        <v>1059</v>
      </c>
      <c r="B59" s="11">
        <f t="shared" si="1"/>
        <v>46121</v>
      </c>
      <c r="C59" s="11">
        <f t="shared" si="2"/>
        <v>46127</v>
      </c>
      <c r="D59" s="10">
        <v>3250</v>
      </c>
      <c r="E59" s="10">
        <v>332</v>
      </c>
      <c r="F59" s="10">
        <v>3</v>
      </c>
      <c r="G59" s="10">
        <v>6</v>
      </c>
      <c r="H59" s="10">
        <v>81642</v>
      </c>
      <c r="I59" s="10" t="s">
        <v>17</v>
      </c>
      <c r="J59" s="10">
        <v>23919002</v>
      </c>
      <c r="K59" s="12" t="s">
        <v>688</v>
      </c>
      <c r="L59" s="12" t="s">
        <v>692</v>
      </c>
      <c r="M59" s="13">
        <v>269900</v>
      </c>
      <c r="N59" s="14">
        <v>0.95</v>
      </c>
      <c r="O59" s="13">
        <f t="shared" si="0"/>
        <v>13495</v>
      </c>
      <c r="P59" s="10" t="s">
        <v>16</v>
      </c>
    </row>
    <row r="60" spans="1:16" x14ac:dyDescent="0.35">
      <c r="A60" s="10" t="s">
        <v>1059</v>
      </c>
      <c r="B60" s="11">
        <f t="shared" si="1"/>
        <v>46121</v>
      </c>
      <c r="C60" s="11">
        <f t="shared" si="2"/>
        <v>46127</v>
      </c>
      <c r="D60" s="10">
        <v>3250</v>
      </c>
      <c r="E60" s="10">
        <v>332</v>
      </c>
      <c r="F60" s="10">
        <v>3</v>
      </c>
      <c r="G60" s="10">
        <v>6</v>
      </c>
      <c r="H60" s="10">
        <v>81642</v>
      </c>
      <c r="I60" s="10" t="s">
        <v>17</v>
      </c>
      <c r="J60" s="10">
        <v>23919011</v>
      </c>
      <c r="K60" s="12" t="s">
        <v>688</v>
      </c>
      <c r="L60" s="12" t="s">
        <v>693</v>
      </c>
      <c r="M60" s="13">
        <v>269900</v>
      </c>
      <c r="N60" s="14">
        <v>0.95</v>
      </c>
      <c r="O60" s="13">
        <f t="shared" si="0"/>
        <v>13495</v>
      </c>
      <c r="P60" s="10" t="s">
        <v>16</v>
      </c>
    </row>
    <row r="61" spans="1:16" x14ac:dyDescent="0.35">
      <c r="A61" s="10" t="s">
        <v>1059</v>
      </c>
      <c r="B61" s="11">
        <f t="shared" si="1"/>
        <v>46121</v>
      </c>
      <c r="C61" s="11">
        <f t="shared" si="2"/>
        <v>46127</v>
      </c>
      <c r="D61" s="10">
        <v>3250</v>
      </c>
      <c r="E61" s="10">
        <v>332</v>
      </c>
      <c r="F61" s="10">
        <v>3</v>
      </c>
      <c r="G61" s="10">
        <v>6</v>
      </c>
      <c r="H61" s="10">
        <v>81642</v>
      </c>
      <c r="I61" s="10" t="s">
        <v>17</v>
      </c>
      <c r="J61" s="10">
        <v>23919020</v>
      </c>
      <c r="K61" s="12" t="s">
        <v>688</v>
      </c>
      <c r="L61" s="12" t="s">
        <v>694</v>
      </c>
      <c r="M61" s="13">
        <v>269900</v>
      </c>
      <c r="N61" s="14">
        <v>0.95</v>
      </c>
      <c r="O61" s="13">
        <f t="shared" si="0"/>
        <v>13495</v>
      </c>
      <c r="P61" s="10" t="s">
        <v>16</v>
      </c>
    </row>
    <row r="62" spans="1:16" x14ac:dyDescent="0.35">
      <c r="A62" s="10" t="s">
        <v>1059</v>
      </c>
      <c r="B62" s="11">
        <f t="shared" si="1"/>
        <v>46121</v>
      </c>
      <c r="C62" s="11">
        <f t="shared" si="2"/>
        <v>46127</v>
      </c>
      <c r="D62" s="10">
        <v>3250</v>
      </c>
      <c r="E62" s="10">
        <v>332</v>
      </c>
      <c r="F62" s="10">
        <v>3</v>
      </c>
      <c r="G62" s="10">
        <v>6</v>
      </c>
      <c r="H62" s="10">
        <v>81642</v>
      </c>
      <c r="I62" s="10" t="s">
        <v>17</v>
      </c>
      <c r="J62" s="10">
        <v>23919039</v>
      </c>
      <c r="K62" s="12" t="s">
        <v>695</v>
      </c>
      <c r="L62" s="12" t="s">
        <v>696</v>
      </c>
      <c r="M62" s="13">
        <v>269900</v>
      </c>
      <c r="N62" s="14">
        <v>0.95</v>
      </c>
      <c r="O62" s="13">
        <f t="shared" si="0"/>
        <v>13495</v>
      </c>
      <c r="P62" s="10" t="s">
        <v>16</v>
      </c>
    </row>
    <row r="63" spans="1:16" x14ac:dyDescent="0.35">
      <c r="A63" s="10" t="s">
        <v>1059</v>
      </c>
      <c r="B63" s="11">
        <f t="shared" si="1"/>
        <v>46121</v>
      </c>
      <c r="C63" s="11">
        <f t="shared" si="2"/>
        <v>46127</v>
      </c>
      <c r="D63" s="10">
        <v>3250</v>
      </c>
      <c r="E63" s="10">
        <v>332</v>
      </c>
      <c r="F63" s="10">
        <v>3</v>
      </c>
      <c r="G63" s="10">
        <v>6</v>
      </c>
      <c r="H63" s="10">
        <v>81642</v>
      </c>
      <c r="I63" s="10" t="s">
        <v>17</v>
      </c>
      <c r="J63" s="10">
        <v>23919048</v>
      </c>
      <c r="K63" s="12" t="s">
        <v>695</v>
      </c>
      <c r="L63" s="12" t="s">
        <v>697</v>
      </c>
      <c r="M63" s="13">
        <v>269900</v>
      </c>
      <c r="N63" s="14">
        <v>0.95</v>
      </c>
      <c r="O63" s="13">
        <f t="shared" si="0"/>
        <v>13495</v>
      </c>
      <c r="P63" s="10" t="s">
        <v>16</v>
      </c>
    </row>
    <row r="64" spans="1:16" x14ac:dyDescent="0.35">
      <c r="A64" s="10" t="s">
        <v>1059</v>
      </c>
      <c r="B64" s="11">
        <f t="shared" si="1"/>
        <v>46121</v>
      </c>
      <c r="C64" s="11">
        <f t="shared" si="2"/>
        <v>46127</v>
      </c>
      <c r="D64" s="10">
        <v>3250</v>
      </c>
      <c r="E64" s="10">
        <v>332</v>
      </c>
      <c r="F64" s="10">
        <v>3</v>
      </c>
      <c r="G64" s="10">
        <v>6</v>
      </c>
      <c r="H64" s="10">
        <v>81642</v>
      </c>
      <c r="I64" s="10" t="s">
        <v>17</v>
      </c>
      <c r="J64" s="10">
        <v>23919057</v>
      </c>
      <c r="K64" s="12" t="s">
        <v>695</v>
      </c>
      <c r="L64" s="12" t="s">
        <v>698</v>
      </c>
      <c r="M64" s="13">
        <v>269900</v>
      </c>
      <c r="N64" s="14">
        <v>0.95</v>
      </c>
      <c r="O64" s="13">
        <f t="shared" si="0"/>
        <v>13495</v>
      </c>
      <c r="P64" s="10" t="s">
        <v>16</v>
      </c>
    </row>
    <row r="65" spans="1:16" x14ac:dyDescent="0.35">
      <c r="A65" s="10" t="s">
        <v>1059</v>
      </c>
      <c r="B65" s="11">
        <f t="shared" si="1"/>
        <v>46121</v>
      </c>
      <c r="C65" s="11">
        <f t="shared" si="2"/>
        <v>46127</v>
      </c>
      <c r="D65" s="10">
        <v>3250</v>
      </c>
      <c r="E65" s="10">
        <v>332</v>
      </c>
      <c r="F65" s="10">
        <v>3</v>
      </c>
      <c r="G65" s="10">
        <v>6</v>
      </c>
      <c r="H65" s="10">
        <v>81642</v>
      </c>
      <c r="I65" s="10" t="s">
        <v>17</v>
      </c>
      <c r="J65" s="10">
        <v>23919066</v>
      </c>
      <c r="K65" s="12" t="s">
        <v>695</v>
      </c>
      <c r="L65" s="12" t="s">
        <v>699</v>
      </c>
      <c r="M65" s="13">
        <v>269900</v>
      </c>
      <c r="N65" s="14">
        <v>0.95</v>
      </c>
      <c r="O65" s="13">
        <f t="shared" si="0"/>
        <v>13495</v>
      </c>
      <c r="P65" s="10" t="s">
        <v>16</v>
      </c>
    </row>
    <row r="66" spans="1:16" x14ac:dyDescent="0.35">
      <c r="A66" s="10" t="s">
        <v>1059</v>
      </c>
      <c r="B66" s="11">
        <f t="shared" si="1"/>
        <v>46121</v>
      </c>
      <c r="C66" s="11">
        <f t="shared" si="2"/>
        <v>46127</v>
      </c>
      <c r="D66" s="10">
        <v>3250</v>
      </c>
      <c r="E66" s="10">
        <v>332</v>
      </c>
      <c r="F66" s="10">
        <v>3</v>
      </c>
      <c r="G66" s="10">
        <v>6</v>
      </c>
      <c r="H66" s="10">
        <v>81642</v>
      </c>
      <c r="I66" s="10" t="s">
        <v>17</v>
      </c>
      <c r="J66" s="10">
        <v>23919075</v>
      </c>
      <c r="K66" s="12" t="s">
        <v>695</v>
      </c>
      <c r="L66" s="12" t="s">
        <v>700</v>
      </c>
      <c r="M66" s="13">
        <v>269900</v>
      </c>
      <c r="N66" s="14">
        <v>0.95</v>
      </c>
      <c r="O66" s="13">
        <f t="shared" si="0"/>
        <v>13495</v>
      </c>
      <c r="P66" s="10" t="s">
        <v>16</v>
      </c>
    </row>
    <row r="67" spans="1:16" x14ac:dyDescent="0.35">
      <c r="A67" s="10" t="s">
        <v>1059</v>
      </c>
      <c r="B67" s="11">
        <f t="shared" si="1"/>
        <v>46121</v>
      </c>
      <c r="C67" s="11">
        <f t="shared" si="2"/>
        <v>46127</v>
      </c>
      <c r="D67" s="10">
        <v>3250</v>
      </c>
      <c r="E67" s="10">
        <v>332</v>
      </c>
      <c r="F67" s="10">
        <v>3</v>
      </c>
      <c r="G67" s="10">
        <v>6</v>
      </c>
      <c r="H67" s="10">
        <v>81642</v>
      </c>
      <c r="I67" s="10" t="s">
        <v>17</v>
      </c>
      <c r="J67" s="10">
        <v>23919084</v>
      </c>
      <c r="K67" s="12" t="s">
        <v>695</v>
      </c>
      <c r="L67" s="12" t="s">
        <v>701</v>
      </c>
      <c r="M67" s="13">
        <v>269900</v>
      </c>
      <c r="N67" s="14">
        <v>0.95</v>
      </c>
      <c r="O67" s="13">
        <f t="shared" ref="O67:O130" si="3">M67-(M67*N67)</f>
        <v>13495</v>
      </c>
      <c r="P67" s="10" t="s">
        <v>16</v>
      </c>
    </row>
    <row r="68" spans="1:16" x14ac:dyDescent="0.35">
      <c r="A68" s="10" t="s">
        <v>1059</v>
      </c>
      <c r="B68" s="11">
        <f t="shared" ref="B68:B131" si="4">B67</f>
        <v>46121</v>
      </c>
      <c r="C68" s="11">
        <f t="shared" ref="C68:C131" si="5">C67</f>
        <v>46127</v>
      </c>
      <c r="D68" s="10">
        <v>3250</v>
      </c>
      <c r="E68" s="10">
        <v>332</v>
      </c>
      <c r="F68" s="10">
        <v>3</v>
      </c>
      <c r="G68" s="10">
        <v>6</v>
      </c>
      <c r="H68" s="10">
        <v>81642</v>
      </c>
      <c r="I68" s="10" t="s">
        <v>17</v>
      </c>
      <c r="J68" s="10">
        <v>32642669</v>
      </c>
      <c r="K68" s="12" t="s">
        <v>702</v>
      </c>
      <c r="L68" s="12" t="s">
        <v>703</v>
      </c>
      <c r="M68" s="13">
        <v>269900</v>
      </c>
      <c r="N68" s="14">
        <v>0.95</v>
      </c>
      <c r="O68" s="13">
        <f t="shared" si="3"/>
        <v>13495</v>
      </c>
      <c r="P68" s="10" t="s">
        <v>16</v>
      </c>
    </row>
    <row r="69" spans="1:16" x14ac:dyDescent="0.35">
      <c r="A69" s="10" t="s">
        <v>1059</v>
      </c>
      <c r="B69" s="11">
        <f t="shared" si="4"/>
        <v>46121</v>
      </c>
      <c r="C69" s="11">
        <f t="shared" si="5"/>
        <v>46127</v>
      </c>
      <c r="D69" s="10">
        <v>3250</v>
      </c>
      <c r="E69" s="10">
        <v>332</v>
      </c>
      <c r="F69" s="10">
        <v>3</v>
      </c>
      <c r="G69" s="10">
        <v>6</v>
      </c>
      <c r="H69" s="10">
        <v>81642</v>
      </c>
      <c r="I69" s="10" t="s">
        <v>17</v>
      </c>
      <c r="J69" s="10">
        <v>32642678</v>
      </c>
      <c r="K69" s="12" t="s">
        <v>702</v>
      </c>
      <c r="L69" s="12" t="s">
        <v>704</v>
      </c>
      <c r="M69" s="13">
        <v>269900</v>
      </c>
      <c r="N69" s="14">
        <v>0.95</v>
      </c>
      <c r="O69" s="13">
        <f t="shared" si="3"/>
        <v>13495</v>
      </c>
      <c r="P69" s="10" t="s">
        <v>16</v>
      </c>
    </row>
    <row r="70" spans="1:16" x14ac:dyDescent="0.35">
      <c r="A70" s="10" t="s">
        <v>1059</v>
      </c>
      <c r="B70" s="11">
        <f t="shared" si="4"/>
        <v>46121</v>
      </c>
      <c r="C70" s="11">
        <f t="shared" si="5"/>
        <v>46127</v>
      </c>
      <c r="D70" s="10">
        <v>3250</v>
      </c>
      <c r="E70" s="10">
        <v>332</v>
      </c>
      <c r="F70" s="10">
        <v>3</v>
      </c>
      <c r="G70" s="10">
        <v>6</v>
      </c>
      <c r="H70" s="10">
        <v>81642</v>
      </c>
      <c r="I70" s="10" t="s">
        <v>17</v>
      </c>
      <c r="J70" s="10">
        <v>32642687</v>
      </c>
      <c r="K70" s="12" t="s">
        <v>702</v>
      </c>
      <c r="L70" s="12" t="s">
        <v>705</v>
      </c>
      <c r="M70" s="13">
        <v>269900</v>
      </c>
      <c r="N70" s="14">
        <v>0.95</v>
      </c>
      <c r="O70" s="13">
        <f t="shared" si="3"/>
        <v>13495</v>
      </c>
      <c r="P70" s="10" t="s">
        <v>16</v>
      </c>
    </row>
    <row r="71" spans="1:16" x14ac:dyDescent="0.35">
      <c r="A71" s="10" t="s">
        <v>1059</v>
      </c>
      <c r="B71" s="11">
        <f t="shared" si="4"/>
        <v>46121</v>
      </c>
      <c r="C71" s="11">
        <f t="shared" si="5"/>
        <v>46127</v>
      </c>
      <c r="D71" s="10">
        <v>3250</v>
      </c>
      <c r="E71" s="10">
        <v>332</v>
      </c>
      <c r="F71" s="10">
        <v>3</v>
      </c>
      <c r="G71" s="10">
        <v>6</v>
      </c>
      <c r="H71" s="10">
        <v>81642</v>
      </c>
      <c r="I71" s="10" t="s">
        <v>17</v>
      </c>
      <c r="J71" s="10">
        <v>32642696</v>
      </c>
      <c r="K71" s="12" t="s">
        <v>702</v>
      </c>
      <c r="L71" s="12" t="s">
        <v>706</v>
      </c>
      <c r="M71" s="13">
        <v>269900</v>
      </c>
      <c r="N71" s="14">
        <v>0.95</v>
      </c>
      <c r="O71" s="13">
        <f t="shared" si="3"/>
        <v>13495</v>
      </c>
      <c r="P71" s="10" t="s">
        <v>16</v>
      </c>
    </row>
    <row r="72" spans="1:16" x14ac:dyDescent="0.35">
      <c r="A72" s="10" t="s">
        <v>1059</v>
      </c>
      <c r="B72" s="11">
        <f t="shared" si="4"/>
        <v>46121</v>
      </c>
      <c r="C72" s="11">
        <f t="shared" si="5"/>
        <v>46127</v>
      </c>
      <c r="D72" s="10">
        <v>3250</v>
      </c>
      <c r="E72" s="10">
        <v>332</v>
      </c>
      <c r="F72" s="10">
        <v>3</v>
      </c>
      <c r="G72" s="10">
        <v>6</v>
      </c>
      <c r="H72" s="10">
        <v>81642</v>
      </c>
      <c r="I72" s="10" t="s">
        <v>17</v>
      </c>
      <c r="J72" s="10">
        <v>32642703</v>
      </c>
      <c r="K72" s="12" t="s">
        <v>702</v>
      </c>
      <c r="L72" s="12" t="s">
        <v>707</v>
      </c>
      <c r="M72" s="13">
        <v>269900</v>
      </c>
      <c r="N72" s="14">
        <v>0.95</v>
      </c>
      <c r="O72" s="13">
        <f t="shared" si="3"/>
        <v>13495</v>
      </c>
      <c r="P72" s="10" t="s">
        <v>16</v>
      </c>
    </row>
    <row r="73" spans="1:16" x14ac:dyDescent="0.35">
      <c r="A73" s="10" t="s">
        <v>1059</v>
      </c>
      <c r="B73" s="11">
        <f t="shared" si="4"/>
        <v>46121</v>
      </c>
      <c r="C73" s="11">
        <f t="shared" si="5"/>
        <v>46127</v>
      </c>
      <c r="D73" s="10">
        <v>3250</v>
      </c>
      <c r="E73" s="10">
        <v>332</v>
      </c>
      <c r="F73" s="10">
        <v>3</v>
      </c>
      <c r="G73" s="10">
        <v>6</v>
      </c>
      <c r="H73" s="10">
        <v>81642</v>
      </c>
      <c r="I73" s="10" t="s">
        <v>17</v>
      </c>
      <c r="J73" s="10">
        <v>32642712</v>
      </c>
      <c r="K73" s="12" t="s">
        <v>702</v>
      </c>
      <c r="L73" s="12" t="s">
        <v>708</v>
      </c>
      <c r="M73" s="13">
        <v>269900</v>
      </c>
      <c r="N73" s="14">
        <v>0.95</v>
      </c>
      <c r="O73" s="13">
        <f t="shared" si="3"/>
        <v>13495</v>
      </c>
      <c r="P73" s="10" t="s">
        <v>16</v>
      </c>
    </row>
    <row r="74" spans="1:16" x14ac:dyDescent="0.35">
      <c r="A74" s="10" t="s">
        <v>1059</v>
      </c>
      <c r="B74" s="11">
        <f t="shared" si="4"/>
        <v>46121</v>
      </c>
      <c r="C74" s="11">
        <f t="shared" si="5"/>
        <v>46127</v>
      </c>
      <c r="D74" s="10">
        <v>3250</v>
      </c>
      <c r="E74" s="10">
        <v>332</v>
      </c>
      <c r="F74" s="10">
        <v>3</v>
      </c>
      <c r="G74" s="10">
        <v>2</v>
      </c>
      <c r="H74" s="10">
        <v>81462</v>
      </c>
      <c r="I74" s="10" t="s">
        <v>17</v>
      </c>
      <c r="J74" s="10">
        <v>26237592</v>
      </c>
      <c r="K74" s="12" t="s">
        <v>709</v>
      </c>
      <c r="L74" s="12" t="s">
        <v>710</v>
      </c>
      <c r="M74" s="13">
        <v>269900</v>
      </c>
      <c r="N74" s="14">
        <v>0.95</v>
      </c>
      <c r="O74" s="13">
        <f t="shared" si="3"/>
        <v>13495</v>
      </c>
      <c r="P74" s="10" t="s">
        <v>16</v>
      </c>
    </row>
    <row r="75" spans="1:16" x14ac:dyDescent="0.35">
      <c r="A75" s="10" t="s">
        <v>1059</v>
      </c>
      <c r="B75" s="11">
        <f t="shared" si="4"/>
        <v>46121</v>
      </c>
      <c r="C75" s="11">
        <f t="shared" si="5"/>
        <v>46127</v>
      </c>
      <c r="D75" s="10">
        <v>3250</v>
      </c>
      <c r="E75" s="10">
        <v>332</v>
      </c>
      <c r="F75" s="10">
        <v>3</v>
      </c>
      <c r="G75" s="10">
        <v>2</v>
      </c>
      <c r="H75" s="10">
        <v>81462</v>
      </c>
      <c r="I75" s="10" t="s">
        <v>17</v>
      </c>
      <c r="J75" s="10">
        <v>26237609</v>
      </c>
      <c r="K75" s="12" t="s">
        <v>709</v>
      </c>
      <c r="L75" s="12" t="s">
        <v>711</v>
      </c>
      <c r="M75" s="13">
        <v>269900</v>
      </c>
      <c r="N75" s="14">
        <v>0.95</v>
      </c>
      <c r="O75" s="13">
        <f t="shared" si="3"/>
        <v>13495</v>
      </c>
      <c r="P75" s="10" t="s">
        <v>16</v>
      </c>
    </row>
    <row r="76" spans="1:16" x14ac:dyDescent="0.35">
      <c r="A76" s="10" t="s">
        <v>1059</v>
      </c>
      <c r="B76" s="11">
        <f t="shared" si="4"/>
        <v>46121</v>
      </c>
      <c r="C76" s="11">
        <f t="shared" si="5"/>
        <v>46127</v>
      </c>
      <c r="D76" s="10">
        <v>3250</v>
      </c>
      <c r="E76" s="10">
        <v>332</v>
      </c>
      <c r="F76" s="10">
        <v>3</v>
      </c>
      <c r="G76" s="10">
        <v>2</v>
      </c>
      <c r="H76" s="10">
        <v>81462</v>
      </c>
      <c r="I76" s="10" t="s">
        <v>17</v>
      </c>
      <c r="J76" s="10">
        <v>26237618</v>
      </c>
      <c r="K76" s="12" t="s">
        <v>709</v>
      </c>
      <c r="L76" s="12" t="s">
        <v>712</v>
      </c>
      <c r="M76" s="13">
        <v>269900</v>
      </c>
      <c r="N76" s="14">
        <v>0.95</v>
      </c>
      <c r="O76" s="13">
        <f t="shared" si="3"/>
        <v>13495</v>
      </c>
      <c r="P76" s="10" t="s">
        <v>16</v>
      </c>
    </row>
    <row r="77" spans="1:16" x14ac:dyDescent="0.35">
      <c r="A77" s="10" t="s">
        <v>1059</v>
      </c>
      <c r="B77" s="11">
        <f t="shared" si="4"/>
        <v>46121</v>
      </c>
      <c r="C77" s="11">
        <f t="shared" si="5"/>
        <v>46127</v>
      </c>
      <c r="D77" s="10">
        <v>3250</v>
      </c>
      <c r="E77" s="10">
        <v>332</v>
      </c>
      <c r="F77" s="10">
        <v>3</v>
      </c>
      <c r="G77" s="10">
        <v>2</v>
      </c>
      <c r="H77" s="10">
        <v>81462</v>
      </c>
      <c r="I77" s="10" t="s">
        <v>17</v>
      </c>
      <c r="J77" s="10">
        <v>26237627</v>
      </c>
      <c r="K77" s="12" t="s">
        <v>709</v>
      </c>
      <c r="L77" s="12" t="s">
        <v>713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1059</v>
      </c>
      <c r="B78" s="11">
        <f t="shared" si="4"/>
        <v>46121</v>
      </c>
      <c r="C78" s="11">
        <f t="shared" si="5"/>
        <v>46127</v>
      </c>
      <c r="D78" s="10">
        <v>3250</v>
      </c>
      <c r="E78" s="10">
        <v>332</v>
      </c>
      <c r="F78" s="10">
        <v>3</v>
      </c>
      <c r="G78" s="10">
        <v>4</v>
      </c>
      <c r="H78" s="10">
        <v>81642</v>
      </c>
      <c r="I78" s="10" t="s">
        <v>17</v>
      </c>
      <c r="J78" s="10">
        <v>22263221</v>
      </c>
      <c r="K78" s="12" t="s">
        <v>64</v>
      </c>
      <c r="L78" s="12" t="s">
        <v>714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1059</v>
      </c>
      <c r="B79" s="11">
        <f t="shared" si="4"/>
        <v>46121</v>
      </c>
      <c r="C79" s="11">
        <f t="shared" si="5"/>
        <v>46127</v>
      </c>
      <c r="D79" s="10">
        <v>3250</v>
      </c>
      <c r="E79" s="10">
        <v>332</v>
      </c>
      <c r="F79" s="10">
        <v>3</v>
      </c>
      <c r="G79" s="10">
        <v>4</v>
      </c>
      <c r="H79" s="10">
        <v>81642</v>
      </c>
      <c r="I79" s="10" t="s">
        <v>17</v>
      </c>
      <c r="J79" s="10">
        <v>22263230</v>
      </c>
      <c r="K79" s="12" t="s">
        <v>64</v>
      </c>
      <c r="L79" s="12" t="s">
        <v>715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1059</v>
      </c>
      <c r="B80" s="11">
        <f t="shared" si="4"/>
        <v>46121</v>
      </c>
      <c r="C80" s="11">
        <f t="shared" si="5"/>
        <v>46127</v>
      </c>
      <c r="D80" s="10">
        <v>3250</v>
      </c>
      <c r="E80" s="10">
        <v>332</v>
      </c>
      <c r="F80" s="10">
        <v>3</v>
      </c>
      <c r="G80" s="10">
        <v>4</v>
      </c>
      <c r="H80" s="10">
        <v>81642</v>
      </c>
      <c r="I80" s="10" t="s">
        <v>17</v>
      </c>
      <c r="J80" s="10">
        <v>22263249</v>
      </c>
      <c r="K80" s="12" t="s">
        <v>64</v>
      </c>
      <c r="L80" s="12" t="s">
        <v>716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1059</v>
      </c>
      <c r="B81" s="11">
        <f t="shared" si="4"/>
        <v>46121</v>
      </c>
      <c r="C81" s="11">
        <f t="shared" si="5"/>
        <v>46127</v>
      </c>
      <c r="D81" s="10">
        <v>3250</v>
      </c>
      <c r="E81" s="10">
        <v>332</v>
      </c>
      <c r="F81" s="10">
        <v>3</v>
      </c>
      <c r="G81" s="10">
        <v>4</v>
      </c>
      <c r="H81" s="10">
        <v>81642</v>
      </c>
      <c r="I81" s="10" t="s">
        <v>17</v>
      </c>
      <c r="J81" s="10">
        <v>22263276</v>
      </c>
      <c r="K81" s="12" t="s">
        <v>64</v>
      </c>
      <c r="L81" s="12" t="s">
        <v>717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1059</v>
      </c>
      <c r="B82" s="11">
        <f t="shared" si="4"/>
        <v>46121</v>
      </c>
      <c r="C82" s="11">
        <f t="shared" si="5"/>
        <v>46127</v>
      </c>
      <c r="D82" s="10">
        <v>3250</v>
      </c>
      <c r="E82" s="10">
        <v>332</v>
      </c>
      <c r="F82" s="10">
        <v>3</v>
      </c>
      <c r="G82" s="10">
        <v>4</v>
      </c>
      <c r="H82" s="10">
        <v>81642</v>
      </c>
      <c r="I82" s="10" t="s">
        <v>17</v>
      </c>
      <c r="J82" s="10">
        <v>22263285</v>
      </c>
      <c r="K82" s="12" t="s">
        <v>64</v>
      </c>
      <c r="L82" s="12" t="s">
        <v>718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1059</v>
      </c>
      <c r="B83" s="11">
        <f t="shared" si="4"/>
        <v>46121</v>
      </c>
      <c r="C83" s="11">
        <f t="shared" si="5"/>
        <v>46127</v>
      </c>
      <c r="D83" s="10">
        <v>3250</v>
      </c>
      <c r="E83" s="10">
        <v>332</v>
      </c>
      <c r="F83" s="10">
        <v>3</v>
      </c>
      <c r="G83" s="10">
        <v>4</v>
      </c>
      <c r="H83" s="10">
        <v>81642</v>
      </c>
      <c r="I83" s="10" t="s">
        <v>17</v>
      </c>
      <c r="J83" s="10">
        <v>22263294</v>
      </c>
      <c r="K83" s="12" t="s">
        <v>64</v>
      </c>
      <c r="L83" s="12" t="s">
        <v>719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1059</v>
      </c>
      <c r="B84" s="11">
        <f t="shared" si="4"/>
        <v>46121</v>
      </c>
      <c r="C84" s="11">
        <f t="shared" si="5"/>
        <v>46127</v>
      </c>
      <c r="D84" s="10">
        <v>3250</v>
      </c>
      <c r="E84" s="10">
        <v>332</v>
      </c>
      <c r="F84" s="10">
        <v>3</v>
      </c>
      <c r="G84" s="10">
        <v>4</v>
      </c>
      <c r="H84" s="10">
        <v>81642</v>
      </c>
      <c r="I84" s="10" t="s">
        <v>17</v>
      </c>
      <c r="J84" s="10">
        <v>22331782</v>
      </c>
      <c r="K84" s="12" t="s">
        <v>64</v>
      </c>
      <c r="L84" s="12" t="s">
        <v>720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1059</v>
      </c>
      <c r="B85" s="11">
        <f t="shared" si="4"/>
        <v>46121</v>
      </c>
      <c r="C85" s="11">
        <f t="shared" si="5"/>
        <v>46127</v>
      </c>
      <c r="D85" s="10">
        <v>3250</v>
      </c>
      <c r="E85" s="10">
        <v>332</v>
      </c>
      <c r="F85" s="10">
        <v>3</v>
      </c>
      <c r="G85" s="10">
        <v>4</v>
      </c>
      <c r="H85" s="10">
        <v>81642</v>
      </c>
      <c r="I85" s="10" t="s">
        <v>17</v>
      </c>
      <c r="J85" s="10">
        <v>22331791</v>
      </c>
      <c r="K85" s="12" t="s">
        <v>64</v>
      </c>
      <c r="L85" s="12" t="s">
        <v>721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1059</v>
      </c>
      <c r="B86" s="11">
        <f t="shared" si="4"/>
        <v>46121</v>
      </c>
      <c r="C86" s="11">
        <f t="shared" si="5"/>
        <v>46127</v>
      </c>
      <c r="D86" s="10">
        <v>3250</v>
      </c>
      <c r="E86" s="10">
        <v>332</v>
      </c>
      <c r="F86" s="10">
        <v>3</v>
      </c>
      <c r="G86" s="10">
        <v>4</v>
      </c>
      <c r="H86" s="10">
        <v>81642</v>
      </c>
      <c r="I86" s="10" t="s">
        <v>17</v>
      </c>
      <c r="J86" s="10">
        <v>22331817</v>
      </c>
      <c r="K86" s="12" t="s">
        <v>64</v>
      </c>
      <c r="L86" s="12" t="s">
        <v>722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1059</v>
      </c>
      <c r="B87" s="11">
        <f t="shared" si="4"/>
        <v>46121</v>
      </c>
      <c r="C87" s="11">
        <f t="shared" si="5"/>
        <v>46127</v>
      </c>
      <c r="D87" s="10">
        <v>3250</v>
      </c>
      <c r="E87" s="10">
        <v>332</v>
      </c>
      <c r="F87" s="10">
        <v>3</v>
      </c>
      <c r="G87" s="10">
        <v>4</v>
      </c>
      <c r="H87" s="10">
        <v>81642</v>
      </c>
      <c r="I87" s="10" t="s">
        <v>17</v>
      </c>
      <c r="J87" s="10">
        <v>22331826</v>
      </c>
      <c r="K87" s="12" t="s">
        <v>64</v>
      </c>
      <c r="L87" s="12" t="s">
        <v>723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1059</v>
      </c>
      <c r="B88" s="11">
        <f t="shared" si="4"/>
        <v>46121</v>
      </c>
      <c r="C88" s="11">
        <f t="shared" si="5"/>
        <v>46127</v>
      </c>
      <c r="D88" s="10">
        <v>3250</v>
      </c>
      <c r="E88" s="10">
        <v>332</v>
      </c>
      <c r="F88" s="10">
        <v>3</v>
      </c>
      <c r="G88" s="10">
        <v>4</v>
      </c>
      <c r="H88" s="10">
        <v>81642</v>
      </c>
      <c r="I88" s="10" t="s">
        <v>17</v>
      </c>
      <c r="J88" s="10">
        <v>22331835</v>
      </c>
      <c r="K88" s="12" t="s">
        <v>64</v>
      </c>
      <c r="L88" s="12" t="s">
        <v>724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1059</v>
      </c>
      <c r="B89" s="11">
        <f t="shared" si="4"/>
        <v>46121</v>
      </c>
      <c r="C89" s="11">
        <f t="shared" si="5"/>
        <v>46127</v>
      </c>
      <c r="D89" s="10">
        <v>3250</v>
      </c>
      <c r="E89" s="10">
        <v>332</v>
      </c>
      <c r="F89" s="10">
        <v>3</v>
      </c>
      <c r="G89" s="10">
        <v>4</v>
      </c>
      <c r="H89" s="10">
        <v>81642</v>
      </c>
      <c r="I89" s="10" t="s">
        <v>17</v>
      </c>
      <c r="J89" s="10">
        <v>22331844</v>
      </c>
      <c r="K89" s="12" t="s">
        <v>64</v>
      </c>
      <c r="L89" s="12" t="s">
        <v>725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1059</v>
      </c>
      <c r="B90" s="11">
        <f t="shared" si="4"/>
        <v>46121</v>
      </c>
      <c r="C90" s="11">
        <f t="shared" si="5"/>
        <v>46127</v>
      </c>
      <c r="D90" s="10">
        <v>3250</v>
      </c>
      <c r="E90" s="10">
        <v>332</v>
      </c>
      <c r="F90" s="10">
        <v>3</v>
      </c>
      <c r="G90" s="10">
        <v>4</v>
      </c>
      <c r="H90" s="10">
        <v>81642</v>
      </c>
      <c r="I90" s="10" t="s">
        <v>17</v>
      </c>
      <c r="J90" s="10">
        <v>22331853</v>
      </c>
      <c r="K90" s="12" t="s">
        <v>64</v>
      </c>
      <c r="L90" s="12" t="s">
        <v>726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1059</v>
      </c>
      <c r="B91" s="11">
        <f t="shared" si="4"/>
        <v>46121</v>
      </c>
      <c r="C91" s="11">
        <f t="shared" si="5"/>
        <v>46127</v>
      </c>
      <c r="D91" s="10">
        <v>3250</v>
      </c>
      <c r="E91" s="10">
        <v>332</v>
      </c>
      <c r="F91" s="10">
        <v>3</v>
      </c>
      <c r="G91" s="10">
        <v>4</v>
      </c>
      <c r="H91" s="10">
        <v>81642</v>
      </c>
      <c r="I91" s="10" t="s">
        <v>17</v>
      </c>
      <c r="J91" s="10">
        <v>22331862</v>
      </c>
      <c r="K91" s="12" t="s">
        <v>64</v>
      </c>
      <c r="L91" s="12" t="s">
        <v>727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1059</v>
      </c>
      <c r="B92" s="11">
        <f t="shared" si="4"/>
        <v>46121</v>
      </c>
      <c r="C92" s="11">
        <f t="shared" si="5"/>
        <v>46127</v>
      </c>
      <c r="D92" s="10">
        <v>3250</v>
      </c>
      <c r="E92" s="10">
        <v>332</v>
      </c>
      <c r="F92" s="10">
        <v>3</v>
      </c>
      <c r="G92" s="10">
        <v>4</v>
      </c>
      <c r="H92" s="10">
        <v>81642</v>
      </c>
      <c r="I92" s="10" t="s">
        <v>17</v>
      </c>
      <c r="J92" s="10">
        <v>22331871</v>
      </c>
      <c r="K92" s="12" t="s">
        <v>64</v>
      </c>
      <c r="L92" s="12" t="s">
        <v>728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1059</v>
      </c>
      <c r="B93" s="11">
        <f t="shared" si="4"/>
        <v>46121</v>
      </c>
      <c r="C93" s="11">
        <f t="shared" si="5"/>
        <v>46127</v>
      </c>
      <c r="D93" s="10">
        <v>3250</v>
      </c>
      <c r="E93" s="10">
        <v>332</v>
      </c>
      <c r="F93" s="10">
        <v>3</v>
      </c>
      <c r="G93" s="10">
        <v>4</v>
      </c>
      <c r="H93" s="10">
        <v>81642</v>
      </c>
      <c r="I93" s="10" t="s">
        <v>17</v>
      </c>
      <c r="J93" s="10">
        <v>22331906</v>
      </c>
      <c r="K93" s="12" t="s">
        <v>64</v>
      </c>
      <c r="L93" s="12" t="s">
        <v>729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1059</v>
      </c>
      <c r="B94" s="11">
        <f t="shared" si="4"/>
        <v>46121</v>
      </c>
      <c r="C94" s="11">
        <f t="shared" si="5"/>
        <v>46127</v>
      </c>
      <c r="D94" s="10">
        <v>3250</v>
      </c>
      <c r="E94" s="10">
        <v>332</v>
      </c>
      <c r="F94" s="10">
        <v>3</v>
      </c>
      <c r="G94" s="10">
        <v>4</v>
      </c>
      <c r="H94" s="10">
        <v>81642</v>
      </c>
      <c r="I94" s="10" t="s">
        <v>17</v>
      </c>
      <c r="J94" s="10">
        <v>22331924</v>
      </c>
      <c r="K94" s="12" t="s">
        <v>64</v>
      </c>
      <c r="L94" s="12" t="s">
        <v>730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1059</v>
      </c>
      <c r="B95" s="11">
        <f t="shared" si="4"/>
        <v>46121</v>
      </c>
      <c r="C95" s="11">
        <f t="shared" si="5"/>
        <v>46127</v>
      </c>
      <c r="D95" s="10">
        <v>3250</v>
      </c>
      <c r="E95" s="10">
        <v>332</v>
      </c>
      <c r="F95" s="10">
        <v>3</v>
      </c>
      <c r="G95" s="10">
        <v>4</v>
      </c>
      <c r="H95" s="10">
        <v>81642</v>
      </c>
      <c r="I95" s="10" t="s">
        <v>17</v>
      </c>
      <c r="J95" s="10">
        <v>22331933</v>
      </c>
      <c r="K95" s="12" t="s">
        <v>64</v>
      </c>
      <c r="L95" s="12" t="s">
        <v>731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1059</v>
      </c>
      <c r="B96" s="11">
        <f t="shared" si="4"/>
        <v>46121</v>
      </c>
      <c r="C96" s="11">
        <f t="shared" si="5"/>
        <v>46127</v>
      </c>
      <c r="D96" s="10">
        <v>3250</v>
      </c>
      <c r="E96" s="10">
        <v>332</v>
      </c>
      <c r="F96" s="10">
        <v>3</v>
      </c>
      <c r="G96" s="10">
        <v>4</v>
      </c>
      <c r="H96" s="10">
        <v>81642</v>
      </c>
      <c r="I96" s="10" t="s">
        <v>17</v>
      </c>
      <c r="J96" s="10">
        <v>22331942</v>
      </c>
      <c r="K96" s="12" t="s">
        <v>64</v>
      </c>
      <c r="L96" s="12" t="s">
        <v>732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1059</v>
      </c>
      <c r="B97" s="11">
        <f t="shared" si="4"/>
        <v>46121</v>
      </c>
      <c r="C97" s="11">
        <f t="shared" si="5"/>
        <v>46127</v>
      </c>
      <c r="D97" s="10">
        <v>3250</v>
      </c>
      <c r="E97" s="10">
        <v>332</v>
      </c>
      <c r="F97" s="10">
        <v>3</v>
      </c>
      <c r="G97" s="10">
        <v>4</v>
      </c>
      <c r="H97" s="10">
        <v>81642</v>
      </c>
      <c r="I97" s="10" t="s">
        <v>17</v>
      </c>
      <c r="J97" s="10">
        <v>22331951</v>
      </c>
      <c r="K97" s="12" t="s">
        <v>64</v>
      </c>
      <c r="L97" s="12" t="s">
        <v>733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1059</v>
      </c>
      <c r="B98" s="11">
        <f t="shared" si="4"/>
        <v>46121</v>
      </c>
      <c r="C98" s="11">
        <f t="shared" si="5"/>
        <v>46127</v>
      </c>
      <c r="D98" s="10">
        <v>3250</v>
      </c>
      <c r="E98" s="10">
        <v>332</v>
      </c>
      <c r="F98" s="10">
        <v>3</v>
      </c>
      <c r="G98" s="10">
        <v>4</v>
      </c>
      <c r="H98" s="10">
        <v>81642</v>
      </c>
      <c r="I98" s="10" t="s">
        <v>17</v>
      </c>
      <c r="J98" s="10">
        <v>22331960</v>
      </c>
      <c r="K98" s="12" t="s">
        <v>64</v>
      </c>
      <c r="L98" s="12" t="s">
        <v>734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1059</v>
      </c>
      <c r="B99" s="11">
        <f t="shared" si="4"/>
        <v>46121</v>
      </c>
      <c r="C99" s="11">
        <f t="shared" si="5"/>
        <v>46127</v>
      </c>
      <c r="D99" s="10">
        <v>3250</v>
      </c>
      <c r="E99" s="10">
        <v>332</v>
      </c>
      <c r="F99" s="10">
        <v>3</v>
      </c>
      <c r="G99" s="10">
        <v>4</v>
      </c>
      <c r="H99" s="10">
        <v>81642</v>
      </c>
      <c r="I99" s="10" t="s">
        <v>17</v>
      </c>
      <c r="J99" s="10">
        <v>22331979</v>
      </c>
      <c r="K99" s="12" t="s">
        <v>64</v>
      </c>
      <c r="L99" s="12" t="s">
        <v>735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1059</v>
      </c>
      <c r="B100" s="11">
        <f t="shared" si="4"/>
        <v>46121</v>
      </c>
      <c r="C100" s="11">
        <f t="shared" si="5"/>
        <v>46127</v>
      </c>
      <c r="D100" s="10">
        <v>3250</v>
      </c>
      <c r="E100" s="10">
        <v>332</v>
      </c>
      <c r="F100" s="10">
        <v>3</v>
      </c>
      <c r="G100" s="10">
        <v>4</v>
      </c>
      <c r="H100" s="10">
        <v>81642</v>
      </c>
      <c r="I100" s="10" t="s">
        <v>17</v>
      </c>
      <c r="J100" s="10">
        <v>28485169</v>
      </c>
      <c r="K100" s="12" t="s">
        <v>736</v>
      </c>
      <c r="L100" s="12" t="s">
        <v>737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1059</v>
      </c>
      <c r="B101" s="11">
        <f t="shared" si="4"/>
        <v>46121</v>
      </c>
      <c r="C101" s="11">
        <f t="shared" si="5"/>
        <v>46127</v>
      </c>
      <c r="D101" s="10">
        <v>3250</v>
      </c>
      <c r="E101" s="10">
        <v>332</v>
      </c>
      <c r="F101" s="10">
        <v>3</v>
      </c>
      <c r="G101" s="10">
        <v>4</v>
      </c>
      <c r="H101" s="10">
        <v>81642</v>
      </c>
      <c r="I101" s="10" t="s">
        <v>17</v>
      </c>
      <c r="J101" s="10">
        <v>28485178</v>
      </c>
      <c r="K101" s="12" t="s">
        <v>736</v>
      </c>
      <c r="L101" s="12" t="s">
        <v>738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1059</v>
      </c>
      <c r="B102" s="11">
        <f t="shared" si="4"/>
        <v>46121</v>
      </c>
      <c r="C102" s="11">
        <f t="shared" si="5"/>
        <v>46127</v>
      </c>
      <c r="D102" s="10">
        <v>3250</v>
      </c>
      <c r="E102" s="10">
        <v>332</v>
      </c>
      <c r="F102" s="10">
        <v>3</v>
      </c>
      <c r="G102" s="10">
        <v>4</v>
      </c>
      <c r="H102" s="10">
        <v>81642</v>
      </c>
      <c r="I102" s="10" t="s">
        <v>17</v>
      </c>
      <c r="J102" s="10">
        <v>28485187</v>
      </c>
      <c r="K102" s="12" t="s">
        <v>736</v>
      </c>
      <c r="L102" s="12" t="s">
        <v>739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1059</v>
      </c>
      <c r="B103" s="11">
        <f t="shared" si="4"/>
        <v>46121</v>
      </c>
      <c r="C103" s="11">
        <f t="shared" si="5"/>
        <v>46127</v>
      </c>
      <c r="D103" s="10">
        <v>3250</v>
      </c>
      <c r="E103" s="10">
        <v>332</v>
      </c>
      <c r="F103" s="10">
        <v>3</v>
      </c>
      <c r="G103" s="10">
        <v>4</v>
      </c>
      <c r="H103" s="10">
        <v>81642</v>
      </c>
      <c r="I103" s="10" t="s">
        <v>17</v>
      </c>
      <c r="J103" s="10">
        <v>28485196</v>
      </c>
      <c r="K103" s="12" t="s">
        <v>736</v>
      </c>
      <c r="L103" s="12" t="s">
        <v>740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1059</v>
      </c>
      <c r="B104" s="11">
        <f t="shared" si="4"/>
        <v>46121</v>
      </c>
      <c r="C104" s="11">
        <f t="shared" si="5"/>
        <v>46127</v>
      </c>
      <c r="D104" s="10">
        <v>3250</v>
      </c>
      <c r="E104" s="10">
        <v>332</v>
      </c>
      <c r="F104" s="10">
        <v>3</v>
      </c>
      <c r="G104" s="10">
        <v>4</v>
      </c>
      <c r="H104" s="10">
        <v>81642</v>
      </c>
      <c r="I104" s="10" t="s">
        <v>17</v>
      </c>
      <c r="J104" s="10">
        <v>28485203</v>
      </c>
      <c r="K104" s="12" t="s">
        <v>736</v>
      </c>
      <c r="L104" s="12" t="s">
        <v>741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1059</v>
      </c>
      <c r="B105" s="11">
        <f t="shared" si="4"/>
        <v>46121</v>
      </c>
      <c r="C105" s="11">
        <f t="shared" si="5"/>
        <v>46127</v>
      </c>
      <c r="D105" s="10">
        <v>3250</v>
      </c>
      <c r="E105" s="10">
        <v>332</v>
      </c>
      <c r="F105" s="10">
        <v>3</v>
      </c>
      <c r="G105" s="10">
        <v>4</v>
      </c>
      <c r="H105" s="10">
        <v>81642</v>
      </c>
      <c r="I105" s="10" t="s">
        <v>17</v>
      </c>
      <c r="J105" s="10">
        <v>28485212</v>
      </c>
      <c r="K105" s="12" t="s">
        <v>736</v>
      </c>
      <c r="L105" s="12" t="s">
        <v>742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1059</v>
      </c>
      <c r="B106" s="11">
        <f t="shared" si="4"/>
        <v>46121</v>
      </c>
      <c r="C106" s="11">
        <f t="shared" si="5"/>
        <v>46127</v>
      </c>
      <c r="D106" s="10">
        <v>3250</v>
      </c>
      <c r="E106" s="10">
        <v>332</v>
      </c>
      <c r="F106" s="10">
        <v>3</v>
      </c>
      <c r="G106" s="10">
        <v>4</v>
      </c>
      <c r="H106" s="10">
        <v>81642</v>
      </c>
      <c r="I106" s="10" t="s">
        <v>17</v>
      </c>
      <c r="J106" s="10">
        <v>28485221</v>
      </c>
      <c r="K106" s="12" t="s">
        <v>736</v>
      </c>
      <c r="L106" s="12" t="s">
        <v>743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1059</v>
      </c>
      <c r="B107" s="11">
        <f t="shared" si="4"/>
        <v>46121</v>
      </c>
      <c r="C107" s="11">
        <f t="shared" si="5"/>
        <v>46127</v>
      </c>
      <c r="D107" s="10">
        <v>3250</v>
      </c>
      <c r="E107" s="10">
        <v>332</v>
      </c>
      <c r="F107" s="10">
        <v>3</v>
      </c>
      <c r="G107" s="10">
        <v>4</v>
      </c>
      <c r="H107" s="10">
        <v>81642</v>
      </c>
      <c r="I107" s="10" t="s">
        <v>17</v>
      </c>
      <c r="J107" s="10">
        <v>28485230</v>
      </c>
      <c r="K107" s="12" t="s">
        <v>736</v>
      </c>
      <c r="L107" s="12" t="s">
        <v>744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1059</v>
      </c>
      <c r="B108" s="11">
        <f t="shared" si="4"/>
        <v>46121</v>
      </c>
      <c r="C108" s="11">
        <f t="shared" si="5"/>
        <v>46127</v>
      </c>
      <c r="D108" s="10">
        <v>3250</v>
      </c>
      <c r="E108" s="10">
        <v>332</v>
      </c>
      <c r="F108" s="10">
        <v>3</v>
      </c>
      <c r="G108" s="10">
        <v>4</v>
      </c>
      <c r="H108" s="10">
        <v>81642</v>
      </c>
      <c r="I108" s="10" t="s">
        <v>17</v>
      </c>
      <c r="J108" s="10">
        <v>28485249</v>
      </c>
      <c r="K108" s="12" t="s">
        <v>736</v>
      </c>
      <c r="L108" s="12" t="s">
        <v>745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1059</v>
      </c>
      <c r="B109" s="11">
        <f t="shared" si="4"/>
        <v>46121</v>
      </c>
      <c r="C109" s="11">
        <f t="shared" si="5"/>
        <v>46127</v>
      </c>
      <c r="D109" s="10">
        <v>3250</v>
      </c>
      <c r="E109" s="10">
        <v>332</v>
      </c>
      <c r="F109" s="10">
        <v>3</v>
      </c>
      <c r="G109" s="10">
        <v>4</v>
      </c>
      <c r="H109" s="10">
        <v>81642</v>
      </c>
      <c r="I109" s="10" t="s">
        <v>17</v>
      </c>
      <c r="J109" s="10">
        <v>28485258</v>
      </c>
      <c r="K109" s="12" t="s">
        <v>736</v>
      </c>
      <c r="L109" s="12" t="s">
        <v>746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1059</v>
      </c>
      <c r="B110" s="11">
        <f t="shared" si="4"/>
        <v>46121</v>
      </c>
      <c r="C110" s="11">
        <f t="shared" si="5"/>
        <v>46127</v>
      </c>
      <c r="D110" s="10">
        <v>3250</v>
      </c>
      <c r="E110" s="10">
        <v>332</v>
      </c>
      <c r="F110" s="10">
        <v>3</v>
      </c>
      <c r="G110" s="10">
        <v>4</v>
      </c>
      <c r="H110" s="10">
        <v>81642</v>
      </c>
      <c r="I110" s="10" t="s">
        <v>17</v>
      </c>
      <c r="J110" s="10">
        <v>28485267</v>
      </c>
      <c r="K110" s="12" t="s">
        <v>736</v>
      </c>
      <c r="L110" s="12" t="s">
        <v>747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1059</v>
      </c>
      <c r="B111" s="11">
        <f t="shared" si="4"/>
        <v>46121</v>
      </c>
      <c r="C111" s="11">
        <f t="shared" si="5"/>
        <v>46127</v>
      </c>
      <c r="D111" s="10">
        <v>3250</v>
      </c>
      <c r="E111" s="10">
        <v>332</v>
      </c>
      <c r="F111" s="10">
        <v>3</v>
      </c>
      <c r="G111" s="10">
        <v>4</v>
      </c>
      <c r="H111" s="10">
        <v>81642</v>
      </c>
      <c r="I111" s="10" t="s">
        <v>17</v>
      </c>
      <c r="J111" s="10">
        <v>28485276</v>
      </c>
      <c r="K111" s="12" t="s">
        <v>736</v>
      </c>
      <c r="L111" s="12" t="s">
        <v>748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1059</v>
      </c>
      <c r="B112" s="11">
        <f t="shared" si="4"/>
        <v>46121</v>
      </c>
      <c r="C112" s="11">
        <f t="shared" si="5"/>
        <v>46127</v>
      </c>
      <c r="D112" s="10">
        <v>3250</v>
      </c>
      <c r="E112" s="10">
        <v>332</v>
      </c>
      <c r="F112" s="10">
        <v>3</v>
      </c>
      <c r="G112" s="10">
        <v>4</v>
      </c>
      <c r="H112" s="10">
        <v>81642</v>
      </c>
      <c r="I112" s="10" t="s">
        <v>17</v>
      </c>
      <c r="J112" s="10">
        <v>28485285</v>
      </c>
      <c r="K112" s="12" t="s">
        <v>736</v>
      </c>
      <c r="L112" s="12" t="s">
        <v>749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1059</v>
      </c>
      <c r="B113" s="11">
        <f t="shared" si="4"/>
        <v>46121</v>
      </c>
      <c r="C113" s="11">
        <f t="shared" si="5"/>
        <v>46127</v>
      </c>
      <c r="D113" s="10">
        <v>3250</v>
      </c>
      <c r="E113" s="10">
        <v>332</v>
      </c>
      <c r="F113" s="10">
        <v>3</v>
      </c>
      <c r="G113" s="10">
        <v>4</v>
      </c>
      <c r="H113" s="10">
        <v>81642</v>
      </c>
      <c r="I113" s="10" t="s">
        <v>17</v>
      </c>
      <c r="J113" s="10">
        <v>28485294</v>
      </c>
      <c r="K113" s="12" t="s">
        <v>736</v>
      </c>
      <c r="L113" s="12" t="s">
        <v>750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1059</v>
      </c>
      <c r="B114" s="11">
        <f t="shared" si="4"/>
        <v>46121</v>
      </c>
      <c r="C114" s="11">
        <f t="shared" si="5"/>
        <v>46127</v>
      </c>
      <c r="D114" s="10">
        <v>3250</v>
      </c>
      <c r="E114" s="10">
        <v>332</v>
      </c>
      <c r="F114" s="10">
        <v>3</v>
      </c>
      <c r="G114" s="10">
        <v>4</v>
      </c>
      <c r="H114" s="10">
        <v>81642</v>
      </c>
      <c r="I114" s="10" t="s">
        <v>17</v>
      </c>
      <c r="J114" s="10">
        <v>28485301</v>
      </c>
      <c r="K114" s="12" t="s">
        <v>736</v>
      </c>
      <c r="L114" s="12" t="s">
        <v>751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1059</v>
      </c>
      <c r="B115" s="11">
        <f t="shared" si="4"/>
        <v>46121</v>
      </c>
      <c r="C115" s="11">
        <f t="shared" si="5"/>
        <v>46127</v>
      </c>
      <c r="D115" s="10">
        <v>3250</v>
      </c>
      <c r="E115" s="10">
        <v>332</v>
      </c>
      <c r="F115" s="10">
        <v>3</v>
      </c>
      <c r="G115" s="10">
        <v>4</v>
      </c>
      <c r="H115" s="10">
        <v>81642</v>
      </c>
      <c r="I115" s="10" t="s">
        <v>17</v>
      </c>
      <c r="J115" s="10">
        <v>28485310</v>
      </c>
      <c r="K115" s="12" t="s">
        <v>736</v>
      </c>
      <c r="L115" s="12" t="s">
        <v>752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1059</v>
      </c>
      <c r="B116" s="11">
        <f t="shared" si="4"/>
        <v>46121</v>
      </c>
      <c r="C116" s="11">
        <f t="shared" si="5"/>
        <v>46127</v>
      </c>
      <c r="D116" s="10">
        <v>3250</v>
      </c>
      <c r="E116" s="10">
        <v>332</v>
      </c>
      <c r="F116" s="10">
        <v>3</v>
      </c>
      <c r="G116" s="10">
        <v>4</v>
      </c>
      <c r="H116" s="10">
        <v>81642</v>
      </c>
      <c r="I116" s="10" t="s">
        <v>17</v>
      </c>
      <c r="J116" s="10">
        <v>28485329</v>
      </c>
      <c r="K116" s="12" t="s">
        <v>736</v>
      </c>
      <c r="L116" s="12" t="s">
        <v>753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1059</v>
      </c>
      <c r="B117" s="11">
        <f t="shared" si="4"/>
        <v>46121</v>
      </c>
      <c r="C117" s="11">
        <f t="shared" si="5"/>
        <v>46127</v>
      </c>
      <c r="D117" s="10">
        <v>3250</v>
      </c>
      <c r="E117" s="10">
        <v>332</v>
      </c>
      <c r="F117" s="10">
        <v>3</v>
      </c>
      <c r="G117" s="10">
        <v>4</v>
      </c>
      <c r="H117" s="10">
        <v>81642</v>
      </c>
      <c r="I117" s="10" t="s">
        <v>17</v>
      </c>
      <c r="J117" s="10">
        <v>28485338</v>
      </c>
      <c r="K117" s="12" t="s">
        <v>736</v>
      </c>
      <c r="L117" s="12" t="s">
        <v>754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1059</v>
      </c>
      <c r="B118" s="11">
        <f t="shared" si="4"/>
        <v>46121</v>
      </c>
      <c r="C118" s="11">
        <f t="shared" si="5"/>
        <v>46127</v>
      </c>
      <c r="D118" s="10">
        <v>3250</v>
      </c>
      <c r="E118" s="10">
        <v>332</v>
      </c>
      <c r="F118" s="10">
        <v>3</v>
      </c>
      <c r="G118" s="10">
        <v>4</v>
      </c>
      <c r="H118" s="10">
        <v>81642</v>
      </c>
      <c r="I118" s="10" t="s">
        <v>17</v>
      </c>
      <c r="J118" s="10">
        <v>28485347</v>
      </c>
      <c r="K118" s="12" t="s">
        <v>736</v>
      </c>
      <c r="L118" s="12" t="s">
        <v>755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1059</v>
      </c>
      <c r="B119" s="11">
        <f t="shared" si="4"/>
        <v>46121</v>
      </c>
      <c r="C119" s="11">
        <f t="shared" si="5"/>
        <v>46127</v>
      </c>
      <c r="D119" s="10">
        <v>3250</v>
      </c>
      <c r="E119" s="10">
        <v>332</v>
      </c>
      <c r="F119" s="10">
        <v>3</v>
      </c>
      <c r="G119" s="10">
        <v>4</v>
      </c>
      <c r="H119" s="10">
        <v>81642</v>
      </c>
      <c r="I119" s="10" t="s">
        <v>17</v>
      </c>
      <c r="J119" s="10">
        <v>28485356</v>
      </c>
      <c r="K119" s="12" t="s">
        <v>736</v>
      </c>
      <c r="L119" s="12" t="s">
        <v>756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1059</v>
      </c>
      <c r="B120" s="11">
        <f t="shared" si="4"/>
        <v>46121</v>
      </c>
      <c r="C120" s="11">
        <f t="shared" si="5"/>
        <v>46127</v>
      </c>
      <c r="D120" s="10">
        <v>3250</v>
      </c>
      <c r="E120" s="10">
        <v>332</v>
      </c>
      <c r="F120" s="10">
        <v>3</v>
      </c>
      <c r="G120" s="10">
        <v>4</v>
      </c>
      <c r="H120" s="10">
        <v>81642</v>
      </c>
      <c r="I120" s="10" t="s">
        <v>17</v>
      </c>
      <c r="J120" s="10">
        <v>29380216</v>
      </c>
      <c r="K120" s="12" t="s">
        <v>736</v>
      </c>
      <c r="L120" s="12" t="s">
        <v>757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1059</v>
      </c>
      <c r="B121" s="11">
        <f t="shared" si="4"/>
        <v>46121</v>
      </c>
      <c r="C121" s="11">
        <f t="shared" si="5"/>
        <v>46127</v>
      </c>
      <c r="D121" s="10">
        <v>3250</v>
      </c>
      <c r="E121" s="10">
        <v>332</v>
      </c>
      <c r="F121" s="10">
        <v>3</v>
      </c>
      <c r="G121" s="10">
        <v>4</v>
      </c>
      <c r="H121" s="10">
        <v>81642</v>
      </c>
      <c r="I121" s="10" t="s">
        <v>17</v>
      </c>
      <c r="J121" s="10">
        <v>29380225</v>
      </c>
      <c r="K121" s="12" t="s">
        <v>736</v>
      </c>
      <c r="L121" s="12" t="s">
        <v>758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1059</v>
      </c>
      <c r="B122" s="11">
        <f t="shared" si="4"/>
        <v>46121</v>
      </c>
      <c r="C122" s="11">
        <f t="shared" si="5"/>
        <v>46127</v>
      </c>
      <c r="D122" s="10">
        <v>3250</v>
      </c>
      <c r="E122" s="10">
        <v>332</v>
      </c>
      <c r="F122" s="10">
        <v>3</v>
      </c>
      <c r="G122" s="10">
        <v>4</v>
      </c>
      <c r="H122" s="10">
        <v>81642</v>
      </c>
      <c r="I122" s="10" t="s">
        <v>17</v>
      </c>
      <c r="J122" s="10">
        <v>29380234</v>
      </c>
      <c r="K122" s="12" t="s">
        <v>736</v>
      </c>
      <c r="L122" s="12" t="s">
        <v>759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1059</v>
      </c>
      <c r="B123" s="11">
        <f t="shared" si="4"/>
        <v>46121</v>
      </c>
      <c r="C123" s="11">
        <f t="shared" si="5"/>
        <v>46127</v>
      </c>
      <c r="D123" s="10">
        <v>3250</v>
      </c>
      <c r="E123" s="10">
        <v>332</v>
      </c>
      <c r="F123" s="10">
        <v>3</v>
      </c>
      <c r="G123" s="10">
        <v>4</v>
      </c>
      <c r="H123" s="10">
        <v>81642</v>
      </c>
      <c r="I123" s="10" t="s">
        <v>17</v>
      </c>
      <c r="J123" s="10">
        <v>29380243</v>
      </c>
      <c r="K123" s="12" t="s">
        <v>736</v>
      </c>
      <c r="L123" s="12" t="s">
        <v>760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1059</v>
      </c>
      <c r="B124" s="11">
        <f t="shared" si="4"/>
        <v>46121</v>
      </c>
      <c r="C124" s="11">
        <f t="shared" si="5"/>
        <v>46127</v>
      </c>
      <c r="D124" s="10">
        <v>3250</v>
      </c>
      <c r="E124" s="10">
        <v>332</v>
      </c>
      <c r="F124" s="10">
        <v>3</v>
      </c>
      <c r="G124" s="10">
        <v>4</v>
      </c>
      <c r="H124" s="10">
        <v>81642</v>
      </c>
      <c r="I124" s="10" t="s">
        <v>17</v>
      </c>
      <c r="J124" s="10">
        <v>29380252</v>
      </c>
      <c r="K124" s="12" t="s">
        <v>736</v>
      </c>
      <c r="L124" s="12" t="s">
        <v>761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1059</v>
      </c>
      <c r="B125" s="11">
        <f t="shared" si="4"/>
        <v>46121</v>
      </c>
      <c r="C125" s="11">
        <f t="shared" si="5"/>
        <v>46127</v>
      </c>
      <c r="D125" s="10">
        <v>3250</v>
      </c>
      <c r="E125" s="10">
        <v>332</v>
      </c>
      <c r="F125" s="10">
        <v>3</v>
      </c>
      <c r="G125" s="10">
        <v>4</v>
      </c>
      <c r="H125" s="10">
        <v>81642</v>
      </c>
      <c r="I125" s="10" t="s">
        <v>17</v>
      </c>
      <c r="J125" s="10">
        <v>29380261</v>
      </c>
      <c r="K125" s="12" t="s">
        <v>736</v>
      </c>
      <c r="L125" s="12" t="s">
        <v>762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1059</v>
      </c>
      <c r="B126" s="11">
        <f t="shared" si="4"/>
        <v>46121</v>
      </c>
      <c r="C126" s="11">
        <f t="shared" si="5"/>
        <v>46127</v>
      </c>
      <c r="D126" s="10">
        <v>3250</v>
      </c>
      <c r="E126" s="10">
        <v>332</v>
      </c>
      <c r="F126" s="10">
        <v>3</v>
      </c>
      <c r="G126" s="10">
        <v>4</v>
      </c>
      <c r="H126" s="10">
        <v>81642</v>
      </c>
      <c r="I126" s="10" t="s">
        <v>17</v>
      </c>
      <c r="J126" s="10">
        <v>29380270</v>
      </c>
      <c r="K126" s="12" t="s">
        <v>736</v>
      </c>
      <c r="L126" s="12" t="s">
        <v>763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1059</v>
      </c>
      <c r="B127" s="11">
        <f t="shared" si="4"/>
        <v>46121</v>
      </c>
      <c r="C127" s="11">
        <f t="shared" si="5"/>
        <v>46127</v>
      </c>
      <c r="D127" s="10">
        <v>3250</v>
      </c>
      <c r="E127" s="10">
        <v>332</v>
      </c>
      <c r="F127" s="10">
        <v>3</v>
      </c>
      <c r="G127" s="10">
        <v>4</v>
      </c>
      <c r="H127" s="10">
        <v>81642</v>
      </c>
      <c r="I127" s="10" t="s">
        <v>17</v>
      </c>
      <c r="J127" s="10">
        <v>29380289</v>
      </c>
      <c r="K127" s="12" t="s">
        <v>736</v>
      </c>
      <c r="L127" s="12" t="s">
        <v>764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1059</v>
      </c>
      <c r="B128" s="11">
        <f t="shared" si="4"/>
        <v>46121</v>
      </c>
      <c r="C128" s="11">
        <f t="shared" si="5"/>
        <v>46127</v>
      </c>
      <c r="D128" s="10">
        <v>3250</v>
      </c>
      <c r="E128" s="10">
        <v>332</v>
      </c>
      <c r="F128" s="10">
        <v>3</v>
      </c>
      <c r="G128" s="10">
        <v>4</v>
      </c>
      <c r="H128" s="10">
        <v>81642</v>
      </c>
      <c r="I128" s="10" t="s">
        <v>17</v>
      </c>
      <c r="J128" s="10">
        <v>29380298</v>
      </c>
      <c r="K128" s="12" t="s">
        <v>736</v>
      </c>
      <c r="L128" s="12" t="s">
        <v>765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1059</v>
      </c>
      <c r="B129" s="11">
        <f t="shared" si="4"/>
        <v>46121</v>
      </c>
      <c r="C129" s="11">
        <f t="shared" si="5"/>
        <v>46127</v>
      </c>
      <c r="D129" s="10">
        <v>3250</v>
      </c>
      <c r="E129" s="10">
        <v>332</v>
      </c>
      <c r="F129" s="10">
        <v>3</v>
      </c>
      <c r="G129" s="10">
        <v>4</v>
      </c>
      <c r="H129" s="10">
        <v>81642</v>
      </c>
      <c r="I129" s="10" t="s">
        <v>17</v>
      </c>
      <c r="J129" s="10">
        <v>29380305</v>
      </c>
      <c r="K129" s="12" t="s">
        <v>736</v>
      </c>
      <c r="L129" s="12" t="s">
        <v>766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1059</v>
      </c>
      <c r="B130" s="11">
        <f t="shared" si="4"/>
        <v>46121</v>
      </c>
      <c r="C130" s="11">
        <f t="shared" si="5"/>
        <v>46127</v>
      </c>
      <c r="D130" s="10">
        <v>3250</v>
      </c>
      <c r="E130" s="10">
        <v>332</v>
      </c>
      <c r="F130" s="10">
        <v>3</v>
      </c>
      <c r="G130" s="10">
        <v>4</v>
      </c>
      <c r="H130" s="10">
        <v>81447</v>
      </c>
      <c r="I130" s="10" t="s">
        <v>17</v>
      </c>
      <c r="J130" s="10">
        <v>17639782</v>
      </c>
      <c r="K130" s="12" t="s">
        <v>44</v>
      </c>
      <c r="L130" s="12" t="s">
        <v>767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1059</v>
      </c>
      <c r="B131" s="11">
        <f t="shared" si="4"/>
        <v>46121</v>
      </c>
      <c r="C131" s="11">
        <f t="shared" si="5"/>
        <v>46127</v>
      </c>
      <c r="D131" s="10">
        <v>3250</v>
      </c>
      <c r="E131" s="10">
        <v>332</v>
      </c>
      <c r="F131" s="10">
        <v>3</v>
      </c>
      <c r="G131" s="10">
        <v>4</v>
      </c>
      <c r="H131" s="10">
        <v>81447</v>
      </c>
      <c r="I131" s="10" t="s">
        <v>17</v>
      </c>
      <c r="J131" s="10">
        <v>17639791</v>
      </c>
      <c r="K131" s="12" t="s">
        <v>44</v>
      </c>
      <c r="L131" s="12" t="s">
        <v>768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1059</v>
      </c>
      <c r="B132" s="11">
        <f t="shared" ref="B132:B195" si="7">B131</f>
        <v>46121</v>
      </c>
      <c r="C132" s="11">
        <f t="shared" ref="C132:C195" si="8">C131</f>
        <v>46127</v>
      </c>
      <c r="D132" s="10">
        <v>3250</v>
      </c>
      <c r="E132" s="10">
        <v>332</v>
      </c>
      <c r="F132" s="10">
        <v>3</v>
      </c>
      <c r="G132" s="10">
        <v>4</v>
      </c>
      <c r="H132" s="10">
        <v>81447</v>
      </c>
      <c r="I132" s="10" t="s">
        <v>17</v>
      </c>
      <c r="J132" s="10">
        <v>17639808</v>
      </c>
      <c r="K132" s="12" t="s">
        <v>44</v>
      </c>
      <c r="L132" s="12" t="s">
        <v>769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1059</v>
      </c>
      <c r="B133" s="11">
        <f t="shared" si="7"/>
        <v>46121</v>
      </c>
      <c r="C133" s="11">
        <f t="shared" si="8"/>
        <v>46127</v>
      </c>
      <c r="D133" s="10">
        <v>3250</v>
      </c>
      <c r="E133" s="10">
        <v>332</v>
      </c>
      <c r="F133" s="10">
        <v>3</v>
      </c>
      <c r="G133" s="10">
        <v>4</v>
      </c>
      <c r="H133" s="10">
        <v>81447</v>
      </c>
      <c r="I133" s="10" t="s">
        <v>17</v>
      </c>
      <c r="J133" s="10">
        <v>17639817</v>
      </c>
      <c r="K133" s="12" t="s">
        <v>44</v>
      </c>
      <c r="L133" s="12" t="s">
        <v>770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1059</v>
      </c>
      <c r="B134" s="11">
        <f t="shared" si="7"/>
        <v>46121</v>
      </c>
      <c r="C134" s="11">
        <f t="shared" si="8"/>
        <v>46127</v>
      </c>
      <c r="D134" s="10">
        <v>3250</v>
      </c>
      <c r="E134" s="10">
        <v>332</v>
      </c>
      <c r="F134" s="10">
        <v>3</v>
      </c>
      <c r="G134" s="10">
        <v>4</v>
      </c>
      <c r="H134" s="10">
        <v>81447</v>
      </c>
      <c r="I134" s="10" t="s">
        <v>17</v>
      </c>
      <c r="J134" s="10">
        <v>17639826</v>
      </c>
      <c r="K134" s="12" t="s">
        <v>44</v>
      </c>
      <c r="L134" s="12" t="s">
        <v>771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1059</v>
      </c>
      <c r="B135" s="11">
        <f t="shared" si="7"/>
        <v>46121</v>
      </c>
      <c r="C135" s="11">
        <f t="shared" si="8"/>
        <v>46127</v>
      </c>
      <c r="D135" s="10">
        <v>3250</v>
      </c>
      <c r="E135" s="10">
        <v>332</v>
      </c>
      <c r="F135" s="10">
        <v>3</v>
      </c>
      <c r="G135" s="10">
        <v>4</v>
      </c>
      <c r="H135" s="10">
        <v>81447</v>
      </c>
      <c r="I135" s="10" t="s">
        <v>17</v>
      </c>
      <c r="J135" s="10">
        <v>17639835</v>
      </c>
      <c r="K135" s="12" t="s">
        <v>44</v>
      </c>
      <c r="L135" s="12" t="s">
        <v>772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1059</v>
      </c>
      <c r="B136" s="11">
        <f t="shared" si="7"/>
        <v>46121</v>
      </c>
      <c r="C136" s="11">
        <f t="shared" si="8"/>
        <v>46127</v>
      </c>
      <c r="D136" s="10">
        <v>3250</v>
      </c>
      <c r="E136" s="10">
        <v>332</v>
      </c>
      <c r="F136" s="10">
        <v>3</v>
      </c>
      <c r="G136" s="10">
        <v>4</v>
      </c>
      <c r="H136" s="10">
        <v>81447</v>
      </c>
      <c r="I136" s="10" t="s">
        <v>17</v>
      </c>
      <c r="J136" s="10">
        <v>17639844</v>
      </c>
      <c r="K136" s="12" t="s">
        <v>44</v>
      </c>
      <c r="L136" s="12" t="s">
        <v>773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1059</v>
      </c>
      <c r="B137" s="11">
        <f t="shared" si="7"/>
        <v>46121</v>
      </c>
      <c r="C137" s="11">
        <f t="shared" si="8"/>
        <v>46127</v>
      </c>
      <c r="D137" s="10">
        <v>3250</v>
      </c>
      <c r="E137" s="10">
        <v>332</v>
      </c>
      <c r="F137" s="10">
        <v>3</v>
      </c>
      <c r="G137" s="10">
        <v>4</v>
      </c>
      <c r="H137" s="10">
        <v>81447</v>
      </c>
      <c r="I137" s="10" t="s">
        <v>17</v>
      </c>
      <c r="J137" s="10">
        <v>17639853</v>
      </c>
      <c r="K137" s="12" t="s">
        <v>44</v>
      </c>
      <c r="L137" s="12" t="s">
        <v>774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1059</v>
      </c>
      <c r="B138" s="11">
        <f t="shared" si="7"/>
        <v>46121</v>
      </c>
      <c r="C138" s="11">
        <f t="shared" si="8"/>
        <v>46127</v>
      </c>
      <c r="D138" s="10">
        <v>3250</v>
      </c>
      <c r="E138" s="10">
        <v>332</v>
      </c>
      <c r="F138" s="10">
        <v>3</v>
      </c>
      <c r="G138" s="10">
        <v>4</v>
      </c>
      <c r="H138" s="10">
        <v>81447</v>
      </c>
      <c r="I138" s="10" t="s">
        <v>17</v>
      </c>
      <c r="J138" s="10">
        <v>17639862</v>
      </c>
      <c r="K138" s="12" t="s">
        <v>44</v>
      </c>
      <c r="L138" s="12" t="s">
        <v>775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1059</v>
      </c>
      <c r="B139" s="11">
        <f t="shared" si="7"/>
        <v>46121</v>
      </c>
      <c r="C139" s="11">
        <f t="shared" si="8"/>
        <v>46127</v>
      </c>
      <c r="D139" s="10">
        <v>3250</v>
      </c>
      <c r="E139" s="10">
        <v>332</v>
      </c>
      <c r="F139" s="10">
        <v>3</v>
      </c>
      <c r="G139" s="10">
        <v>4</v>
      </c>
      <c r="H139" s="10">
        <v>81447</v>
      </c>
      <c r="I139" s="10" t="s">
        <v>17</v>
      </c>
      <c r="J139" s="10">
        <v>17639871</v>
      </c>
      <c r="K139" s="12" t="s">
        <v>44</v>
      </c>
      <c r="L139" s="12" t="s">
        <v>776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1059</v>
      </c>
      <c r="B140" s="11">
        <f t="shared" si="7"/>
        <v>46121</v>
      </c>
      <c r="C140" s="11">
        <f t="shared" si="8"/>
        <v>46127</v>
      </c>
      <c r="D140" s="10">
        <v>3250</v>
      </c>
      <c r="E140" s="10">
        <v>332</v>
      </c>
      <c r="F140" s="10">
        <v>3</v>
      </c>
      <c r="G140" s="10">
        <v>4</v>
      </c>
      <c r="H140" s="10">
        <v>81447</v>
      </c>
      <c r="I140" s="10" t="s">
        <v>17</v>
      </c>
      <c r="J140" s="10">
        <v>17639880</v>
      </c>
      <c r="K140" s="12" t="s">
        <v>44</v>
      </c>
      <c r="L140" s="12" t="s">
        <v>777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1059</v>
      </c>
      <c r="B141" s="11">
        <f t="shared" si="7"/>
        <v>46121</v>
      </c>
      <c r="C141" s="11">
        <f t="shared" si="8"/>
        <v>46127</v>
      </c>
      <c r="D141" s="10">
        <v>3250</v>
      </c>
      <c r="E141" s="10">
        <v>332</v>
      </c>
      <c r="F141" s="10">
        <v>3</v>
      </c>
      <c r="G141" s="10">
        <v>4</v>
      </c>
      <c r="H141" s="10">
        <v>81447</v>
      </c>
      <c r="I141" s="10" t="s">
        <v>17</v>
      </c>
      <c r="J141" s="10">
        <v>17639899</v>
      </c>
      <c r="K141" s="12" t="s">
        <v>44</v>
      </c>
      <c r="L141" s="12" t="s">
        <v>778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1059</v>
      </c>
      <c r="B142" s="11">
        <f t="shared" si="7"/>
        <v>46121</v>
      </c>
      <c r="C142" s="11">
        <f t="shared" si="8"/>
        <v>46127</v>
      </c>
      <c r="D142" s="10">
        <v>3250</v>
      </c>
      <c r="E142" s="10">
        <v>332</v>
      </c>
      <c r="F142" s="10">
        <v>3</v>
      </c>
      <c r="G142" s="10">
        <v>4</v>
      </c>
      <c r="H142" s="10">
        <v>81447</v>
      </c>
      <c r="I142" s="10" t="s">
        <v>17</v>
      </c>
      <c r="J142" s="10">
        <v>17639915</v>
      </c>
      <c r="K142" s="12" t="s">
        <v>44</v>
      </c>
      <c r="L142" s="12" t="s">
        <v>779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1059</v>
      </c>
      <c r="B143" s="11">
        <f t="shared" si="7"/>
        <v>46121</v>
      </c>
      <c r="C143" s="11">
        <f t="shared" si="8"/>
        <v>46127</v>
      </c>
      <c r="D143" s="10">
        <v>3250</v>
      </c>
      <c r="E143" s="10">
        <v>332</v>
      </c>
      <c r="F143" s="10">
        <v>3</v>
      </c>
      <c r="G143" s="10">
        <v>4</v>
      </c>
      <c r="H143" s="10">
        <v>81447</v>
      </c>
      <c r="I143" s="10" t="s">
        <v>17</v>
      </c>
      <c r="J143" s="10">
        <v>17639924</v>
      </c>
      <c r="K143" s="12" t="s">
        <v>44</v>
      </c>
      <c r="L143" s="12" t="s">
        <v>780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1059</v>
      </c>
      <c r="B144" s="11">
        <f t="shared" si="7"/>
        <v>46121</v>
      </c>
      <c r="C144" s="11">
        <f t="shared" si="8"/>
        <v>46127</v>
      </c>
      <c r="D144" s="10">
        <v>3250</v>
      </c>
      <c r="E144" s="10">
        <v>332</v>
      </c>
      <c r="F144" s="10">
        <v>3</v>
      </c>
      <c r="G144" s="10">
        <v>4</v>
      </c>
      <c r="H144" s="10">
        <v>81447</v>
      </c>
      <c r="I144" s="10" t="s">
        <v>17</v>
      </c>
      <c r="J144" s="10">
        <v>17639933</v>
      </c>
      <c r="K144" s="12" t="s">
        <v>44</v>
      </c>
      <c r="L144" s="12" t="s">
        <v>781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1059</v>
      </c>
      <c r="B145" s="11">
        <f t="shared" si="7"/>
        <v>46121</v>
      </c>
      <c r="C145" s="11">
        <f t="shared" si="8"/>
        <v>46127</v>
      </c>
      <c r="D145" s="10">
        <v>3250</v>
      </c>
      <c r="E145" s="10">
        <v>332</v>
      </c>
      <c r="F145" s="10">
        <v>3</v>
      </c>
      <c r="G145" s="10">
        <v>4</v>
      </c>
      <c r="H145" s="10">
        <v>81447</v>
      </c>
      <c r="I145" s="10" t="s">
        <v>17</v>
      </c>
      <c r="J145" s="10">
        <v>17639942</v>
      </c>
      <c r="K145" s="12" t="s">
        <v>44</v>
      </c>
      <c r="L145" s="12" t="s">
        <v>782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1059</v>
      </c>
      <c r="B146" s="11">
        <f t="shared" si="7"/>
        <v>46121</v>
      </c>
      <c r="C146" s="11">
        <f t="shared" si="8"/>
        <v>46127</v>
      </c>
      <c r="D146" s="10">
        <v>3250</v>
      </c>
      <c r="E146" s="10">
        <v>332</v>
      </c>
      <c r="F146" s="10">
        <v>3</v>
      </c>
      <c r="G146" s="10">
        <v>4</v>
      </c>
      <c r="H146" s="10">
        <v>81447</v>
      </c>
      <c r="I146" s="10" t="s">
        <v>17</v>
      </c>
      <c r="J146" s="10">
        <v>17639951</v>
      </c>
      <c r="K146" s="12" t="s">
        <v>44</v>
      </c>
      <c r="L146" s="12" t="s">
        <v>783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1059</v>
      </c>
      <c r="B147" s="11">
        <f t="shared" si="7"/>
        <v>46121</v>
      </c>
      <c r="C147" s="11">
        <f t="shared" si="8"/>
        <v>46127</v>
      </c>
      <c r="D147" s="10">
        <v>3250</v>
      </c>
      <c r="E147" s="10">
        <v>332</v>
      </c>
      <c r="F147" s="10">
        <v>3</v>
      </c>
      <c r="G147" s="10">
        <v>4</v>
      </c>
      <c r="H147" s="10">
        <v>81447</v>
      </c>
      <c r="I147" s="10" t="s">
        <v>17</v>
      </c>
      <c r="J147" s="10">
        <v>17639960</v>
      </c>
      <c r="K147" s="12" t="s">
        <v>44</v>
      </c>
      <c r="L147" s="12" t="s">
        <v>784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1059</v>
      </c>
      <c r="B148" s="11">
        <f t="shared" si="7"/>
        <v>46121</v>
      </c>
      <c r="C148" s="11">
        <f t="shared" si="8"/>
        <v>46127</v>
      </c>
      <c r="D148" s="10">
        <v>3250</v>
      </c>
      <c r="E148" s="10">
        <v>332</v>
      </c>
      <c r="F148" s="10">
        <v>3</v>
      </c>
      <c r="G148" s="10">
        <v>4</v>
      </c>
      <c r="H148" s="10">
        <v>81447</v>
      </c>
      <c r="I148" s="10" t="s">
        <v>17</v>
      </c>
      <c r="J148" s="10">
        <v>17639979</v>
      </c>
      <c r="K148" s="12" t="s">
        <v>44</v>
      </c>
      <c r="L148" s="12" t="s">
        <v>785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1059</v>
      </c>
      <c r="B149" s="11">
        <f t="shared" si="7"/>
        <v>46121</v>
      </c>
      <c r="C149" s="11">
        <f t="shared" si="8"/>
        <v>46127</v>
      </c>
      <c r="D149" s="10">
        <v>3250</v>
      </c>
      <c r="E149" s="10">
        <v>332</v>
      </c>
      <c r="F149" s="10">
        <v>3</v>
      </c>
      <c r="G149" s="10">
        <v>4</v>
      </c>
      <c r="H149" s="10">
        <v>81447</v>
      </c>
      <c r="I149" s="10" t="s">
        <v>17</v>
      </c>
      <c r="J149" s="10">
        <v>17640181</v>
      </c>
      <c r="K149" s="12" t="s">
        <v>44</v>
      </c>
      <c r="L149" s="12" t="s">
        <v>786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1059</v>
      </c>
      <c r="B150" s="11">
        <f t="shared" si="7"/>
        <v>46121</v>
      </c>
      <c r="C150" s="11">
        <f t="shared" si="8"/>
        <v>46127</v>
      </c>
      <c r="D150" s="10">
        <v>3250</v>
      </c>
      <c r="E150" s="10">
        <v>332</v>
      </c>
      <c r="F150" s="10">
        <v>3</v>
      </c>
      <c r="G150" s="10">
        <v>4</v>
      </c>
      <c r="H150" s="10">
        <v>81447</v>
      </c>
      <c r="I150" s="10" t="s">
        <v>17</v>
      </c>
      <c r="J150" s="10">
        <v>17640190</v>
      </c>
      <c r="K150" s="12" t="s">
        <v>44</v>
      </c>
      <c r="L150" s="12" t="s">
        <v>787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1059</v>
      </c>
      <c r="B151" s="11">
        <f t="shared" si="7"/>
        <v>46121</v>
      </c>
      <c r="C151" s="11">
        <f t="shared" si="8"/>
        <v>46127</v>
      </c>
      <c r="D151" s="10">
        <v>3250</v>
      </c>
      <c r="E151" s="10">
        <v>332</v>
      </c>
      <c r="F151" s="10">
        <v>3</v>
      </c>
      <c r="G151" s="10">
        <v>4</v>
      </c>
      <c r="H151" s="10">
        <v>81447</v>
      </c>
      <c r="I151" s="10" t="s">
        <v>17</v>
      </c>
      <c r="J151" s="10">
        <v>17640207</v>
      </c>
      <c r="K151" s="12" t="s">
        <v>44</v>
      </c>
      <c r="L151" s="12" t="s">
        <v>788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1059</v>
      </c>
      <c r="B152" s="11">
        <f t="shared" si="7"/>
        <v>46121</v>
      </c>
      <c r="C152" s="11">
        <f t="shared" si="8"/>
        <v>46127</v>
      </c>
      <c r="D152" s="10">
        <v>3250</v>
      </c>
      <c r="E152" s="10">
        <v>332</v>
      </c>
      <c r="F152" s="10">
        <v>3</v>
      </c>
      <c r="G152" s="10">
        <v>4</v>
      </c>
      <c r="H152" s="10">
        <v>81447</v>
      </c>
      <c r="I152" s="10" t="s">
        <v>17</v>
      </c>
      <c r="J152" s="10">
        <v>17640216</v>
      </c>
      <c r="K152" s="12" t="s">
        <v>44</v>
      </c>
      <c r="L152" s="12" t="s">
        <v>789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1059</v>
      </c>
      <c r="B153" s="11">
        <f t="shared" si="7"/>
        <v>46121</v>
      </c>
      <c r="C153" s="11">
        <f t="shared" si="8"/>
        <v>46127</v>
      </c>
      <c r="D153" s="10">
        <v>3250</v>
      </c>
      <c r="E153" s="10">
        <v>332</v>
      </c>
      <c r="F153" s="10">
        <v>3</v>
      </c>
      <c r="G153" s="10">
        <v>4</v>
      </c>
      <c r="H153" s="10">
        <v>81447</v>
      </c>
      <c r="I153" s="10" t="s">
        <v>17</v>
      </c>
      <c r="J153" s="10">
        <v>17640225</v>
      </c>
      <c r="K153" s="12" t="s">
        <v>44</v>
      </c>
      <c r="L153" s="12" t="s">
        <v>790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1059</v>
      </c>
      <c r="B154" s="11">
        <f t="shared" si="7"/>
        <v>46121</v>
      </c>
      <c r="C154" s="11">
        <f t="shared" si="8"/>
        <v>46127</v>
      </c>
      <c r="D154" s="10">
        <v>3250</v>
      </c>
      <c r="E154" s="10">
        <v>332</v>
      </c>
      <c r="F154" s="10">
        <v>3</v>
      </c>
      <c r="G154" s="10">
        <v>4</v>
      </c>
      <c r="H154" s="10">
        <v>81447</v>
      </c>
      <c r="I154" s="10" t="s">
        <v>17</v>
      </c>
      <c r="J154" s="10">
        <v>17640234</v>
      </c>
      <c r="K154" s="12" t="s">
        <v>44</v>
      </c>
      <c r="L154" s="12" t="s">
        <v>791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1059</v>
      </c>
      <c r="B155" s="11">
        <f t="shared" si="7"/>
        <v>46121</v>
      </c>
      <c r="C155" s="11">
        <f t="shared" si="8"/>
        <v>46127</v>
      </c>
      <c r="D155" s="10">
        <v>3250</v>
      </c>
      <c r="E155" s="10">
        <v>332</v>
      </c>
      <c r="F155" s="10">
        <v>3</v>
      </c>
      <c r="G155" s="10">
        <v>4</v>
      </c>
      <c r="H155" s="10">
        <v>81447</v>
      </c>
      <c r="I155" s="10" t="s">
        <v>17</v>
      </c>
      <c r="J155" s="10">
        <v>17640243</v>
      </c>
      <c r="K155" s="12" t="s">
        <v>44</v>
      </c>
      <c r="L155" s="12" t="s">
        <v>792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1059</v>
      </c>
      <c r="B156" s="11">
        <f t="shared" si="7"/>
        <v>46121</v>
      </c>
      <c r="C156" s="11">
        <f t="shared" si="8"/>
        <v>46127</v>
      </c>
      <c r="D156" s="10">
        <v>3250</v>
      </c>
      <c r="E156" s="10">
        <v>332</v>
      </c>
      <c r="F156" s="10">
        <v>3</v>
      </c>
      <c r="G156" s="10">
        <v>4</v>
      </c>
      <c r="H156" s="10">
        <v>81447</v>
      </c>
      <c r="I156" s="10" t="s">
        <v>17</v>
      </c>
      <c r="J156" s="10">
        <v>17640252</v>
      </c>
      <c r="K156" s="12" t="s">
        <v>44</v>
      </c>
      <c r="L156" s="12" t="s">
        <v>793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1059</v>
      </c>
      <c r="B157" s="11">
        <f t="shared" si="7"/>
        <v>46121</v>
      </c>
      <c r="C157" s="11">
        <f t="shared" si="8"/>
        <v>46127</v>
      </c>
      <c r="D157" s="10">
        <v>3250</v>
      </c>
      <c r="E157" s="10">
        <v>332</v>
      </c>
      <c r="F157" s="10">
        <v>3</v>
      </c>
      <c r="G157" s="10">
        <v>4</v>
      </c>
      <c r="H157" s="10">
        <v>81447</v>
      </c>
      <c r="I157" s="10" t="s">
        <v>17</v>
      </c>
      <c r="J157" s="10">
        <v>17640261</v>
      </c>
      <c r="K157" s="12" t="s">
        <v>44</v>
      </c>
      <c r="L157" s="12" t="s">
        <v>794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1059</v>
      </c>
      <c r="B158" s="11">
        <f t="shared" si="7"/>
        <v>46121</v>
      </c>
      <c r="C158" s="11">
        <f t="shared" si="8"/>
        <v>46127</v>
      </c>
      <c r="D158" s="10">
        <v>3250</v>
      </c>
      <c r="E158" s="10">
        <v>332</v>
      </c>
      <c r="F158" s="10">
        <v>3</v>
      </c>
      <c r="G158" s="10">
        <v>4</v>
      </c>
      <c r="H158" s="10">
        <v>81447</v>
      </c>
      <c r="I158" s="10" t="s">
        <v>17</v>
      </c>
      <c r="J158" s="10">
        <v>17640270</v>
      </c>
      <c r="K158" s="12" t="s">
        <v>44</v>
      </c>
      <c r="L158" s="12" t="s">
        <v>795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1059</v>
      </c>
      <c r="B159" s="11">
        <f t="shared" si="7"/>
        <v>46121</v>
      </c>
      <c r="C159" s="11">
        <f t="shared" si="8"/>
        <v>46127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24190841</v>
      </c>
      <c r="K159" s="12" t="s">
        <v>409</v>
      </c>
      <c r="L159" s="12" t="s">
        <v>796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1059</v>
      </c>
      <c r="B160" s="11">
        <f t="shared" si="7"/>
        <v>46121</v>
      </c>
      <c r="C160" s="11">
        <f t="shared" si="8"/>
        <v>46127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24190850</v>
      </c>
      <c r="K160" s="12" t="s">
        <v>409</v>
      </c>
      <c r="L160" s="12" t="s">
        <v>797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1059</v>
      </c>
      <c r="B161" s="11">
        <f t="shared" si="7"/>
        <v>46121</v>
      </c>
      <c r="C161" s="11">
        <f t="shared" si="8"/>
        <v>46127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24190869</v>
      </c>
      <c r="K161" s="12" t="s">
        <v>409</v>
      </c>
      <c r="L161" s="12" t="s">
        <v>798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1059</v>
      </c>
      <c r="B162" s="11">
        <f t="shared" si="7"/>
        <v>46121</v>
      </c>
      <c r="C162" s="11">
        <f t="shared" si="8"/>
        <v>46127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24190878</v>
      </c>
      <c r="K162" s="12" t="s">
        <v>409</v>
      </c>
      <c r="L162" s="12" t="s">
        <v>799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1059</v>
      </c>
      <c r="B163" s="11">
        <f t="shared" si="7"/>
        <v>46121</v>
      </c>
      <c r="C163" s="11">
        <f t="shared" si="8"/>
        <v>46127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24811572</v>
      </c>
      <c r="K163" s="12" t="s">
        <v>800</v>
      </c>
      <c r="L163" s="12" t="s">
        <v>801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1059</v>
      </c>
      <c r="B164" s="11">
        <f t="shared" si="7"/>
        <v>46121</v>
      </c>
      <c r="C164" s="11">
        <f t="shared" si="8"/>
        <v>46127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24811581</v>
      </c>
      <c r="K164" s="12" t="s">
        <v>800</v>
      </c>
      <c r="L164" s="12" t="s">
        <v>802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1059</v>
      </c>
      <c r="B165" s="11">
        <f t="shared" si="7"/>
        <v>46121</v>
      </c>
      <c r="C165" s="11">
        <f t="shared" si="8"/>
        <v>46127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24811590</v>
      </c>
      <c r="K165" s="12" t="s">
        <v>800</v>
      </c>
      <c r="L165" s="12" t="s">
        <v>803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1059</v>
      </c>
      <c r="B166" s="11">
        <f t="shared" si="7"/>
        <v>46121</v>
      </c>
      <c r="C166" s="11">
        <f t="shared" si="8"/>
        <v>46127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24811607</v>
      </c>
      <c r="K166" s="12" t="s">
        <v>800</v>
      </c>
      <c r="L166" s="12" t="s">
        <v>804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1059</v>
      </c>
      <c r="B167" s="11">
        <f t="shared" si="7"/>
        <v>46121</v>
      </c>
      <c r="C167" s="11">
        <f t="shared" si="8"/>
        <v>46127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24811616</v>
      </c>
      <c r="K167" s="12" t="s">
        <v>800</v>
      </c>
      <c r="L167" s="12" t="s">
        <v>805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1059</v>
      </c>
      <c r="B168" s="11">
        <f t="shared" si="7"/>
        <v>46121</v>
      </c>
      <c r="C168" s="11">
        <f t="shared" si="8"/>
        <v>46127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24811625</v>
      </c>
      <c r="K168" s="12" t="s">
        <v>800</v>
      </c>
      <c r="L168" s="12" t="s">
        <v>806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1059</v>
      </c>
      <c r="B169" s="11">
        <f t="shared" si="7"/>
        <v>46121</v>
      </c>
      <c r="C169" s="11">
        <f t="shared" si="8"/>
        <v>46127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26563999</v>
      </c>
      <c r="K169" s="12" t="s">
        <v>807</v>
      </c>
      <c r="L169" s="12" t="s">
        <v>808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1059</v>
      </c>
      <c r="B170" s="11">
        <f t="shared" si="7"/>
        <v>46121</v>
      </c>
      <c r="C170" s="11">
        <f t="shared" si="8"/>
        <v>46127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26564005</v>
      </c>
      <c r="K170" s="12" t="s">
        <v>807</v>
      </c>
      <c r="L170" s="12" t="s">
        <v>809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1059</v>
      </c>
      <c r="B171" s="11">
        <f t="shared" si="7"/>
        <v>46121</v>
      </c>
      <c r="C171" s="11">
        <f t="shared" si="8"/>
        <v>46127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26564014</v>
      </c>
      <c r="K171" s="12" t="s">
        <v>807</v>
      </c>
      <c r="L171" s="12" t="s">
        <v>810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1059</v>
      </c>
      <c r="B172" s="11">
        <f t="shared" si="7"/>
        <v>46121</v>
      </c>
      <c r="C172" s="11">
        <f t="shared" si="8"/>
        <v>46127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26564023</v>
      </c>
      <c r="K172" s="12" t="s">
        <v>807</v>
      </c>
      <c r="L172" s="12" t="s">
        <v>811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1059</v>
      </c>
      <c r="B173" s="11">
        <f t="shared" si="7"/>
        <v>46121</v>
      </c>
      <c r="C173" s="11">
        <f t="shared" si="8"/>
        <v>46127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26564032</v>
      </c>
      <c r="K173" s="12" t="s">
        <v>807</v>
      </c>
      <c r="L173" s="12" t="s">
        <v>812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1059</v>
      </c>
      <c r="B174" s="11">
        <f t="shared" si="7"/>
        <v>46121</v>
      </c>
      <c r="C174" s="11">
        <f t="shared" si="8"/>
        <v>46127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26564041</v>
      </c>
      <c r="K174" s="12" t="s">
        <v>807</v>
      </c>
      <c r="L174" s="12" t="s">
        <v>813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1059</v>
      </c>
      <c r="B175" s="11">
        <f t="shared" si="7"/>
        <v>46121</v>
      </c>
      <c r="C175" s="11">
        <f t="shared" si="8"/>
        <v>46127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26565595</v>
      </c>
      <c r="K175" s="12" t="s">
        <v>814</v>
      </c>
      <c r="L175" s="12" t="s">
        <v>815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1059</v>
      </c>
      <c r="B176" s="11">
        <f t="shared" si="7"/>
        <v>46121</v>
      </c>
      <c r="C176" s="11">
        <f t="shared" si="8"/>
        <v>46127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26565602</v>
      </c>
      <c r="K176" s="12" t="s">
        <v>814</v>
      </c>
      <c r="L176" s="12" t="s">
        <v>816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1059</v>
      </c>
      <c r="B177" s="11">
        <f t="shared" si="7"/>
        <v>46121</v>
      </c>
      <c r="C177" s="11">
        <f t="shared" si="8"/>
        <v>46127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26565611</v>
      </c>
      <c r="K177" s="12" t="s">
        <v>814</v>
      </c>
      <c r="L177" s="12" t="s">
        <v>817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1059</v>
      </c>
      <c r="B178" s="11">
        <f t="shared" si="7"/>
        <v>46121</v>
      </c>
      <c r="C178" s="11">
        <f t="shared" si="8"/>
        <v>46127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26565620</v>
      </c>
      <c r="K178" s="12" t="s">
        <v>814</v>
      </c>
      <c r="L178" s="12" t="s">
        <v>818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1059</v>
      </c>
      <c r="B179" s="11">
        <f t="shared" si="7"/>
        <v>46121</v>
      </c>
      <c r="C179" s="11">
        <f t="shared" si="8"/>
        <v>46127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26565639</v>
      </c>
      <c r="K179" s="12" t="s">
        <v>814</v>
      </c>
      <c r="L179" s="12" t="s">
        <v>819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1059</v>
      </c>
      <c r="B180" s="11">
        <f t="shared" si="7"/>
        <v>46121</v>
      </c>
      <c r="C180" s="11">
        <f t="shared" si="8"/>
        <v>46127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26565648</v>
      </c>
      <c r="K180" s="12" t="s">
        <v>814</v>
      </c>
      <c r="L180" s="12" t="s">
        <v>820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1059</v>
      </c>
      <c r="B181" s="11">
        <f t="shared" si="7"/>
        <v>46121</v>
      </c>
      <c r="C181" s="11">
        <f t="shared" si="8"/>
        <v>46127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26565773</v>
      </c>
      <c r="K181" s="12" t="s">
        <v>821</v>
      </c>
      <c r="L181" s="12" t="s">
        <v>822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1059</v>
      </c>
      <c r="B182" s="11">
        <f t="shared" si="7"/>
        <v>46121</v>
      </c>
      <c r="C182" s="11">
        <f t="shared" si="8"/>
        <v>46127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26565782</v>
      </c>
      <c r="K182" s="12" t="s">
        <v>821</v>
      </c>
      <c r="L182" s="12" t="s">
        <v>823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1059</v>
      </c>
      <c r="B183" s="11">
        <f t="shared" si="7"/>
        <v>46121</v>
      </c>
      <c r="C183" s="11">
        <f t="shared" si="8"/>
        <v>46127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26565791</v>
      </c>
      <c r="K183" s="12" t="s">
        <v>821</v>
      </c>
      <c r="L183" s="12" t="s">
        <v>824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1059</v>
      </c>
      <c r="B184" s="11">
        <f t="shared" si="7"/>
        <v>46121</v>
      </c>
      <c r="C184" s="11">
        <f t="shared" si="8"/>
        <v>46127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26565808</v>
      </c>
      <c r="K184" s="12" t="s">
        <v>821</v>
      </c>
      <c r="L184" s="12" t="s">
        <v>825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1059</v>
      </c>
      <c r="B185" s="11">
        <f t="shared" si="7"/>
        <v>46121</v>
      </c>
      <c r="C185" s="11">
        <f t="shared" si="8"/>
        <v>46127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26565817</v>
      </c>
      <c r="K185" s="12" t="s">
        <v>821</v>
      </c>
      <c r="L185" s="12" t="s">
        <v>826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1059</v>
      </c>
      <c r="B186" s="11">
        <f t="shared" si="7"/>
        <v>46121</v>
      </c>
      <c r="C186" s="11">
        <f t="shared" si="8"/>
        <v>46127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26565826</v>
      </c>
      <c r="K186" s="12" t="s">
        <v>821</v>
      </c>
      <c r="L186" s="12" t="s">
        <v>827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1059</v>
      </c>
      <c r="B187" s="11">
        <f t="shared" si="7"/>
        <v>46121</v>
      </c>
      <c r="C187" s="11">
        <f t="shared" si="8"/>
        <v>46127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26566914</v>
      </c>
      <c r="K187" s="12" t="s">
        <v>828</v>
      </c>
      <c r="L187" s="12" t="s">
        <v>829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1059</v>
      </c>
      <c r="B188" s="11">
        <f t="shared" si="7"/>
        <v>46121</v>
      </c>
      <c r="C188" s="11">
        <f t="shared" si="8"/>
        <v>46127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26566923</v>
      </c>
      <c r="K188" s="12" t="s">
        <v>828</v>
      </c>
      <c r="L188" s="12" t="s">
        <v>830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1059</v>
      </c>
      <c r="B189" s="11">
        <f t="shared" si="7"/>
        <v>46121</v>
      </c>
      <c r="C189" s="11">
        <f t="shared" si="8"/>
        <v>46127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26566932</v>
      </c>
      <c r="K189" s="12" t="s">
        <v>828</v>
      </c>
      <c r="L189" s="12" t="s">
        <v>831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1059</v>
      </c>
      <c r="B190" s="11">
        <f t="shared" si="7"/>
        <v>46121</v>
      </c>
      <c r="C190" s="11">
        <f t="shared" si="8"/>
        <v>46127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26566941</v>
      </c>
      <c r="K190" s="12" t="s">
        <v>828</v>
      </c>
      <c r="L190" s="12" t="s">
        <v>832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1059</v>
      </c>
      <c r="B191" s="11">
        <f t="shared" si="7"/>
        <v>46121</v>
      </c>
      <c r="C191" s="11">
        <f t="shared" si="8"/>
        <v>46127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26566950</v>
      </c>
      <c r="K191" s="12" t="s">
        <v>828</v>
      </c>
      <c r="L191" s="12" t="s">
        <v>833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1059</v>
      </c>
      <c r="B192" s="11">
        <f t="shared" si="7"/>
        <v>46121</v>
      </c>
      <c r="C192" s="11">
        <f t="shared" si="8"/>
        <v>46127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26566969</v>
      </c>
      <c r="K192" s="12" t="s">
        <v>828</v>
      </c>
      <c r="L192" s="12" t="s">
        <v>834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1059</v>
      </c>
      <c r="B193" s="11">
        <f t="shared" si="7"/>
        <v>46121</v>
      </c>
      <c r="C193" s="11">
        <f t="shared" si="8"/>
        <v>46127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26567459</v>
      </c>
      <c r="K193" s="12" t="s">
        <v>835</v>
      </c>
      <c r="L193" s="12" t="s">
        <v>836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1059</v>
      </c>
      <c r="B194" s="11">
        <f t="shared" si="7"/>
        <v>46121</v>
      </c>
      <c r="C194" s="11">
        <f t="shared" si="8"/>
        <v>46127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26567468</v>
      </c>
      <c r="K194" s="12" t="s">
        <v>835</v>
      </c>
      <c r="L194" s="12" t="s">
        <v>837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1059</v>
      </c>
      <c r="B195" s="11">
        <f t="shared" si="7"/>
        <v>46121</v>
      </c>
      <c r="C195" s="11">
        <f t="shared" si="8"/>
        <v>46127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26567477</v>
      </c>
      <c r="K195" s="12" t="s">
        <v>835</v>
      </c>
      <c r="L195" s="12" t="s">
        <v>838</v>
      </c>
      <c r="M195" s="13">
        <v>299900</v>
      </c>
      <c r="N195" s="14">
        <v>0.95</v>
      </c>
      <c r="O195" s="13">
        <f t="shared" ref="O195:O258" si="9">M195-(M195*N195)</f>
        <v>14995</v>
      </c>
      <c r="P195" s="10" t="s">
        <v>16</v>
      </c>
    </row>
    <row r="196" spans="1:16" x14ac:dyDescent="0.35">
      <c r="A196" s="10" t="s">
        <v>1059</v>
      </c>
      <c r="B196" s="11">
        <f t="shared" ref="B196:B259" si="10">B195</f>
        <v>46121</v>
      </c>
      <c r="C196" s="11">
        <f t="shared" ref="C196:C259" si="11">C195</f>
        <v>46127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26567486</v>
      </c>
      <c r="K196" s="12" t="s">
        <v>835</v>
      </c>
      <c r="L196" s="12" t="s">
        <v>839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1059</v>
      </c>
      <c r="B197" s="11">
        <f t="shared" si="10"/>
        <v>46121</v>
      </c>
      <c r="C197" s="11">
        <f t="shared" si="11"/>
        <v>46127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26567495</v>
      </c>
      <c r="K197" s="12" t="s">
        <v>835</v>
      </c>
      <c r="L197" s="12" t="s">
        <v>840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1059</v>
      </c>
      <c r="B198" s="11">
        <f t="shared" si="10"/>
        <v>46121</v>
      </c>
      <c r="C198" s="11">
        <f t="shared" si="11"/>
        <v>46127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26567502</v>
      </c>
      <c r="K198" s="12" t="s">
        <v>835</v>
      </c>
      <c r="L198" s="12" t="s">
        <v>841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1059</v>
      </c>
      <c r="B199" s="11">
        <f t="shared" si="10"/>
        <v>46121</v>
      </c>
      <c r="C199" s="11">
        <f t="shared" si="11"/>
        <v>46127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26567762</v>
      </c>
      <c r="K199" s="12" t="s">
        <v>842</v>
      </c>
      <c r="L199" s="12" t="s">
        <v>843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1059</v>
      </c>
      <c r="B200" s="11">
        <f t="shared" si="10"/>
        <v>46121</v>
      </c>
      <c r="C200" s="11">
        <f t="shared" si="11"/>
        <v>46127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26567771</v>
      </c>
      <c r="K200" s="12" t="s">
        <v>842</v>
      </c>
      <c r="L200" s="12" t="s">
        <v>844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1059</v>
      </c>
      <c r="B201" s="11">
        <f t="shared" si="10"/>
        <v>46121</v>
      </c>
      <c r="C201" s="11">
        <f t="shared" si="11"/>
        <v>46127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26567780</v>
      </c>
      <c r="K201" s="12" t="s">
        <v>842</v>
      </c>
      <c r="L201" s="12" t="s">
        <v>845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1059</v>
      </c>
      <c r="B202" s="11">
        <f t="shared" si="10"/>
        <v>46121</v>
      </c>
      <c r="C202" s="11">
        <f t="shared" si="11"/>
        <v>46127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26567799</v>
      </c>
      <c r="K202" s="12" t="s">
        <v>842</v>
      </c>
      <c r="L202" s="12" t="s">
        <v>846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1059</v>
      </c>
      <c r="B203" s="11">
        <f t="shared" si="10"/>
        <v>46121</v>
      </c>
      <c r="C203" s="11">
        <f t="shared" si="11"/>
        <v>46127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26567806</v>
      </c>
      <c r="K203" s="12" t="s">
        <v>842</v>
      </c>
      <c r="L203" s="12" t="s">
        <v>847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1059</v>
      </c>
      <c r="B204" s="11">
        <f t="shared" si="10"/>
        <v>46121</v>
      </c>
      <c r="C204" s="11">
        <f t="shared" si="11"/>
        <v>46127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26567815</v>
      </c>
      <c r="K204" s="12" t="s">
        <v>842</v>
      </c>
      <c r="L204" s="12" t="s">
        <v>848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1059</v>
      </c>
      <c r="B205" s="11">
        <f t="shared" si="10"/>
        <v>46121</v>
      </c>
      <c r="C205" s="11">
        <f t="shared" si="11"/>
        <v>46127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26567824</v>
      </c>
      <c r="K205" s="12" t="s">
        <v>849</v>
      </c>
      <c r="L205" s="12" t="s">
        <v>850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1059</v>
      </c>
      <c r="B206" s="11">
        <f t="shared" si="10"/>
        <v>46121</v>
      </c>
      <c r="C206" s="11">
        <f t="shared" si="11"/>
        <v>46127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26567833</v>
      </c>
      <c r="K206" s="12" t="s">
        <v>849</v>
      </c>
      <c r="L206" s="12" t="s">
        <v>851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1059</v>
      </c>
      <c r="B207" s="11">
        <f t="shared" si="10"/>
        <v>46121</v>
      </c>
      <c r="C207" s="11">
        <f t="shared" si="11"/>
        <v>46127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26567842</v>
      </c>
      <c r="K207" s="12" t="s">
        <v>849</v>
      </c>
      <c r="L207" s="12" t="s">
        <v>852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1059</v>
      </c>
      <c r="B208" s="11">
        <f t="shared" si="10"/>
        <v>46121</v>
      </c>
      <c r="C208" s="11">
        <f t="shared" si="11"/>
        <v>46127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26567851</v>
      </c>
      <c r="K208" s="12" t="s">
        <v>849</v>
      </c>
      <c r="L208" s="12" t="s">
        <v>853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1059</v>
      </c>
      <c r="B209" s="11">
        <f t="shared" si="10"/>
        <v>46121</v>
      </c>
      <c r="C209" s="11">
        <f t="shared" si="11"/>
        <v>46127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26567860</v>
      </c>
      <c r="K209" s="12" t="s">
        <v>849</v>
      </c>
      <c r="L209" s="12" t="s">
        <v>854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1059</v>
      </c>
      <c r="B210" s="11">
        <f t="shared" si="10"/>
        <v>46121</v>
      </c>
      <c r="C210" s="11">
        <f t="shared" si="11"/>
        <v>46127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26567879</v>
      </c>
      <c r="K210" s="12" t="s">
        <v>849</v>
      </c>
      <c r="L210" s="12" t="s">
        <v>855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1059</v>
      </c>
      <c r="B211" s="11">
        <f t="shared" si="10"/>
        <v>46121</v>
      </c>
      <c r="C211" s="11">
        <f t="shared" si="11"/>
        <v>46127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26567986</v>
      </c>
      <c r="K211" s="12" t="s">
        <v>856</v>
      </c>
      <c r="L211" s="12" t="s">
        <v>857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1059</v>
      </c>
      <c r="B212" s="11">
        <f t="shared" si="10"/>
        <v>46121</v>
      </c>
      <c r="C212" s="11">
        <f t="shared" si="11"/>
        <v>46127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26567995</v>
      </c>
      <c r="K212" s="12" t="s">
        <v>856</v>
      </c>
      <c r="L212" s="12" t="s">
        <v>858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1059</v>
      </c>
      <c r="B213" s="11">
        <f t="shared" si="10"/>
        <v>46121</v>
      </c>
      <c r="C213" s="11">
        <f t="shared" si="11"/>
        <v>46127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26568001</v>
      </c>
      <c r="K213" s="12" t="s">
        <v>856</v>
      </c>
      <c r="L213" s="12" t="s">
        <v>859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1059</v>
      </c>
      <c r="B214" s="11">
        <f t="shared" si="10"/>
        <v>46121</v>
      </c>
      <c r="C214" s="11">
        <f t="shared" si="11"/>
        <v>46127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26568010</v>
      </c>
      <c r="K214" s="12" t="s">
        <v>856</v>
      </c>
      <c r="L214" s="12" t="s">
        <v>860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1059</v>
      </c>
      <c r="B215" s="11">
        <f t="shared" si="10"/>
        <v>46121</v>
      </c>
      <c r="C215" s="11">
        <f t="shared" si="11"/>
        <v>46127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26568029</v>
      </c>
      <c r="K215" s="12" t="s">
        <v>856</v>
      </c>
      <c r="L215" s="12" t="s">
        <v>861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1059</v>
      </c>
      <c r="B216" s="11">
        <f t="shared" si="10"/>
        <v>46121</v>
      </c>
      <c r="C216" s="11">
        <f t="shared" si="11"/>
        <v>46127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26568038</v>
      </c>
      <c r="K216" s="12" t="s">
        <v>856</v>
      </c>
      <c r="L216" s="12" t="s">
        <v>862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1059</v>
      </c>
      <c r="B217" s="11">
        <f t="shared" si="10"/>
        <v>46121</v>
      </c>
      <c r="C217" s="11">
        <f t="shared" si="11"/>
        <v>46127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26590665</v>
      </c>
      <c r="K217" s="12" t="s">
        <v>863</v>
      </c>
      <c r="L217" s="12" t="s">
        <v>864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1059</v>
      </c>
      <c r="B218" s="11">
        <f t="shared" si="10"/>
        <v>46121</v>
      </c>
      <c r="C218" s="11">
        <f t="shared" si="11"/>
        <v>46127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26590674</v>
      </c>
      <c r="K218" s="12" t="s">
        <v>863</v>
      </c>
      <c r="L218" s="12" t="s">
        <v>865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1059</v>
      </c>
      <c r="B219" s="11">
        <f t="shared" si="10"/>
        <v>46121</v>
      </c>
      <c r="C219" s="11">
        <f t="shared" si="11"/>
        <v>46127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26590683</v>
      </c>
      <c r="K219" s="12" t="s">
        <v>863</v>
      </c>
      <c r="L219" s="12" t="s">
        <v>866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1059</v>
      </c>
      <c r="B220" s="11">
        <f t="shared" si="10"/>
        <v>46121</v>
      </c>
      <c r="C220" s="11">
        <f t="shared" si="11"/>
        <v>46127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26590692</v>
      </c>
      <c r="K220" s="12" t="s">
        <v>863</v>
      </c>
      <c r="L220" s="12" t="s">
        <v>867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1059</v>
      </c>
      <c r="B221" s="11">
        <f t="shared" si="10"/>
        <v>46121</v>
      </c>
      <c r="C221" s="11">
        <f t="shared" si="11"/>
        <v>46127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26590709</v>
      </c>
      <c r="K221" s="12" t="s">
        <v>863</v>
      </c>
      <c r="L221" s="12" t="s">
        <v>868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1059</v>
      </c>
      <c r="B222" s="11">
        <f t="shared" si="10"/>
        <v>46121</v>
      </c>
      <c r="C222" s="11">
        <f t="shared" si="11"/>
        <v>46127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26590718</v>
      </c>
      <c r="K222" s="12" t="s">
        <v>863</v>
      </c>
      <c r="L222" s="12" t="s">
        <v>869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1059</v>
      </c>
      <c r="B223" s="11">
        <f t="shared" si="10"/>
        <v>46121</v>
      </c>
      <c r="C223" s="11">
        <f t="shared" si="11"/>
        <v>46127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26590905</v>
      </c>
      <c r="K223" s="12" t="s">
        <v>870</v>
      </c>
      <c r="L223" s="12" t="s">
        <v>871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1059</v>
      </c>
      <c r="B224" s="11">
        <f t="shared" si="10"/>
        <v>46121</v>
      </c>
      <c r="C224" s="11">
        <f t="shared" si="11"/>
        <v>46127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26590914</v>
      </c>
      <c r="K224" s="12" t="s">
        <v>870</v>
      </c>
      <c r="L224" s="12" t="s">
        <v>872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1059</v>
      </c>
      <c r="B225" s="11">
        <f t="shared" si="10"/>
        <v>46121</v>
      </c>
      <c r="C225" s="11">
        <f t="shared" si="11"/>
        <v>46127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26590923</v>
      </c>
      <c r="K225" s="12" t="s">
        <v>870</v>
      </c>
      <c r="L225" s="12" t="s">
        <v>873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1059</v>
      </c>
      <c r="B226" s="11">
        <f t="shared" si="10"/>
        <v>46121</v>
      </c>
      <c r="C226" s="11">
        <f t="shared" si="11"/>
        <v>46127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26590932</v>
      </c>
      <c r="K226" s="12" t="s">
        <v>870</v>
      </c>
      <c r="L226" s="12" t="s">
        <v>874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1059</v>
      </c>
      <c r="B227" s="11">
        <f t="shared" si="10"/>
        <v>46121</v>
      </c>
      <c r="C227" s="11">
        <f t="shared" si="11"/>
        <v>46127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26590941</v>
      </c>
      <c r="K227" s="12" t="s">
        <v>870</v>
      </c>
      <c r="L227" s="12" t="s">
        <v>875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1059</v>
      </c>
      <c r="B228" s="11">
        <f t="shared" si="10"/>
        <v>46121</v>
      </c>
      <c r="C228" s="11">
        <f t="shared" si="11"/>
        <v>46127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26590950</v>
      </c>
      <c r="K228" s="12" t="s">
        <v>870</v>
      </c>
      <c r="L228" s="12" t="s">
        <v>876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1059</v>
      </c>
      <c r="B229" s="11">
        <f t="shared" si="10"/>
        <v>46121</v>
      </c>
      <c r="C229" s="11">
        <f t="shared" si="11"/>
        <v>46127</v>
      </c>
      <c r="D229" s="10">
        <v>3250</v>
      </c>
      <c r="E229" s="10">
        <v>332</v>
      </c>
      <c r="F229" s="10">
        <v>3</v>
      </c>
      <c r="G229" s="10">
        <v>1</v>
      </c>
      <c r="H229" s="10">
        <v>81642</v>
      </c>
      <c r="I229" s="10" t="s">
        <v>17</v>
      </c>
      <c r="J229" s="10">
        <v>26591431</v>
      </c>
      <c r="K229" s="12" t="s">
        <v>877</v>
      </c>
      <c r="L229" s="12" t="s">
        <v>878</v>
      </c>
      <c r="M229" s="13">
        <v>299900</v>
      </c>
      <c r="N229" s="14">
        <v>0.95</v>
      </c>
      <c r="O229" s="13">
        <f t="shared" si="9"/>
        <v>14995</v>
      </c>
      <c r="P229" s="10" t="s">
        <v>16</v>
      </c>
    </row>
    <row r="230" spans="1:16" x14ac:dyDescent="0.35">
      <c r="A230" s="10" t="s">
        <v>1059</v>
      </c>
      <c r="B230" s="11">
        <f t="shared" si="10"/>
        <v>46121</v>
      </c>
      <c r="C230" s="11">
        <f t="shared" si="11"/>
        <v>46127</v>
      </c>
      <c r="D230" s="10">
        <v>3250</v>
      </c>
      <c r="E230" s="10">
        <v>332</v>
      </c>
      <c r="F230" s="10">
        <v>3</v>
      </c>
      <c r="G230" s="10">
        <v>1</v>
      </c>
      <c r="H230" s="10">
        <v>81642</v>
      </c>
      <c r="I230" s="10" t="s">
        <v>17</v>
      </c>
      <c r="J230" s="10">
        <v>26591440</v>
      </c>
      <c r="K230" s="12" t="s">
        <v>877</v>
      </c>
      <c r="L230" s="12" t="s">
        <v>879</v>
      </c>
      <c r="M230" s="13">
        <v>299900</v>
      </c>
      <c r="N230" s="14">
        <v>0.95</v>
      </c>
      <c r="O230" s="13">
        <f t="shared" si="9"/>
        <v>14995</v>
      </c>
      <c r="P230" s="10" t="s">
        <v>16</v>
      </c>
    </row>
    <row r="231" spans="1:16" x14ac:dyDescent="0.35">
      <c r="A231" s="10" t="s">
        <v>1059</v>
      </c>
      <c r="B231" s="11">
        <f t="shared" si="10"/>
        <v>46121</v>
      </c>
      <c r="C231" s="11">
        <f t="shared" si="11"/>
        <v>46127</v>
      </c>
      <c r="D231" s="10">
        <v>3250</v>
      </c>
      <c r="E231" s="10">
        <v>332</v>
      </c>
      <c r="F231" s="10">
        <v>3</v>
      </c>
      <c r="G231" s="10">
        <v>1</v>
      </c>
      <c r="H231" s="10">
        <v>81642</v>
      </c>
      <c r="I231" s="10" t="s">
        <v>17</v>
      </c>
      <c r="J231" s="10">
        <v>26591459</v>
      </c>
      <c r="K231" s="12" t="s">
        <v>877</v>
      </c>
      <c r="L231" s="12" t="s">
        <v>880</v>
      </c>
      <c r="M231" s="13">
        <v>299900</v>
      </c>
      <c r="N231" s="14">
        <v>0.95</v>
      </c>
      <c r="O231" s="13">
        <f t="shared" si="9"/>
        <v>14995</v>
      </c>
      <c r="P231" s="10" t="s">
        <v>16</v>
      </c>
    </row>
    <row r="232" spans="1:16" x14ac:dyDescent="0.35">
      <c r="A232" s="10" t="s">
        <v>1059</v>
      </c>
      <c r="B232" s="11">
        <f t="shared" si="10"/>
        <v>46121</v>
      </c>
      <c r="C232" s="11">
        <f t="shared" si="11"/>
        <v>46127</v>
      </c>
      <c r="D232" s="10">
        <v>3250</v>
      </c>
      <c r="E232" s="10">
        <v>332</v>
      </c>
      <c r="F232" s="10">
        <v>3</v>
      </c>
      <c r="G232" s="10">
        <v>1</v>
      </c>
      <c r="H232" s="10">
        <v>81642</v>
      </c>
      <c r="I232" s="10" t="s">
        <v>17</v>
      </c>
      <c r="J232" s="10">
        <v>26591468</v>
      </c>
      <c r="K232" s="12" t="s">
        <v>877</v>
      </c>
      <c r="L232" s="12" t="s">
        <v>881</v>
      </c>
      <c r="M232" s="13">
        <v>299900</v>
      </c>
      <c r="N232" s="14">
        <v>0.95</v>
      </c>
      <c r="O232" s="13">
        <f t="shared" si="9"/>
        <v>14995</v>
      </c>
      <c r="P232" s="10" t="s">
        <v>16</v>
      </c>
    </row>
    <row r="233" spans="1:16" x14ac:dyDescent="0.35">
      <c r="A233" s="10" t="s">
        <v>1059</v>
      </c>
      <c r="B233" s="11">
        <f t="shared" si="10"/>
        <v>46121</v>
      </c>
      <c r="C233" s="11">
        <f t="shared" si="11"/>
        <v>46127</v>
      </c>
      <c r="D233" s="10">
        <v>3250</v>
      </c>
      <c r="E233" s="10">
        <v>332</v>
      </c>
      <c r="F233" s="10">
        <v>3</v>
      </c>
      <c r="G233" s="10">
        <v>1</v>
      </c>
      <c r="H233" s="10">
        <v>81642</v>
      </c>
      <c r="I233" s="10" t="s">
        <v>17</v>
      </c>
      <c r="J233" s="10">
        <v>26591477</v>
      </c>
      <c r="K233" s="12" t="s">
        <v>877</v>
      </c>
      <c r="L233" s="12" t="s">
        <v>882</v>
      </c>
      <c r="M233" s="13">
        <v>299900</v>
      </c>
      <c r="N233" s="14">
        <v>0.95</v>
      </c>
      <c r="O233" s="13">
        <f t="shared" si="9"/>
        <v>14995</v>
      </c>
      <c r="P233" s="10" t="s">
        <v>16</v>
      </c>
    </row>
    <row r="234" spans="1:16" x14ac:dyDescent="0.35">
      <c r="A234" s="10" t="s">
        <v>1059</v>
      </c>
      <c r="B234" s="11">
        <f t="shared" si="10"/>
        <v>46121</v>
      </c>
      <c r="C234" s="11">
        <f t="shared" si="11"/>
        <v>46127</v>
      </c>
      <c r="D234" s="10">
        <v>3250</v>
      </c>
      <c r="E234" s="10">
        <v>332</v>
      </c>
      <c r="F234" s="10">
        <v>3</v>
      </c>
      <c r="G234" s="10">
        <v>1</v>
      </c>
      <c r="H234" s="10">
        <v>81642</v>
      </c>
      <c r="I234" s="10" t="s">
        <v>17</v>
      </c>
      <c r="J234" s="10">
        <v>26591486</v>
      </c>
      <c r="K234" s="12" t="s">
        <v>877</v>
      </c>
      <c r="L234" s="12" t="s">
        <v>883</v>
      </c>
      <c r="M234" s="13">
        <v>299900</v>
      </c>
      <c r="N234" s="14">
        <v>0.95</v>
      </c>
      <c r="O234" s="13">
        <f t="shared" si="9"/>
        <v>14995</v>
      </c>
      <c r="P234" s="10" t="s">
        <v>16</v>
      </c>
    </row>
    <row r="235" spans="1:16" x14ac:dyDescent="0.35">
      <c r="A235" s="10" t="s">
        <v>1059</v>
      </c>
      <c r="B235" s="11">
        <f t="shared" si="10"/>
        <v>46121</v>
      </c>
      <c r="C235" s="11">
        <f t="shared" si="11"/>
        <v>46127</v>
      </c>
      <c r="D235" s="10">
        <v>3250</v>
      </c>
      <c r="E235" s="10">
        <v>332</v>
      </c>
      <c r="F235" s="10">
        <v>3</v>
      </c>
      <c r="G235" s="10">
        <v>1</v>
      </c>
      <c r="H235" s="10">
        <v>81642</v>
      </c>
      <c r="I235" s="10" t="s">
        <v>17</v>
      </c>
      <c r="J235" s="10">
        <v>26591566</v>
      </c>
      <c r="K235" s="12" t="s">
        <v>884</v>
      </c>
      <c r="L235" s="12" t="s">
        <v>885</v>
      </c>
      <c r="M235" s="13">
        <v>299900</v>
      </c>
      <c r="N235" s="14">
        <v>0.95</v>
      </c>
      <c r="O235" s="13">
        <f t="shared" si="9"/>
        <v>14995</v>
      </c>
      <c r="P235" s="10" t="s">
        <v>16</v>
      </c>
    </row>
    <row r="236" spans="1:16" x14ac:dyDescent="0.35">
      <c r="A236" s="10" t="s">
        <v>1059</v>
      </c>
      <c r="B236" s="11">
        <f t="shared" si="10"/>
        <v>46121</v>
      </c>
      <c r="C236" s="11">
        <f t="shared" si="11"/>
        <v>46127</v>
      </c>
      <c r="D236" s="10">
        <v>3250</v>
      </c>
      <c r="E236" s="10">
        <v>332</v>
      </c>
      <c r="F236" s="10">
        <v>3</v>
      </c>
      <c r="G236" s="10">
        <v>1</v>
      </c>
      <c r="H236" s="10">
        <v>81642</v>
      </c>
      <c r="I236" s="10" t="s">
        <v>17</v>
      </c>
      <c r="J236" s="10">
        <v>26591575</v>
      </c>
      <c r="K236" s="12" t="s">
        <v>884</v>
      </c>
      <c r="L236" s="12" t="s">
        <v>886</v>
      </c>
      <c r="M236" s="13">
        <v>299900</v>
      </c>
      <c r="N236" s="14">
        <v>0.95</v>
      </c>
      <c r="O236" s="13">
        <f t="shared" si="9"/>
        <v>14995</v>
      </c>
      <c r="P236" s="10" t="s">
        <v>16</v>
      </c>
    </row>
    <row r="237" spans="1:16" x14ac:dyDescent="0.35">
      <c r="A237" s="10" t="s">
        <v>1059</v>
      </c>
      <c r="B237" s="11">
        <f t="shared" si="10"/>
        <v>46121</v>
      </c>
      <c r="C237" s="11">
        <f t="shared" si="11"/>
        <v>46127</v>
      </c>
      <c r="D237" s="10">
        <v>3250</v>
      </c>
      <c r="E237" s="10">
        <v>332</v>
      </c>
      <c r="F237" s="10">
        <v>3</v>
      </c>
      <c r="G237" s="10">
        <v>1</v>
      </c>
      <c r="H237" s="10">
        <v>81642</v>
      </c>
      <c r="I237" s="10" t="s">
        <v>17</v>
      </c>
      <c r="J237" s="10">
        <v>26591584</v>
      </c>
      <c r="K237" s="12" t="s">
        <v>884</v>
      </c>
      <c r="L237" s="12" t="s">
        <v>887</v>
      </c>
      <c r="M237" s="13">
        <v>299900</v>
      </c>
      <c r="N237" s="14">
        <v>0.95</v>
      </c>
      <c r="O237" s="13">
        <f t="shared" si="9"/>
        <v>14995</v>
      </c>
      <c r="P237" s="10" t="s">
        <v>16</v>
      </c>
    </row>
    <row r="238" spans="1:16" x14ac:dyDescent="0.35">
      <c r="A238" s="10" t="s">
        <v>1059</v>
      </c>
      <c r="B238" s="11">
        <f t="shared" si="10"/>
        <v>46121</v>
      </c>
      <c r="C238" s="11">
        <f t="shared" si="11"/>
        <v>46127</v>
      </c>
      <c r="D238" s="10">
        <v>3250</v>
      </c>
      <c r="E238" s="10">
        <v>332</v>
      </c>
      <c r="F238" s="10">
        <v>3</v>
      </c>
      <c r="G238" s="10">
        <v>1</v>
      </c>
      <c r="H238" s="10">
        <v>81642</v>
      </c>
      <c r="I238" s="10" t="s">
        <v>17</v>
      </c>
      <c r="J238" s="10">
        <v>26591593</v>
      </c>
      <c r="K238" s="12" t="s">
        <v>884</v>
      </c>
      <c r="L238" s="12" t="s">
        <v>888</v>
      </c>
      <c r="M238" s="13">
        <v>299900</v>
      </c>
      <c r="N238" s="14">
        <v>0.95</v>
      </c>
      <c r="O238" s="13">
        <f t="shared" si="9"/>
        <v>14995</v>
      </c>
      <c r="P238" s="10" t="s">
        <v>16</v>
      </c>
    </row>
    <row r="239" spans="1:16" x14ac:dyDescent="0.35">
      <c r="A239" s="10" t="s">
        <v>1059</v>
      </c>
      <c r="B239" s="11">
        <f t="shared" si="10"/>
        <v>46121</v>
      </c>
      <c r="C239" s="11">
        <f t="shared" si="11"/>
        <v>46127</v>
      </c>
      <c r="D239" s="10">
        <v>3250</v>
      </c>
      <c r="E239" s="10">
        <v>332</v>
      </c>
      <c r="F239" s="10">
        <v>3</v>
      </c>
      <c r="G239" s="10">
        <v>1</v>
      </c>
      <c r="H239" s="10">
        <v>81642</v>
      </c>
      <c r="I239" s="10" t="s">
        <v>17</v>
      </c>
      <c r="J239" s="10">
        <v>26591600</v>
      </c>
      <c r="K239" s="12" t="s">
        <v>884</v>
      </c>
      <c r="L239" s="12" t="s">
        <v>889</v>
      </c>
      <c r="M239" s="13">
        <v>299900</v>
      </c>
      <c r="N239" s="14">
        <v>0.95</v>
      </c>
      <c r="O239" s="13">
        <f t="shared" si="9"/>
        <v>14995</v>
      </c>
      <c r="P239" s="10" t="s">
        <v>16</v>
      </c>
    </row>
    <row r="240" spans="1:16" x14ac:dyDescent="0.35">
      <c r="A240" s="10" t="s">
        <v>1059</v>
      </c>
      <c r="B240" s="11">
        <f t="shared" si="10"/>
        <v>46121</v>
      </c>
      <c r="C240" s="11">
        <f t="shared" si="11"/>
        <v>46127</v>
      </c>
      <c r="D240" s="10">
        <v>3250</v>
      </c>
      <c r="E240" s="10">
        <v>332</v>
      </c>
      <c r="F240" s="10">
        <v>3</v>
      </c>
      <c r="G240" s="10">
        <v>1</v>
      </c>
      <c r="H240" s="10">
        <v>81642</v>
      </c>
      <c r="I240" s="10" t="s">
        <v>17</v>
      </c>
      <c r="J240" s="10">
        <v>26591619</v>
      </c>
      <c r="K240" s="12" t="s">
        <v>884</v>
      </c>
      <c r="L240" s="12" t="s">
        <v>890</v>
      </c>
      <c r="M240" s="13">
        <v>299900</v>
      </c>
      <c r="N240" s="14">
        <v>0.95</v>
      </c>
      <c r="O240" s="13">
        <f t="shared" si="9"/>
        <v>14995</v>
      </c>
      <c r="P240" s="10" t="s">
        <v>16</v>
      </c>
    </row>
    <row r="241" spans="1:16" x14ac:dyDescent="0.35">
      <c r="A241" s="10" t="s">
        <v>1059</v>
      </c>
      <c r="B241" s="11">
        <f t="shared" si="10"/>
        <v>46121</v>
      </c>
      <c r="C241" s="11">
        <f t="shared" si="11"/>
        <v>46127</v>
      </c>
      <c r="D241" s="10">
        <v>3250</v>
      </c>
      <c r="E241" s="10">
        <v>332</v>
      </c>
      <c r="F241" s="10">
        <v>3</v>
      </c>
      <c r="G241" s="10">
        <v>1</v>
      </c>
      <c r="H241" s="10">
        <v>81642</v>
      </c>
      <c r="I241" s="10" t="s">
        <v>17</v>
      </c>
      <c r="J241" s="10">
        <v>26592903</v>
      </c>
      <c r="K241" s="12" t="s">
        <v>891</v>
      </c>
      <c r="L241" s="12" t="s">
        <v>892</v>
      </c>
      <c r="M241" s="13">
        <v>299900</v>
      </c>
      <c r="N241" s="14">
        <v>0.95</v>
      </c>
      <c r="O241" s="13">
        <f t="shared" si="9"/>
        <v>14995</v>
      </c>
      <c r="P241" s="10" t="s">
        <v>16</v>
      </c>
    </row>
    <row r="242" spans="1:16" x14ac:dyDescent="0.35">
      <c r="A242" s="10" t="s">
        <v>1059</v>
      </c>
      <c r="B242" s="11">
        <f t="shared" si="10"/>
        <v>46121</v>
      </c>
      <c r="C242" s="11">
        <f t="shared" si="11"/>
        <v>46127</v>
      </c>
      <c r="D242" s="10">
        <v>3250</v>
      </c>
      <c r="E242" s="10">
        <v>332</v>
      </c>
      <c r="F242" s="10">
        <v>3</v>
      </c>
      <c r="G242" s="10">
        <v>1</v>
      </c>
      <c r="H242" s="10">
        <v>81642</v>
      </c>
      <c r="I242" s="10" t="s">
        <v>17</v>
      </c>
      <c r="J242" s="10">
        <v>26592912</v>
      </c>
      <c r="K242" s="12" t="s">
        <v>891</v>
      </c>
      <c r="L242" s="12" t="s">
        <v>893</v>
      </c>
      <c r="M242" s="13">
        <v>299900</v>
      </c>
      <c r="N242" s="14">
        <v>0.95</v>
      </c>
      <c r="O242" s="13">
        <f t="shared" si="9"/>
        <v>14995</v>
      </c>
      <c r="P242" s="10" t="s">
        <v>16</v>
      </c>
    </row>
    <row r="243" spans="1:16" x14ac:dyDescent="0.35">
      <c r="A243" s="10" t="s">
        <v>1059</v>
      </c>
      <c r="B243" s="11">
        <f t="shared" si="10"/>
        <v>46121</v>
      </c>
      <c r="C243" s="11">
        <f t="shared" si="11"/>
        <v>46127</v>
      </c>
      <c r="D243" s="10">
        <v>3250</v>
      </c>
      <c r="E243" s="10">
        <v>332</v>
      </c>
      <c r="F243" s="10">
        <v>3</v>
      </c>
      <c r="G243" s="10">
        <v>1</v>
      </c>
      <c r="H243" s="10">
        <v>81642</v>
      </c>
      <c r="I243" s="10" t="s">
        <v>17</v>
      </c>
      <c r="J243" s="10">
        <v>26592921</v>
      </c>
      <c r="K243" s="12" t="s">
        <v>891</v>
      </c>
      <c r="L243" s="12" t="s">
        <v>894</v>
      </c>
      <c r="M243" s="13">
        <v>299900</v>
      </c>
      <c r="N243" s="14">
        <v>0.95</v>
      </c>
      <c r="O243" s="13">
        <f t="shared" si="9"/>
        <v>14995</v>
      </c>
      <c r="P243" s="10" t="s">
        <v>16</v>
      </c>
    </row>
    <row r="244" spans="1:16" x14ac:dyDescent="0.35">
      <c r="A244" s="10" t="s">
        <v>1059</v>
      </c>
      <c r="B244" s="11">
        <f t="shared" si="10"/>
        <v>46121</v>
      </c>
      <c r="C244" s="11">
        <f t="shared" si="11"/>
        <v>46127</v>
      </c>
      <c r="D244" s="10">
        <v>3250</v>
      </c>
      <c r="E244" s="10">
        <v>332</v>
      </c>
      <c r="F244" s="10">
        <v>3</v>
      </c>
      <c r="G244" s="10">
        <v>1</v>
      </c>
      <c r="H244" s="10">
        <v>81642</v>
      </c>
      <c r="I244" s="10" t="s">
        <v>17</v>
      </c>
      <c r="J244" s="10">
        <v>26592930</v>
      </c>
      <c r="K244" s="12" t="s">
        <v>891</v>
      </c>
      <c r="L244" s="12" t="s">
        <v>895</v>
      </c>
      <c r="M244" s="13">
        <v>299900</v>
      </c>
      <c r="N244" s="14">
        <v>0.95</v>
      </c>
      <c r="O244" s="13">
        <f t="shared" si="9"/>
        <v>14995</v>
      </c>
      <c r="P244" s="10" t="s">
        <v>16</v>
      </c>
    </row>
    <row r="245" spans="1:16" x14ac:dyDescent="0.35">
      <c r="A245" s="10" t="s">
        <v>1059</v>
      </c>
      <c r="B245" s="11">
        <f t="shared" si="10"/>
        <v>46121</v>
      </c>
      <c r="C245" s="11">
        <f t="shared" si="11"/>
        <v>46127</v>
      </c>
      <c r="D245" s="10">
        <v>3250</v>
      </c>
      <c r="E245" s="10">
        <v>332</v>
      </c>
      <c r="F245" s="10">
        <v>3</v>
      </c>
      <c r="G245" s="10">
        <v>1</v>
      </c>
      <c r="H245" s="10">
        <v>81642</v>
      </c>
      <c r="I245" s="10" t="s">
        <v>17</v>
      </c>
      <c r="J245" s="10">
        <v>26592958</v>
      </c>
      <c r="K245" s="12" t="s">
        <v>891</v>
      </c>
      <c r="L245" s="12" t="s">
        <v>896</v>
      </c>
      <c r="M245" s="13">
        <v>299900</v>
      </c>
      <c r="N245" s="14">
        <v>0.95</v>
      </c>
      <c r="O245" s="13">
        <f t="shared" si="9"/>
        <v>14995</v>
      </c>
      <c r="P245" s="10" t="s">
        <v>16</v>
      </c>
    </row>
    <row r="246" spans="1:16" x14ac:dyDescent="0.35">
      <c r="A246" s="10" t="s">
        <v>1059</v>
      </c>
      <c r="B246" s="11">
        <f t="shared" si="10"/>
        <v>46121</v>
      </c>
      <c r="C246" s="11">
        <f t="shared" si="11"/>
        <v>46127</v>
      </c>
      <c r="D246" s="10">
        <v>3250</v>
      </c>
      <c r="E246" s="10">
        <v>332</v>
      </c>
      <c r="F246" s="10">
        <v>3</v>
      </c>
      <c r="G246" s="10">
        <v>1</v>
      </c>
      <c r="H246" s="10">
        <v>81642</v>
      </c>
      <c r="I246" s="10" t="s">
        <v>17</v>
      </c>
      <c r="J246" s="10">
        <v>26593028</v>
      </c>
      <c r="K246" s="12" t="s">
        <v>897</v>
      </c>
      <c r="L246" s="12" t="s">
        <v>898</v>
      </c>
      <c r="M246" s="13">
        <v>299900</v>
      </c>
      <c r="N246" s="14">
        <v>0.95</v>
      </c>
      <c r="O246" s="13">
        <f t="shared" si="9"/>
        <v>14995</v>
      </c>
      <c r="P246" s="10" t="s">
        <v>16</v>
      </c>
    </row>
    <row r="247" spans="1:16" x14ac:dyDescent="0.35">
      <c r="A247" s="10" t="s">
        <v>1059</v>
      </c>
      <c r="B247" s="11">
        <f t="shared" si="10"/>
        <v>46121</v>
      </c>
      <c r="C247" s="11">
        <f t="shared" si="11"/>
        <v>46127</v>
      </c>
      <c r="D247" s="10">
        <v>3250</v>
      </c>
      <c r="E247" s="10">
        <v>332</v>
      </c>
      <c r="F247" s="10">
        <v>3</v>
      </c>
      <c r="G247" s="10">
        <v>1</v>
      </c>
      <c r="H247" s="10">
        <v>81642</v>
      </c>
      <c r="I247" s="10" t="s">
        <v>17</v>
      </c>
      <c r="J247" s="10">
        <v>26593037</v>
      </c>
      <c r="K247" s="12" t="s">
        <v>897</v>
      </c>
      <c r="L247" s="12" t="s">
        <v>899</v>
      </c>
      <c r="M247" s="13">
        <v>299900</v>
      </c>
      <c r="N247" s="14">
        <v>0.95</v>
      </c>
      <c r="O247" s="13">
        <f t="shared" si="9"/>
        <v>14995</v>
      </c>
      <c r="P247" s="10" t="s">
        <v>16</v>
      </c>
    </row>
    <row r="248" spans="1:16" x14ac:dyDescent="0.35">
      <c r="A248" s="10" t="s">
        <v>1059</v>
      </c>
      <c r="B248" s="11">
        <f t="shared" si="10"/>
        <v>46121</v>
      </c>
      <c r="C248" s="11">
        <f t="shared" si="11"/>
        <v>46127</v>
      </c>
      <c r="D248" s="10">
        <v>3250</v>
      </c>
      <c r="E248" s="10">
        <v>332</v>
      </c>
      <c r="F248" s="10">
        <v>3</v>
      </c>
      <c r="G248" s="10">
        <v>1</v>
      </c>
      <c r="H248" s="10">
        <v>81642</v>
      </c>
      <c r="I248" s="10" t="s">
        <v>17</v>
      </c>
      <c r="J248" s="10">
        <v>26593046</v>
      </c>
      <c r="K248" s="12" t="s">
        <v>897</v>
      </c>
      <c r="L248" s="12" t="s">
        <v>900</v>
      </c>
      <c r="M248" s="13">
        <v>299900</v>
      </c>
      <c r="N248" s="14">
        <v>0.95</v>
      </c>
      <c r="O248" s="13">
        <f t="shared" si="9"/>
        <v>14995</v>
      </c>
      <c r="P248" s="10" t="s">
        <v>16</v>
      </c>
    </row>
    <row r="249" spans="1:16" x14ac:dyDescent="0.35">
      <c r="A249" s="10" t="s">
        <v>1059</v>
      </c>
      <c r="B249" s="11">
        <f t="shared" si="10"/>
        <v>46121</v>
      </c>
      <c r="C249" s="11">
        <f t="shared" si="11"/>
        <v>46127</v>
      </c>
      <c r="D249" s="10">
        <v>3250</v>
      </c>
      <c r="E249" s="10">
        <v>332</v>
      </c>
      <c r="F249" s="10">
        <v>3</v>
      </c>
      <c r="G249" s="10">
        <v>1</v>
      </c>
      <c r="H249" s="10">
        <v>81642</v>
      </c>
      <c r="I249" s="10" t="s">
        <v>17</v>
      </c>
      <c r="J249" s="10">
        <v>26593055</v>
      </c>
      <c r="K249" s="12" t="s">
        <v>897</v>
      </c>
      <c r="L249" s="12" t="s">
        <v>901</v>
      </c>
      <c r="M249" s="13">
        <v>299900</v>
      </c>
      <c r="N249" s="14">
        <v>0.95</v>
      </c>
      <c r="O249" s="13">
        <f t="shared" si="9"/>
        <v>14995</v>
      </c>
      <c r="P249" s="10" t="s">
        <v>16</v>
      </c>
    </row>
    <row r="250" spans="1:16" x14ac:dyDescent="0.35">
      <c r="A250" s="10" t="s">
        <v>1059</v>
      </c>
      <c r="B250" s="11">
        <f t="shared" si="10"/>
        <v>46121</v>
      </c>
      <c r="C250" s="11">
        <f t="shared" si="11"/>
        <v>46127</v>
      </c>
      <c r="D250" s="10">
        <v>3250</v>
      </c>
      <c r="E250" s="10">
        <v>332</v>
      </c>
      <c r="F250" s="10">
        <v>3</v>
      </c>
      <c r="G250" s="10">
        <v>1</v>
      </c>
      <c r="H250" s="10">
        <v>81642</v>
      </c>
      <c r="I250" s="10" t="s">
        <v>17</v>
      </c>
      <c r="J250" s="10">
        <v>26593064</v>
      </c>
      <c r="K250" s="12" t="s">
        <v>897</v>
      </c>
      <c r="L250" s="12" t="s">
        <v>902</v>
      </c>
      <c r="M250" s="13">
        <v>299900</v>
      </c>
      <c r="N250" s="14">
        <v>0.95</v>
      </c>
      <c r="O250" s="13">
        <f t="shared" si="9"/>
        <v>14995</v>
      </c>
      <c r="P250" s="10" t="s">
        <v>16</v>
      </c>
    </row>
    <row r="251" spans="1:16" x14ac:dyDescent="0.35">
      <c r="A251" s="10" t="s">
        <v>1059</v>
      </c>
      <c r="B251" s="11">
        <f t="shared" si="10"/>
        <v>46121</v>
      </c>
      <c r="C251" s="11">
        <f t="shared" si="11"/>
        <v>46127</v>
      </c>
      <c r="D251" s="10">
        <v>3250</v>
      </c>
      <c r="E251" s="10">
        <v>332</v>
      </c>
      <c r="F251" s="10">
        <v>3</v>
      </c>
      <c r="G251" s="10">
        <v>1</v>
      </c>
      <c r="H251" s="10">
        <v>81642</v>
      </c>
      <c r="I251" s="10" t="s">
        <v>17</v>
      </c>
      <c r="J251" s="10">
        <v>26593073</v>
      </c>
      <c r="K251" s="12" t="s">
        <v>897</v>
      </c>
      <c r="L251" s="12" t="s">
        <v>903</v>
      </c>
      <c r="M251" s="13">
        <v>299900</v>
      </c>
      <c r="N251" s="14">
        <v>0.95</v>
      </c>
      <c r="O251" s="13">
        <f t="shared" si="9"/>
        <v>14995</v>
      </c>
      <c r="P251" s="10" t="s">
        <v>16</v>
      </c>
    </row>
    <row r="252" spans="1:16" x14ac:dyDescent="0.35">
      <c r="A252" s="10" t="s">
        <v>1059</v>
      </c>
      <c r="B252" s="11">
        <f t="shared" si="10"/>
        <v>46121</v>
      </c>
      <c r="C252" s="11">
        <f t="shared" si="11"/>
        <v>46127</v>
      </c>
      <c r="D252" s="10">
        <v>3250</v>
      </c>
      <c r="E252" s="10">
        <v>332</v>
      </c>
      <c r="F252" s="10">
        <v>3</v>
      </c>
      <c r="G252" s="10">
        <v>1</v>
      </c>
      <c r="H252" s="10">
        <v>81642</v>
      </c>
      <c r="I252" s="10" t="s">
        <v>17</v>
      </c>
      <c r="J252" s="10">
        <v>26595124</v>
      </c>
      <c r="K252" s="12" t="s">
        <v>904</v>
      </c>
      <c r="L252" s="12" t="s">
        <v>905</v>
      </c>
      <c r="M252" s="13">
        <v>299900</v>
      </c>
      <c r="N252" s="14">
        <v>0.95</v>
      </c>
      <c r="O252" s="13">
        <f t="shared" si="9"/>
        <v>14995</v>
      </c>
      <c r="P252" s="10" t="s">
        <v>16</v>
      </c>
    </row>
    <row r="253" spans="1:16" x14ac:dyDescent="0.35">
      <c r="A253" s="10" t="s">
        <v>1059</v>
      </c>
      <c r="B253" s="11">
        <f t="shared" si="10"/>
        <v>46121</v>
      </c>
      <c r="C253" s="11">
        <f t="shared" si="11"/>
        <v>46127</v>
      </c>
      <c r="D253" s="10">
        <v>3250</v>
      </c>
      <c r="E253" s="10">
        <v>332</v>
      </c>
      <c r="F253" s="10">
        <v>3</v>
      </c>
      <c r="G253" s="10">
        <v>1</v>
      </c>
      <c r="H253" s="10">
        <v>81642</v>
      </c>
      <c r="I253" s="10" t="s">
        <v>17</v>
      </c>
      <c r="J253" s="10">
        <v>26595133</v>
      </c>
      <c r="K253" s="12" t="s">
        <v>904</v>
      </c>
      <c r="L253" s="12" t="s">
        <v>906</v>
      </c>
      <c r="M253" s="13">
        <v>299900</v>
      </c>
      <c r="N253" s="14">
        <v>0.95</v>
      </c>
      <c r="O253" s="13">
        <f t="shared" si="9"/>
        <v>14995</v>
      </c>
      <c r="P253" s="10" t="s">
        <v>16</v>
      </c>
    </row>
    <row r="254" spans="1:16" x14ac:dyDescent="0.35">
      <c r="A254" s="10" t="s">
        <v>1059</v>
      </c>
      <c r="B254" s="11">
        <f t="shared" si="10"/>
        <v>46121</v>
      </c>
      <c r="C254" s="11">
        <f t="shared" si="11"/>
        <v>46127</v>
      </c>
      <c r="D254" s="10">
        <v>3250</v>
      </c>
      <c r="E254" s="10">
        <v>332</v>
      </c>
      <c r="F254" s="10">
        <v>3</v>
      </c>
      <c r="G254" s="10">
        <v>1</v>
      </c>
      <c r="H254" s="10">
        <v>81642</v>
      </c>
      <c r="I254" s="10" t="s">
        <v>17</v>
      </c>
      <c r="J254" s="10">
        <v>26595142</v>
      </c>
      <c r="K254" s="12" t="s">
        <v>904</v>
      </c>
      <c r="L254" s="12" t="s">
        <v>907</v>
      </c>
      <c r="M254" s="13">
        <v>299900</v>
      </c>
      <c r="N254" s="14">
        <v>0.95</v>
      </c>
      <c r="O254" s="13">
        <f t="shared" si="9"/>
        <v>14995</v>
      </c>
      <c r="P254" s="10" t="s">
        <v>16</v>
      </c>
    </row>
    <row r="255" spans="1:16" x14ac:dyDescent="0.35">
      <c r="A255" s="10" t="s">
        <v>1059</v>
      </c>
      <c r="B255" s="11">
        <f t="shared" si="10"/>
        <v>46121</v>
      </c>
      <c r="C255" s="11">
        <f t="shared" si="11"/>
        <v>46127</v>
      </c>
      <c r="D255" s="10">
        <v>3250</v>
      </c>
      <c r="E255" s="10">
        <v>332</v>
      </c>
      <c r="F255" s="10">
        <v>3</v>
      </c>
      <c r="G255" s="10">
        <v>1</v>
      </c>
      <c r="H255" s="10">
        <v>81642</v>
      </c>
      <c r="I255" s="10" t="s">
        <v>17</v>
      </c>
      <c r="J255" s="10">
        <v>26595151</v>
      </c>
      <c r="K255" s="12" t="s">
        <v>904</v>
      </c>
      <c r="L255" s="12" t="s">
        <v>908</v>
      </c>
      <c r="M255" s="13">
        <v>299900</v>
      </c>
      <c r="N255" s="14">
        <v>0.95</v>
      </c>
      <c r="O255" s="13">
        <f t="shared" si="9"/>
        <v>14995</v>
      </c>
      <c r="P255" s="10" t="s">
        <v>16</v>
      </c>
    </row>
    <row r="256" spans="1:16" x14ac:dyDescent="0.35">
      <c r="A256" s="10" t="s">
        <v>1059</v>
      </c>
      <c r="B256" s="11">
        <f t="shared" si="10"/>
        <v>46121</v>
      </c>
      <c r="C256" s="11">
        <f t="shared" si="11"/>
        <v>46127</v>
      </c>
      <c r="D256" s="10">
        <v>3250</v>
      </c>
      <c r="E256" s="10">
        <v>332</v>
      </c>
      <c r="F256" s="10">
        <v>3</v>
      </c>
      <c r="G256" s="10">
        <v>1</v>
      </c>
      <c r="H256" s="10">
        <v>81642</v>
      </c>
      <c r="I256" s="10" t="s">
        <v>17</v>
      </c>
      <c r="J256" s="10">
        <v>26595160</v>
      </c>
      <c r="K256" s="12" t="s">
        <v>904</v>
      </c>
      <c r="L256" s="12" t="s">
        <v>909</v>
      </c>
      <c r="M256" s="13">
        <v>299900</v>
      </c>
      <c r="N256" s="14">
        <v>0.95</v>
      </c>
      <c r="O256" s="13">
        <f t="shared" si="9"/>
        <v>14995</v>
      </c>
      <c r="P256" s="10" t="s">
        <v>16</v>
      </c>
    </row>
    <row r="257" spans="1:16" x14ac:dyDescent="0.35">
      <c r="A257" s="10" t="s">
        <v>1059</v>
      </c>
      <c r="B257" s="11">
        <f t="shared" si="10"/>
        <v>46121</v>
      </c>
      <c r="C257" s="11">
        <f t="shared" si="11"/>
        <v>46127</v>
      </c>
      <c r="D257" s="10">
        <v>3250</v>
      </c>
      <c r="E257" s="10">
        <v>332</v>
      </c>
      <c r="F257" s="10">
        <v>3</v>
      </c>
      <c r="G257" s="10">
        <v>1</v>
      </c>
      <c r="H257" s="10">
        <v>81642</v>
      </c>
      <c r="I257" s="10" t="s">
        <v>17</v>
      </c>
      <c r="J257" s="10">
        <v>26595179</v>
      </c>
      <c r="K257" s="12" t="s">
        <v>904</v>
      </c>
      <c r="L257" s="12" t="s">
        <v>910</v>
      </c>
      <c r="M257" s="13">
        <v>299900</v>
      </c>
      <c r="N257" s="14">
        <v>0.95</v>
      </c>
      <c r="O257" s="13">
        <f t="shared" si="9"/>
        <v>14995</v>
      </c>
      <c r="P257" s="10" t="s">
        <v>16</v>
      </c>
    </row>
    <row r="258" spans="1:16" x14ac:dyDescent="0.35">
      <c r="A258" s="10" t="s">
        <v>1059</v>
      </c>
      <c r="B258" s="11">
        <f t="shared" si="10"/>
        <v>46121</v>
      </c>
      <c r="C258" s="11">
        <f t="shared" si="11"/>
        <v>46127</v>
      </c>
      <c r="D258" s="10">
        <v>3250</v>
      </c>
      <c r="E258" s="10">
        <v>332</v>
      </c>
      <c r="F258" s="10">
        <v>3</v>
      </c>
      <c r="G258" s="10">
        <v>1</v>
      </c>
      <c r="H258" s="10">
        <v>81642</v>
      </c>
      <c r="I258" s="10" t="s">
        <v>17</v>
      </c>
      <c r="J258" s="10">
        <v>26595188</v>
      </c>
      <c r="K258" s="12" t="s">
        <v>904</v>
      </c>
      <c r="L258" s="12" t="s">
        <v>911</v>
      </c>
      <c r="M258" s="13">
        <v>299900</v>
      </c>
      <c r="N258" s="14">
        <v>0.95</v>
      </c>
      <c r="O258" s="13">
        <f t="shared" si="9"/>
        <v>14995</v>
      </c>
      <c r="P258" s="10" t="s">
        <v>16</v>
      </c>
    </row>
    <row r="259" spans="1:16" x14ac:dyDescent="0.35">
      <c r="A259" s="10" t="s">
        <v>1059</v>
      </c>
      <c r="B259" s="11">
        <f t="shared" si="10"/>
        <v>46121</v>
      </c>
      <c r="C259" s="11">
        <f t="shared" si="11"/>
        <v>46127</v>
      </c>
      <c r="D259" s="10">
        <v>3250</v>
      </c>
      <c r="E259" s="10">
        <v>332</v>
      </c>
      <c r="F259" s="10">
        <v>3</v>
      </c>
      <c r="G259" s="10">
        <v>1</v>
      </c>
      <c r="H259" s="10">
        <v>81642</v>
      </c>
      <c r="I259" s="10" t="s">
        <v>17</v>
      </c>
      <c r="J259" s="10">
        <v>26595197</v>
      </c>
      <c r="K259" s="12" t="s">
        <v>904</v>
      </c>
      <c r="L259" s="12" t="s">
        <v>912</v>
      </c>
      <c r="M259" s="13">
        <v>299900</v>
      </c>
      <c r="N259" s="14">
        <v>0.95</v>
      </c>
      <c r="O259" s="13">
        <f t="shared" ref="O259:O322" si="12">M259-(M259*N259)</f>
        <v>14995</v>
      </c>
      <c r="P259" s="10" t="s">
        <v>16</v>
      </c>
    </row>
    <row r="260" spans="1:16" x14ac:dyDescent="0.35">
      <c r="A260" s="10" t="s">
        <v>1059</v>
      </c>
      <c r="B260" s="11">
        <f t="shared" ref="B260:B323" si="13">B259</f>
        <v>46121</v>
      </c>
      <c r="C260" s="11">
        <f t="shared" ref="C260:C323" si="14">C259</f>
        <v>46127</v>
      </c>
      <c r="D260" s="10">
        <v>3250</v>
      </c>
      <c r="E260" s="10">
        <v>332</v>
      </c>
      <c r="F260" s="10">
        <v>3</v>
      </c>
      <c r="G260" s="10">
        <v>1</v>
      </c>
      <c r="H260" s="10">
        <v>81642</v>
      </c>
      <c r="I260" s="10" t="s">
        <v>17</v>
      </c>
      <c r="J260" s="10">
        <v>26595204</v>
      </c>
      <c r="K260" s="12" t="s">
        <v>904</v>
      </c>
      <c r="L260" s="12" t="s">
        <v>913</v>
      </c>
      <c r="M260" s="13">
        <v>299900</v>
      </c>
      <c r="N260" s="14">
        <v>0.95</v>
      </c>
      <c r="O260" s="13">
        <f t="shared" si="12"/>
        <v>14995</v>
      </c>
      <c r="P260" s="10" t="s">
        <v>16</v>
      </c>
    </row>
    <row r="261" spans="1:16" x14ac:dyDescent="0.35">
      <c r="A261" s="10" t="s">
        <v>1059</v>
      </c>
      <c r="B261" s="11">
        <f t="shared" si="13"/>
        <v>46121</v>
      </c>
      <c r="C261" s="11">
        <f t="shared" si="14"/>
        <v>46127</v>
      </c>
      <c r="D261" s="10">
        <v>3250</v>
      </c>
      <c r="E261" s="10">
        <v>332</v>
      </c>
      <c r="F261" s="10">
        <v>3</v>
      </c>
      <c r="G261" s="10">
        <v>1</v>
      </c>
      <c r="H261" s="10">
        <v>81642</v>
      </c>
      <c r="I261" s="10" t="s">
        <v>17</v>
      </c>
      <c r="J261" s="10">
        <v>26595213</v>
      </c>
      <c r="K261" s="12" t="s">
        <v>904</v>
      </c>
      <c r="L261" s="12" t="s">
        <v>914</v>
      </c>
      <c r="M261" s="13">
        <v>299900</v>
      </c>
      <c r="N261" s="14">
        <v>0.95</v>
      </c>
      <c r="O261" s="13">
        <f t="shared" si="12"/>
        <v>14995</v>
      </c>
      <c r="P261" s="10" t="s">
        <v>16</v>
      </c>
    </row>
    <row r="262" spans="1:16" x14ac:dyDescent="0.35">
      <c r="A262" s="10" t="s">
        <v>1059</v>
      </c>
      <c r="B262" s="11">
        <f t="shared" si="13"/>
        <v>46121</v>
      </c>
      <c r="C262" s="11">
        <f t="shared" si="14"/>
        <v>46127</v>
      </c>
      <c r="D262" s="10">
        <v>3250</v>
      </c>
      <c r="E262" s="10">
        <v>332</v>
      </c>
      <c r="F262" s="10">
        <v>3</v>
      </c>
      <c r="G262" s="10">
        <v>1</v>
      </c>
      <c r="H262" s="10">
        <v>81642</v>
      </c>
      <c r="I262" s="10" t="s">
        <v>17</v>
      </c>
      <c r="J262" s="10">
        <v>26595222</v>
      </c>
      <c r="K262" s="12" t="s">
        <v>904</v>
      </c>
      <c r="L262" s="12" t="s">
        <v>915</v>
      </c>
      <c r="M262" s="13">
        <v>299900</v>
      </c>
      <c r="N262" s="14">
        <v>0.95</v>
      </c>
      <c r="O262" s="13">
        <f t="shared" si="12"/>
        <v>14995</v>
      </c>
      <c r="P262" s="10" t="s">
        <v>16</v>
      </c>
    </row>
    <row r="263" spans="1:16" x14ac:dyDescent="0.35">
      <c r="A263" s="10" t="s">
        <v>1059</v>
      </c>
      <c r="B263" s="11">
        <f t="shared" si="13"/>
        <v>46121</v>
      </c>
      <c r="C263" s="11">
        <f t="shared" si="14"/>
        <v>46127</v>
      </c>
      <c r="D263" s="10">
        <v>3250</v>
      </c>
      <c r="E263" s="10">
        <v>332</v>
      </c>
      <c r="F263" s="10">
        <v>3</v>
      </c>
      <c r="G263" s="10">
        <v>1</v>
      </c>
      <c r="H263" s="10">
        <v>81642</v>
      </c>
      <c r="I263" s="10" t="s">
        <v>17</v>
      </c>
      <c r="J263" s="10">
        <v>26595231</v>
      </c>
      <c r="K263" s="12" t="s">
        <v>904</v>
      </c>
      <c r="L263" s="12" t="s">
        <v>916</v>
      </c>
      <c r="M263" s="13">
        <v>299900</v>
      </c>
      <c r="N263" s="14">
        <v>0.95</v>
      </c>
      <c r="O263" s="13">
        <f t="shared" si="12"/>
        <v>14995</v>
      </c>
      <c r="P263" s="10" t="s">
        <v>16</v>
      </c>
    </row>
    <row r="264" spans="1:16" x14ac:dyDescent="0.35">
      <c r="A264" s="10" t="s">
        <v>1059</v>
      </c>
      <c r="B264" s="11">
        <f t="shared" si="13"/>
        <v>46121</v>
      </c>
      <c r="C264" s="11">
        <f t="shared" si="14"/>
        <v>46127</v>
      </c>
      <c r="D264" s="10">
        <v>3250</v>
      </c>
      <c r="E264" s="10">
        <v>332</v>
      </c>
      <c r="F264" s="10">
        <v>3</v>
      </c>
      <c r="G264" s="10">
        <v>1</v>
      </c>
      <c r="H264" s="10">
        <v>81642</v>
      </c>
      <c r="I264" s="10" t="s">
        <v>17</v>
      </c>
      <c r="J264" s="10">
        <v>26601536</v>
      </c>
      <c r="K264" s="12" t="s">
        <v>917</v>
      </c>
      <c r="L264" s="12" t="s">
        <v>918</v>
      </c>
      <c r="M264" s="13">
        <v>299900</v>
      </c>
      <c r="N264" s="14">
        <v>0.95</v>
      </c>
      <c r="O264" s="13">
        <f t="shared" si="12"/>
        <v>14995</v>
      </c>
      <c r="P264" s="10" t="s">
        <v>16</v>
      </c>
    </row>
    <row r="265" spans="1:16" x14ac:dyDescent="0.35">
      <c r="A265" s="10" t="s">
        <v>1059</v>
      </c>
      <c r="B265" s="11">
        <f t="shared" si="13"/>
        <v>46121</v>
      </c>
      <c r="C265" s="11">
        <f t="shared" si="14"/>
        <v>46127</v>
      </c>
      <c r="D265" s="10">
        <v>3250</v>
      </c>
      <c r="E265" s="10">
        <v>332</v>
      </c>
      <c r="F265" s="10">
        <v>3</v>
      </c>
      <c r="G265" s="10">
        <v>1</v>
      </c>
      <c r="H265" s="10">
        <v>81642</v>
      </c>
      <c r="I265" s="10" t="s">
        <v>17</v>
      </c>
      <c r="J265" s="10">
        <v>26601545</v>
      </c>
      <c r="K265" s="12" t="s">
        <v>917</v>
      </c>
      <c r="L265" s="12" t="s">
        <v>919</v>
      </c>
      <c r="M265" s="13">
        <v>299900</v>
      </c>
      <c r="N265" s="14">
        <v>0.95</v>
      </c>
      <c r="O265" s="13">
        <f t="shared" si="12"/>
        <v>14995</v>
      </c>
      <c r="P265" s="10" t="s">
        <v>16</v>
      </c>
    </row>
    <row r="266" spans="1:16" x14ac:dyDescent="0.35">
      <c r="A266" s="10" t="s">
        <v>1059</v>
      </c>
      <c r="B266" s="11">
        <f t="shared" si="13"/>
        <v>46121</v>
      </c>
      <c r="C266" s="11">
        <f t="shared" si="14"/>
        <v>46127</v>
      </c>
      <c r="D266" s="10">
        <v>3250</v>
      </c>
      <c r="E266" s="10">
        <v>332</v>
      </c>
      <c r="F266" s="10">
        <v>3</v>
      </c>
      <c r="G266" s="10">
        <v>1</v>
      </c>
      <c r="H266" s="10">
        <v>81642</v>
      </c>
      <c r="I266" s="10" t="s">
        <v>17</v>
      </c>
      <c r="J266" s="10">
        <v>26601554</v>
      </c>
      <c r="K266" s="12" t="s">
        <v>917</v>
      </c>
      <c r="L266" s="12" t="s">
        <v>920</v>
      </c>
      <c r="M266" s="13">
        <v>299900</v>
      </c>
      <c r="N266" s="14">
        <v>0.95</v>
      </c>
      <c r="O266" s="13">
        <f t="shared" si="12"/>
        <v>14995</v>
      </c>
      <c r="P266" s="10" t="s">
        <v>16</v>
      </c>
    </row>
    <row r="267" spans="1:16" x14ac:dyDescent="0.35">
      <c r="A267" s="10" t="s">
        <v>1059</v>
      </c>
      <c r="B267" s="11">
        <f t="shared" si="13"/>
        <v>46121</v>
      </c>
      <c r="C267" s="11">
        <f t="shared" si="14"/>
        <v>46127</v>
      </c>
      <c r="D267" s="10">
        <v>3250</v>
      </c>
      <c r="E267" s="10">
        <v>332</v>
      </c>
      <c r="F267" s="10">
        <v>3</v>
      </c>
      <c r="G267" s="10">
        <v>1</v>
      </c>
      <c r="H267" s="10">
        <v>81642</v>
      </c>
      <c r="I267" s="10" t="s">
        <v>17</v>
      </c>
      <c r="J267" s="10">
        <v>26601563</v>
      </c>
      <c r="K267" s="12" t="s">
        <v>917</v>
      </c>
      <c r="L267" s="12" t="s">
        <v>921</v>
      </c>
      <c r="M267" s="13">
        <v>299900</v>
      </c>
      <c r="N267" s="14">
        <v>0.95</v>
      </c>
      <c r="O267" s="13">
        <f t="shared" si="12"/>
        <v>14995</v>
      </c>
      <c r="P267" s="10" t="s">
        <v>16</v>
      </c>
    </row>
    <row r="268" spans="1:16" x14ac:dyDescent="0.35">
      <c r="A268" s="10" t="s">
        <v>1059</v>
      </c>
      <c r="B268" s="11">
        <f t="shared" si="13"/>
        <v>46121</v>
      </c>
      <c r="C268" s="11">
        <f t="shared" si="14"/>
        <v>46127</v>
      </c>
      <c r="D268" s="10">
        <v>3250</v>
      </c>
      <c r="E268" s="10">
        <v>332</v>
      </c>
      <c r="F268" s="10">
        <v>3</v>
      </c>
      <c r="G268" s="10">
        <v>1</v>
      </c>
      <c r="H268" s="10">
        <v>81642</v>
      </c>
      <c r="I268" s="10" t="s">
        <v>17</v>
      </c>
      <c r="J268" s="10">
        <v>26601572</v>
      </c>
      <c r="K268" s="12" t="s">
        <v>917</v>
      </c>
      <c r="L268" s="12" t="s">
        <v>922</v>
      </c>
      <c r="M268" s="13">
        <v>299900</v>
      </c>
      <c r="N268" s="14">
        <v>0.95</v>
      </c>
      <c r="O268" s="13">
        <f t="shared" si="12"/>
        <v>14995</v>
      </c>
      <c r="P268" s="10" t="s">
        <v>16</v>
      </c>
    </row>
    <row r="269" spans="1:16" x14ac:dyDescent="0.35">
      <c r="A269" s="10" t="s">
        <v>1059</v>
      </c>
      <c r="B269" s="11">
        <f t="shared" si="13"/>
        <v>46121</v>
      </c>
      <c r="C269" s="11">
        <f t="shared" si="14"/>
        <v>46127</v>
      </c>
      <c r="D269" s="10">
        <v>3250</v>
      </c>
      <c r="E269" s="10">
        <v>332</v>
      </c>
      <c r="F269" s="10">
        <v>3</v>
      </c>
      <c r="G269" s="10">
        <v>1</v>
      </c>
      <c r="H269" s="10">
        <v>81642</v>
      </c>
      <c r="I269" s="10" t="s">
        <v>17</v>
      </c>
      <c r="J269" s="10">
        <v>26601581</v>
      </c>
      <c r="K269" s="12" t="s">
        <v>917</v>
      </c>
      <c r="L269" s="12" t="s">
        <v>923</v>
      </c>
      <c r="M269" s="13">
        <v>299900</v>
      </c>
      <c r="N269" s="14">
        <v>0.95</v>
      </c>
      <c r="O269" s="13">
        <f t="shared" si="12"/>
        <v>14995</v>
      </c>
      <c r="P269" s="10" t="s">
        <v>16</v>
      </c>
    </row>
    <row r="270" spans="1:16" x14ac:dyDescent="0.35">
      <c r="A270" s="10" t="s">
        <v>1059</v>
      </c>
      <c r="B270" s="11">
        <f t="shared" si="13"/>
        <v>46121</v>
      </c>
      <c r="C270" s="11">
        <f t="shared" si="14"/>
        <v>46127</v>
      </c>
      <c r="D270" s="10">
        <v>3250</v>
      </c>
      <c r="E270" s="10">
        <v>332</v>
      </c>
      <c r="F270" s="10">
        <v>3</v>
      </c>
      <c r="G270" s="10">
        <v>1</v>
      </c>
      <c r="H270" s="10">
        <v>81642</v>
      </c>
      <c r="I270" s="10" t="s">
        <v>17</v>
      </c>
      <c r="J270" s="10">
        <v>26601634</v>
      </c>
      <c r="K270" s="12" t="s">
        <v>924</v>
      </c>
      <c r="L270" s="12" t="s">
        <v>925</v>
      </c>
      <c r="M270" s="13">
        <v>299900</v>
      </c>
      <c r="N270" s="14">
        <v>0.95</v>
      </c>
      <c r="O270" s="13">
        <f t="shared" si="12"/>
        <v>14995</v>
      </c>
      <c r="P270" s="10" t="s">
        <v>16</v>
      </c>
    </row>
    <row r="271" spans="1:16" x14ac:dyDescent="0.35">
      <c r="A271" s="10" t="s">
        <v>1059</v>
      </c>
      <c r="B271" s="11">
        <f t="shared" si="13"/>
        <v>46121</v>
      </c>
      <c r="C271" s="11">
        <f t="shared" si="14"/>
        <v>46127</v>
      </c>
      <c r="D271" s="10">
        <v>3250</v>
      </c>
      <c r="E271" s="10">
        <v>332</v>
      </c>
      <c r="F271" s="10">
        <v>3</v>
      </c>
      <c r="G271" s="10">
        <v>1</v>
      </c>
      <c r="H271" s="10">
        <v>81642</v>
      </c>
      <c r="I271" s="10" t="s">
        <v>17</v>
      </c>
      <c r="J271" s="10">
        <v>26601643</v>
      </c>
      <c r="K271" s="12" t="s">
        <v>924</v>
      </c>
      <c r="L271" s="12" t="s">
        <v>926</v>
      </c>
      <c r="M271" s="13">
        <v>299900</v>
      </c>
      <c r="N271" s="14">
        <v>0.95</v>
      </c>
      <c r="O271" s="13">
        <f t="shared" si="12"/>
        <v>14995</v>
      </c>
      <c r="P271" s="10" t="s">
        <v>16</v>
      </c>
    </row>
    <row r="272" spans="1:16" x14ac:dyDescent="0.35">
      <c r="A272" s="10" t="s">
        <v>1059</v>
      </c>
      <c r="B272" s="11">
        <f t="shared" si="13"/>
        <v>46121</v>
      </c>
      <c r="C272" s="11">
        <f t="shared" si="14"/>
        <v>46127</v>
      </c>
      <c r="D272" s="10">
        <v>3250</v>
      </c>
      <c r="E272" s="10">
        <v>332</v>
      </c>
      <c r="F272" s="10">
        <v>3</v>
      </c>
      <c r="G272" s="10">
        <v>1</v>
      </c>
      <c r="H272" s="10">
        <v>81642</v>
      </c>
      <c r="I272" s="10" t="s">
        <v>17</v>
      </c>
      <c r="J272" s="10">
        <v>26601652</v>
      </c>
      <c r="K272" s="12" t="s">
        <v>924</v>
      </c>
      <c r="L272" s="12" t="s">
        <v>927</v>
      </c>
      <c r="M272" s="13">
        <v>299900</v>
      </c>
      <c r="N272" s="14">
        <v>0.95</v>
      </c>
      <c r="O272" s="13">
        <f t="shared" si="12"/>
        <v>14995</v>
      </c>
      <c r="P272" s="10" t="s">
        <v>16</v>
      </c>
    </row>
    <row r="273" spans="1:16" x14ac:dyDescent="0.35">
      <c r="A273" s="10" t="s">
        <v>1059</v>
      </c>
      <c r="B273" s="11">
        <f t="shared" si="13"/>
        <v>46121</v>
      </c>
      <c r="C273" s="11">
        <f t="shared" si="14"/>
        <v>46127</v>
      </c>
      <c r="D273" s="10">
        <v>3250</v>
      </c>
      <c r="E273" s="10">
        <v>332</v>
      </c>
      <c r="F273" s="10">
        <v>3</v>
      </c>
      <c r="G273" s="10">
        <v>1</v>
      </c>
      <c r="H273" s="10">
        <v>81642</v>
      </c>
      <c r="I273" s="10" t="s">
        <v>17</v>
      </c>
      <c r="J273" s="10">
        <v>26601661</v>
      </c>
      <c r="K273" s="12" t="s">
        <v>924</v>
      </c>
      <c r="L273" s="12" t="s">
        <v>928</v>
      </c>
      <c r="M273" s="13">
        <v>299900</v>
      </c>
      <c r="N273" s="14">
        <v>0.95</v>
      </c>
      <c r="O273" s="13">
        <f t="shared" si="12"/>
        <v>14995</v>
      </c>
      <c r="P273" s="10" t="s">
        <v>16</v>
      </c>
    </row>
    <row r="274" spans="1:16" x14ac:dyDescent="0.35">
      <c r="A274" s="10" t="s">
        <v>1059</v>
      </c>
      <c r="B274" s="11">
        <f t="shared" si="13"/>
        <v>46121</v>
      </c>
      <c r="C274" s="11">
        <f t="shared" si="14"/>
        <v>46127</v>
      </c>
      <c r="D274" s="10">
        <v>3250</v>
      </c>
      <c r="E274" s="10">
        <v>332</v>
      </c>
      <c r="F274" s="10">
        <v>3</v>
      </c>
      <c r="G274" s="10">
        <v>1</v>
      </c>
      <c r="H274" s="10">
        <v>81642</v>
      </c>
      <c r="I274" s="10" t="s">
        <v>17</v>
      </c>
      <c r="J274" s="10">
        <v>26601670</v>
      </c>
      <c r="K274" s="12" t="s">
        <v>924</v>
      </c>
      <c r="L274" s="12" t="s">
        <v>929</v>
      </c>
      <c r="M274" s="13">
        <v>299900</v>
      </c>
      <c r="N274" s="14">
        <v>0.95</v>
      </c>
      <c r="O274" s="13">
        <f t="shared" si="12"/>
        <v>14995</v>
      </c>
      <c r="P274" s="10" t="s">
        <v>16</v>
      </c>
    </row>
    <row r="275" spans="1:16" x14ac:dyDescent="0.35">
      <c r="A275" s="10" t="s">
        <v>1059</v>
      </c>
      <c r="B275" s="11">
        <f t="shared" si="13"/>
        <v>46121</v>
      </c>
      <c r="C275" s="11">
        <f t="shared" si="14"/>
        <v>46127</v>
      </c>
      <c r="D275" s="10">
        <v>3250</v>
      </c>
      <c r="E275" s="10">
        <v>332</v>
      </c>
      <c r="F275" s="10">
        <v>3</v>
      </c>
      <c r="G275" s="10">
        <v>1</v>
      </c>
      <c r="H275" s="10">
        <v>81642</v>
      </c>
      <c r="I275" s="10" t="s">
        <v>17</v>
      </c>
      <c r="J275" s="10">
        <v>26601689</v>
      </c>
      <c r="K275" s="12" t="s">
        <v>924</v>
      </c>
      <c r="L275" s="12" t="s">
        <v>930</v>
      </c>
      <c r="M275" s="13">
        <v>299900</v>
      </c>
      <c r="N275" s="14">
        <v>0.95</v>
      </c>
      <c r="O275" s="13">
        <f t="shared" si="12"/>
        <v>14995</v>
      </c>
      <c r="P275" s="10" t="s">
        <v>16</v>
      </c>
    </row>
    <row r="276" spans="1:16" x14ac:dyDescent="0.35">
      <c r="A276" s="10" t="s">
        <v>1059</v>
      </c>
      <c r="B276" s="11">
        <f t="shared" si="13"/>
        <v>46121</v>
      </c>
      <c r="C276" s="11">
        <f t="shared" si="14"/>
        <v>46127</v>
      </c>
      <c r="D276" s="10">
        <v>3250</v>
      </c>
      <c r="E276" s="10">
        <v>332</v>
      </c>
      <c r="F276" s="10">
        <v>3</v>
      </c>
      <c r="G276" s="10">
        <v>1</v>
      </c>
      <c r="H276" s="10">
        <v>81642</v>
      </c>
      <c r="I276" s="10" t="s">
        <v>17</v>
      </c>
      <c r="J276" s="10">
        <v>26606282</v>
      </c>
      <c r="K276" s="12" t="s">
        <v>931</v>
      </c>
      <c r="L276" s="12" t="s">
        <v>932</v>
      </c>
      <c r="M276" s="13">
        <v>299900</v>
      </c>
      <c r="N276" s="14">
        <v>0.95</v>
      </c>
      <c r="O276" s="13">
        <f t="shared" si="12"/>
        <v>14995</v>
      </c>
      <c r="P276" s="10" t="s">
        <v>16</v>
      </c>
    </row>
    <row r="277" spans="1:16" x14ac:dyDescent="0.35">
      <c r="A277" s="10" t="s">
        <v>1059</v>
      </c>
      <c r="B277" s="11">
        <f t="shared" si="13"/>
        <v>46121</v>
      </c>
      <c r="C277" s="11">
        <f t="shared" si="14"/>
        <v>46127</v>
      </c>
      <c r="D277" s="10">
        <v>3250</v>
      </c>
      <c r="E277" s="10">
        <v>332</v>
      </c>
      <c r="F277" s="10">
        <v>3</v>
      </c>
      <c r="G277" s="10">
        <v>1</v>
      </c>
      <c r="H277" s="10">
        <v>81642</v>
      </c>
      <c r="I277" s="10" t="s">
        <v>17</v>
      </c>
      <c r="J277" s="10">
        <v>26606291</v>
      </c>
      <c r="K277" s="12" t="s">
        <v>931</v>
      </c>
      <c r="L277" s="12" t="s">
        <v>933</v>
      </c>
      <c r="M277" s="13">
        <v>299900</v>
      </c>
      <c r="N277" s="14">
        <v>0.95</v>
      </c>
      <c r="O277" s="13">
        <f t="shared" si="12"/>
        <v>14995</v>
      </c>
      <c r="P277" s="10" t="s">
        <v>16</v>
      </c>
    </row>
    <row r="278" spans="1:16" x14ac:dyDescent="0.35">
      <c r="A278" s="10" t="s">
        <v>1059</v>
      </c>
      <c r="B278" s="11">
        <f t="shared" si="13"/>
        <v>46121</v>
      </c>
      <c r="C278" s="11">
        <f t="shared" si="14"/>
        <v>46127</v>
      </c>
      <c r="D278" s="10">
        <v>3250</v>
      </c>
      <c r="E278" s="10">
        <v>332</v>
      </c>
      <c r="F278" s="10">
        <v>3</v>
      </c>
      <c r="G278" s="10">
        <v>1</v>
      </c>
      <c r="H278" s="10">
        <v>81642</v>
      </c>
      <c r="I278" s="10" t="s">
        <v>17</v>
      </c>
      <c r="J278" s="10">
        <v>26606308</v>
      </c>
      <c r="K278" s="12" t="s">
        <v>931</v>
      </c>
      <c r="L278" s="12" t="s">
        <v>934</v>
      </c>
      <c r="M278" s="13">
        <v>299900</v>
      </c>
      <c r="N278" s="14">
        <v>0.95</v>
      </c>
      <c r="O278" s="13">
        <f t="shared" si="12"/>
        <v>14995</v>
      </c>
      <c r="P278" s="10" t="s">
        <v>16</v>
      </c>
    </row>
    <row r="279" spans="1:16" x14ac:dyDescent="0.35">
      <c r="A279" s="10" t="s">
        <v>1059</v>
      </c>
      <c r="B279" s="11">
        <f t="shared" si="13"/>
        <v>46121</v>
      </c>
      <c r="C279" s="11">
        <f t="shared" si="14"/>
        <v>46127</v>
      </c>
      <c r="D279" s="10">
        <v>3250</v>
      </c>
      <c r="E279" s="10">
        <v>332</v>
      </c>
      <c r="F279" s="10">
        <v>3</v>
      </c>
      <c r="G279" s="10">
        <v>1</v>
      </c>
      <c r="H279" s="10">
        <v>81642</v>
      </c>
      <c r="I279" s="10" t="s">
        <v>17</v>
      </c>
      <c r="J279" s="10">
        <v>26606317</v>
      </c>
      <c r="K279" s="12" t="s">
        <v>931</v>
      </c>
      <c r="L279" s="12" t="s">
        <v>935</v>
      </c>
      <c r="M279" s="13">
        <v>299900</v>
      </c>
      <c r="N279" s="14">
        <v>0.95</v>
      </c>
      <c r="O279" s="13">
        <f t="shared" si="12"/>
        <v>14995</v>
      </c>
      <c r="P279" s="10" t="s">
        <v>16</v>
      </c>
    </row>
    <row r="280" spans="1:16" x14ac:dyDescent="0.35">
      <c r="A280" s="10" t="s">
        <v>1059</v>
      </c>
      <c r="B280" s="11">
        <f t="shared" si="13"/>
        <v>46121</v>
      </c>
      <c r="C280" s="11">
        <f t="shared" si="14"/>
        <v>46127</v>
      </c>
      <c r="D280" s="10">
        <v>3250</v>
      </c>
      <c r="E280" s="10">
        <v>332</v>
      </c>
      <c r="F280" s="10">
        <v>3</v>
      </c>
      <c r="G280" s="10">
        <v>1</v>
      </c>
      <c r="H280" s="10">
        <v>81642</v>
      </c>
      <c r="I280" s="10" t="s">
        <v>17</v>
      </c>
      <c r="J280" s="10">
        <v>26606326</v>
      </c>
      <c r="K280" s="12" t="s">
        <v>931</v>
      </c>
      <c r="L280" s="12" t="s">
        <v>936</v>
      </c>
      <c r="M280" s="13">
        <v>299900</v>
      </c>
      <c r="N280" s="14">
        <v>0.95</v>
      </c>
      <c r="O280" s="13">
        <f t="shared" si="12"/>
        <v>14995</v>
      </c>
      <c r="P280" s="10" t="s">
        <v>16</v>
      </c>
    </row>
    <row r="281" spans="1:16" x14ac:dyDescent="0.35">
      <c r="A281" s="10" t="s">
        <v>1059</v>
      </c>
      <c r="B281" s="11">
        <f t="shared" si="13"/>
        <v>46121</v>
      </c>
      <c r="C281" s="11">
        <f t="shared" si="14"/>
        <v>46127</v>
      </c>
      <c r="D281" s="10">
        <v>3250</v>
      </c>
      <c r="E281" s="10">
        <v>332</v>
      </c>
      <c r="F281" s="10">
        <v>3</v>
      </c>
      <c r="G281" s="10">
        <v>1</v>
      </c>
      <c r="H281" s="10">
        <v>81642</v>
      </c>
      <c r="I281" s="10" t="s">
        <v>17</v>
      </c>
      <c r="J281" s="10">
        <v>26606335</v>
      </c>
      <c r="K281" s="12" t="s">
        <v>931</v>
      </c>
      <c r="L281" s="12" t="s">
        <v>937</v>
      </c>
      <c r="M281" s="13">
        <v>299900</v>
      </c>
      <c r="N281" s="14">
        <v>0.95</v>
      </c>
      <c r="O281" s="13">
        <f t="shared" si="12"/>
        <v>14995</v>
      </c>
      <c r="P281" s="10" t="s">
        <v>16</v>
      </c>
    </row>
    <row r="282" spans="1:16" x14ac:dyDescent="0.35">
      <c r="A282" s="10" t="s">
        <v>1059</v>
      </c>
      <c r="B282" s="11">
        <f t="shared" si="13"/>
        <v>46121</v>
      </c>
      <c r="C282" s="11">
        <f t="shared" si="14"/>
        <v>46127</v>
      </c>
      <c r="D282" s="10">
        <v>3250</v>
      </c>
      <c r="E282" s="10">
        <v>332</v>
      </c>
      <c r="F282" s="10">
        <v>3</v>
      </c>
      <c r="G282" s="10">
        <v>1</v>
      </c>
      <c r="H282" s="10">
        <v>81642</v>
      </c>
      <c r="I282" s="10" t="s">
        <v>17</v>
      </c>
      <c r="J282" s="10">
        <v>26613014</v>
      </c>
      <c r="K282" s="12" t="s">
        <v>938</v>
      </c>
      <c r="L282" s="12" t="s">
        <v>939</v>
      </c>
      <c r="M282" s="13">
        <v>299900</v>
      </c>
      <c r="N282" s="14">
        <v>0.95</v>
      </c>
      <c r="O282" s="13">
        <f t="shared" si="12"/>
        <v>14995</v>
      </c>
      <c r="P282" s="10" t="s">
        <v>16</v>
      </c>
    </row>
    <row r="283" spans="1:16" x14ac:dyDescent="0.35">
      <c r="A283" s="10" t="s">
        <v>1059</v>
      </c>
      <c r="B283" s="11">
        <f t="shared" si="13"/>
        <v>46121</v>
      </c>
      <c r="C283" s="11">
        <f t="shared" si="14"/>
        <v>46127</v>
      </c>
      <c r="D283" s="10">
        <v>3250</v>
      </c>
      <c r="E283" s="10">
        <v>332</v>
      </c>
      <c r="F283" s="10">
        <v>3</v>
      </c>
      <c r="G283" s="10">
        <v>1</v>
      </c>
      <c r="H283" s="10">
        <v>81642</v>
      </c>
      <c r="I283" s="10" t="s">
        <v>17</v>
      </c>
      <c r="J283" s="10">
        <v>26613023</v>
      </c>
      <c r="K283" s="12" t="s">
        <v>938</v>
      </c>
      <c r="L283" s="12" t="s">
        <v>940</v>
      </c>
      <c r="M283" s="13">
        <v>299900</v>
      </c>
      <c r="N283" s="14">
        <v>0.95</v>
      </c>
      <c r="O283" s="13">
        <f t="shared" si="12"/>
        <v>14995</v>
      </c>
      <c r="P283" s="10" t="s">
        <v>16</v>
      </c>
    </row>
    <row r="284" spans="1:16" x14ac:dyDescent="0.35">
      <c r="A284" s="10" t="s">
        <v>1059</v>
      </c>
      <c r="B284" s="11">
        <f t="shared" si="13"/>
        <v>46121</v>
      </c>
      <c r="C284" s="11">
        <f t="shared" si="14"/>
        <v>46127</v>
      </c>
      <c r="D284" s="10">
        <v>3250</v>
      </c>
      <c r="E284" s="10">
        <v>332</v>
      </c>
      <c r="F284" s="10">
        <v>3</v>
      </c>
      <c r="G284" s="10">
        <v>1</v>
      </c>
      <c r="H284" s="10">
        <v>81642</v>
      </c>
      <c r="I284" s="10" t="s">
        <v>17</v>
      </c>
      <c r="J284" s="10">
        <v>26613032</v>
      </c>
      <c r="K284" s="12" t="s">
        <v>938</v>
      </c>
      <c r="L284" s="12" t="s">
        <v>941</v>
      </c>
      <c r="M284" s="13">
        <v>299900</v>
      </c>
      <c r="N284" s="14">
        <v>0.95</v>
      </c>
      <c r="O284" s="13">
        <f t="shared" si="12"/>
        <v>14995</v>
      </c>
      <c r="P284" s="10" t="s">
        <v>16</v>
      </c>
    </row>
    <row r="285" spans="1:16" x14ac:dyDescent="0.35">
      <c r="A285" s="10" t="s">
        <v>1059</v>
      </c>
      <c r="B285" s="11">
        <f t="shared" si="13"/>
        <v>46121</v>
      </c>
      <c r="C285" s="11">
        <f t="shared" si="14"/>
        <v>46127</v>
      </c>
      <c r="D285" s="10">
        <v>3250</v>
      </c>
      <c r="E285" s="10">
        <v>332</v>
      </c>
      <c r="F285" s="10">
        <v>3</v>
      </c>
      <c r="G285" s="10">
        <v>1</v>
      </c>
      <c r="H285" s="10">
        <v>81642</v>
      </c>
      <c r="I285" s="10" t="s">
        <v>17</v>
      </c>
      <c r="J285" s="10">
        <v>26613041</v>
      </c>
      <c r="K285" s="12" t="s">
        <v>938</v>
      </c>
      <c r="L285" s="12" t="s">
        <v>942</v>
      </c>
      <c r="M285" s="13">
        <v>299900</v>
      </c>
      <c r="N285" s="14">
        <v>0.95</v>
      </c>
      <c r="O285" s="13">
        <f t="shared" si="12"/>
        <v>14995</v>
      </c>
      <c r="P285" s="10" t="s">
        <v>16</v>
      </c>
    </row>
    <row r="286" spans="1:16" x14ac:dyDescent="0.35">
      <c r="A286" s="10" t="s">
        <v>1059</v>
      </c>
      <c r="B286" s="11">
        <f t="shared" si="13"/>
        <v>46121</v>
      </c>
      <c r="C286" s="11">
        <f t="shared" si="14"/>
        <v>46127</v>
      </c>
      <c r="D286" s="10">
        <v>3250</v>
      </c>
      <c r="E286" s="10">
        <v>332</v>
      </c>
      <c r="F286" s="10">
        <v>3</v>
      </c>
      <c r="G286" s="10">
        <v>1</v>
      </c>
      <c r="H286" s="10">
        <v>81642</v>
      </c>
      <c r="I286" s="10" t="s">
        <v>17</v>
      </c>
      <c r="J286" s="10">
        <v>26613050</v>
      </c>
      <c r="K286" s="12" t="s">
        <v>938</v>
      </c>
      <c r="L286" s="12" t="s">
        <v>943</v>
      </c>
      <c r="M286" s="13">
        <v>299900</v>
      </c>
      <c r="N286" s="14">
        <v>0.95</v>
      </c>
      <c r="O286" s="13">
        <f t="shared" si="12"/>
        <v>14995</v>
      </c>
      <c r="P286" s="10" t="s">
        <v>16</v>
      </c>
    </row>
    <row r="287" spans="1:16" x14ac:dyDescent="0.35">
      <c r="A287" s="10" t="s">
        <v>1059</v>
      </c>
      <c r="B287" s="11">
        <f t="shared" si="13"/>
        <v>46121</v>
      </c>
      <c r="C287" s="11">
        <f t="shared" si="14"/>
        <v>46127</v>
      </c>
      <c r="D287" s="10">
        <v>3250</v>
      </c>
      <c r="E287" s="10">
        <v>332</v>
      </c>
      <c r="F287" s="10">
        <v>3</v>
      </c>
      <c r="G287" s="10">
        <v>1</v>
      </c>
      <c r="H287" s="10">
        <v>81642</v>
      </c>
      <c r="I287" s="10" t="s">
        <v>17</v>
      </c>
      <c r="J287" s="10">
        <v>26613069</v>
      </c>
      <c r="K287" s="12" t="s">
        <v>938</v>
      </c>
      <c r="L287" s="12" t="s">
        <v>944</v>
      </c>
      <c r="M287" s="13">
        <v>299900</v>
      </c>
      <c r="N287" s="14">
        <v>0.95</v>
      </c>
      <c r="O287" s="13">
        <f t="shared" si="12"/>
        <v>14995</v>
      </c>
      <c r="P287" s="10" t="s">
        <v>16</v>
      </c>
    </row>
    <row r="288" spans="1:16" x14ac:dyDescent="0.35">
      <c r="A288" s="10" t="s">
        <v>1059</v>
      </c>
      <c r="B288" s="11">
        <f t="shared" si="13"/>
        <v>46121</v>
      </c>
      <c r="C288" s="11">
        <f t="shared" si="14"/>
        <v>46127</v>
      </c>
      <c r="D288" s="10">
        <v>3250</v>
      </c>
      <c r="E288" s="10">
        <v>332</v>
      </c>
      <c r="F288" s="10">
        <v>3</v>
      </c>
      <c r="G288" s="10">
        <v>1</v>
      </c>
      <c r="H288" s="10">
        <v>81642</v>
      </c>
      <c r="I288" s="10" t="s">
        <v>17</v>
      </c>
      <c r="J288" s="10">
        <v>26786472</v>
      </c>
      <c r="K288" s="12" t="s">
        <v>945</v>
      </c>
      <c r="L288" s="12" t="s">
        <v>946</v>
      </c>
      <c r="M288" s="13">
        <v>299900</v>
      </c>
      <c r="N288" s="14">
        <v>0.95</v>
      </c>
      <c r="O288" s="13">
        <f t="shared" si="12"/>
        <v>14995</v>
      </c>
      <c r="P288" s="10" t="s">
        <v>16</v>
      </c>
    </row>
    <row r="289" spans="1:16" x14ac:dyDescent="0.35">
      <c r="A289" s="10" t="s">
        <v>1059</v>
      </c>
      <c r="B289" s="11">
        <f t="shared" si="13"/>
        <v>46121</v>
      </c>
      <c r="C289" s="11">
        <f t="shared" si="14"/>
        <v>46127</v>
      </c>
      <c r="D289" s="10">
        <v>3250</v>
      </c>
      <c r="E289" s="10">
        <v>332</v>
      </c>
      <c r="F289" s="10">
        <v>3</v>
      </c>
      <c r="G289" s="10">
        <v>1</v>
      </c>
      <c r="H289" s="10">
        <v>81642</v>
      </c>
      <c r="I289" s="10" t="s">
        <v>17</v>
      </c>
      <c r="J289" s="10">
        <v>26786481</v>
      </c>
      <c r="K289" s="12" t="s">
        <v>945</v>
      </c>
      <c r="L289" s="12" t="s">
        <v>947</v>
      </c>
      <c r="M289" s="13">
        <v>299900</v>
      </c>
      <c r="N289" s="14">
        <v>0.95</v>
      </c>
      <c r="O289" s="13">
        <f t="shared" si="12"/>
        <v>14995</v>
      </c>
      <c r="P289" s="10" t="s">
        <v>16</v>
      </c>
    </row>
    <row r="290" spans="1:16" x14ac:dyDescent="0.35">
      <c r="A290" s="10" t="s">
        <v>1059</v>
      </c>
      <c r="B290" s="11">
        <f t="shared" si="13"/>
        <v>46121</v>
      </c>
      <c r="C290" s="11">
        <f t="shared" si="14"/>
        <v>46127</v>
      </c>
      <c r="D290" s="10">
        <v>3250</v>
      </c>
      <c r="E290" s="10">
        <v>332</v>
      </c>
      <c r="F290" s="10">
        <v>3</v>
      </c>
      <c r="G290" s="10">
        <v>1</v>
      </c>
      <c r="H290" s="10">
        <v>81642</v>
      </c>
      <c r="I290" s="10" t="s">
        <v>17</v>
      </c>
      <c r="J290" s="10">
        <v>26786490</v>
      </c>
      <c r="K290" s="12" t="s">
        <v>945</v>
      </c>
      <c r="L290" s="12" t="s">
        <v>948</v>
      </c>
      <c r="M290" s="13">
        <v>299900</v>
      </c>
      <c r="N290" s="14">
        <v>0.95</v>
      </c>
      <c r="O290" s="13">
        <f t="shared" si="12"/>
        <v>14995</v>
      </c>
      <c r="P290" s="10" t="s">
        <v>16</v>
      </c>
    </row>
    <row r="291" spans="1:16" x14ac:dyDescent="0.35">
      <c r="A291" s="10" t="s">
        <v>1059</v>
      </c>
      <c r="B291" s="11">
        <f t="shared" si="13"/>
        <v>46121</v>
      </c>
      <c r="C291" s="11">
        <f t="shared" si="14"/>
        <v>46127</v>
      </c>
      <c r="D291" s="10">
        <v>3250</v>
      </c>
      <c r="E291" s="10">
        <v>332</v>
      </c>
      <c r="F291" s="10">
        <v>3</v>
      </c>
      <c r="G291" s="10">
        <v>1</v>
      </c>
      <c r="H291" s="10">
        <v>81642</v>
      </c>
      <c r="I291" s="10" t="s">
        <v>17</v>
      </c>
      <c r="J291" s="10">
        <v>26786507</v>
      </c>
      <c r="K291" s="12" t="s">
        <v>945</v>
      </c>
      <c r="L291" s="12" t="s">
        <v>949</v>
      </c>
      <c r="M291" s="13">
        <v>299900</v>
      </c>
      <c r="N291" s="14">
        <v>0.95</v>
      </c>
      <c r="O291" s="13">
        <f t="shared" si="12"/>
        <v>14995</v>
      </c>
      <c r="P291" s="10" t="s">
        <v>16</v>
      </c>
    </row>
    <row r="292" spans="1:16" x14ac:dyDescent="0.35">
      <c r="A292" s="10" t="s">
        <v>1059</v>
      </c>
      <c r="B292" s="11">
        <f t="shared" si="13"/>
        <v>46121</v>
      </c>
      <c r="C292" s="11">
        <f t="shared" si="14"/>
        <v>46127</v>
      </c>
      <c r="D292" s="10">
        <v>3250</v>
      </c>
      <c r="E292" s="10">
        <v>332</v>
      </c>
      <c r="F292" s="10">
        <v>3</v>
      </c>
      <c r="G292" s="10">
        <v>1</v>
      </c>
      <c r="H292" s="10">
        <v>81642</v>
      </c>
      <c r="I292" s="10" t="s">
        <v>17</v>
      </c>
      <c r="J292" s="10">
        <v>26786516</v>
      </c>
      <c r="K292" s="12" t="s">
        <v>945</v>
      </c>
      <c r="L292" s="12" t="s">
        <v>950</v>
      </c>
      <c r="M292" s="13">
        <v>299900</v>
      </c>
      <c r="N292" s="14">
        <v>0.95</v>
      </c>
      <c r="O292" s="13">
        <f t="shared" si="12"/>
        <v>14995</v>
      </c>
      <c r="P292" s="10" t="s">
        <v>16</v>
      </c>
    </row>
    <row r="293" spans="1:16" x14ac:dyDescent="0.35">
      <c r="A293" s="10" t="s">
        <v>1059</v>
      </c>
      <c r="B293" s="11">
        <f t="shared" si="13"/>
        <v>46121</v>
      </c>
      <c r="C293" s="11">
        <f t="shared" si="14"/>
        <v>46127</v>
      </c>
      <c r="D293" s="10">
        <v>3250</v>
      </c>
      <c r="E293" s="10">
        <v>332</v>
      </c>
      <c r="F293" s="10">
        <v>3</v>
      </c>
      <c r="G293" s="10">
        <v>1</v>
      </c>
      <c r="H293" s="10">
        <v>81642</v>
      </c>
      <c r="I293" s="10" t="s">
        <v>17</v>
      </c>
      <c r="J293" s="10">
        <v>26786525</v>
      </c>
      <c r="K293" s="12" t="s">
        <v>945</v>
      </c>
      <c r="L293" s="12" t="s">
        <v>951</v>
      </c>
      <c r="M293" s="13">
        <v>299900</v>
      </c>
      <c r="N293" s="14">
        <v>0.95</v>
      </c>
      <c r="O293" s="13">
        <f t="shared" si="12"/>
        <v>14995</v>
      </c>
      <c r="P293" s="10" t="s">
        <v>16</v>
      </c>
    </row>
    <row r="294" spans="1:16" x14ac:dyDescent="0.35">
      <c r="A294" s="10" t="s">
        <v>1059</v>
      </c>
      <c r="B294" s="11">
        <f t="shared" si="13"/>
        <v>46121</v>
      </c>
      <c r="C294" s="11">
        <f t="shared" si="14"/>
        <v>46127</v>
      </c>
      <c r="D294" s="10">
        <v>3250</v>
      </c>
      <c r="E294" s="10">
        <v>332</v>
      </c>
      <c r="F294" s="10">
        <v>3</v>
      </c>
      <c r="G294" s="10">
        <v>1</v>
      </c>
      <c r="H294" s="10">
        <v>81642</v>
      </c>
      <c r="I294" s="10" t="s">
        <v>17</v>
      </c>
      <c r="J294" s="10">
        <v>26839067</v>
      </c>
      <c r="K294" s="12" t="s">
        <v>952</v>
      </c>
      <c r="L294" s="12" t="s">
        <v>953</v>
      </c>
      <c r="M294" s="13">
        <v>299900</v>
      </c>
      <c r="N294" s="14">
        <v>0.95</v>
      </c>
      <c r="O294" s="13">
        <f t="shared" si="12"/>
        <v>14995</v>
      </c>
      <c r="P294" s="10" t="s">
        <v>16</v>
      </c>
    </row>
    <row r="295" spans="1:16" x14ac:dyDescent="0.35">
      <c r="A295" s="10" t="s">
        <v>1059</v>
      </c>
      <c r="B295" s="11">
        <f t="shared" si="13"/>
        <v>46121</v>
      </c>
      <c r="C295" s="11">
        <f t="shared" si="14"/>
        <v>46127</v>
      </c>
      <c r="D295" s="10">
        <v>3250</v>
      </c>
      <c r="E295" s="10">
        <v>332</v>
      </c>
      <c r="F295" s="10">
        <v>3</v>
      </c>
      <c r="G295" s="10">
        <v>1</v>
      </c>
      <c r="H295" s="10">
        <v>81642</v>
      </c>
      <c r="I295" s="10" t="s">
        <v>17</v>
      </c>
      <c r="J295" s="10">
        <v>26839076</v>
      </c>
      <c r="K295" s="12" t="s">
        <v>952</v>
      </c>
      <c r="L295" s="12" t="s">
        <v>954</v>
      </c>
      <c r="M295" s="13">
        <v>299900</v>
      </c>
      <c r="N295" s="14">
        <v>0.95</v>
      </c>
      <c r="O295" s="13">
        <f t="shared" si="12"/>
        <v>14995</v>
      </c>
      <c r="P295" s="10" t="s">
        <v>16</v>
      </c>
    </row>
    <row r="296" spans="1:16" x14ac:dyDescent="0.35">
      <c r="A296" s="10" t="s">
        <v>1059</v>
      </c>
      <c r="B296" s="11">
        <f t="shared" si="13"/>
        <v>46121</v>
      </c>
      <c r="C296" s="11">
        <f t="shared" si="14"/>
        <v>46127</v>
      </c>
      <c r="D296" s="10">
        <v>3250</v>
      </c>
      <c r="E296" s="10">
        <v>332</v>
      </c>
      <c r="F296" s="10">
        <v>3</v>
      </c>
      <c r="G296" s="10">
        <v>1</v>
      </c>
      <c r="H296" s="10">
        <v>81642</v>
      </c>
      <c r="I296" s="10" t="s">
        <v>17</v>
      </c>
      <c r="J296" s="10">
        <v>26839085</v>
      </c>
      <c r="K296" s="12" t="s">
        <v>952</v>
      </c>
      <c r="L296" s="12" t="s">
        <v>955</v>
      </c>
      <c r="M296" s="13">
        <v>299900</v>
      </c>
      <c r="N296" s="14">
        <v>0.95</v>
      </c>
      <c r="O296" s="13">
        <f t="shared" si="12"/>
        <v>14995</v>
      </c>
      <c r="P296" s="10" t="s">
        <v>16</v>
      </c>
    </row>
    <row r="297" spans="1:16" x14ac:dyDescent="0.35">
      <c r="A297" s="10" t="s">
        <v>1059</v>
      </c>
      <c r="B297" s="11">
        <f t="shared" si="13"/>
        <v>46121</v>
      </c>
      <c r="C297" s="11">
        <f t="shared" si="14"/>
        <v>46127</v>
      </c>
      <c r="D297" s="10">
        <v>3250</v>
      </c>
      <c r="E297" s="10">
        <v>332</v>
      </c>
      <c r="F297" s="10">
        <v>3</v>
      </c>
      <c r="G297" s="10">
        <v>1</v>
      </c>
      <c r="H297" s="10">
        <v>81642</v>
      </c>
      <c r="I297" s="10" t="s">
        <v>17</v>
      </c>
      <c r="J297" s="10">
        <v>26839094</v>
      </c>
      <c r="K297" s="12" t="s">
        <v>952</v>
      </c>
      <c r="L297" s="12" t="s">
        <v>956</v>
      </c>
      <c r="M297" s="13">
        <v>299900</v>
      </c>
      <c r="N297" s="14">
        <v>0.95</v>
      </c>
      <c r="O297" s="13">
        <f t="shared" si="12"/>
        <v>14995</v>
      </c>
      <c r="P297" s="10" t="s">
        <v>16</v>
      </c>
    </row>
    <row r="298" spans="1:16" x14ac:dyDescent="0.35">
      <c r="A298" s="10" t="s">
        <v>1059</v>
      </c>
      <c r="B298" s="11">
        <f t="shared" si="13"/>
        <v>46121</v>
      </c>
      <c r="C298" s="11">
        <f t="shared" si="14"/>
        <v>46127</v>
      </c>
      <c r="D298" s="10">
        <v>3250</v>
      </c>
      <c r="E298" s="10">
        <v>332</v>
      </c>
      <c r="F298" s="10">
        <v>3</v>
      </c>
      <c r="G298" s="10">
        <v>1</v>
      </c>
      <c r="H298" s="10">
        <v>81642</v>
      </c>
      <c r="I298" s="10" t="s">
        <v>17</v>
      </c>
      <c r="J298" s="10">
        <v>26839101</v>
      </c>
      <c r="K298" s="12" t="s">
        <v>952</v>
      </c>
      <c r="L298" s="12" t="s">
        <v>957</v>
      </c>
      <c r="M298" s="13">
        <v>299900</v>
      </c>
      <c r="N298" s="14">
        <v>0.95</v>
      </c>
      <c r="O298" s="13">
        <f t="shared" si="12"/>
        <v>14995</v>
      </c>
      <c r="P298" s="10" t="s">
        <v>16</v>
      </c>
    </row>
    <row r="299" spans="1:16" x14ac:dyDescent="0.35">
      <c r="A299" s="10" t="s">
        <v>1059</v>
      </c>
      <c r="B299" s="11">
        <f t="shared" si="13"/>
        <v>46121</v>
      </c>
      <c r="C299" s="11">
        <f t="shared" si="14"/>
        <v>46127</v>
      </c>
      <c r="D299" s="10">
        <v>3250</v>
      </c>
      <c r="E299" s="10">
        <v>332</v>
      </c>
      <c r="F299" s="10">
        <v>3</v>
      </c>
      <c r="G299" s="10">
        <v>1</v>
      </c>
      <c r="H299" s="10">
        <v>81642</v>
      </c>
      <c r="I299" s="10" t="s">
        <v>17</v>
      </c>
      <c r="J299" s="10">
        <v>26839110</v>
      </c>
      <c r="K299" s="12" t="s">
        <v>952</v>
      </c>
      <c r="L299" s="12" t="s">
        <v>958</v>
      </c>
      <c r="M299" s="13">
        <v>299900</v>
      </c>
      <c r="N299" s="14">
        <v>0.95</v>
      </c>
      <c r="O299" s="13">
        <f t="shared" si="12"/>
        <v>14995</v>
      </c>
      <c r="P299" s="10" t="s">
        <v>16</v>
      </c>
    </row>
    <row r="300" spans="1:16" x14ac:dyDescent="0.35">
      <c r="A300" s="10" t="s">
        <v>1059</v>
      </c>
      <c r="B300" s="11">
        <f t="shared" si="13"/>
        <v>46121</v>
      </c>
      <c r="C300" s="11">
        <f t="shared" si="14"/>
        <v>46127</v>
      </c>
      <c r="D300" s="10">
        <v>3250</v>
      </c>
      <c r="E300" s="10">
        <v>332</v>
      </c>
      <c r="F300" s="10">
        <v>3</v>
      </c>
      <c r="G300" s="10">
        <v>1</v>
      </c>
      <c r="H300" s="10">
        <v>81642</v>
      </c>
      <c r="I300" s="10" t="s">
        <v>17</v>
      </c>
      <c r="J300" s="10">
        <v>26849323</v>
      </c>
      <c r="K300" s="12" t="s">
        <v>959</v>
      </c>
      <c r="L300" s="12" t="s">
        <v>960</v>
      </c>
      <c r="M300" s="13">
        <v>299900</v>
      </c>
      <c r="N300" s="14">
        <v>0.95</v>
      </c>
      <c r="O300" s="13">
        <f t="shared" si="12"/>
        <v>14995</v>
      </c>
      <c r="P300" s="10" t="s">
        <v>16</v>
      </c>
    </row>
    <row r="301" spans="1:16" x14ac:dyDescent="0.35">
      <c r="A301" s="10" t="s">
        <v>1059</v>
      </c>
      <c r="B301" s="11">
        <f t="shared" si="13"/>
        <v>46121</v>
      </c>
      <c r="C301" s="11">
        <f t="shared" si="14"/>
        <v>46127</v>
      </c>
      <c r="D301" s="10">
        <v>3250</v>
      </c>
      <c r="E301" s="10">
        <v>332</v>
      </c>
      <c r="F301" s="10">
        <v>3</v>
      </c>
      <c r="G301" s="10">
        <v>1</v>
      </c>
      <c r="H301" s="10">
        <v>81642</v>
      </c>
      <c r="I301" s="10" t="s">
        <v>17</v>
      </c>
      <c r="J301" s="10">
        <v>26849332</v>
      </c>
      <c r="K301" s="12" t="s">
        <v>959</v>
      </c>
      <c r="L301" s="12" t="s">
        <v>961</v>
      </c>
      <c r="M301" s="13">
        <v>299900</v>
      </c>
      <c r="N301" s="14">
        <v>0.95</v>
      </c>
      <c r="O301" s="13">
        <f t="shared" si="12"/>
        <v>14995</v>
      </c>
      <c r="P301" s="10" t="s">
        <v>16</v>
      </c>
    </row>
    <row r="302" spans="1:16" x14ac:dyDescent="0.35">
      <c r="A302" s="10" t="s">
        <v>1059</v>
      </c>
      <c r="B302" s="11">
        <f t="shared" si="13"/>
        <v>46121</v>
      </c>
      <c r="C302" s="11">
        <f t="shared" si="14"/>
        <v>46127</v>
      </c>
      <c r="D302" s="10">
        <v>3250</v>
      </c>
      <c r="E302" s="10">
        <v>332</v>
      </c>
      <c r="F302" s="10">
        <v>3</v>
      </c>
      <c r="G302" s="10">
        <v>1</v>
      </c>
      <c r="H302" s="10">
        <v>81642</v>
      </c>
      <c r="I302" s="10" t="s">
        <v>17</v>
      </c>
      <c r="J302" s="10">
        <v>26849341</v>
      </c>
      <c r="K302" s="12" t="s">
        <v>959</v>
      </c>
      <c r="L302" s="12" t="s">
        <v>962</v>
      </c>
      <c r="M302" s="13">
        <v>299900</v>
      </c>
      <c r="N302" s="14">
        <v>0.95</v>
      </c>
      <c r="O302" s="13">
        <f t="shared" si="12"/>
        <v>14995</v>
      </c>
      <c r="P302" s="10" t="s">
        <v>16</v>
      </c>
    </row>
    <row r="303" spans="1:16" x14ac:dyDescent="0.35">
      <c r="A303" s="10" t="s">
        <v>1059</v>
      </c>
      <c r="B303" s="11">
        <f t="shared" si="13"/>
        <v>46121</v>
      </c>
      <c r="C303" s="11">
        <f t="shared" si="14"/>
        <v>46127</v>
      </c>
      <c r="D303" s="10">
        <v>3250</v>
      </c>
      <c r="E303" s="10">
        <v>332</v>
      </c>
      <c r="F303" s="10">
        <v>3</v>
      </c>
      <c r="G303" s="10">
        <v>1</v>
      </c>
      <c r="H303" s="10">
        <v>81642</v>
      </c>
      <c r="I303" s="10" t="s">
        <v>17</v>
      </c>
      <c r="J303" s="10">
        <v>26849350</v>
      </c>
      <c r="K303" s="12" t="s">
        <v>959</v>
      </c>
      <c r="L303" s="12" t="s">
        <v>963</v>
      </c>
      <c r="M303" s="13">
        <v>299900</v>
      </c>
      <c r="N303" s="14">
        <v>0.95</v>
      </c>
      <c r="O303" s="13">
        <f t="shared" si="12"/>
        <v>14995</v>
      </c>
      <c r="P303" s="10" t="s">
        <v>16</v>
      </c>
    </row>
    <row r="304" spans="1:16" x14ac:dyDescent="0.35">
      <c r="A304" s="10" t="s">
        <v>1059</v>
      </c>
      <c r="B304" s="11">
        <f t="shared" si="13"/>
        <v>46121</v>
      </c>
      <c r="C304" s="11">
        <f t="shared" si="14"/>
        <v>46127</v>
      </c>
      <c r="D304" s="10">
        <v>3250</v>
      </c>
      <c r="E304" s="10">
        <v>332</v>
      </c>
      <c r="F304" s="10">
        <v>3</v>
      </c>
      <c r="G304" s="10">
        <v>1</v>
      </c>
      <c r="H304" s="10">
        <v>81642</v>
      </c>
      <c r="I304" s="10" t="s">
        <v>17</v>
      </c>
      <c r="J304" s="10">
        <v>26849369</v>
      </c>
      <c r="K304" s="12" t="s">
        <v>959</v>
      </c>
      <c r="L304" s="12" t="s">
        <v>964</v>
      </c>
      <c r="M304" s="13">
        <v>299900</v>
      </c>
      <c r="N304" s="14">
        <v>0.95</v>
      </c>
      <c r="O304" s="13">
        <f t="shared" si="12"/>
        <v>14995</v>
      </c>
      <c r="P304" s="10" t="s">
        <v>16</v>
      </c>
    </row>
    <row r="305" spans="1:16" x14ac:dyDescent="0.35">
      <c r="A305" s="10" t="s">
        <v>1059</v>
      </c>
      <c r="B305" s="11">
        <f t="shared" si="13"/>
        <v>46121</v>
      </c>
      <c r="C305" s="11">
        <f t="shared" si="14"/>
        <v>46127</v>
      </c>
      <c r="D305" s="10">
        <v>3250</v>
      </c>
      <c r="E305" s="10">
        <v>332</v>
      </c>
      <c r="F305" s="10">
        <v>3</v>
      </c>
      <c r="G305" s="10">
        <v>1</v>
      </c>
      <c r="H305" s="10">
        <v>81642</v>
      </c>
      <c r="I305" s="10" t="s">
        <v>17</v>
      </c>
      <c r="J305" s="10">
        <v>26849378</v>
      </c>
      <c r="K305" s="12" t="s">
        <v>959</v>
      </c>
      <c r="L305" s="12" t="s">
        <v>965</v>
      </c>
      <c r="M305" s="13">
        <v>299900</v>
      </c>
      <c r="N305" s="14">
        <v>0.95</v>
      </c>
      <c r="O305" s="13">
        <f t="shared" si="12"/>
        <v>14995</v>
      </c>
      <c r="P305" s="10" t="s">
        <v>16</v>
      </c>
    </row>
    <row r="306" spans="1:16" x14ac:dyDescent="0.35">
      <c r="A306" s="10" t="s">
        <v>1059</v>
      </c>
      <c r="B306" s="11">
        <f t="shared" si="13"/>
        <v>46121</v>
      </c>
      <c r="C306" s="11">
        <f t="shared" si="14"/>
        <v>46127</v>
      </c>
      <c r="D306" s="10">
        <v>3250</v>
      </c>
      <c r="E306" s="10">
        <v>332</v>
      </c>
      <c r="F306" s="10">
        <v>3</v>
      </c>
      <c r="G306" s="10">
        <v>1</v>
      </c>
      <c r="H306" s="10">
        <v>81642</v>
      </c>
      <c r="I306" s="10" t="s">
        <v>17</v>
      </c>
      <c r="J306" s="10">
        <v>26850571</v>
      </c>
      <c r="K306" s="12" t="s">
        <v>966</v>
      </c>
      <c r="L306" s="12" t="s">
        <v>967</v>
      </c>
      <c r="M306" s="13">
        <v>299900</v>
      </c>
      <c r="N306" s="14">
        <v>0.95</v>
      </c>
      <c r="O306" s="13">
        <f t="shared" si="12"/>
        <v>14995</v>
      </c>
      <c r="P306" s="10" t="s">
        <v>16</v>
      </c>
    </row>
    <row r="307" spans="1:16" x14ac:dyDescent="0.35">
      <c r="A307" s="10" t="s">
        <v>1059</v>
      </c>
      <c r="B307" s="11">
        <f t="shared" si="13"/>
        <v>46121</v>
      </c>
      <c r="C307" s="11">
        <f t="shared" si="14"/>
        <v>46127</v>
      </c>
      <c r="D307" s="10">
        <v>3250</v>
      </c>
      <c r="E307" s="10">
        <v>332</v>
      </c>
      <c r="F307" s="10">
        <v>3</v>
      </c>
      <c r="G307" s="10">
        <v>1</v>
      </c>
      <c r="H307" s="10">
        <v>81642</v>
      </c>
      <c r="I307" s="10" t="s">
        <v>17</v>
      </c>
      <c r="J307" s="10">
        <v>26850580</v>
      </c>
      <c r="K307" s="12" t="s">
        <v>966</v>
      </c>
      <c r="L307" s="12" t="s">
        <v>968</v>
      </c>
      <c r="M307" s="13">
        <v>299900</v>
      </c>
      <c r="N307" s="14">
        <v>0.95</v>
      </c>
      <c r="O307" s="13">
        <f t="shared" si="12"/>
        <v>14995</v>
      </c>
      <c r="P307" s="10" t="s">
        <v>16</v>
      </c>
    </row>
    <row r="308" spans="1:16" x14ac:dyDescent="0.35">
      <c r="A308" s="10" t="s">
        <v>1059</v>
      </c>
      <c r="B308" s="11">
        <f t="shared" si="13"/>
        <v>46121</v>
      </c>
      <c r="C308" s="11">
        <f t="shared" si="14"/>
        <v>46127</v>
      </c>
      <c r="D308" s="10">
        <v>3250</v>
      </c>
      <c r="E308" s="10">
        <v>332</v>
      </c>
      <c r="F308" s="10">
        <v>3</v>
      </c>
      <c r="G308" s="10">
        <v>1</v>
      </c>
      <c r="H308" s="10">
        <v>81642</v>
      </c>
      <c r="I308" s="10" t="s">
        <v>17</v>
      </c>
      <c r="J308" s="10">
        <v>26850599</v>
      </c>
      <c r="K308" s="12" t="s">
        <v>966</v>
      </c>
      <c r="L308" s="12" t="s">
        <v>969</v>
      </c>
      <c r="M308" s="13">
        <v>299900</v>
      </c>
      <c r="N308" s="14">
        <v>0.95</v>
      </c>
      <c r="O308" s="13">
        <f t="shared" si="12"/>
        <v>14995</v>
      </c>
      <c r="P308" s="10" t="s">
        <v>16</v>
      </c>
    </row>
    <row r="309" spans="1:16" x14ac:dyDescent="0.35">
      <c r="A309" s="10" t="s">
        <v>1059</v>
      </c>
      <c r="B309" s="11">
        <f t="shared" si="13"/>
        <v>46121</v>
      </c>
      <c r="C309" s="11">
        <f t="shared" si="14"/>
        <v>46127</v>
      </c>
      <c r="D309" s="10">
        <v>3250</v>
      </c>
      <c r="E309" s="10">
        <v>332</v>
      </c>
      <c r="F309" s="10">
        <v>3</v>
      </c>
      <c r="G309" s="10">
        <v>1</v>
      </c>
      <c r="H309" s="10">
        <v>81642</v>
      </c>
      <c r="I309" s="10" t="s">
        <v>17</v>
      </c>
      <c r="J309" s="10">
        <v>26850606</v>
      </c>
      <c r="K309" s="12" t="s">
        <v>966</v>
      </c>
      <c r="L309" s="12" t="s">
        <v>970</v>
      </c>
      <c r="M309" s="13">
        <v>299900</v>
      </c>
      <c r="N309" s="14">
        <v>0.95</v>
      </c>
      <c r="O309" s="13">
        <f t="shared" si="12"/>
        <v>14995</v>
      </c>
      <c r="P309" s="10" t="s">
        <v>16</v>
      </c>
    </row>
    <row r="310" spans="1:16" x14ac:dyDescent="0.35">
      <c r="A310" s="10" t="s">
        <v>1059</v>
      </c>
      <c r="B310" s="11">
        <f t="shared" si="13"/>
        <v>46121</v>
      </c>
      <c r="C310" s="11">
        <f t="shared" si="14"/>
        <v>46127</v>
      </c>
      <c r="D310" s="10">
        <v>3250</v>
      </c>
      <c r="E310" s="10">
        <v>332</v>
      </c>
      <c r="F310" s="10">
        <v>3</v>
      </c>
      <c r="G310" s="10">
        <v>1</v>
      </c>
      <c r="H310" s="10">
        <v>81642</v>
      </c>
      <c r="I310" s="10" t="s">
        <v>17</v>
      </c>
      <c r="J310" s="10">
        <v>26850615</v>
      </c>
      <c r="K310" s="12" t="s">
        <v>966</v>
      </c>
      <c r="L310" s="12" t="s">
        <v>971</v>
      </c>
      <c r="M310" s="13">
        <v>299900</v>
      </c>
      <c r="N310" s="14">
        <v>0.95</v>
      </c>
      <c r="O310" s="13">
        <f t="shared" si="12"/>
        <v>14995</v>
      </c>
      <c r="P310" s="10" t="s">
        <v>16</v>
      </c>
    </row>
    <row r="311" spans="1:16" x14ac:dyDescent="0.35">
      <c r="A311" s="10" t="s">
        <v>1059</v>
      </c>
      <c r="B311" s="11">
        <f t="shared" si="13"/>
        <v>46121</v>
      </c>
      <c r="C311" s="11">
        <f t="shared" si="14"/>
        <v>46127</v>
      </c>
      <c r="D311" s="10">
        <v>3250</v>
      </c>
      <c r="E311" s="10">
        <v>332</v>
      </c>
      <c r="F311" s="10">
        <v>3</v>
      </c>
      <c r="G311" s="10">
        <v>1</v>
      </c>
      <c r="H311" s="10">
        <v>81642</v>
      </c>
      <c r="I311" s="10" t="s">
        <v>17</v>
      </c>
      <c r="J311" s="10">
        <v>26850624</v>
      </c>
      <c r="K311" s="12" t="s">
        <v>966</v>
      </c>
      <c r="L311" s="12" t="s">
        <v>972</v>
      </c>
      <c r="M311" s="13">
        <v>299900</v>
      </c>
      <c r="N311" s="14">
        <v>0.95</v>
      </c>
      <c r="O311" s="13">
        <f t="shared" si="12"/>
        <v>14995</v>
      </c>
      <c r="P311" s="10" t="s">
        <v>16</v>
      </c>
    </row>
    <row r="312" spans="1:16" x14ac:dyDescent="0.35">
      <c r="A312" s="10" t="s">
        <v>1059</v>
      </c>
      <c r="B312" s="11">
        <f t="shared" si="13"/>
        <v>46121</v>
      </c>
      <c r="C312" s="11">
        <f t="shared" si="14"/>
        <v>46127</v>
      </c>
      <c r="D312" s="10">
        <v>3250</v>
      </c>
      <c r="E312" s="10">
        <v>332</v>
      </c>
      <c r="F312" s="10">
        <v>3</v>
      </c>
      <c r="G312" s="10">
        <v>1</v>
      </c>
      <c r="H312" s="10">
        <v>81642</v>
      </c>
      <c r="I312" s="10" t="s">
        <v>17</v>
      </c>
      <c r="J312" s="10">
        <v>26854933</v>
      </c>
      <c r="K312" s="12" t="s">
        <v>973</v>
      </c>
      <c r="L312" s="12" t="s">
        <v>974</v>
      </c>
      <c r="M312" s="13">
        <v>299900</v>
      </c>
      <c r="N312" s="14">
        <v>0.95</v>
      </c>
      <c r="O312" s="13">
        <f t="shared" si="12"/>
        <v>14995</v>
      </c>
      <c r="P312" s="10" t="s">
        <v>16</v>
      </c>
    </row>
    <row r="313" spans="1:16" x14ac:dyDescent="0.35">
      <c r="A313" s="10" t="s">
        <v>1059</v>
      </c>
      <c r="B313" s="11">
        <f t="shared" si="13"/>
        <v>46121</v>
      </c>
      <c r="C313" s="11">
        <f t="shared" si="14"/>
        <v>46127</v>
      </c>
      <c r="D313" s="10">
        <v>3250</v>
      </c>
      <c r="E313" s="10">
        <v>332</v>
      </c>
      <c r="F313" s="10">
        <v>3</v>
      </c>
      <c r="G313" s="10">
        <v>1</v>
      </c>
      <c r="H313" s="10">
        <v>81642</v>
      </c>
      <c r="I313" s="10" t="s">
        <v>17</v>
      </c>
      <c r="J313" s="10">
        <v>26854942</v>
      </c>
      <c r="K313" s="12" t="s">
        <v>973</v>
      </c>
      <c r="L313" s="12" t="s">
        <v>975</v>
      </c>
      <c r="M313" s="13">
        <v>299900</v>
      </c>
      <c r="N313" s="14">
        <v>0.95</v>
      </c>
      <c r="O313" s="13">
        <f t="shared" si="12"/>
        <v>14995</v>
      </c>
      <c r="P313" s="10" t="s">
        <v>16</v>
      </c>
    </row>
    <row r="314" spans="1:16" x14ac:dyDescent="0.35">
      <c r="A314" s="10" t="s">
        <v>1059</v>
      </c>
      <c r="B314" s="11">
        <f t="shared" si="13"/>
        <v>46121</v>
      </c>
      <c r="C314" s="11">
        <f t="shared" si="14"/>
        <v>46127</v>
      </c>
      <c r="D314" s="10">
        <v>3250</v>
      </c>
      <c r="E314" s="10">
        <v>332</v>
      </c>
      <c r="F314" s="10">
        <v>3</v>
      </c>
      <c r="G314" s="10">
        <v>1</v>
      </c>
      <c r="H314" s="10">
        <v>81642</v>
      </c>
      <c r="I314" s="10" t="s">
        <v>17</v>
      </c>
      <c r="J314" s="10">
        <v>26854951</v>
      </c>
      <c r="K314" s="12" t="s">
        <v>973</v>
      </c>
      <c r="L314" s="12" t="s">
        <v>976</v>
      </c>
      <c r="M314" s="13">
        <v>299900</v>
      </c>
      <c r="N314" s="14">
        <v>0.95</v>
      </c>
      <c r="O314" s="13">
        <f t="shared" si="12"/>
        <v>14995</v>
      </c>
      <c r="P314" s="10" t="s">
        <v>16</v>
      </c>
    </row>
    <row r="315" spans="1:16" x14ac:dyDescent="0.35">
      <c r="A315" s="10" t="s">
        <v>1059</v>
      </c>
      <c r="B315" s="11">
        <f t="shared" si="13"/>
        <v>46121</v>
      </c>
      <c r="C315" s="11">
        <f t="shared" si="14"/>
        <v>46127</v>
      </c>
      <c r="D315" s="10">
        <v>3250</v>
      </c>
      <c r="E315" s="10">
        <v>332</v>
      </c>
      <c r="F315" s="10">
        <v>3</v>
      </c>
      <c r="G315" s="10">
        <v>1</v>
      </c>
      <c r="H315" s="10">
        <v>81642</v>
      </c>
      <c r="I315" s="10" t="s">
        <v>17</v>
      </c>
      <c r="J315" s="10">
        <v>26854960</v>
      </c>
      <c r="K315" s="12" t="s">
        <v>973</v>
      </c>
      <c r="L315" s="12" t="s">
        <v>977</v>
      </c>
      <c r="M315" s="13">
        <v>299900</v>
      </c>
      <c r="N315" s="14">
        <v>0.95</v>
      </c>
      <c r="O315" s="13">
        <f t="shared" si="12"/>
        <v>14995</v>
      </c>
      <c r="P315" s="10" t="s">
        <v>16</v>
      </c>
    </row>
    <row r="316" spans="1:16" x14ac:dyDescent="0.35">
      <c r="A316" s="10" t="s">
        <v>1059</v>
      </c>
      <c r="B316" s="11">
        <f t="shared" si="13"/>
        <v>46121</v>
      </c>
      <c r="C316" s="11">
        <f t="shared" si="14"/>
        <v>46127</v>
      </c>
      <c r="D316" s="10">
        <v>3250</v>
      </c>
      <c r="E316" s="10">
        <v>332</v>
      </c>
      <c r="F316" s="10">
        <v>3</v>
      </c>
      <c r="G316" s="10">
        <v>1</v>
      </c>
      <c r="H316" s="10">
        <v>81642</v>
      </c>
      <c r="I316" s="10" t="s">
        <v>17</v>
      </c>
      <c r="J316" s="10">
        <v>26854979</v>
      </c>
      <c r="K316" s="12" t="s">
        <v>973</v>
      </c>
      <c r="L316" s="12" t="s">
        <v>978</v>
      </c>
      <c r="M316" s="13">
        <v>299900</v>
      </c>
      <c r="N316" s="14">
        <v>0.95</v>
      </c>
      <c r="O316" s="13">
        <f t="shared" si="12"/>
        <v>14995</v>
      </c>
      <c r="P316" s="10" t="s">
        <v>16</v>
      </c>
    </row>
    <row r="317" spans="1:16" x14ac:dyDescent="0.35">
      <c r="A317" s="10" t="s">
        <v>1059</v>
      </c>
      <c r="B317" s="11">
        <f t="shared" si="13"/>
        <v>46121</v>
      </c>
      <c r="C317" s="11">
        <f t="shared" si="14"/>
        <v>46127</v>
      </c>
      <c r="D317" s="10">
        <v>3250</v>
      </c>
      <c r="E317" s="10">
        <v>332</v>
      </c>
      <c r="F317" s="10">
        <v>3</v>
      </c>
      <c r="G317" s="10">
        <v>1</v>
      </c>
      <c r="H317" s="10">
        <v>81642</v>
      </c>
      <c r="I317" s="10" t="s">
        <v>17</v>
      </c>
      <c r="J317" s="10">
        <v>26854988</v>
      </c>
      <c r="K317" s="12" t="s">
        <v>973</v>
      </c>
      <c r="L317" s="12" t="s">
        <v>979</v>
      </c>
      <c r="M317" s="13">
        <v>299900</v>
      </c>
      <c r="N317" s="14">
        <v>0.95</v>
      </c>
      <c r="O317" s="13">
        <f t="shared" si="12"/>
        <v>14995</v>
      </c>
      <c r="P317" s="10" t="s">
        <v>16</v>
      </c>
    </row>
    <row r="318" spans="1:16" x14ac:dyDescent="0.35">
      <c r="A318" s="10" t="s">
        <v>1059</v>
      </c>
      <c r="B318" s="11">
        <f t="shared" si="13"/>
        <v>46121</v>
      </c>
      <c r="C318" s="11">
        <f t="shared" si="14"/>
        <v>46127</v>
      </c>
      <c r="D318" s="10">
        <v>3250</v>
      </c>
      <c r="E318" s="10">
        <v>332</v>
      </c>
      <c r="F318" s="10">
        <v>3</v>
      </c>
      <c r="G318" s="10">
        <v>1</v>
      </c>
      <c r="H318" s="10">
        <v>81642</v>
      </c>
      <c r="I318" s="10" t="s">
        <v>17</v>
      </c>
      <c r="J318" s="10">
        <v>26895103</v>
      </c>
      <c r="K318" s="12" t="s">
        <v>952</v>
      </c>
      <c r="L318" s="12" t="s">
        <v>980</v>
      </c>
      <c r="M318" s="13">
        <v>299900</v>
      </c>
      <c r="N318" s="14">
        <v>0.95</v>
      </c>
      <c r="O318" s="13">
        <f t="shared" si="12"/>
        <v>14995</v>
      </c>
      <c r="P318" s="10" t="s">
        <v>16</v>
      </c>
    </row>
    <row r="319" spans="1:16" x14ac:dyDescent="0.35">
      <c r="A319" s="10" t="s">
        <v>1059</v>
      </c>
      <c r="B319" s="11">
        <f t="shared" si="13"/>
        <v>46121</v>
      </c>
      <c r="C319" s="11">
        <f t="shared" si="14"/>
        <v>46127</v>
      </c>
      <c r="D319" s="10">
        <v>3250</v>
      </c>
      <c r="E319" s="10">
        <v>332</v>
      </c>
      <c r="F319" s="10">
        <v>3</v>
      </c>
      <c r="G319" s="10">
        <v>1</v>
      </c>
      <c r="H319" s="10">
        <v>81642</v>
      </c>
      <c r="I319" s="10" t="s">
        <v>17</v>
      </c>
      <c r="J319" s="10">
        <v>26895112</v>
      </c>
      <c r="K319" s="12" t="s">
        <v>952</v>
      </c>
      <c r="L319" s="12" t="s">
        <v>981</v>
      </c>
      <c r="M319" s="13">
        <v>299900</v>
      </c>
      <c r="N319" s="14">
        <v>0.95</v>
      </c>
      <c r="O319" s="13">
        <f t="shared" si="12"/>
        <v>14995</v>
      </c>
      <c r="P319" s="10" t="s">
        <v>16</v>
      </c>
    </row>
    <row r="320" spans="1:16" x14ac:dyDescent="0.35">
      <c r="A320" s="10" t="s">
        <v>1059</v>
      </c>
      <c r="B320" s="11">
        <f t="shared" si="13"/>
        <v>46121</v>
      </c>
      <c r="C320" s="11">
        <f t="shared" si="14"/>
        <v>46127</v>
      </c>
      <c r="D320" s="10">
        <v>3250</v>
      </c>
      <c r="E320" s="10">
        <v>332</v>
      </c>
      <c r="F320" s="10">
        <v>3</v>
      </c>
      <c r="G320" s="10">
        <v>1</v>
      </c>
      <c r="H320" s="10">
        <v>81642</v>
      </c>
      <c r="I320" s="10" t="s">
        <v>17</v>
      </c>
      <c r="J320" s="10">
        <v>26895121</v>
      </c>
      <c r="K320" s="12" t="s">
        <v>952</v>
      </c>
      <c r="L320" s="12" t="s">
        <v>982</v>
      </c>
      <c r="M320" s="13">
        <v>299900</v>
      </c>
      <c r="N320" s="14">
        <v>0.95</v>
      </c>
      <c r="O320" s="13">
        <f t="shared" si="12"/>
        <v>14995</v>
      </c>
      <c r="P320" s="10" t="s">
        <v>16</v>
      </c>
    </row>
    <row r="321" spans="1:16" x14ac:dyDescent="0.35">
      <c r="A321" s="10" t="s">
        <v>1059</v>
      </c>
      <c r="B321" s="11">
        <f t="shared" si="13"/>
        <v>46121</v>
      </c>
      <c r="C321" s="11">
        <f t="shared" si="14"/>
        <v>46127</v>
      </c>
      <c r="D321" s="10">
        <v>3250</v>
      </c>
      <c r="E321" s="10">
        <v>332</v>
      </c>
      <c r="F321" s="10">
        <v>3</v>
      </c>
      <c r="G321" s="10">
        <v>1</v>
      </c>
      <c r="H321" s="10">
        <v>81642</v>
      </c>
      <c r="I321" s="10" t="s">
        <v>17</v>
      </c>
      <c r="J321" s="10">
        <v>26895130</v>
      </c>
      <c r="K321" s="12" t="s">
        <v>952</v>
      </c>
      <c r="L321" s="12" t="s">
        <v>983</v>
      </c>
      <c r="M321" s="13">
        <v>299900</v>
      </c>
      <c r="N321" s="14">
        <v>0.95</v>
      </c>
      <c r="O321" s="13">
        <f t="shared" si="12"/>
        <v>14995</v>
      </c>
      <c r="P321" s="10" t="s">
        <v>16</v>
      </c>
    </row>
    <row r="322" spans="1:16" x14ac:dyDescent="0.35">
      <c r="A322" s="10" t="s">
        <v>1059</v>
      </c>
      <c r="B322" s="11">
        <f t="shared" si="13"/>
        <v>46121</v>
      </c>
      <c r="C322" s="11">
        <f t="shared" si="14"/>
        <v>46127</v>
      </c>
      <c r="D322" s="10">
        <v>3250</v>
      </c>
      <c r="E322" s="10">
        <v>332</v>
      </c>
      <c r="F322" s="10">
        <v>3</v>
      </c>
      <c r="G322" s="10">
        <v>1</v>
      </c>
      <c r="H322" s="10">
        <v>81642</v>
      </c>
      <c r="I322" s="10" t="s">
        <v>17</v>
      </c>
      <c r="J322" s="10">
        <v>26895149</v>
      </c>
      <c r="K322" s="12" t="s">
        <v>952</v>
      </c>
      <c r="L322" s="12" t="s">
        <v>984</v>
      </c>
      <c r="M322" s="13">
        <v>299900</v>
      </c>
      <c r="N322" s="14">
        <v>0.95</v>
      </c>
      <c r="O322" s="13">
        <f t="shared" si="12"/>
        <v>14995</v>
      </c>
      <c r="P322" s="10" t="s">
        <v>16</v>
      </c>
    </row>
    <row r="323" spans="1:16" x14ac:dyDescent="0.35">
      <c r="A323" s="10" t="s">
        <v>1059</v>
      </c>
      <c r="B323" s="11">
        <f t="shared" si="13"/>
        <v>46121</v>
      </c>
      <c r="C323" s="11">
        <f t="shared" si="14"/>
        <v>46127</v>
      </c>
      <c r="D323" s="10">
        <v>3250</v>
      </c>
      <c r="E323" s="10">
        <v>332</v>
      </c>
      <c r="F323" s="10">
        <v>3</v>
      </c>
      <c r="G323" s="10">
        <v>1</v>
      </c>
      <c r="H323" s="10">
        <v>81642</v>
      </c>
      <c r="I323" s="10" t="s">
        <v>17</v>
      </c>
      <c r="J323" s="10">
        <v>28004106</v>
      </c>
      <c r="K323" s="12" t="s">
        <v>985</v>
      </c>
      <c r="L323" s="12" t="s">
        <v>986</v>
      </c>
      <c r="M323" s="13">
        <v>299900</v>
      </c>
      <c r="N323" s="14">
        <v>0.95</v>
      </c>
      <c r="O323" s="13">
        <f t="shared" ref="O323:O386" si="15">M323-(M323*N323)</f>
        <v>14995</v>
      </c>
      <c r="P323" s="10" t="s">
        <v>16</v>
      </c>
    </row>
    <row r="324" spans="1:16" x14ac:dyDescent="0.35">
      <c r="A324" s="10" t="s">
        <v>1059</v>
      </c>
      <c r="B324" s="11">
        <f t="shared" ref="B324:B386" si="16">B323</f>
        <v>46121</v>
      </c>
      <c r="C324" s="11">
        <f t="shared" ref="C324:C386" si="17">C323</f>
        <v>46127</v>
      </c>
      <c r="D324" s="10">
        <v>3250</v>
      </c>
      <c r="E324" s="10">
        <v>332</v>
      </c>
      <c r="F324" s="10">
        <v>3</v>
      </c>
      <c r="G324" s="10">
        <v>1</v>
      </c>
      <c r="H324" s="10">
        <v>81642</v>
      </c>
      <c r="I324" s="10" t="s">
        <v>17</v>
      </c>
      <c r="J324" s="10">
        <v>28004115</v>
      </c>
      <c r="K324" s="12" t="s">
        <v>985</v>
      </c>
      <c r="L324" s="12" t="s">
        <v>987</v>
      </c>
      <c r="M324" s="13">
        <v>299900</v>
      </c>
      <c r="N324" s="14">
        <v>0.95</v>
      </c>
      <c r="O324" s="13">
        <f t="shared" si="15"/>
        <v>14995</v>
      </c>
      <c r="P324" s="10" t="s">
        <v>16</v>
      </c>
    </row>
    <row r="325" spans="1:16" x14ac:dyDescent="0.35">
      <c r="A325" s="10" t="s">
        <v>1059</v>
      </c>
      <c r="B325" s="11">
        <f t="shared" si="16"/>
        <v>46121</v>
      </c>
      <c r="C325" s="11">
        <f t="shared" si="17"/>
        <v>46127</v>
      </c>
      <c r="D325" s="10">
        <v>3250</v>
      </c>
      <c r="E325" s="10">
        <v>332</v>
      </c>
      <c r="F325" s="10">
        <v>3</v>
      </c>
      <c r="G325" s="10">
        <v>1</v>
      </c>
      <c r="H325" s="10">
        <v>81642</v>
      </c>
      <c r="I325" s="10" t="s">
        <v>17</v>
      </c>
      <c r="J325" s="10">
        <v>28004124</v>
      </c>
      <c r="K325" s="12" t="s">
        <v>985</v>
      </c>
      <c r="L325" s="12" t="s">
        <v>988</v>
      </c>
      <c r="M325" s="13">
        <v>299900</v>
      </c>
      <c r="N325" s="14">
        <v>0.95</v>
      </c>
      <c r="O325" s="13">
        <f t="shared" si="15"/>
        <v>14995</v>
      </c>
      <c r="P325" s="10" t="s">
        <v>16</v>
      </c>
    </row>
    <row r="326" spans="1:16" x14ac:dyDescent="0.35">
      <c r="A326" s="10" t="s">
        <v>1059</v>
      </c>
      <c r="B326" s="11">
        <f t="shared" si="16"/>
        <v>46121</v>
      </c>
      <c r="C326" s="11">
        <f t="shared" si="17"/>
        <v>46127</v>
      </c>
      <c r="D326" s="10">
        <v>3250</v>
      </c>
      <c r="E326" s="10">
        <v>332</v>
      </c>
      <c r="F326" s="10">
        <v>3</v>
      </c>
      <c r="G326" s="10">
        <v>1</v>
      </c>
      <c r="H326" s="10">
        <v>81642</v>
      </c>
      <c r="I326" s="10" t="s">
        <v>17</v>
      </c>
      <c r="J326" s="10">
        <v>28004133</v>
      </c>
      <c r="K326" s="12" t="s">
        <v>985</v>
      </c>
      <c r="L326" s="12" t="s">
        <v>989</v>
      </c>
      <c r="M326" s="13">
        <v>299900</v>
      </c>
      <c r="N326" s="14">
        <v>0.95</v>
      </c>
      <c r="O326" s="13">
        <f t="shared" si="15"/>
        <v>14995</v>
      </c>
      <c r="P326" s="10" t="s">
        <v>16</v>
      </c>
    </row>
    <row r="327" spans="1:16" x14ac:dyDescent="0.35">
      <c r="A327" s="10" t="s">
        <v>1059</v>
      </c>
      <c r="B327" s="11">
        <f t="shared" si="16"/>
        <v>46121</v>
      </c>
      <c r="C327" s="11">
        <f t="shared" si="17"/>
        <v>46127</v>
      </c>
      <c r="D327" s="10">
        <v>3250</v>
      </c>
      <c r="E327" s="10">
        <v>332</v>
      </c>
      <c r="F327" s="10">
        <v>3</v>
      </c>
      <c r="G327" s="10">
        <v>1</v>
      </c>
      <c r="H327" s="10">
        <v>81642</v>
      </c>
      <c r="I327" s="10" t="s">
        <v>17</v>
      </c>
      <c r="J327" s="10">
        <v>28004142</v>
      </c>
      <c r="K327" s="12" t="s">
        <v>985</v>
      </c>
      <c r="L327" s="12" t="s">
        <v>990</v>
      </c>
      <c r="M327" s="13">
        <v>299900</v>
      </c>
      <c r="N327" s="14">
        <v>0.95</v>
      </c>
      <c r="O327" s="13">
        <f t="shared" si="15"/>
        <v>14995</v>
      </c>
      <c r="P327" s="10" t="s">
        <v>16</v>
      </c>
    </row>
    <row r="328" spans="1:16" x14ac:dyDescent="0.35">
      <c r="A328" s="10" t="s">
        <v>1059</v>
      </c>
      <c r="B328" s="11">
        <f t="shared" si="16"/>
        <v>46121</v>
      </c>
      <c r="C328" s="11">
        <f t="shared" si="17"/>
        <v>46127</v>
      </c>
      <c r="D328" s="10">
        <v>3250</v>
      </c>
      <c r="E328" s="10">
        <v>332</v>
      </c>
      <c r="F328" s="10">
        <v>3</v>
      </c>
      <c r="G328" s="10">
        <v>1</v>
      </c>
      <c r="H328" s="10">
        <v>81642</v>
      </c>
      <c r="I328" s="10" t="s">
        <v>17</v>
      </c>
      <c r="J328" s="10">
        <v>28004151</v>
      </c>
      <c r="K328" s="12" t="s">
        <v>985</v>
      </c>
      <c r="L328" s="12" t="s">
        <v>991</v>
      </c>
      <c r="M328" s="13">
        <v>299900</v>
      </c>
      <c r="N328" s="14">
        <v>0.95</v>
      </c>
      <c r="O328" s="13">
        <f t="shared" si="15"/>
        <v>14995</v>
      </c>
      <c r="P328" s="10" t="s">
        <v>16</v>
      </c>
    </row>
    <row r="329" spans="1:16" x14ac:dyDescent="0.35">
      <c r="A329" s="10" t="s">
        <v>1059</v>
      </c>
      <c r="B329" s="11">
        <f t="shared" si="16"/>
        <v>46121</v>
      </c>
      <c r="C329" s="11">
        <f t="shared" si="17"/>
        <v>46127</v>
      </c>
      <c r="D329" s="10">
        <v>3250</v>
      </c>
      <c r="E329" s="10">
        <v>332</v>
      </c>
      <c r="F329" s="10">
        <v>3</v>
      </c>
      <c r="G329" s="10">
        <v>1</v>
      </c>
      <c r="H329" s="10">
        <v>81642</v>
      </c>
      <c r="I329" s="10" t="s">
        <v>17</v>
      </c>
      <c r="J329" s="10">
        <v>28004320</v>
      </c>
      <c r="K329" s="12" t="s">
        <v>992</v>
      </c>
      <c r="L329" s="12" t="s">
        <v>993</v>
      </c>
      <c r="M329" s="13">
        <v>299900</v>
      </c>
      <c r="N329" s="14">
        <v>0.95</v>
      </c>
      <c r="O329" s="13">
        <f t="shared" si="15"/>
        <v>14995</v>
      </c>
      <c r="P329" s="10" t="s">
        <v>16</v>
      </c>
    </row>
    <row r="330" spans="1:16" x14ac:dyDescent="0.35">
      <c r="A330" s="10" t="s">
        <v>1059</v>
      </c>
      <c r="B330" s="11">
        <f t="shared" si="16"/>
        <v>46121</v>
      </c>
      <c r="C330" s="11">
        <f t="shared" si="17"/>
        <v>46127</v>
      </c>
      <c r="D330" s="10">
        <v>3250</v>
      </c>
      <c r="E330" s="10">
        <v>332</v>
      </c>
      <c r="F330" s="10">
        <v>3</v>
      </c>
      <c r="G330" s="10">
        <v>1</v>
      </c>
      <c r="H330" s="10">
        <v>81642</v>
      </c>
      <c r="I330" s="10" t="s">
        <v>17</v>
      </c>
      <c r="J330" s="10">
        <v>28004339</v>
      </c>
      <c r="K330" s="12" t="s">
        <v>992</v>
      </c>
      <c r="L330" s="12" t="s">
        <v>994</v>
      </c>
      <c r="M330" s="13">
        <v>299900</v>
      </c>
      <c r="N330" s="14">
        <v>0.95</v>
      </c>
      <c r="O330" s="13">
        <f t="shared" si="15"/>
        <v>14995</v>
      </c>
      <c r="P330" s="10" t="s">
        <v>16</v>
      </c>
    </row>
    <row r="331" spans="1:16" x14ac:dyDescent="0.35">
      <c r="A331" s="10" t="s">
        <v>1059</v>
      </c>
      <c r="B331" s="11">
        <f t="shared" si="16"/>
        <v>46121</v>
      </c>
      <c r="C331" s="11">
        <f t="shared" si="17"/>
        <v>46127</v>
      </c>
      <c r="D331" s="10">
        <v>3250</v>
      </c>
      <c r="E331" s="10">
        <v>332</v>
      </c>
      <c r="F331" s="10">
        <v>3</v>
      </c>
      <c r="G331" s="10">
        <v>1</v>
      </c>
      <c r="H331" s="10">
        <v>81642</v>
      </c>
      <c r="I331" s="10" t="s">
        <v>17</v>
      </c>
      <c r="J331" s="10">
        <v>28004348</v>
      </c>
      <c r="K331" s="12" t="s">
        <v>992</v>
      </c>
      <c r="L331" s="12" t="s">
        <v>995</v>
      </c>
      <c r="M331" s="13">
        <v>299900</v>
      </c>
      <c r="N331" s="14">
        <v>0.95</v>
      </c>
      <c r="O331" s="13">
        <f t="shared" si="15"/>
        <v>14995</v>
      </c>
      <c r="P331" s="10" t="s">
        <v>16</v>
      </c>
    </row>
    <row r="332" spans="1:16" x14ac:dyDescent="0.35">
      <c r="A332" s="10" t="s">
        <v>1059</v>
      </c>
      <c r="B332" s="11">
        <f t="shared" si="16"/>
        <v>46121</v>
      </c>
      <c r="C332" s="11">
        <f t="shared" si="17"/>
        <v>46127</v>
      </c>
      <c r="D332" s="10">
        <v>3250</v>
      </c>
      <c r="E332" s="10">
        <v>332</v>
      </c>
      <c r="F332" s="10">
        <v>3</v>
      </c>
      <c r="G332" s="10">
        <v>1</v>
      </c>
      <c r="H332" s="10">
        <v>81642</v>
      </c>
      <c r="I332" s="10" t="s">
        <v>17</v>
      </c>
      <c r="J332" s="10">
        <v>28004357</v>
      </c>
      <c r="K332" s="12" t="s">
        <v>992</v>
      </c>
      <c r="L332" s="12" t="s">
        <v>996</v>
      </c>
      <c r="M332" s="13">
        <v>299900</v>
      </c>
      <c r="N332" s="14">
        <v>0.95</v>
      </c>
      <c r="O332" s="13">
        <f t="shared" si="15"/>
        <v>14995</v>
      </c>
      <c r="P332" s="10" t="s">
        <v>16</v>
      </c>
    </row>
    <row r="333" spans="1:16" x14ac:dyDescent="0.35">
      <c r="A333" s="10" t="s">
        <v>1059</v>
      </c>
      <c r="B333" s="11">
        <f t="shared" si="16"/>
        <v>46121</v>
      </c>
      <c r="C333" s="11">
        <f t="shared" si="17"/>
        <v>46127</v>
      </c>
      <c r="D333" s="10">
        <v>3250</v>
      </c>
      <c r="E333" s="10">
        <v>332</v>
      </c>
      <c r="F333" s="10">
        <v>3</v>
      </c>
      <c r="G333" s="10">
        <v>1</v>
      </c>
      <c r="H333" s="10">
        <v>81642</v>
      </c>
      <c r="I333" s="10" t="s">
        <v>17</v>
      </c>
      <c r="J333" s="10">
        <v>28004366</v>
      </c>
      <c r="K333" s="12" t="s">
        <v>992</v>
      </c>
      <c r="L333" s="12" t="s">
        <v>997</v>
      </c>
      <c r="M333" s="13">
        <v>299900</v>
      </c>
      <c r="N333" s="14">
        <v>0.95</v>
      </c>
      <c r="O333" s="13">
        <f t="shared" si="15"/>
        <v>14995</v>
      </c>
      <c r="P333" s="10" t="s">
        <v>16</v>
      </c>
    </row>
    <row r="334" spans="1:16" x14ac:dyDescent="0.35">
      <c r="A334" s="10" t="s">
        <v>1059</v>
      </c>
      <c r="B334" s="11">
        <f t="shared" si="16"/>
        <v>46121</v>
      </c>
      <c r="C334" s="11">
        <f t="shared" si="17"/>
        <v>46127</v>
      </c>
      <c r="D334" s="10">
        <v>3250</v>
      </c>
      <c r="E334" s="10">
        <v>332</v>
      </c>
      <c r="F334" s="10">
        <v>3</v>
      </c>
      <c r="G334" s="10">
        <v>1</v>
      </c>
      <c r="H334" s="10">
        <v>81642</v>
      </c>
      <c r="I334" s="10" t="s">
        <v>17</v>
      </c>
      <c r="J334" s="10">
        <v>28004375</v>
      </c>
      <c r="K334" s="12" t="s">
        <v>992</v>
      </c>
      <c r="L334" s="12" t="s">
        <v>998</v>
      </c>
      <c r="M334" s="13">
        <v>299900</v>
      </c>
      <c r="N334" s="14">
        <v>0.95</v>
      </c>
      <c r="O334" s="13">
        <f t="shared" si="15"/>
        <v>14995</v>
      </c>
      <c r="P334" s="10" t="s">
        <v>16</v>
      </c>
    </row>
    <row r="335" spans="1:16" x14ac:dyDescent="0.35">
      <c r="A335" s="10" t="s">
        <v>1059</v>
      </c>
      <c r="B335" s="11">
        <f t="shared" si="16"/>
        <v>46121</v>
      </c>
      <c r="C335" s="11">
        <f t="shared" si="17"/>
        <v>46127</v>
      </c>
      <c r="D335" s="10">
        <v>3250</v>
      </c>
      <c r="E335" s="10">
        <v>332</v>
      </c>
      <c r="F335" s="10">
        <v>3</v>
      </c>
      <c r="G335" s="10">
        <v>1</v>
      </c>
      <c r="H335" s="10">
        <v>81642</v>
      </c>
      <c r="I335" s="10" t="s">
        <v>17</v>
      </c>
      <c r="J335" s="10">
        <v>28004464</v>
      </c>
      <c r="K335" s="12" t="s">
        <v>999</v>
      </c>
      <c r="L335" s="12" t="s">
        <v>1000</v>
      </c>
      <c r="M335" s="13">
        <v>269900</v>
      </c>
      <c r="N335" s="14">
        <v>0.95</v>
      </c>
      <c r="O335" s="13">
        <f t="shared" si="15"/>
        <v>13495</v>
      </c>
      <c r="P335" s="10" t="s">
        <v>16</v>
      </c>
    </row>
    <row r="336" spans="1:16" x14ac:dyDescent="0.35">
      <c r="A336" s="10" t="s">
        <v>1059</v>
      </c>
      <c r="B336" s="11">
        <f t="shared" si="16"/>
        <v>46121</v>
      </c>
      <c r="C336" s="11">
        <f t="shared" si="17"/>
        <v>46127</v>
      </c>
      <c r="D336" s="10">
        <v>3250</v>
      </c>
      <c r="E336" s="10">
        <v>332</v>
      </c>
      <c r="F336" s="10">
        <v>3</v>
      </c>
      <c r="G336" s="10">
        <v>1</v>
      </c>
      <c r="H336" s="10">
        <v>81642</v>
      </c>
      <c r="I336" s="10" t="s">
        <v>17</v>
      </c>
      <c r="J336" s="10">
        <v>28004482</v>
      </c>
      <c r="K336" s="12" t="s">
        <v>999</v>
      </c>
      <c r="L336" s="12" t="s">
        <v>1001</v>
      </c>
      <c r="M336" s="13">
        <v>269900</v>
      </c>
      <c r="N336" s="14">
        <v>0.95</v>
      </c>
      <c r="O336" s="13">
        <f t="shared" si="15"/>
        <v>13495</v>
      </c>
      <c r="P336" s="10" t="s">
        <v>16</v>
      </c>
    </row>
    <row r="337" spans="1:16" x14ac:dyDescent="0.35">
      <c r="A337" s="10" t="s">
        <v>1059</v>
      </c>
      <c r="B337" s="11">
        <f t="shared" si="16"/>
        <v>46121</v>
      </c>
      <c r="C337" s="11">
        <f t="shared" si="17"/>
        <v>46127</v>
      </c>
      <c r="D337" s="10">
        <v>3250</v>
      </c>
      <c r="E337" s="10">
        <v>332</v>
      </c>
      <c r="F337" s="10">
        <v>3</v>
      </c>
      <c r="G337" s="10">
        <v>1</v>
      </c>
      <c r="H337" s="10">
        <v>81642</v>
      </c>
      <c r="I337" s="10" t="s">
        <v>17</v>
      </c>
      <c r="J337" s="10">
        <v>28004491</v>
      </c>
      <c r="K337" s="12" t="s">
        <v>999</v>
      </c>
      <c r="L337" s="12" t="s">
        <v>1002</v>
      </c>
      <c r="M337" s="13">
        <v>269900</v>
      </c>
      <c r="N337" s="14">
        <v>0.95</v>
      </c>
      <c r="O337" s="13">
        <f t="shared" si="15"/>
        <v>13495</v>
      </c>
      <c r="P337" s="10" t="s">
        <v>16</v>
      </c>
    </row>
    <row r="338" spans="1:16" x14ac:dyDescent="0.35">
      <c r="A338" s="10" t="s">
        <v>1059</v>
      </c>
      <c r="B338" s="11">
        <f t="shared" si="16"/>
        <v>46121</v>
      </c>
      <c r="C338" s="11">
        <f t="shared" si="17"/>
        <v>46127</v>
      </c>
      <c r="D338" s="10">
        <v>3250</v>
      </c>
      <c r="E338" s="10">
        <v>332</v>
      </c>
      <c r="F338" s="10">
        <v>3</v>
      </c>
      <c r="G338" s="10">
        <v>1</v>
      </c>
      <c r="H338" s="10">
        <v>81642</v>
      </c>
      <c r="I338" s="10" t="s">
        <v>17</v>
      </c>
      <c r="J338" s="10">
        <v>28004508</v>
      </c>
      <c r="K338" s="12" t="s">
        <v>999</v>
      </c>
      <c r="L338" s="12" t="s">
        <v>1003</v>
      </c>
      <c r="M338" s="13">
        <v>269900</v>
      </c>
      <c r="N338" s="14">
        <v>0.95</v>
      </c>
      <c r="O338" s="13">
        <f t="shared" si="15"/>
        <v>13495</v>
      </c>
      <c r="P338" s="10" t="s">
        <v>16</v>
      </c>
    </row>
    <row r="339" spans="1:16" x14ac:dyDescent="0.35">
      <c r="A339" s="10" t="s">
        <v>1059</v>
      </c>
      <c r="B339" s="11">
        <f t="shared" si="16"/>
        <v>46121</v>
      </c>
      <c r="C339" s="11">
        <f t="shared" si="17"/>
        <v>46127</v>
      </c>
      <c r="D339" s="10">
        <v>3250</v>
      </c>
      <c r="E339" s="10">
        <v>332</v>
      </c>
      <c r="F339" s="10">
        <v>3</v>
      </c>
      <c r="G339" s="10">
        <v>1</v>
      </c>
      <c r="H339" s="10">
        <v>81642</v>
      </c>
      <c r="I339" s="10" t="s">
        <v>17</v>
      </c>
      <c r="J339" s="10">
        <v>28004517</v>
      </c>
      <c r="K339" s="12" t="s">
        <v>999</v>
      </c>
      <c r="L339" s="12" t="s">
        <v>1004</v>
      </c>
      <c r="M339" s="13">
        <v>269900</v>
      </c>
      <c r="N339" s="14">
        <v>0.95</v>
      </c>
      <c r="O339" s="13">
        <f t="shared" si="15"/>
        <v>13495</v>
      </c>
      <c r="P339" s="10" t="s">
        <v>16</v>
      </c>
    </row>
    <row r="340" spans="1:16" x14ac:dyDescent="0.35">
      <c r="A340" s="10" t="s">
        <v>1059</v>
      </c>
      <c r="B340" s="11">
        <f t="shared" si="16"/>
        <v>46121</v>
      </c>
      <c r="C340" s="11">
        <f t="shared" si="17"/>
        <v>46127</v>
      </c>
      <c r="D340" s="10">
        <v>3250</v>
      </c>
      <c r="E340" s="10">
        <v>332</v>
      </c>
      <c r="F340" s="10">
        <v>3</v>
      </c>
      <c r="G340" s="10">
        <v>1</v>
      </c>
      <c r="H340" s="10">
        <v>81642</v>
      </c>
      <c r="I340" s="10" t="s">
        <v>17</v>
      </c>
      <c r="J340" s="10">
        <v>28004624</v>
      </c>
      <c r="K340" s="12" t="s">
        <v>1005</v>
      </c>
      <c r="L340" s="12" t="s">
        <v>1006</v>
      </c>
      <c r="M340" s="13">
        <v>299900</v>
      </c>
      <c r="N340" s="14">
        <v>0.95</v>
      </c>
      <c r="O340" s="13">
        <f t="shared" si="15"/>
        <v>14995</v>
      </c>
      <c r="P340" s="10" t="s">
        <v>16</v>
      </c>
    </row>
    <row r="341" spans="1:16" x14ac:dyDescent="0.35">
      <c r="A341" s="10" t="s">
        <v>1059</v>
      </c>
      <c r="B341" s="11">
        <f t="shared" si="16"/>
        <v>46121</v>
      </c>
      <c r="C341" s="11">
        <f t="shared" si="17"/>
        <v>46127</v>
      </c>
      <c r="D341" s="10">
        <v>3250</v>
      </c>
      <c r="E341" s="10">
        <v>332</v>
      </c>
      <c r="F341" s="10">
        <v>3</v>
      </c>
      <c r="G341" s="10">
        <v>1</v>
      </c>
      <c r="H341" s="10">
        <v>81642</v>
      </c>
      <c r="I341" s="10" t="s">
        <v>17</v>
      </c>
      <c r="J341" s="10">
        <v>28004633</v>
      </c>
      <c r="K341" s="12" t="s">
        <v>1005</v>
      </c>
      <c r="L341" s="12" t="s">
        <v>1007</v>
      </c>
      <c r="M341" s="13">
        <v>299900</v>
      </c>
      <c r="N341" s="14">
        <v>0.95</v>
      </c>
      <c r="O341" s="13">
        <f t="shared" si="15"/>
        <v>14995</v>
      </c>
      <c r="P341" s="10" t="s">
        <v>16</v>
      </c>
    </row>
    <row r="342" spans="1:16" x14ac:dyDescent="0.35">
      <c r="A342" s="10" t="s">
        <v>1059</v>
      </c>
      <c r="B342" s="11">
        <f t="shared" si="16"/>
        <v>46121</v>
      </c>
      <c r="C342" s="11">
        <f t="shared" si="17"/>
        <v>46127</v>
      </c>
      <c r="D342" s="10">
        <v>3250</v>
      </c>
      <c r="E342" s="10">
        <v>332</v>
      </c>
      <c r="F342" s="10">
        <v>3</v>
      </c>
      <c r="G342" s="10">
        <v>1</v>
      </c>
      <c r="H342" s="10">
        <v>81642</v>
      </c>
      <c r="I342" s="10" t="s">
        <v>17</v>
      </c>
      <c r="J342" s="10">
        <v>28004642</v>
      </c>
      <c r="K342" s="12" t="s">
        <v>1005</v>
      </c>
      <c r="L342" s="12" t="s">
        <v>1008</v>
      </c>
      <c r="M342" s="13">
        <v>299900</v>
      </c>
      <c r="N342" s="14">
        <v>0.95</v>
      </c>
      <c r="O342" s="13">
        <f t="shared" si="15"/>
        <v>14995</v>
      </c>
      <c r="P342" s="10" t="s">
        <v>16</v>
      </c>
    </row>
    <row r="343" spans="1:16" x14ac:dyDescent="0.35">
      <c r="A343" s="10" t="s">
        <v>1059</v>
      </c>
      <c r="B343" s="11">
        <f t="shared" si="16"/>
        <v>46121</v>
      </c>
      <c r="C343" s="11">
        <f t="shared" si="17"/>
        <v>46127</v>
      </c>
      <c r="D343" s="10">
        <v>3250</v>
      </c>
      <c r="E343" s="10">
        <v>332</v>
      </c>
      <c r="F343" s="10">
        <v>3</v>
      </c>
      <c r="G343" s="10">
        <v>1</v>
      </c>
      <c r="H343" s="10">
        <v>81642</v>
      </c>
      <c r="I343" s="10" t="s">
        <v>17</v>
      </c>
      <c r="J343" s="10">
        <v>28004651</v>
      </c>
      <c r="K343" s="12" t="s">
        <v>1005</v>
      </c>
      <c r="L343" s="12" t="s">
        <v>1009</v>
      </c>
      <c r="M343" s="13">
        <v>299900</v>
      </c>
      <c r="N343" s="14">
        <v>0.95</v>
      </c>
      <c r="O343" s="13">
        <f t="shared" si="15"/>
        <v>14995</v>
      </c>
      <c r="P343" s="10" t="s">
        <v>16</v>
      </c>
    </row>
    <row r="344" spans="1:16" x14ac:dyDescent="0.35">
      <c r="A344" s="10" t="s">
        <v>1059</v>
      </c>
      <c r="B344" s="11">
        <f t="shared" si="16"/>
        <v>46121</v>
      </c>
      <c r="C344" s="11">
        <f t="shared" si="17"/>
        <v>46127</v>
      </c>
      <c r="D344" s="10">
        <v>3250</v>
      </c>
      <c r="E344" s="10">
        <v>332</v>
      </c>
      <c r="F344" s="10">
        <v>3</v>
      </c>
      <c r="G344" s="10">
        <v>1</v>
      </c>
      <c r="H344" s="10">
        <v>81642</v>
      </c>
      <c r="I344" s="10" t="s">
        <v>17</v>
      </c>
      <c r="J344" s="10">
        <v>28004660</v>
      </c>
      <c r="K344" s="12" t="s">
        <v>1005</v>
      </c>
      <c r="L344" s="12" t="s">
        <v>1010</v>
      </c>
      <c r="M344" s="13">
        <v>299900</v>
      </c>
      <c r="N344" s="14">
        <v>0.95</v>
      </c>
      <c r="O344" s="13">
        <f t="shared" si="15"/>
        <v>14995</v>
      </c>
      <c r="P344" s="10" t="s">
        <v>16</v>
      </c>
    </row>
    <row r="345" spans="1:16" x14ac:dyDescent="0.35">
      <c r="A345" s="10" t="s">
        <v>1059</v>
      </c>
      <c r="B345" s="11">
        <f t="shared" si="16"/>
        <v>46121</v>
      </c>
      <c r="C345" s="11">
        <f t="shared" si="17"/>
        <v>46127</v>
      </c>
      <c r="D345" s="10">
        <v>3250</v>
      </c>
      <c r="E345" s="10">
        <v>332</v>
      </c>
      <c r="F345" s="10">
        <v>3</v>
      </c>
      <c r="G345" s="10">
        <v>1</v>
      </c>
      <c r="H345" s="10">
        <v>81642</v>
      </c>
      <c r="I345" s="10" t="s">
        <v>17</v>
      </c>
      <c r="J345" s="10">
        <v>28004679</v>
      </c>
      <c r="K345" s="12" t="s">
        <v>1005</v>
      </c>
      <c r="L345" s="12" t="s">
        <v>1011</v>
      </c>
      <c r="M345" s="13">
        <v>299900</v>
      </c>
      <c r="N345" s="14">
        <v>0.95</v>
      </c>
      <c r="O345" s="13">
        <f t="shared" si="15"/>
        <v>14995</v>
      </c>
      <c r="P345" s="10" t="s">
        <v>16</v>
      </c>
    </row>
    <row r="346" spans="1:16" x14ac:dyDescent="0.35">
      <c r="A346" s="10" t="s">
        <v>1059</v>
      </c>
      <c r="B346" s="11">
        <f t="shared" si="16"/>
        <v>46121</v>
      </c>
      <c r="C346" s="11">
        <f t="shared" si="17"/>
        <v>46127</v>
      </c>
      <c r="D346" s="10">
        <v>3250</v>
      </c>
      <c r="E346" s="10">
        <v>332</v>
      </c>
      <c r="F346" s="10">
        <v>3</v>
      </c>
      <c r="G346" s="10">
        <v>1</v>
      </c>
      <c r="H346" s="10">
        <v>81642</v>
      </c>
      <c r="I346" s="10" t="s">
        <v>17</v>
      </c>
      <c r="J346" s="10">
        <v>28004786</v>
      </c>
      <c r="K346" s="12" t="s">
        <v>1012</v>
      </c>
      <c r="L346" s="12" t="s">
        <v>1013</v>
      </c>
      <c r="M346" s="13">
        <v>299900</v>
      </c>
      <c r="N346" s="14">
        <v>0.95</v>
      </c>
      <c r="O346" s="13">
        <f t="shared" si="15"/>
        <v>14995</v>
      </c>
      <c r="P346" s="10" t="s">
        <v>16</v>
      </c>
    </row>
    <row r="347" spans="1:16" x14ac:dyDescent="0.35">
      <c r="A347" s="10" t="s">
        <v>1059</v>
      </c>
      <c r="B347" s="11">
        <f t="shared" si="16"/>
        <v>46121</v>
      </c>
      <c r="C347" s="11">
        <f t="shared" si="17"/>
        <v>46127</v>
      </c>
      <c r="D347" s="10">
        <v>3250</v>
      </c>
      <c r="E347" s="10">
        <v>332</v>
      </c>
      <c r="F347" s="10">
        <v>3</v>
      </c>
      <c r="G347" s="10">
        <v>1</v>
      </c>
      <c r="H347" s="10">
        <v>81642</v>
      </c>
      <c r="I347" s="10" t="s">
        <v>17</v>
      </c>
      <c r="J347" s="10">
        <v>28004795</v>
      </c>
      <c r="K347" s="12" t="s">
        <v>1012</v>
      </c>
      <c r="L347" s="12" t="s">
        <v>1014</v>
      </c>
      <c r="M347" s="13">
        <v>299900</v>
      </c>
      <c r="N347" s="14">
        <v>0.95</v>
      </c>
      <c r="O347" s="13">
        <f t="shared" si="15"/>
        <v>14995</v>
      </c>
      <c r="P347" s="10" t="s">
        <v>16</v>
      </c>
    </row>
    <row r="348" spans="1:16" x14ac:dyDescent="0.35">
      <c r="A348" s="10" t="s">
        <v>1059</v>
      </c>
      <c r="B348" s="11">
        <f t="shared" si="16"/>
        <v>46121</v>
      </c>
      <c r="C348" s="11">
        <f t="shared" si="17"/>
        <v>46127</v>
      </c>
      <c r="D348" s="10">
        <v>3250</v>
      </c>
      <c r="E348" s="10">
        <v>332</v>
      </c>
      <c r="F348" s="10">
        <v>3</v>
      </c>
      <c r="G348" s="10">
        <v>1</v>
      </c>
      <c r="H348" s="10">
        <v>81642</v>
      </c>
      <c r="I348" s="10" t="s">
        <v>17</v>
      </c>
      <c r="J348" s="10">
        <v>28004802</v>
      </c>
      <c r="K348" s="12" t="s">
        <v>1012</v>
      </c>
      <c r="L348" s="12" t="s">
        <v>1015</v>
      </c>
      <c r="M348" s="13">
        <v>299900</v>
      </c>
      <c r="N348" s="14">
        <v>0.95</v>
      </c>
      <c r="O348" s="13">
        <f t="shared" si="15"/>
        <v>14995</v>
      </c>
      <c r="P348" s="10" t="s">
        <v>16</v>
      </c>
    </row>
    <row r="349" spans="1:16" x14ac:dyDescent="0.35">
      <c r="A349" s="10" t="s">
        <v>1059</v>
      </c>
      <c r="B349" s="11">
        <f t="shared" si="16"/>
        <v>46121</v>
      </c>
      <c r="C349" s="11">
        <f t="shared" si="17"/>
        <v>46127</v>
      </c>
      <c r="D349" s="10">
        <v>3250</v>
      </c>
      <c r="E349" s="10">
        <v>332</v>
      </c>
      <c r="F349" s="10">
        <v>3</v>
      </c>
      <c r="G349" s="10">
        <v>1</v>
      </c>
      <c r="H349" s="10">
        <v>81642</v>
      </c>
      <c r="I349" s="10" t="s">
        <v>17</v>
      </c>
      <c r="J349" s="10">
        <v>28004811</v>
      </c>
      <c r="K349" s="12" t="s">
        <v>1012</v>
      </c>
      <c r="L349" s="12" t="s">
        <v>1016</v>
      </c>
      <c r="M349" s="13">
        <v>299900</v>
      </c>
      <c r="N349" s="14">
        <v>0.95</v>
      </c>
      <c r="O349" s="13">
        <f t="shared" si="15"/>
        <v>14995</v>
      </c>
      <c r="P349" s="10" t="s">
        <v>16</v>
      </c>
    </row>
    <row r="350" spans="1:16" x14ac:dyDescent="0.35">
      <c r="A350" s="10" t="s">
        <v>1059</v>
      </c>
      <c r="B350" s="11">
        <f t="shared" si="16"/>
        <v>46121</v>
      </c>
      <c r="C350" s="11">
        <f t="shared" si="17"/>
        <v>46127</v>
      </c>
      <c r="D350" s="10">
        <v>3250</v>
      </c>
      <c r="E350" s="10">
        <v>332</v>
      </c>
      <c r="F350" s="10">
        <v>3</v>
      </c>
      <c r="G350" s="10">
        <v>1</v>
      </c>
      <c r="H350" s="10">
        <v>81642</v>
      </c>
      <c r="I350" s="10" t="s">
        <v>17</v>
      </c>
      <c r="J350" s="10">
        <v>28004820</v>
      </c>
      <c r="K350" s="12" t="s">
        <v>1012</v>
      </c>
      <c r="L350" s="12" t="s">
        <v>1017</v>
      </c>
      <c r="M350" s="13">
        <v>299900</v>
      </c>
      <c r="N350" s="14">
        <v>0.95</v>
      </c>
      <c r="O350" s="13">
        <f t="shared" si="15"/>
        <v>14995</v>
      </c>
      <c r="P350" s="10" t="s">
        <v>16</v>
      </c>
    </row>
    <row r="351" spans="1:16" x14ac:dyDescent="0.35">
      <c r="A351" s="10" t="s">
        <v>1059</v>
      </c>
      <c r="B351" s="11">
        <f t="shared" si="16"/>
        <v>46121</v>
      </c>
      <c r="C351" s="11">
        <f t="shared" si="17"/>
        <v>46127</v>
      </c>
      <c r="D351" s="10">
        <v>3250</v>
      </c>
      <c r="E351" s="10">
        <v>332</v>
      </c>
      <c r="F351" s="10">
        <v>3</v>
      </c>
      <c r="G351" s="10">
        <v>1</v>
      </c>
      <c r="H351" s="10">
        <v>81642</v>
      </c>
      <c r="I351" s="10" t="s">
        <v>17</v>
      </c>
      <c r="J351" s="10">
        <v>28004839</v>
      </c>
      <c r="K351" s="12" t="s">
        <v>1012</v>
      </c>
      <c r="L351" s="12" t="s">
        <v>1018</v>
      </c>
      <c r="M351" s="13">
        <v>299900</v>
      </c>
      <c r="N351" s="14">
        <v>0.95</v>
      </c>
      <c r="O351" s="13">
        <f t="shared" si="15"/>
        <v>14995</v>
      </c>
      <c r="P351" s="10" t="s">
        <v>16</v>
      </c>
    </row>
    <row r="352" spans="1:16" x14ac:dyDescent="0.35">
      <c r="A352" s="10" t="s">
        <v>1059</v>
      </c>
      <c r="B352" s="11">
        <f t="shared" si="16"/>
        <v>46121</v>
      </c>
      <c r="C352" s="11">
        <f t="shared" si="17"/>
        <v>46127</v>
      </c>
      <c r="D352" s="10">
        <v>3250</v>
      </c>
      <c r="E352" s="10">
        <v>332</v>
      </c>
      <c r="F352" s="10">
        <v>3</v>
      </c>
      <c r="G352" s="10">
        <v>1</v>
      </c>
      <c r="H352" s="10">
        <v>81642</v>
      </c>
      <c r="I352" s="10" t="s">
        <v>17</v>
      </c>
      <c r="J352" s="10">
        <v>30575227</v>
      </c>
      <c r="K352" s="12" t="s">
        <v>1019</v>
      </c>
      <c r="L352" s="12" t="s">
        <v>1020</v>
      </c>
      <c r="M352" s="13">
        <v>299900</v>
      </c>
      <c r="N352" s="14">
        <v>0.95</v>
      </c>
      <c r="O352" s="13">
        <f t="shared" si="15"/>
        <v>14995</v>
      </c>
      <c r="P352" s="10" t="s">
        <v>16</v>
      </c>
    </row>
    <row r="353" spans="1:16" x14ac:dyDescent="0.35">
      <c r="A353" s="10" t="s">
        <v>1059</v>
      </c>
      <c r="B353" s="11">
        <f t="shared" si="16"/>
        <v>46121</v>
      </c>
      <c r="C353" s="11">
        <f t="shared" si="17"/>
        <v>46127</v>
      </c>
      <c r="D353" s="10">
        <v>3250</v>
      </c>
      <c r="E353" s="10">
        <v>332</v>
      </c>
      <c r="F353" s="10">
        <v>3</v>
      </c>
      <c r="G353" s="10">
        <v>1</v>
      </c>
      <c r="H353" s="10">
        <v>81642</v>
      </c>
      <c r="I353" s="10" t="s">
        <v>17</v>
      </c>
      <c r="J353" s="10">
        <v>30575236</v>
      </c>
      <c r="K353" s="12" t="s">
        <v>1019</v>
      </c>
      <c r="L353" s="12" t="s">
        <v>1021</v>
      </c>
      <c r="M353" s="13">
        <v>299900</v>
      </c>
      <c r="N353" s="14">
        <v>0.95</v>
      </c>
      <c r="O353" s="13">
        <f t="shared" si="15"/>
        <v>14995</v>
      </c>
      <c r="P353" s="10" t="s">
        <v>16</v>
      </c>
    </row>
    <row r="354" spans="1:16" x14ac:dyDescent="0.35">
      <c r="A354" s="10" t="s">
        <v>1059</v>
      </c>
      <c r="B354" s="11">
        <f t="shared" si="16"/>
        <v>46121</v>
      </c>
      <c r="C354" s="11">
        <f t="shared" si="17"/>
        <v>46127</v>
      </c>
      <c r="D354" s="10">
        <v>3250</v>
      </c>
      <c r="E354" s="10">
        <v>332</v>
      </c>
      <c r="F354" s="10">
        <v>3</v>
      </c>
      <c r="G354" s="10">
        <v>1</v>
      </c>
      <c r="H354" s="10">
        <v>81642</v>
      </c>
      <c r="I354" s="10" t="s">
        <v>17</v>
      </c>
      <c r="J354" s="10">
        <v>30575245</v>
      </c>
      <c r="K354" s="12" t="s">
        <v>1019</v>
      </c>
      <c r="L354" s="12" t="s">
        <v>1022</v>
      </c>
      <c r="M354" s="13">
        <v>299900</v>
      </c>
      <c r="N354" s="14">
        <v>0.95</v>
      </c>
      <c r="O354" s="13">
        <f t="shared" si="15"/>
        <v>14995</v>
      </c>
      <c r="P354" s="10" t="s">
        <v>16</v>
      </c>
    </row>
    <row r="355" spans="1:16" x14ac:dyDescent="0.35">
      <c r="A355" s="10" t="s">
        <v>1059</v>
      </c>
      <c r="B355" s="11">
        <f t="shared" si="16"/>
        <v>46121</v>
      </c>
      <c r="C355" s="11">
        <f t="shared" si="17"/>
        <v>46127</v>
      </c>
      <c r="D355" s="10">
        <v>3250</v>
      </c>
      <c r="E355" s="10">
        <v>332</v>
      </c>
      <c r="F355" s="10">
        <v>3</v>
      </c>
      <c r="G355" s="10">
        <v>1</v>
      </c>
      <c r="H355" s="10">
        <v>81642</v>
      </c>
      <c r="I355" s="10" t="s">
        <v>17</v>
      </c>
      <c r="J355" s="10">
        <v>30575254</v>
      </c>
      <c r="K355" s="12" t="s">
        <v>1019</v>
      </c>
      <c r="L355" s="12" t="s">
        <v>1023</v>
      </c>
      <c r="M355" s="13">
        <v>299900</v>
      </c>
      <c r="N355" s="14">
        <v>0.95</v>
      </c>
      <c r="O355" s="13">
        <f t="shared" si="15"/>
        <v>14995</v>
      </c>
      <c r="P355" s="10" t="s">
        <v>16</v>
      </c>
    </row>
    <row r="356" spans="1:16" x14ac:dyDescent="0.35">
      <c r="A356" s="10" t="s">
        <v>1059</v>
      </c>
      <c r="B356" s="11">
        <f t="shared" si="16"/>
        <v>46121</v>
      </c>
      <c r="C356" s="11">
        <f t="shared" si="17"/>
        <v>46127</v>
      </c>
      <c r="D356" s="10">
        <v>3250</v>
      </c>
      <c r="E356" s="10">
        <v>332</v>
      </c>
      <c r="F356" s="10">
        <v>3</v>
      </c>
      <c r="G356" s="10">
        <v>1</v>
      </c>
      <c r="H356" s="10">
        <v>81642</v>
      </c>
      <c r="I356" s="10" t="s">
        <v>17</v>
      </c>
      <c r="J356" s="10">
        <v>30575263</v>
      </c>
      <c r="K356" s="12" t="s">
        <v>1019</v>
      </c>
      <c r="L356" s="12" t="s">
        <v>1024</v>
      </c>
      <c r="M356" s="13">
        <v>299900</v>
      </c>
      <c r="N356" s="14">
        <v>0.95</v>
      </c>
      <c r="O356" s="13">
        <f t="shared" si="15"/>
        <v>14995</v>
      </c>
      <c r="P356" s="10" t="s">
        <v>16</v>
      </c>
    </row>
    <row r="357" spans="1:16" x14ac:dyDescent="0.35">
      <c r="A357" s="10" t="s">
        <v>1059</v>
      </c>
      <c r="B357" s="11">
        <f t="shared" si="16"/>
        <v>46121</v>
      </c>
      <c r="C357" s="11">
        <f t="shared" si="17"/>
        <v>46127</v>
      </c>
      <c r="D357" s="10">
        <v>3250</v>
      </c>
      <c r="E357" s="10">
        <v>332</v>
      </c>
      <c r="F357" s="10">
        <v>3</v>
      </c>
      <c r="G357" s="10">
        <v>1</v>
      </c>
      <c r="H357" s="10">
        <v>81642</v>
      </c>
      <c r="I357" s="10" t="s">
        <v>17</v>
      </c>
      <c r="J357" s="10">
        <v>30575272</v>
      </c>
      <c r="K357" s="12" t="s">
        <v>1019</v>
      </c>
      <c r="L357" s="12" t="s">
        <v>1025</v>
      </c>
      <c r="M357" s="13">
        <v>299900</v>
      </c>
      <c r="N357" s="14">
        <v>0.95</v>
      </c>
      <c r="O357" s="13">
        <f t="shared" si="15"/>
        <v>14995</v>
      </c>
      <c r="P357" s="10" t="s">
        <v>16</v>
      </c>
    </row>
    <row r="358" spans="1:16" x14ac:dyDescent="0.35">
      <c r="A358" s="10" t="s">
        <v>1059</v>
      </c>
      <c r="B358" s="11">
        <f t="shared" si="16"/>
        <v>46121</v>
      </c>
      <c r="C358" s="11">
        <f t="shared" si="17"/>
        <v>46127</v>
      </c>
      <c r="D358" s="10">
        <v>3250</v>
      </c>
      <c r="E358" s="10">
        <v>332</v>
      </c>
      <c r="F358" s="10">
        <v>3</v>
      </c>
      <c r="G358" s="10">
        <v>1</v>
      </c>
      <c r="H358" s="10">
        <v>81642</v>
      </c>
      <c r="I358" s="10" t="s">
        <v>17</v>
      </c>
      <c r="J358" s="10">
        <v>30575281</v>
      </c>
      <c r="K358" s="12" t="s">
        <v>1026</v>
      </c>
      <c r="L358" s="12" t="s">
        <v>1027</v>
      </c>
      <c r="M358" s="13">
        <v>299900</v>
      </c>
      <c r="N358" s="14">
        <v>0.95</v>
      </c>
      <c r="O358" s="13">
        <f t="shared" si="15"/>
        <v>14995</v>
      </c>
      <c r="P358" s="10" t="s">
        <v>16</v>
      </c>
    </row>
    <row r="359" spans="1:16" x14ac:dyDescent="0.35">
      <c r="A359" s="10" t="s">
        <v>1059</v>
      </c>
      <c r="B359" s="11">
        <f t="shared" si="16"/>
        <v>46121</v>
      </c>
      <c r="C359" s="11">
        <f t="shared" si="17"/>
        <v>46127</v>
      </c>
      <c r="D359" s="10">
        <v>3250</v>
      </c>
      <c r="E359" s="10">
        <v>332</v>
      </c>
      <c r="F359" s="10">
        <v>3</v>
      </c>
      <c r="G359" s="10">
        <v>1</v>
      </c>
      <c r="H359" s="10">
        <v>81642</v>
      </c>
      <c r="I359" s="10" t="s">
        <v>17</v>
      </c>
      <c r="J359" s="10">
        <v>30575290</v>
      </c>
      <c r="K359" s="12" t="s">
        <v>1026</v>
      </c>
      <c r="L359" s="12" t="s">
        <v>1028</v>
      </c>
      <c r="M359" s="13">
        <v>299900</v>
      </c>
      <c r="N359" s="14">
        <v>0.95</v>
      </c>
      <c r="O359" s="13">
        <f t="shared" si="15"/>
        <v>14995</v>
      </c>
      <c r="P359" s="10" t="s">
        <v>16</v>
      </c>
    </row>
    <row r="360" spans="1:16" x14ac:dyDescent="0.35">
      <c r="A360" s="10" t="s">
        <v>1059</v>
      </c>
      <c r="B360" s="11">
        <f t="shared" si="16"/>
        <v>46121</v>
      </c>
      <c r="C360" s="11">
        <f t="shared" si="17"/>
        <v>46127</v>
      </c>
      <c r="D360" s="10">
        <v>3250</v>
      </c>
      <c r="E360" s="10">
        <v>332</v>
      </c>
      <c r="F360" s="10">
        <v>3</v>
      </c>
      <c r="G360" s="10">
        <v>1</v>
      </c>
      <c r="H360" s="10">
        <v>81642</v>
      </c>
      <c r="I360" s="10" t="s">
        <v>17</v>
      </c>
      <c r="J360" s="10">
        <v>30575307</v>
      </c>
      <c r="K360" s="12" t="s">
        <v>1026</v>
      </c>
      <c r="L360" s="12" t="s">
        <v>1029</v>
      </c>
      <c r="M360" s="13">
        <v>299900</v>
      </c>
      <c r="N360" s="14">
        <v>0.95</v>
      </c>
      <c r="O360" s="13">
        <f t="shared" si="15"/>
        <v>14995</v>
      </c>
      <c r="P360" s="10" t="s">
        <v>16</v>
      </c>
    </row>
    <row r="361" spans="1:16" x14ac:dyDescent="0.35">
      <c r="A361" s="10" t="s">
        <v>1059</v>
      </c>
      <c r="B361" s="11">
        <f t="shared" si="16"/>
        <v>46121</v>
      </c>
      <c r="C361" s="11">
        <f t="shared" si="17"/>
        <v>46127</v>
      </c>
      <c r="D361" s="10">
        <v>3250</v>
      </c>
      <c r="E361" s="10">
        <v>332</v>
      </c>
      <c r="F361" s="10">
        <v>3</v>
      </c>
      <c r="G361" s="10">
        <v>1</v>
      </c>
      <c r="H361" s="10">
        <v>81642</v>
      </c>
      <c r="I361" s="10" t="s">
        <v>17</v>
      </c>
      <c r="J361" s="10">
        <v>30575316</v>
      </c>
      <c r="K361" s="12" t="s">
        <v>1026</v>
      </c>
      <c r="L361" s="12" t="s">
        <v>1030</v>
      </c>
      <c r="M361" s="13">
        <v>299900</v>
      </c>
      <c r="N361" s="14">
        <v>0.95</v>
      </c>
      <c r="O361" s="13">
        <f t="shared" si="15"/>
        <v>14995</v>
      </c>
      <c r="P361" s="10" t="s">
        <v>16</v>
      </c>
    </row>
    <row r="362" spans="1:16" x14ac:dyDescent="0.35">
      <c r="A362" s="10" t="s">
        <v>1059</v>
      </c>
      <c r="B362" s="11">
        <f t="shared" si="16"/>
        <v>46121</v>
      </c>
      <c r="C362" s="11">
        <f t="shared" si="17"/>
        <v>46127</v>
      </c>
      <c r="D362" s="10">
        <v>3250</v>
      </c>
      <c r="E362" s="10">
        <v>332</v>
      </c>
      <c r="F362" s="10">
        <v>3</v>
      </c>
      <c r="G362" s="10">
        <v>1</v>
      </c>
      <c r="H362" s="10">
        <v>81642</v>
      </c>
      <c r="I362" s="10" t="s">
        <v>17</v>
      </c>
      <c r="J362" s="10">
        <v>30575325</v>
      </c>
      <c r="K362" s="12" t="s">
        <v>1026</v>
      </c>
      <c r="L362" s="12" t="s">
        <v>1031</v>
      </c>
      <c r="M362" s="13">
        <v>299900</v>
      </c>
      <c r="N362" s="14">
        <v>0.95</v>
      </c>
      <c r="O362" s="13">
        <f t="shared" si="15"/>
        <v>14995</v>
      </c>
      <c r="P362" s="10" t="s">
        <v>16</v>
      </c>
    </row>
    <row r="363" spans="1:16" x14ac:dyDescent="0.35">
      <c r="A363" s="10" t="s">
        <v>1059</v>
      </c>
      <c r="B363" s="11">
        <f t="shared" si="16"/>
        <v>46121</v>
      </c>
      <c r="C363" s="11">
        <f t="shared" si="17"/>
        <v>46127</v>
      </c>
      <c r="D363" s="10">
        <v>3250</v>
      </c>
      <c r="E363" s="10">
        <v>332</v>
      </c>
      <c r="F363" s="10">
        <v>3</v>
      </c>
      <c r="G363" s="10">
        <v>1</v>
      </c>
      <c r="H363" s="10">
        <v>81642</v>
      </c>
      <c r="I363" s="10" t="s">
        <v>17</v>
      </c>
      <c r="J363" s="10">
        <v>30575334</v>
      </c>
      <c r="K363" s="12" t="s">
        <v>1026</v>
      </c>
      <c r="L363" s="12" t="s">
        <v>1032</v>
      </c>
      <c r="M363" s="13">
        <v>299900</v>
      </c>
      <c r="N363" s="14">
        <v>0.95</v>
      </c>
      <c r="O363" s="13">
        <f t="shared" si="15"/>
        <v>14995</v>
      </c>
      <c r="P363" s="10" t="s">
        <v>16</v>
      </c>
    </row>
    <row r="364" spans="1:16" x14ac:dyDescent="0.35">
      <c r="A364" s="10" t="s">
        <v>1059</v>
      </c>
      <c r="B364" s="11">
        <f t="shared" si="16"/>
        <v>46121</v>
      </c>
      <c r="C364" s="11">
        <f t="shared" si="17"/>
        <v>46127</v>
      </c>
      <c r="D364" s="10">
        <v>3250</v>
      </c>
      <c r="E364" s="10">
        <v>332</v>
      </c>
      <c r="F364" s="10">
        <v>3</v>
      </c>
      <c r="G364" s="10">
        <v>1</v>
      </c>
      <c r="H364" s="10">
        <v>81648</v>
      </c>
      <c r="I364" s="10" t="s">
        <v>17</v>
      </c>
      <c r="J364" s="10">
        <v>27038626</v>
      </c>
      <c r="K364" s="12" t="s">
        <v>1033</v>
      </c>
      <c r="L364" s="12" t="s">
        <v>1034</v>
      </c>
      <c r="M364" s="13">
        <v>329900</v>
      </c>
      <c r="N364" s="14">
        <v>0.95</v>
      </c>
      <c r="O364" s="13">
        <f t="shared" si="15"/>
        <v>16495</v>
      </c>
      <c r="P364" s="10" t="s">
        <v>16</v>
      </c>
    </row>
    <row r="365" spans="1:16" x14ac:dyDescent="0.35">
      <c r="A365" s="10" t="s">
        <v>1059</v>
      </c>
      <c r="B365" s="11">
        <f t="shared" si="16"/>
        <v>46121</v>
      </c>
      <c r="C365" s="11">
        <f t="shared" si="17"/>
        <v>46127</v>
      </c>
      <c r="D365" s="10">
        <v>3250</v>
      </c>
      <c r="E365" s="10">
        <v>332</v>
      </c>
      <c r="F365" s="10">
        <v>3</v>
      </c>
      <c r="G365" s="10">
        <v>1</v>
      </c>
      <c r="H365" s="10">
        <v>81648</v>
      </c>
      <c r="I365" s="10" t="s">
        <v>17</v>
      </c>
      <c r="J365" s="10">
        <v>27038635</v>
      </c>
      <c r="K365" s="12" t="s">
        <v>1033</v>
      </c>
      <c r="L365" s="12" t="s">
        <v>1035</v>
      </c>
      <c r="M365" s="13">
        <v>329900</v>
      </c>
      <c r="N365" s="14">
        <v>0.95</v>
      </c>
      <c r="O365" s="13">
        <f t="shared" si="15"/>
        <v>16495</v>
      </c>
      <c r="P365" s="10" t="s">
        <v>16</v>
      </c>
    </row>
    <row r="366" spans="1:16" x14ac:dyDescent="0.35">
      <c r="A366" s="10" t="s">
        <v>1059</v>
      </c>
      <c r="B366" s="11">
        <f t="shared" si="16"/>
        <v>46121</v>
      </c>
      <c r="C366" s="11">
        <f t="shared" si="17"/>
        <v>46127</v>
      </c>
      <c r="D366" s="10">
        <v>3250</v>
      </c>
      <c r="E366" s="10">
        <v>332</v>
      </c>
      <c r="F366" s="10">
        <v>3</v>
      </c>
      <c r="G366" s="10">
        <v>1</v>
      </c>
      <c r="H366" s="10">
        <v>81648</v>
      </c>
      <c r="I366" s="10" t="s">
        <v>17</v>
      </c>
      <c r="J366" s="10">
        <v>27038644</v>
      </c>
      <c r="K366" s="12" t="s">
        <v>1033</v>
      </c>
      <c r="L366" s="12" t="s">
        <v>1036</v>
      </c>
      <c r="M366" s="13">
        <v>329900</v>
      </c>
      <c r="N366" s="14">
        <v>0.95</v>
      </c>
      <c r="O366" s="13">
        <f t="shared" si="15"/>
        <v>16495</v>
      </c>
      <c r="P366" s="10" t="s">
        <v>16</v>
      </c>
    </row>
    <row r="367" spans="1:16" x14ac:dyDescent="0.35">
      <c r="A367" s="10" t="s">
        <v>1059</v>
      </c>
      <c r="B367" s="11">
        <f t="shared" si="16"/>
        <v>46121</v>
      </c>
      <c r="C367" s="11">
        <f t="shared" si="17"/>
        <v>46127</v>
      </c>
      <c r="D367" s="10">
        <v>3250</v>
      </c>
      <c r="E367" s="10">
        <v>332</v>
      </c>
      <c r="F367" s="10">
        <v>3</v>
      </c>
      <c r="G367" s="10">
        <v>1</v>
      </c>
      <c r="H367" s="10">
        <v>81648</v>
      </c>
      <c r="I367" s="10" t="s">
        <v>17</v>
      </c>
      <c r="J367" s="10">
        <v>27038653</v>
      </c>
      <c r="K367" s="12" t="s">
        <v>1033</v>
      </c>
      <c r="L367" s="12" t="s">
        <v>1037</v>
      </c>
      <c r="M367" s="13">
        <v>329900</v>
      </c>
      <c r="N367" s="14">
        <v>0.95</v>
      </c>
      <c r="O367" s="13">
        <f t="shared" si="15"/>
        <v>16495</v>
      </c>
      <c r="P367" s="10" t="s">
        <v>16</v>
      </c>
    </row>
    <row r="368" spans="1:16" x14ac:dyDescent="0.35">
      <c r="A368" s="10" t="s">
        <v>1059</v>
      </c>
      <c r="B368" s="11">
        <f t="shared" si="16"/>
        <v>46121</v>
      </c>
      <c r="C368" s="11">
        <f t="shared" si="17"/>
        <v>46127</v>
      </c>
      <c r="D368" s="10">
        <v>3250</v>
      </c>
      <c r="E368" s="10">
        <v>332</v>
      </c>
      <c r="F368" s="10">
        <v>3</v>
      </c>
      <c r="G368" s="10">
        <v>1</v>
      </c>
      <c r="H368" s="10">
        <v>81648</v>
      </c>
      <c r="I368" s="10" t="s">
        <v>17</v>
      </c>
      <c r="J368" s="10">
        <v>27038662</v>
      </c>
      <c r="K368" s="12" t="s">
        <v>1033</v>
      </c>
      <c r="L368" s="12" t="s">
        <v>1038</v>
      </c>
      <c r="M368" s="13">
        <v>329900</v>
      </c>
      <c r="N368" s="14">
        <v>0.95</v>
      </c>
      <c r="O368" s="13">
        <f t="shared" si="15"/>
        <v>16495</v>
      </c>
      <c r="P368" s="10" t="s">
        <v>16</v>
      </c>
    </row>
    <row r="369" spans="1:16" x14ac:dyDescent="0.35">
      <c r="A369" s="10" t="s">
        <v>1059</v>
      </c>
      <c r="B369" s="11">
        <f t="shared" si="16"/>
        <v>46121</v>
      </c>
      <c r="C369" s="11">
        <f t="shared" si="17"/>
        <v>46127</v>
      </c>
      <c r="D369" s="10">
        <v>3250</v>
      </c>
      <c r="E369" s="10">
        <v>332</v>
      </c>
      <c r="F369" s="10">
        <v>3</v>
      </c>
      <c r="G369" s="10">
        <v>1</v>
      </c>
      <c r="H369" s="10">
        <v>81648</v>
      </c>
      <c r="I369" s="10" t="s">
        <v>17</v>
      </c>
      <c r="J369" s="10">
        <v>27038671</v>
      </c>
      <c r="K369" s="12" t="s">
        <v>1033</v>
      </c>
      <c r="L369" s="12" t="s">
        <v>1039</v>
      </c>
      <c r="M369" s="13">
        <v>329900</v>
      </c>
      <c r="N369" s="14">
        <v>0.95</v>
      </c>
      <c r="O369" s="13">
        <f t="shared" si="15"/>
        <v>16495</v>
      </c>
      <c r="P369" s="10" t="s">
        <v>16</v>
      </c>
    </row>
    <row r="370" spans="1:16" x14ac:dyDescent="0.35">
      <c r="A370" s="10" t="s">
        <v>1059</v>
      </c>
      <c r="B370" s="11">
        <f t="shared" si="16"/>
        <v>46121</v>
      </c>
      <c r="C370" s="11">
        <f t="shared" si="17"/>
        <v>46127</v>
      </c>
      <c r="D370" s="10">
        <v>3250</v>
      </c>
      <c r="E370" s="10">
        <v>332</v>
      </c>
      <c r="F370" s="10">
        <v>3</v>
      </c>
      <c r="G370" s="10">
        <v>1</v>
      </c>
      <c r="H370" s="10">
        <v>81648</v>
      </c>
      <c r="I370" s="10" t="s">
        <v>17</v>
      </c>
      <c r="J370" s="10">
        <v>27038680</v>
      </c>
      <c r="K370" s="12" t="s">
        <v>1033</v>
      </c>
      <c r="L370" s="12" t="s">
        <v>1040</v>
      </c>
      <c r="M370" s="13">
        <v>329900</v>
      </c>
      <c r="N370" s="14">
        <v>0.95</v>
      </c>
      <c r="O370" s="13">
        <f t="shared" si="15"/>
        <v>16495</v>
      </c>
      <c r="P370" s="10" t="s">
        <v>16</v>
      </c>
    </row>
    <row r="371" spans="1:16" x14ac:dyDescent="0.35">
      <c r="A371" s="10" t="s">
        <v>1059</v>
      </c>
      <c r="B371" s="11">
        <f t="shared" si="16"/>
        <v>46121</v>
      </c>
      <c r="C371" s="11">
        <f t="shared" si="17"/>
        <v>46127</v>
      </c>
      <c r="D371" s="10">
        <v>3250</v>
      </c>
      <c r="E371" s="10">
        <v>332</v>
      </c>
      <c r="F371" s="10">
        <v>3</v>
      </c>
      <c r="G371" s="10">
        <v>1</v>
      </c>
      <c r="H371" s="10">
        <v>81648</v>
      </c>
      <c r="I371" s="10" t="s">
        <v>17</v>
      </c>
      <c r="J371" s="10">
        <v>27038699</v>
      </c>
      <c r="K371" s="12" t="s">
        <v>1033</v>
      </c>
      <c r="L371" s="12" t="s">
        <v>1041</v>
      </c>
      <c r="M371" s="13">
        <v>329900</v>
      </c>
      <c r="N371" s="14">
        <v>0.95</v>
      </c>
      <c r="O371" s="13">
        <f t="shared" si="15"/>
        <v>16495</v>
      </c>
      <c r="P371" s="10" t="s">
        <v>16</v>
      </c>
    </row>
    <row r="372" spans="1:16" x14ac:dyDescent="0.35">
      <c r="A372" s="10" t="s">
        <v>1059</v>
      </c>
      <c r="B372" s="11">
        <f t="shared" si="16"/>
        <v>46121</v>
      </c>
      <c r="C372" s="11">
        <f t="shared" si="17"/>
        <v>46127</v>
      </c>
      <c r="D372" s="10">
        <v>3250</v>
      </c>
      <c r="E372" s="10">
        <v>332</v>
      </c>
      <c r="F372" s="10">
        <v>3</v>
      </c>
      <c r="G372" s="10">
        <v>1</v>
      </c>
      <c r="H372" s="10">
        <v>81648</v>
      </c>
      <c r="I372" s="10" t="s">
        <v>17</v>
      </c>
      <c r="J372" s="10">
        <v>27038706</v>
      </c>
      <c r="K372" s="12" t="s">
        <v>1033</v>
      </c>
      <c r="L372" s="12" t="s">
        <v>1042</v>
      </c>
      <c r="M372" s="13">
        <v>329900</v>
      </c>
      <c r="N372" s="14">
        <v>0.95</v>
      </c>
      <c r="O372" s="13">
        <f t="shared" si="15"/>
        <v>16495</v>
      </c>
      <c r="P372" s="10" t="s">
        <v>16</v>
      </c>
    </row>
    <row r="373" spans="1:16" x14ac:dyDescent="0.35">
      <c r="A373" s="10" t="s">
        <v>1059</v>
      </c>
      <c r="B373" s="11">
        <f t="shared" si="16"/>
        <v>46121</v>
      </c>
      <c r="C373" s="11">
        <f t="shared" si="17"/>
        <v>46127</v>
      </c>
      <c r="D373" s="10">
        <v>3250</v>
      </c>
      <c r="E373" s="10">
        <v>332</v>
      </c>
      <c r="F373" s="10">
        <v>3</v>
      </c>
      <c r="G373" s="10">
        <v>1</v>
      </c>
      <c r="H373" s="10">
        <v>81648</v>
      </c>
      <c r="I373" s="10" t="s">
        <v>17</v>
      </c>
      <c r="J373" s="10">
        <v>27038715</v>
      </c>
      <c r="K373" s="12" t="s">
        <v>1033</v>
      </c>
      <c r="L373" s="12" t="s">
        <v>1043</v>
      </c>
      <c r="M373" s="13">
        <v>329900</v>
      </c>
      <c r="N373" s="14">
        <v>0.95</v>
      </c>
      <c r="O373" s="13">
        <f t="shared" si="15"/>
        <v>16495</v>
      </c>
      <c r="P373" s="10" t="s">
        <v>16</v>
      </c>
    </row>
    <row r="374" spans="1:16" x14ac:dyDescent="0.35">
      <c r="A374" s="10" t="s">
        <v>1059</v>
      </c>
      <c r="B374" s="11">
        <f t="shared" si="16"/>
        <v>46121</v>
      </c>
      <c r="C374" s="11">
        <f t="shared" si="17"/>
        <v>46127</v>
      </c>
      <c r="D374" s="10">
        <v>3250</v>
      </c>
      <c r="E374" s="10">
        <v>332</v>
      </c>
      <c r="F374" s="10">
        <v>3</v>
      </c>
      <c r="G374" s="10">
        <v>1</v>
      </c>
      <c r="H374" s="10">
        <v>81648</v>
      </c>
      <c r="I374" s="10" t="s">
        <v>17</v>
      </c>
      <c r="J374" s="10">
        <v>27038724</v>
      </c>
      <c r="K374" s="12" t="s">
        <v>1033</v>
      </c>
      <c r="L374" s="12" t="s">
        <v>1044</v>
      </c>
      <c r="M374" s="13">
        <v>329900</v>
      </c>
      <c r="N374" s="14">
        <v>0.95</v>
      </c>
      <c r="O374" s="13">
        <f t="shared" si="15"/>
        <v>16495</v>
      </c>
      <c r="P374" s="10" t="s">
        <v>16</v>
      </c>
    </row>
    <row r="375" spans="1:16" x14ac:dyDescent="0.35">
      <c r="A375" s="10" t="s">
        <v>1059</v>
      </c>
      <c r="B375" s="11">
        <f t="shared" si="16"/>
        <v>46121</v>
      </c>
      <c r="C375" s="11">
        <f t="shared" si="17"/>
        <v>46127</v>
      </c>
      <c r="D375" s="10">
        <v>3250</v>
      </c>
      <c r="E375" s="10">
        <v>332</v>
      </c>
      <c r="F375" s="10">
        <v>3</v>
      </c>
      <c r="G375" s="10">
        <v>1</v>
      </c>
      <c r="H375" s="10">
        <v>81648</v>
      </c>
      <c r="I375" s="10" t="s">
        <v>17</v>
      </c>
      <c r="J375" s="10">
        <v>27038760</v>
      </c>
      <c r="K375" s="12" t="s">
        <v>1033</v>
      </c>
      <c r="L375" s="12" t="s">
        <v>1045</v>
      </c>
      <c r="M375" s="13">
        <v>329900</v>
      </c>
      <c r="N375" s="14">
        <v>0.95</v>
      </c>
      <c r="O375" s="13">
        <f t="shared" si="15"/>
        <v>16495</v>
      </c>
      <c r="P375" s="10" t="s">
        <v>16</v>
      </c>
    </row>
    <row r="376" spans="1:16" x14ac:dyDescent="0.35">
      <c r="A376" s="10" t="s">
        <v>1059</v>
      </c>
      <c r="B376" s="11">
        <f t="shared" si="16"/>
        <v>46121</v>
      </c>
      <c r="C376" s="11">
        <f t="shared" si="17"/>
        <v>46127</v>
      </c>
      <c r="D376" s="10">
        <v>3250</v>
      </c>
      <c r="E376" s="10">
        <v>332</v>
      </c>
      <c r="F376" s="10">
        <v>3</v>
      </c>
      <c r="G376" s="10">
        <v>1</v>
      </c>
      <c r="H376" s="10">
        <v>81648</v>
      </c>
      <c r="I376" s="10" t="s">
        <v>17</v>
      </c>
      <c r="J376" s="10">
        <v>27038779</v>
      </c>
      <c r="K376" s="12" t="s">
        <v>1033</v>
      </c>
      <c r="L376" s="12" t="s">
        <v>1046</v>
      </c>
      <c r="M376" s="13">
        <v>329900</v>
      </c>
      <c r="N376" s="14">
        <v>0.95</v>
      </c>
      <c r="O376" s="13">
        <f t="shared" si="15"/>
        <v>16495</v>
      </c>
      <c r="P376" s="10" t="s">
        <v>16</v>
      </c>
    </row>
    <row r="377" spans="1:16" x14ac:dyDescent="0.35">
      <c r="A377" s="10" t="s">
        <v>1059</v>
      </c>
      <c r="B377" s="11">
        <f t="shared" si="16"/>
        <v>46121</v>
      </c>
      <c r="C377" s="11">
        <f t="shared" si="17"/>
        <v>46127</v>
      </c>
      <c r="D377" s="10">
        <v>3250</v>
      </c>
      <c r="E377" s="10">
        <v>332</v>
      </c>
      <c r="F377" s="10">
        <v>3</v>
      </c>
      <c r="G377" s="10">
        <v>1</v>
      </c>
      <c r="H377" s="10">
        <v>81648</v>
      </c>
      <c r="I377" s="10" t="s">
        <v>17</v>
      </c>
      <c r="J377" s="10">
        <v>27038788</v>
      </c>
      <c r="K377" s="12" t="s">
        <v>1033</v>
      </c>
      <c r="L377" s="12" t="s">
        <v>1047</v>
      </c>
      <c r="M377" s="13">
        <v>329900</v>
      </c>
      <c r="N377" s="14">
        <v>0.95</v>
      </c>
      <c r="O377" s="13">
        <f t="shared" si="15"/>
        <v>16495</v>
      </c>
      <c r="P377" s="10" t="s">
        <v>16</v>
      </c>
    </row>
    <row r="378" spans="1:16" x14ac:dyDescent="0.35">
      <c r="A378" s="10" t="s">
        <v>1059</v>
      </c>
      <c r="B378" s="11">
        <f t="shared" si="16"/>
        <v>46121</v>
      </c>
      <c r="C378" s="11">
        <f t="shared" si="17"/>
        <v>46127</v>
      </c>
      <c r="D378" s="10">
        <v>3250</v>
      </c>
      <c r="E378" s="10">
        <v>332</v>
      </c>
      <c r="F378" s="10">
        <v>3</v>
      </c>
      <c r="G378" s="10">
        <v>1</v>
      </c>
      <c r="H378" s="10">
        <v>81648</v>
      </c>
      <c r="I378" s="10" t="s">
        <v>17</v>
      </c>
      <c r="J378" s="10">
        <v>27038797</v>
      </c>
      <c r="K378" s="12" t="s">
        <v>1033</v>
      </c>
      <c r="L378" s="12" t="s">
        <v>1048</v>
      </c>
      <c r="M378" s="13">
        <v>329900</v>
      </c>
      <c r="N378" s="14">
        <v>0.95</v>
      </c>
      <c r="O378" s="13">
        <f t="shared" si="15"/>
        <v>16495</v>
      </c>
      <c r="P378" s="10" t="s">
        <v>16</v>
      </c>
    </row>
    <row r="379" spans="1:16" x14ac:dyDescent="0.35">
      <c r="A379" s="10" t="s">
        <v>1059</v>
      </c>
      <c r="B379" s="11">
        <f t="shared" si="16"/>
        <v>46121</v>
      </c>
      <c r="C379" s="11">
        <f t="shared" si="17"/>
        <v>46127</v>
      </c>
      <c r="D379" s="10">
        <v>3250</v>
      </c>
      <c r="E379" s="10">
        <v>332</v>
      </c>
      <c r="F379" s="10">
        <v>3</v>
      </c>
      <c r="G379" s="10">
        <v>1</v>
      </c>
      <c r="H379" s="10">
        <v>81648</v>
      </c>
      <c r="I379" s="10" t="s">
        <v>17</v>
      </c>
      <c r="J379" s="10">
        <v>27038804</v>
      </c>
      <c r="K379" s="12" t="s">
        <v>1033</v>
      </c>
      <c r="L379" s="12" t="s">
        <v>1049</v>
      </c>
      <c r="M379" s="13">
        <v>329900</v>
      </c>
      <c r="N379" s="14">
        <v>0.95</v>
      </c>
      <c r="O379" s="13">
        <f t="shared" si="15"/>
        <v>16495</v>
      </c>
      <c r="P379" s="10" t="s">
        <v>16</v>
      </c>
    </row>
    <row r="380" spans="1:16" x14ac:dyDescent="0.35">
      <c r="A380" s="10" t="s">
        <v>1059</v>
      </c>
      <c r="B380" s="11">
        <f t="shared" si="16"/>
        <v>46121</v>
      </c>
      <c r="C380" s="11">
        <f t="shared" si="17"/>
        <v>46127</v>
      </c>
      <c r="D380" s="10">
        <v>3250</v>
      </c>
      <c r="E380" s="10">
        <v>332</v>
      </c>
      <c r="F380" s="10">
        <v>3</v>
      </c>
      <c r="G380" s="10">
        <v>1</v>
      </c>
      <c r="H380" s="10">
        <v>81648</v>
      </c>
      <c r="I380" s="10" t="s">
        <v>17</v>
      </c>
      <c r="J380" s="10">
        <v>27038813</v>
      </c>
      <c r="K380" s="12" t="s">
        <v>1033</v>
      </c>
      <c r="L380" s="12" t="s">
        <v>1050</v>
      </c>
      <c r="M380" s="13">
        <v>329900</v>
      </c>
      <c r="N380" s="14">
        <v>0.95</v>
      </c>
      <c r="O380" s="13">
        <f t="shared" si="15"/>
        <v>16495</v>
      </c>
      <c r="P380" s="10" t="s">
        <v>16</v>
      </c>
    </row>
    <row r="381" spans="1:16" x14ac:dyDescent="0.35">
      <c r="A381" s="10" t="s">
        <v>1059</v>
      </c>
      <c r="B381" s="11">
        <f t="shared" si="16"/>
        <v>46121</v>
      </c>
      <c r="C381" s="11">
        <f t="shared" si="17"/>
        <v>46127</v>
      </c>
      <c r="D381" s="10">
        <v>3250</v>
      </c>
      <c r="E381" s="10">
        <v>332</v>
      </c>
      <c r="F381" s="10">
        <v>3</v>
      </c>
      <c r="G381" s="10">
        <v>1</v>
      </c>
      <c r="H381" s="10">
        <v>81648</v>
      </c>
      <c r="I381" s="10" t="s">
        <v>17</v>
      </c>
      <c r="J381" s="10">
        <v>27038822</v>
      </c>
      <c r="K381" s="12" t="s">
        <v>1033</v>
      </c>
      <c r="L381" s="12" t="s">
        <v>1051</v>
      </c>
      <c r="M381" s="13">
        <v>329900</v>
      </c>
      <c r="N381" s="14">
        <v>0.95</v>
      </c>
      <c r="O381" s="13">
        <f t="shared" si="15"/>
        <v>16495</v>
      </c>
      <c r="P381" s="10" t="s">
        <v>16</v>
      </c>
    </row>
    <row r="382" spans="1:16" x14ac:dyDescent="0.35">
      <c r="A382" s="10" t="s">
        <v>1059</v>
      </c>
      <c r="B382" s="11">
        <f t="shared" si="16"/>
        <v>46121</v>
      </c>
      <c r="C382" s="11">
        <f t="shared" si="17"/>
        <v>46127</v>
      </c>
      <c r="D382" s="10">
        <v>3250</v>
      </c>
      <c r="E382" s="10">
        <v>332</v>
      </c>
      <c r="F382" s="10">
        <v>3</v>
      </c>
      <c r="G382" s="10">
        <v>1</v>
      </c>
      <c r="H382" s="10">
        <v>81648</v>
      </c>
      <c r="I382" s="10" t="s">
        <v>17</v>
      </c>
      <c r="J382" s="10">
        <v>27038831</v>
      </c>
      <c r="K382" s="12" t="s">
        <v>1033</v>
      </c>
      <c r="L382" s="12" t="s">
        <v>1052</v>
      </c>
      <c r="M382" s="13">
        <v>329900</v>
      </c>
      <c r="N382" s="14">
        <v>0.95</v>
      </c>
      <c r="O382" s="13">
        <f t="shared" si="15"/>
        <v>16495</v>
      </c>
      <c r="P382" s="10" t="s">
        <v>16</v>
      </c>
    </row>
    <row r="383" spans="1:16" x14ac:dyDescent="0.35">
      <c r="A383" s="10" t="s">
        <v>1059</v>
      </c>
      <c r="B383" s="11">
        <f t="shared" si="16"/>
        <v>46121</v>
      </c>
      <c r="C383" s="11">
        <f t="shared" si="17"/>
        <v>46127</v>
      </c>
      <c r="D383" s="10">
        <v>3250</v>
      </c>
      <c r="E383" s="10">
        <v>332</v>
      </c>
      <c r="F383" s="10">
        <v>3</v>
      </c>
      <c r="G383" s="10">
        <v>1</v>
      </c>
      <c r="H383" s="10">
        <v>81648</v>
      </c>
      <c r="I383" s="10" t="s">
        <v>17</v>
      </c>
      <c r="J383" s="10">
        <v>27038840</v>
      </c>
      <c r="K383" s="12" t="s">
        <v>1033</v>
      </c>
      <c r="L383" s="12" t="s">
        <v>1053</v>
      </c>
      <c r="M383" s="13">
        <v>329900</v>
      </c>
      <c r="N383" s="14">
        <v>0.95</v>
      </c>
      <c r="O383" s="13">
        <f t="shared" si="15"/>
        <v>16495</v>
      </c>
      <c r="P383" s="10" t="s">
        <v>16</v>
      </c>
    </row>
    <row r="384" spans="1:16" x14ac:dyDescent="0.35">
      <c r="A384" s="10" t="s">
        <v>1059</v>
      </c>
      <c r="B384" s="11">
        <f t="shared" si="16"/>
        <v>46121</v>
      </c>
      <c r="C384" s="11">
        <f t="shared" si="17"/>
        <v>46127</v>
      </c>
      <c r="D384" s="10">
        <v>3250</v>
      </c>
      <c r="E384" s="10">
        <v>332</v>
      </c>
      <c r="F384" s="10">
        <v>3</v>
      </c>
      <c r="G384" s="10">
        <v>1</v>
      </c>
      <c r="H384" s="10">
        <v>81648</v>
      </c>
      <c r="I384" s="10" t="s">
        <v>17</v>
      </c>
      <c r="J384" s="10">
        <v>27038859</v>
      </c>
      <c r="K384" s="12" t="s">
        <v>1033</v>
      </c>
      <c r="L384" s="12" t="s">
        <v>1054</v>
      </c>
      <c r="M384" s="13">
        <v>329900</v>
      </c>
      <c r="N384" s="14">
        <v>0.95</v>
      </c>
      <c r="O384" s="13">
        <f t="shared" si="15"/>
        <v>16495</v>
      </c>
      <c r="P384" s="10" t="s">
        <v>16</v>
      </c>
    </row>
    <row r="385" spans="1:16" x14ac:dyDescent="0.35">
      <c r="A385" s="10" t="s">
        <v>1059</v>
      </c>
      <c r="B385" s="11">
        <f t="shared" si="16"/>
        <v>46121</v>
      </c>
      <c r="C385" s="11">
        <f t="shared" si="17"/>
        <v>46127</v>
      </c>
      <c r="D385" s="10">
        <v>3250</v>
      </c>
      <c r="E385" s="10">
        <v>332</v>
      </c>
      <c r="F385" s="10">
        <v>3</v>
      </c>
      <c r="G385" s="10">
        <v>1</v>
      </c>
      <c r="H385" s="10">
        <v>81648</v>
      </c>
      <c r="I385" s="10" t="s">
        <v>17</v>
      </c>
      <c r="J385" s="10">
        <v>27038868</v>
      </c>
      <c r="K385" s="12" t="s">
        <v>1033</v>
      </c>
      <c r="L385" s="12" t="s">
        <v>1055</v>
      </c>
      <c r="M385" s="13">
        <v>329900</v>
      </c>
      <c r="N385" s="14">
        <v>0.95</v>
      </c>
      <c r="O385" s="13">
        <f t="shared" si="15"/>
        <v>16495</v>
      </c>
      <c r="P385" s="10" t="s">
        <v>16</v>
      </c>
    </row>
    <row r="386" spans="1:16" x14ac:dyDescent="0.35">
      <c r="A386" s="10" t="s">
        <v>1059</v>
      </c>
      <c r="B386" s="11">
        <f t="shared" si="16"/>
        <v>46121</v>
      </c>
      <c r="C386" s="11">
        <f t="shared" si="17"/>
        <v>46127</v>
      </c>
      <c r="D386" s="10">
        <v>3250</v>
      </c>
      <c r="E386" s="10">
        <v>332</v>
      </c>
      <c r="F386" s="10">
        <v>3</v>
      </c>
      <c r="G386" s="10">
        <v>1</v>
      </c>
      <c r="H386" s="10">
        <v>81648</v>
      </c>
      <c r="I386" s="10" t="s">
        <v>17</v>
      </c>
      <c r="J386" s="10">
        <v>27038877</v>
      </c>
      <c r="K386" s="12" t="s">
        <v>1033</v>
      </c>
      <c r="L386" s="12" t="s">
        <v>1056</v>
      </c>
      <c r="M386" s="13">
        <v>329900</v>
      </c>
      <c r="N386" s="14">
        <v>0.95</v>
      </c>
      <c r="O386" s="13">
        <f t="shared" si="15"/>
        <v>16495</v>
      </c>
      <c r="P386" s="10" t="s">
        <v>16</v>
      </c>
    </row>
  </sheetData>
  <autoFilter ref="A1:P386" xr:uid="{00000000-0009-0000-0000-000002000000}"/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2026-04-07T03:53:31Z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29ed027f11264b32b3c4ff6d43173131</vt:lpwstr>
  </property>
</Properties>
</file>