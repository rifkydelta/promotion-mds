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E4712458-EF2E-4609-B46E-D27DBD5B7FF7}" xr6:coauthVersionLast="47" xr6:coauthVersionMax="47" xr10:uidLastSave="{00000000-0000-0000-0000-000000000000}"/>
  <bookViews>
    <workbookView xWindow="-110" yWindow="-110" windowWidth="19420" windowHeight="10300" tabRatio="871" firstSheet="6" activeTab="10" xr2:uid="{00000000-000D-0000-FFFF-FFFF00000000}"/>
  </bookViews>
  <sheets>
    <sheet name="25 JUL KNITSHORT KNITPANTS D50" sheetId="40" r:id="rId1"/>
    <sheet name="2025 AUG Denim D50" sheetId="41" r:id="rId2"/>
    <sheet name=" 2025 Aug Sept WvnPants D50" sheetId="38" r:id="rId3"/>
    <sheet name="2025 AUG SEPT KNIT SHORT D50" sheetId="17" r:id="rId4"/>
    <sheet name="25 AUG SEPT KNIT PANTS D50" sheetId="19" r:id="rId5"/>
    <sheet name="2025 AUG SEPT Woven Short D50" sheetId="24" r:id="rId6"/>
    <sheet name="25 KINS DISCNTINU D50" sheetId="42" r:id="rId7"/>
    <sheet name="25 KIPANTLAMA DISCONTI D50" sheetId="44" r:id="rId8"/>
    <sheet name="25Q4 WVN PANTS D30" sheetId="45" r:id="rId9"/>
    <sheet name="25Q4 Woven Short SP 139 K" sheetId="46" r:id="rId10"/>
    <sheet name="2025 Q4 Denim D30" sheetId="47" r:id="rId11"/>
  </sheets>
  <definedNames>
    <definedName name="_xlnm._FilterDatabase" localSheetId="2" hidden="1">' 2025 Aug Sept WvnPants D50'!$A$1:$P$1</definedName>
    <definedName name="_xlnm._FilterDatabase" localSheetId="1" hidden="1">'2025 AUG Denim D50'!$A$1:$P$1</definedName>
    <definedName name="_xlnm._FilterDatabase" localSheetId="3" hidden="1">'2025 AUG SEPT KNIT SHORT D50'!$A$1:$P$1</definedName>
    <definedName name="_xlnm._FilterDatabase" localSheetId="5" hidden="1">'2025 AUG SEPT Woven Short D50'!$A$1:$P$1</definedName>
    <definedName name="_xlnm._FilterDatabase" localSheetId="10" hidden="1">'2025 Q4 Denim D30'!$A$1:$P$13</definedName>
    <definedName name="_xlnm._FilterDatabase" localSheetId="4" hidden="1">'25 AUG SEPT KNIT PANTS D50'!$A$1:$P$1</definedName>
    <definedName name="_xlnm._FilterDatabase" localSheetId="0" hidden="1">'25 JUL KNITSHORT KNITPANTS D50'!$A$1:$P$1</definedName>
    <definedName name="_xlnm._FilterDatabase" localSheetId="6" hidden="1">'25 KINS DISCNTINU D50'!$A$1:$P$1</definedName>
    <definedName name="_xlnm._FilterDatabase" localSheetId="7" hidden="1">'25 KIPANTLAMA DISCONTI D50'!$A$1:$P$1</definedName>
    <definedName name="_xlnm._FilterDatabase" localSheetId="9" hidden="1">'25Q4 Woven Short SP 139 K'!$A$1:$P$13</definedName>
    <definedName name="_xlnm._FilterDatabase" localSheetId="8" hidden="1">'25Q4 WVN PANTS D30'!$A$1:$P$13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47" l="1"/>
  <c r="C15" i="47" s="1"/>
  <c r="C16" i="47" s="1"/>
  <c r="C17" i="47" s="1"/>
  <c r="C18" i="47" s="1"/>
  <c r="C19" i="47" s="1"/>
  <c r="C20" i="47" s="1"/>
  <c r="C21" i="47" s="1"/>
  <c r="C22" i="47" s="1"/>
  <c r="C23" i="47" s="1"/>
  <c r="C24" i="47" s="1"/>
  <c r="C25" i="47" s="1"/>
  <c r="C26" i="47" s="1"/>
  <c r="C27" i="47" s="1"/>
  <c r="C28" i="47" s="1"/>
  <c r="C29" i="47" s="1"/>
  <c r="C30" i="47" s="1"/>
  <c r="C31" i="47" s="1"/>
  <c r="C32" i="47" s="1"/>
  <c r="C33" i="47" s="1"/>
  <c r="C34" i="47" s="1"/>
  <c r="C35" i="47" s="1"/>
  <c r="C36" i="47" s="1"/>
  <c r="C37" i="47" s="1"/>
  <c r="B14" i="47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B34" i="47" s="1"/>
  <c r="B35" i="47" s="1"/>
  <c r="B36" i="47" s="1"/>
  <c r="B37" i="47" s="1"/>
  <c r="C13" i="47"/>
  <c r="B13" i="47"/>
  <c r="O3" i="47"/>
  <c r="O4" i="47"/>
  <c r="O5" i="47"/>
  <c r="O6" i="47"/>
  <c r="O7" i="47"/>
  <c r="O8" i="47"/>
  <c r="O9" i="47"/>
  <c r="O10" i="47"/>
  <c r="O11" i="47"/>
  <c r="O12" i="47"/>
  <c r="O13" i="47"/>
  <c r="O14" i="47"/>
  <c r="O15" i="47"/>
  <c r="O16" i="47"/>
  <c r="O17" i="47"/>
  <c r="O18" i="47"/>
  <c r="O19" i="47"/>
  <c r="O20" i="47"/>
  <c r="O21" i="47"/>
  <c r="O22" i="47"/>
  <c r="O23" i="47"/>
  <c r="O24" i="47"/>
  <c r="O25" i="47"/>
  <c r="O26" i="47"/>
  <c r="O27" i="47"/>
  <c r="O28" i="47"/>
  <c r="O29" i="47"/>
  <c r="O30" i="47"/>
  <c r="O31" i="47"/>
  <c r="O32" i="47"/>
  <c r="O33" i="47"/>
  <c r="O34" i="47"/>
  <c r="O35" i="47"/>
  <c r="O36" i="47"/>
  <c r="O37" i="47"/>
  <c r="O2" i="47" l="1"/>
  <c r="C3" i="47"/>
  <c r="B3" i="47"/>
  <c r="C3" i="46"/>
  <c r="B3" i="46"/>
  <c r="O3" i="46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2" i="46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C3" i="45"/>
  <c r="B3" i="45"/>
  <c r="C4" i="47" l="1"/>
  <c r="C5" i="47" s="1"/>
  <c r="C6" i="47" s="1"/>
  <c r="C7" i="47" s="1"/>
  <c r="C8" i="47" s="1"/>
  <c r="C9" i="47" s="1"/>
  <c r="C10" i="47" s="1"/>
  <c r="C11" i="47" s="1"/>
  <c r="C12" i="47" s="1"/>
  <c r="B4" i="47"/>
  <c r="B5" i="47" s="1"/>
  <c r="B6" i="47" s="1"/>
  <c r="B7" i="47" s="1"/>
  <c r="B8" i="47" s="1"/>
  <c r="B9" i="47" s="1"/>
  <c r="B10" i="47" s="1"/>
  <c r="B11" i="47" s="1"/>
  <c r="B12" i="47" s="1"/>
  <c r="C4" i="46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C44" i="46" s="1"/>
  <c r="C45" i="46" s="1"/>
  <c r="C46" i="46" s="1"/>
  <c r="C47" i="46" s="1"/>
  <c r="C48" i="46" s="1"/>
  <c r="C49" i="46" s="1"/>
  <c r="C50" i="46" s="1"/>
  <c r="C51" i="46" s="1"/>
  <c r="C52" i="46" s="1"/>
  <c r="C53" i="46" s="1"/>
  <c r="C54" i="46" s="1"/>
  <c r="C55" i="46" s="1"/>
  <c r="C56" i="46" s="1"/>
  <c r="C57" i="46" s="1"/>
  <c r="B4" i="46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s="1"/>
  <c r="B45" i="46" s="1"/>
  <c r="B46" i="46" s="1"/>
  <c r="B47" i="46" s="1"/>
  <c r="B48" i="46" s="1"/>
  <c r="B49" i="46" s="1"/>
  <c r="B50" i="46" s="1"/>
  <c r="B51" i="46" s="1"/>
  <c r="B52" i="46" s="1"/>
  <c r="B53" i="46" s="1"/>
  <c r="B54" i="46" s="1"/>
  <c r="B55" i="46" s="1"/>
  <c r="B56" i="46" s="1"/>
  <c r="B57" i="46" s="1"/>
  <c r="C4" i="45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B4" i="45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O32" i="44" l="1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C6" i="44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C17" i="44" s="1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B6" i="44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O4" i="44"/>
  <c r="O3" i="44"/>
  <c r="O2" i="44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B14" i="42"/>
  <c r="C14" i="42"/>
  <c r="B15" i="42"/>
  <c r="C15" i="42"/>
  <c r="B16" i="42"/>
  <c r="C16" i="42"/>
  <c r="B17" i="42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C17" i="42"/>
  <c r="C18" i="42" s="1"/>
  <c r="C19" i="42" s="1"/>
  <c r="C20" i="42" s="1"/>
  <c r="C21" i="42" s="1"/>
  <c r="C22" i="42" s="1"/>
  <c r="C23" i="42" s="1"/>
  <c r="C24" i="42" s="1"/>
  <c r="C25" i="42" s="1"/>
  <c r="C26" i="42" s="1"/>
  <c r="C27" i="42" s="1"/>
  <c r="C28" i="42" s="1"/>
  <c r="C29" i="42" s="1"/>
  <c r="C30" i="42" s="1"/>
  <c r="C31" i="42" s="1"/>
  <c r="C32" i="42" s="1"/>
  <c r="C33" i="42" s="1"/>
  <c r="C34" i="42" s="1"/>
  <c r="C35" i="42" s="1"/>
  <c r="C36" i="42" s="1"/>
  <c r="C37" i="42" s="1"/>
  <c r="C38" i="42" s="1"/>
  <c r="C39" i="42" s="1"/>
  <c r="C40" i="42" s="1"/>
  <c r="C41" i="42" s="1"/>
  <c r="C42" i="42" s="1"/>
  <c r="C43" i="42" s="1"/>
  <c r="O2" i="42"/>
  <c r="C3" i="44"/>
  <c r="B3" i="44"/>
  <c r="C3" i="42"/>
  <c r="B3" i="42"/>
  <c r="B4" i="44"/>
  <c r="B5" i="44" s="1"/>
  <c r="C4" i="44"/>
  <c r="C5" i="44" s="1"/>
  <c r="C4" i="42"/>
  <c r="C5" i="42" s="1"/>
  <c r="C6" i="42" s="1"/>
  <c r="C7" i="42" s="1"/>
  <c r="C8" i="42" s="1"/>
  <c r="C9" i="42" s="1"/>
  <c r="C10" i="42" s="1"/>
  <c r="C11" i="42" s="1"/>
  <c r="C12" i="42" s="1"/>
  <c r="C13" i="42" s="1"/>
  <c r="B4" i="42"/>
  <c r="B5" i="42" s="1"/>
  <c r="B6" i="42" s="1"/>
  <c r="B7" i="42" s="1"/>
  <c r="B8" i="42" s="1"/>
  <c r="B9" i="42" s="1"/>
  <c r="B10" i="42" s="1"/>
  <c r="B11" i="42" s="1"/>
  <c r="B12" i="42" s="1"/>
  <c r="B13" i="42" s="1"/>
  <c r="O8" i="41" l="1"/>
  <c r="C3" i="24"/>
  <c r="B3" i="24"/>
  <c r="C3" i="19"/>
  <c r="B3" i="19"/>
  <c r="C3" i="17"/>
  <c r="B3" i="17"/>
  <c r="C3" i="38"/>
  <c r="B3" i="38"/>
  <c r="C3" i="41"/>
  <c r="B3" i="41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" i="41"/>
  <c r="O6" i="41"/>
  <c r="O5" i="41"/>
  <c r="O4" i="41"/>
  <c r="O3" i="41"/>
  <c r="O2" i="41"/>
  <c r="O7" i="40"/>
  <c r="O6" i="40"/>
  <c r="O5" i="40"/>
  <c r="O4" i="40"/>
  <c r="O3" i="40"/>
  <c r="O2" i="40"/>
  <c r="C4" i="41" l="1"/>
  <c r="C5" i="41" s="1"/>
  <c r="C6" i="41" s="1"/>
  <c r="C7" i="41" s="1"/>
  <c r="C8" i="41" s="1"/>
  <c r="B4" i="41"/>
  <c r="B5" i="41" s="1"/>
  <c r="B6" i="41" s="1"/>
  <c r="B7" i="41" s="1"/>
  <c r="B8" i="41" s="1"/>
  <c r="C3" i="40" l="1"/>
  <c r="C4" i="40" s="1"/>
  <c r="C5" i="40" s="1"/>
  <c r="C6" i="40" s="1"/>
  <c r="C7" i="40" s="1"/>
  <c r="B3" i="40"/>
  <c r="B4" i="40" s="1"/>
  <c r="B5" i="40" s="1"/>
  <c r="B6" i="40" s="1"/>
  <c r="B7" i="40" s="1"/>
  <c r="C4" i="38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C4" i="17" l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B4" i="17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4" i="24" l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C4" i="24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B4" i="19" l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C4" i="19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67E990-10A1-411D-8DCC-25E2FE395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92BC04-E329-4A19-BFDD-4D20E529B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612B55-8115-49D3-AE70-850C7D6F2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E5FDCD8-4781-482C-BF4E-173127C3E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39C4739-5939-475D-BBA4-CEB17E64D5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E4CBA4-356E-4203-88EC-D92F25359C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4F7D57-4EB3-4355-AECF-88EA1A59A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C31F31-E8F0-4D83-9589-1690D76B3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D9E6A1-C5C9-418C-84BE-9BFEDD1509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99461C-5CE0-4E62-BB6C-1850AEE1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25FD5-C944-48A2-AA59-076AA118A3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490557-EBEA-49B9-B282-70D996CED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641185-CD53-4213-969D-1AAD01AB48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92DDE5-7AE9-4776-A22C-B4935BF69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BC657C-D0DB-42D3-A56D-A7091B5819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52352F7-4B74-4B40-8899-1873D0749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0775BF4-EBD1-4143-8F79-00CAD1CF8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8F9A60-7F92-4074-B1E5-3B302A573B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DC115-2184-4665-88D8-AB04B6ACB5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6A99F2B-8A5A-4F68-8B84-434D2DA7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9B20CE-0E75-4EAC-A0BC-50E24A80F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3D32662-E672-4F7C-A583-20FCF820D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B498FE-C229-47AA-9ACF-F003F4F0F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149F7F-9880-4DC0-8BA3-0F55CBC402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238C98-34AF-4A73-BF15-1861B4112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9117F60-56DD-434A-A068-C2D6898ABB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20FAF79-45ED-49B2-BA75-2FD382DBB0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934431F-069A-4C58-8D48-7357D3A794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89ED562-5CE3-4885-AF2B-0F48B1FAF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AC9C8E1-C7BF-45DF-9EC2-E8172791F3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C37BCB5-FDC0-461F-A084-257241CD2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3DE1B5-C584-4FFB-9EF8-4DC39BFCF9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CD3AE58-39BB-4BCA-A934-29A90212D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14647AC-97C8-4863-985A-46D02DEE48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C4EC6F-5D84-46B6-9B56-01236108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396D43-90F7-41DF-BF1C-B63EA09FD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6777A71-96E9-4F2F-905E-7E9E971AEB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03FE06-0336-41F9-9104-756B592954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31175F7-182D-447C-9FB1-2AEA0E3946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56A208D-64DB-4A38-A3CF-1CE282F016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BFDFC70-2560-4962-9F96-1F5B68780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E79A6D-5801-4A3E-9902-CEFE71DC0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0E1B616-EF9F-4A5F-8A85-4F0952E8A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6AF006-73BE-4BA0-9CF7-15125761B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B3A258-DE76-43AF-A4CC-A3024D0CD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5E55D20-DCF3-4A19-BF9F-0B8A3EBD3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074777-5194-4656-8608-C3A072DD66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A7FF8D-49F0-4297-B43B-0B5181542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65DE70-4B58-4F15-AFD9-845642A34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2985E6D-F4F4-4BA6-A384-098028168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D9E811-52A0-4450-963F-1AC29B23A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B68063-3F70-454E-8D09-0B220E78FB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E29EC4-41CB-453D-AC22-7F9D9B0137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30E23B-3270-4D12-B116-549F5A014F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295762-56F2-4C57-B76F-FB726F33B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C286A33-EF0E-4352-8755-64EFD35BF3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BD9F46-3EBD-4D1F-8396-C62D2D5BDC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8ACF89-607B-4596-B91D-FE055EA51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562A44-37EE-48AA-B0C6-FAAA936C1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D67836D-EC96-49E9-9508-78A9DACC8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42F26-68B8-4E15-842E-73AC501E5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EEB1AC-62B1-43EE-BB4F-EE7FBCF3D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9F81BF2-B6DF-4D05-8715-ABC37868FB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789D88-E7E5-43E3-960D-473B79DDA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E93577-B192-457B-AB0E-850989EA99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6D1D63-D206-4E78-8BF3-E15DC2F0E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29FDF1-A6F8-42C3-9A7F-A32E8E287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59380E8-ADFE-4CD7-87E7-72B20763C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78E9194-7687-403A-A33C-4C770EAE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BD92DE-2B51-42EB-BC96-822D065BC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2D9BF91-9994-413F-9BE0-C356C4698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ADC641-E4AD-44AD-B03C-DD89BA3BD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D4E789-6511-4DBF-A77A-3A7A74932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291CFB-02FA-4DA7-94D4-3CD0E6C47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C751E9-109E-4826-A953-F3D7B7C52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72C6A0D-6E5A-4E92-86B3-E23DB2056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5C6CBF7-0986-4FC2-8A3A-42BE70C7AF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BEE0E1-77F1-4426-B734-F9A3CD789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18968B-F226-486B-A85D-5E7793B98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80F7F5-F75E-4BB0-BFD9-CBDE5A6ED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8FB44DD-1F68-4C84-A34B-4DBCB0699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DDBC21-9C4A-42CE-9265-82A983F27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33E32D-A2A8-42A6-9C2E-CDF58C7427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5AD4AB-113D-4A45-8A11-975A5919F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167F27-57FC-49DB-909D-37B59F8217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8F9BDF-FECD-423B-AC69-334B470DBA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EB278CD-B42C-464E-A5EF-15CF74702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F6CA27-8BBA-4899-8208-344686C5A4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FD1D43-4672-4213-AC01-919BB79C1A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F6C7FF-8ED5-4119-8C34-004BC5CF8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368D83-0F3C-48C1-874A-EB4FED3FC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8A29815-6826-4157-A9E0-3C209A78E2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59EC50B-D214-4BDE-92DE-AF94F6050D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940BA9-BEC7-4756-9A77-AACFB9CFA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AA8C72-4B8E-4007-A7D1-5F6CC57B1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80CBBA-21B7-4742-9943-8B447FA6E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13273C-A47C-4618-A445-B16F1F687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4BD15A1-15DF-49E0-B30D-101A672A88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0BA0D66-38E8-45C5-8FC7-49B66E14F5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B3FB5C-DD68-4B6F-A15A-3558B0946C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152BFB4-77C1-4AB2-AD54-17AE194106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ED7FBF-04C8-4B99-8070-2E53229D6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E8F9C7-A378-4119-9238-B9B7BECF1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B1057F-EF7E-4AAF-9ED9-E024BE830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313B33-8B98-4B6F-BF22-7A013FA7D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74ACCB9-15FA-4B35-9F99-C7A177FF9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B46E80-B860-4727-9F31-451C638293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936D2B6-8C2A-45F1-AE4A-A60B3A508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1B672B6-7E34-457D-9461-AFE23C4045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D1EC45-7A05-433F-80B2-682355EDA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DB407-3C92-4DA7-9060-32174D43F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E903C3-C003-40D4-AE53-F63C8DCDF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<sst xmlns="http://schemas.openxmlformats.org/spreadsheetml/2006/main" count="1751" uniqueCount="370">
  <si>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</si>
  <si>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</si>
  <si>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</si>
  <si>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</si>
  <si>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</si>
  <si>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</si>
  <si>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</si>
  <si>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</si>
  <si>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</si>
  <si>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</si>
  <si>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</si>
  <si>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</si>
  <si>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</si>
  <si>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</si>
  <si>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</si>
  <si>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</si>
  <si>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</si>
  <si>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</si>
  <si>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PDBCREG</t>
  </si>
  <si>
    <t>PKJOGCSL</t>
  </si>
  <si>
    <t>SCARGOMS</t>
  </si>
  <si>
    <t>DENIM LONG PANTS BASIC NON WHISKER REGULAR PDBCREG:MEDIUM DENIM:30:SOLID:DENIM LONG PANTS</t>
  </si>
  <si>
    <t>DENIM LONG PANTS BASIC NON WHISKER REGULAR PDBCREG:MEDIUM DENIM:32:SOLID:DENIM LONG PANTS</t>
  </si>
  <si>
    <t>DENIM LONG PANTS BASIC NON WHISKER REGULAR PDBCREG:MEDIUM DENIM:34:SOLID:DENIM LONG PANTS</t>
  </si>
  <si>
    <t>DENIM LONG PANTS BASIC NON WHISKER REGULAR PDBCREG:MEDIUM DENIM:36:SOLID:DENIM LONG PANTS</t>
  </si>
  <si>
    <t>DENIM LONG PANTS BASIC NON WHISKER REGULAR PDBCREG:MEDIUM DENIM:38:SOLID:DENIM LONG PANTS</t>
  </si>
  <si>
    <t>DENIM LONG PANTS BASIC NON WHISKER REGULAR PDBCREG:MEDIUM DENIM:40:SOLID:DENIM LONG PANTS</t>
  </si>
  <si>
    <t>PDBKREG</t>
  </si>
  <si>
    <t>DENIM LONG PANTS BASIC BLK REGULAR PDBKREG:BLACK:32:SOLID:DENIM LONG PANTS</t>
  </si>
  <si>
    <t>LONG PANTS KNIT CASUAL LOOKS PKJOGCSL:NAVY BLUE:S:SOLID:LONG PANTS</t>
  </si>
  <si>
    <t>LONG PANTS KNIT CASUAL LOOKS PKJOGCSL:NAVY BLUE:M:SOLID:LONG PANTS</t>
  </si>
  <si>
    <t>LONG PANTS KNIT CASUAL LOOKS PKJOGCSL:NAVY BLUE:L:SOLID:LONG PANTS</t>
  </si>
  <si>
    <t>LONG PANTS KNIT CASUAL LOOKS PKJOGCSL:NAVY BLUE:XL:SOLID:LONG PANTS</t>
  </si>
  <si>
    <t>SHORT PANTS KNIT OTTOMAN COLLECTIONS BASIC SKOTTBC:NAVY BLUE:S:SOLID:SHORT PANTS</t>
  </si>
  <si>
    <t>SHORT PANTS KNIT OTTOMAN COLLECTIONS BASIC SKOTTBC:NAVY BLUE:M:SOLID:SHORT PANTS</t>
  </si>
  <si>
    <t>SHORT PANTS KNIT OTTOMAN COLLECTIONS BASIC SKOTTBC:NAVY BLUE:L:SOLID:SHORT PANTS</t>
  </si>
  <si>
    <t>SHORT PANTS KNIT OTTOMAN COLLECTIONS BASIC SKOTTBC:NAVY BLUE:XL:SOLID:SHORT PANTS</t>
  </si>
  <si>
    <t>SKOTTBC</t>
  </si>
  <si>
    <t>SHORT PANTS KNIT OTTOMAN COLLECTIONS BASIC SKOTTBC:VANILLA:S:SOLID:SHORT PANTS</t>
  </si>
  <si>
    <t>SHORT PANTS KNIT OTTOMAN COLLECTIONS BASIC SKOTTBC:VANILLA:M:SOLID:SHORT PANTS</t>
  </si>
  <si>
    <t>SHORT PANTS KNIT OTTOMAN COLLECTIONS BASIC SKOTTBC:VANILLA:L:SOLID:SHORT PANTS</t>
  </si>
  <si>
    <t>SHORT PANTS KNIT OTTOMAN COLLECTIONS BASIC SKOTTBC:VANILLA:XL:SOLID:SHORT PANTS</t>
  </si>
  <si>
    <t>SHORT PANTS KNIT OTTOMAN COLLECTIONS BASIC  SKOTTBC:KHAKI:S:SOLID:SHORT PANTS</t>
  </si>
  <si>
    <t>SHORT PANTS KNIT OTTOMAN COLLECTIONS BASIC  SKOTTBC:KHAKI:M:SOLID:SHORT PANTS</t>
  </si>
  <si>
    <t>SHORT PANTS KNIT OTTOMAN COLLECTIONS BASIC  SKOTTBC:KHAKI:L:SOLID:SHORT PANTS</t>
  </si>
  <si>
    <t>SHORT PANTS KNIT OTTOMAN COLLECTIONS BASIC  SKOTTBC:KHAKI:XL:SOLID:SHORT PANTS</t>
  </si>
  <si>
    <t>SKNATH</t>
  </si>
  <si>
    <t>SHORT PANTS KNIT FLEACE PIPING SKNATH:BEIGE:S:SOLID:SHORT PANTS</t>
  </si>
  <si>
    <t>SHORT PANTS KNIT FLEACE PIPING SKNATH:BEIGE:M:SOLID:SHORT PANTS</t>
  </si>
  <si>
    <t>SHORT PANTS KNIT FLEACE PIPING SKNATH:BEIGE:L:SOLID:SHORT PANTS</t>
  </si>
  <si>
    <t>SHORT PANTS KNIT FLEACE PIPING SKNATH:BEIGE:XL:SOLID:SHORT PANTS</t>
  </si>
  <si>
    <t>SHORT PANTS KNIT FLEACE PIPING SKNATH:NAVY BLUE:S:SOLID:SHORT PANTS</t>
  </si>
  <si>
    <t>SHORT PANTS KNIT FLEACE PIPING SKNATH:NAVY BLUE:M:SOLID:SHORT PANTS</t>
  </si>
  <si>
    <t>SHORT PANTS KNIT FLEACE PIPING SKNATH:NAVY BLUE:L:SOLID:SHORT PANTS</t>
  </si>
  <si>
    <t>SHORT PANTS KNIT FLEACE PIPING SKNATH:NAVY BLUE:XL:SOLID:SHORT PANTS</t>
  </si>
  <si>
    <t>LONG PANTS KNIT JOGGER FLEACE PIPING PKJOGFLE:BLACK:S:SOLID:LONG PANTS</t>
  </si>
  <si>
    <t>LONG PANTS KNIT JOGGER FLEACE PIPING PKJOGFLE:BLACK:M:SOLID:LONG PANTS</t>
  </si>
  <si>
    <t>LONG PANTS KNIT JOGGER FLEACE PIPING PKJOGFLE:BLACK:L:SOLID:LONG PANTS</t>
  </si>
  <si>
    <t>LONG PANTS KNIT JOGGER FLEACE PIPING PKJOGFLE:BLACK:XL:SOLID:LONG PANTS</t>
  </si>
  <si>
    <t>LONG PANTS KNIT JOGGER FLEACE PIPING PKJOGFLE:PASTEL GREY:S:SOLID:LONG PANTS</t>
  </si>
  <si>
    <t>LONG PANTS KNIT JOGGER FLEACE PIPING PKJOGFLE:PASTEL GREY:M:SOLID:LONG PANTS</t>
  </si>
  <si>
    <t>LONG PANTS KNIT JOGGER FLEACE PIPING PKJOGFLE:PASTEL GREY:L:SOLID:LONG PANTS</t>
  </si>
  <si>
    <t>LONG PANTS KNIT JOGGER FLEACE PIPING PKJOGFLE:PASTEL GREY:XL:SOLID:LONG PANTS</t>
  </si>
  <si>
    <t>LONG PANTS KNIT JOGGER FLEACE PIPING PKJOGFLE:BEIGE:S:SOLID:LONG PANTS</t>
  </si>
  <si>
    <t>LONG PANTS KNIT JOGGER FLEACE PIPING PKJOGFLE:BEIGE:M:SOLID:LONG PANTS</t>
  </si>
  <si>
    <t>LONG PANTS KNIT JOGGER FLEACE PIPING PKJOGFLE:BEIGE:L:SOLID:LONG PANTS</t>
  </si>
  <si>
    <t>LONG PANTS KNIT JOGGER FLEACE PIPING PKJOGFLE:BEIGE:XL:SOLID:LONG PANTS</t>
  </si>
  <si>
    <t>SHORT PANTS KNIT OTTOMAN COLLECTIONS BASIC SKOTTBC:TAUPE GREY:S:SOLID:SHORT PANTS</t>
  </si>
  <si>
    <t>SHORT PANTS KNIT OTTOMAN COLLECTIONS BASIC SKOTTBC:TAUPE GREY:M:SOLID:SHORT PANTS</t>
  </si>
  <si>
    <t>SHORT PANTS KNIT OTTOMAN COLLECTIONS BASIC SKOTTBC:TAUPE GREY:L:SOLID:SHORT PANTS</t>
  </si>
  <si>
    <t>SHORT PANTS KNIT OTTOMAN COLLECTIONS BASIC SKOTTBC:TAUPE GREY:XL:SOLID:SHORT PANTS</t>
  </si>
  <si>
    <t>SHORT PANTS KNIT OTTOMAN COLLECTIONS BASIC SKOTTBC:TAUPE GREY:XXL:SOLID:SHORT PANTS</t>
  </si>
  <si>
    <t>PKJOGFLE</t>
  </si>
  <si>
    <t>SHORT PANTS CARGO RIBSTOP MARKSP SCARGOMS:FROST GREY:30:SOLID:SHORT PANTS</t>
  </si>
  <si>
    <t>SHORT PANTS CARGO RIBSTOP MARKSP SCARGOMS:FROST GREY:32:SOLID:SHORT PANTS</t>
  </si>
  <si>
    <t>SHORT PANTS CARGO RIBSTOP MARKSP SCARGOMS:FROST GREY:34:SOLID:SHORT PANTS</t>
  </si>
  <si>
    <t>SHORT PANTS CARGO RIBSTOP MARKSP SCARGOMS:FROST GREY:36:SOLID:SHORT PANTS</t>
  </si>
  <si>
    <t>SHORT PANTS CARGO RIBSTOP MARKSP SCARGOMS:FROST GREY:38:SOLID:SHORT PANTS</t>
  </si>
  <si>
    <t>SHORT PANTS CARGO RIBSTOP MARKSP SCARGOMS:FROST GREY:40:SOLID:SHORT PANTS</t>
  </si>
  <si>
    <t>SHORT PANTS CARGO RIBSTOP MARKSP SCARGOMS:TAUPE GREY:30:SOLID:SHORT PANTS</t>
  </si>
  <si>
    <t>SHORT PANTS CARGO RIBSTOP MARKSP SCARGOMS:TAUPE GREY:36:SOLID:SHORT PANTS</t>
  </si>
  <si>
    <t>SHORT PANTS CARGO RIBSTOP MARKSP SCARGOMS:TAUPE GREY:38:SOLID:SHORT PANTS</t>
  </si>
  <si>
    <t>SHORT PANTS CARGO RIBSTOP MARKSP SCARGOMS:TAUPE GREY:40:SOLID:SHORT PANTS</t>
  </si>
  <si>
    <t>SHORT PANTS CARGO RIBSTOP MARKSP SCARGOMS:TAUPE GREY:32:SOLID:SHORT PANTS</t>
  </si>
  <si>
    <t>SHORT PANTS CARGO RIBSTOP MARKSP SCARGOMS:TAUPE GREY:34:SOLID:SHORT PANTS</t>
  </si>
  <si>
    <t>PWTEXREG</t>
  </si>
  <si>
    <t>SHORT PANTS WOVEN BERMUDA CUT POCKET SWCUTPOC:PASTEL GREY:30:SOLID:SHORT PANTS</t>
  </si>
  <si>
    <t>SWCUTPOC</t>
  </si>
  <si>
    <t>SHORT PANTS WOVEN BERMUDA CUT POCKET SWCUTPOC:PASTEL GREY:32:SOLID:SHORT PANTS</t>
  </si>
  <si>
    <t>SHORT PANTS WOVEN BERMUDA CUT POCKET SWCUTPOC:PASTEL GREY:34:SOLID:SHORT PANTS</t>
  </si>
  <si>
    <t>SHORT PANTS WOVEN BERMUDA CUT POCKET SWCUTPOC:PASTEL GREY:36:SOLID:SHORT PANTS</t>
  </si>
  <si>
    <t>SHORT PANTS WOVEN BERMUDA CUT POCKET SWCUTPOC:PASTEL GREY:38:SOLID:SHORT PANTS</t>
  </si>
  <si>
    <t>SHORT PANTS WOVEN BERMUDA CUT POCKET SWCUTPOC:PASTEL GREY:40:SOLID:SHORT PANTS</t>
  </si>
  <si>
    <t>SHORT PANTS WOVEN BERMUDA CUT POCKET SWCUTPOC:KHAKI:30:SOLID:SHORT PANTS</t>
  </si>
  <si>
    <t>SHORT PANTS WOVEN BERMUDA CUT POCKET SWCUTPOC:KHAKI:32:SOLID:SHORT PANTS</t>
  </si>
  <si>
    <t>SHORT PANTS WOVEN BERMUDA CUT POCKET SWCUTPOC:KHAKI:34:SOLID:SHORT PANTS</t>
  </si>
  <si>
    <t>SHORT PANTS WOVEN BERMUDA CUT POCKET SWCUTPOC:KHAKI:36:SOLID:SHORT PANTS</t>
  </si>
  <si>
    <t>SHORT PANTS WOVEN BERMUDA CUT POCKET SWCUTPOC:KHAKI:38:SOLID:SHORT PANTS</t>
  </si>
  <si>
    <t>SHORT PANTS WOVEN BERMUDA CUT POCKET SWCUTPOC:KHAKI:40:SOLID:SHORT PANTS</t>
  </si>
  <si>
    <t>PWSLMPLE</t>
  </si>
  <si>
    <t>LONG PANTS WOVEN SLIM PLEATED TWILL PWSLMPLE:LIGHT GREY:30:SOLID:LONG PANTS</t>
  </si>
  <si>
    <t>LONG PANTS WOVEN SLIM PLEATED TWILL PWSLMPLE:LIGHT GREY:32:SOLID:LONG PANTS</t>
  </si>
  <si>
    <t>LONG PANTS WOVEN SLIM PLEATED TWILL PWSLMPLE:LIGHT GREY:34:SOLID:LONG PANTS</t>
  </si>
  <si>
    <t>LONG PANTS WOVEN SLIM PLEATED TWILL PWSLMPLE:LIGHT GREY:36:SOLID:LONG PANTS</t>
  </si>
  <si>
    <t>LONG PANTS WOVEN SLIM PLEATED TWILL PWSLMPLE:LIGHT GREY:38:SOLID:LONG PANTS</t>
  </si>
  <si>
    <t>LONG PANTS WOVEN SLIM PLEATED TWILL PWSLMPLE:LIGHT GREY:40:SOLID:LONG PANTS</t>
  </si>
  <si>
    <t>LONG PANTS WOVEN SLIM PLEATED TWILL PWSLMPLE:KHAKI:30:SOLID:LONG PANTS</t>
  </si>
  <si>
    <t>LONG PANTS WOVEN SLIM PLEATED TWILL PWSLMPLE:KHAKI:32:SOLID:LONG PANTS</t>
  </si>
  <si>
    <t>LONG PANTS WOVEN SLIM PLEATED TWILL PWSLMPLE:KHAKI:34:SOLID:LONG PANTS</t>
  </si>
  <si>
    <t>LONG PANTS WOVEN SLIM PLEATED TWILL PWSLMPLE:KHAKI:36:SOLID:LONG PANTS</t>
  </si>
  <si>
    <t>LONG PANTS WOVEN SLIM PLEATED TWILL PWSLMPLE:KHAKI:38:SOLID:LONG PANTS</t>
  </si>
  <si>
    <t>LONG PANTS WOVEN SLIM PLEATED TWILL PWSLMPLE:KHAKI:40:SOLID:LONG PANTS</t>
  </si>
  <si>
    <t>LONG PANTS WOVEN SLIM PLEATED TWILL PWSLMPLE:DARK GREY:30:SOLID:LONG PANTS</t>
  </si>
  <si>
    <t>LONG PANTS WOVEN SLIM PLEATED TWILL PWSLMPLE:DARK GREY:32:SOLID:LONG PANTS</t>
  </si>
  <si>
    <t>LONG PANTS WOVEN SLIM PLEATED TWILL PWSLMPLE:DARK GREY:34:SOLID:LONG PANTS</t>
  </si>
  <si>
    <t>LONG PANTS WOVEN SLIM PLEATED TWILL PWSLMPLE:DARK GREY:36:SOLID:LONG PANTS</t>
  </si>
  <si>
    <t>LONG PANTS WOVEN SLIM PLEATED TWILL PWSLMPLE:DARK GREY:38:SOLID:LONG PANTS</t>
  </si>
  <si>
    <t>LONG PANTS WOVEN SLIM PLEATED TWILL PWSLMPLE:DARK GREY:40:SOLID:LONG PANTS</t>
  </si>
  <si>
    <t>LONG PANTS WOVEN REG TEXTURE SLANTED POCKET PWTEXREG:VANILLA:30:SOLID:LONG PANTS</t>
  </si>
  <si>
    <t>LONG PANTS WOVEN REG TEXTURE SLANTED POCKET PWTEXREG:VANILLA:32:SOLID:LONG PANTS</t>
  </si>
  <si>
    <t>LONG PANTS WOVEN REG TEXTURE SLANTED POCKET PWTEXREG:VANILLA:34:SOLID:LONG PANTS</t>
  </si>
  <si>
    <t>LONG PANTS WOVEN REG TEXTURE SLANTED POCKET PWTEXREG:VANILLA:36:SOLID:LONG PANTS</t>
  </si>
  <si>
    <t>LONG PANTS WOVEN REG TEXTURE SLANTED POCKET PWTEXREG:VANILLA:38:SOLID:LONG PANTS</t>
  </si>
  <si>
    <t>LONG PANTS WOVEN REG TEXTURE SLANTED POCKET PWTEXREG:VANILLA:40:SOLID:LONG PANTS</t>
  </si>
  <si>
    <t>SHORT PANTS KNIT FLEACE PIPING SKNATH:CHARCOAL:S:SOLID:SHORT PANTS</t>
  </si>
  <si>
    <t>SHORT PANTS KNIT FLEACE PIPING SKNATH:CHARCOAL:M:SOLID:SHORT PANTS</t>
  </si>
  <si>
    <t>SHORT PANTS KNIT FLEACE PIPING SKNATH:CHARCOAL:L:SOLID:SHORT PANTS</t>
  </si>
  <si>
    <t>SHORT PANTS KNIT FLEACE PIPING SKNATH:CHARCOAL:XL:SOLID:SHORT PANTS</t>
  </si>
  <si>
    <t>SHORT PANTS KNIT OTTOMAN COLLECTIONS BASIC SKOTTBC:BLACK:3L:SOLID:SHORT PANTS</t>
  </si>
  <si>
    <t>SHORT PANTS KNIT OTTOMAN COLLECTIONS BASIC SKOTTBC:BLACK:XXL:SOLID:SHORT PANTS</t>
  </si>
  <si>
    <t>25 JUL KNITSHORT KNITPANTS D50</t>
  </si>
  <si>
    <t>2025 AUG Denim D50</t>
  </si>
  <si>
    <t xml:space="preserve"> 2025 Aug Sept WvnPants D50</t>
  </si>
  <si>
    <t>2025 AUG SEPT KNIT SHORT D50</t>
  </si>
  <si>
    <t>25 AUG SEPT KNIT PANTS D50</t>
  </si>
  <si>
    <t>2025 AUG SEPT Woven Short D50</t>
  </si>
  <si>
    <t>KINS-MST</t>
  </si>
  <si>
    <t>KI CHINOS S/P MUSTARD:MUSTARD:38</t>
  </si>
  <si>
    <t>KINS-KH</t>
  </si>
  <si>
    <t>KI CHINOS S/P KHAKI:KHAKI:38</t>
  </si>
  <si>
    <t>KI CHINOS S/P KHAKI:KHAKI:40</t>
  </si>
  <si>
    <t>KINS</t>
  </si>
  <si>
    <t>CHINOS SHORT PANTS KI SP KINS:OLIVE:32:SOLID:CHINOS SHORT PAN</t>
  </si>
  <si>
    <t>CHINOS SHORT PANTS KI SP KINS:OLIVE:34:SOLID:CHINOS SHORT PAN</t>
  </si>
  <si>
    <t>CHINOS SHORT PANTS KI SP KINS:OLIVE:36:SOLID:CHINOS SHORT PAN</t>
  </si>
  <si>
    <t>CHINOS SHORT PANTS KI SP KINS:OLIVE:38:SOLID:CHINOS SHORT PAN</t>
  </si>
  <si>
    <t>CHINOS SHORT PANTS KI SP KINS:OLIVE:40:SOLID:CHINOS SHORT PAN</t>
  </si>
  <si>
    <t>KI CHINOS S/P MUSTARD:MUSTARD:29</t>
  </si>
  <si>
    <t>KI CHINOS S/P MUSTARD:MUSTARD:30</t>
  </si>
  <si>
    <t>KI CHINOS S/P MUSTARD:MUSTARD:32</t>
  </si>
  <si>
    <t>KI CHINOS S/P MUSTARD:MUSTARD:34</t>
  </si>
  <si>
    <t>KI CHINOS S/P MUSTARD:MUSTARD:36</t>
  </si>
  <si>
    <t>KI CHINOS S/P MUSTARD:MUSTARD:40</t>
  </si>
  <si>
    <t>KI CHINOS S/P KHAKI:KHAKI:29</t>
  </si>
  <si>
    <t>KI CHINOS S/P KHAKI:KHAKI:30</t>
  </si>
  <si>
    <t>KI CHINOS S/P KHAKI:KHAKI:32</t>
  </si>
  <si>
    <t>KI CHINOS S/P KHAKI:KHAKI:34</t>
  </si>
  <si>
    <t>KI CHINOS S/P KHAKI:KHAKI:36</t>
  </si>
  <si>
    <t>CHINOS SHORT PANTS KI SP KINS:OLIVE:29:SOLID:CHINOS SHORT PAN</t>
  </si>
  <si>
    <t>CHINOS SHORT PANTS KI SP KINS:OLIVE:30:SOLID:CHINOS SHORT PAN</t>
  </si>
  <si>
    <t>KINS-VNL</t>
  </si>
  <si>
    <t>KI CHINOS S/P VANILLA:VANILLA:29</t>
  </si>
  <si>
    <t>KI CHINOS S/P VANILLA:VANILLA:30</t>
  </si>
  <si>
    <t>KI CHINOS S/P VANILLA:VANILLA:36</t>
  </si>
  <si>
    <t>KINS-CHR</t>
  </si>
  <si>
    <t>KI CHINOS S/P CHARCOAL:CHARCOAL:29</t>
  </si>
  <si>
    <t>KI CHINOS S/P CHARCOAL:CHARCOAL:30</t>
  </si>
  <si>
    <t>KI CHINOS S/P CHARCOAL:CHARCOAL:32</t>
  </si>
  <si>
    <t>KI CHINOS S/P CHARCOAL:CHARCOAL:34</t>
  </si>
  <si>
    <t>KI CHINOS S/P CHARCOAL:CHARCOAL:36</t>
  </si>
  <si>
    <t>KINS-BC</t>
  </si>
  <si>
    <t>KI CHINOS S/P BLACK:BLACK:29</t>
  </si>
  <si>
    <t>KI CHINOS S/P BLACK:BLACK:30</t>
  </si>
  <si>
    <t>KI CHINOS S/P BLACK:BLACK:32</t>
  </si>
  <si>
    <t>KI CHINOS S/P BLACK:BLACK:34</t>
  </si>
  <si>
    <t>KI CHINOS S/P BLACK:BLACK:36</t>
  </si>
  <si>
    <t>KI CHINOS S/P VANILLA:VANILLA:32</t>
  </si>
  <si>
    <t>KI CHINOS S/P VANILLA:VANILLA:34</t>
  </si>
  <si>
    <t>KI CHINOS S/P VANILLA:VANILLA:38</t>
  </si>
  <si>
    <t>KI CHINOS S/P VANILLA:VANILLA:40</t>
  </si>
  <si>
    <t>KI CHINOS S/P CHARCOAL:CHARCOAL:38</t>
  </si>
  <si>
    <t>KI CHINOS S/P CHARCOAL:CHARCOAL:40</t>
  </si>
  <si>
    <t>KI CHINOS S/P BLACK:BLACK:38</t>
  </si>
  <si>
    <t>KI CHINOS S/P BLACK:BLACK:40</t>
  </si>
  <si>
    <t>PRBSLIM</t>
  </si>
  <si>
    <t>CHINOS PANTS SLIM BASIC SOLID PRBSLIM:BLACK:29:SOLID:CHINOS PANTS</t>
  </si>
  <si>
    <t>CHINOS PANTS SLIM BASIC SOLID PRBSLIM:CHARCOAL:29:SOLID:CHINOS PANTS</t>
  </si>
  <si>
    <t>CHINOS PANTS SLIM BASIC SOLID PRBSLIM:KHAKI:29:SOLID:CHINOS PANTS</t>
  </si>
  <si>
    <t>CHINOS PANTS SLIM BASIC SOLID PRBSLIM:OLIVE:29:SOLID:CHINOS PANTS</t>
  </si>
  <si>
    <t>PRBCSL</t>
  </si>
  <si>
    <t>LONG PANTS REGULAR BASIC SOLID PRBCSL:BLACK:29:SOLID:LONG PANTS</t>
  </si>
  <si>
    <t>LONG PANTS REGULAR BASIC SOLID PRBCSL:CHARCOAL:29:SOLID:LONG PANTS</t>
  </si>
  <si>
    <t>LONG PANTS REGULAR BASIC SOLID PRBCSL:SAND:29:SOLID:LONG PA</t>
  </si>
  <si>
    <t>CHINOS PANTS SLIM BASIC SOLID PRBSLIM:CHARCOAL:30:SOLID:CHINOS PANTS</t>
  </si>
  <si>
    <t>CHINOS PANTS SLIM BASIC SOLID PRBSLIM:CHARCOAL:32:SOLID:CHINOS PANTS</t>
  </si>
  <si>
    <t>CHINOS PANTS SLIM BASIC SOLID PRBSLIM:CHARCOAL:34:SOLID:CHINOS PANTS</t>
  </si>
  <si>
    <t>CHINOS PANTS SLIM BASIC SOLID PRBSLIM:CHARCOAL:36:SOLID:CHINOS PANTS</t>
  </si>
  <si>
    <t>CHINOS PANTS SLIM BASIC SOLID PRBSLIM:CHARCOAL:38:SOLID:CHINOS PANTS</t>
  </si>
  <si>
    <t>CHINOS PANTS SLIM BASIC SOLID PRBSLIM:CHARCOAL:40:SOLID:CHINOS PANTS</t>
  </si>
  <si>
    <t>CHINOS PANTS SLIM BASIC SOLID PRBSLIM:KHAKI:30:SOLID:CHINOS PANTS</t>
  </si>
  <si>
    <t>CHINOS PANTS SLIM BASIC SOLID PRBSLIM:KHAKI:32:SOLID:CHINOS PANTS</t>
  </si>
  <si>
    <t>CHINOS PANTS SLIM BASIC SOLID PRBSLIM:KHAKI:34:SOLID:CHINOS PANTS</t>
  </si>
  <si>
    <t>CHINOS PANTS SLIM BASIC SOLID PRBSLIM:KHAKI:36:SOLID:CHINOS PANTS</t>
  </si>
  <si>
    <t>CHINOS PANTS SLIM BASIC SOLID PRBSLIM:KHAKI:38:SOLID:CHINOS PANTS</t>
  </si>
  <si>
    <t>CHINOS PANTS SLIM BASIC SOLID PRBSLIM:KHAKI:40:SOLID:CHINOS PANTS</t>
  </si>
  <si>
    <t>CHINOS PANTS SLIM BASIC SOLID PRBSLIM:OLIVE:30:SOLID:CHINOS PANTS</t>
  </si>
  <si>
    <t>CHINOS PANTS SLIM BASIC SOLID PRBSLIM:OLIVE:32:SOLID:CHINOS PANTS</t>
  </si>
  <si>
    <t>CHINOS PANTS SLIM BASIC SOLID PRBSLIM:OLIVE:34:SOLID:CHINOS PANTS</t>
  </si>
  <si>
    <t>CHINOS PANTS SLIM BASIC SOLID PRBSLIM:OLIVE:36:SOLID:CHINOS PANTS</t>
  </si>
  <si>
    <t>CHINOS PANTS SLIM BASIC SOLID PRBSLIM:OLIVE:38:SOLID:CHINOS PANTS</t>
  </si>
  <si>
    <t>CHINOS PANTS SLIM BASIC SOLID PRBSLIM:OLIVE:40:SOLID:CHINOS PANTS</t>
  </si>
  <si>
    <t>CHINOS PANTS SLIM BASIC SOLID PRBSLIM:BLACK:30:SOLID:CHINOS PANTS</t>
  </si>
  <si>
    <t>CHINOS PANTS SLIM BASIC SOLID PRBSLIM:BLACK:32:SOLID:CHINOS PANTS</t>
  </si>
  <si>
    <t>CHINOS PANTS SLIM BASIC SOLID PRBSLIM:BLACK:34:SOLID:CHINOS PANTS</t>
  </si>
  <si>
    <t>CHINOS PANTS SLIM BASIC SOLID PRBSLIM:BLACK:36:SOLID:CHINOS PANTS</t>
  </si>
  <si>
    <t>CHINOS PANTS SLIM BASIC SOLID PRBSLIM:BLACK:38:SOLID:CHINOS PANTS</t>
  </si>
  <si>
    <t>CHINOS PANTS SLIM BASIC SOLID PRBSLIM:BLACK:40:SOLID:CHINOS PANTS</t>
  </si>
  <si>
    <t xml:space="preserve"> 2025 Q1 KINS lama (discontinue) D50</t>
  </si>
  <si>
    <t>2025 KI Pant lama (discontinue) D50</t>
  </si>
  <si>
    <t>LONG PANTS WOVEN REG TEXTURE SLANTED POCKET PWTEXREG:KHAKI:38:SOLID:LONG PANTS</t>
  </si>
  <si>
    <t>LONG PANTS WOVEN REG TEXTURE SLANTED POCKET PWTEXREG:KHAKI:30:SOLID:LONG PANTS</t>
  </si>
  <si>
    <t>LONG PANTS WOVEN REG TEXTURE SLANTED POCKET PWTEXREG:KHAKI:32:SOLID:LONG PANTS</t>
  </si>
  <si>
    <t>LONG PANTS WOVEN REG TEXTURE SLANTED POCKET PWTEXREG:KHAKI:36:SOLID:LONG PANTS</t>
  </si>
  <si>
    <t>LONG PANTS WOVEN REG TEXTURE SLANTED POCKET PWTEXREG:KHAKI:34:SOLID:LONG PANTS</t>
  </si>
  <si>
    <t>LONG PANTS WOVEN REG TEXTURE SLANTED POCKET PWTEXREG:KHAKI:40:SOLID:LONG PANTS</t>
  </si>
  <si>
    <t>PCHINDEV</t>
  </si>
  <si>
    <t>CHINOS PANTS LONG CLEAN SLIMFIT PCHINDEV:KHAKI:30:SOLID:CHINOS PANTS</t>
  </si>
  <si>
    <t>CHINOS PANTS LONG CLEAN SLIMFIT PCHINDEV:KHAKI:32:SOLID:CHINOS PANTS</t>
  </si>
  <si>
    <t>CHINOS PANTS LONG CLEAN SLIMFIT PCHINDEV:KHAKI:34:SOLID:CHINOS PANTS</t>
  </si>
  <si>
    <t>CHINOS PANTS LONG CLEAN SLIMFIT PCHINDEV:KHAKI:36:SOLID:CHINOS PANTS</t>
  </si>
  <si>
    <t>CHINOS PANTS LONG CLEAN SLIMFIT PCHINDEV:KHAKI:38:SOLID:CHINOS PANTS</t>
  </si>
  <si>
    <t>CHINOS PANTS LONG CLEAN SLIMFIT PCHINDEV:KHAKI:40:SOLID:CHINOS PANTS</t>
  </si>
  <si>
    <t>CHINOS PANTS LONG CLEAN SLIMFIT PCHINDEV:SAND:30:SOLID:CHINOS PANTS</t>
  </si>
  <si>
    <t>CHINOS PANTS LONG CLEAN SLIMFIT PCHINDEV:SAND:32:SOLID:CHINOS PANTS</t>
  </si>
  <si>
    <t>CHINOS PANTS LONG CLEAN SLIMFIT PCHINDEV:SAND:34:SOLID:CHINOS PANTS</t>
  </si>
  <si>
    <t>CHINOS PANTS LONG CLEAN SLIMFIT PCHINDEV:SAND:36:SOLID:CHINOS PANTS</t>
  </si>
  <si>
    <t>CHINOS PANTS LONG CLEAN SLIMFIT PCHINDEV:SAND:38:SOLID:CHINOS PANTS</t>
  </si>
  <si>
    <t>CHINOS PANTS LONG CLEAN SLIMFIT PCHINDEV:SAND:40:SOLID:CHINOS PANTS</t>
  </si>
  <si>
    <t>WPCHISLIM</t>
  </si>
  <si>
    <t>LONG PANTS WOVEN PANT CHINO BSC SLIM WPCHISLIM:SAND:30:SOLID:LONG PANTS</t>
  </si>
  <si>
    <t>LONG PANTS WOVEN PANT CHINO BSC SLIM WPCHISLIM:SAND:32:SOLID:LONG PANTS</t>
  </si>
  <si>
    <t>LONG PANTS WOVEN PANT CHINO BSC SLIM WPCHISLIM:SAND:34:SOLID:LONG PANTS</t>
  </si>
  <si>
    <t>LONG PANTS WOVEN PANT CHINO BSC SLIM WPCHISLIM:SAND:36:SOLID:LONG PANTS</t>
  </si>
  <si>
    <t>LONG PANTS WOVEN PANT CHINO BSC SLIM WPCHISLIM:SAND:38:SOLID:LONG PANTS</t>
  </si>
  <si>
    <t>LONG PANTS WOVEN PANT CHINO BSC SLIM WPCHISLIM:SAND:40:SOLID:LONG PANTS</t>
  </si>
  <si>
    <t>LONG PANTS WOVEN PANT CHINO BSC SLIM WPCHISLIM:KHAKI:30:SOLID:LONG PANTS</t>
  </si>
  <si>
    <t>LONG PANTS WOVEN PANT CHINO BSC SLIM WPCHISLIM:KHAKI:32:SOLID:LONG PANTS</t>
  </si>
  <si>
    <t>LONG PANTS WOVEN PANT CHINO BSC SLIM WPCHISLIM:KHAKI:34:SOLID:LONG PANTS</t>
  </si>
  <si>
    <t>LONG PANTS WOVEN PANT CHINO BSC SLIM WPCHISLIM:KHAKI:36:SOLID:LONG PANTS</t>
  </si>
  <si>
    <t>LONG PANTS WOVEN PANT CHINO BSC SLIM WPCHISLIM:KHAKI:38:SOLID:LONG PANTS</t>
  </si>
  <si>
    <t>LONG PANTS WOVEN PANT CHINO BSC SLIM WPCHISLIM:KHAKI:40:SOLID:LONG PANTS</t>
  </si>
  <si>
    <t>LONG PANTS WOVEN PANT CHINO BSC SLIM WPCHISLIM:DARK GREY:30:SOLID:LONG PANTS</t>
  </si>
  <si>
    <t>LONG PANTS WOVEN PANT CHINO BSC SLIM WPCHISLIM:DARK GREY:32:SOLID:LONG PANTS</t>
  </si>
  <si>
    <t>LONG PANTS WOVEN PANT CHINO BSC SLIM WPCHISLIM:DARK GREY:34:SOLID:LONG PANTS</t>
  </si>
  <si>
    <t>LONG PANTS WOVEN PANT CHINO BSC SLIM WPCHISLIM:DARK GREY:36:SOLID:LONG PANTS</t>
  </si>
  <si>
    <t>LONG PANTS WOVEN PANT CHINO BSC SLIM WPCHISLIM:DARK GREY:38:SOLID:LONG PANTS</t>
  </si>
  <si>
    <t>LONG PANTS WOVEN PANT CHINO BSC SLIM WPCHISLIM:DARK GREY:40:SOLID:LONG PANTS</t>
  </si>
  <si>
    <t>LONG PANTS WOVEN PANT CHINO BSC SLIM WPCHISLIM:BLACK:30:SOLID:LONG PANTS</t>
  </si>
  <si>
    <t>LONG PANTS WOVEN PANT CHINO BSC SLIM WPCHISLIM:BLACK:32:SOLID:LONG PANTS</t>
  </si>
  <si>
    <t>LONG PANTS WOVEN PANT CHINO BSC SLIM WPCHISLIM:BLACK:34:SOLID:LONG PANTS</t>
  </si>
  <si>
    <t>LONG PANTS WOVEN PANT CHINO BSC SLIM WPCHISLIM:BLACK:36:SOLID:LONG PANTS</t>
  </si>
  <si>
    <t>LONG PANTS WOVEN PANT CHINO BSC SLIM WPCHISLIM:BLACK:38:SOLID:LONG PANTS</t>
  </si>
  <si>
    <t>LONG PANTS WOVEN PANT CHINO BSC SLIM WPCHISLIM:BLACK:40:SOLID:LONG PANTS</t>
  </si>
  <si>
    <t>PWSLCLN</t>
  </si>
  <si>
    <t>CHINOS PANTS WOVEN CLEAN SLIMFIT MKU PWSLCLN:TAUPE GREY:30:SOLID:CHINOS PANTS</t>
  </si>
  <si>
    <t>CHINOS PANTS WOVEN CLEAN SLIMFIT MKU PWSLCLN:TAUPE GREY:32:SOLID:CHINOS PANTS</t>
  </si>
  <si>
    <t>CHINOS PANTS WOVEN CLEAN SLIMFIT MKU PWSLCLN:TAUPE GREY:34:SOLID:CHINOS PANTS</t>
  </si>
  <si>
    <t>CHINOS PANTS WOVEN CLEAN SLIMFIT MKU PWSLCLN:TAUPE GREY:36:SOLID:CHINOS PANTS</t>
  </si>
  <si>
    <t>CHINOS PANTS WOVEN CLEAN SLIMFIT MKU PWSLCLN:TAUPE GREY:38:SOLID:CHINOS PANTS</t>
  </si>
  <si>
    <t>CHINOS PANTS WOVEN CLEAN SLIMFIT MKU PWSLCLN:TAUPE GREY:40:SOLID:CHINOS PANTS</t>
  </si>
  <si>
    <t>SHORT PANTS WOVEN BERMUDA CUT POCKET SWCUTPOC:DARK GREY:30:SOLID:SHORT PANTS</t>
  </si>
  <si>
    <t>SHORT PANTS WOVEN BERMUDA CUT POCKET SWCUTPOC:DARK GREY:32:SOLID:SHORT PANTS</t>
  </si>
  <si>
    <t>SHORT PANTS WOVEN BERMUDA CUT POCKET SWCUTPOC:DARK GREY:34:SOLID:SHORT PANTS</t>
  </si>
  <si>
    <t>SHORT PANTS WOVEN BERMUDA CUT POCKET SWCUTPOC:DARK GREY:36:SOLID:SHORT PANTS</t>
  </si>
  <si>
    <t>SHORT PANTS WOVEN BERMUDA CUT POCKET SWCUTPOC:DARK GREY:38:SOLID:SHORT PANTS</t>
  </si>
  <si>
    <t>SHORT PANTS WOVEN BERMUDA CUT POCKET SWCUTPOC:DARK GREY:40:SOLID:SHORT PANTS</t>
  </si>
  <si>
    <t>SHORT PANTS WOVEN BERMUDA CUT POCKET SWCUTPOC:OLIVE:30:SOLID:SHORT PANTS</t>
  </si>
  <si>
    <t>SHORT PANTS WOVEN BERMUDA CUT POCKET SWCUTPOC:OLIVE:32:SOLID:SHORT PANTS</t>
  </si>
  <si>
    <t>SHORT PANTS WOVEN BERMUDA CUT POCKET SWCUTPOC:OLIVE:34:SOLID:SHORT PANTS</t>
  </si>
  <si>
    <t>SHORT PANTS WOVEN BERMUDA CUT POCKET SWCUTPOC:OLIVE:36:SOLID:SHORT PANTS</t>
  </si>
  <si>
    <t>SHORT PANTS WOVEN BERMUDA CUT POCKET SWCUTPOC:OLIVE:38:SOLID:SHORT PANTS</t>
  </si>
  <si>
    <t>SHORT PANTS WOVEN BERMUDA CUT POCKET SWCUTPOC:OLIVE:40:SOLID:SHORT PANTS</t>
  </si>
  <si>
    <t>SWSERSCK</t>
  </si>
  <si>
    <t>SHORT PANTS WOVEN DRAW STRING SHEER SUCKER SWSERSCK:OLIVE:S:SOLID:SHORT PANTS</t>
  </si>
  <si>
    <t>SHORT PANTS WOVEN DRAW STRING SHEER SUCKER SWSERSCK:OLIVE:M:SOLID:SHORT PANTS</t>
  </si>
  <si>
    <t>SHORT PANTS WOVEN DRAW STRING SHEER SUCKER SWSERSCK:OLIVE:L:SOLID:SHORT PANTS</t>
  </si>
  <si>
    <t>SHORT PANTS WOVEN DRAW STRING SHEER SUCKER SWSERSCK:OLIVE:XL:SOLID:SHORT PANTS</t>
  </si>
  <si>
    <t>SHORT PANTS WOVEN DRAW STRING SHEER SUCKER SWSERSCK:OLIVE:XXL:SOLID:SHORT PANTS</t>
  </si>
  <si>
    <t>SHORT PANTS WOVEN DRAW STRING SHEER SUCKER SWSERSCK:WOOD BROWN:S:SOLID:SHORT PANTS</t>
  </si>
  <si>
    <t>SHORT PANTS WOVEN DRAW STRING SHEER SUCKER SWSERSCK:WOOD BROWN:M:SOLID:SHORT PANTS</t>
  </si>
  <si>
    <t>SHORT PANTS WOVEN DRAW STRING SHEER SUCKER SWSERSCK:WOOD BROWN:L:SOLID:SHORT PANTS</t>
  </si>
  <si>
    <t>SHORT PANTS WOVEN DRAW STRING SHEER SUCKER SWSERSCK:WOOD BROWN:XL:SOLID:SHORT PANTS</t>
  </si>
  <si>
    <t>SHORT PANTS WOVEN DRAW STRING SHEER SUCKER SWSERSCK:CHARCOAL:S:SOLID:SHORT PANTS</t>
  </si>
  <si>
    <t>SHORT PANTS WOVEN DRAW STRING SHEER SUCKER SWSERSCK:CHARCOAL:M:SOLID:SHORT PANTS</t>
  </si>
  <si>
    <t>SHORT PANTS WOVEN DRAW STRING SHEER SUCKER SWSERSCK:CHARCOAL:L:SOLID:SHORT PANTS</t>
  </si>
  <si>
    <t>SHORT PANTS WOVEN DRAW STRING SHEER SUCKER SWSERSCK:CHARCOAL:XL:SOLID:SHORT PANTS</t>
  </si>
  <si>
    <t>SHORT PANTS WOVEN DRAW STRING SHEER SUCKER SWSERSCK:CHARCOAL:XXL:SOLID:SHORT PANTS</t>
  </si>
  <si>
    <t>SHORT PANTS WOVEN DRAW STRING SHEER SUCKER SWSERSCK:KHAKI:S:SOLID:SHORT PANTS</t>
  </si>
  <si>
    <t>SHORT PANTS WOVEN DRAW STRING SHEER SUCKER SWSERSCK:KHAKI:M:SOLID:SHORT PANTS</t>
  </si>
  <si>
    <t>SHORT PANTS WOVEN DRAW STRING SHEER SUCKER SWSERSCK:KHAKI:L:SOLID:SHORT PANTS</t>
  </si>
  <si>
    <t>SHORT PANTS WOVEN DRAW STRING SHEER SUCKER SWSERSCK:KHAKI:XL:SOLID:SHORT PANTS</t>
  </si>
  <si>
    <t>SHORT PANTS WOVEN DRAW STRING SHEER SUCKER SWSERSCK:KHAKI:XXL:SOLID:SHORT PANTS</t>
  </si>
  <si>
    <t>SHORT PANTS WOVEN DRAW STRING SHEER SUCKER SWSERSCK:WOOD BROWN:XXL:SOLID:SHORT PANTS</t>
  </si>
  <si>
    <t>SWBMDCLN</t>
  </si>
  <si>
    <t>SHORT PANTS WOVEN BERMUDA CLEAN SATEEN SWBMDCLN:LIGHT BROWN:30:SOLID:SHORT PANTS</t>
  </si>
  <si>
    <t>SHORT PANTS WOVEN BERMUDA CLEAN SATEEN SWBMDCLN:LIGHT BROWN:32:SOLID:SHORT PANTS</t>
  </si>
  <si>
    <t>SHORT PANTS WOVEN BERMUDA CLEAN SATEEN SWBMDCLN:LIGHT BROWN:34:SOLID:SHORT PANTS</t>
  </si>
  <si>
    <t>SHORT PANTS WOVEN BERMUDA CLEAN SATEEN SWBMDCLN:LIGHT BROWN:36:SOLID:SHORT PANTS</t>
  </si>
  <si>
    <t>SHORT PANTS WOVEN BERMUDA CLEAN SATEEN SWBMDCLN:LIGHT BROWN:38:SOLID:SHORT PANTS</t>
  </si>
  <si>
    <t>SHORT PANTS WOVEN BERMUDA CLEAN SATEEN SWBMDCLN:LIGHT BROWN:40:SOLID:SHORT PANTS</t>
  </si>
  <si>
    <t>SHORT PANTS WOVEN BERMUDA CLEAN SATEEN SWBMDCLN:KHAKI:30:SOLID:SHORT PANTS</t>
  </si>
  <si>
    <t>SHORT PANTS WOVEN BERMUDA CLEAN SATEEN SWBMDCLN:KHAKI:32:SOLID:SHORT PANTS</t>
  </si>
  <si>
    <t>SHORT PANTS WOVEN BERMUDA CLEAN SATEEN SWBMDCLN:KHAKI:34:SOLID:SHORT PANTS</t>
  </si>
  <si>
    <t>SHORT PANTS WOVEN BERMUDA CLEAN SATEEN SWBMDCLN:KHAKI:36:SOLID:SHORT PANTS</t>
  </si>
  <si>
    <t>SHORT PANTS WOVEN BERMUDA CLEAN SATEEN SWBMDCLN:KHAKI:38:SOLID:SHORT PANTS</t>
  </si>
  <si>
    <t>SHORT PANTS WOVEN BERMUDA CLEAN SATEEN SWBMDCLN:KHAKI:40:SOLID:SHORT PANTS</t>
  </si>
  <si>
    <t>SHORT PANTS WOVEN BERMUDA CLEAN SATEEN SWBMDCLN:CHARCOAL:30:SOLID:SHORT PANTS</t>
  </si>
  <si>
    <t>SHORT PANTS WOVEN BERMUDA CLEAN SATEEN SWBMDCLN:CHARCOAL:32:SOLID:SHORT PANTS</t>
  </si>
  <si>
    <t>SHORT PANTS WOVEN BERMUDA CLEAN SATEEN SWBMDCLN:CHARCOAL:34:SOLID:SHORT PANTS</t>
  </si>
  <si>
    <t>SHORT PANTS WOVEN BERMUDA CLEAN SATEEN SWBMDCLN:CHARCOAL:36:SOLID:SHORT PANTS</t>
  </si>
  <si>
    <t>SHORT PANTS WOVEN BERMUDA CLEAN SATEEN SWBMDCLN:CHARCOAL:38:SOLID:SHORT PANTS</t>
  </si>
  <si>
    <t>SHORT PANTS WOVEN BERMUDA CLEAN SATEEN SWBMDCLN:CHARCOAL:40:SOLID:SHORT PANTS</t>
  </si>
  <si>
    <t>SHORT PANTS WOVEN BERMUDA CLEAN SATEEN SWBMDCLN:BLACK:30:SOLID:SHORT PANTS</t>
  </si>
  <si>
    <t>SHORT PANTS WOVEN BERMUDA CLEAN SATEEN SWBMDCLN:BLACK:32:SOLID:SHORT PANTS</t>
  </si>
  <si>
    <t>SHORT PANTS WOVEN BERMUDA CLEAN SATEEN SWBMDCLN:BLACK:34:SOLID:SHORT PANTS</t>
  </si>
  <si>
    <t>SHORT PANTS WOVEN BERMUDA CLEAN SATEEN SWBMDCLN:BLACK:36:SOLID:SHORT PANTS</t>
  </si>
  <si>
    <t>SHORT PANTS WOVEN BERMUDA CLEAN SATEEN SWBMDCLN:BLACK:38:SOLID:SHORT PANTS</t>
  </si>
  <si>
    <t>SHORT PANTS WOVEN BERMUDA CLEAN SATEEN SWBMDCLN:BLACK:40:SOLID:SHORT PANTS</t>
  </si>
  <si>
    <t>DENIM LONG PANTS BASIC NON WHISKER REGULAR PDBCREG:LIGHT DENIM:30:SOLID:DENIM LONG PANTS</t>
  </si>
  <si>
    <t>DENIM LONG PANTS BASIC NON WHISKER REGULAR PDBCREG:LIGHT DENIM:32:SOLID:DENIM LONG PANTS</t>
  </si>
  <si>
    <t>DENIM LONG PANTS BASIC NON WHISKER REGULAR PDBCREG:LIGHT DENIM:34:SOLID:DENIM LONG PANTS</t>
  </si>
  <si>
    <t>DENIM LONG PANTS BASIC NON WHISKER REGULAR PDBCREG:LIGHT DENIM:36:SOLID:DENIM LONG PANTS</t>
  </si>
  <si>
    <t>DENIM LONG PANTS BASIC NON WHISKER REGULAR PDBCREG:LIGHT DENIM:38:SOLID:DENIM LONG PANTS</t>
  </si>
  <si>
    <t>DENIM LONG PANTS BASIC NON WHISKER REGULAR PDBCREG:LIGHT DENIM:40:SOLID:DENIM LONG PANTS</t>
  </si>
  <si>
    <t>DENIM LONG PANTS BASIC NON WHISKER REGULAR PDBCREG:DARK DENIM:30:SOLID:DENIM LONG PANTS</t>
  </si>
  <si>
    <t>DENIM LONG PANTS BASIC NON WHISKER REGULAR PDBCREG:DARK DENIM:32:SOLID:DENIM LONG PANTS</t>
  </si>
  <si>
    <t>DENIM LONG PANTS BASIC NON WHISKER REGULAR PDBCREG:DARK DENIM:34:SOLID:DENIM LONG PANTS</t>
  </si>
  <si>
    <t>DENIM LONG PANTS BASIC NON WHISKER REGULAR PDBCREG:DARK DENIM:36:SOLID:DENIM LONG PANTS</t>
  </si>
  <si>
    <t>DENIM LONG PANTS BASIC NON WHISKER REGULAR PDBCREG:DARK DENIM:38:SOLID:DENIM LONG PANTS</t>
  </si>
  <si>
    <t>DENIM LONG PANTS BASIC NON WHISKER REGULAR PDBCREG:DARK DENIM:40:SOLID:DENIM LONG PANTS</t>
  </si>
  <si>
    <t>25Q4 WVN PANTS D30</t>
  </si>
  <si>
    <t>25Q4 Woven Short D30</t>
  </si>
  <si>
    <t>2025 Q4 DENIM D30</t>
  </si>
  <si>
    <t>PDMILSL</t>
  </si>
  <si>
    <t>DENIM LONG PANTS SLIM MILEA WHISKER SPRAY PDMILSL:DARK DENIM:30:SOLID:DENIM LONG PANTS</t>
  </si>
  <si>
    <t>DENIM LONG PANTS SLIM MILEA WHISKER SPRAY PDMILSL:DARK DENIM:32:SOLID:DENIM LONG PANTS</t>
  </si>
  <si>
    <t>DENIM LONG PANTS SLIM MILEA WHISKER SPRAY PDMILSL:DARK DENIM:34:SOLID:DENIM LONG PANTS</t>
  </si>
  <si>
    <t>DENIM LONG PANTS SLIM MILEA WHISKER SPRAY PDMILSL:DARK DENIM:36:SOLID:DENIM LONG PANTS</t>
  </si>
  <si>
    <t>DENIM LONG PANTS SLIM MILEA WHISKER SPRAY PDMILSL:DARK DENIM:38:SOLID:DENIM LONG PANTS</t>
  </si>
  <si>
    <t>DENIM LONG PANTS SLIM MILEA WHISKER SPRAY PDMILSL:DARK DENIM:40:SOLID:DENIM LONG PANTS</t>
  </si>
  <si>
    <t>PDMSRLX</t>
  </si>
  <si>
    <t>DENIM LONG PANTS GN3074 DETROIT RELAXED FIT PDMSRLX:LIGHT GREY:30:SOLID:DENIM LONG PANTS</t>
  </si>
  <si>
    <t>DENIM LONG PANTS GN3074 DETROIT RELAXED FIT PDMSRLX:LIGHT GREY:32:SOLID:DENIM LONG PANTS</t>
  </si>
  <si>
    <t>DENIM LONG PANTS GN3074 DETROIT RELAXED FIT PDMSRLX:LIGHT GREY:34:SOLID:DENIM LONG PANTS</t>
  </si>
  <si>
    <t>DENIM LONG PANTS GN3074 DETROIT RELAXED FIT PDMSRLX:LIGHT GREY:36:SOLID:DENIM LONG PANTS</t>
  </si>
  <si>
    <t>DENIM LONG PANTS GN3074 DETROIT RELAXED FIT PDMSRLX:LIGHT GREY:38:SOLID:DENIM LONG PANTS</t>
  </si>
  <si>
    <t>DENIM LONG PANTS GN3074 DETROIT RELAXED FIT PDMSRLX:LIGHT GREY:40:SOLID:DENIM LONG PANTS</t>
  </si>
  <si>
    <t>PDMSTPR</t>
  </si>
  <si>
    <t>DENIM LONG PANTS HOLLY DENVER TAPERED FIT PDMSTPR:PASTEL GREY:30:SOLID:DENIM LONG PANTS</t>
  </si>
  <si>
    <t>DENIM LONG PANTS HOLLY DENVER TAPERED FIT PDMSTPR:PASTEL GREY:32:SOLID:DENIM LONG PANTS</t>
  </si>
  <si>
    <t>DENIM LONG PANTS HOLLY DENVER TAPERED FIT PDMSTPR:PASTEL GREY:34:SOLID:DENIM LONG PANTS</t>
  </si>
  <si>
    <t>DENIM LONG PANTS HOLLY DENVER TAPERED FIT PDMSTPR:PASTEL GREY:36:SOLID:DENIM LONG PANTS</t>
  </si>
  <si>
    <t>DENIM LONG PANTS HOLLY DENVER TAPERED FIT PDMSTPR:PASTEL GREY:38:SOLID:DENIM LONG PANTS</t>
  </si>
  <si>
    <t>DENIM LONG PANTS HOLLY DENVER TAPERED FIT PDMSTPR:PASTEL GREY:40:SOLID:DENIM LONG PANTS</t>
  </si>
  <si>
    <t>DENIM LONG PANTS GN3074 DETROIT RELAXED FIT PDMSRLX:LIGHT DENIM:30:SOLID:DENIM LONG PANTS</t>
  </si>
  <si>
    <t>DENIM LONG PANTS GN3074 DETROIT RELAXED FIT PDMSRLX:LIGHT DENIM:32:SOLID:DENIM LONG PANTS</t>
  </si>
  <si>
    <t>DENIM LONG PANTS GN3074 DETROIT RELAXED FIT PDMSRLX:LIGHT DENIM:34:SOLID:DENIM LONG PANTS</t>
  </si>
  <si>
    <t>DENIM LONG PANTS GN3074 DETROIT RELAXED FIT PDMSRLX:LIGHT DENIM:36:SOLID:DENIM LONG PANTS</t>
  </si>
  <si>
    <t>DENIM LONG PANTS GN3074 DETROIT RELAXED FIT PDMSRLX:LIGHT DENIM:38:SOLID:DENIM LONG PANTS</t>
  </si>
  <si>
    <t>DENIM LONG PANTS GN3074 DETROIT RELAXED FIT PDMSRLX:LIGHT DENIM:40:SOLID:DENIM 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</si>
</sst>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_);[Red]\!\(#,##0\!\)"/>
    <numFmt numFmtId="166" formatCode="_(* #,##0_);_(* \(#,##0\);_(* &quot;-&quot;??_);_(@_)"/>
  </numFmts>
  <fonts count="8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9" fontId="5" fillId="0" borderId="0">
      <protection locked="0"/>
    </xf>
    <xf numFmtId="43" fontId="5" fillId="0" borderId="0">
      <protection locked="0"/>
    </xf>
    <xf numFmtId="0" fontId="4" fillId="0" borderId="0">
      <protection locked="0"/>
    </xf>
    <xf numFmtId="43" fontId="4" fillId="0" borderId="0">
      <protection locked="0"/>
    </xf>
    <xf numFmtId="9" fontId="4" fillId="0" borderId="0">
      <protection locked="0"/>
    </xf>
    <xf numFmtId="43" fontId="1" fillId="0" borderId="0">
      <protection locked="0"/>
    </xf>
    <xf numFmtId="9" fontId="1" fillId="0" borderId="0">
      <protection locked="0"/>
    </xf>
    <xf numFmtId="0" fontId="3" fillId="0" borderId="0">
      <alignment vertical="center"/>
    </xf>
    <xf numFmtId="0" fontId="1" fillId="0" borderId="0">
      <protection locked="0"/>
    </xf>
    <xf numFmtId="43" fontId="1" fillId="0" borderId="0">
      <protection locked="0"/>
    </xf>
    <xf numFmtId="9" fontId="1" fillId="0" borderId="0">
      <protection locked="0"/>
    </xf>
  </cellStyleXfs>
  <cellXfs count="8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Alignment="1"/>
    <xf numFmtId="0" fontId="1" fillId="0" borderId="1" xfId="0" applyFont="1" applyBorder="1" applyAlignment="1"/>
    <xf numFmtId="165" fontId="1" fillId="0" borderId="1" xfId="0" applyNumberFormat="1" applyFont="1" applyBorder="1" applyAlignment="1">
      <alignment horizontal="right"/>
    </xf>
    <xf numFmtId="166" fontId="1" fillId="0" borderId="0" xfId="2" applyNumberFormat="1" applyFont="1" applyAlignment="1" applyProtection="1"/>
    <xf numFmtId="166" fontId="1" fillId="0" borderId="1" xfId="2" applyNumberFormat="1" applyFont="1" applyBorder="1" applyAlignment="1" applyProtection="1"/>
    <xf numFmtId="0" fontId="1" fillId="0" borderId="1" xfId="0" applyFont="1" applyFill="1" applyBorder="1" applyAlignment="1">
      <alignment horizontal="left" vertical="center"/>
    </xf>
    <xf numFmtId="166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left"/>
    </xf>
    <xf numFmtId="166" fontId="2" fillId="2" borderId="1" xfId="6" applyNumberFormat="1" applyFont="1" applyFill="1" applyBorder="1" applyAlignment="1" applyProtection="1">
      <alignment horizontal="center" vertical="center"/>
    </xf>
    <xf numFmtId="3" fontId="2" fillId="2" borderId="1" xfId="7" applyNumberFormat="1" applyFont="1" applyFill="1" applyBorder="1" applyAlignment="1" applyProtection="1">
      <alignment horizontal="center" vertical="center"/>
    </xf>
    <xf numFmtId="166" fontId="1" fillId="0" borderId="1" xfId="6" applyNumberFormat="1" applyBorder="1" applyProtection="1"/>
    <xf numFmtId="166" fontId="1" fillId="0" borderId="0" xfId="6" applyNumberFormat="1" applyProtection="1"/>
    <xf numFmtId="0" fontId="2" fillId="2" borderId="1" xfId="8" applyFont="1" applyFill="1" applyBorder="1" applyAlignment="1">
      <alignment horizontal="center" vertical="center"/>
    </xf>
    <xf numFmtId="164" fontId="2" fillId="2" borderId="1" xfId="8" applyNumberFormat="1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3" fontId="2" fillId="2" borderId="1" xfId="8" applyNumberFormat="1" applyFont="1" applyFill="1" applyBorder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3" fillId="0" borderId="1" xfId="8" applyBorder="1" applyAlignment="1">
      <alignment horizontal="left"/>
    </xf>
    <xf numFmtId="164" fontId="1" fillId="0" borderId="1" xfId="8" applyNumberFormat="1" applyFont="1" applyBorder="1" applyAlignment="1">
      <alignment horizontal="center" vertical="center"/>
    </xf>
    <xf numFmtId="0" fontId="1" fillId="0" borderId="1" xfId="8" applyFont="1" applyBorder="1" applyAlignment="1">
      <alignment horizontal="left" vertical="center"/>
    </xf>
    <xf numFmtId="0" fontId="1" fillId="0" borderId="1" xfId="8" applyFont="1" applyBorder="1" applyAlignment="1"/>
    <xf numFmtId="0" fontId="1" fillId="0" borderId="1" xfId="8" applyFont="1" applyBorder="1" applyAlignment="1">
      <alignment horizontal="left"/>
    </xf>
    <xf numFmtId="0" fontId="1" fillId="0" borderId="0" xfId="8" applyFont="1" applyAlignment="1"/>
    <xf numFmtId="0" fontId="1" fillId="0" borderId="1" xfId="8" applyFont="1" applyBorder="1" applyAlignment="1">
      <alignment horizontal="center" vertical="center"/>
    </xf>
    <xf numFmtId="0" fontId="3" fillId="0" borderId="1" xfId="8" applyBorder="1" applyAlignment="1"/>
    <xf numFmtId="166" fontId="1" fillId="0" borderId="1" xfId="8" applyNumberFormat="1" applyFont="1" applyBorder="1" applyAlignment="1">
      <alignment horizontal="left"/>
    </xf>
    <xf numFmtId="0" fontId="1" fillId="0" borderId="0" xfId="8" applyFont="1" applyAlignment="1">
      <alignment horizontal="left"/>
    </xf>
    <xf numFmtId="165" fontId="1" fillId="0" borderId="1" xfId="8" applyNumberFormat="1" applyFont="1" applyBorder="1" applyAlignment="1"/>
    <xf numFmtId="165" fontId="1" fillId="0" borderId="1" xfId="8" applyNumberFormat="1" applyFont="1" applyBorder="1" applyAlignment="1">
      <alignment horizontal="right"/>
    </xf>
    <xf numFmtId="0" fontId="2" fillId="2" borderId="1" xfId="9" applyFont="1" applyFill="1" applyBorder="1" applyAlignment="1" applyProtection="1">
      <alignment horizontal="center" vertical="center"/>
    </xf>
    <xf numFmtId="164" fontId="2" fillId="2" borderId="1" xfId="9" applyNumberFormat="1" applyFont="1" applyFill="1" applyBorder="1" applyAlignment="1" applyProtection="1">
      <alignment horizontal="center" vertical="center"/>
    </xf>
    <xf numFmtId="0" fontId="2" fillId="0" borderId="1" xfId="9" applyFont="1" applyBorder="1" applyAlignment="1" applyProtection="1">
      <alignment horizontal="center" vertical="center"/>
    </xf>
    <xf numFmtId="166" fontId="2" fillId="2" borderId="1" xfId="10" applyNumberFormat="1" applyFont="1" applyFill="1" applyBorder="1" applyAlignment="1" applyProtection="1">
      <alignment horizontal="center" vertical="center"/>
    </xf>
    <xf numFmtId="3" fontId="2" fillId="2" borderId="1" xfId="11" applyNumberFormat="1" applyFont="1" applyFill="1" applyBorder="1" applyAlignment="1" applyProtection="1">
      <alignment horizontal="center" vertical="center"/>
    </xf>
    <xf numFmtId="3" fontId="2" fillId="2" borderId="1" xfId="9" applyNumberFormat="1" applyFont="1" applyFill="1" applyBorder="1" applyAlignment="1" applyProtection="1">
      <alignment horizontal="center" vertical="center"/>
    </xf>
    <xf numFmtId="0" fontId="1" fillId="0" borderId="0" xfId="9" applyAlignment="1" applyProtection="1">
      <alignment horizontal="center" vertical="center"/>
    </xf>
    <xf numFmtId="0" fontId="3" fillId="0" borderId="1" xfId="9" applyFont="1" applyBorder="1" applyAlignment="1" applyProtection="1">
      <alignment horizontal="left"/>
    </xf>
    <xf numFmtId="0" fontId="1" fillId="0" borderId="1" xfId="9" applyBorder="1" applyAlignment="1" applyProtection="1">
      <alignment horizontal="left" vertical="center"/>
    </xf>
    <xf numFmtId="0" fontId="1" fillId="0" borderId="1" xfId="9" applyBorder="1" applyAlignment="1" applyProtection="1">
      <alignment horizontal="center" vertical="center"/>
    </xf>
    <xf numFmtId="0" fontId="1" fillId="0" borderId="1" xfId="9" applyBorder="1" applyProtection="1"/>
    <xf numFmtId="0" fontId="1" fillId="0" borderId="1" xfId="9" applyBorder="1" applyAlignment="1" applyProtection="1">
      <alignment horizontal="left"/>
    </xf>
    <xf numFmtId="0" fontId="1" fillId="0" borderId="0" xfId="9" applyProtection="1"/>
    <xf numFmtId="166" fontId="0" fillId="0" borderId="1" xfId="10" applyNumberFormat="1" applyFont="1" applyBorder="1" applyProtection="1"/>
    <xf numFmtId="166" fontId="3" fillId="0" borderId="0" xfId="10" applyNumberFormat="1" applyFont="1" applyProtection="1"/>
    <xf numFmtId="166" fontId="1" fillId="0" borderId="1" xfId="10" applyNumberFormat="1" applyBorder="1" applyAlignment="1" applyProtection="1">
      <alignment horizontal="left"/>
    </xf>
    <xf numFmtId="0" fontId="1" fillId="0" borderId="1" xfId="8" applyFont="1" applyBorder="1" applyAlignment="1">
      <alignment horizontal="center"/>
    </xf>
    <xf numFmtId="166" fontId="1" fillId="0" borderId="0" xfId="10" applyNumberFormat="1" applyProtection="1"/>
    <xf numFmtId="49" fontId="2" fillId="2" borderId="1" xfId="0" applyNumberFormat="1" applyFont="1" applyFill="1" applyBorder="1" applyAlignment="1">
      <alignment horizontal="center" vertical="center"/>
    </xf>
    <xf numFmtId="166" fontId="1" fillId="0" borderId="1" xfId="10" applyNumberFormat="1" applyBorder="1" applyAlignment="1" applyProtection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/>
    <xf numFmtId="166" fontId="1" fillId="0" borderId="1" xfId="10" applyNumberFormat="1" applyBorder="1" applyProtection="1"/>
    <xf numFmtId="166" fontId="1" fillId="0" borderId="1" xfId="6" applyNumberFormat="1" applyBorder="1" applyAlignment="1" applyProtection="1">
      <alignment horizontal="left" vertical="center"/>
    </xf>
    <xf numFmtId="0" fontId="3" fillId="0" borderId="1" xfId="0" applyFont="1" applyBorder="1" applyAlignment="1">
      <alignment horizontal="left"/>
    </xf>
    <xf numFmtId="166" fontId="1" fillId="0" borderId="1" xfId="6" applyNumberFormat="1" applyBorder="1" applyAlignment="1" applyProtection="1">
      <alignment horizontal="left"/>
    </xf>
    <xf numFmtId="0" fontId="1" fillId="0" borderId="0" xfId="0" applyFont="1" applyAlignment="1">
      <alignment horizontal="left"/>
    </xf>
    <xf numFmtId="166" fontId="3" fillId="0" borderId="1" xfId="10" applyNumberFormat="1" applyFont="1" applyBorder="1" applyProtection="1"/>
  </cellXfs>
  <cellStyles count="12">
    <cellStyle name="Comma" xfId="2" builtinId="3"/>
    <cellStyle name="Comma 2" xfId="4" xr:uid="{00000000-0005-0000-0000-000004000000}"/>
    <cellStyle name="Comma 2 2" xfId="10" xr:uid="{66014D48-4A92-4B4E-B55A-AC53983A81AA}"/>
    <cellStyle name="Comma 3" xfId="6" xr:uid="{71CE8083-3B5F-452B-84A0-13659D875704}"/>
    <cellStyle name="Normal" xfId="0" builtinId="0"/>
    <cellStyle name="Normal 2" xfId="3" xr:uid="{00000000-0005-0000-0000-000003000000}"/>
    <cellStyle name="Normal 2 2" xfId="9" xr:uid="{207CB6BC-A711-44FF-A757-410AE3DA9EEC}"/>
    <cellStyle name="Normal 3" xfId="8" xr:uid="{C20E0888-1AED-47C1-B1BE-3F5E56B26474}"/>
    <cellStyle name="Percent" xfId="1" builtinId="5"/>
    <cellStyle name="Percent 2" xfId="5" xr:uid="{00000000-0005-0000-0000-000005000000}"/>
    <cellStyle name="Percent 2 2" xfId="11" xr:uid="{54F99F95-2CF5-43D6-B339-72D81E43DC51}"/>
    <cellStyle name="Percent 3" xfId="7" xr:uid="{B8882D5E-A319-4FEE-ABB8-596E63FF2273}"/>
  </cellStyles>
  <dxfs count="9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9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DC60-12C8-4855-A004-9BE8B66EE365}">
  <sheetPr>
    <tabColor rgb="FFFFFF00"/>
  </sheetPr>
  <dimension ref="A1:P7"/>
  <sheetViews>
    <sheetView zoomScale="51" workbookViewId="0">
      <selection activeCell="L20" sqref="L20"/>
    </sheetView>
  </sheetViews>
  <sheetFormatPr defaultColWidth="21.54296875" defaultRowHeight="14.5" x14ac:dyDescent="0.35"/>
  <cols>
    <col min="1" max="1" width="37.90625" style="45" bestFit="1" customWidth="1"/>
    <col min="2" max="2" width="15.81640625" style="45" bestFit="1" customWidth="1"/>
    <col min="3" max="3" width="12.269531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customWidth="1"/>
    <col min="10" max="10" width="9.81640625" style="45" bestFit="1" customWidth="1"/>
    <col min="11" max="11" width="14.81640625" style="45" customWidth="1"/>
    <col min="12" max="12" width="98.26953125" style="45" bestFit="1" customWidth="1"/>
    <col min="13" max="13" width="14.81640625" style="34" bestFit="1" customWidth="1"/>
    <col min="14" max="14" width="7.26953125" style="45" bestFit="1" customWidth="1"/>
    <col min="15" max="15" width="14" style="45" bestFit="1" customWidth="1"/>
    <col min="16" max="16" width="21.54296875" style="45" customWidth="1"/>
    <col min="17" max="16384" width="21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40" t="s">
        <v>130</v>
      </c>
      <c r="B2" s="41">
        <v>46108</v>
      </c>
      <c r="C2" s="41">
        <v>46113</v>
      </c>
      <c r="D2" s="46">
        <v>3259</v>
      </c>
      <c r="E2" s="46">
        <v>333</v>
      </c>
      <c r="F2" s="46">
        <v>3</v>
      </c>
      <c r="G2" s="46"/>
      <c r="H2" s="43"/>
      <c r="I2" s="46" t="s">
        <v>17</v>
      </c>
      <c r="J2" s="43">
        <v>53687448</v>
      </c>
      <c r="K2" s="43" t="s">
        <v>46</v>
      </c>
      <c r="L2" s="43" t="s">
        <v>124</v>
      </c>
      <c r="M2" s="50">
        <v>149900</v>
      </c>
      <c r="N2" s="11">
        <v>0.5</v>
      </c>
      <c r="O2" s="10">
        <f t="shared" ref="O2" si="0">M2-(M2*N2)</f>
        <v>74950</v>
      </c>
      <c r="P2" s="7" t="s">
        <v>16</v>
      </c>
    </row>
    <row r="3" spans="1:16" x14ac:dyDescent="0.35">
      <c r="A3" s="40" t="s">
        <v>130</v>
      </c>
      <c r="B3" s="41">
        <f t="shared" ref="B3:C7" si="1">B2</f>
        <v>46108</v>
      </c>
      <c r="C3" s="41">
        <f t="shared" si="1"/>
        <v>46113</v>
      </c>
      <c r="D3" s="46">
        <v>3259</v>
      </c>
      <c r="E3" s="46">
        <v>333</v>
      </c>
      <c r="F3" s="46">
        <v>3</v>
      </c>
      <c r="G3" s="46"/>
      <c r="H3" s="43"/>
      <c r="I3" s="46" t="s">
        <v>17</v>
      </c>
      <c r="J3" s="43">
        <v>53687457</v>
      </c>
      <c r="K3" s="43" t="s">
        <v>46</v>
      </c>
      <c r="L3" s="43" t="s">
        <v>125</v>
      </c>
      <c r="M3" s="50">
        <v>149900</v>
      </c>
      <c r="N3" s="11">
        <v>0.5</v>
      </c>
      <c r="O3" s="10">
        <f t="shared" ref="O3:O7" si="2">M3-(M3*N3)</f>
        <v>74950</v>
      </c>
      <c r="P3" s="7" t="s">
        <v>16</v>
      </c>
    </row>
    <row r="4" spans="1:16" x14ac:dyDescent="0.35">
      <c r="A4" s="40" t="s">
        <v>130</v>
      </c>
      <c r="B4" s="41">
        <f t="shared" si="1"/>
        <v>46108</v>
      </c>
      <c r="C4" s="41">
        <f t="shared" si="1"/>
        <v>46113</v>
      </c>
      <c r="D4" s="46">
        <v>3259</v>
      </c>
      <c r="E4" s="46">
        <v>333</v>
      </c>
      <c r="F4" s="46">
        <v>3</v>
      </c>
      <c r="G4" s="46"/>
      <c r="H4" s="43"/>
      <c r="I4" s="46" t="s">
        <v>17</v>
      </c>
      <c r="J4" s="43">
        <v>53687466</v>
      </c>
      <c r="K4" s="43" t="s">
        <v>46</v>
      </c>
      <c r="L4" s="43" t="s">
        <v>126</v>
      </c>
      <c r="M4" s="50">
        <v>149900</v>
      </c>
      <c r="N4" s="11">
        <v>0.5</v>
      </c>
      <c r="O4" s="10">
        <f t="shared" si="2"/>
        <v>74950</v>
      </c>
      <c r="P4" s="7" t="s">
        <v>16</v>
      </c>
    </row>
    <row r="5" spans="1:16" x14ac:dyDescent="0.35">
      <c r="A5" s="40" t="s">
        <v>130</v>
      </c>
      <c r="B5" s="41">
        <f t="shared" si="1"/>
        <v>46108</v>
      </c>
      <c r="C5" s="41">
        <f t="shared" si="1"/>
        <v>46113</v>
      </c>
      <c r="D5" s="46">
        <v>3259</v>
      </c>
      <c r="E5" s="46">
        <v>333</v>
      </c>
      <c r="F5" s="46">
        <v>3</v>
      </c>
      <c r="G5" s="46"/>
      <c r="H5" s="43"/>
      <c r="I5" s="46" t="s">
        <v>17</v>
      </c>
      <c r="J5" s="43">
        <v>53687475</v>
      </c>
      <c r="K5" s="43" t="s">
        <v>46</v>
      </c>
      <c r="L5" s="43" t="s">
        <v>127</v>
      </c>
      <c r="M5" s="50">
        <v>149900</v>
      </c>
      <c r="N5" s="11">
        <v>0.5</v>
      </c>
      <c r="O5" s="10">
        <f t="shared" si="2"/>
        <v>74950</v>
      </c>
      <c r="P5" s="7" t="s">
        <v>16</v>
      </c>
    </row>
    <row r="6" spans="1:16" s="39" customFormat="1" x14ac:dyDescent="0.35">
      <c r="A6" s="40" t="s">
        <v>130</v>
      </c>
      <c r="B6" s="41">
        <f t="shared" si="1"/>
        <v>46108</v>
      </c>
      <c r="C6" s="41">
        <f t="shared" si="1"/>
        <v>46113</v>
      </c>
      <c r="D6" s="46">
        <v>3259</v>
      </c>
      <c r="E6" s="46">
        <v>333</v>
      </c>
      <c r="F6" s="46">
        <v>3</v>
      </c>
      <c r="G6" s="46"/>
      <c r="H6" s="46"/>
      <c r="I6" s="46" t="s">
        <v>17</v>
      </c>
      <c r="J6" s="46">
        <v>19551603</v>
      </c>
      <c r="K6" s="42" t="s">
        <v>37</v>
      </c>
      <c r="L6" s="42" t="s">
        <v>128</v>
      </c>
      <c r="M6" s="51">
        <v>149900</v>
      </c>
      <c r="N6" s="11">
        <v>0.5</v>
      </c>
      <c r="O6" s="10">
        <f t="shared" si="2"/>
        <v>74950</v>
      </c>
      <c r="P6" s="7" t="s">
        <v>16</v>
      </c>
    </row>
    <row r="7" spans="1:16" s="39" customFormat="1" x14ac:dyDescent="0.35">
      <c r="A7" s="40" t="s">
        <v>130</v>
      </c>
      <c r="B7" s="41">
        <f t="shared" si="1"/>
        <v>46108</v>
      </c>
      <c r="C7" s="41">
        <f t="shared" si="1"/>
        <v>46113</v>
      </c>
      <c r="D7" s="46">
        <v>3259</v>
      </c>
      <c r="E7" s="46">
        <v>333</v>
      </c>
      <c r="F7" s="46">
        <v>3</v>
      </c>
      <c r="G7" s="46"/>
      <c r="H7" s="46"/>
      <c r="I7" s="46" t="s">
        <v>17</v>
      </c>
      <c r="J7" s="46">
        <v>19551596</v>
      </c>
      <c r="K7" s="42" t="s">
        <v>37</v>
      </c>
      <c r="L7" s="42" t="s">
        <v>129</v>
      </c>
      <c r="M7" s="51">
        <v>149900</v>
      </c>
      <c r="N7" s="11">
        <v>0.5</v>
      </c>
      <c r="O7" s="10">
        <f t="shared" si="2"/>
        <v>74950</v>
      </c>
      <c r="P7" s="7" t="s">
        <v>16</v>
      </c>
    </row>
  </sheetData>
  <autoFilter ref="A1:P1" xr:uid="{00000000-0009-0000-0000-00000F000000}"/>
  <conditionalFormatting sqref="J1">
    <cfRule type="duplicateValues" dxfId="978" priority="36"/>
    <cfRule type="duplicateValues" dxfId="977" priority="37"/>
    <cfRule type="duplicateValues" dxfId="976" priority="38"/>
    <cfRule type="duplicateValues" dxfId="975" priority="39"/>
    <cfRule type="duplicateValues" dxfId="974" priority="40"/>
    <cfRule type="duplicateValues" dxfId="973" priority="41"/>
    <cfRule type="duplicateValues" dxfId="972" priority="42"/>
    <cfRule type="duplicateValues" dxfId="971" priority="43"/>
    <cfRule type="duplicateValues" dxfId="970" priority="44"/>
    <cfRule type="duplicateValues" dxfId="969" priority="45"/>
  </conditionalFormatting>
  <conditionalFormatting sqref="J1:J5">
    <cfRule type="duplicateValues" dxfId="968" priority="46"/>
    <cfRule type="duplicateValues" dxfId="967" priority="47"/>
    <cfRule type="duplicateValues" dxfId="966" priority="48"/>
    <cfRule type="duplicateValues" dxfId="965" priority="49"/>
    <cfRule type="duplicateValues" dxfId="964" priority="50"/>
    <cfRule type="duplicateValues" dxfId="963" priority="51"/>
  </conditionalFormatting>
  <conditionalFormatting sqref="J1:J7">
    <cfRule type="duplicateValues" dxfId="962" priority="7269"/>
    <cfRule type="duplicateValues" dxfId="961" priority="7270"/>
  </conditionalFormatting>
  <conditionalFormatting sqref="J6:J7">
    <cfRule type="duplicateValues" dxfId="960" priority="3"/>
    <cfRule type="duplicateValues" dxfId="959" priority="4"/>
    <cfRule type="duplicateValues" dxfId="958" priority="5"/>
    <cfRule type="duplicateValues" dxfId="957" priority="6"/>
    <cfRule type="duplicateValues" dxfId="956" priority="7"/>
    <cfRule type="duplicateValues" dxfId="955" priority="8"/>
    <cfRule type="duplicateValues" dxfId="954" priority="9"/>
    <cfRule type="duplicateValues" dxfId="953" priority="10"/>
    <cfRule type="duplicateValues" dxfId="952" priority="11"/>
    <cfRule type="duplicateValues" dxfId="951" priority="12"/>
    <cfRule type="duplicateValues" dxfId="950" priority="13"/>
    <cfRule type="duplicateValues" dxfId="949" priority="14"/>
    <cfRule type="duplicateValues" dxfId="948" priority="15"/>
    <cfRule type="duplicateValues" dxfId="947" priority="16"/>
    <cfRule type="duplicateValues" dxfId="946" priority="17"/>
    <cfRule type="duplicateValues" dxfId="945" priority="18"/>
    <cfRule type="duplicateValues" dxfId="944" priority="19"/>
    <cfRule type="duplicateValues" dxfId="943" priority="20"/>
    <cfRule type="duplicateValues" dxfId="942" priority="21"/>
    <cfRule type="duplicateValues" dxfId="941" priority="22"/>
    <cfRule type="duplicateValues" dxfId="940" priority="23"/>
    <cfRule type="duplicateValues" dxfId="939" priority="24"/>
    <cfRule type="duplicateValues" dxfId="938" priority="25"/>
    <cfRule type="duplicateValues" dxfId="937" priority="26"/>
    <cfRule type="duplicateValues" dxfId="936" priority="27"/>
    <cfRule type="duplicateValues" dxfId="935" priority="28"/>
    <cfRule type="duplicateValues" dxfId="934" priority="29"/>
    <cfRule type="duplicateValues" dxfId="933" priority="30"/>
    <cfRule type="duplicateValues" dxfId="932" priority="31"/>
    <cfRule type="duplicateValues" dxfId="931" priority="32"/>
    <cfRule type="duplicateValues" dxfId="930" priority="33"/>
    <cfRule type="duplicateValues" dxfId="929" priority="34"/>
    <cfRule type="duplicateValues" dxfId="928" priority="3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17E0-060A-472B-A580-644851B07367}">
  <sheetPr>
    <tabColor rgb="FFFFFF00"/>
  </sheetPr>
  <dimension ref="A1:P8"/>
  <sheetViews>
    <sheetView zoomScale="58" workbookViewId="0">
      <selection activeCell="L25" sqref="L25"/>
    </sheetView>
  </sheetViews>
  <sheetFormatPr defaultColWidth="8.7265625" defaultRowHeight="14.5" x14ac:dyDescent="0.35"/>
  <cols>
    <col min="1" max="1" width="22" style="64" bestFit="1" customWidth="1"/>
    <col min="2" max="2" width="17.1796875" style="64" bestFit="1" customWidth="1"/>
    <col min="3" max="3" width="12.81640625" style="64" bestFit="1" customWidth="1"/>
    <col min="4" max="4" width="8.7265625" style="64" bestFit="1" customWidth="1"/>
    <col min="5" max="5" width="7.1796875" style="64" bestFit="1" customWidth="1"/>
    <col min="6" max="6" width="8.453125" style="64" bestFit="1" customWidth="1"/>
    <col min="7" max="7" width="5.7265625" style="64" bestFit="1" customWidth="1"/>
    <col min="8" max="8" width="8.54296875" style="64" bestFit="1" customWidth="1"/>
    <col min="9" max="9" width="11" style="64" bestFit="1" customWidth="1"/>
    <col min="10" max="10" width="14.54296875" style="64" bestFit="1" customWidth="1"/>
    <col min="11" max="11" width="12.54296875" style="64" customWidth="1"/>
    <col min="12" max="12" width="94" style="64" bestFit="1" customWidth="1"/>
    <col min="13" max="13" width="16.1796875" style="66" bestFit="1" customWidth="1"/>
    <col min="14" max="14" width="15.1796875" style="64" bestFit="1" customWidth="1"/>
    <col min="15" max="15" width="14" style="64" bestFit="1" customWidth="1"/>
    <col min="16" max="16" width="22.453125" style="64" bestFit="1" customWidth="1"/>
    <col min="17" max="16384" width="8.7265625" style="64"/>
  </cols>
  <sheetData>
    <row r="1" spans="1:16" s="58" customFormat="1" ht="29.25" customHeight="1" x14ac:dyDescent="0.35">
      <c r="A1" s="52" t="s">
        <v>0</v>
      </c>
      <c r="B1" s="53" t="s">
        <v>15</v>
      </c>
      <c r="C1" s="53" t="s">
        <v>11</v>
      </c>
      <c r="D1" s="52" t="s">
        <v>1</v>
      </c>
      <c r="E1" s="52" t="s">
        <v>2</v>
      </c>
      <c r="F1" s="52" t="s">
        <v>12</v>
      </c>
      <c r="G1" s="54" t="s">
        <v>3</v>
      </c>
      <c r="H1" s="54" t="s">
        <v>4</v>
      </c>
      <c r="I1" s="52" t="s">
        <v>5</v>
      </c>
      <c r="J1" s="52" t="s">
        <v>6</v>
      </c>
      <c r="K1" s="52" t="s">
        <v>7</v>
      </c>
      <c r="L1" s="52" t="s">
        <v>13</v>
      </c>
      <c r="M1" s="55" t="s">
        <v>14</v>
      </c>
      <c r="N1" s="56" t="s">
        <v>8</v>
      </c>
      <c r="O1" s="57" t="s">
        <v>9</v>
      </c>
      <c r="P1" s="52" t="s">
        <v>10</v>
      </c>
    </row>
    <row r="2" spans="1:16" x14ac:dyDescent="0.35">
      <c r="A2" s="59" t="s">
        <v>131</v>
      </c>
      <c r="B2" s="41">
        <v>46108</v>
      </c>
      <c r="C2" s="41">
        <v>46113</v>
      </c>
      <c r="D2" s="60">
        <v>3259</v>
      </c>
      <c r="E2" s="60">
        <v>333</v>
      </c>
      <c r="F2" s="61">
        <v>3</v>
      </c>
      <c r="G2" s="62"/>
      <c r="H2" s="62"/>
      <c r="I2" s="63" t="s">
        <v>17</v>
      </c>
      <c r="J2" s="47">
        <v>15256314</v>
      </c>
      <c r="K2" s="47" t="s">
        <v>18</v>
      </c>
      <c r="L2" s="47" t="s">
        <v>21</v>
      </c>
      <c r="M2" s="65">
        <v>259900</v>
      </c>
      <c r="N2" s="11">
        <v>0.5</v>
      </c>
      <c r="O2" s="10">
        <f t="shared" ref="O2" si="0">M2-(M2*N2)</f>
        <v>129950</v>
      </c>
      <c r="P2" s="7" t="s">
        <v>16</v>
      </c>
    </row>
    <row r="3" spans="1:16" x14ac:dyDescent="0.35">
      <c r="A3" s="59" t="s">
        <v>131</v>
      </c>
      <c r="B3" s="41">
        <f t="shared" ref="B3:C3" si="1">B2</f>
        <v>46108</v>
      </c>
      <c r="C3" s="41">
        <f t="shared" si="1"/>
        <v>46113</v>
      </c>
      <c r="D3" s="60">
        <v>3259</v>
      </c>
      <c r="E3" s="60">
        <v>333</v>
      </c>
      <c r="F3" s="61">
        <v>3</v>
      </c>
      <c r="G3" s="62"/>
      <c r="H3" s="62"/>
      <c r="I3" s="63" t="s">
        <v>17</v>
      </c>
      <c r="J3" s="47">
        <v>15256323</v>
      </c>
      <c r="K3" s="47" t="s">
        <v>18</v>
      </c>
      <c r="L3" s="47" t="s">
        <v>22</v>
      </c>
      <c r="M3" s="65">
        <v>259900</v>
      </c>
      <c r="N3" s="11">
        <v>0.5</v>
      </c>
      <c r="O3" s="10">
        <f t="shared" ref="O3:O7" si="2">M3-(M3*N3)</f>
        <v>129950</v>
      </c>
      <c r="P3" s="7" t="s">
        <v>16</v>
      </c>
    </row>
    <row r="4" spans="1:16" x14ac:dyDescent="0.35">
      <c r="A4" s="59" t="s">
        <v>131</v>
      </c>
      <c r="B4" s="41">
        <f t="shared" ref="B4:C4" si="3">B3</f>
        <v>46108</v>
      </c>
      <c r="C4" s="41">
        <f t="shared" si="3"/>
        <v>46113</v>
      </c>
      <c r="D4" s="60">
        <v>3259</v>
      </c>
      <c r="E4" s="60">
        <v>333</v>
      </c>
      <c r="F4" s="61">
        <v>3</v>
      </c>
      <c r="G4" s="62"/>
      <c r="H4" s="62"/>
      <c r="I4" s="63" t="s">
        <v>17</v>
      </c>
      <c r="J4" s="47">
        <v>15256332</v>
      </c>
      <c r="K4" s="47" t="s">
        <v>18</v>
      </c>
      <c r="L4" s="47" t="s">
        <v>23</v>
      </c>
      <c r="M4" s="65">
        <v>259900</v>
      </c>
      <c r="N4" s="11">
        <v>0.5</v>
      </c>
      <c r="O4" s="10">
        <f t="shared" si="2"/>
        <v>129950</v>
      </c>
      <c r="P4" s="7" t="s">
        <v>16</v>
      </c>
    </row>
    <row r="5" spans="1:16" x14ac:dyDescent="0.35">
      <c r="A5" s="59" t="s">
        <v>131</v>
      </c>
      <c r="B5" s="41">
        <f t="shared" ref="B5:C5" si="4">B4</f>
        <v>46108</v>
      </c>
      <c r="C5" s="41">
        <f t="shared" si="4"/>
        <v>46113</v>
      </c>
      <c r="D5" s="60">
        <v>3259</v>
      </c>
      <c r="E5" s="60">
        <v>333</v>
      </c>
      <c r="F5" s="61">
        <v>3</v>
      </c>
      <c r="G5" s="62"/>
      <c r="H5" s="62"/>
      <c r="I5" s="63" t="s">
        <v>17</v>
      </c>
      <c r="J5" s="47">
        <v>15256341</v>
      </c>
      <c r="K5" s="47" t="s">
        <v>18</v>
      </c>
      <c r="L5" s="47" t="s">
        <v>24</v>
      </c>
      <c r="M5" s="65">
        <v>259900</v>
      </c>
      <c r="N5" s="11">
        <v>0.5</v>
      </c>
      <c r="O5" s="10">
        <f t="shared" si="2"/>
        <v>129950</v>
      </c>
      <c r="P5" s="7" t="s">
        <v>16</v>
      </c>
    </row>
    <row r="6" spans="1:16" x14ac:dyDescent="0.35">
      <c r="A6" s="59" t="s">
        <v>131</v>
      </c>
      <c r="B6" s="41">
        <f t="shared" ref="B6:C6" si="5">B5</f>
        <v>46108</v>
      </c>
      <c r="C6" s="41">
        <f t="shared" si="5"/>
        <v>46113</v>
      </c>
      <c r="D6" s="60">
        <v>3259</v>
      </c>
      <c r="E6" s="60">
        <v>333</v>
      </c>
      <c r="F6" s="61">
        <v>3</v>
      </c>
      <c r="G6" s="62"/>
      <c r="H6" s="62"/>
      <c r="I6" s="63" t="s">
        <v>17</v>
      </c>
      <c r="J6" s="47">
        <v>15256350</v>
      </c>
      <c r="K6" s="47" t="s">
        <v>18</v>
      </c>
      <c r="L6" s="47" t="s">
        <v>25</v>
      </c>
      <c r="M6" s="65">
        <v>259900</v>
      </c>
      <c r="N6" s="11">
        <v>0.5</v>
      </c>
      <c r="O6" s="10">
        <f t="shared" si="2"/>
        <v>129950</v>
      </c>
      <c r="P6" s="7" t="s">
        <v>16</v>
      </c>
    </row>
    <row r="7" spans="1:16" x14ac:dyDescent="0.35">
      <c r="A7" s="59" t="s">
        <v>131</v>
      </c>
      <c r="B7" s="41">
        <f t="shared" ref="B7:C7" si="6">B6</f>
        <v>46108</v>
      </c>
      <c r="C7" s="41">
        <f t="shared" si="6"/>
        <v>46113</v>
      </c>
      <c r="D7" s="60">
        <v>3259</v>
      </c>
      <c r="E7" s="60">
        <v>333</v>
      </c>
      <c r="F7" s="61">
        <v>3</v>
      </c>
      <c r="G7" s="62"/>
      <c r="H7" s="62"/>
      <c r="I7" s="63" t="s">
        <v>17</v>
      </c>
      <c r="J7" s="47">
        <v>15256369</v>
      </c>
      <c r="K7" s="47" t="s">
        <v>18</v>
      </c>
      <c r="L7" s="47" t="s">
        <v>26</v>
      </c>
      <c r="M7" s="65">
        <v>259900</v>
      </c>
      <c r="N7" s="11">
        <v>0.5</v>
      </c>
      <c r="O7" s="10">
        <f t="shared" si="2"/>
        <v>129950</v>
      </c>
      <c r="P7" s="7" t="s">
        <v>16</v>
      </c>
    </row>
    <row r="8" spans="1:16" x14ac:dyDescent="0.35">
      <c r="A8" s="59" t="s">
        <v>131</v>
      </c>
      <c r="B8" s="41">
        <f t="shared" ref="B8:C8" si="7">B7</f>
        <v>46108</v>
      </c>
      <c r="C8" s="41">
        <f t="shared" si="7"/>
        <v>46113</v>
      </c>
      <c r="D8" s="60">
        <v>3259</v>
      </c>
      <c r="E8" s="60">
        <v>333</v>
      </c>
      <c r="F8" s="61">
        <v>3</v>
      </c>
      <c r="G8" s="62"/>
      <c r="H8" s="62"/>
      <c r="I8" s="63" t="s">
        <v>17</v>
      </c>
      <c r="J8" s="62">
        <v>15257224</v>
      </c>
      <c r="K8" s="62" t="s">
        <v>27</v>
      </c>
      <c r="L8" s="62" t="s">
        <v>28</v>
      </c>
      <c r="M8" s="65">
        <v>279900</v>
      </c>
      <c r="N8" s="11">
        <v>0.5</v>
      </c>
      <c r="O8" s="10">
        <f t="shared" ref="O8" si="8">M8-(M8*N8)</f>
        <v>139950</v>
      </c>
      <c r="P8" s="7" t="s">
        <v>16</v>
      </c>
    </row>
  </sheetData>
  <autoFilter ref="A1:P7" xr:uid="{00000000-0009-0000-0000-000020000000}"/>
  <conditionalFormatting sqref="J1">
    <cfRule type="duplicateValues" dxfId="927" priority="29"/>
    <cfRule type="duplicateValues" dxfId="926" priority="30"/>
    <cfRule type="duplicateValues" dxfId="925" priority="31"/>
    <cfRule type="duplicateValues" dxfId="924" priority="32"/>
    <cfRule type="duplicateValues" dxfId="923" priority="33"/>
    <cfRule type="duplicateValues" dxfId="922" priority="34"/>
    <cfRule type="duplicateValues" dxfId="921" priority="35"/>
    <cfRule type="duplicateValues" dxfId="920" priority="36"/>
    <cfRule type="duplicateValues" dxfId="919" priority="37"/>
    <cfRule type="duplicateValues" dxfId="918" priority="38"/>
    <cfRule type="duplicateValues" dxfId="917" priority="39"/>
    <cfRule type="duplicateValues" dxfId="916" priority="40"/>
    <cfRule type="duplicateValues" dxfId="915" priority="41"/>
    <cfRule type="duplicateValues" dxfId="914" priority="42"/>
    <cfRule type="duplicateValues" dxfId="913" priority="43"/>
    <cfRule type="duplicateValues" dxfId="912" priority="44"/>
    <cfRule type="duplicateValues" dxfId="911" priority="76"/>
    <cfRule type="duplicateValues" dxfId="910" priority="77"/>
    <cfRule type="duplicateValues" dxfId="909" priority="78"/>
    <cfRule type="duplicateValues" dxfId="908" priority="79"/>
    <cfRule type="duplicateValues" dxfId="907" priority="80"/>
    <cfRule type="duplicateValues" dxfId="906" priority="81"/>
    <cfRule type="duplicateValues" dxfId="905" priority="7271"/>
    <cfRule type="duplicateValues" dxfId="904" priority="7272"/>
    <cfRule type="duplicateValues" dxfId="903" priority="7273"/>
    <cfRule type="duplicateValues" dxfId="902" priority="7274"/>
    <cfRule type="duplicateValues" dxfId="901" priority="7275"/>
    <cfRule type="duplicateValues" dxfId="900" priority="7276"/>
    <cfRule type="duplicateValues" dxfId="899" priority="7277"/>
    <cfRule type="duplicateValues" dxfId="898" priority="7278"/>
    <cfRule type="duplicateValues" dxfId="897" priority="7279"/>
  </conditionalFormatting>
  <conditionalFormatting sqref="J1:J7">
    <cfRule type="duplicateValues" dxfId="896" priority="7280"/>
  </conditionalFormatting>
  <conditionalFormatting sqref="J2:J7">
    <cfRule type="duplicateValues" dxfId="895" priority="11"/>
    <cfRule type="duplicateValues" dxfId="894" priority="12"/>
    <cfRule type="duplicateValues" dxfId="893" priority="13"/>
    <cfRule type="duplicateValues" dxfId="892" priority="14"/>
    <cfRule type="duplicateValues" dxfId="891" priority="15"/>
    <cfRule type="duplicateValues" dxfId="890" priority="16"/>
    <cfRule type="duplicateValues" dxfId="889" priority="17"/>
    <cfRule type="duplicateValues" dxfId="888" priority="18"/>
    <cfRule type="duplicateValues" dxfId="887" priority="19"/>
    <cfRule type="duplicateValues" dxfId="886" priority="20"/>
    <cfRule type="duplicateValues" dxfId="885" priority="21"/>
    <cfRule type="duplicateValues" dxfId="884" priority="22"/>
    <cfRule type="duplicateValues" dxfId="883" priority="23"/>
    <cfRule type="duplicateValues" dxfId="882" priority="24"/>
    <cfRule type="duplicateValues" dxfId="881" priority="25"/>
    <cfRule type="duplicateValues" dxfId="880" priority="26"/>
    <cfRule type="duplicateValues" dxfId="879" priority="27"/>
    <cfRule type="duplicateValues" dxfId="878" priority="28"/>
    <cfRule type="duplicateValues" dxfId="877" priority="92"/>
    <cfRule type="duplicateValues" dxfId="876" priority="93"/>
    <cfRule type="duplicateValues" dxfId="875" priority="94"/>
    <cfRule type="duplicateValues" dxfId="874" priority="95"/>
    <cfRule type="duplicateValues" dxfId="873" priority="96"/>
    <cfRule type="duplicateValues" dxfId="872" priority="97"/>
    <cfRule type="duplicateValues" dxfId="871" priority="98"/>
    <cfRule type="duplicateValues" dxfId="870" priority="99"/>
  </conditionalFormatting>
  <conditionalFormatting sqref="K8">
    <cfRule type="duplicateValues" dxfId="869" priority="7281"/>
    <cfRule type="duplicateValues" dxfId="868" priority="7282"/>
    <cfRule type="duplicateValues" dxfId="867" priority="7283"/>
    <cfRule type="duplicateValues" dxfId="866" priority="7284"/>
    <cfRule type="duplicateValues" dxfId="865" priority="7285"/>
    <cfRule type="duplicateValues" dxfId="864" priority="7286"/>
    <cfRule type="duplicateValues" dxfId="863" priority="7287"/>
    <cfRule type="duplicateValues" dxfId="862" priority="7288"/>
    <cfRule type="duplicateValues" dxfId="861" priority="7289"/>
    <cfRule type="duplicateValues" dxfId="860" priority="7290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AF58-1663-4B06-9C10-5FB708D72076}">
  <sheetPr>
    <tabColor rgb="FFFFFF00"/>
  </sheetPr>
  <dimension ref="A1:P25"/>
  <sheetViews>
    <sheetView topLeftCell="A9" zoomScale="58" workbookViewId="0">
      <selection activeCell="A26" sqref="A26:XFD1048576"/>
    </sheetView>
  </sheetViews>
  <sheetFormatPr defaultColWidth="8.7265625" defaultRowHeight="14.5" x14ac:dyDescent="0.35"/>
  <cols>
    <col min="1" max="1" width="30.81640625" style="45" bestFit="1" customWidth="1"/>
    <col min="2" max="2" width="17.1796875" style="45" bestFit="1" customWidth="1"/>
    <col min="3" max="3" width="12.81640625" style="45" bestFit="1" customWidth="1"/>
    <col min="4" max="4" width="8.726562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11" style="45" bestFit="1" customWidth="1"/>
    <col min="10" max="10" width="10.54296875" style="45" customWidth="1"/>
    <col min="11" max="11" width="12.54296875" style="45" customWidth="1"/>
    <col min="12" max="12" width="94" style="45" bestFit="1" customWidth="1"/>
    <col min="13" max="13" width="16.1796875" style="34" bestFit="1" customWidth="1"/>
    <col min="14" max="14" width="15.1796875" style="45" bestFit="1" customWidth="1"/>
    <col min="15" max="15" width="14" style="45" bestFit="1" customWidth="1"/>
    <col min="16" max="16" width="22.453125" style="45" bestFit="1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40" t="s">
        <v>132</v>
      </c>
      <c r="B2" s="41">
        <v>46108</v>
      </c>
      <c r="C2" s="41">
        <v>46113</v>
      </c>
      <c r="D2" s="42">
        <v>3259</v>
      </c>
      <c r="E2" s="42">
        <v>333</v>
      </c>
      <c r="F2" s="42">
        <v>3</v>
      </c>
      <c r="G2" s="43">
        <v>6</v>
      </c>
      <c r="H2" s="43"/>
      <c r="I2" s="44" t="s">
        <v>17</v>
      </c>
      <c r="J2" s="43">
        <v>55352117</v>
      </c>
      <c r="K2" s="43" t="s">
        <v>99</v>
      </c>
      <c r="L2" s="43" t="s">
        <v>100</v>
      </c>
      <c r="M2" s="33">
        <v>249900</v>
      </c>
      <c r="N2" s="11">
        <v>0.5</v>
      </c>
      <c r="O2" s="10">
        <f t="shared" ref="O2" si="0">M2-(M2*N2)</f>
        <v>124950</v>
      </c>
      <c r="P2" s="7" t="s">
        <v>16</v>
      </c>
    </row>
    <row r="3" spans="1:16" x14ac:dyDescent="0.35">
      <c r="A3" s="40" t="s">
        <v>132</v>
      </c>
      <c r="B3" s="41">
        <f t="shared" ref="B3:C3" si="1">B2</f>
        <v>46108</v>
      </c>
      <c r="C3" s="41">
        <f t="shared" si="1"/>
        <v>46113</v>
      </c>
      <c r="D3" s="42">
        <v>3259</v>
      </c>
      <c r="E3" s="42">
        <v>333</v>
      </c>
      <c r="F3" s="42">
        <v>3</v>
      </c>
      <c r="G3" s="43">
        <v>6</v>
      </c>
      <c r="H3" s="43"/>
      <c r="I3" s="44" t="s">
        <v>17</v>
      </c>
      <c r="J3" s="43">
        <v>55352126</v>
      </c>
      <c r="K3" s="43" t="s">
        <v>99</v>
      </c>
      <c r="L3" s="43" t="s">
        <v>101</v>
      </c>
      <c r="M3" s="33">
        <v>249900</v>
      </c>
      <c r="N3" s="11">
        <v>0.5</v>
      </c>
      <c r="O3" s="10">
        <f t="shared" ref="O3:O25" si="2">M3-(M3*N3)</f>
        <v>124950</v>
      </c>
      <c r="P3" s="7" t="s">
        <v>16</v>
      </c>
    </row>
    <row r="4" spans="1:16" x14ac:dyDescent="0.35">
      <c r="A4" s="40" t="s">
        <v>132</v>
      </c>
      <c r="B4" s="41">
        <f t="shared" ref="B4:C19" si="3">B3</f>
        <v>46108</v>
      </c>
      <c r="C4" s="41">
        <f t="shared" si="3"/>
        <v>46113</v>
      </c>
      <c r="D4" s="42">
        <v>3259</v>
      </c>
      <c r="E4" s="42">
        <v>333</v>
      </c>
      <c r="F4" s="42">
        <v>3</v>
      </c>
      <c r="G4" s="43">
        <v>6</v>
      </c>
      <c r="H4" s="43"/>
      <c r="I4" s="44" t="s">
        <v>17</v>
      </c>
      <c r="J4" s="43">
        <v>55352135</v>
      </c>
      <c r="K4" s="43" t="s">
        <v>99</v>
      </c>
      <c r="L4" s="43" t="s">
        <v>102</v>
      </c>
      <c r="M4" s="33">
        <v>249900</v>
      </c>
      <c r="N4" s="11">
        <v>0.5</v>
      </c>
      <c r="O4" s="10">
        <f t="shared" si="2"/>
        <v>124950</v>
      </c>
      <c r="P4" s="7" t="s">
        <v>16</v>
      </c>
    </row>
    <row r="5" spans="1:16" x14ac:dyDescent="0.35">
      <c r="A5" s="40" t="s">
        <v>132</v>
      </c>
      <c r="B5" s="41">
        <f t="shared" si="3"/>
        <v>46108</v>
      </c>
      <c r="C5" s="41">
        <f t="shared" si="3"/>
        <v>46113</v>
      </c>
      <c r="D5" s="42">
        <v>3259</v>
      </c>
      <c r="E5" s="42">
        <v>333</v>
      </c>
      <c r="F5" s="42">
        <v>3</v>
      </c>
      <c r="G5" s="43">
        <v>6</v>
      </c>
      <c r="H5" s="43"/>
      <c r="I5" s="44" t="s">
        <v>17</v>
      </c>
      <c r="J5" s="43">
        <v>55352144</v>
      </c>
      <c r="K5" s="43" t="s">
        <v>99</v>
      </c>
      <c r="L5" s="43" t="s">
        <v>103</v>
      </c>
      <c r="M5" s="33">
        <v>249900</v>
      </c>
      <c r="N5" s="11">
        <v>0.5</v>
      </c>
      <c r="O5" s="10">
        <f t="shared" si="2"/>
        <v>124950</v>
      </c>
      <c r="P5" s="7" t="s">
        <v>16</v>
      </c>
    </row>
    <row r="6" spans="1:16" x14ac:dyDescent="0.35">
      <c r="A6" s="40" t="s">
        <v>132</v>
      </c>
      <c r="B6" s="41">
        <f t="shared" si="3"/>
        <v>46108</v>
      </c>
      <c r="C6" s="41">
        <f t="shared" si="3"/>
        <v>46113</v>
      </c>
      <c r="D6" s="42">
        <v>3259</v>
      </c>
      <c r="E6" s="42">
        <v>333</v>
      </c>
      <c r="F6" s="42">
        <v>3</v>
      </c>
      <c r="G6" s="43">
        <v>6</v>
      </c>
      <c r="H6" s="43"/>
      <c r="I6" s="44" t="s">
        <v>17</v>
      </c>
      <c r="J6" s="43">
        <v>55352153</v>
      </c>
      <c r="K6" s="43" t="s">
        <v>99</v>
      </c>
      <c r="L6" s="43" t="s">
        <v>104</v>
      </c>
      <c r="M6" s="33">
        <v>249900</v>
      </c>
      <c r="N6" s="11">
        <v>0.5</v>
      </c>
      <c r="O6" s="10">
        <f t="shared" si="2"/>
        <v>124950</v>
      </c>
      <c r="P6" s="7" t="s">
        <v>16</v>
      </c>
    </row>
    <row r="7" spans="1:16" x14ac:dyDescent="0.35">
      <c r="A7" s="40" t="s">
        <v>132</v>
      </c>
      <c r="B7" s="41">
        <f t="shared" si="3"/>
        <v>46108</v>
      </c>
      <c r="C7" s="41">
        <f t="shared" si="3"/>
        <v>46113</v>
      </c>
      <c r="D7" s="42">
        <v>3259</v>
      </c>
      <c r="E7" s="42">
        <v>333</v>
      </c>
      <c r="F7" s="42">
        <v>3</v>
      </c>
      <c r="G7" s="43">
        <v>6</v>
      </c>
      <c r="H7" s="43"/>
      <c r="I7" s="44" t="s">
        <v>17</v>
      </c>
      <c r="J7" s="43">
        <v>55352162</v>
      </c>
      <c r="K7" s="43" t="s">
        <v>99</v>
      </c>
      <c r="L7" s="43" t="s">
        <v>105</v>
      </c>
      <c r="M7" s="33">
        <v>249900</v>
      </c>
      <c r="N7" s="11">
        <v>0.5</v>
      </c>
      <c r="O7" s="10">
        <f t="shared" si="2"/>
        <v>124950</v>
      </c>
      <c r="P7" s="7" t="s">
        <v>16</v>
      </c>
    </row>
    <row r="8" spans="1:16" x14ac:dyDescent="0.35">
      <c r="A8" s="40" t="s">
        <v>132</v>
      </c>
      <c r="B8" s="41">
        <f t="shared" si="3"/>
        <v>46108</v>
      </c>
      <c r="C8" s="41">
        <f t="shared" si="3"/>
        <v>46113</v>
      </c>
      <c r="D8" s="42">
        <v>3259</v>
      </c>
      <c r="E8" s="42">
        <v>333</v>
      </c>
      <c r="F8" s="42">
        <v>3</v>
      </c>
      <c r="G8" s="43">
        <v>6</v>
      </c>
      <c r="H8" s="43"/>
      <c r="I8" s="44" t="s">
        <v>17</v>
      </c>
      <c r="J8" s="43">
        <v>55352171</v>
      </c>
      <c r="K8" s="43" t="s">
        <v>99</v>
      </c>
      <c r="L8" s="43" t="s">
        <v>106</v>
      </c>
      <c r="M8" s="33">
        <v>249900</v>
      </c>
      <c r="N8" s="11">
        <v>0.5</v>
      </c>
      <c r="O8" s="10">
        <f t="shared" si="2"/>
        <v>124950</v>
      </c>
      <c r="P8" s="7" t="s">
        <v>16</v>
      </c>
    </row>
    <row r="9" spans="1:16" x14ac:dyDescent="0.35">
      <c r="A9" s="40" t="s">
        <v>132</v>
      </c>
      <c r="B9" s="41">
        <f t="shared" si="3"/>
        <v>46108</v>
      </c>
      <c r="C9" s="41">
        <f t="shared" si="3"/>
        <v>46113</v>
      </c>
      <c r="D9" s="42">
        <v>3259</v>
      </c>
      <c r="E9" s="42">
        <v>333</v>
      </c>
      <c r="F9" s="42">
        <v>3</v>
      </c>
      <c r="G9" s="43">
        <v>6</v>
      </c>
      <c r="H9" s="43"/>
      <c r="I9" s="44" t="s">
        <v>17</v>
      </c>
      <c r="J9" s="43">
        <v>55352180</v>
      </c>
      <c r="K9" s="43" t="s">
        <v>99</v>
      </c>
      <c r="L9" s="43" t="s">
        <v>107</v>
      </c>
      <c r="M9" s="33">
        <v>249900</v>
      </c>
      <c r="N9" s="11">
        <v>0.5</v>
      </c>
      <c r="O9" s="10">
        <f t="shared" si="2"/>
        <v>124950</v>
      </c>
      <c r="P9" s="7" t="s">
        <v>16</v>
      </c>
    </row>
    <row r="10" spans="1:16" x14ac:dyDescent="0.35">
      <c r="A10" s="40" t="s">
        <v>132</v>
      </c>
      <c r="B10" s="41">
        <f t="shared" si="3"/>
        <v>46108</v>
      </c>
      <c r="C10" s="41">
        <f t="shared" si="3"/>
        <v>46113</v>
      </c>
      <c r="D10" s="42">
        <v>3259</v>
      </c>
      <c r="E10" s="42">
        <v>333</v>
      </c>
      <c r="F10" s="42">
        <v>3</v>
      </c>
      <c r="G10" s="43">
        <v>6</v>
      </c>
      <c r="H10" s="43"/>
      <c r="I10" s="44" t="s">
        <v>17</v>
      </c>
      <c r="J10" s="43">
        <v>55352199</v>
      </c>
      <c r="K10" s="43" t="s">
        <v>99</v>
      </c>
      <c r="L10" s="43" t="s">
        <v>108</v>
      </c>
      <c r="M10" s="33">
        <v>249900</v>
      </c>
      <c r="N10" s="11">
        <v>0.5</v>
      </c>
      <c r="O10" s="10">
        <f t="shared" si="2"/>
        <v>124950</v>
      </c>
      <c r="P10" s="7" t="s">
        <v>16</v>
      </c>
    </row>
    <row r="11" spans="1:16" x14ac:dyDescent="0.35">
      <c r="A11" s="40" t="s">
        <v>132</v>
      </c>
      <c r="B11" s="41">
        <f t="shared" si="3"/>
        <v>46108</v>
      </c>
      <c r="C11" s="41">
        <f t="shared" si="3"/>
        <v>46113</v>
      </c>
      <c r="D11" s="42">
        <v>3259</v>
      </c>
      <c r="E11" s="42">
        <v>333</v>
      </c>
      <c r="F11" s="42">
        <v>3</v>
      </c>
      <c r="G11" s="43">
        <v>6</v>
      </c>
      <c r="H11" s="43"/>
      <c r="I11" s="44" t="s">
        <v>17</v>
      </c>
      <c r="J11" s="43">
        <v>55352206</v>
      </c>
      <c r="K11" s="43" t="s">
        <v>99</v>
      </c>
      <c r="L11" s="43" t="s">
        <v>109</v>
      </c>
      <c r="M11" s="33">
        <v>249900</v>
      </c>
      <c r="N11" s="11">
        <v>0.5</v>
      </c>
      <c r="O11" s="10">
        <f t="shared" si="2"/>
        <v>124950</v>
      </c>
      <c r="P11" s="7" t="s">
        <v>16</v>
      </c>
    </row>
    <row r="12" spans="1:16" x14ac:dyDescent="0.35">
      <c r="A12" s="40" t="s">
        <v>132</v>
      </c>
      <c r="B12" s="41">
        <f t="shared" si="3"/>
        <v>46108</v>
      </c>
      <c r="C12" s="41">
        <f t="shared" si="3"/>
        <v>46113</v>
      </c>
      <c r="D12" s="42">
        <v>3259</v>
      </c>
      <c r="E12" s="42">
        <v>333</v>
      </c>
      <c r="F12" s="42">
        <v>3</v>
      </c>
      <c r="G12" s="43">
        <v>6</v>
      </c>
      <c r="H12" s="43"/>
      <c r="I12" s="44" t="s">
        <v>17</v>
      </c>
      <c r="J12" s="43">
        <v>55352215</v>
      </c>
      <c r="K12" s="43" t="s">
        <v>99</v>
      </c>
      <c r="L12" s="43" t="s">
        <v>110</v>
      </c>
      <c r="M12" s="33">
        <v>249900</v>
      </c>
      <c r="N12" s="11">
        <v>0.5</v>
      </c>
      <c r="O12" s="10">
        <f t="shared" si="2"/>
        <v>124950</v>
      </c>
      <c r="P12" s="7" t="s">
        <v>16</v>
      </c>
    </row>
    <row r="13" spans="1:16" x14ac:dyDescent="0.35">
      <c r="A13" s="40" t="s">
        <v>132</v>
      </c>
      <c r="B13" s="41">
        <f t="shared" si="3"/>
        <v>46108</v>
      </c>
      <c r="C13" s="41">
        <f t="shared" si="3"/>
        <v>46113</v>
      </c>
      <c r="D13" s="42">
        <v>3259</v>
      </c>
      <c r="E13" s="42">
        <v>333</v>
      </c>
      <c r="F13" s="42">
        <v>3</v>
      </c>
      <c r="G13" s="43">
        <v>6</v>
      </c>
      <c r="H13" s="43"/>
      <c r="I13" s="44" t="s">
        <v>17</v>
      </c>
      <c r="J13" s="43">
        <v>55352224</v>
      </c>
      <c r="K13" s="43" t="s">
        <v>99</v>
      </c>
      <c r="L13" s="43" t="s">
        <v>111</v>
      </c>
      <c r="M13" s="33">
        <v>249900</v>
      </c>
      <c r="N13" s="11">
        <v>0.5</v>
      </c>
      <c r="O13" s="10">
        <f t="shared" si="2"/>
        <v>124950</v>
      </c>
      <c r="P13" s="7" t="s">
        <v>16</v>
      </c>
    </row>
    <row r="14" spans="1:16" x14ac:dyDescent="0.35">
      <c r="A14" s="40" t="s">
        <v>132</v>
      </c>
      <c r="B14" s="41">
        <f t="shared" si="3"/>
        <v>46108</v>
      </c>
      <c r="C14" s="41">
        <f t="shared" si="3"/>
        <v>46113</v>
      </c>
      <c r="D14" s="42">
        <v>3259</v>
      </c>
      <c r="E14" s="42">
        <v>333</v>
      </c>
      <c r="F14" s="42">
        <v>3</v>
      </c>
      <c r="G14" s="43">
        <v>6</v>
      </c>
      <c r="H14" s="43"/>
      <c r="I14" s="44" t="s">
        <v>17</v>
      </c>
      <c r="J14" s="43">
        <v>55352233</v>
      </c>
      <c r="K14" s="43" t="s">
        <v>99</v>
      </c>
      <c r="L14" s="43" t="s">
        <v>112</v>
      </c>
      <c r="M14" s="33">
        <v>249900</v>
      </c>
      <c r="N14" s="11">
        <v>0.5</v>
      </c>
      <c r="O14" s="10">
        <f t="shared" si="2"/>
        <v>124950</v>
      </c>
      <c r="P14" s="7" t="s">
        <v>16</v>
      </c>
    </row>
    <row r="15" spans="1:16" x14ac:dyDescent="0.35">
      <c r="A15" s="40" t="s">
        <v>132</v>
      </c>
      <c r="B15" s="41">
        <f t="shared" si="3"/>
        <v>46108</v>
      </c>
      <c r="C15" s="41">
        <f t="shared" si="3"/>
        <v>46113</v>
      </c>
      <c r="D15" s="42">
        <v>3259</v>
      </c>
      <c r="E15" s="42">
        <v>333</v>
      </c>
      <c r="F15" s="42">
        <v>3</v>
      </c>
      <c r="G15" s="43">
        <v>6</v>
      </c>
      <c r="H15" s="43"/>
      <c r="I15" s="44" t="s">
        <v>17</v>
      </c>
      <c r="J15" s="43">
        <v>55352242</v>
      </c>
      <c r="K15" s="43" t="s">
        <v>99</v>
      </c>
      <c r="L15" s="43" t="s">
        <v>113</v>
      </c>
      <c r="M15" s="33">
        <v>249900</v>
      </c>
      <c r="N15" s="11">
        <v>0.5</v>
      </c>
      <c r="O15" s="10">
        <f t="shared" si="2"/>
        <v>124950</v>
      </c>
      <c r="P15" s="7" t="s">
        <v>16</v>
      </c>
    </row>
    <row r="16" spans="1:16" x14ac:dyDescent="0.35">
      <c r="A16" s="40" t="s">
        <v>132</v>
      </c>
      <c r="B16" s="41">
        <f t="shared" si="3"/>
        <v>46108</v>
      </c>
      <c r="C16" s="41">
        <f t="shared" si="3"/>
        <v>46113</v>
      </c>
      <c r="D16" s="42">
        <v>3259</v>
      </c>
      <c r="E16" s="42">
        <v>333</v>
      </c>
      <c r="F16" s="42">
        <v>3</v>
      </c>
      <c r="G16" s="43">
        <v>6</v>
      </c>
      <c r="H16" s="43"/>
      <c r="I16" s="44" t="s">
        <v>17</v>
      </c>
      <c r="J16" s="43">
        <v>55352251</v>
      </c>
      <c r="K16" s="43" t="s">
        <v>99</v>
      </c>
      <c r="L16" s="43" t="s">
        <v>114</v>
      </c>
      <c r="M16" s="33">
        <v>249900</v>
      </c>
      <c r="N16" s="11">
        <v>0.5</v>
      </c>
      <c r="O16" s="10">
        <f t="shared" si="2"/>
        <v>124950</v>
      </c>
      <c r="P16" s="7" t="s">
        <v>16</v>
      </c>
    </row>
    <row r="17" spans="1:16" x14ac:dyDescent="0.35">
      <c r="A17" s="40" t="s">
        <v>132</v>
      </c>
      <c r="B17" s="41">
        <f t="shared" si="3"/>
        <v>46108</v>
      </c>
      <c r="C17" s="41">
        <f t="shared" si="3"/>
        <v>46113</v>
      </c>
      <c r="D17" s="42">
        <v>3259</v>
      </c>
      <c r="E17" s="42">
        <v>333</v>
      </c>
      <c r="F17" s="42">
        <v>3</v>
      </c>
      <c r="G17" s="43">
        <v>6</v>
      </c>
      <c r="H17" s="43"/>
      <c r="I17" s="44" t="s">
        <v>17</v>
      </c>
      <c r="J17" s="43">
        <v>55352260</v>
      </c>
      <c r="K17" s="43" t="s">
        <v>99</v>
      </c>
      <c r="L17" s="43" t="s">
        <v>115</v>
      </c>
      <c r="M17" s="33">
        <v>249900</v>
      </c>
      <c r="N17" s="11">
        <v>0.5</v>
      </c>
      <c r="O17" s="10">
        <f t="shared" si="2"/>
        <v>124950</v>
      </c>
      <c r="P17" s="7" t="s">
        <v>16</v>
      </c>
    </row>
    <row r="18" spans="1:16" x14ac:dyDescent="0.35">
      <c r="A18" s="40" t="s">
        <v>132</v>
      </c>
      <c r="B18" s="41">
        <f t="shared" si="3"/>
        <v>46108</v>
      </c>
      <c r="C18" s="41">
        <f t="shared" si="3"/>
        <v>46113</v>
      </c>
      <c r="D18" s="42">
        <v>3259</v>
      </c>
      <c r="E18" s="42">
        <v>333</v>
      </c>
      <c r="F18" s="42">
        <v>3</v>
      </c>
      <c r="G18" s="43">
        <v>6</v>
      </c>
      <c r="H18" s="43"/>
      <c r="I18" s="44" t="s">
        <v>17</v>
      </c>
      <c r="J18" s="43">
        <v>55352279</v>
      </c>
      <c r="K18" s="43" t="s">
        <v>99</v>
      </c>
      <c r="L18" s="43" t="s">
        <v>116</v>
      </c>
      <c r="M18" s="33">
        <v>249900</v>
      </c>
      <c r="N18" s="11">
        <v>0.5</v>
      </c>
      <c r="O18" s="10">
        <f t="shared" si="2"/>
        <v>124950</v>
      </c>
      <c r="P18" s="7" t="s">
        <v>16</v>
      </c>
    </row>
    <row r="19" spans="1:16" x14ac:dyDescent="0.35">
      <c r="A19" s="40" t="s">
        <v>132</v>
      </c>
      <c r="B19" s="41">
        <f t="shared" si="3"/>
        <v>46108</v>
      </c>
      <c r="C19" s="41">
        <f t="shared" si="3"/>
        <v>46113</v>
      </c>
      <c r="D19" s="42">
        <v>3259</v>
      </c>
      <c r="E19" s="42">
        <v>333</v>
      </c>
      <c r="F19" s="42">
        <v>3</v>
      </c>
      <c r="G19" s="43">
        <v>6</v>
      </c>
      <c r="H19" s="43"/>
      <c r="I19" s="44" t="s">
        <v>17</v>
      </c>
      <c r="J19" s="43">
        <v>55352288</v>
      </c>
      <c r="K19" s="43" t="s">
        <v>99</v>
      </c>
      <c r="L19" s="43" t="s">
        <v>117</v>
      </c>
      <c r="M19" s="33">
        <v>249900</v>
      </c>
      <c r="N19" s="11">
        <v>0.5</v>
      </c>
      <c r="O19" s="10">
        <f t="shared" si="2"/>
        <v>124950</v>
      </c>
      <c r="P19" s="7" t="s">
        <v>16</v>
      </c>
    </row>
    <row r="20" spans="1:16" x14ac:dyDescent="0.35">
      <c r="A20" s="40" t="s">
        <v>132</v>
      </c>
      <c r="B20" s="41">
        <f t="shared" ref="B20:C25" si="4">B19</f>
        <v>46108</v>
      </c>
      <c r="C20" s="41">
        <f t="shared" si="4"/>
        <v>46113</v>
      </c>
      <c r="D20" s="42">
        <v>3259</v>
      </c>
      <c r="E20" s="42">
        <v>333</v>
      </c>
      <c r="F20" s="46">
        <v>3</v>
      </c>
      <c r="G20" s="43">
        <v>6</v>
      </c>
      <c r="H20" s="43"/>
      <c r="I20" s="44" t="s">
        <v>17</v>
      </c>
      <c r="J20" s="43">
        <v>59201728</v>
      </c>
      <c r="K20" s="47" t="s">
        <v>85</v>
      </c>
      <c r="L20" s="43" t="s">
        <v>118</v>
      </c>
      <c r="M20" s="33">
        <v>279900</v>
      </c>
      <c r="N20" s="11">
        <v>0.5</v>
      </c>
      <c r="O20" s="10">
        <f t="shared" si="2"/>
        <v>139950</v>
      </c>
      <c r="P20" s="7" t="s">
        <v>16</v>
      </c>
    </row>
    <row r="21" spans="1:16" x14ac:dyDescent="0.35">
      <c r="A21" s="40" t="s">
        <v>132</v>
      </c>
      <c r="B21" s="41">
        <f t="shared" si="4"/>
        <v>46108</v>
      </c>
      <c r="C21" s="41">
        <f t="shared" si="4"/>
        <v>46113</v>
      </c>
      <c r="D21" s="42">
        <v>3259</v>
      </c>
      <c r="E21" s="42">
        <v>333</v>
      </c>
      <c r="F21" s="46">
        <v>3</v>
      </c>
      <c r="G21" s="43">
        <v>6</v>
      </c>
      <c r="H21" s="43"/>
      <c r="I21" s="44" t="s">
        <v>17</v>
      </c>
      <c r="J21" s="43">
        <v>59201737</v>
      </c>
      <c r="K21" s="47" t="s">
        <v>85</v>
      </c>
      <c r="L21" s="43" t="s">
        <v>119</v>
      </c>
      <c r="M21" s="33">
        <v>279900</v>
      </c>
      <c r="N21" s="11">
        <v>0.5</v>
      </c>
      <c r="O21" s="10">
        <f t="shared" si="2"/>
        <v>139950</v>
      </c>
      <c r="P21" s="7" t="s">
        <v>16</v>
      </c>
    </row>
    <row r="22" spans="1:16" x14ac:dyDescent="0.35">
      <c r="A22" s="40" t="s">
        <v>132</v>
      </c>
      <c r="B22" s="41">
        <f t="shared" si="4"/>
        <v>46108</v>
      </c>
      <c r="C22" s="41">
        <f t="shared" si="4"/>
        <v>46113</v>
      </c>
      <c r="D22" s="42">
        <v>3259</v>
      </c>
      <c r="E22" s="42">
        <v>333</v>
      </c>
      <c r="F22" s="46">
        <v>3</v>
      </c>
      <c r="G22" s="43">
        <v>6</v>
      </c>
      <c r="H22" s="43"/>
      <c r="I22" s="44" t="s">
        <v>17</v>
      </c>
      <c r="J22" s="43">
        <v>59201746</v>
      </c>
      <c r="K22" s="47" t="s">
        <v>85</v>
      </c>
      <c r="L22" s="43" t="s">
        <v>120</v>
      </c>
      <c r="M22" s="33">
        <v>279900</v>
      </c>
      <c r="N22" s="11">
        <v>0.5</v>
      </c>
      <c r="O22" s="10">
        <f t="shared" si="2"/>
        <v>139950</v>
      </c>
      <c r="P22" s="7" t="s">
        <v>16</v>
      </c>
    </row>
    <row r="23" spans="1:16" x14ac:dyDescent="0.35">
      <c r="A23" s="40" t="s">
        <v>132</v>
      </c>
      <c r="B23" s="41">
        <f t="shared" si="4"/>
        <v>46108</v>
      </c>
      <c r="C23" s="41">
        <f t="shared" si="4"/>
        <v>46113</v>
      </c>
      <c r="D23" s="42">
        <v>3259</v>
      </c>
      <c r="E23" s="42">
        <v>333</v>
      </c>
      <c r="F23" s="46">
        <v>3</v>
      </c>
      <c r="G23" s="43">
        <v>6</v>
      </c>
      <c r="H23" s="43"/>
      <c r="I23" s="44" t="s">
        <v>17</v>
      </c>
      <c r="J23" s="43">
        <v>59201755</v>
      </c>
      <c r="K23" s="47" t="s">
        <v>85</v>
      </c>
      <c r="L23" s="43" t="s">
        <v>121</v>
      </c>
      <c r="M23" s="33">
        <v>279900</v>
      </c>
      <c r="N23" s="11">
        <v>0.5</v>
      </c>
      <c r="O23" s="10">
        <f t="shared" si="2"/>
        <v>139950</v>
      </c>
      <c r="P23" s="7" t="s">
        <v>16</v>
      </c>
    </row>
    <row r="24" spans="1:16" x14ac:dyDescent="0.35">
      <c r="A24" s="40" t="s">
        <v>132</v>
      </c>
      <c r="B24" s="41">
        <f t="shared" si="4"/>
        <v>46108</v>
      </c>
      <c r="C24" s="41">
        <f t="shared" si="4"/>
        <v>46113</v>
      </c>
      <c r="D24" s="42">
        <v>3259</v>
      </c>
      <c r="E24" s="42">
        <v>333</v>
      </c>
      <c r="F24" s="46">
        <v>3</v>
      </c>
      <c r="G24" s="43">
        <v>6</v>
      </c>
      <c r="H24" s="43"/>
      <c r="I24" s="44" t="s">
        <v>17</v>
      </c>
      <c r="J24" s="43">
        <v>59201764</v>
      </c>
      <c r="K24" s="47" t="s">
        <v>85</v>
      </c>
      <c r="L24" s="43" t="s">
        <v>122</v>
      </c>
      <c r="M24" s="33">
        <v>279900</v>
      </c>
      <c r="N24" s="11">
        <v>0.5</v>
      </c>
      <c r="O24" s="10">
        <f t="shared" si="2"/>
        <v>139950</v>
      </c>
      <c r="P24" s="7" t="s">
        <v>16</v>
      </c>
    </row>
    <row r="25" spans="1:16" x14ac:dyDescent="0.35">
      <c r="A25" s="40" t="s">
        <v>132</v>
      </c>
      <c r="B25" s="41">
        <f t="shared" si="4"/>
        <v>46108</v>
      </c>
      <c r="C25" s="41">
        <f t="shared" si="4"/>
        <v>46113</v>
      </c>
      <c r="D25" s="42">
        <v>3259</v>
      </c>
      <c r="E25" s="42">
        <v>333</v>
      </c>
      <c r="F25" s="46">
        <v>3</v>
      </c>
      <c r="G25" s="43">
        <v>6</v>
      </c>
      <c r="H25" s="43"/>
      <c r="I25" s="44" t="s">
        <v>17</v>
      </c>
      <c r="J25" s="43">
        <v>59201773</v>
      </c>
      <c r="K25" s="47" t="s">
        <v>85</v>
      </c>
      <c r="L25" s="43" t="s">
        <v>123</v>
      </c>
      <c r="M25" s="33">
        <v>279900</v>
      </c>
      <c r="N25" s="11">
        <v>0.5</v>
      </c>
      <c r="O25" s="10">
        <f t="shared" si="2"/>
        <v>139950</v>
      </c>
      <c r="P25" s="7" t="s">
        <v>16</v>
      </c>
    </row>
  </sheetData>
  <autoFilter ref="A1:P1" xr:uid="{00000000-0009-0000-0000-000019000000}"/>
  <conditionalFormatting sqref="J1">
    <cfRule type="duplicateValues" dxfId="859" priority="73"/>
    <cfRule type="duplicateValues" dxfId="858" priority="74"/>
    <cfRule type="duplicateValues" dxfId="857" priority="75"/>
    <cfRule type="duplicateValues" dxfId="856" priority="76"/>
    <cfRule type="duplicateValues" dxfId="855" priority="77"/>
    <cfRule type="duplicateValues" dxfId="854" priority="78"/>
    <cfRule type="duplicateValues" dxfId="853" priority="79"/>
    <cfRule type="duplicateValues" dxfId="852" priority="80"/>
    <cfRule type="duplicateValues" dxfId="851" priority="81"/>
    <cfRule type="duplicateValues" dxfId="850" priority="82"/>
    <cfRule type="duplicateValues" dxfId="849" priority="83"/>
    <cfRule type="duplicateValues" dxfId="848" priority="84"/>
    <cfRule type="duplicateValues" dxfId="847" priority="85"/>
    <cfRule type="duplicateValues" dxfId="846" priority="86"/>
    <cfRule type="duplicateValues" dxfId="845" priority="87"/>
    <cfRule type="duplicateValues" dxfId="844" priority="88"/>
  </conditionalFormatting>
  <conditionalFormatting sqref="J1:J19">
    <cfRule type="duplicateValues" dxfId="843" priority="7291"/>
    <cfRule type="duplicateValues" dxfId="842" priority="7292"/>
    <cfRule type="duplicateValues" dxfId="841" priority="7293"/>
    <cfRule type="duplicateValues" dxfId="840" priority="7294"/>
    <cfRule type="duplicateValues" dxfId="839" priority="7295"/>
    <cfRule type="duplicateValues" dxfId="838" priority="7296"/>
  </conditionalFormatting>
  <conditionalFormatting sqref="J1:J1048576">
    <cfRule type="duplicateValues" dxfId="837" priority="1"/>
    <cfRule type="duplicateValues" dxfId="836" priority="89"/>
  </conditionalFormatting>
  <conditionalFormatting sqref="J20:J25">
    <cfRule type="duplicateValues" dxfId="835" priority="2"/>
    <cfRule type="duplicateValues" dxfId="834" priority="3"/>
    <cfRule type="duplicateValues" dxfId="833" priority="4"/>
    <cfRule type="duplicateValues" dxfId="832" priority="5"/>
    <cfRule type="duplicateValues" dxfId="831" priority="6"/>
    <cfRule type="duplicateValues" dxfId="830" priority="7"/>
    <cfRule type="duplicateValues" dxfId="829" priority="8"/>
    <cfRule type="duplicateValues" dxfId="828" priority="9"/>
    <cfRule type="duplicateValues" dxfId="827" priority="10"/>
    <cfRule type="duplicateValues" dxfId="826" priority="11"/>
    <cfRule type="duplicateValues" dxfId="825" priority="12"/>
    <cfRule type="duplicateValues" dxfId="824" priority="13"/>
    <cfRule type="duplicateValues" dxfId="823" priority="14"/>
    <cfRule type="duplicateValues" dxfId="822" priority="15"/>
    <cfRule type="duplicateValues" dxfId="821" priority="16"/>
    <cfRule type="duplicateValues" dxfId="820" priority="17"/>
    <cfRule type="duplicateValues" dxfId="819" priority="18"/>
    <cfRule type="duplicateValues" dxfId="818" priority="19"/>
    <cfRule type="duplicateValues" dxfId="817" priority="20"/>
    <cfRule type="duplicateValues" dxfId="816" priority="21"/>
    <cfRule type="duplicateValues" dxfId="815" priority="22"/>
    <cfRule type="duplicateValues" dxfId="814" priority="23"/>
    <cfRule type="duplicateValues" dxfId="813" priority="24"/>
    <cfRule type="duplicateValues" dxfId="812" priority="25"/>
    <cfRule type="duplicateValues" dxfId="811" priority="26"/>
    <cfRule type="duplicateValues" dxfId="810" priority="27"/>
    <cfRule type="duplicateValues" dxfId="809" priority="28"/>
    <cfRule type="duplicateValues" dxfId="808" priority="29"/>
    <cfRule type="duplicateValues" dxfId="807" priority="30"/>
    <cfRule type="duplicateValues" dxfId="806" priority="31"/>
    <cfRule type="duplicateValues" dxfId="805" priority="32"/>
    <cfRule type="duplicateValues" dxfId="804" priority="33"/>
    <cfRule type="duplicateValues" dxfId="803" priority="34"/>
    <cfRule type="duplicateValues" dxfId="802" priority="35"/>
    <cfRule type="duplicateValues" dxfId="801" priority="36"/>
    <cfRule type="duplicateValues" dxfId="800" priority="37"/>
    <cfRule type="duplicateValues" dxfId="799" priority="38"/>
    <cfRule type="duplicateValues" dxfId="798" priority="39"/>
    <cfRule type="duplicateValues" dxfId="797" priority="40"/>
    <cfRule type="duplicateValues" dxfId="796" priority="41"/>
    <cfRule type="duplicateValues" dxfId="795" priority="42"/>
    <cfRule type="duplicateValues" dxfId="794" priority="43"/>
    <cfRule type="duplicateValues" dxfId="793" priority="44"/>
    <cfRule type="duplicateValues" dxfId="792" priority="45"/>
    <cfRule type="duplicateValues" dxfId="791" priority="46"/>
    <cfRule type="duplicateValues" dxfId="790" priority="47"/>
    <cfRule type="duplicateValues" dxfId="789" priority="48"/>
    <cfRule type="duplicateValues" dxfId="788" priority="49"/>
    <cfRule type="duplicateValues" dxfId="787" priority="50"/>
    <cfRule type="duplicateValues" dxfId="786" priority="51"/>
    <cfRule type="duplicateValues" dxfId="785" priority="52"/>
    <cfRule type="duplicateValues" dxfId="784" priority="53"/>
    <cfRule type="duplicateValues" dxfId="783" priority="54"/>
    <cfRule type="duplicateValues" dxfId="782" priority="55"/>
    <cfRule type="duplicateValues" dxfId="781" priority="56"/>
    <cfRule type="duplicateValues" dxfId="780" priority="57"/>
    <cfRule type="duplicateValues" dxfId="779" priority="58"/>
    <cfRule type="duplicateValues" dxfId="778" priority="59"/>
    <cfRule type="duplicateValues" dxfId="777" priority="60"/>
    <cfRule type="duplicateValues" dxfId="776" priority="61"/>
    <cfRule type="duplicateValues" dxfId="775" priority="62"/>
    <cfRule type="duplicateValues" dxfId="774" priority="63"/>
    <cfRule type="duplicateValues" dxfId="773" priority="64"/>
    <cfRule type="duplicateValues" dxfId="772" priority="65"/>
    <cfRule type="duplicateValues" dxfId="771" priority="66"/>
    <cfRule type="duplicateValues" dxfId="770" priority="67"/>
    <cfRule type="duplicateValues" dxfId="769" priority="68"/>
    <cfRule type="duplicateValues" dxfId="768" priority="69"/>
    <cfRule type="duplicateValues" dxfId="767" priority="70"/>
    <cfRule type="duplicateValues" dxfId="766" priority="71"/>
    <cfRule type="duplicateValues" dxfId="765" priority="7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P26"/>
  <sheetViews>
    <sheetView topLeftCell="A9" zoomScale="55" workbookViewId="0">
      <selection activeCell="A27" sqref="A27:XFD1048576"/>
    </sheetView>
  </sheetViews>
  <sheetFormatPr defaultColWidth="21.54296875" defaultRowHeight="14.5" x14ac:dyDescent="0.35"/>
  <cols>
    <col min="1" max="1" width="35.7265625" style="13" bestFit="1" customWidth="1"/>
    <col min="2" max="2" width="15.81640625" style="13" bestFit="1" customWidth="1"/>
    <col min="3" max="3" width="12.26953125" style="13" bestFit="1" customWidth="1"/>
    <col min="4" max="4" width="5.1796875" style="13" bestFit="1" customWidth="1"/>
    <col min="5" max="5" width="7.1796875" style="13" bestFit="1" customWidth="1"/>
    <col min="6" max="6" width="8.453125" style="13" bestFit="1" customWidth="1"/>
    <col min="7" max="7" width="5.7265625" style="13" bestFit="1" customWidth="1"/>
    <col min="8" max="8" width="8.54296875" style="13" bestFit="1" customWidth="1"/>
    <col min="9" max="9" width="6.7265625" style="13" customWidth="1"/>
    <col min="10" max="10" width="9.81640625" style="13" bestFit="1" customWidth="1"/>
    <col min="11" max="11" width="14.81640625" style="13" customWidth="1"/>
    <col min="12" max="12" width="98.26953125" style="13" bestFit="1" customWidth="1"/>
    <col min="13" max="13" width="14.81640625" style="20" bestFit="1" customWidth="1"/>
    <col min="14" max="14" width="7.26953125" style="13" bestFit="1" customWidth="1"/>
    <col min="15" max="15" width="14" style="13" bestFit="1" customWidth="1"/>
    <col min="16" max="16" width="21.54296875" style="13" customWidth="1"/>
    <col min="17" max="16384" width="21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x14ac:dyDescent="0.35">
      <c r="A2" s="27" t="s">
        <v>133</v>
      </c>
      <c r="B2" s="41">
        <v>46108</v>
      </c>
      <c r="C2" s="41">
        <v>46113</v>
      </c>
      <c r="D2" s="7">
        <v>3259</v>
      </c>
      <c r="E2" s="7">
        <v>333</v>
      </c>
      <c r="F2" s="7">
        <v>3</v>
      </c>
      <c r="G2" s="7"/>
      <c r="H2" s="14"/>
      <c r="I2" s="7" t="s">
        <v>17</v>
      </c>
      <c r="J2" s="14">
        <v>53687402</v>
      </c>
      <c r="K2" s="14" t="s">
        <v>46</v>
      </c>
      <c r="L2" s="14" t="s">
        <v>47</v>
      </c>
      <c r="M2" s="21">
        <v>149900</v>
      </c>
      <c r="N2" s="11">
        <v>0.5</v>
      </c>
      <c r="O2" s="10">
        <f t="shared" ref="O2:O26" si="0">M2-(M2*N2)</f>
        <v>74950</v>
      </c>
      <c r="P2" s="7" t="s">
        <v>16</v>
      </c>
    </row>
    <row r="3" spans="1:16" x14ac:dyDescent="0.35">
      <c r="A3" s="27" t="s">
        <v>133</v>
      </c>
      <c r="B3" s="41">
        <f t="shared" ref="B3:C3" si="1">B2</f>
        <v>46108</v>
      </c>
      <c r="C3" s="41">
        <f t="shared" si="1"/>
        <v>46113</v>
      </c>
      <c r="D3" s="7">
        <v>3259</v>
      </c>
      <c r="E3" s="7">
        <v>333</v>
      </c>
      <c r="F3" s="7">
        <v>3</v>
      </c>
      <c r="G3" s="7"/>
      <c r="H3" s="14"/>
      <c r="I3" s="7" t="s">
        <v>17</v>
      </c>
      <c r="J3" s="14">
        <v>53687411</v>
      </c>
      <c r="K3" s="14" t="s">
        <v>46</v>
      </c>
      <c r="L3" s="14" t="s">
        <v>48</v>
      </c>
      <c r="M3" s="21">
        <v>149900</v>
      </c>
      <c r="N3" s="11">
        <v>0.5</v>
      </c>
      <c r="O3" s="10">
        <f t="shared" si="0"/>
        <v>74950</v>
      </c>
      <c r="P3" s="7" t="s">
        <v>16</v>
      </c>
    </row>
    <row r="4" spans="1:16" x14ac:dyDescent="0.35">
      <c r="A4" s="27" t="s">
        <v>133</v>
      </c>
      <c r="B4" s="8">
        <f t="shared" ref="B4:B26" si="2">B3</f>
        <v>46108</v>
      </c>
      <c r="C4" s="8">
        <f t="shared" ref="C4:C26" si="3">C3</f>
        <v>46113</v>
      </c>
      <c r="D4" s="7">
        <v>3259</v>
      </c>
      <c r="E4" s="7">
        <v>333</v>
      </c>
      <c r="F4" s="7">
        <v>3</v>
      </c>
      <c r="G4" s="7"/>
      <c r="H4" s="14"/>
      <c r="I4" s="7" t="s">
        <v>17</v>
      </c>
      <c r="J4" s="14">
        <v>53687420</v>
      </c>
      <c r="K4" s="14" t="s">
        <v>46</v>
      </c>
      <c r="L4" s="14" t="s">
        <v>49</v>
      </c>
      <c r="M4" s="21">
        <v>149900</v>
      </c>
      <c r="N4" s="11">
        <v>0.5</v>
      </c>
      <c r="O4" s="10">
        <f t="shared" si="0"/>
        <v>74950</v>
      </c>
      <c r="P4" s="7" t="s">
        <v>16</v>
      </c>
    </row>
    <row r="5" spans="1:16" x14ac:dyDescent="0.35">
      <c r="A5" s="27" t="s">
        <v>133</v>
      </c>
      <c r="B5" s="8">
        <f t="shared" si="2"/>
        <v>46108</v>
      </c>
      <c r="C5" s="8">
        <f t="shared" si="3"/>
        <v>46113</v>
      </c>
      <c r="D5" s="7">
        <v>3259</v>
      </c>
      <c r="E5" s="7">
        <v>333</v>
      </c>
      <c r="F5" s="7">
        <v>3</v>
      </c>
      <c r="G5" s="7"/>
      <c r="H5" s="14"/>
      <c r="I5" s="7" t="s">
        <v>17</v>
      </c>
      <c r="J5" s="14">
        <v>53687439</v>
      </c>
      <c r="K5" s="14" t="s">
        <v>46</v>
      </c>
      <c r="L5" s="14" t="s">
        <v>50</v>
      </c>
      <c r="M5" s="21">
        <v>149900</v>
      </c>
      <c r="N5" s="11">
        <v>0.5</v>
      </c>
      <c r="O5" s="10">
        <f t="shared" si="0"/>
        <v>74950</v>
      </c>
      <c r="P5" s="7" t="s">
        <v>16</v>
      </c>
    </row>
    <row r="6" spans="1:16" x14ac:dyDescent="0.35">
      <c r="A6" s="27" t="s">
        <v>133</v>
      </c>
      <c r="B6" s="8">
        <f t="shared" si="2"/>
        <v>46108</v>
      </c>
      <c r="C6" s="8">
        <f t="shared" si="3"/>
        <v>46113</v>
      </c>
      <c r="D6" s="7">
        <v>3259</v>
      </c>
      <c r="E6" s="7">
        <v>333</v>
      </c>
      <c r="F6" s="7">
        <v>3</v>
      </c>
      <c r="G6" s="7"/>
      <c r="H6" s="14"/>
      <c r="I6" s="7" t="s">
        <v>17</v>
      </c>
      <c r="J6" s="14">
        <v>53687484</v>
      </c>
      <c r="K6" s="14" t="s">
        <v>46</v>
      </c>
      <c r="L6" s="14" t="s">
        <v>51</v>
      </c>
      <c r="M6" s="21">
        <v>149900</v>
      </c>
      <c r="N6" s="11">
        <v>0.5</v>
      </c>
      <c r="O6" s="10">
        <f t="shared" si="0"/>
        <v>74950</v>
      </c>
      <c r="P6" s="7" t="s">
        <v>16</v>
      </c>
    </row>
    <row r="7" spans="1:16" x14ac:dyDescent="0.35">
      <c r="A7" s="27" t="s">
        <v>133</v>
      </c>
      <c r="B7" s="8">
        <f t="shared" si="2"/>
        <v>46108</v>
      </c>
      <c r="C7" s="8">
        <f t="shared" si="3"/>
        <v>46113</v>
      </c>
      <c r="D7" s="7">
        <v>3259</v>
      </c>
      <c r="E7" s="7">
        <v>333</v>
      </c>
      <c r="F7" s="7">
        <v>3</v>
      </c>
      <c r="G7" s="7"/>
      <c r="H7" s="14"/>
      <c r="I7" s="7" t="s">
        <v>17</v>
      </c>
      <c r="J7" s="14">
        <v>53687493</v>
      </c>
      <c r="K7" s="14" t="s">
        <v>46</v>
      </c>
      <c r="L7" s="14" t="s">
        <v>52</v>
      </c>
      <c r="M7" s="21">
        <v>149900</v>
      </c>
      <c r="N7" s="11">
        <v>0.5</v>
      </c>
      <c r="O7" s="10">
        <f t="shared" si="0"/>
        <v>74950</v>
      </c>
      <c r="P7" s="7" t="s">
        <v>16</v>
      </c>
    </row>
    <row r="8" spans="1:16" x14ac:dyDescent="0.35">
      <c r="A8" s="27" t="s">
        <v>133</v>
      </c>
      <c r="B8" s="8">
        <f t="shared" si="2"/>
        <v>46108</v>
      </c>
      <c r="C8" s="8">
        <f t="shared" si="3"/>
        <v>46113</v>
      </c>
      <c r="D8" s="7">
        <v>3259</v>
      </c>
      <c r="E8" s="7">
        <v>333</v>
      </c>
      <c r="F8" s="7">
        <v>3</v>
      </c>
      <c r="G8" s="7"/>
      <c r="H8" s="14"/>
      <c r="I8" s="7" t="s">
        <v>17</v>
      </c>
      <c r="J8" s="14">
        <v>53687500</v>
      </c>
      <c r="K8" s="14" t="s">
        <v>46</v>
      </c>
      <c r="L8" s="14" t="s">
        <v>53</v>
      </c>
      <c r="M8" s="21">
        <v>149900</v>
      </c>
      <c r="N8" s="11">
        <v>0.5</v>
      </c>
      <c r="O8" s="10">
        <f t="shared" si="0"/>
        <v>74950</v>
      </c>
      <c r="P8" s="7" t="s">
        <v>16</v>
      </c>
    </row>
    <row r="9" spans="1:16" x14ac:dyDescent="0.35">
      <c r="A9" s="27" t="s">
        <v>133</v>
      </c>
      <c r="B9" s="8">
        <f t="shared" si="2"/>
        <v>46108</v>
      </c>
      <c r="C9" s="8">
        <f t="shared" si="3"/>
        <v>46113</v>
      </c>
      <c r="D9" s="7">
        <v>3259</v>
      </c>
      <c r="E9" s="7">
        <v>333</v>
      </c>
      <c r="F9" s="7">
        <v>3</v>
      </c>
      <c r="G9" s="7"/>
      <c r="H9" s="14"/>
      <c r="I9" s="7" t="s">
        <v>17</v>
      </c>
      <c r="J9" s="14">
        <v>53687519</v>
      </c>
      <c r="K9" s="14" t="s">
        <v>46</v>
      </c>
      <c r="L9" s="14" t="s">
        <v>54</v>
      </c>
      <c r="M9" s="21">
        <v>149900</v>
      </c>
      <c r="N9" s="11">
        <v>0.5</v>
      </c>
      <c r="O9" s="10">
        <f t="shared" si="0"/>
        <v>74950</v>
      </c>
      <c r="P9" s="7" t="s">
        <v>16</v>
      </c>
    </row>
    <row r="10" spans="1:16" s="17" customFormat="1" x14ac:dyDescent="0.35">
      <c r="A10" s="27" t="s">
        <v>133</v>
      </c>
      <c r="B10" s="8">
        <f t="shared" si="2"/>
        <v>46108</v>
      </c>
      <c r="C10" s="8">
        <f t="shared" si="3"/>
        <v>46113</v>
      </c>
      <c r="D10" s="7">
        <v>3259</v>
      </c>
      <c r="E10" s="7">
        <v>333</v>
      </c>
      <c r="F10" s="7">
        <v>3</v>
      </c>
      <c r="G10" s="7"/>
      <c r="H10" s="18"/>
      <c r="I10" s="7" t="s">
        <v>17</v>
      </c>
      <c r="J10" s="18">
        <v>19551685</v>
      </c>
      <c r="K10" s="18" t="s">
        <v>37</v>
      </c>
      <c r="L10" s="18" t="s">
        <v>33</v>
      </c>
      <c r="M10" s="21">
        <v>149900</v>
      </c>
      <c r="N10" s="11">
        <v>0.5</v>
      </c>
      <c r="O10" s="10">
        <f t="shared" si="0"/>
        <v>74950</v>
      </c>
      <c r="P10" s="7" t="s">
        <v>16</v>
      </c>
    </row>
    <row r="11" spans="1:16" s="17" customFormat="1" x14ac:dyDescent="0.35">
      <c r="A11" s="27" t="s">
        <v>133</v>
      </c>
      <c r="B11" s="8">
        <f t="shared" si="2"/>
        <v>46108</v>
      </c>
      <c r="C11" s="8">
        <f t="shared" si="3"/>
        <v>46113</v>
      </c>
      <c r="D11" s="7">
        <v>3259</v>
      </c>
      <c r="E11" s="7">
        <v>333</v>
      </c>
      <c r="F11" s="7">
        <v>3</v>
      </c>
      <c r="G11" s="7"/>
      <c r="H11" s="18"/>
      <c r="I11" s="7" t="s">
        <v>17</v>
      </c>
      <c r="J11" s="18">
        <v>19551694</v>
      </c>
      <c r="K11" s="18" t="s">
        <v>37</v>
      </c>
      <c r="L11" s="18" t="s">
        <v>34</v>
      </c>
      <c r="M11" s="21">
        <v>149900</v>
      </c>
      <c r="N11" s="11">
        <v>0.5</v>
      </c>
      <c r="O11" s="10">
        <f t="shared" si="0"/>
        <v>74950</v>
      </c>
      <c r="P11" s="7" t="s">
        <v>16</v>
      </c>
    </row>
    <row r="12" spans="1:16" s="17" customFormat="1" x14ac:dyDescent="0.35">
      <c r="A12" s="27" t="s">
        <v>133</v>
      </c>
      <c r="B12" s="8">
        <f t="shared" si="2"/>
        <v>46108</v>
      </c>
      <c r="C12" s="8">
        <f t="shared" si="3"/>
        <v>46113</v>
      </c>
      <c r="D12" s="7">
        <v>3259</v>
      </c>
      <c r="E12" s="7">
        <v>333</v>
      </c>
      <c r="F12" s="7">
        <v>3</v>
      </c>
      <c r="G12" s="7"/>
      <c r="H12" s="18"/>
      <c r="I12" s="7" t="s">
        <v>17</v>
      </c>
      <c r="J12" s="18">
        <v>19551701</v>
      </c>
      <c r="K12" s="18" t="s">
        <v>37</v>
      </c>
      <c r="L12" s="18" t="s">
        <v>35</v>
      </c>
      <c r="M12" s="21">
        <v>149900</v>
      </c>
      <c r="N12" s="11">
        <v>0.5</v>
      </c>
      <c r="O12" s="10">
        <f t="shared" si="0"/>
        <v>74950</v>
      </c>
      <c r="P12" s="7" t="s">
        <v>16</v>
      </c>
    </row>
    <row r="13" spans="1:16" s="17" customFormat="1" x14ac:dyDescent="0.35">
      <c r="A13" s="27" t="s">
        <v>133</v>
      </c>
      <c r="B13" s="8">
        <f t="shared" si="2"/>
        <v>46108</v>
      </c>
      <c r="C13" s="8">
        <f t="shared" si="3"/>
        <v>46113</v>
      </c>
      <c r="D13" s="7">
        <v>3259</v>
      </c>
      <c r="E13" s="7">
        <v>333</v>
      </c>
      <c r="F13" s="7">
        <v>3</v>
      </c>
      <c r="G13" s="7"/>
      <c r="H13" s="18"/>
      <c r="I13" s="7" t="s">
        <v>17</v>
      </c>
      <c r="J13" s="18">
        <v>19551710</v>
      </c>
      <c r="K13" s="18" t="s">
        <v>37</v>
      </c>
      <c r="L13" s="18" t="s">
        <v>36</v>
      </c>
      <c r="M13" s="21">
        <v>149900</v>
      </c>
      <c r="N13" s="11">
        <v>0.5</v>
      </c>
      <c r="O13" s="10">
        <f t="shared" si="0"/>
        <v>74950</v>
      </c>
      <c r="P13" s="7" t="s">
        <v>16</v>
      </c>
    </row>
    <row r="14" spans="1:16" s="17" customFormat="1" x14ac:dyDescent="0.35">
      <c r="A14" s="27" t="s">
        <v>133</v>
      </c>
      <c r="B14" s="8">
        <f t="shared" si="2"/>
        <v>46108</v>
      </c>
      <c r="C14" s="8">
        <f t="shared" si="3"/>
        <v>46113</v>
      </c>
      <c r="D14" s="7">
        <v>3259</v>
      </c>
      <c r="E14" s="7">
        <v>333</v>
      </c>
      <c r="F14" s="7">
        <v>3</v>
      </c>
      <c r="G14" s="7"/>
      <c r="H14" s="18"/>
      <c r="I14" s="7" t="s">
        <v>17</v>
      </c>
      <c r="J14" s="18">
        <v>19551729</v>
      </c>
      <c r="K14" s="18" t="s">
        <v>37</v>
      </c>
      <c r="L14" s="18" t="s">
        <v>38</v>
      </c>
      <c r="M14" s="21">
        <v>149900</v>
      </c>
      <c r="N14" s="11">
        <v>0.5</v>
      </c>
      <c r="O14" s="10">
        <f t="shared" si="0"/>
        <v>74950</v>
      </c>
      <c r="P14" s="7" t="s">
        <v>16</v>
      </c>
    </row>
    <row r="15" spans="1:16" s="17" customFormat="1" x14ac:dyDescent="0.35">
      <c r="A15" s="27" t="s">
        <v>133</v>
      </c>
      <c r="B15" s="8">
        <f t="shared" si="2"/>
        <v>46108</v>
      </c>
      <c r="C15" s="8">
        <f t="shared" si="3"/>
        <v>46113</v>
      </c>
      <c r="D15" s="7">
        <v>3259</v>
      </c>
      <c r="E15" s="7">
        <v>333</v>
      </c>
      <c r="F15" s="7">
        <v>3</v>
      </c>
      <c r="G15" s="7"/>
      <c r="H15" s="18"/>
      <c r="I15" s="7" t="s">
        <v>17</v>
      </c>
      <c r="J15" s="18">
        <v>19551738</v>
      </c>
      <c r="K15" s="18" t="s">
        <v>37</v>
      </c>
      <c r="L15" s="18" t="s">
        <v>39</v>
      </c>
      <c r="M15" s="21">
        <v>149900</v>
      </c>
      <c r="N15" s="11">
        <v>0.5</v>
      </c>
      <c r="O15" s="10">
        <f t="shared" si="0"/>
        <v>74950</v>
      </c>
      <c r="P15" s="7" t="s">
        <v>16</v>
      </c>
    </row>
    <row r="16" spans="1:16" s="17" customFormat="1" x14ac:dyDescent="0.35">
      <c r="A16" s="27" t="s">
        <v>133</v>
      </c>
      <c r="B16" s="8">
        <f t="shared" si="2"/>
        <v>46108</v>
      </c>
      <c r="C16" s="8">
        <f t="shared" si="3"/>
        <v>46113</v>
      </c>
      <c r="D16" s="7">
        <v>3259</v>
      </c>
      <c r="E16" s="7">
        <v>333</v>
      </c>
      <c r="F16" s="7">
        <v>3</v>
      </c>
      <c r="G16" s="7"/>
      <c r="H16" s="18"/>
      <c r="I16" s="7" t="s">
        <v>17</v>
      </c>
      <c r="J16" s="18">
        <v>19551747</v>
      </c>
      <c r="K16" s="18" t="s">
        <v>37</v>
      </c>
      <c r="L16" s="18" t="s">
        <v>40</v>
      </c>
      <c r="M16" s="21">
        <v>149900</v>
      </c>
      <c r="N16" s="11">
        <v>0.5</v>
      </c>
      <c r="O16" s="10">
        <f t="shared" si="0"/>
        <v>74950</v>
      </c>
      <c r="P16" s="7" t="s">
        <v>16</v>
      </c>
    </row>
    <row r="17" spans="1:16" s="17" customFormat="1" x14ac:dyDescent="0.35">
      <c r="A17" s="27" t="s">
        <v>133</v>
      </c>
      <c r="B17" s="8">
        <f t="shared" si="2"/>
        <v>46108</v>
      </c>
      <c r="C17" s="8">
        <f t="shared" si="3"/>
        <v>46113</v>
      </c>
      <c r="D17" s="7">
        <v>3259</v>
      </c>
      <c r="E17" s="7">
        <v>333</v>
      </c>
      <c r="F17" s="7">
        <v>3</v>
      </c>
      <c r="G17" s="7"/>
      <c r="H17" s="18"/>
      <c r="I17" s="7" t="s">
        <v>17</v>
      </c>
      <c r="J17" s="18">
        <v>19551756</v>
      </c>
      <c r="K17" s="18" t="s">
        <v>37</v>
      </c>
      <c r="L17" s="18" t="s">
        <v>41</v>
      </c>
      <c r="M17" s="21">
        <v>149900</v>
      </c>
      <c r="N17" s="11">
        <v>0.5</v>
      </c>
      <c r="O17" s="10">
        <f t="shared" si="0"/>
        <v>74950</v>
      </c>
      <c r="P17" s="7" t="s">
        <v>16</v>
      </c>
    </row>
    <row r="18" spans="1:16" s="17" customFormat="1" x14ac:dyDescent="0.35">
      <c r="A18" s="27" t="s">
        <v>133</v>
      </c>
      <c r="B18" s="8">
        <f t="shared" si="2"/>
        <v>46108</v>
      </c>
      <c r="C18" s="8">
        <f t="shared" si="3"/>
        <v>46113</v>
      </c>
      <c r="D18" s="7">
        <v>3259</v>
      </c>
      <c r="E18" s="7">
        <v>333</v>
      </c>
      <c r="F18" s="7">
        <v>3</v>
      </c>
      <c r="G18" s="7"/>
      <c r="H18" s="18"/>
      <c r="I18" s="7" t="s">
        <v>17</v>
      </c>
      <c r="J18" s="18">
        <v>51878987</v>
      </c>
      <c r="K18" s="18" t="s">
        <v>37</v>
      </c>
      <c r="L18" s="18" t="s">
        <v>42</v>
      </c>
      <c r="M18" s="21">
        <v>149900</v>
      </c>
      <c r="N18" s="11">
        <v>0.5</v>
      </c>
      <c r="O18" s="10">
        <f t="shared" si="0"/>
        <v>74950</v>
      </c>
      <c r="P18" s="7" t="s">
        <v>16</v>
      </c>
    </row>
    <row r="19" spans="1:16" s="17" customFormat="1" x14ac:dyDescent="0.35">
      <c r="A19" s="27" t="s">
        <v>133</v>
      </c>
      <c r="B19" s="8">
        <f t="shared" si="2"/>
        <v>46108</v>
      </c>
      <c r="C19" s="8">
        <f t="shared" si="3"/>
        <v>46113</v>
      </c>
      <c r="D19" s="7">
        <v>3259</v>
      </c>
      <c r="E19" s="7">
        <v>333</v>
      </c>
      <c r="F19" s="7">
        <v>3</v>
      </c>
      <c r="G19" s="7"/>
      <c r="H19" s="18"/>
      <c r="I19" s="7" t="s">
        <v>17</v>
      </c>
      <c r="J19" s="18">
        <v>51878996</v>
      </c>
      <c r="K19" s="18" t="s">
        <v>37</v>
      </c>
      <c r="L19" s="18" t="s">
        <v>43</v>
      </c>
      <c r="M19" s="21">
        <v>149900</v>
      </c>
      <c r="N19" s="11">
        <v>0.5</v>
      </c>
      <c r="O19" s="10">
        <f t="shared" si="0"/>
        <v>74950</v>
      </c>
      <c r="P19" s="7" t="s">
        <v>16</v>
      </c>
    </row>
    <row r="20" spans="1:16" s="17" customFormat="1" x14ac:dyDescent="0.35">
      <c r="A20" s="27" t="s">
        <v>133</v>
      </c>
      <c r="B20" s="8">
        <f t="shared" si="2"/>
        <v>46108</v>
      </c>
      <c r="C20" s="8">
        <f t="shared" si="3"/>
        <v>46113</v>
      </c>
      <c r="D20" s="7">
        <v>3259</v>
      </c>
      <c r="E20" s="7">
        <v>333</v>
      </c>
      <c r="F20" s="7">
        <v>3</v>
      </c>
      <c r="G20" s="7"/>
      <c r="H20" s="18"/>
      <c r="I20" s="7" t="s">
        <v>17</v>
      </c>
      <c r="J20" s="18">
        <v>51879002</v>
      </c>
      <c r="K20" s="18" t="s">
        <v>37</v>
      </c>
      <c r="L20" s="18" t="s">
        <v>44</v>
      </c>
      <c r="M20" s="21">
        <v>149900</v>
      </c>
      <c r="N20" s="11">
        <v>0.5</v>
      </c>
      <c r="O20" s="10">
        <f t="shared" si="0"/>
        <v>74950</v>
      </c>
      <c r="P20" s="7" t="s">
        <v>16</v>
      </c>
    </row>
    <row r="21" spans="1:16" s="17" customFormat="1" x14ac:dyDescent="0.35">
      <c r="A21" s="27" t="s">
        <v>133</v>
      </c>
      <c r="B21" s="8">
        <f t="shared" si="2"/>
        <v>46108</v>
      </c>
      <c r="C21" s="8">
        <f t="shared" si="3"/>
        <v>46113</v>
      </c>
      <c r="D21" s="7">
        <v>3259</v>
      </c>
      <c r="E21" s="7">
        <v>333</v>
      </c>
      <c r="F21" s="7">
        <v>3</v>
      </c>
      <c r="G21" s="7"/>
      <c r="H21" s="18"/>
      <c r="I21" s="7" t="s">
        <v>17</v>
      </c>
      <c r="J21" s="18">
        <v>51879011</v>
      </c>
      <c r="K21" s="18" t="s">
        <v>37</v>
      </c>
      <c r="L21" s="18" t="s">
        <v>45</v>
      </c>
      <c r="M21" s="21">
        <v>149900</v>
      </c>
      <c r="N21" s="11">
        <v>0.5</v>
      </c>
      <c r="O21" s="10">
        <f t="shared" si="0"/>
        <v>74950</v>
      </c>
      <c r="P21" s="7" t="s">
        <v>16</v>
      </c>
    </row>
    <row r="22" spans="1:16" s="17" customFormat="1" x14ac:dyDescent="0.35">
      <c r="A22" s="27" t="s">
        <v>133</v>
      </c>
      <c r="B22" s="8">
        <f t="shared" si="2"/>
        <v>46108</v>
      </c>
      <c r="C22" s="8">
        <f t="shared" si="3"/>
        <v>46113</v>
      </c>
      <c r="D22" s="7">
        <v>3259</v>
      </c>
      <c r="E22" s="7">
        <v>333</v>
      </c>
      <c r="F22" s="7">
        <v>3</v>
      </c>
      <c r="G22" s="7"/>
      <c r="H22" s="18"/>
      <c r="I22" s="7" t="s">
        <v>17</v>
      </c>
      <c r="J22" s="18">
        <v>54678250</v>
      </c>
      <c r="K22" s="18" t="s">
        <v>37</v>
      </c>
      <c r="L22" s="18" t="s">
        <v>67</v>
      </c>
      <c r="M22" s="21">
        <v>149900</v>
      </c>
      <c r="N22" s="11">
        <v>0.5</v>
      </c>
      <c r="O22" s="10">
        <f t="shared" si="0"/>
        <v>74950</v>
      </c>
      <c r="P22" s="7" t="s">
        <v>16</v>
      </c>
    </row>
    <row r="23" spans="1:16" s="17" customFormat="1" x14ac:dyDescent="0.35">
      <c r="A23" s="27" t="s">
        <v>133</v>
      </c>
      <c r="B23" s="8">
        <f t="shared" si="2"/>
        <v>46108</v>
      </c>
      <c r="C23" s="8">
        <f t="shared" si="3"/>
        <v>46113</v>
      </c>
      <c r="D23" s="7">
        <v>3259</v>
      </c>
      <c r="E23" s="7">
        <v>333</v>
      </c>
      <c r="F23" s="7">
        <v>3</v>
      </c>
      <c r="G23" s="7"/>
      <c r="H23" s="18"/>
      <c r="I23" s="7" t="s">
        <v>17</v>
      </c>
      <c r="J23" s="18">
        <v>54678269</v>
      </c>
      <c r="K23" s="18" t="s">
        <v>37</v>
      </c>
      <c r="L23" s="18" t="s">
        <v>68</v>
      </c>
      <c r="M23" s="21">
        <v>149900</v>
      </c>
      <c r="N23" s="11">
        <v>0.5</v>
      </c>
      <c r="O23" s="10">
        <f t="shared" si="0"/>
        <v>74950</v>
      </c>
      <c r="P23" s="7" t="s">
        <v>16</v>
      </c>
    </row>
    <row r="24" spans="1:16" s="17" customFormat="1" x14ac:dyDescent="0.35">
      <c r="A24" s="27" t="s">
        <v>133</v>
      </c>
      <c r="B24" s="8">
        <f t="shared" si="2"/>
        <v>46108</v>
      </c>
      <c r="C24" s="8">
        <f t="shared" si="3"/>
        <v>46113</v>
      </c>
      <c r="D24" s="7">
        <v>3259</v>
      </c>
      <c r="E24" s="7">
        <v>333</v>
      </c>
      <c r="F24" s="7">
        <v>3</v>
      </c>
      <c r="G24" s="7"/>
      <c r="H24" s="18"/>
      <c r="I24" s="7" t="s">
        <v>17</v>
      </c>
      <c r="J24" s="18">
        <v>54678278</v>
      </c>
      <c r="K24" s="18" t="s">
        <v>37</v>
      </c>
      <c r="L24" s="18" t="s">
        <v>69</v>
      </c>
      <c r="M24" s="21">
        <v>149900</v>
      </c>
      <c r="N24" s="11">
        <v>0.5</v>
      </c>
      <c r="O24" s="10">
        <f t="shared" si="0"/>
        <v>74950</v>
      </c>
      <c r="P24" s="7" t="s">
        <v>16</v>
      </c>
    </row>
    <row r="25" spans="1:16" s="17" customFormat="1" x14ac:dyDescent="0.35">
      <c r="A25" s="27" t="s">
        <v>133</v>
      </c>
      <c r="B25" s="8">
        <f t="shared" si="2"/>
        <v>46108</v>
      </c>
      <c r="C25" s="8">
        <f t="shared" si="3"/>
        <v>46113</v>
      </c>
      <c r="D25" s="7">
        <v>3259</v>
      </c>
      <c r="E25" s="7">
        <v>333</v>
      </c>
      <c r="F25" s="7">
        <v>3</v>
      </c>
      <c r="G25" s="7"/>
      <c r="H25" s="18"/>
      <c r="I25" s="7" t="s">
        <v>17</v>
      </c>
      <c r="J25" s="18">
        <v>54678287</v>
      </c>
      <c r="K25" s="18" t="s">
        <v>37</v>
      </c>
      <c r="L25" s="18" t="s">
        <v>70</v>
      </c>
      <c r="M25" s="21">
        <v>149900</v>
      </c>
      <c r="N25" s="11">
        <v>0.5</v>
      </c>
      <c r="O25" s="10">
        <f t="shared" si="0"/>
        <v>74950</v>
      </c>
      <c r="P25" s="7" t="s">
        <v>16</v>
      </c>
    </row>
    <row r="26" spans="1:16" s="1" customFormat="1" x14ac:dyDescent="0.35">
      <c r="A26" s="27" t="s">
        <v>133</v>
      </c>
      <c r="B26" s="8">
        <f t="shared" si="2"/>
        <v>46108</v>
      </c>
      <c r="C26" s="8">
        <f t="shared" si="3"/>
        <v>46113</v>
      </c>
      <c r="D26" s="7">
        <v>3259</v>
      </c>
      <c r="E26" s="7">
        <v>333</v>
      </c>
      <c r="F26" s="7">
        <v>3</v>
      </c>
      <c r="G26" s="7"/>
      <c r="H26" s="7"/>
      <c r="I26" s="7" t="s">
        <v>17</v>
      </c>
      <c r="J26" s="9">
        <v>54678296</v>
      </c>
      <c r="K26" s="12" t="s">
        <v>37</v>
      </c>
      <c r="L26" s="12" t="s">
        <v>71</v>
      </c>
      <c r="M26" s="19">
        <v>149900</v>
      </c>
      <c r="N26" s="11">
        <v>0.5</v>
      </c>
      <c r="O26" s="10">
        <f t="shared" si="0"/>
        <v>74950</v>
      </c>
      <c r="P26" s="7" t="s">
        <v>16</v>
      </c>
    </row>
  </sheetData>
  <autoFilter ref="A1:P1" xr:uid="{00000000-0009-0000-0000-000010000000}"/>
  <conditionalFormatting sqref="J1">
    <cfRule type="duplicateValues" dxfId="764" priority="5625"/>
    <cfRule type="duplicateValues" dxfId="763" priority="5626"/>
  </conditionalFormatting>
  <conditionalFormatting sqref="J1:J9">
    <cfRule type="duplicateValues" dxfId="762" priority="7247"/>
    <cfRule type="duplicateValues" dxfId="761" priority="7248"/>
    <cfRule type="duplicateValues" dxfId="760" priority="7249"/>
    <cfRule type="duplicateValues" dxfId="759" priority="7250"/>
    <cfRule type="duplicateValues" dxfId="758" priority="7251"/>
    <cfRule type="duplicateValues" dxfId="757" priority="7252"/>
    <cfRule type="duplicateValues" dxfId="756" priority="7253"/>
    <cfRule type="duplicateValues" dxfId="755" priority="7254"/>
    <cfRule type="duplicateValues" dxfId="754" priority="7255"/>
    <cfRule type="duplicateValues" dxfId="753" priority="7256"/>
    <cfRule type="duplicateValues" dxfId="752" priority="7257"/>
    <cfRule type="duplicateValues" dxfId="751" priority="7258"/>
    <cfRule type="duplicateValues" dxfId="750" priority="7259"/>
    <cfRule type="duplicateValues" dxfId="749" priority="7260"/>
    <cfRule type="duplicateValues" dxfId="748" priority="7261"/>
    <cfRule type="duplicateValues" dxfId="747" priority="7297"/>
    <cfRule type="duplicateValues" dxfId="746" priority="7298"/>
    <cfRule type="duplicateValues" dxfId="745" priority="7299"/>
    <cfRule type="duplicateValues" dxfId="744" priority="7300"/>
    <cfRule type="duplicateValues" dxfId="743" priority="7301"/>
    <cfRule type="duplicateValues" dxfId="742" priority="7302"/>
    <cfRule type="duplicateValues" dxfId="741" priority="7303"/>
  </conditionalFormatting>
  <conditionalFormatting sqref="J1:J1048576">
    <cfRule type="duplicateValues" dxfId="740" priority="1"/>
  </conditionalFormatting>
  <conditionalFormatting sqref="J10:J25">
    <cfRule type="duplicateValues" dxfId="739" priority="35"/>
    <cfRule type="duplicateValues" dxfId="738" priority="36"/>
    <cfRule type="duplicateValues" dxfId="737" priority="37"/>
    <cfRule type="duplicateValues" dxfId="736" priority="38"/>
    <cfRule type="duplicateValues" dxfId="735" priority="39"/>
    <cfRule type="duplicateValues" dxfId="734" priority="40"/>
    <cfRule type="duplicateValues" dxfId="733" priority="41"/>
    <cfRule type="duplicateValues" dxfId="732" priority="42"/>
    <cfRule type="duplicateValues" dxfId="731" priority="43"/>
    <cfRule type="duplicateValues" dxfId="730" priority="44"/>
    <cfRule type="duplicateValues" dxfId="729" priority="45"/>
    <cfRule type="duplicateValues" dxfId="728" priority="46"/>
    <cfRule type="duplicateValues" dxfId="727" priority="47"/>
    <cfRule type="duplicateValues" dxfId="726" priority="48"/>
    <cfRule type="duplicateValues" dxfId="725" priority="49"/>
  </conditionalFormatting>
  <conditionalFormatting sqref="J10:J26">
    <cfRule type="duplicateValues" dxfId="724" priority="2"/>
    <cfRule type="duplicateValues" dxfId="723" priority="29"/>
    <cfRule type="duplicateValues" dxfId="722" priority="30"/>
    <cfRule type="duplicateValues" dxfId="721" priority="31"/>
    <cfRule type="duplicateValues" dxfId="720" priority="32"/>
    <cfRule type="duplicateValues" dxfId="719" priority="33"/>
    <cfRule type="duplicateValues" dxfId="718" priority="34"/>
  </conditionalFormatting>
  <conditionalFormatting sqref="J26">
    <cfRule type="duplicateValues" dxfId="717" priority="3"/>
    <cfRule type="duplicateValues" dxfId="716" priority="4"/>
    <cfRule type="duplicateValues" dxfId="715" priority="5"/>
    <cfRule type="duplicateValues" dxfId="714" priority="6"/>
    <cfRule type="duplicateValues" dxfId="713" priority="7"/>
    <cfRule type="duplicateValues" dxfId="712" priority="8"/>
    <cfRule type="duplicateValues" dxfId="711" priority="9"/>
    <cfRule type="duplicateValues" dxfId="710" priority="10"/>
    <cfRule type="duplicateValues" dxfId="709" priority="11"/>
    <cfRule type="duplicateValues" dxfId="708" priority="12"/>
    <cfRule type="duplicateValues" dxfId="707" priority="13"/>
    <cfRule type="duplicateValues" dxfId="706" priority="14"/>
    <cfRule type="duplicateValues" dxfId="705" priority="15"/>
    <cfRule type="duplicateValues" dxfId="704" priority="16"/>
    <cfRule type="duplicateValues" dxfId="703" priority="17"/>
    <cfRule type="duplicateValues" dxfId="702" priority="18"/>
    <cfRule type="duplicateValues" dxfId="701" priority="19"/>
    <cfRule type="duplicateValues" dxfId="700" priority="20"/>
    <cfRule type="duplicateValues" dxfId="699" priority="21"/>
    <cfRule type="duplicateValues" dxfId="698" priority="22"/>
    <cfRule type="duplicateValues" dxfId="697" priority="23"/>
    <cfRule type="duplicateValues" dxfId="696" priority="24"/>
    <cfRule type="duplicateValues" dxfId="695" priority="25"/>
    <cfRule type="duplicateValues" dxfId="694" priority="26"/>
    <cfRule type="duplicateValues" dxfId="693" priority="27"/>
    <cfRule type="duplicateValues" dxfId="692" priority="28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17"/>
  <sheetViews>
    <sheetView zoomScale="55" workbookViewId="0">
      <selection activeCell="A18" sqref="A18:XFD1048576"/>
    </sheetView>
  </sheetViews>
  <sheetFormatPr defaultColWidth="21.54296875" defaultRowHeight="14.5" x14ac:dyDescent="0.35"/>
  <cols>
    <col min="1" max="1" width="35.7265625" style="13" bestFit="1" customWidth="1"/>
    <col min="2" max="2" width="15.81640625" style="13" bestFit="1" customWidth="1"/>
    <col min="3" max="3" width="12.26953125" style="13" bestFit="1" customWidth="1"/>
    <col min="4" max="4" width="5.1796875" style="13" bestFit="1" customWidth="1"/>
    <col min="5" max="5" width="7.1796875" style="13" bestFit="1" customWidth="1"/>
    <col min="6" max="6" width="8.453125" style="13" bestFit="1" customWidth="1"/>
    <col min="7" max="7" width="5.7265625" style="13" bestFit="1" customWidth="1"/>
    <col min="8" max="8" width="8.54296875" style="13" bestFit="1" customWidth="1"/>
    <col min="9" max="9" width="6.7265625" style="13" customWidth="1"/>
    <col min="10" max="10" width="9.81640625" style="13" bestFit="1" customWidth="1"/>
    <col min="11" max="11" width="14.81640625" style="13" customWidth="1"/>
    <col min="12" max="12" width="98.26953125" style="13" bestFit="1" customWidth="1"/>
    <col min="13" max="13" width="14.81640625" style="20" bestFit="1" customWidth="1"/>
    <col min="14" max="14" width="7.26953125" style="13" bestFit="1" customWidth="1"/>
    <col min="15" max="15" width="14" style="13" bestFit="1" customWidth="1"/>
    <col min="16" max="16" width="21.54296875" style="13" customWidth="1"/>
    <col min="17" max="16384" width="21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x14ac:dyDescent="0.35">
      <c r="A2" s="27" t="s">
        <v>134</v>
      </c>
      <c r="B2" s="41">
        <v>46108</v>
      </c>
      <c r="C2" s="41">
        <v>46113</v>
      </c>
      <c r="D2" s="7">
        <v>3259</v>
      </c>
      <c r="E2" s="7">
        <v>333</v>
      </c>
      <c r="F2" s="7">
        <v>3</v>
      </c>
      <c r="G2" s="7"/>
      <c r="H2" s="14"/>
      <c r="I2" s="28" t="s">
        <v>17</v>
      </c>
      <c r="J2" s="14">
        <v>53687206</v>
      </c>
      <c r="K2" s="14" t="s">
        <v>72</v>
      </c>
      <c r="L2" s="14" t="s">
        <v>55</v>
      </c>
      <c r="M2" s="21">
        <v>179900</v>
      </c>
      <c r="N2" s="11">
        <v>0.5</v>
      </c>
      <c r="O2" s="10">
        <f t="shared" ref="O2:O17" si="0">M2-(M2*N2)</f>
        <v>89950</v>
      </c>
      <c r="P2" s="7" t="s">
        <v>16</v>
      </c>
    </row>
    <row r="3" spans="1:16" x14ac:dyDescent="0.35">
      <c r="A3" s="27" t="s">
        <v>134</v>
      </c>
      <c r="B3" s="41">
        <f t="shared" ref="B3:C3" si="1">B2</f>
        <v>46108</v>
      </c>
      <c r="C3" s="41">
        <f t="shared" si="1"/>
        <v>46113</v>
      </c>
      <c r="D3" s="7">
        <v>3259</v>
      </c>
      <c r="E3" s="7">
        <v>333</v>
      </c>
      <c r="F3" s="7">
        <v>3</v>
      </c>
      <c r="G3" s="7"/>
      <c r="H3" s="14"/>
      <c r="I3" s="28" t="s">
        <v>17</v>
      </c>
      <c r="J3" s="14">
        <v>53687215</v>
      </c>
      <c r="K3" s="14" t="s">
        <v>72</v>
      </c>
      <c r="L3" s="14" t="s">
        <v>56</v>
      </c>
      <c r="M3" s="21">
        <v>179900</v>
      </c>
      <c r="N3" s="11">
        <v>0.5</v>
      </c>
      <c r="O3" s="10">
        <f t="shared" si="0"/>
        <v>89950</v>
      </c>
      <c r="P3" s="7" t="s">
        <v>16</v>
      </c>
    </row>
    <row r="4" spans="1:16" x14ac:dyDescent="0.35">
      <c r="A4" s="27" t="s">
        <v>134</v>
      </c>
      <c r="B4" s="8">
        <f t="shared" ref="B4:C4" si="2">B3</f>
        <v>46108</v>
      </c>
      <c r="C4" s="8">
        <f t="shared" si="2"/>
        <v>46113</v>
      </c>
      <c r="D4" s="7">
        <v>3259</v>
      </c>
      <c r="E4" s="7">
        <v>333</v>
      </c>
      <c r="F4" s="7">
        <v>3</v>
      </c>
      <c r="G4" s="7"/>
      <c r="H4" s="14"/>
      <c r="I4" s="28" t="s">
        <v>17</v>
      </c>
      <c r="J4" s="14">
        <v>53687224</v>
      </c>
      <c r="K4" s="14" t="s">
        <v>72</v>
      </c>
      <c r="L4" s="14" t="s">
        <v>57</v>
      </c>
      <c r="M4" s="21">
        <v>179900</v>
      </c>
      <c r="N4" s="11">
        <v>0.5</v>
      </c>
      <c r="O4" s="10">
        <f t="shared" si="0"/>
        <v>89950</v>
      </c>
      <c r="P4" s="7" t="s">
        <v>16</v>
      </c>
    </row>
    <row r="5" spans="1:16" x14ac:dyDescent="0.35">
      <c r="A5" s="27" t="s">
        <v>134</v>
      </c>
      <c r="B5" s="8">
        <f t="shared" ref="B5:C5" si="3">B4</f>
        <v>46108</v>
      </c>
      <c r="C5" s="8">
        <f t="shared" si="3"/>
        <v>46113</v>
      </c>
      <c r="D5" s="7">
        <v>3259</v>
      </c>
      <c r="E5" s="7">
        <v>333</v>
      </c>
      <c r="F5" s="7">
        <v>3</v>
      </c>
      <c r="G5" s="7"/>
      <c r="H5" s="14"/>
      <c r="I5" s="28" t="s">
        <v>17</v>
      </c>
      <c r="J5" s="14">
        <v>53687233</v>
      </c>
      <c r="K5" s="14" t="s">
        <v>72</v>
      </c>
      <c r="L5" s="14" t="s">
        <v>58</v>
      </c>
      <c r="M5" s="21">
        <v>179900</v>
      </c>
      <c r="N5" s="11">
        <v>0.5</v>
      </c>
      <c r="O5" s="10">
        <f t="shared" si="0"/>
        <v>89950</v>
      </c>
      <c r="P5" s="7" t="s">
        <v>16</v>
      </c>
    </row>
    <row r="6" spans="1:16" x14ac:dyDescent="0.35">
      <c r="A6" s="27" t="s">
        <v>134</v>
      </c>
      <c r="B6" s="8">
        <f t="shared" ref="B6:C6" si="4">B5</f>
        <v>46108</v>
      </c>
      <c r="C6" s="8">
        <f t="shared" si="4"/>
        <v>46113</v>
      </c>
      <c r="D6" s="7">
        <v>3259</v>
      </c>
      <c r="E6" s="7">
        <v>333</v>
      </c>
      <c r="F6" s="7">
        <v>3</v>
      </c>
      <c r="G6" s="7"/>
      <c r="H6" s="14"/>
      <c r="I6" s="28" t="s">
        <v>17</v>
      </c>
      <c r="J6" s="14">
        <v>53687242</v>
      </c>
      <c r="K6" s="14" t="s">
        <v>72</v>
      </c>
      <c r="L6" s="14" t="s">
        <v>59</v>
      </c>
      <c r="M6" s="21">
        <v>179900</v>
      </c>
      <c r="N6" s="11">
        <v>0.5</v>
      </c>
      <c r="O6" s="10">
        <f t="shared" si="0"/>
        <v>89950</v>
      </c>
      <c r="P6" s="7" t="s">
        <v>16</v>
      </c>
    </row>
    <row r="7" spans="1:16" x14ac:dyDescent="0.35">
      <c r="A7" s="27" t="s">
        <v>134</v>
      </c>
      <c r="B7" s="8">
        <f t="shared" ref="B7:C7" si="5">B6</f>
        <v>46108</v>
      </c>
      <c r="C7" s="8">
        <f t="shared" si="5"/>
        <v>46113</v>
      </c>
      <c r="D7" s="7">
        <v>3259</v>
      </c>
      <c r="E7" s="7">
        <v>333</v>
      </c>
      <c r="F7" s="7">
        <v>3</v>
      </c>
      <c r="G7" s="7"/>
      <c r="H7" s="14"/>
      <c r="I7" s="28" t="s">
        <v>17</v>
      </c>
      <c r="J7" s="14">
        <v>53687251</v>
      </c>
      <c r="K7" s="14" t="s">
        <v>72</v>
      </c>
      <c r="L7" s="14" t="s">
        <v>60</v>
      </c>
      <c r="M7" s="21">
        <v>179900</v>
      </c>
      <c r="N7" s="11">
        <v>0.5</v>
      </c>
      <c r="O7" s="10">
        <f t="shared" si="0"/>
        <v>89950</v>
      </c>
      <c r="P7" s="7" t="s">
        <v>16</v>
      </c>
    </row>
    <row r="8" spans="1:16" x14ac:dyDescent="0.35">
      <c r="A8" s="27" t="s">
        <v>134</v>
      </c>
      <c r="B8" s="8">
        <f t="shared" ref="B8:C8" si="6">B7</f>
        <v>46108</v>
      </c>
      <c r="C8" s="8">
        <f t="shared" si="6"/>
        <v>46113</v>
      </c>
      <c r="D8" s="7">
        <v>3259</v>
      </c>
      <c r="E8" s="7">
        <v>333</v>
      </c>
      <c r="F8" s="7">
        <v>3</v>
      </c>
      <c r="G8" s="7"/>
      <c r="H8" s="14"/>
      <c r="I8" s="28" t="s">
        <v>17</v>
      </c>
      <c r="J8" s="14">
        <v>53687260</v>
      </c>
      <c r="K8" s="14" t="s">
        <v>72</v>
      </c>
      <c r="L8" s="14" t="s">
        <v>61</v>
      </c>
      <c r="M8" s="21">
        <v>179900</v>
      </c>
      <c r="N8" s="11">
        <v>0.5</v>
      </c>
      <c r="O8" s="10">
        <f t="shared" si="0"/>
        <v>89950</v>
      </c>
      <c r="P8" s="7" t="s">
        <v>16</v>
      </c>
    </row>
    <row r="9" spans="1:16" x14ac:dyDescent="0.35">
      <c r="A9" s="27" t="s">
        <v>134</v>
      </c>
      <c r="B9" s="8">
        <f t="shared" ref="B9:C9" si="7">B8</f>
        <v>46108</v>
      </c>
      <c r="C9" s="8">
        <f t="shared" si="7"/>
        <v>46113</v>
      </c>
      <c r="D9" s="7">
        <v>3259</v>
      </c>
      <c r="E9" s="7">
        <v>333</v>
      </c>
      <c r="F9" s="7">
        <v>3</v>
      </c>
      <c r="G9" s="7"/>
      <c r="H9" s="14"/>
      <c r="I9" s="28" t="s">
        <v>17</v>
      </c>
      <c r="J9" s="14">
        <v>53687279</v>
      </c>
      <c r="K9" s="14" t="s">
        <v>72</v>
      </c>
      <c r="L9" s="14" t="s">
        <v>62</v>
      </c>
      <c r="M9" s="21">
        <v>179900</v>
      </c>
      <c r="N9" s="11">
        <v>0.5</v>
      </c>
      <c r="O9" s="10">
        <f t="shared" si="0"/>
        <v>89950</v>
      </c>
      <c r="P9" s="7" t="s">
        <v>16</v>
      </c>
    </row>
    <row r="10" spans="1:16" x14ac:dyDescent="0.35">
      <c r="A10" s="27" t="s">
        <v>134</v>
      </c>
      <c r="B10" s="8">
        <f t="shared" ref="B10:C10" si="8">B9</f>
        <v>46108</v>
      </c>
      <c r="C10" s="8">
        <f t="shared" si="8"/>
        <v>46113</v>
      </c>
      <c r="D10" s="7">
        <v>3259</v>
      </c>
      <c r="E10" s="7">
        <v>333</v>
      </c>
      <c r="F10" s="7">
        <v>3</v>
      </c>
      <c r="G10" s="7"/>
      <c r="H10" s="14"/>
      <c r="I10" s="28" t="s">
        <v>17</v>
      </c>
      <c r="J10" s="14">
        <v>53687288</v>
      </c>
      <c r="K10" s="14" t="s">
        <v>72</v>
      </c>
      <c r="L10" s="14" t="s">
        <v>63</v>
      </c>
      <c r="M10" s="21">
        <v>179900</v>
      </c>
      <c r="N10" s="11">
        <v>0.5</v>
      </c>
      <c r="O10" s="10">
        <f t="shared" si="0"/>
        <v>89950</v>
      </c>
      <c r="P10" s="7" t="s">
        <v>16</v>
      </c>
    </row>
    <row r="11" spans="1:16" x14ac:dyDescent="0.35">
      <c r="A11" s="27" t="s">
        <v>134</v>
      </c>
      <c r="B11" s="8">
        <f t="shared" ref="B11:C11" si="9">B10</f>
        <v>46108</v>
      </c>
      <c r="C11" s="8">
        <f t="shared" si="9"/>
        <v>46113</v>
      </c>
      <c r="D11" s="7">
        <v>3259</v>
      </c>
      <c r="E11" s="7">
        <v>333</v>
      </c>
      <c r="F11" s="7">
        <v>3</v>
      </c>
      <c r="G11" s="7"/>
      <c r="H11" s="14"/>
      <c r="I11" s="28" t="s">
        <v>17</v>
      </c>
      <c r="J11" s="14">
        <v>53687297</v>
      </c>
      <c r="K11" s="14" t="s">
        <v>72</v>
      </c>
      <c r="L11" s="14" t="s">
        <v>64</v>
      </c>
      <c r="M11" s="21">
        <v>179900</v>
      </c>
      <c r="N11" s="11">
        <v>0.5</v>
      </c>
      <c r="O11" s="10">
        <f t="shared" si="0"/>
        <v>89950</v>
      </c>
      <c r="P11" s="7" t="s">
        <v>16</v>
      </c>
    </row>
    <row r="12" spans="1:16" x14ac:dyDescent="0.35">
      <c r="A12" s="27" t="s">
        <v>134</v>
      </c>
      <c r="B12" s="8">
        <f t="shared" ref="B12:C12" si="10">B11</f>
        <v>46108</v>
      </c>
      <c r="C12" s="8">
        <f t="shared" si="10"/>
        <v>46113</v>
      </c>
      <c r="D12" s="7">
        <v>3259</v>
      </c>
      <c r="E12" s="7">
        <v>333</v>
      </c>
      <c r="F12" s="7">
        <v>3</v>
      </c>
      <c r="G12" s="7"/>
      <c r="H12" s="14"/>
      <c r="I12" s="28" t="s">
        <v>17</v>
      </c>
      <c r="J12" s="14">
        <v>53687304</v>
      </c>
      <c r="K12" s="14" t="s">
        <v>72</v>
      </c>
      <c r="L12" s="14" t="s">
        <v>65</v>
      </c>
      <c r="M12" s="21">
        <v>179900</v>
      </c>
      <c r="N12" s="11">
        <v>0.5</v>
      </c>
      <c r="O12" s="10">
        <f t="shared" si="0"/>
        <v>89950</v>
      </c>
      <c r="P12" s="7" t="s">
        <v>16</v>
      </c>
    </row>
    <row r="13" spans="1:16" x14ac:dyDescent="0.35">
      <c r="A13" s="27" t="s">
        <v>134</v>
      </c>
      <c r="B13" s="8">
        <f t="shared" ref="B13:C13" si="11">B12</f>
        <v>46108</v>
      </c>
      <c r="C13" s="8">
        <f t="shared" si="11"/>
        <v>46113</v>
      </c>
      <c r="D13" s="7">
        <v>3259</v>
      </c>
      <c r="E13" s="7">
        <v>333</v>
      </c>
      <c r="F13" s="7">
        <v>3</v>
      </c>
      <c r="G13" s="7"/>
      <c r="H13" s="14"/>
      <c r="I13" s="28" t="s">
        <v>17</v>
      </c>
      <c r="J13" s="14">
        <v>53687313</v>
      </c>
      <c r="K13" s="14" t="s">
        <v>72</v>
      </c>
      <c r="L13" s="14" t="s">
        <v>66</v>
      </c>
      <c r="M13" s="21">
        <v>179900</v>
      </c>
      <c r="N13" s="11">
        <v>0.5</v>
      </c>
      <c r="O13" s="10">
        <f t="shared" si="0"/>
        <v>89950</v>
      </c>
      <c r="P13" s="7" t="s">
        <v>16</v>
      </c>
    </row>
    <row r="14" spans="1:16" x14ac:dyDescent="0.35">
      <c r="A14" s="27" t="s">
        <v>134</v>
      </c>
      <c r="B14" s="8">
        <f t="shared" ref="B14:C14" si="12">B13</f>
        <v>46108</v>
      </c>
      <c r="C14" s="8">
        <f t="shared" si="12"/>
        <v>46113</v>
      </c>
      <c r="D14" s="7">
        <v>3259</v>
      </c>
      <c r="E14" s="7">
        <v>333</v>
      </c>
      <c r="F14" s="7">
        <v>3</v>
      </c>
      <c r="G14" s="24"/>
      <c r="H14" s="14"/>
      <c r="I14" s="7" t="s">
        <v>17</v>
      </c>
      <c r="J14" s="29">
        <v>87445805</v>
      </c>
      <c r="K14" s="14" t="s">
        <v>19</v>
      </c>
      <c r="L14" s="14" t="s">
        <v>31</v>
      </c>
      <c r="M14" s="26">
        <v>179900</v>
      </c>
      <c r="N14" s="11">
        <v>0.5</v>
      </c>
      <c r="O14" s="10">
        <f t="shared" si="0"/>
        <v>89950</v>
      </c>
      <c r="P14" s="7" t="s">
        <v>16</v>
      </c>
    </row>
    <row r="15" spans="1:16" x14ac:dyDescent="0.35">
      <c r="A15" s="27" t="s">
        <v>134</v>
      </c>
      <c r="B15" s="8">
        <f t="shared" ref="B15:C15" si="13">B14</f>
        <v>46108</v>
      </c>
      <c r="C15" s="8">
        <f t="shared" si="13"/>
        <v>46113</v>
      </c>
      <c r="D15" s="7">
        <v>3259</v>
      </c>
      <c r="E15" s="7">
        <v>333</v>
      </c>
      <c r="F15" s="7">
        <v>3</v>
      </c>
      <c r="G15" s="24"/>
      <c r="H15" s="14"/>
      <c r="I15" s="7" t="s">
        <v>17</v>
      </c>
      <c r="J15" s="29">
        <v>87445798</v>
      </c>
      <c r="K15" s="14" t="s">
        <v>19</v>
      </c>
      <c r="L15" s="14" t="s">
        <v>30</v>
      </c>
      <c r="M15" s="26">
        <v>179900</v>
      </c>
      <c r="N15" s="11">
        <v>0.5</v>
      </c>
      <c r="O15" s="10">
        <f t="shared" si="0"/>
        <v>89950</v>
      </c>
      <c r="P15" s="7" t="s">
        <v>16</v>
      </c>
    </row>
    <row r="16" spans="1:16" x14ac:dyDescent="0.35">
      <c r="A16" s="27" t="s">
        <v>134</v>
      </c>
      <c r="B16" s="8">
        <f t="shared" ref="B16:C16" si="14">B15</f>
        <v>46108</v>
      </c>
      <c r="C16" s="8">
        <f t="shared" si="14"/>
        <v>46113</v>
      </c>
      <c r="D16" s="7">
        <v>3259</v>
      </c>
      <c r="E16" s="7">
        <v>333</v>
      </c>
      <c r="F16" s="7">
        <v>3</v>
      </c>
      <c r="G16" s="24"/>
      <c r="H16" s="14"/>
      <c r="I16" s="7" t="s">
        <v>17</v>
      </c>
      <c r="J16" s="29">
        <v>87445789</v>
      </c>
      <c r="K16" s="14" t="s">
        <v>19</v>
      </c>
      <c r="L16" s="14" t="s">
        <v>29</v>
      </c>
      <c r="M16" s="26">
        <v>179900</v>
      </c>
      <c r="N16" s="11">
        <v>0.5</v>
      </c>
      <c r="O16" s="10">
        <f t="shared" si="0"/>
        <v>89950</v>
      </c>
      <c r="P16" s="7" t="s">
        <v>16</v>
      </c>
    </row>
    <row r="17" spans="1:16" x14ac:dyDescent="0.35">
      <c r="A17" s="27" t="s">
        <v>134</v>
      </c>
      <c r="B17" s="8">
        <f t="shared" ref="B17:C17" si="15">B16</f>
        <v>46108</v>
      </c>
      <c r="C17" s="8">
        <f t="shared" si="15"/>
        <v>46113</v>
      </c>
      <c r="D17" s="7">
        <v>3259</v>
      </c>
      <c r="E17" s="7">
        <v>333</v>
      </c>
      <c r="F17" s="7">
        <v>3</v>
      </c>
      <c r="G17" s="24"/>
      <c r="H17" s="14"/>
      <c r="I17" s="7" t="s">
        <v>17</v>
      </c>
      <c r="J17" s="29">
        <v>87445814</v>
      </c>
      <c r="K17" s="14" t="s">
        <v>19</v>
      </c>
      <c r="L17" s="14" t="s">
        <v>32</v>
      </c>
      <c r="M17" s="26">
        <v>179900</v>
      </c>
      <c r="N17" s="11">
        <v>0.5</v>
      </c>
      <c r="O17" s="10">
        <f t="shared" si="0"/>
        <v>89950</v>
      </c>
      <c r="P17" s="7" t="s">
        <v>16</v>
      </c>
    </row>
  </sheetData>
  <autoFilter ref="A1:P1" xr:uid="{00000000-0009-0000-0000-000012000000}"/>
  <conditionalFormatting sqref="J1">
    <cfRule type="duplicateValues" dxfId="691" priority="5160"/>
    <cfRule type="duplicateValues" dxfId="690" priority="5161"/>
    <cfRule type="duplicateValues" dxfId="689" priority="5162"/>
    <cfRule type="duplicateValues" dxfId="688" priority="5163"/>
    <cfRule type="duplicateValues" dxfId="687" priority="5164"/>
    <cfRule type="duplicateValues" dxfId="686" priority="5165"/>
    <cfRule type="duplicateValues" dxfId="685" priority="5166"/>
    <cfRule type="duplicateValues" dxfId="684" priority="5167"/>
    <cfRule type="duplicateValues" dxfId="683" priority="5168"/>
    <cfRule type="duplicateValues" dxfId="682" priority="5169"/>
  </conditionalFormatting>
  <conditionalFormatting sqref="J1:J13">
    <cfRule type="duplicateValues" dxfId="681" priority="5602"/>
    <cfRule type="duplicateValues" dxfId="680" priority="5603"/>
    <cfRule type="duplicateValues" dxfId="679" priority="5604"/>
    <cfRule type="duplicateValues" dxfId="678" priority="5605"/>
    <cfRule type="duplicateValues" dxfId="677" priority="5606"/>
  </conditionalFormatting>
  <conditionalFormatting sqref="J1:J1048576">
    <cfRule type="duplicateValues" dxfId="676" priority="1"/>
    <cfRule type="duplicateValues" dxfId="675" priority="2"/>
    <cfRule type="duplicateValues" dxfId="674" priority="7264"/>
    <cfRule type="duplicateValues" dxfId="673" priority="7265"/>
    <cfRule type="duplicateValues" dxfId="672" priority="7266"/>
  </conditionalFormatting>
  <conditionalFormatting sqref="J14:J17">
    <cfRule type="duplicateValues" dxfId="671" priority="47"/>
    <cfRule type="duplicateValues" dxfId="670" priority="48"/>
    <cfRule type="duplicateValues" dxfId="669" priority="49"/>
    <cfRule type="duplicateValues" dxfId="668" priority="54"/>
    <cfRule type="duplicateValues" dxfId="667" priority="55"/>
    <cfRule type="duplicateValues" dxfId="666" priority="56"/>
    <cfRule type="duplicateValues" dxfId="665" priority="57"/>
    <cfRule type="duplicateValues" dxfId="664" priority="58"/>
    <cfRule type="duplicateValues" dxfId="663" priority="59"/>
    <cfRule type="duplicateValues" dxfId="662" priority="60"/>
    <cfRule type="duplicateValues" dxfId="661" priority="61"/>
    <cfRule type="duplicateValues" dxfId="660" priority="62"/>
    <cfRule type="duplicateValues" dxfId="659" priority="63"/>
    <cfRule type="duplicateValues" dxfId="658" priority="64"/>
    <cfRule type="duplicateValues" dxfId="657" priority="65"/>
    <cfRule type="duplicateValues" dxfId="656" priority="66"/>
    <cfRule type="duplicateValues" dxfId="655" priority="67"/>
    <cfRule type="duplicateValues" dxfId="654" priority="68"/>
    <cfRule type="duplicateValues" dxfId="653" priority="5488"/>
    <cfRule type="duplicateValues" dxfId="652" priority="5489"/>
    <cfRule type="duplicateValues" dxfId="651" priority="5490"/>
    <cfRule type="duplicateValues" dxfId="650" priority="5491"/>
    <cfRule type="duplicateValues" dxfId="649" priority="5492"/>
    <cfRule type="duplicateValues" dxfId="648" priority="5493"/>
    <cfRule type="duplicateValues" dxfId="647" priority="5494"/>
    <cfRule type="duplicateValues" dxfId="646" priority="5495"/>
    <cfRule type="duplicateValues" dxfId="645" priority="5496"/>
    <cfRule type="duplicateValues" dxfId="644" priority="5497"/>
    <cfRule type="duplicateValues" dxfId="643" priority="5498"/>
    <cfRule type="duplicateValues" dxfId="642" priority="5499"/>
    <cfRule type="duplicateValues" dxfId="641" priority="5500"/>
    <cfRule type="duplicateValues" dxfId="640" priority="5501"/>
    <cfRule type="duplicateValues" dxfId="639" priority="5502"/>
    <cfRule type="duplicateValues" dxfId="638" priority="5503"/>
    <cfRule type="duplicateValues" dxfId="637" priority="5504"/>
    <cfRule type="duplicateValues" dxfId="636" priority="5505"/>
    <cfRule type="duplicateValues" dxfId="635" priority="5506"/>
    <cfRule type="duplicateValues" dxfId="634" priority="5507"/>
    <cfRule type="duplicateValues" dxfId="633" priority="5508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P25"/>
  <sheetViews>
    <sheetView topLeftCell="D1" zoomScale="51" workbookViewId="0">
      <selection activeCell="L39" sqref="L39"/>
    </sheetView>
  </sheetViews>
  <sheetFormatPr defaultColWidth="8.54296875" defaultRowHeight="14.5" x14ac:dyDescent="0.35"/>
  <cols>
    <col min="1" max="1" width="36" style="13" bestFit="1" customWidth="1"/>
    <col min="2" max="2" width="17.54296875" style="13" bestFit="1" customWidth="1"/>
    <col min="3" max="3" width="13.1796875" style="13" bestFit="1" customWidth="1"/>
    <col min="4" max="4" width="8.81640625" style="13" bestFit="1" customWidth="1"/>
    <col min="5" max="5" width="11.1796875" style="13" bestFit="1" customWidth="1"/>
    <col min="6" max="6" width="12.81640625" style="13" bestFit="1" customWidth="1"/>
    <col min="7" max="7" width="10.453125" style="13" bestFit="1" customWidth="1"/>
    <col min="8" max="8" width="14.54296875" style="13" bestFit="1" customWidth="1"/>
    <col min="9" max="9" width="11.26953125" style="13" customWidth="1"/>
    <col min="10" max="10" width="10.81640625" style="13" customWidth="1"/>
    <col min="11" max="11" width="14.1796875" style="13" bestFit="1" customWidth="1"/>
    <col min="12" max="12" width="108.54296875" style="13" bestFit="1" customWidth="1"/>
    <col min="13" max="13" width="25.7265625" style="13" bestFit="1" customWidth="1"/>
    <col min="14" max="14" width="11.54296875" style="13" bestFit="1" customWidth="1"/>
    <col min="15" max="15" width="39.54296875" style="13" bestFit="1" customWidth="1"/>
    <col min="16" max="16" width="22.81640625" style="13" bestFit="1" customWidth="1"/>
    <col min="17" max="16384" width="8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s="15" customFormat="1" x14ac:dyDescent="0.35">
      <c r="A2" s="27" t="s">
        <v>135</v>
      </c>
      <c r="B2" s="41">
        <v>46108</v>
      </c>
      <c r="C2" s="41">
        <v>46113</v>
      </c>
      <c r="D2" s="22">
        <v>3259</v>
      </c>
      <c r="E2" s="22">
        <v>333</v>
      </c>
      <c r="F2" s="22">
        <v>3</v>
      </c>
      <c r="G2" s="16"/>
      <c r="H2" s="16"/>
      <c r="I2" s="16" t="s">
        <v>17</v>
      </c>
      <c r="J2" s="16">
        <v>55489373</v>
      </c>
      <c r="K2" s="27" t="s">
        <v>20</v>
      </c>
      <c r="L2" s="16" t="s">
        <v>79</v>
      </c>
      <c r="M2" s="30">
        <v>199900</v>
      </c>
      <c r="N2" s="11">
        <v>0.5</v>
      </c>
      <c r="O2" s="10">
        <f t="shared" ref="O2:O25" si="0">M2-(M2*N2)</f>
        <v>99950</v>
      </c>
      <c r="P2" s="7" t="s">
        <v>16</v>
      </c>
    </row>
    <row r="3" spans="1:16" s="15" customFormat="1" x14ac:dyDescent="0.35">
      <c r="A3" s="27" t="s">
        <v>135</v>
      </c>
      <c r="B3" s="41">
        <f t="shared" ref="B3:C3" si="1">B2</f>
        <v>46108</v>
      </c>
      <c r="C3" s="41">
        <f t="shared" si="1"/>
        <v>46113</v>
      </c>
      <c r="D3" s="22">
        <v>3259</v>
      </c>
      <c r="E3" s="22">
        <v>333</v>
      </c>
      <c r="F3" s="22">
        <v>3</v>
      </c>
      <c r="G3" s="16"/>
      <c r="H3" s="16"/>
      <c r="I3" s="16" t="s">
        <v>17</v>
      </c>
      <c r="J3" s="16">
        <v>55489382</v>
      </c>
      <c r="K3" s="27" t="s">
        <v>20</v>
      </c>
      <c r="L3" s="16" t="s">
        <v>83</v>
      </c>
      <c r="M3" s="30">
        <v>199900</v>
      </c>
      <c r="N3" s="11">
        <v>0.5</v>
      </c>
      <c r="O3" s="10">
        <f t="shared" si="0"/>
        <v>99950</v>
      </c>
      <c r="P3" s="7" t="s">
        <v>16</v>
      </c>
    </row>
    <row r="4" spans="1:16" s="15" customFormat="1" x14ac:dyDescent="0.35">
      <c r="A4" s="27" t="s">
        <v>135</v>
      </c>
      <c r="B4" s="25">
        <f t="shared" ref="B4:C4" si="2">B3</f>
        <v>46108</v>
      </c>
      <c r="C4" s="25">
        <f t="shared" si="2"/>
        <v>46113</v>
      </c>
      <c r="D4" s="22">
        <v>3259</v>
      </c>
      <c r="E4" s="22">
        <v>333</v>
      </c>
      <c r="F4" s="22">
        <v>3</v>
      </c>
      <c r="G4" s="16"/>
      <c r="H4" s="16"/>
      <c r="I4" s="16" t="s">
        <v>17</v>
      </c>
      <c r="J4" s="16">
        <v>55489391</v>
      </c>
      <c r="K4" s="27" t="s">
        <v>20</v>
      </c>
      <c r="L4" s="16" t="s">
        <v>84</v>
      </c>
      <c r="M4" s="30">
        <v>199900</v>
      </c>
      <c r="N4" s="11">
        <v>0.5</v>
      </c>
      <c r="O4" s="10">
        <f t="shared" si="0"/>
        <v>99950</v>
      </c>
      <c r="P4" s="7" t="s">
        <v>16</v>
      </c>
    </row>
    <row r="5" spans="1:16" s="15" customFormat="1" x14ac:dyDescent="0.35">
      <c r="A5" s="27" t="s">
        <v>135</v>
      </c>
      <c r="B5" s="25">
        <f t="shared" ref="B5:C5" si="3">B4</f>
        <v>46108</v>
      </c>
      <c r="C5" s="25">
        <f t="shared" si="3"/>
        <v>46113</v>
      </c>
      <c r="D5" s="22">
        <v>3259</v>
      </c>
      <c r="E5" s="22">
        <v>333</v>
      </c>
      <c r="F5" s="22">
        <v>3</v>
      </c>
      <c r="G5" s="16"/>
      <c r="H5" s="16"/>
      <c r="I5" s="16" t="s">
        <v>17</v>
      </c>
      <c r="J5" s="16">
        <v>55489408</v>
      </c>
      <c r="K5" s="27" t="s">
        <v>20</v>
      </c>
      <c r="L5" s="16" t="s">
        <v>80</v>
      </c>
      <c r="M5" s="30">
        <v>199900</v>
      </c>
      <c r="N5" s="11">
        <v>0.5</v>
      </c>
      <c r="O5" s="10">
        <f t="shared" si="0"/>
        <v>99950</v>
      </c>
      <c r="P5" s="7" t="s">
        <v>16</v>
      </c>
    </row>
    <row r="6" spans="1:16" s="15" customFormat="1" x14ac:dyDescent="0.35">
      <c r="A6" s="27" t="s">
        <v>135</v>
      </c>
      <c r="B6" s="25">
        <f t="shared" ref="B6:C6" si="4">B5</f>
        <v>46108</v>
      </c>
      <c r="C6" s="25">
        <f t="shared" si="4"/>
        <v>46113</v>
      </c>
      <c r="D6" s="22">
        <v>3259</v>
      </c>
      <c r="E6" s="22">
        <v>333</v>
      </c>
      <c r="F6" s="22">
        <v>3</v>
      </c>
      <c r="G6" s="16"/>
      <c r="H6" s="16"/>
      <c r="I6" s="16" t="s">
        <v>17</v>
      </c>
      <c r="J6" s="16">
        <v>55489417</v>
      </c>
      <c r="K6" s="27" t="s">
        <v>20</v>
      </c>
      <c r="L6" s="16" t="s">
        <v>81</v>
      </c>
      <c r="M6" s="30">
        <v>199900</v>
      </c>
      <c r="N6" s="11">
        <v>0.5</v>
      </c>
      <c r="O6" s="10">
        <f t="shared" si="0"/>
        <v>99950</v>
      </c>
      <c r="P6" s="7" t="s">
        <v>16</v>
      </c>
    </row>
    <row r="7" spans="1:16" s="15" customFormat="1" x14ac:dyDescent="0.35">
      <c r="A7" s="27" t="s">
        <v>135</v>
      </c>
      <c r="B7" s="25">
        <f t="shared" ref="B7:C7" si="5">B6</f>
        <v>46108</v>
      </c>
      <c r="C7" s="25">
        <f t="shared" si="5"/>
        <v>46113</v>
      </c>
      <c r="D7" s="22">
        <v>3259</v>
      </c>
      <c r="E7" s="22">
        <v>333</v>
      </c>
      <c r="F7" s="22">
        <v>3</v>
      </c>
      <c r="G7" s="16"/>
      <c r="H7" s="16"/>
      <c r="I7" s="16" t="s">
        <v>17</v>
      </c>
      <c r="J7" s="16">
        <v>55489426</v>
      </c>
      <c r="K7" s="27" t="s">
        <v>20</v>
      </c>
      <c r="L7" s="16" t="s">
        <v>82</v>
      </c>
      <c r="M7" s="30">
        <v>199900</v>
      </c>
      <c r="N7" s="11">
        <v>0.5</v>
      </c>
      <c r="O7" s="10">
        <f t="shared" si="0"/>
        <v>99950</v>
      </c>
      <c r="P7" s="7" t="s">
        <v>16</v>
      </c>
    </row>
    <row r="8" spans="1:16" s="15" customFormat="1" x14ac:dyDescent="0.35">
      <c r="A8" s="27" t="s">
        <v>135</v>
      </c>
      <c r="B8" s="25">
        <f t="shared" ref="B8:C8" si="6">B7</f>
        <v>46108</v>
      </c>
      <c r="C8" s="25">
        <f t="shared" si="6"/>
        <v>46113</v>
      </c>
      <c r="D8" s="22">
        <v>3259</v>
      </c>
      <c r="E8" s="22">
        <v>333</v>
      </c>
      <c r="F8" s="22">
        <v>3</v>
      </c>
      <c r="G8" s="16"/>
      <c r="H8" s="16"/>
      <c r="I8" s="16" t="s">
        <v>17</v>
      </c>
      <c r="J8" s="16">
        <v>55489435</v>
      </c>
      <c r="K8" s="27" t="s">
        <v>20</v>
      </c>
      <c r="L8" s="16" t="s">
        <v>73</v>
      </c>
      <c r="M8" s="30">
        <v>199900</v>
      </c>
      <c r="N8" s="11">
        <v>0.5</v>
      </c>
      <c r="O8" s="10">
        <f t="shared" si="0"/>
        <v>99950</v>
      </c>
      <c r="P8" s="7" t="s">
        <v>16</v>
      </c>
    </row>
    <row r="9" spans="1:16" s="15" customFormat="1" x14ac:dyDescent="0.35">
      <c r="A9" s="27" t="s">
        <v>135</v>
      </c>
      <c r="B9" s="25">
        <f t="shared" ref="B9:C9" si="7">B8</f>
        <v>46108</v>
      </c>
      <c r="C9" s="25">
        <f t="shared" si="7"/>
        <v>46113</v>
      </c>
      <c r="D9" s="22">
        <v>3259</v>
      </c>
      <c r="E9" s="22">
        <v>333</v>
      </c>
      <c r="F9" s="22">
        <v>3</v>
      </c>
      <c r="G9" s="16"/>
      <c r="H9" s="16"/>
      <c r="I9" s="16" t="s">
        <v>17</v>
      </c>
      <c r="J9" s="16">
        <v>55489444</v>
      </c>
      <c r="K9" s="27" t="s">
        <v>20</v>
      </c>
      <c r="L9" s="16" t="s">
        <v>74</v>
      </c>
      <c r="M9" s="30">
        <v>199900</v>
      </c>
      <c r="N9" s="11">
        <v>0.5</v>
      </c>
      <c r="O9" s="10">
        <f t="shared" si="0"/>
        <v>99950</v>
      </c>
      <c r="P9" s="7" t="s">
        <v>16</v>
      </c>
    </row>
    <row r="10" spans="1:16" s="15" customFormat="1" x14ac:dyDescent="0.35">
      <c r="A10" s="27" t="s">
        <v>135</v>
      </c>
      <c r="B10" s="25">
        <f t="shared" ref="B10:C10" si="8">B9</f>
        <v>46108</v>
      </c>
      <c r="C10" s="25">
        <f t="shared" si="8"/>
        <v>46113</v>
      </c>
      <c r="D10" s="22">
        <v>3259</v>
      </c>
      <c r="E10" s="22">
        <v>333</v>
      </c>
      <c r="F10" s="22">
        <v>3</v>
      </c>
      <c r="G10" s="16"/>
      <c r="H10" s="16"/>
      <c r="I10" s="16" t="s">
        <v>17</v>
      </c>
      <c r="J10" s="16">
        <v>55489453</v>
      </c>
      <c r="K10" s="27" t="s">
        <v>20</v>
      </c>
      <c r="L10" s="16" t="s">
        <v>75</v>
      </c>
      <c r="M10" s="30">
        <v>199900</v>
      </c>
      <c r="N10" s="11">
        <v>0.5</v>
      </c>
      <c r="O10" s="10">
        <f t="shared" si="0"/>
        <v>99950</v>
      </c>
      <c r="P10" s="7" t="s">
        <v>16</v>
      </c>
    </row>
    <row r="11" spans="1:16" s="15" customFormat="1" x14ac:dyDescent="0.35">
      <c r="A11" s="27" t="s">
        <v>135</v>
      </c>
      <c r="B11" s="25">
        <f t="shared" ref="B11:C11" si="9">B10</f>
        <v>46108</v>
      </c>
      <c r="C11" s="25">
        <f t="shared" si="9"/>
        <v>46113</v>
      </c>
      <c r="D11" s="22">
        <v>3259</v>
      </c>
      <c r="E11" s="22">
        <v>333</v>
      </c>
      <c r="F11" s="22">
        <v>3</v>
      </c>
      <c r="G11" s="16"/>
      <c r="H11" s="16"/>
      <c r="I11" s="16" t="s">
        <v>17</v>
      </c>
      <c r="J11" s="16">
        <v>55489462</v>
      </c>
      <c r="K11" s="27" t="s">
        <v>20</v>
      </c>
      <c r="L11" s="16" t="s">
        <v>76</v>
      </c>
      <c r="M11" s="30">
        <v>199900</v>
      </c>
      <c r="N11" s="11">
        <v>0.5</v>
      </c>
      <c r="O11" s="10">
        <f t="shared" si="0"/>
        <v>99950</v>
      </c>
      <c r="P11" s="7" t="s">
        <v>16</v>
      </c>
    </row>
    <row r="12" spans="1:16" s="15" customFormat="1" x14ac:dyDescent="0.35">
      <c r="A12" s="27" t="s">
        <v>135</v>
      </c>
      <c r="B12" s="25">
        <f t="shared" ref="B12:C12" si="10">B11</f>
        <v>46108</v>
      </c>
      <c r="C12" s="25">
        <f t="shared" si="10"/>
        <v>46113</v>
      </c>
      <c r="D12" s="22">
        <v>3259</v>
      </c>
      <c r="E12" s="22">
        <v>333</v>
      </c>
      <c r="F12" s="22">
        <v>3</v>
      </c>
      <c r="G12" s="16"/>
      <c r="H12" s="16"/>
      <c r="I12" s="16" t="s">
        <v>17</v>
      </c>
      <c r="J12" s="16">
        <v>55489471</v>
      </c>
      <c r="K12" s="27" t="s">
        <v>20</v>
      </c>
      <c r="L12" s="16" t="s">
        <v>77</v>
      </c>
      <c r="M12" s="30">
        <v>199900</v>
      </c>
      <c r="N12" s="11">
        <v>0.5</v>
      </c>
      <c r="O12" s="10">
        <f t="shared" si="0"/>
        <v>99950</v>
      </c>
      <c r="P12" s="7" t="s">
        <v>16</v>
      </c>
    </row>
    <row r="13" spans="1:16" s="15" customFormat="1" x14ac:dyDescent="0.35">
      <c r="A13" s="27" t="s">
        <v>135</v>
      </c>
      <c r="B13" s="25">
        <f t="shared" ref="B13:C13" si="11">B12</f>
        <v>46108</v>
      </c>
      <c r="C13" s="25">
        <f t="shared" si="11"/>
        <v>46113</v>
      </c>
      <c r="D13" s="22">
        <v>3259</v>
      </c>
      <c r="E13" s="22">
        <v>333</v>
      </c>
      <c r="F13" s="22">
        <v>3</v>
      </c>
      <c r="G13" s="16"/>
      <c r="H13" s="16"/>
      <c r="I13" s="16" t="s">
        <v>17</v>
      </c>
      <c r="J13" s="16">
        <v>55489480</v>
      </c>
      <c r="K13" s="27" t="s">
        <v>20</v>
      </c>
      <c r="L13" s="16" t="s">
        <v>78</v>
      </c>
      <c r="M13" s="30">
        <v>199900</v>
      </c>
      <c r="N13" s="11">
        <v>0.5</v>
      </c>
      <c r="O13" s="10">
        <f t="shared" si="0"/>
        <v>99950</v>
      </c>
      <c r="P13" s="7" t="s">
        <v>16</v>
      </c>
    </row>
    <row r="14" spans="1:16" s="15" customFormat="1" x14ac:dyDescent="0.35">
      <c r="A14" s="27" t="s">
        <v>135</v>
      </c>
      <c r="B14" s="25">
        <f t="shared" ref="B14:C14" si="12">B13</f>
        <v>46108</v>
      </c>
      <c r="C14" s="25">
        <f t="shared" si="12"/>
        <v>46113</v>
      </c>
      <c r="D14" s="22">
        <v>3259</v>
      </c>
      <c r="E14" s="22">
        <v>333</v>
      </c>
      <c r="F14" s="22">
        <v>3</v>
      </c>
      <c r="G14" s="16"/>
      <c r="H14" s="16"/>
      <c r="I14" s="16" t="s">
        <v>17</v>
      </c>
      <c r="J14" s="16">
        <v>59120431</v>
      </c>
      <c r="K14" s="27" t="s">
        <v>87</v>
      </c>
      <c r="L14" s="16" t="s">
        <v>86</v>
      </c>
      <c r="M14" s="30">
        <v>179900</v>
      </c>
      <c r="N14" s="11">
        <v>0.5</v>
      </c>
      <c r="O14" s="10">
        <f t="shared" si="0"/>
        <v>89950</v>
      </c>
      <c r="P14" s="7" t="s">
        <v>16</v>
      </c>
    </row>
    <row r="15" spans="1:16" s="15" customFormat="1" x14ac:dyDescent="0.35">
      <c r="A15" s="27" t="s">
        <v>135</v>
      </c>
      <c r="B15" s="25">
        <f t="shared" ref="B15:C15" si="13">B14</f>
        <v>46108</v>
      </c>
      <c r="C15" s="25">
        <f t="shared" si="13"/>
        <v>46113</v>
      </c>
      <c r="D15" s="22">
        <v>3259</v>
      </c>
      <c r="E15" s="22">
        <v>333</v>
      </c>
      <c r="F15" s="22">
        <v>3</v>
      </c>
      <c r="G15" s="16"/>
      <c r="H15" s="16"/>
      <c r="I15" s="16" t="s">
        <v>17</v>
      </c>
      <c r="J15" s="16">
        <v>59120440</v>
      </c>
      <c r="K15" s="27" t="s">
        <v>87</v>
      </c>
      <c r="L15" s="16" t="s">
        <v>88</v>
      </c>
      <c r="M15" s="30">
        <v>179900</v>
      </c>
      <c r="N15" s="11">
        <v>0.5</v>
      </c>
      <c r="O15" s="10">
        <f t="shared" si="0"/>
        <v>89950</v>
      </c>
      <c r="P15" s="7" t="s">
        <v>16</v>
      </c>
    </row>
    <row r="16" spans="1:16" s="15" customFormat="1" x14ac:dyDescent="0.35">
      <c r="A16" s="27" t="s">
        <v>135</v>
      </c>
      <c r="B16" s="25">
        <f t="shared" ref="B16:C16" si="14">B15</f>
        <v>46108</v>
      </c>
      <c r="C16" s="25">
        <f t="shared" si="14"/>
        <v>46113</v>
      </c>
      <c r="D16" s="22">
        <v>3259</v>
      </c>
      <c r="E16" s="22">
        <v>333</v>
      </c>
      <c r="F16" s="22">
        <v>3</v>
      </c>
      <c r="G16" s="16"/>
      <c r="H16" s="16"/>
      <c r="I16" s="16" t="s">
        <v>17</v>
      </c>
      <c r="J16" s="16">
        <v>59120459</v>
      </c>
      <c r="K16" s="27" t="s">
        <v>87</v>
      </c>
      <c r="L16" s="16" t="s">
        <v>89</v>
      </c>
      <c r="M16" s="30">
        <v>179900</v>
      </c>
      <c r="N16" s="11">
        <v>0.5</v>
      </c>
      <c r="O16" s="10">
        <f t="shared" si="0"/>
        <v>89950</v>
      </c>
      <c r="P16" s="7" t="s">
        <v>16</v>
      </c>
    </row>
    <row r="17" spans="1:16" s="15" customFormat="1" x14ac:dyDescent="0.35">
      <c r="A17" s="27" t="s">
        <v>135</v>
      </c>
      <c r="B17" s="25">
        <f t="shared" ref="B17:C17" si="15">B16</f>
        <v>46108</v>
      </c>
      <c r="C17" s="25">
        <f t="shared" si="15"/>
        <v>46113</v>
      </c>
      <c r="D17" s="22">
        <v>3259</v>
      </c>
      <c r="E17" s="22">
        <v>333</v>
      </c>
      <c r="F17" s="22">
        <v>3</v>
      </c>
      <c r="G17" s="16"/>
      <c r="H17" s="16"/>
      <c r="I17" s="16" t="s">
        <v>17</v>
      </c>
      <c r="J17" s="16">
        <v>59120468</v>
      </c>
      <c r="K17" s="27" t="s">
        <v>87</v>
      </c>
      <c r="L17" s="16" t="s">
        <v>90</v>
      </c>
      <c r="M17" s="30">
        <v>179900</v>
      </c>
      <c r="N17" s="11">
        <v>0.5</v>
      </c>
      <c r="O17" s="10">
        <f t="shared" si="0"/>
        <v>89950</v>
      </c>
      <c r="P17" s="7" t="s">
        <v>16</v>
      </c>
    </row>
    <row r="18" spans="1:16" s="15" customFormat="1" x14ac:dyDescent="0.35">
      <c r="A18" s="27" t="s">
        <v>135</v>
      </c>
      <c r="B18" s="25">
        <f t="shared" ref="B18:C18" si="16">B17</f>
        <v>46108</v>
      </c>
      <c r="C18" s="25">
        <f t="shared" si="16"/>
        <v>46113</v>
      </c>
      <c r="D18" s="22">
        <v>3259</v>
      </c>
      <c r="E18" s="22">
        <v>333</v>
      </c>
      <c r="F18" s="22">
        <v>3</v>
      </c>
      <c r="G18" s="16"/>
      <c r="H18" s="16"/>
      <c r="I18" s="16" t="s">
        <v>17</v>
      </c>
      <c r="J18" s="16">
        <v>59120477</v>
      </c>
      <c r="K18" s="27" t="s">
        <v>87</v>
      </c>
      <c r="L18" s="16" t="s">
        <v>91</v>
      </c>
      <c r="M18" s="30">
        <v>179900</v>
      </c>
      <c r="N18" s="11">
        <v>0.5</v>
      </c>
      <c r="O18" s="10">
        <f t="shared" si="0"/>
        <v>89950</v>
      </c>
      <c r="P18" s="7" t="s">
        <v>16</v>
      </c>
    </row>
    <row r="19" spans="1:16" s="15" customFormat="1" x14ac:dyDescent="0.35">
      <c r="A19" s="27" t="s">
        <v>135</v>
      </c>
      <c r="B19" s="25">
        <f t="shared" ref="B19:C19" si="17">B18</f>
        <v>46108</v>
      </c>
      <c r="C19" s="25">
        <f t="shared" si="17"/>
        <v>46113</v>
      </c>
      <c r="D19" s="22">
        <v>3259</v>
      </c>
      <c r="E19" s="22">
        <v>333</v>
      </c>
      <c r="F19" s="22">
        <v>3</v>
      </c>
      <c r="G19" s="16"/>
      <c r="H19" s="16"/>
      <c r="I19" s="16" t="s">
        <v>17</v>
      </c>
      <c r="J19" s="16">
        <v>59120486</v>
      </c>
      <c r="K19" s="27" t="s">
        <v>87</v>
      </c>
      <c r="L19" s="16" t="s">
        <v>92</v>
      </c>
      <c r="M19" s="30">
        <v>179900</v>
      </c>
      <c r="N19" s="11">
        <v>0.5</v>
      </c>
      <c r="O19" s="10">
        <f t="shared" si="0"/>
        <v>89950</v>
      </c>
      <c r="P19" s="7" t="s">
        <v>16</v>
      </c>
    </row>
    <row r="20" spans="1:16" s="15" customFormat="1" x14ac:dyDescent="0.35">
      <c r="A20" s="27" t="s">
        <v>135</v>
      </c>
      <c r="B20" s="25">
        <f t="shared" ref="B20:C20" si="18">B19</f>
        <v>46108</v>
      </c>
      <c r="C20" s="25">
        <f t="shared" si="18"/>
        <v>46113</v>
      </c>
      <c r="D20" s="22">
        <v>3259</v>
      </c>
      <c r="E20" s="22">
        <v>333</v>
      </c>
      <c r="F20" s="22">
        <v>3</v>
      </c>
      <c r="G20" s="16"/>
      <c r="H20" s="16"/>
      <c r="I20" s="16" t="s">
        <v>17</v>
      </c>
      <c r="J20" s="16">
        <v>59120495</v>
      </c>
      <c r="K20" s="27" t="s">
        <v>87</v>
      </c>
      <c r="L20" s="16" t="s">
        <v>93</v>
      </c>
      <c r="M20" s="30">
        <v>179900</v>
      </c>
      <c r="N20" s="11">
        <v>0.5</v>
      </c>
      <c r="O20" s="10">
        <f t="shared" si="0"/>
        <v>89950</v>
      </c>
      <c r="P20" s="7" t="s">
        <v>16</v>
      </c>
    </row>
    <row r="21" spans="1:16" s="15" customFormat="1" x14ac:dyDescent="0.35">
      <c r="A21" s="27" t="s">
        <v>135</v>
      </c>
      <c r="B21" s="25">
        <f t="shared" ref="B21:C21" si="19">B20</f>
        <v>46108</v>
      </c>
      <c r="C21" s="25">
        <f t="shared" si="19"/>
        <v>46113</v>
      </c>
      <c r="D21" s="22">
        <v>3259</v>
      </c>
      <c r="E21" s="22">
        <v>333</v>
      </c>
      <c r="F21" s="22">
        <v>3</v>
      </c>
      <c r="G21" s="16"/>
      <c r="H21" s="16"/>
      <c r="I21" s="16" t="s">
        <v>17</v>
      </c>
      <c r="J21" s="16">
        <v>59120502</v>
      </c>
      <c r="K21" s="27" t="s">
        <v>87</v>
      </c>
      <c r="L21" s="16" t="s">
        <v>94</v>
      </c>
      <c r="M21" s="30">
        <v>179900</v>
      </c>
      <c r="N21" s="11">
        <v>0.5</v>
      </c>
      <c r="O21" s="10">
        <f t="shared" si="0"/>
        <v>89950</v>
      </c>
      <c r="P21" s="7" t="s">
        <v>16</v>
      </c>
    </row>
    <row r="22" spans="1:16" s="15" customFormat="1" x14ac:dyDescent="0.35">
      <c r="A22" s="27" t="s">
        <v>135</v>
      </c>
      <c r="B22" s="25">
        <f t="shared" ref="B22:C22" si="20">B21</f>
        <v>46108</v>
      </c>
      <c r="C22" s="25">
        <f t="shared" si="20"/>
        <v>46113</v>
      </c>
      <c r="D22" s="22">
        <v>3259</v>
      </c>
      <c r="E22" s="22">
        <v>333</v>
      </c>
      <c r="F22" s="22">
        <v>3</v>
      </c>
      <c r="G22" s="16"/>
      <c r="H22" s="16"/>
      <c r="I22" s="16" t="s">
        <v>17</v>
      </c>
      <c r="J22" s="16">
        <v>59120511</v>
      </c>
      <c r="K22" s="27" t="s">
        <v>87</v>
      </c>
      <c r="L22" s="16" t="s">
        <v>95</v>
      </c>
      <c r="M22" s="30">
        <v>179900</v>
      </c>
      <c r="N22" s="11">
        <v>0.5</v>
      </c>
      <c r="O22" s="10">
        <f t="shared" si="0"/>
        <v>89950</v>
      </c>
      <c r="P22" s="7" t="s">
        <v>16</v>
      </c>
    </row>
    <row r="23" spans="1:16" s="15" customFormat="1" x14ac:dyDescent="0.35">
      <c r="A23" s="27" t="s">
        <v>135</v>
      </c>
      <c r="B23" s="25">
        <f t="shared" ref="B23:C23" si="21">B22</f>
        <v>46108</v>
      </c>
      <c r="C23" s="25">
        <f t="shared" si="21"/>
        <v>46113</v>
      </c>
      <c r="D23" s="22">
        <v>3259</v>
      </c>
      <c r="E23" s="22">
        <v>333</v>
      </c>
      <c r="F23" s="22">
        <v>3</v>
      </c>
      <c r="G23" s="16"/>
      <c r="H23" s="16"/>
      <c r="I23" s="16" t="s">
        <v>17</v>
      </c>
      <c r="J23" s="16">
        <v>59120520</v>
      </c>
      <c r="K23" s="27" t="s">
        <v>87</v>
      </c>
      <c r="L23" s="16" t="s">
        <v>96</v>
      </c>
      <c r="M23" s="30">
        <v>179900</v>
      </c>
      <c r="N23" s="11">
        <v>0.5</v>
      </c>
      <c r="O23" s="10">
        <f t="shared" si="0"/>
        <v>89950</v>
      </c>
      <c r="P23" s="7" t="s">
        <v>16</v>
      </c>
    </row>
    <row r="24" spans="1:16" s="15" customFormat="1" x14ac:dyDescent="0.35">
      <c r="A24" s="27" t="s">
        <v>135</v>
      </c>
      <c r="B24" s="25">
        <f t="shared" ref="B24:C24" si="22">B23</f>
        <v>46108</v>
      </c>
      <c r="C24" s="25">
        <f t="shared" si="22"/>
        <v>46113</v>
      </c>
      <c r="D24" s="22">
        <v>3259</v>
      </c>
      <c r="E24" s="22">
        <v>333</v>
      </c>
      <c r="F24" s="22">
        <v>3</v>
      </c>
      <c r="G24" s="16"/>
      <c r="H24" s="16"/>
      <c r="I24" s="16" t="s">
        <v>17</v>
      </c>
      <c r="J24" s="16">
        <v>59120539</v>
      </c>
      <c r="K24" s="27" t="s">
        <v>87</v>
      </c>
      <c r="L24" s="16" t="s">
        <v>97</v>
      </c>
      <c r="M24" s="30">
        <v>179900</v>
      </c>
      <c r="N24" s="11">
        <v>0.5</v>
      </c>
      <c r="O24" s="10">
        <f t="shared" si="0"/>
        <v>89950</v>
      </c>
      <c r="P24" s="7" t="s">
        <v>16</v>
      </c>
    </row>
    <row r="25" spans="1:16" s="15" customFormat="1" x14ac:dyDescent="0.35">
      <c r="A25" s="27" t="s">
        <v>135</v>
      </c>
      <c r="B25" s="25">
        <f t="shared" ref="B25:C25" si="23">B24</f>
        <v>46108</v>
      </c>
      <c r="C25" s="25">
        <f t="shared" si="23"/>
        <v>46113</v>
      </c>
      <c r="D25" s="22">
        <v>3259</v>
      </c>
      <c r="E25" s="22">
        <v>333</v>
      </c>
      <c r="F25" s="22">
        <v>3</v>
      </c>
      <c r="G25" s="16"/>
      <c r="H25" s="16"/>
      <c r="I25" s="16" t="s">
        <v>17</v>
      </c>
      <c r="J25" s="16">
        <v>59120548</v>
      </c>
      <c r="K25" s="27" t="s">
        <v>87</v>
      </c>
      <c r="L25" s="16" t="s">
        <v>98</v>
      </c>
      <c r="M25" s="30">
        <v>179900</v>
      </c>
      <c r="N25" s="11">
        <v>0.5</v>
      </c>
      <c r="O25" s="10">
        <f t="shared" si="0"/>
        <v>89950</v>
      </c>
      <c r="P25" s="7" t="s">
        <v>16</v>
      </c>
    </row>
  </sheetData>
  <autoFilter ref="A1:P1" xr:uid="{00000000-0009-0000-0000-000017000000}"/>
  <conditionalFormatting sqref="J1">
    <cfRule type="duplicateValues" dxfId="632" priority="53"/>
    <cfRule type="duplicateValues" dxfId="631" priority="54"/>
  </conditionalFormatting>
  <conditionalFormatting sqref="J1:J25">
    <cfRule type="duplicateValues" dxfId="630" priority="1641"/>
    <cfRule type="duplicateValues" dxfId="629" priority="1642"/>
    <cfRule type="duplicateValues" dxfId="628" priority="1643"/>
    <cfRule type="duplicateValues" dxfId="627" priority="1644"/>
    <cfRule type="duplicateValues" dxfId="626" priority="1645"/>
    <cfRule type="duplicateValues" dxfId="625" priority="1646"/>
    <cfRule type="duplicateValues" dxfId="624" priority="1647"/>
    <cfRule type="duplicateValues" dxfId="623" priority="1648"/>
    <cfRule type="duplicateValues" dxfId="622" priority="1649"/>
    <cfRule type="duplicateValues" dxfId="621" priority="2022"/>
    <cfRule type="duplicateValues" dxfId="620" priority="2023"/>
    <cfRule type="duplicateValues" dxfId="619" priority="3280"/>
  </conditionalFormatting>
  <conditionalFormatting sqref="J1:J1048576">
    <cfRule type="duplicateValues" dxfId="618" priority="1"/>
    <cfRule type="duplicateValues" dxfId="617" priority="7262"/>
    <cfRule type="duplicateValues" dxfId="616" priority="7263"/>
  </conditionalFormatting>
  <conditionalFormatting sqref="J2:J25">
    <cfRule type="duplicateValues" dxfId="615" priority="1656"/>
    <cfRule type="duplicateValues" dxfId="614" priority="1657"/>
    <cfRule type="duplicateValues" dxfId="613" priority="1658"/>
  </conditionalFormatting>
  <conditionalFormatting sqref="J17:J25">
    <cfRule type="duplicateValues" dxfId="612" priority="46"/>
    <cfRule type="duplicateValues" dxfId="611" priority="47"/>
    <cfRule type="duplicateValues" dxfId="610" priority="48"/>
    <cfRule type="duplicateValues" dxfId="609" priority="49"/>
    <cfRule type="duplicateValues" dxfId="608" priority="1659"/>
    <cfRule type="duplicateValues" dxfId="607" priority="166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C067-E132-4588-9AB9-3B9E107086A0}">
  <sheetPr>
    <tabColor rgb="FFFFFF00"/>
  </sheetPr>
  <dimension ref="A1:P43"/>
  <sheetViews>
    <sheetView zoomScale="55" workbookViewId="0">
      <selection activeCell="N9" sqref="N9:P9"/>
    </sheetView>
  </sheetViews>
  <sheetFormatPr defaultColWidth="8.54296875" defaultRowHeight="14.5" x14ac:dyDescent="0.35"/>
  <cols>
    <col min="1" max="1" width="38.54296875" style="45" bestFit="1" customWidth="1"/>
    <col min="2" max="2" width="17.54296875" style="45" bestFit="1" customWidth="1"/>
    <col min="3" max="3" width="13.1796875" style="45" bestFit="1" customWidth="1"/>
    <col min="4" max="4" width="8.81640625" style="45" bestFit="1" customWidth="1"/>
    <col min="5" max="5" width="11.1796875" style="45" bestFit="1" customWidth="1"/>
    <col min="6" max="6" width="12.81640625" style="45" bestFit="1" customWidth="1"/>
    <col min="7" max="7" width="10.453125" style="45" bestFit="1" customWidth="1"/>
    <col min="8" max="8" width="14.54296875" style="45" bestFit="1" customWidth="1"/>
    <col min="9" max="9" width="11.26953125" style="45" customWidth="1"/>
    <col min="10" max="10" width="10.81640625" style="45" customWidth="1"/>
    <col min="11" max="11" width="12.81640625" style="45" bestFit="1" customWidth="1"/>
    <col min="12" max="12" width="66.453125" style="45" bestFit="1" customWidth="1"/>
    <col min="13" max="13" width="25.7265625" style="45" bestFit="1" customWidth="1"/>
    <col min="14" max="14" width="11.54296875" style="45" bestFit="1" customWidth="1"/>
    <col min="15" max="15" width="22.54296875" style="45" bestFit="1" customWidth="1"/>
    <col min="16" max="16" width="22.8164062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217</v>
      </c>
      <c r="B2" s="41">
        <v>46108</v>
      </c>
      <c r="C2" s="41">
        <v>46113</v>
      </c>
      <c r="D2" s="42">
        <v>3259</v>
      </c>
      <c r="E2" s="42">
        <v>333</v>
      </c>
      <c r="F2" s="42">
        <v>3</v>
      </c>
      <c r="G2" s="44">
        <v>11</v>
      </c>
      <c r="H2" s="44">
        <v>80300</v>
      </c>
      <c r="I2" s="44" t="s">
        <v>17</v>
      </c>
      <c r="J2" s="44">
        <v>24839856</v>
      </c>
      <c r="K2" s="40" t="s">
        <v>136</v>
      </c>
      <c r="L2" s="44" t="s">
        <v>137</v>
      </c>
      <c r="M2" s="48">
        <v>179900</v>
      </c>
      <c r="N2" s="11">
        <v>0.5</v>
      </c>
      <c r="O2" s="10">
        <f t="shared" ref="O2" si="0">M2-(M2*N2)</f>
        <v>89950</v>
      </c>
      <c r="P2" s="7" t="s">
        <v>16</v>
      </c>
    </row>
    <row r="3" spans="1:16" s="49" customFormat="1" x14ac:dyDescent="0.35">
      <c r="A3" s="40" t="s">
        <v>217</v>
      </c>
      <c r="B3" s="41">
        <f t="shared" ref="B3:C3" si="1">B2</f>
        <v>46108</v>
      </c>
      <c r="C3" s="41">
        <f t="shared" si="1"/>
        <v>46113</v>
      </c>
      <c r="D3" s="42">
        <v>3259</v>
      </c>
      <c r="E3" s="42">
        <v>333</v>
      </c>
      <c r="F3" s="42">
        <v>3</v>
      </c>
      <c r="G3" s="44">
        <v>11</v>
      </c>
      <c r="H3" s="44">
        <v>80300</v>
      </c>
      <c r="I3" s="44" t="s">
        <v>17</v>
      </c>
      <c r="J3" s="44">
        <v>24840004</v>
      </c>
      <c r="K3" s="40" t="s">
        <v>138</v>
      </c>
      <c r="L3" s="44" t="s">
        <v>139</v>
      </c>
      <c r="M3" s="48">
        <v>179900</v>
      </c>
      <c r="N3" s="11">
        <v>0.5</v>
      </c>
      <c r="O3" s="10">
        <f t="shared" ref="O3:O43" si="2">M3-(M3*N3)</f>
        <v>89950</v>
      </c>
      <c r="P3" s="7" t="s">
        <v>16</v>
      </c>
    </row>
    <row r="4" spans="1:16" s="49" customFormat="1" x14ac:dyDescent="0.35">
      <c r="A4" s="40" t="s">
        <v>217</v>
      </c>
      <c r="B4" s="41">
        <f t="shared" ref="B4:C13" si="3">B3</f>
        <v>46108</v>
      </c>
      <c r="C4" s="41">
        <f t="shared" si="3"/>
        <v>46113</v>
      </c>
      <c r="D4" s="42">
        <v>3259</v>
      </c>
      <c r="E4" s="42">
        <v>333</v>
      </c>
      <c r="F4" s="42">
        <v>3</v>
      </c>
      <c r="G4" s="44">
        <v>11</v>
      </c>
      <c r="H4" s="44">
        <v>80300</v>
      </c>
      <c r="I4" s="44" t="s">
        <v>17</v>
      </c>
      <c r="J4" s="44">
        <v>24840013</v>
      </c>
      <c r="K4" s="40" t="s">
        <v>138</v>
      </c>
      <c r="L4" s="44" t="s">
        <v>140</v>
      </c>
      <c r="M4" s="48">
        <v>179900</v>
      </c>
      <c r="N4" s="11">
        <v>0.5</v>
      </c>
      <c r="O4" s="10">
        <f t="shared" si="2"/>
        <v>89950</v>
      </c>
      <c r="P4" s="7" t="s">
        <v>16</v>
      </c>
    </row>
    <row r="5" spans="1:16" s="49" customFormat="1" x14ac:dyDescent="0.35">
      <c r="A5" s="40" t="s">
        <v>217</v>
      </c>
      <c r="B5" s="41">
        <f t="shared" si="3"/>
        <v>46108</v>
      </c>
      <c r="C5" s="41">
        <f t="shared" si="3"/>
        <v>46113</v>
      </c>
      <c r="D5" s="42">
        <v>3259</v>
      </c>
      <c r="E5" s="42">
        <v>333</v>
      </c>
      <c r="F5" s="42">
        <v>3</v>
      </c>
      <c r="G5" s="44">
        <v>11</v>
      </c>
      <c r="H5" s="44">
        <v>80300</v>
      </c>
      <c r="I5" s="44" t="s">
        <v>17</v>
      </c>
      <c r="J5" s="44">
        <v>38267751</v>
      </c>
      <c r="K5" s="40" t="s">
        <v>141</v>
      </c>
      <c r="L5" s="44" t="s">
        <v>142</v>
      </c>
      <c r="M5" s="48">
        <v>179900</v>
      </c>
      <c r="N5" s="11">
        <v>0.5</v>
      </c>
      <c r="O5" s="10">
        <f t="shared" si="2"/>
        <v>89950</v>
      </c>
      <c r="P5" s="7" t="s">
        <v>16</v>
      </c>
    </row>
    <row r="6" spans="1:16" s="49" customFormat="1" x14ac:dyDescent="0.35">
      <c r="A6" s="40" t="s">
        <v>217</v>
      </c>
      <c r="B6" s="41">
        <f t="shared" si="3"/>
        <v>46108</v>
      </c>
      <c r="C6" s="41">
        <f t="shared" si="3"/>
        <v>46113</v>
      </c>
      <c r="D6" s="42">
        <v>3259</v>
      </c>
      <c r="E6" s="42">
        <v>333</v>
      </c>
      <c r="F6" s="42">
        <v>3</v>
      </c>
      <c r="G6" s="44">
        <v>11</v>
      </c>
      <c r="H6" s="44">
        <v>80300</v>
      </c>
      <c r="I6" s="44" t="s">
        <v>17</v>
      </c>
      <c r="J6" s="44">
        <v>38267760</v>
      </c>
      <c r="K6" s="40" t="s">
        <v>141</v>
      </c>
      <c r="L6" s="44" t="s">
        <v>143</v>
      </c>
      <c r="M6" s="48">
        <v>179900</v>
      </c>
      <c r="N6" s="11">
        <v>0.5</v>
      </c>
      <c r="O6" s="10">
        <f t="shared" si="2"/>
        <v>89950</v>
      </c>
      <c r="P6" s="7" t="s">
        <v>16</v>
      </c>
    </row>
    <row r="7" spans="1:16" s="49" customFormat="1" x14ac:dyDescent="0.35">
      <c r="A7" s="40" t="s">
        <v>217</v>
      </c>
      <c r="B7" s="41">
        <f t="shared" si="3"/>
        <v>46108</v>
      </c>
      <c r="C7" s="41">
        <f t="shared" si="3"/>
        <v>46113</v>
      </c>
      <c r="D7" s="42">
        <v>3259</v>
      </c>
      <c r="E7" s="42">
        <v>333</v>
      </c>
      <c r="F7" s="42">
        <v>3</v>
      </c>
      <c r="G7" s="44">
        <v>11</v>
      </c>
      <c r="H7" s="44">
        <v>80300</v>
      </c>
      <c r="I7" s="44" t="s">
        <v>17</v>
      </c>
      <c r="J7" s="44">
        <v>38267779</v>
      </c>
      <c r="K7" s="40" t="s">
        <v>141</v>
      </c>
      <c r="L7" s="44" t="s">
        <v>144</v>
      </c>
      <c r="M7" s="48">
        <v>179900</v>
      </c>
      <c r="N7" s="11">
        <v>0.5</v>
      </c>
      <c r="O7" s="10">
        <f t="shared" si="2"/>
        <v>89950</v>
      </c>
      <c r="P7" s="7" t="s">
        <v>16</v>
      </c>
    </row>
    <row r="8" spans="1:16" s="49" customFormat="1" x14ac:dyDescent="0.35">
      <c r="A8" s="40" t="s">
        <v>217</v>
      </c>
      <c r="B8" s="41">
        <f t="shared" si="3"/>
        <v>46108</v>
      </c>
      <c r="C8" s="41">
        <f t="shared" si="3"/>
        <v>46113</v>
      </c>
      <c r="D8" s="42">
        <v>3259</v>
      </c>
      <c r="E8" s="42">
        <v>333</v>
      </c>
      <c r="F8" s="42">
        <v>3</v>
      </c>
      <c r="G8" s="44">
        <v>11</v>
      </c>
      <c r="H8" s="44">
        <v>80300</v>
      </c>
      <c r="I8" s="44" t="s">
        <v>17</v>
      </c>
      <c r="J8" s="44">
        <v>38267788</v>
      </c>
      <c r="K8" s="40" t="s">
        <v>141</v>
      </c>
      <c r="L8" s="44" t="s">
        <v>145</v>
      </c>
      <c r="M8" s="48">
        <v>179900</v>
      </c>
      <c r="N8" s="11">
        <v>0.5</v>
      </c>
      <c r="O8" s="10">
        <f t="shared" si="2"/>
        <v>89950</v>
      </c>
      <c r="P8" s="7" t="s">
        <v>16</v>
      </c>
    </row>
    <row r="9" spans="1:16" s="49" customFormat="1" x14ac:dyDescent="0.35">
      <c r="A9" s="40" t="s">
        <v>217</v>
      </c>
      <c r="B9" s="41">
        <f t="shared" si="3"/>
        <v>46108</v>
      </c>
      <c r="C9" s="41">
        <f t="shared" si="3"/>
        <v>46113</v>
      </c>
      <c r="D9" s="42">
        <v>3259</v>
      </c>
      <c r="E9" s="42">
        <v>333</v>
      </c>
      <c r="F9" s="42">
        <v>3</v>
      </c>
      <c r="G9" s="44">
        <v>11</v>
      </c>
      <c r="H9" s="44">
        <v>80300</v>
      </c>
      <c r="I9" s="44" t="s">
        <v>17</v>
      </c>
      <c r="J9" s="44">
        <v>38267797</v>
      </c>
      <c r="K9" s="40" t="s">
        <v>141</v>
      </c>
      <c r="L9" s="44" t="s">
        <v>146</v>
      </c>
      <c r="M9" s="48">
        <v>179900</v>
      </c>
      <c r="N9" s="11">
        <v>0.5</v>
      </c>
      <c r="O9" s="10">
        <f t="shared" si="2"/>
        <v>89950</v>
      </c>
      <c r="P9" s="7" t="s">
        <v>16</v>
      </c>
    </row>
    <row r="10" spans="1:16" s="49" customFormat="1" x14ac:dyDescent="0.35">
      <c r="A10" s="40" t="s">
        <v>217</v>
      </c>
      <c r="B10" s="41">
        <f t="shared" si="3"/>
        <v>46108</v>
      </c>
      <c r="C10" s="41">
        <f t="shared" si="3"/>
        <v>46113</v>
      </c>
      <c r="D10" s="42">
        <v>3259</v>
      </c>
      <c r="E10" s="42">
        <v>333</v>
      </c>
      <c r="F10" s="42">
        <v>3</v>
      </c>
      <c r="G10" s="44">
        <v>11</v>
      </c>
      <c r="H10" s="44">
        <v>80300</v>
      </c>
      <c r="I10" s="44" t="s">
        <v>17</v>
      </c>
      <c r="J10" s="44">
        <v>24839801</v>
      </c>
      <c r="K10" s="40" t="s">
        <v>136</v>
      </c>
      <c r="L10" s="44" t="s">
        <v>147</v>
      </c>
      <c r="M10" s="48">
        <v>179900</v>
      </c>
      <c r="N10" s="11">
        <v>0.5</v>
      </c>
      <c r="O10" s="10">
        <f t="shared" si="2"/>
        <v>89950</v>
      </c>
      <c r="P10" s="7" t="s">
        <v>16</v>
      </c>
    </row>
    <row r="11" spans="1:16" s="49" customFormat="1" x14ac:dyDescent="0.35">
      <c r="A11" s="40" t="s">
        <v>217</v>
      </c>
      <c r="B11" s="41">
        <f t="shared" si="3"/>
        <v>46108</v>
      </c>
      <c r="C11" s="41">
        <f t="shared" si="3"/>
        <v>46113</v>
      </c>
      <c r="D11" s="42">
        <v>3259</v>
      </c>
      <c r="E11" s="42">
        <v>333</v>
      </c>
      <c r="F11" s="42">
        <v>3</v>
      </c>
      <c r="G11" s="44">
        <v>11</v>
      </c>
      <c r="H11" s="44">
        <v>80300</v>
      </c>
      <c r="I11" s="44" t="s">
        <v>17</v>
      </c>
      <c r="J11" s="44">
        <v>24839810</v>
      </c>
      <c r="K11" s="40" t="s">
        <v>136</v>
      </c>
      <c r="L11" s="44" t="s">
        <v>148</v>
      </c>
      <c r="M11" s="48">
        <v>179900</v>
      </c>
      <c r="N11" s="11">
        <v>0.5</v>
      </c>
      <c r="O11" s="10">
        <f t="shared" si="2"/>
        <v>89950</v>
      </c>
      <c r="P11" s="7" t="s">
        <v>16</v>
      </c>
    </row>
    <row r="12" spans="1:16" s="49" customFormat="1" x14ac:dyDescent="0.35">
      <c r="A12" s="40" t="s">
        <v>217</v>
      </c>
      <c r="B12" s="41">
        <f t="shared" si="3"/>
        <v>46108</v>
      </c>
      <c r="C12" s="41">
        <f t="shared" si="3"/>
        <v>46113</v>
      </c>
      <c r="D12" s="42">
        <v>3259</v>
      </c>
      <c r="E12" s="42">
        <v>333</v>
      </c>
      <c r="F12" s="42">
        <v>3</v>
      </c>
      <c r="G12" s="44">
        <v>11</v>
      </c>
      <c r="H12" s="44">
        <v>80300</v>
      </c>
      <c r="I12" s="44" t="s">
        <v>17</v>
      </c>
      <c r="J12" s="44">
        <v>24839829</v>
      </c>
      <c r="K12" s="40" t="s">
        <v>136</v>
      </c>
      <c r="L12" s="44" t="s">
        <v>149</v>
      </c>
      <c r="M12" s="48">
        <v>179900</v>
      </c>
      <c r="N12" s="11">
        <v>0.5</v>
      </c>
      <c r="O12" s="10">
        <f t="shared" si="2"/>
        <v>89950</v>
      </c>
      <c r="P12" s="7" t="s">
        <v>16</v>
      </c>
    </row>
    <row r="13" spans="1:16" s="49" customFormat="1" x14ac:dyDescent="0.35">
      <c r="A13" s="40" t="s">
        <v>217</v>
      </c>
      <c r="B13" s="41">
        <f t="shared" si="3"/>
        <v>46108</v>
      </c>
      <c r="C13" s="41">
        <f t="shared" si="3"/>
        <v>46113</v>
      </c>
      <c r="D13" s="42">
        <v>3259</v>
      </c>
      <c r="E13" s="42">
        <v>333</v>
      </c>
      <c r="F13" s="42">
        <v>3</v>
      </c>
      <c r="G13" s="44">
        <v>11</v>
      </c>
      <c r="H13" s="44">
        <v>80300</v>
      </c>
      <c r="I13" s="44" t="s">
        <v>17</v>
      </c>
      <c r="J13" s="44">
        <v>24839838</v>
      </c>
      <c r="K13" s="40" t="s">
        <v>136</v>
      </c>
      <c r="L13" s="44" t="s">
        <v>150</v>
      </c>
      <c r="M13" s="48">
        <v>179900</v>
      </c>
      <c r="N13" s="11">
        <v>0.5</v>
      </c>
      <c r="O13" s="10">
        <f t="shared" si="2"/>
        <v>89950</v>
      </c>
      <c r="P13" s="7" t="s">
        <v>16</v>
      </c>
    </row>
    <row r="14" spans="1:16" s="49" customFormat="1" x14ac:dyDescent="0.35">
      <c r="A14" s="40" t="s">
        <v>217</v>
      </c>
      <c r="B14" s="41">
        <f t="shared" ref="B14:C14" si="4">B13</f>
        <v>46108</v>
      </c>
      <c r="C14" s="41">
        <f t="shared" si="4"/>
        <v>46113</v>
      </c>
      <c r="D14" s="42">
        <v>3259</v>
      </c>
      <c r="E14" s="42">
        <v>333</v>
      </c>
      <c r="F14" s="42">
        <v>3</v>
      </c>
      <c r="G14" s="44">
        <v>11</v>
      </c>
      <c r="H14" s="44">
        <v>80300</v>
      </c>
      <c r="I14" s="44" t="s">
        <v>17</v>
      </c>
      <c r="J14" s="44">
        <v>24839847</v>
      </c>
      <c r="K14" s="40" t="s">
        <v>136</v>
      </c>
      <c r="L14" s="44" t="s">
        <v>151</v>
      </c>
      <c r="M14" s="48">
        <v>179900</v>
      </c>
      <c r="N14" s="11">
        <v>0.5</v>
      </c>
      <c r="O14" s="10">
        <f t="shared" si="2"/>
        <v>89950</v>
      </c>
      <c r="P14" s="7" t="s">
        <v>16</v>
      </c>
    </row>
    <row r="15" spans="1:16" s="49" customFormat="1" x14ac:dyDescent="0.35">
      <c r="A15" s="40" t="s">
        <v>217</v>
      </c>
      <c r="B15" s="41">
        <f t="shared" ref="B15:C15" si="5">B14</f>
        <v>46108</v>
      </c>
      <c r="C15" s="41">
        <f t="shared" si="5"/>
        <v>46113</v>
      </c>
      <c r="D15" s="42">
        <v>3259</v>
      </c>
      <c r="E15" s="42">
        <v>333</v>
      </c>
      <c r="F15" s="42">
        <v>3</v>
      </c>
      <c r="G15" s="44">
        <v>11</v>
      </c>
      <c r="H15" s="44">
        <v>80300</v>
      </c>
      <c r="I15" s="44" t="s">
        <v>17</v>
      </c>
      <c r="J15" s="44">
        <v>24839865</v>
      </c>
      <c r="K15" s="40" t="s">
        <v>136</v>
      </c>
      <c r="L15" s="44" t="s">
        <v>152</v>
      </c>
      <c r="M15" s="48">
        <v>179900</v>
      </c>
      <c r="N15" s="11">
        <v>0.5</v>
      </c>
      <c r="O15" s="10">
        <f t="shared" si="2"/>
        <v>89950</v>
      </c>
      <c r="P15" s="7" t="s">
        <v>16</v>
      </c>
    </row>
    <row r="16" spans="1:16" s="49" customFormat="1" x14ac:dyDescent="0.35">
      <c r="A16" s="40" t="s">
        <v>217</v>
      </c>
      <c r="B16" s="41">
        <f t="shared" ref="B16:C16" si="6">B15</f>
        <v>46108</v>
      </c>
      <c r="C16" s="41">
        <f t="shared" si="6"/>
        <v>46113</v>
      </c>
      <c r="D16" s="42">
        <v>3259</v>
      </c>
      <c r="E16" s="42">
        <v>333</v>
      </c>
      <c r="F16" s="42">
        <v>3</v>
      </c>
      <c r="G16" s="44">
        <v>11</v>
      </c>
      <c r="H16" s="44">
        <v>80300</v>
      </c>
      <c r="I16" s="44" t="s">
        <v>17</v>
      </c>
      <c r="J16" s="44">
        <v>24839954</v>
      </c>
      <c r="K16" s="40" t="s">
        <v>138</v>
      </c>
      <c r="L16" s="44" t="s">
        <v>153</v>
      </c>
      <c r="M16" s="48">
        <v>179900</v>
      </c>
      <c r="N16" s="11">
        <v>0.5</v>
      </c>
      <c r="O16" s="10">
        <f t="shared" si="2"/>
        <v>89950</v>
      </c>
      <c r="P16" s="7" t="s">
        <v>16</v>
      </c>
    </row>
    <row r="17" spans="1:16" s="49" customFormat="1" x14ac:dyDescent="0.35">
      <c r="A17" s="40" t="s">
        <v>217</v>
      </c>
      <c r="B17" s="41">
        <f t="shared" ref="B17:C17" si="7">B16</f>
        <v>46108</v>
      </c>
      <c r="C17" s="41">
        <f t="shared" si="7"/>
        <v>46113</v>
      </c>
      <c r="D17" s="42">
        <v>3259</v>
      </c>
      <c r="E17" s="42">
        <v>333</v>
      </c>
      <c r="F17" s="42">
        <v>3</v>
      </c>
      <c r="G17" s="44">
        <v>11</v>
      </c>
      <c r="H17" s="44">
        <v>80300</v>
      </c>
      <c r="I17" s="44" t="s">
        <v>17</v>
      </c>
      <c r="J17" s="44">
        <v>24839963</v>
      </c>
      <c r="K17" s="40" t="s">
        <v>138</v>
      </c>
      <c r="L17" s="44" t="s">
        <v>154</v>
      </c>
      <c r="M17" s="48">
        <v>179900</v>
      </c>
      <c r="N17" s="11">
        <v>0.5</v>
      </c>
      <c r="O17" s="10">
        <f t="shared" si="2"/>
        <v>89950</v>
      </c>
      <c r="P17" s="7" t="s">
        <v>16</v>
      </c>
    </row>
    <row r="18" spans="1:16" s="49" customFormat="1" x14ac:dyDescent="0.35">
      <c r="A18" s="40" t="s">
        <v>217</v>
      </c>
      <c r="B18" s="41">
        <f t="shared" ref="B18:C18" si="8">B17</f>
        <v>46108</v>
      </c>
      <c r="C18" s="41">
        <f t="shared" si="8"/>
        <v>46113</v>
      </c>
      <c r="D18" s="42">
        <v>3259</v>
      </c>
      <c r="E18" s="42">
        <v>333</v>
      </c>
      <c r="F18" s="42">
        <v>3</v>
      </c>
      <c r="G18" s="44">
        <v>11</v>
      </c>
      <c r="H18" s="44">
        <v>80300</v>
      </c>
      <c r="I18" s="44" t="s">
        <v>17</v>
      </c>
      <c r="J18" s="44">
        <v>24839972</v>
      </c>
      <c r="K18" s="40" t="s">
        <v>138</v>
      </c>
      <c r="L18" s="44" t="s">
        <v>155</v>
      </c>
      <c r="M18" s="48">
        <v>179900</v>
      </c>
      <c r="N18" s="11">
        <v>0.5</v>
      </c>
      <c r="O18" s="10">
        <f t="shared" si="2"/>
        <v>89950</v>
      </c>
      <c r="P18" s="7" t="s">
        <v>16</v>
      </c>
    </row>
    <row r="19" spans="1:16" s="49" customFormat="1" x14ac:dyDescent="0.35">
      <c r="A19" s="40" t="s">
        <v>217</v>
      </c>
      <c r="B19" s="41">
        <f t="shared" ref="B19:C19" si="9">B18</f>
        <v>46108</v>
      </c>
      <c r="C19" s="41">
        <f t="shared" si="9"/>
        <v>46113</v>
      </c>
      <c r="D19" s="42">
        <v>3259</v>
      </c>
      <c r="E19" s="42">
        <v>333</v>
      </c>
      <c r="F19" s="42">
        <v>3</v>
      </c>
      <c r="G19" s="44">
        <v>11</v>
      </c>
      <c r="H19" s="44">
        <v>80300</v>
      </c>
      <c r="I19" s="44" t="s">
        <v>17</v>
      </c>
      <c r="J19" s="44">
        <v>24839981</v>
      </c>
      <c r="K19" s="40" t="s">
        <v>138</v>
      </c>
      <c r="L19" s="44" t="s">
        <v>156</v>
      </c>
      <c r="M19" s="48">
        <v>179900</v>
      </c>
      <c r="N19" s="11">
        <v>0.5</v>
      </c>
      <c r="O19" s="10">
        <f t="shared" si="2"/>
        <v>89950</v>
      </c>
      <c r="P19" s="7" t="s">
        <v>16</v>
      </c>
    </row>
    <row r="20" spans="1:16" s="49" customFormat="1" x14ac:dyDescent="0.35">
      <c r="A20" s="40" t="s">
        <v>217</v>
      </c>
      <c r="B20" s="41">
        <f t="shared" ref="B20:C20" si="10">B19</f>
        <v>46108</v>
      </c>
      <c r="C20" s="41">
        <f t="shared" si="10"/>
        <v>46113</v>
      </c>
      <c r="D20" s="42">
        <v>3259</v>
      </c>
      <c r="E20" s="42">
        <v>333</v>
      </c>
      <c r="F20" s="42">
        <v>3</v>
      </c>
      <c r="G20" s="44">
        <v>11</v>
      </c>
      <c r="H20" s="44">
        <v>80300</v>
      </c>
      <c r="I20" s="44" t="s">
        <v>17</v>
      </c>
      <c r="J20" s="44">
        <v>24839990</v>
      </c>
      <c r="K20" s="40" t="s">
        <v>138</v>
      </c>
      <c r="L20" s="44" t="s">
        <v>157</v>
      </c>
      <c r="M20" s="48">
        <v>179900</v>
      </c>
      <c r="N20" s="11">
        <v>0.5</v>
      </c>
      <c r="O20" s="10">
        <f t="shared" si="2"/>
        <v>89950</v>
      </c>
      <c r="P20" s="7" t="s">
        <v>16</v>
      </c>
    </row>
    <row r="21" spans="1:16" s="49" customFormat="1" x14ac:dyDescent="0.35">
      <c r="A21" s="40" t="s">
        <v>217</v>
      </c>
      <c r="B21" s="41">
        <f t="shared" ref="B21:C21" si="11">B20</f>
        <v>46108</v>
      </c>
      <c r="C21" s="41">
        <f t="shared" si="11"/>
        <v>46113</v>
      </c>
      <c r="D21" s="42">
        <v>3259</v>
      </c>
      <c r="E21" s="42">
        <v>333</v>
      </c>
      <c r="F21" s="42">
        <v>3</v>
      </c>
      <c r="G21" s="44">
        <v>11</v>
      </c>
      <c r="H21" s="44">
        <v>80300</v>
      </c>
      <c r="I21" s="44" t="s">
        <v>17</v>
      </c>
      <c r="J21" s="44">
        <v>38267733</v>
      </c>
      <c r="K21" s="40" t="s">
        <v>141</v>
      </c>
      <c r="L21" s="44" t="s">
        <v>158</v>
      </c>
      <c r="M21" s="48">
        <v>179900</v>
      </c>
      <c r="N21" s="11">
        <v>0.5</v>
      </c>
      <c r="O21" s="10">
        <f t="shared" si="2"/>
        <v>89950</v>
      </c>
      <c r="P21" s="7" t="s">
        <v>16</v>
      </c>
    </row>
    <row r="22" spans="1:16" s="49" customFormat="1" x14ac:dyDescent="0.35">
      <c r="A22" s="40" t="s">
        <v>217</v>
      </c>
      <c r="B22" s="41">
        <f t="shared" ref="B22:C22" si="12">B21</f>
        <v>46108</v>
      </c>
      <c r="C22" s="41">
        <f t="shared" si="12"/>
        <v>46113</v>
      </c>
      <c r="D22" s="42">
        <v>3259</v>
      </c>
      <c r="E22" s="42">
        <v>333</v>
      </c>
      <c r="F22" s="42">
        <v>3</v>
      </c>
      <c r="G22" s="44">
        <v>11</v>
      </c>
      <c r="H22" s="44">
        <v>80300</v>
      </c>
      <c r="I22" s="44" t="s">
        <v>17</v>
      </c>
      <c r="J22" s="44">
        <v>38267742</v>
      </c>
      <c r="K22" s="40" t="s">
        <v>141</v>
      </c>
      <c r="L22" s="44" t="s">
        <v>159</v>
      </c>
      <c r="M22" s="48">
        <v>179900</v>
      </c>
      <c r="N22" s="11">
        <v>0.5</v>
      </c>
      <c r="O22" s="10">
        <f t="shared" si="2"/>
        <v>89950</v>
      </c>
      <c r="P22" s="7" t="s">
        <v>16</v>
      </c>
    </row>
    <row r="23" spans="1:16" s="49" customFormat="1" x14ac:dyDescent="0.35">
      <c r="A23" s="40" t="s">
        <v>217</v>
      </c>
      <c r="B23" s="41">
        <f t="shared" ref="B23:C23" si="13">B22</f>
        <v>46108</v>
      </c>
      <c r="C23" s="41">
        <f t="shared" si="13"/>
        <v>46113</v>
      </c>
      <c r="D23" s="42">
        <v>3259</v>
      </c>
      <c r="E23" s="42">
        <v>333</v>
      </c>
      <c r="F23" s="42">
        <v>3</v>
      </c>
      <c r="G23" s="44">
        <v>11</v>
      </c>
      <c r="H23" s="44">
        <v>80300</v>
      </c>
      <c r="I23" s="44" t="s">
        <v>17</v>
      </c>
      <c r="J23" s="44">
        <v>24839632</v>
      </c>
      <c r="K23" s="40" t="s">
        <v>160</v>
      </c>
      <c r="L23" s="44" t="s">
        <v>161</v>
      </c>
      <c r="M23" s="48">
        <v>179900</v>
      </c>
      <c r="N23" s="11">
        <v>0.5</v>
      </c>
      <c r="O23" s="10">
        <f t="shared" si="2"/>
        <v>89950</v>
      </c>
      <c r="P23" s="7" t="s">
        <v>16</v>
      </c>
    </row>
    <row r="24" spans="1:16" s="49" customFormat="1" x14ac:dyDescent="0.35">
      <c r="A24" s="40" t="s">
        <v>217</v>
      </c>
      <c r="B24" s="41">
        <f t="shared" ref="B24:C24" si="14">B23</f>
        <v>46108</v>
      </c>
      <c r="C24" s="41">
        <f t="shared" si="14"/>
        <v>46113</v>
      </c>
      <c r="D24" s="42">
        <v>3259</v>
      </c>
      <c r="E24" s="42">
        <v>333</v>
      </c>
      <c r="F24" s="42">
        <v>3</v>
      </c>
      <c r="G24" s="44">
        <v>11</v>
      </c>
      <c r="H24" s="44">
        <v>80300</v>
      </c>
      <c r="I24" s="44" t="s">
        <v>17</v>
      </c>
      <c r="J24" s="44">
        <v>24839641</v>
      </c>
      <c r="K24" s="40" t="s">
        <v>160</v>
      </c>
      <c r="L24" s="44" t="s">
        <v>162</v>
      </c>
      <c r="M24" s="48">
        <v>179900</v>
      </c>
      <c r="N24" s="11">
        <v>0.5</v>
      </c>
      <c r="O24" s="10">
        <f t="shared" si="2"/>
        <v>89950</v>
      </c>
      <c r="P24" s="7" t="s">
        <v>16</v>
      </c>
    </row>
    <row r="25" spans="1:16" s="49" customFormat="1" x14ac:dyDescent="0.35">
      <c r="A25" s="40" t="s">
        <v>217</v>
      </c>
      <c r="B25" s="41">
        <f t="shared" ref="B25:C25" si="15">B24</f>
        <v>46108</v>
      </c>
      <c r="C25" s="41">
        <f t="shared" si="15"/>
        <v>46113</v>
      </c>
      <c r="D25" s="42">
        <v>3259</v>
      </c>
      <c r="E25" s="42">
        <v>333</v>
      </c>
      <c r="F25" s="42">
        <v>3</v>
      </c>
      <c r="G25" s="44">
        <v>11</v>
      </c>
      <c r="H25" s="44">
        <v>80300</v>
      </c>
      <c r="I25" s="44" t="s">
        <v>17</v>
      </c>
      <c r="J25" s="44">
        <v>24839678</v>
      </c>
      <c r="K25" s="40" t="s">
        <v>160</v>
      </c>
      <c r="L25" s="44" t="s">
        <v>163</v>
      </c>
      <c r="M25" s="48">
        <v>179900</v>
      </c>
      <c r="N25" s="11">
        <v>0.5</v>
      </c>
      <c r="O25" s="10">
        <f t="shared" si="2"/>
        <v>89950</v>
      </c>
      <c r="P25" s="7" t="s">
        <v>16</v>
      </c>
    </row>
    <row r="26" spans="1:16" s="49" customFormat="1" x14ac:dyDescent="0.35">
      <c r="A26" s="40" t="s">
        <v>217</v>
      </c>
      <c r="B26" s="41">
        <f t="shared" ref="B26:C26" si="16">B25</f>
        <v>46108</v>
      </c>
      <c r="C26" s="41">
        <f t="shared" si="16"/>
        <v>46113</v>
      </c>
      <c r="D26" s="42">
        <v>3259</v>
      </c>
      <c r="E26" s="42">
        <v>333</v>
      </c>
      <c r="F26" s="42">
        <v>3</v>
      </c>
      <c r="G26" s="44">
        <v>11</v>
      </c>
      <c r="H26" s="44">
        <v>80300</v>
      </c>
      <c r="I26" s="44" t="s">
        <v>17</v>
      </c>
      <c r="J26" s="44">
        <v>24840086</v>
      </c>
      <c r="K26" s="40" t="s">
        <v>164</v>
      </c>
      <c r="L26" s="44" t="s">
        <v>165</v>
      </c>
      <c r="M26" s="48">
        <v>179900</v>
      </c>
      <c r="N26" s="11">
        <v>0.5</v>
      </c>
      <c r="O26" s="10">
        <f t="shared" si="2"/>
        <v>89950</v>
      </c>
      <c r="P26" s="7" t="s">
        <v>16</v>
      </c>
    </row>
    <row r="27" spans="1:16" s="49" customFormat="1" x14ac:dyDescent="0.35">
      <c r="A27" s="40" t="s">
        <v>217</v>
      </c>
      <c r="B27" s="41">
        <f t="shared" ref="B27:C27" si="17">B26</f>
        <v>46108</v>
      </c>
      <c r="C27" s="41">
        <f t="shared" si="17"/>
        <v>46113</v>
      </c>
      <c r="D27" s="42">
        <v>3259</v>
      </c>
      <c r="E27" s="42">
        <v>333</v>
      </c>
      <c r="F27" s="42">
        <v>3</v>
      </c>
      <c r="G27" s="44">
        <v>11</v>
      </c>
      <c r="H27" s="44">
        <v>80300</v>
      </c>
      <c r="I27" s="44" t="s">
        <v>17</v>
      </c>
      <c r="J27" s="44">
        <v>24840095</v>
      </c>
      <c r="K27" s="40" t="s">
        <v>164</v>
      </c>
      <c r="L27" s="44" t="s">
        <v>166</v>
      </c>
      <c r="M27" s="48">
        <v>179900</v>
      </c>
      <c r="N27" s="11">
        <v>0.5</v>
      </c>
      <c r="O27" s="10">
        <f t="shared" si="2"/>
        <v>89950</v>
      </c>
      <c r="P27" s="7" t="s">
        <v>16</v>
      </c>
    </row>
    <row r="28" spans="1:16" s="49" customFormat="1" x14ac:dyDescent="0.35">
      <c r="A28" s="40" t="s">
        <v>217</v>
      </c>
      <c r="B28" s="41">
        <f t="shared" ref="B28:C28" si="18">B27</f>
        <v>46108</v>
      </c>
      <c r="C28" s="41">
        <f t="shared" si="18"/>
        <v>46113</v>
      </c>
      <c r="D28" s="42">
        <v>3259</v>
      </c>
      <c r="E28" s="42">
        <v>333</v>
      </c>
      <c r="F28" s="42">
        <v>3</v>
      </c>
      <c r="G28" s="44">
        <v>11</v>
      </c>
      <c r="H28" s="44">
        <v>80300</v>
      </c>
      <c r="I28" s="44" t="s">
        <v>17</v>
      </c>
      <c r="J28" s="44">
        <v>24840102</v>
      </c>
      <c r="K28" s="40" t="s">
        <v>164</v>
      </c>
      <c r="L28" s="44" t="s">
        <v>167</v>
      </c>
      <c r="M28" s="48">
        <v>179900</v>
      </c>
      <c r="N28" s="11">
        <v>0.5</v>
      </c>
      <c r="O28" s="10">
        <f t="shared" si="2"/>
        <v>89950</v>
      </c>
      <c r="P28" s="7" t="s">
        <v>16</v>
      </c>
    </row>
    <row r="29" spans="1:16" s="49" customFormat="1" x14ac:dyDescent="0.35">
      <c r="A29" s="40" t="s">
        <v>217</v>
      </c>
      <c r="B29" s="41">
        <f t="shared" ref="B29:C29" si="19">B28</f>
        <v>46108</v>
      </c>
      <c r="C29" s="41">
        <f t="shared" si="19"/>
        <v>46113</v>
      </c>
      <c r="D29" s="42">
        <v>3259</v>
      </c>
      <c r="E29" s="42">
        <v>333</v>
      </c>
      <c r="F29" s="42">
        <v>3</v>
      </c>
      <c r="G29" s="44">
        <v>11</v>
      </c>
      <c r="H29" s="44">
        <v>80300</v>
      </c>
      <c r="I29" s="44" t="s">
        <v>17</v>
      </c>
      <c r="J29" s="44">
        <v>24840111</v>
      </c>
      <c r="K29" s="40" t="s">
        <v>164</v>
      </c>
      <c r="L29" s="44" t="s">
        <v>168</v>
      </c>
      <c r="M29" s="48">
        <v>179900</v>
      </c>
      <c r="N29" s="11">
        <v>0.5</v>
      </c>
      <c r="O29" s="10">
        <f t="shared" si="2"/>
        <v>89950</v>
      </c>
      <c r="P29" s="7" t="s">
        <v>16</v>
      </c>
    </row>
    <row r="30" spans="1:16" s="49" customFormat="1" x14ac:dyDescent="0.35">
      <c r="A30" s="40" t="s">
        <v>217</v>
      </c>
      <c r="B30" s="41">
        <f t="shared" ref="B30:C30" si="20">B29</f>
        <v>46108</v>
      </c>
      <c r="C30" s="41">
        <f t="shared" si="20"/>
        <v>46113</v>
      </c>
      <c r="D30" s="42">
        <v>3259</v>
      </c>
      <c r="E30" s="42">
        <v>333</v>
      </c>
      <c r="F30" s="42">
        <v>3</v>
      </c>
      <c r="G30" s="44">
        <v>11</v>
      </c>
      <c r="H30" s="44">
        <v>80300</v>
      </c>
      <c r="I30" s="44" t="s">
        <v>17</v>
      </c>
      <c r="J30" s="44">
        <v>24840120</v>
      </c>
      <c r="K30" s="40" t="s">
        <v>164</v>
      </c>
      <c r="L30" s="44" t="s">
        <v>169</v>
      </c>
      <c r="M30" s="48">
        <v>179900</v>
      </c>
      <c r="N30" s="11">
        <v>0.5</v>
      </c>
      <c r="O30" s="10">
        <f t="shared" si="2"/>
        <v>89950</v>
      </c>
      <c r="P30" s="7" t="s">
        <v>16</v>
      </c>
    </row>
    <row r="31" spans="1:16" s="49" customFormat="1" x14ac:dyDescent="0.35">
      <c r="A31" s="40" t="s">
        <v>217</v>
      </c>
      <c r="B31" s="41">
        <f t="shared" ref="B31:C31" si="21">B30</f>
        <v>46108</v>
      </c>
      <c r="C31" s="41">
        <f t="shared" si="21"/>
        <v>46113</v>
      </c>
      <c r="D31" s="42">
        <v>3259</v>
      </c>
      <c r="E31" s="42">
        <v>333</v>
      </c>
      <c r="F31" s="42">
        <v>3</v>
      </c>
      <c r="G31" s="44">
        <v>11</v>
      </c>
      <c r="H31" s="44">
        <v>80300</v>
      </c>
      <c r="I31" s="44" t="s">
        <v>17</v>
      </c>
      <c r="J31" s="44">
        <v>24840335</v>
      </c>
      <c r="K31" s="40" t="s">
        <v>170</v>
      </c>
      <c r="L31" s="44" t="s">
        <v>171</v>
      </c>
      <c r="M31" s="48">
        <v>179900</v>
      </c>
      <c r="N31" s="11">
        <v>0.5</v>
      </c>
      <c r="O31" s="10">
        <f t="shared" si="2"/>
        <v>89950</v>
      </c>
      <c r="P31" s="7" t="s">
        <v>16</v>
      </c>
    </row>
    <row r="32" spans="1:16" s="49" customFormat="1" x14ac:dyDescent="0.35">
      <c r="A32" s="40" t="s">
        <v>217</v>
      </c>
      <c r="B32" s="41">
        <f t="shared" ref="B32:C32" si="22">B31</f>
        <v>46108</v>
      </c>
      <c r="C32" s="41">
        <f t="shared" si="22"/>
        <v>46113</v>
      </c>
      <c r="D32" s="42">
        <v>3259</v>
      </c>
      <c r="E32" s="42">
        <v>333</v>
      </c>
      <c r="F32" s="42">
        <v>3</v>
      </c>
      <c r="G32" s="44">
        <v>11</v>
      </c>
      <c r="H32" s="44">
        <v>80300</v>
      </c>
      <c r="I32" s="44" t="s">
        <v>17</v>
      </c>
      <c r="J32" s="44">
        <v>24840344</v>
      </c>
      <c r="K32" s="40" t="s">
        <v>170</v>
      </c>
      <c r="L32" s="44" t="s">
        <v>172</v>
      </c>
      <c r="M32" s="48">
        <v>179900</v>
      </c>
      <c r="N32" s="11">
        <v>0.5</v>
      </c>
      <c r="O32" s="10">
        <f t="shared" si="2"/>
        <v>89950</v>
      </c>
      <c r="P32" s="7" t="s">
        <v>16</v>
      </c>
    </row>
    <row r="33" spans="1:16" s="49" customFormat="1" x14ac:dyDescent="0.35">
      <c r="A33" s="40" t="s">
        <v>217</v>
      </c>
      <c r="B33" s="41">
        <f t="shared" ref="B33:C33" si="23">B32</f>
        <v>46108</v>
      </c>
      <c r="C33" s="41">
        <f t="shared" si="23"/>
        <v>46113</v>
      </c>
      <c r="D33" s="42">
        <v>3259</v>
      </c>
      <c r="E33" s="42">
        <v>333</v>
      </c>
      <c r="F33" s="42">
        <v>3</v>
      </c>
      <c r="G33" s="44">
        <v>11</v>
      </c>
      <c r="H33" s="44">
        <v>80300</v>
      </c>
      <c r="I33" s="44" t="s">
        <v>17</v>
      </c>
      <c r="J33" s="44">
        <v>24840353</v>
      </c>
      <c r="K33" s="40" t="s">
        <v>170</v>
      </c>
      <c r="L33" s="44" t="s">
        <v>173</v>
      </c>
      <c r="M33" s="48">
        <v>179900</v>
      </c>
      <c r="N33" s="11">
        <v>0.5</v>
      </c>
      <c r="O33" s="10">
        <f t="shared" si="2"/>
        <v>89950</v>
      </c>
      <c r="P33" s="7" t="s">
        <v>16</v>
      </c>
    </row>
    <row r="34" spans="1:16" s="49" customFormat="1" x14ac:dyDescent="0.35">
      <c r="A34" s="40" t="s">
        <v>217</v>
      </c>
      <c r="B34" s="41">
        <f t="shared" ref="B34:C34" si="24">B33</f>
        <v>46108</v>
      </c>
      <c r="C34" s="41">
        <f t="shared" si="24"/>
        <v>46113</v>
      </c>
      <c r="D34" s="42">
        <v>3259</v>
      </c>
      <c r="E34" s="42">
        <v>333</v>
      </c>
      <c r="F34" s="42">
        <v>3</v>
      </c>
      <c r="G34" s="44">
        <v>11</v>
      </c>
      <c r="H34" s="44">
        <v>80300</v>
      </c>
      <c r="I34" s="44" t="s">
        <v>17</v>
      </c>
      <c r="J34" s="44">
        <v>24840362</v>
      </c>
      <c r="K34" s="40" t="s">
        <v>170</v>
      </c>
      <c r="L34" s="44" t="s">
        <v>174</v>
      </c>
      <c r="M34" s="48">
        <v>179900</v>
      </c>
      <c r="N34" s="11">
        <v>0.5</v>
      </c>
      <c r="O34" s="10">
        <f t="shared" si="2"/>
        <v>89950</v>
      </c>
      <c r="P34" s="7" t="s">
        <v>16</v>
      </c>
    </row>
    <row r="35" spans="1:16" s="49" customFormat="1" x14ac:dyDescent="0.35">
      <c r="A35" s="40" t="s">
        <v>217</v>
      </c>
      <c r="B35" s="41">
        <f t="shared" ref="B35:C35" si="25">B34</f>
        <v>46108</v>
      </c>
      <c r="C35" s="41">
        <f t="shared" si="25"/>
        <v>46113</v>
      </c>
      <c r="D35" s="42">
        <v>3259</v>
      </c>
      <c r="E35" s="42">
        <v>333</v>
      </c>
      <c r="F35" s="42">
        <v>3</v>
      </c>
      <c r="G35" s="44">
        <v>11</v>
      </c>
      <c r="H35" s="44">
        <v>80300</v>
      </c>
      <c r="I35" s="44" t="s">
        <v>17</v>
      </c>
      <c r="J35" s="44">
        <v>24840371</v>
      </c>
      <c r="K35" s="40" t="s">
        <v>170</v>
      </c>
      <c r="L35" s="44" t="s">
        <v>175</v>
      </c>
      <c r="M35" s="48">
        <v>179900</v>
      </c>
      <c r="N35" s="11">
        <v>0.5</v>
      </c>
      <c r="O35" s="10">
        <f t="shared" si="2"/>
        <v>89950</v>
      </c>
      <c r="P35" s="7" t="s">
        <v>16</v>
      </c>
    </row>
    <row r="36" spans="1:16" s="49" customFormat="1" x14ac:dyDescent="0.35">
      <c r="A36" s="40" t="s">
        <v>217</v>
      </c>
      <c r="B36" s="41">
        <f t="shared" ref="B36:C36" si="26">B35</f>
        <v>46108</v>
      </c>
      <c r="C36" s="41">
        <f t="shared" si="26"/>
        <v>46113</v>
      </c>
      <c r="D36" s="42">
        <v>3259</v>
      </c>
      <c r="E36" s="42">
        <v>333</v>
      </c>
      <c r="F36" s="42">
        <v>3</v>
      </c>
      <c r="G36" s="44">
        <v>11</v>
      </c>
      <c r="H36" s="44">
        <v>80300</v>
      </c>
      <c r="I36" s="44" t="s">
        <v>17</v>
      </c>
      <c r="J36" s="44">
        <v>24839650</v>
      </c>
      <c r="K36" s="40" t="s">
        <v>160</v>
      </c>
      <c r="L36" s="44" t="s">
        <v>176</v>
      </c>
      <c r="M36" s="48">
        <v>179900</v>
      </c>
      <c r="N36" s="11">
        <v>0.5</v>
      </c>
      <c r="O36" s="10">
        <f t="shared" si="2"/>
        <v>89950</v>
      </c>
      <c r="P36" s="7" t="s">
        <v>16</v>
      </c>
    </row>
    <row r="37" spans="1:16" s="49" customFormat="1" x14ac:dyDescent="0.35">
      <c r="A37" s="40" t="s">
        <v>217</v>
      </c>
      <c r="B37" s="41">
        <f t="shared" ref="B37:C37" si="27">B36</f>
        <v>46108</v>
      </c>
      <c r="C37" s="41">
        <f t="shared" si="27"/>
        <v>46113</v>
      </c>
      <c r="D37" s="42">
        <v>3259</v>
      </c>
      <c r="E37" s="42">
        <v>333</v>
      </c>
      <c r="F37" s="42">
        <v>3</v>
      </c>
      <c r="G37" s="44">
        <v>11</v>
      </c>
      <c r="H37" s="44">
        <v>80300</v>
      </c>
      <c r="I37" s="44" t="s">
        <v>17</v>
      </c>
      <c r="J37" s="44">
        <v>24839669</v>
      </c>
      <c r="K37" s="40" t="s">
        <v>160</v>
      </c>
      <c r="L37" s="44" t="s">
        <v>177</v>
      </c>
      <c r="M37" s="48">
        <v>179900</v>
      </c>
      <c r="N37" s="11">
        <v>0.5</v>
      </c>
      <c r="O37" s="10">
        <f t="shared" si="2"/>
        <v>89950</v>
      </c>
      <c r="P37" s="7" t="s">
        <v>16</v>
      </c>
    </row>
    <row r="38" spans="1:16" s="49" customFormat="1" x14ac:dyDescent="0.35">
      <c r="A38" s="40" t="s">
        <v>217</v>
      </c>
      <c r="B38" s="41">
        <f t="shared" ref="B38:C38" si="28">B37</f>
        <v>46108</v>
      </c>
      <c r="C38" s="41">
        <f t="shared" si="28"/>
        <v>46113</v>
      </c>
      <c r="D38" s="42">
        <v>3259</v>
      </c>
      <c r="E38" s="42">
        <v>333</v>
      </c>
      <c r="F38" s="42">
        <v>3</v>
      </c>
      <c r="G38" s="44">
        <v>11</v>
      </c>
      <c r="H38" s="44">
        <v>80300</v>
      </c>
      <c r="I38" s="44" t="s">
        <v>17</v>
      </c>
      <c r="J38" s="44">
        <v>24839687</v>
      </c>
      <c r="K38" s="40" t="s">
        <v>160</v>
      </c>
      <c r="L38" s="44" t="s">
        <v>178</v>
      </c>
      <c r="M38" s="48">
        <v>179900</v>
      </c>
      <c r="N38" s="11">
        <v>0.5</v>
      </c>
      <c r="O38" s="10">
        <f t="shared" si="2"/>
        <v>89950</v>
      </c>
      <c r="P38" s="7" t="s">
        <v>16</v>
      </c>
    </row>
    <row r="39" spans="1:16" s="49" customFormat="1" x14ac:dyDescent="0.35">
      <c r="A39" s="40" t="s">
        <v>217</v>
      </c>
      <c r="B39" s="41">
        <f t="shared" ref="B39:C39" si="29">B38</f>
        <v>46108</v>
      </c>
      <c r="C39" s="41">
        <f t="shared" si="29"/>
        <v>46113</v>
      </c>
      <c r="D39" s="42">
        <v>3259</v>
      </c>
      <c r="E39" s="42">
        <v>333</v>
      </c>
      <c r="F39" s="42">
        <v>3</v>
      </c>
      <c r="G39" s="44">
        <v>11</v>
      </c>
      <c r="H39" s="44">
        <v>80300</v>
      </c>
      <c r="I39" s="44" t="s">
        <v>17</v>
      </c>
      <c r="J39" s="44">
        <v>24839696</v>
      </c>
      <c r="K39" s="40" t="s">
        <v>160</v>
      </c>
      <c r="L39" s="44" t="s">
        <v>179</v>
      </c>
      <c r="M39" s="48">
        <v>179900</v>
      </c>
      <c r="N39" s="11">
        <v>0.5</v>
      </c>
      <c r="O39" s="10">
        <f t="shared" si="2"/>
        <v>89950</v>
      </c>
      <c r="P39" s="7" t="s">
        <v>16</v>
      </c>
    </row>
    <row r="40" spans="1:16" s="49" customFormat="1" x14ac:dyDescent="0.35">
      <c r="A40" s="40" t="s">
        <v>217</v>
      </c>
      <c r="B40" s="41">
        <f t="shared" ref="B40:C40" si="30">B39</f>
        <v>46108</v>
      </c>
      <c r="C40" s="41">
        <f t="shared" si="30"/>
        <v>46113</v>
      </c>
      <c r="D40" s="42">
        <v>3259</v>
      </c>
      <c r="E40" s="42">
        <v>333</v>
      </c>
      <c r="F40" s="42">
        <v>3</v>
      </c>
      <c r="G40" s="44">
        <v>11</v>
      </c>
      <c r="H40" s="44">
        <v>80300</v>
      </c>
      <c r="I40" s="44" t="s">
        <v>17</v>
      </c>
      <c r="J40" s="44">
        <v>24840139</v>
      </c>
      <c r="K40" s="40" t="s">
        <v>164</v>
      </c>
      <c r="L40" s="44" t="s">
        <v>180</v>
      </c>
      <c r="M40" s="48">
        <v>179900</v>
      </c>
      <c r="N40" s="11">
        <v>0.5</v>
      </c>
      <c r="O40" s="10">
        <f t="shared" si="2"/>
        <v>89950</v>
      </c>
      <c r="P40" s="7" t="s">
        <v>16</v>
      </c>
    </row>
    <row r="41" spans="1:16" s="49" customFormat="1" x14ac:dyDescent="0.35">
      <c r="A41" s="40" t="s">
        <v>217</v>
      </c>
      <c r="B41" s="41">
        <f t="shared" ref="B41:C41" si="31">B40</f>
        <v>46108</v>
      </c>
      <c r="C41" s="41">
        <f t="shared" si="31"/>
        <v>46113</v>
      </c>
      <c r="D41" s="42">
        <v>3259</v>
      </c>
      <c r="E41" s="42">
        <v>333</v>
      </c>
      <c r="F41" s="42">
        <v>3</v>
      </c>
      <c r="G41" s="44">
        <v>11</v>
      </c>
      <c r="H41" s="44">
        <v>80300</v>
      </c>
      <c r="I41" s="44" t="s">
        <v>17</v>
      </c>
      <c r="J41" s="44">
        <v>24840148</v>
      </c>
      <c r="K41" s="40" t="s">
        <v>164</v>
      </c>
      <c r="L41" s="44" t="s">
        <v>181</v>
      </c>
      <c r="M41" s="48">
        <v>179900</v>
      </c>
      <c r="N41" s="11">
        <v>0.5</v>
      </c>
      <c r="O41" s="10">
        <f t="shared" si="2"/>
        <v>89950</v>
      </c>
      <c r="P41" s="7" t="s">
        <v>16</v>
      </c>
    </row>
    <row r="42" spans="1:16" s="49" customFormat="1" x14ac:dyDescent="0.35">
      <c r="A42" s="40" t="s">
        <v>217</v>
      </c>
      <c r="B42" s="41">
        <f t="shared" ref="B42:C42" si="32">B41</f>
        <v>46108</v>
      </c>
      <c r="C42" s="41">
        <f t="shared" si="32"/>
        <v>46113</v>
      </c>
      <c r="D42" s="42">
        <v>3259</v>
      </c>
      <c r="E42" s="42">
        <v>333</v>
      </c>
      <c r="F42" s="42">
        <v>3</v>
      </c>
      <c r="G42" s="44">
        <v>11</v>
      </c>
      <c r="H42" s="44">
        <v>80300</v>
      </c>
      <c r="I42" s="44" t="s">
        <v>17</v>
      </c>
      <c r="J42" s="44">
        <v>24840380</v>
      </c>
      <c r="K42" s="40" t="s">
        <v>170</v>
      </c>
      <c r="L42" s="44" t="s">
        <v>182</v>
      </c>
      <c r="M42" s="48">
        <v>179900</v>
      </c>
      <c r="N42" s="11">
        <v>0.5</v>
      </c>
      <c r="O42" s="10">
        <f t="shared" si="2"/>
        <v>89950</v>
      </c>
      <c r="P42" s="7" t="s">
        <v>16</v>
      </c>
    </row>
    <row r="43" spans="1:16" s="49" customFormat="1" x14ac:dyDescent="0.35">
      <c r="A43" s="40" t="s">
        <v>217</v>
      </c>
      <c r="B43" s="41">
        <f t="shared" ref="B43:C43" si="33">B42</f>
        <v>46108</v>
      </c>
      <c r="C43" s="41">
        <f t="shared" si="33"/>
        <v>46113</v>
      </c>
      <c r="D43" s="42">
        <v>3259</v>
      </c>
      <c r="E43" s="42">
        <v>333</v>
      </c>
      <c r="F43" s="42">
        <v>3</v>
      </c>
      <c r="G43" s="44">
        <v>11</v>
      </c>
      <c r="H43" s="44">
        <v>80300</v>
      </c>
      <c r="I43" s="44" t="s">
        <v>17</v>
      </c>
      <c r="J43" s="44">
        <v>24840399</v>
      </c>
      <c r="K43" s="40" t="s">
        <v>170</v>
      </c>
      <c r="L43" s="44" t="s">
        <v>183</v>
      </c>
      <c r="M43" s="48">
        <v>179900</v>
      </c>
      <c r="N43" s="11">
        <v>0.5</v>
      </c>
      <c r="O43" s="10">
        <f t="shared" si="2"/>
        <v>89950</v>
      </c>
      <c r="P43" s="7" t="s">
        <v>16</v>
      </c>
    </row>
  </sheetData>
  <autoFilter ref="A1:P1" xr:uid="{00000000-0009-0000-0000-000013000000}"/>
  <conditionalFormatting sqref="J1">
    <cfRule type="duplicateValues" dxfId="606" priority="82"/>
    <cfRule type="duplicateValues" dxfId="605" priority="83"/>
  </conditionalFormatting>
  <conditionalFormatting sqref="J1:J9">
    <cfRule type="duplicateValues" dxfId="604" priority="86"/>
    <cfRule type="duplicateValues" dxfId="603" priority="87"/>
    <cfRule type="duplicateValues" dxfId="602" priority="88"/>
    <cfRule type="duplicateValues" dxfId="601" priority="89"/>
    <cfRule type="duplicateValues" dxfId="600" priority="90"/>
    <cfRule type="duplicateValues" dxfId="599" priority="91"/>
    <cfRule type="duplicateValues" dxfId="598" priority="92"/>
    <cfRule type="duplicateValues" dxfId="597" priority="93"/>
    <cfRule type="duplicateValues" dxfId="596" priority="94"/>
    <cfRule type="duplicateValues" dxfId="595" priority="95"/>
    <cfRule type="duplicateValues" dxfId="594" priority="96"/>
    <cfRule type="duplicateValues" dxfId="593" priority="97"/>
    <cfRule type="duplicateValues" dxfId="592" priority="98"/>
    <cfRule type="duplicateValues" dxfId="591" priority="99"/>
    <cfRule type="duplicateValues" dxfId="590" priority="103"/>
    <cfRule type="duplicateValues" dxfId="589" priority="104"/>
    <cfRule type="duplicateValues" dxfId="588" priority="105"/>
    <cfRule type="duplicateValues" dxfId="587" priority="106"/>
    <cfRule type="duplicateValues" dxfId="586" priority="111"/>
    <cfRule type="duplicateValues" dxfId="585" priority="112"/>
  </conditionalFormatting>
  <conditionalFormatting sqref="J1:J22 J44:J1048576">
    <cfRule type="duplicateValues" dxfId="584" priority="56"/>
  </conditionalFormatting>
  <conditionalFormatting sqref="J2:J9">
    <cfRule type="duplicateValues" dxfId="583" priority="100"/>
    <cfRule type="duplicateValues" dxfId="582" priority="101"/>
    <cfRule type="duplicateValues" dxfId="581" priority="102"/>
  </conditionalFormatting>
  <conditionalFormatting sqref="J3:J4">
    <cfRule type="duplicateValues" dxfId="580" priority="107"/>
    <cfRule type="duplicateValues" dxfId="579" priority="108"/>
    <cfRule type="duplicateValues" dxfId="578" priority="109"/>
    <cfRule type="duplicateValues" dxfId="577" priority="110"/>
  </conditionalFormatting>
  <conditionalFormatting sqref="J3:J9">
    <cfRule type="duplicateValues" dxfId="576" priority="84"/>
    <cfRule type="duplicateValues" dxfId="575" priority="85"/>
  </conditionalFormatting>
  <conditionalFormatting sqref="J10:J22">
    <cfRule type="duplicateValues" dxfId="574" priority="57"/>
    <cfRule type="duplicateValues" dxfId="573" priority="60"/>
    <cfRule type="duplicateValues" dxfId="572" priority="61"/>
    <cfRule type="duplicateValues" dxfId="571" priority="62"/>
    <cfRule type="duplicateValues" dxfId="570" priority="63"/>
    <cfRule type="duplicateValues" dxfId="569" priority="64"/>
    <cfRule type="duplicateValues" dxfId="568" priority="65"/>
    <cfRule type="duplicateValues" dxfId="567" priority="66"/>
    <cfRule type="duplicateValues" dxfId="566" priority="67"/>
    <cfRule type="duplicateValues" dxfId="565" priority="68"/>
    <cfRule type="duplicateValues" dxfId="564" priority="69"/>
    <cfRule type="duplicateValues" dxfId="563" priority="70"/>
    <cfRule type="duplicateValues" dxfId="562" priority="71"/>
    <cfRule type="duplicateValues" dxfId="561" priority="72"/>
    <cfRule type="duplicateValues" dxfId="560" priority="73"/>
    <cfRule type="duplicateValues" dxfId="559" priority="74"/>
    <cfRule type="duplicateValues" dxfId="558" priority="75"/>
    <cfRule type="duplicateValues" dxfId="557" priority="76"/>
    <cfRule type="duplicateValues" dxfId="556" priority="77"/>
  </conditionalFormatting>
  <conditionalFormatting sqref="J17:J20">
    <cfRule type="duplicateValues" dxfId="555" priority="78"/>
    <cfRule type="duplicateValues" dxfId="554" priority="79"/>
    <cfRule type="duplicateValues" dxfId="553" priority="80"/>
    <cfRule type="duplicateValues" dxfId="552" priority="81"/>
  </conditionalFormatting>
  <conditionalFormatting sqref="J17:J22">
    <cfRule type="duplicateValues" dxfId="551" priority="58"/>
    <cfRule type="duplicateValues" dxfId="550" priority="59"/>
  </conditionalFormatting>
  <conditionalFormatting sqref="J23:J35">
    <cfRule type="duplicateValues" dxfId="549" priority="2"/>
    <cfRule type="duplicateValues" dxfId="548" priority="5"/>
    <cfRule type="duplicateValues" dxfId="547" priority="6"/>
    <cfRule type="duplicateValues" dxfId="546" priority="7"/>
    <cfRule type="duplicateValues" dxfId="545" priority="8"/>
    <cfRule type="duplicateValues" dxfId="544" priority="9"/>
    <cfRule type="duplicateValues" dxfId="543" priority="10"/>
    <cfRule type="duplicateValues" dxfId="542" priority="11"/>
    <cfRule type="duplicateValues" dxfId="541" priority="12"/>
    <cfRule type="duplicateValues" dxfId="540" priority="13"/>
    <cfRule type="duplicateValues" dxfId="539" priority="14"/>
    <cfRule type="duplicateValues" dxfId="538" priority="15"/>
    <cfRule type="duplicateValues" dxfId="537" priority="16"/>
    <cfRule type="duplicateValues" dxfId="536" priority="17"/>
    <cfRule type="duplicateValues" dxfId="535" priority="18"/>
    <cfRule type="duplicateValues" dxfId="534" priority="19"/>
    <cfRule type="duplicateValues" dxfId="533" priority="20"/>
    <cfRule type="duplicateValues" dxfId="532" priority="21"/>
    <cfRule type="duplicateValues" dxfId="531" priority="22"/>
  </conditionalFormatting>
  <conditionalFormatting sqref="J23:J43">
    <cfRule type="duplicateValues" dxfId="530" priority="1"/>
  </conditionalFormatting>
  <conditionalFormatting sqref="J26:J32">
    <cfRule type="duplicateValues" dxfId="529" priority="23"/>
    <cfRule type="duplicateValues" dxfId="528" priority="24"/>
    <cfRule type="duplicateValues" dxfId="527" priority="25"/>
    <cfRule type="duplicateValues" dxfId="526" priority="26"/>
  </conditionalFormatting>
  <conditionalFormatting sqref="J26:J35">
    <cfRule type="duplicateValues" dxfId="525" priority="3"/>
    <cfRule type="duplicateValues" dxfId="524" priority="4"/>
  </conditionalFormatting>
  <conditionalFormatting sqref="J36:J43">
    <cfRule type="duplicateValues" dxfId="523" priority="27"/>
    <cfRule type="duplicateValues" dxfId="522" priority="28"/>
    <cfRule type="duplicateValues" dxfId="521" priority="31"/>
    <cfRule type="duplicateValues" dxfId="520" priority="32"/>
    <cfRule type="duplicateValues" dxfId="519" priority="33"/>
    <cfRule type="duplicateValues" dxfId="518" priority="34"/>
    <cfRule type="duplicateValues" dxfId="517" priority="35"/>
    <cfRule type="duplicateValues" dxfId="516" priority="36"/>
    <cfRule type="duplicateValues" dxfId="515" priority="37"/>
    <cfRule type="duplicateValues" dxfId="514" priority="38"/>
    <cfRule type="duplicateValues" dxfId="513" priority="39"/>
    <cfRule type="duplicateValues" dxfId="512" priority="40"/>
    <cfRule type="duplicateValues" dxfId="511" priority="41"/>
    <cfRule type="duplicateValues" dxfId="510" priority="42"/>
    <cfRule type="duplicateValues" dxfId="509" priority="43"/>
    <cfRule type="duplicateValues" dxfId="508" priority="44"/>
    <cfRule type="duplicateValues" dxfId="507" priority="45"/>
    <cfRule type="duplicateValues" dxfId="506" priority="46"/>
    <cfRule type="duplicateValues" dxfId="505" priority="47"/>
    <cfRule type="duplicateValues" dxfId="504" priority="48"/>
    <cfRule type="duplicateValues" dxfId="503" priority="49"/>
    <cfRule type="duplicateValues" dxfId="502" priority="50"/>
    <cfRule type="duplicateValues" dxfId="501" priority="51"/>
  </conditionalFormatting>
  <conditionalFormatting sqref="J40:J41">
    <cfRule type="duplicateValues" dxfId="500" priority="52"/>
    <cfRule type="duplicateValues" dxfId="499" priority="53"/>
    <cfRule type="duplicateValues" dxfId="498" priority="54"/>
    <cfRule type="duplicateValues" dxfId="497" priority="55"/>
  </conditionalFormatting>
  <conditionalFormatting sqref="J40:J43">
    <cfRule type="duplicateValues" dxfId="496" priority="29"/>
    <cfRule type="duplicateValues" dxfId="495" priority="30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0B50-CB33-42ED-984F-E9B5487DC2A2}">
  <sheetPr>
    <tabColor rgb="FFFFFF00"/>
  </sheetPr>
  <dimension ref="A1:P32"/>
  <sheetViews>
    <sheetView zoomScale="63" workbookViewId="0">
      <selection activeCell="N2" sqref="N2:P2"/>
    </sheetView>
  </sheetViews>
  <sheetFormatPr defaultColWidth="8.54296875" defaultRowHeight="14.5" x14ac:dyDescent="0.35"/>
  <cols>
    <col min="1" max="1" width="44.81640625" style="45" bestFit="1" customWidth="1"/>
    <col min="2" max="2" width="11.1796875" style="45" bestFit="1" customWidth="1"/>
    <col min="3" max="3" width="10.453125" style="45" bestFit="1" customWidth="1"/>
    <col min="4" max="4" width="5.453125" style="45" bestFit="1" customWidth="1"/>
    <col min="5" max="5" width="7.54296875" style="45" bestFit="1" customWidth="1"/>
    <col min="6" max="6" width="8.7265625" style="45" bestFit="1" customWidth="1"/>
    <col min="7" max="7" width="6" style="45" bestFit="1" customWidth="1"/>
    <col min="8" max="8" width="8.81640625" style="45" bestFit="1" customWidth="1"/>
    <col min="9" max="9" width="7.1796875" style="45" bestFit="1" customWidth="1"/>
    <col min="10" max="10" width="9" style="45" bestFit="1" customWidth="1"/>
    <col min="11" max="11" width="8.54296875" style="45" bestFit="1" customWidth="1"/>
    <col min="12" max="12" width="70.1796875" style="45" bestFit="1" customWidth="1"/>
    <col min="13" max="13" width="16.54296875" style="69" bestFit="1" customWidth="1"/>
    <col min="14" max="14" width="7.7265625" style="45" bestFit="1" customWidth="1"/>
    <col min="15" max="15" width="14.26953125" style="45" bestFit="1" customWidth="1"/>
    <col min="16" max="16" width="14.45312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218</v>
      </c>
      <c r="B2" s="41">
        <v>46108</v>
      </c>
      <c r="C2" s="41">
        <v>46113</v>
      </c>
      <c r="D2" s="46">
        <v>3259</v>
      </c>
      <c r="E2" s="46">
        <v>333</v>
      </c>
      <c r="F2" s="46">
        <v>3</v>
      </c>
      <c r="G2" s="44">
        <v>12</v>
      </c>
      <c r="H2" s="44">
        <v>80300</v>
      </c>
      <c r="I2" s="44" t="s">
        <v>17</v>
      </c>
      <c r="J2" s="44">
        <v>79192399</v>
      </c>
      <c r="K2" s="44" t="s">
        <v>184</v>
      </c>
      <c r="L2" s="44" t="s">
        <v>185</v>
      </c>
      <c r="M2" s="67">
        <v>199900</v>
      </c>
      <c r="N2" s="11">
        <v>0.5</v>
      </c>
      <c r="O2" s="10">
        <f t="shared" ref="O2" si="0">M2-(M2*N2)</f>
        <v>99950</v>
      </c>
      <c r="P2" s="7" t="s">
        <v>16</v>
      </c>
    </row>
    <row r="3" spans="1:16" s="49" customFormat="1" x14ac:dyDescent="0.35">
      <c r="A3" s="40" t="s">
        <v>218</v>
      </c>
      <c r="B3" s="41">
        <f t="shared" ref="B3:C3" si="1">B2</f>
        <v>46108</v>
      </c>
      <c r="C3" s="41">
        <f t="shared" si="1"/>
        <v>46113</v>
      </c>
      <c r="D3" s="46">
        <v>3259</v>
      </c>
      <c r="E3" s="46">
        <v>333</v>
      </c>
      <c r="F3" s="46">
        <v>3</v>
      </c>
      <c r="G3" s="44">
        <v>12</v>
      </c>
      <c r="H3" s="44">
        <v>80300</v>
      </c>
      <c r="I3" s="44" t="s">
        <v>17</v>
      </c>
      <c r="J3" s="44">
        <v>79192460</v>
      </c>
      <c r="K3" s="44" t="s">
        <v>184</v>
      </c>
      <c r="L3" s="44" t="s">
        <v>186</v>
      </c>
      <c r="M3" s="67">
        <v>199900</v>
      </c>
      <c r="N3" s="11">
        <v>0.5</v>
      </c>
      <c r="O3" s="10">
        <f t="shared" ref="O3:O4" si="2">M3-(M3*N3)</f>
        <v>99950</v>
      </c>
      <c r="P3" s="7" t="s">
        <v>16</v>
      </c>
    </row>
    <row r="4" spans="1:16" s="49" customFormat="1" x14ac:dyDescent="0.35">
      <c r="A4" s="40" t="s">
        <v>218</v>
      </c>
      <c r="B4" s="41">
        <f t="shared" ref="B4:C5" si="3">B3</f>
        <v>46108</v>
      </c>
      <c r="C4" s="41">
        <f t="shared" si="3"/>
        <v>46113</v>
      </c>
      <c r="D4" s="46">
        <v>3259</v>
      </c>
      <c r="E4" s="46">
        <v>333</v>
      </c>
      <c r="F4" s="46">
        <v>3</v>
      </c>
      <c r="G4" s="44">
        <v>12</v>
      </c>
      <c r="H4" s="44">
        <v>80300</v>
      </c>
      <c r="I4" s="44" t="s">
        <v>17</v>
      </c>
      <c r="J4" s="44">
        <v>79192531</v>
      </c>
      <c r="K4" s="44" t="s">
        <v>184</v>
      </c>
      <c r="L4" s="44" t="s">
        <v>187</v>
      </c>
      <c r="M4" s="67">
        <v>199900</v>
      </c>
      <c r="N4" s="11">
        <v>0.5</v>
      </c>
      <c r="O4" s="10">
        <f t="shared" si="2"/>
        <v>99950</v>
      </c>
      <c r="P4" s="7" t="s">
        <v>16</v>
      </c>
    </row>
    <row r="5" spans="1:16" s="49" customFormat="1" x14ac:dyDescent="0.35">
      <c r="A5" s="40" t="s">
        <v>218</v>
      </c>
      <c r="B5" s="41">
        <f t="shared" si="3"/>
        <v>46108</v>
      </c>
      <c r="C5" s="41">
        <f t="shared" si="3"/>
        <v>46113</v>
      </c>
      <c r="D5" s="46">
        <v>3259</v>
      </c>
      <c r="E5" s="46">
        <v>333</v>
      </c>
      <c r="F5" s="46">
        <v>3</v>
      </c>
      <c r="G5" s="44">
        <v>12</v>
      </c>
      <c r="H5" s="44">
        <v>80300</v>
      </c>
      <c r="I5" s="44" t="s">
        <v>17</v>
      </c>
      <c r="J5" s="44">
        <v>13495195</v>
      </c>
      <c r="K5" s="44" t="s">
        <v>184</v>
      </c>
      <c r="L5" s="44" t="s">
        <v>188</v>
      </c>
      <c r="M5" s="67">
        <v>199900</v>
      </c>
      <c r="N5" s="11">
        <v>0.5</v>
      </c>
      <c r="O5" s="10">
        <f t="shared" ref="O5:O32" si="4">M5-(M5*N5)</f>
        <v>99950</v>
      </c>
      <c r="P5" s="7" t="s">
        <v>16</v>
      </c>
    </row>
    <row r="6" spans="1:16" x14ac:dyDescent="0.35">
      <c r="A6" s="40" t="s">
        <v>218</v>
      </c>
      <c r="B6" s="41">
        <f t="shared" ref="B6:C6" si="5">B5</f>
        <v>46108</v>
      </c>
      <c r="C6" s="41">
        <f t="shared" si="5"/>
        <v>46113</v>
      </c>
      <c r="D6" s="42">
        <v>3259</v>
      </c>
      <c r="E6" s="42">
        <v>333</v>
      </c>
      <c r="F6" s="46">
        <v>3</v>
      </c>
      <c r="G6" s="68">
        <v>12</v>
      </c>
      <c r="H6" s="44"/>
      <c r="I6" s="44" t="s">
        <v>17</v>
      </c>
      <c r="J6" s="44">
        <v>66251689</v>
      </c>
      <c r="K6" s="44" t="s">
        <v>189</v>
      </c>
      <c r="L6" s="44" t="s">
        <v>190</v>
      </c>
      <c r="M6" s="67">
        <v>199900</v>
      </c>
      <c r="N6" s="11">
        <v>0.5</v>
      </c>
      <c r="O6" s="10">
        <f t="shared" si="4"/>
        <v>99950</v>
      </c>
      <c r="P6" s="7" t="s">
        <v>16</v>
      </c>
    </row>
    <row r="7" spans="1:16" x14ac:dyDescent="0.35">
      <c r="A7" s="40" t="s">
        <v>218</v>
      </c>
      <c r="B7" s="41">
        <f t="shared" ref="B7:C7" si="6">B6</f>
        <v>46108</v>
      </c>
      <c r="C7" s="41">
        <f t="shared" si="6"/>
        <v>46113</v>
      </c>
      <c r="D7" s="42">
        <v>3259</v>
      </c>
      <c r="E7" s="42">
        <v>333</v>
      </c>
      <c r="F7" s="46">
        <v>3</v>
      </c>
      <c r="G7" s="68">
        <v>12</v>
      </c>
      <c r="H7" s="44"/>
      <c r="I7" s="44" t="s">
        <v>17</v>
      </c>
      <c r="J7" s="44">
        <v>66251750</v>
      </c>
      <c r="K7" s="44" t="s">
        <v>189</v>
      </c>
      <c r="L7" s="44" t="s">
        <v>191</v>
      </c>
      <c r="M7" s="67">
        <v>199900</v>
      </c>
      <c r="N7" s="11">
        <v>0.5</v>
      </c>
      <c r="O7" s="10">
        <f t="shared" si="4"/>
        <v>99950</v>
      </c>
      <c r="P7" s="7" t="s">
        <v>16</v>
      </c>
    </row>
    <row r="8" spans="1:16" x14ac:dyDescent="0.35">
      <c r="A8" s="40" t="s">
        <v>218</v>
      </c>
      <c r="B8" s="41">
        <f t="shared" ref="B8:C8" si="7">B7</f>
        <v>46108</v>
      </c>
      <c r="C8" s="41">
        <f t="shared" si="7"/>
        <v>46113</v>
      </c>
      <c r="D8" s="42">
        <v>3259</v>
      </c>
      <c r="E8" s="42">
        <v>333</v>
      </c>
      <c r="F8" s="46">
        <v>3</v>
      </c>
      <c r="G8" s="68">
        <v>12</v>
      </c>
      <c r="H8" s="44"/>
      <c r="I8" s="44" t="s">
        <v>17</v>
      </c>
      <c r="J8" s="44">
        <v>66251821</v>
      </c>
      <c r="K8" s="44" t="s">
        <v>189</v>
      </c>
      <c r="L8" s="44" t="s">
        <v>192</v>
      </c>
      <c r="M8" s="67">
        <v>199900</v>
      </c>
      <c r="N8" s="11">
        <v>0.5</v>
      </c>
      <c r="O8" s="10">
        <f t="shared" si="4"/>
        <v>99950</v>
      </c>
      <c r="P8" s="7" t="s">
        <v>16</v>
      </c>
    </row>
    <row r="9" spans="1:16" s="49" customFormat="1" x14ac:dyDescent="0.35">
      <c r="A9" s="40" t="s">
        <v>218</v>
      </c>
      <c r="B9" s="41">
        <f t="shared" ref="B9:C9" si="8">B8</f>
        <v>46108</v>
      </c>
      <c r="C9" s="41">
        <f t="shared" si="8"/>
        <v>46113</v>
      </c>
      <c r="D9" s="46">
        <v>3259</v>
      </c>
      <c r="E9" s="46">
        <v>333</v>
      </c>
      <c r="F9" s="46">
        <v>3</v>
      </c>
      <c r="G9" s="44">
        <v>12</v>
      </c>
      <c r="H9" s="44">
        <v>80300</v>
      </c>
      <c r="I9" s="44" t="s">
        <v>17</v>
      </c>
      <c r="J9" s="44">
        <v>79192479</v>
      </c>
      <c r="K9" s="44" t="s">
        <v>184</v>
      </c>
      <c r="L9" s="44" t="s">
        <v>193</v>
      </c>
      <c r="M9" s="67">
        <v>199900</v>
      </c>
      <c r="N9" s="11">
        <v>0.5</v>
      </c>
      <c r="O9" s="10">
        <f t="shared" si="4"/>
        <v>99950</v>
      </c>
      <c r="P9" s="7" t="s">
        <v>16</v>
      </c>
    </row>
    <row r="10" spans="1:16" s="49" customFormat="1" x14ac:dyDescent="0.35">
      <c r="A10" s="40" t="s">
        <v>218</v>
      </c>
      <c r="B10" s="41">
        <f t="shared" ref="B10:C10" si="9">B9</f>
        <v>46108</v>
      </c>
      <c r="C10" s="41">
        <f t="shared" si="9"/>
        <v>46113</v>
      </c>
      <c r="D10" s="46">
        <v>3259</v>
      </c>
      <c r="E10" s="46">
        <v>333</v>
      </c>
      <c r="F10" s="46">
        <v>3</v>
      </c>
      <c r="G10" s="44">
        <v>12</v>
      </c>
      <c r="H10" s="44">
        <v>80300</v>
      </c>
      <c r="I10" s="44" t="s">
        <v>17</v>
      </c>
      <c r="J10" s="44">
        <v>79192488</v>
      </c>
      <c r="K10" s="44" t="s">
        <v>184</v>
      </c>
      <c r="L10" s="44" t="s">
        <v>194</v>
      </c>
      <c r="M10" s="67">
        <v>199900</v>
      </c>
      <c r="N10" s="11">
        <v>0.5</v>
      </c>
      <c r="O10" s="10">
        <f t="shared" si="4"/>
        <v>99950</v>
      </c>
      <c r="P10" s="7" t="s">
        <v>16</v>
      </c>
    </row>
    <row r="11" spans="1:16" s="49" customFormat="1" x14ac:dyDescent="0.35">
      <c r="A11" s="40" t="s">
        <v>218</v>
      </c>
      <c r="B11" s="41">
        <f t="shared" ref="B11:C11" si="10">B10</f>
        <v>46108</v>
      </c>
      <c r="C11" s="41">
        <f t="shared" si="10"/>
        <v>46113</v>
      </c>
      <c r="D11" s="46">
        <v>3259</v>
      </c>
      <c r="E11" s="46">
        <v>333</v>
      </c>
      <c r="F11" s="46">
        <v>3</v>
      </c>
      <c r="G11" s="44">
        <v>12</v>
      </c>
      <c r="H11" s="44">
        <v>80300</v>
      </c>
      <c r="I11" s="44" t="s">
        <v>17</v>
      </c>
      <c r="J11" s="44">
        <v>79192497</v>
      </c>
      <c r="K11" s="44" t="s">
        <v>184</v>
      </c>
      <c r="L11" s="44" t="s">
        <v>195</v>
      </c>
      <c r="M11" s="67">
        <v>199900</v>
      </c>
      <c r="N11" s="11">
        <v>0.5</v>
      </c>
      <c r="O11" s="10">
        <f t="shared" si="4"/>
        <v>99950</v>
      </c>
      <c r="P11" s="7" t="s">
        <v>16</v>
      </c>
    </row>
    <row r="12" spans="1:16" s="49" customFormat="1" x14ac:dyDescent="0.35">
      <c r="A12" s="40" t="s">
        <v>218</v>
      </c>
      <c r="B12" s="41">
        <f t="shared" ref="B12:C12" si="11">B11</f>
        <v>46108</v>
      </c>
      <c r="C12" s="41">
        <f t="shared" si="11"/>
        <v>46113</v>
      </c>
      <c r="D12" s="46">
        <v>3259</v>
      </c>
      <c r="E12" s="46">
        <v>333</v>
      </c>
      <c r="F12" s="46">
        <v>3</v>
      </c>
      <c r="G12" s="44">
        <v>12</v>
      </c>
      <c r="H12" s="44">
        <v>80300</v>
      </c>
      <c r="I12" s="44" t="s">
        <v>17</v>
      </c>
      <c r="J12" s="44">
        <v>79192504</v>
      </c>
      <c r="K12" s="44" t="s">
        <v>184</v>
      </c>
      <c r="L12" s="44" t="s">
        <v>196</v>
      </c>
      <c r="M12" s="67">
        <v>199900</v>
      </c>
      <c r="N12" s="11">
        <v>0.5</v>
      </c>
      <c r="O12" s="10">
        <f t="shared" si="4"/>
        <v>99950</v>
      </c>
      <c r="P12" s="7" t="s">
        <v>16</v>
      </c>
    </row>
    <row r="13" spans="1:16" s="49" customFormat="1" x14ac:dyDescent="0.35">
      <c r="A13" s="40" t="s">
        <v>218</v>
      </c>
      <c r="B13" s="41">
        <f t="shared" ref="B13:C13" si="12">B12</f>
        <v>46108</v>
      </c>
      <c r="C13" s="41">
        <f t="shared" si="12"/>
        <v>46113</v>
      </c>
      <c r="D13" s="46">
        <v>3259</v>
      </c>
      <c r="E13" s="46">
        <v>333</v>
      </c>
      <c r="F13" s="46">
        <v>3</v>
      </c>
      <c r="G13" s="44">
        <v>12</v>
      </c>
      <c r="H13" s="44">
        <v>80300</v>
      </c>
      <c r="I13" s="44" t="s">
        <v>17</v>
      </c>
      <c r="J13" s="44">
        <v>79192513</v>
      </c>
      <c r="K13" s="44" t="s">
        <v>184</v>
      </c>
      <c r="L13" s="44" t="s">
        <v>197</v>
      </c>
      <c r="M13" s="67">
        <v>199900</v>
      </c>
      <c r="N13" s="11">
        <v>0.5</v>
      </c>
      <c r="O13" s="10">
        <f t="shared" si="4"/>
        <v>99950</v>
      </c>
      <c r="P13" s="7" t="s">
        <v>16</v>
      </c>
    </row>
    <row r="14" spans="1:16" s="49" customFormat="1" x14ac:dyDescent="0.35">
      <c r="A14" s="40" t="s">
        <v>218</v>
      </c>
      <c r="B14" s="41">
        <f t="shared" ref="B14:C14" si="13">B13</f>
        <v>46108</v>
      </c>
      <c r="C14" s="41">
        <f t="shared" si="13"/>
        <v>46113</v>
      </c>
      <c r="D14" s="46">
        <v>3259</v>
      </c>
      <c r="E14" s="46">
        <v>333</v>
      </c>
      <c r="F14" s="46">
        <v>3</v>
      </c>
      <c r="G14" s="44">
        <v>12</v>
      </c>
      <c r="H14" s="44">
        <v>80300</v>
      </c>
      <c r="I14" s="44" t="s">
        <v>17</v>
      </c>
      <c r="J14" s="44">
        <v>79192522</v>
      </c>
      <c r="K14" s="44" t="s">
        <v>184</v>
      </c>
      <c r="L14" s="44" t="s">
        <v>198</v>
      </c>
      <c r="M14" s="67">
        <v>199900</v>
      </c>
      <c r="N14" s="11">
        <v>0.5</v>
      </c>
      <c r="O14" s="10">
        <f t="shared" si="4"/>
        <v>99950</v>
      </c>
      <c r="P14" s="7" t="s">
        <v>16</v>
      </c>
    </row>
    <row r="15" spans="1:16" x14ac:dyDescent="0.35">
      <c r="A15" s="40" t="s">
        <v>218</v>
      </c>
      <c r="B15" s="41">
        <f t="shared" ref="B15:C15" si="14">B14</f>
        <v>46108</v>
      </c>
      <c r="C15" s="41">
        <f t="shared" si="14"/>
        <v>46113</v>
      </c>
      <c r="D15" s="42">
        <v>3259</v>
      </c>
      <c r="E15" s="42">
        <v>333</v>
      </c>
      <c r="F15" s="46">
        <v>3</v>
      </c>
      <c r="G15" s="44">
        <v>12</v>
      </c>
      <c r="H15" s="44">
        <v>80300</v>
      </c>
      <c r="I15" s="44" t="s">
        <v>17</v>
      </c>
      <c r="J15" s="44">
        <v>79192540</v>
      </c>
      <c r="K15" s="44" t="s">
        <v>184</v>
      </c>
      <c r="L15" s="44" t="s">
        <v>199</v>
      </c>
      <c r="M15" s="67">
        <v>199900</v>
      </c>
      <c r="N15" s="11">
        <v>0.5</v>
      </c>
      <c r="O15" s="10">
        <f t="shared" si="4"/>
        <v>99950</v>
      </c>
      <c r="P15" s="7" t="s">
        <v>16</v>
      </c>
    </row>
    <row r="16" spans="1:16" x14ac:dyDescent="0.35">
      <c r="A16" s="40" t="s">
        <v>218</v>
      </c>
      <c r="B16" s="41">
        <f t="shared" ref="B16:C16" si="15">B15</f>
        <v>46108</v>
      </c>
      <c r="C16" s="41">
        <f t="shared" si="15"/>
        <v>46113</v>
      </c>
      <c r="D16" s="42">
        <v>3259</v>
      </c>
      <c r="E16" s="42">
        <v>333</v>
      </c>
      <c r="F16" s="46">
        <v>3</v>
      </c>
      <c r="G16" s="44">
        <v>12</v>
      </c>
      <c r="H16" s="44">
        <v>80300</v>
      </c>
      <c r="I16" s="44" t="s">
        <v>17</v>
      </c>
      <c r="J16" s="44">
        <v>79192559</v>
      </c>
      <c r="K16" s="44" t="s">
        <v>184</v>
      </c>
      <c r="L16" s="44" t="s">
        <v>200</v>
      </c>
      <c r="M16" s="67">
        <v>199900</v>
      </c>
      <c r="N16" s="11">
        <v>0.5</v>
      </c>
      <c r="O16" s="10">
        <f t="shared" si="4"/>
        <v>99950</v>
      </c>
      <c r="P16" s="7" t="s">
        <v>16</v>
      </c>
    </row>
    <row r="17" spans="1:16" x14ac:dyDescent="0.35">
      <c r="A17" s="40" t="s">
        <v>218</v>
      </c>
      <c r="B17" s="41">
        <f t="shared" ref="B17:C17" si="16">B16</f>
        <v>46108</v>
      </c>
      <c r="C17" s="41">
        <f t="shared" si="16"/>
        <v>46113</v>
      </c>
      <c r="D17" s="42">
        <v>3259</v>
      </c>
      <c r="E17" s="42">
        <v>333</v>
      </c>
      <c r="F17" s="46">
        <v>3</v>
      </c>
      <c r="G17" s="44">
        <v>12</v>
      </c>
      <c r="H17" s="44">
        <v>80300</v>
      </c>
      <c r="I17" s="44" t="s">
        <v>17</v>
      </c>
      <c r="J17" s="44">
        <v>79192568</v>
      </c>
      <c r="K17" s="44" t="s">
        <v>184</v>
      </c>
      <c r="L17" s="44" t="s">
        <v>201</v>
      </c>
      <c r="M17" s="67">
        <v>199900</v>
      </c>
      <c r="N17" s="11">
        <v>0.5</v>
      </c>
      <c r="O17" s="10">
        <f t="shared" si="4"/>
        <v>99950</v>
      </c>
      <c r="P17" s="7" t="s">
        <v>16</v>
      </c>
    </row>
    <row r="18" spans="1:16" x14ac:dyDescent="0.35">
      <c r="A18" s="40" t="s">
        <v>218</v>
      </c>
      <c r="B18" s="41">
        <f t="shared" ref="B18:C18" si="17">B17</f>
        <v>46108</v>
      </c>
      <c r="C18" s="41">
        <f t="shared" si="17"/>
        <v>46113</v>
      </c>
      <c r="D18" s="42">
        <v>3259</v>
      </c>
      <c r="E18" s="42">
        <v>333</v>
      </c>
      <c r="F18" s="46">
        <v>3</v>
      </c>
      <c r="G18" s="44">
        <v>12</v>
      </c>
      <c r="H18" s="44">
        <v>80300</v>
      </c>
      <c r="I18" s="44" t="s">
        <v>17</v>
      </c>
      <c r="J18" s="44">
        <v>79192577</v>
      </c>
      <c r="K18" s="44" t="s">
        <v>184</v>
      </c>
      <c r="L18" s="44" t="s">
        <v>202</v>
      </c>
      <c r="M18" s="67">
        <v>199900</v>
      </c>
      <c r="N18" s="11">
        <v>0.5</v>
      </c>
      <c r="O18" s="10">
        <f t="shared" si="4"/>
        <v>99950</v>
      </c>
      <c r="P18" s="7" t="s">
        <v>16</v>
      </c>
    </row>
    <row r="19" spans="1:16" x14ac:dyDescent="0.35">
      <c r="A19" s="40" t="s">
        <v>218</v>
      </c>
      <c r="B19" s="41">
        <f t="shared" ref="B19:C19" si="18">B18</f>
        <v>46108</v>
      </c>
      <c r="C19" s="41">
        <f t="shared" si="18"/>
        <v>46113</v>
      </c>
      <c r="D19" s="42">
        <v>3259</v>
      </c>
      <c r="E19" s="42">
        <v>333</v>
      </c>
      <c r="F19" s="46">
        <v>3</v>
      </c>
      <c r="G19" s="44">
        <v>12</v>
      </c>
      <c r="H19" s="44">
        <v>80300</v>
      </c>
      <c r="I19" s="44" t="s">
        <v>17</v>
      </c>
      <c r="J19" s="44">
        <v>79192586</v>
      </c>
      <c r="K19" s="44" t="s">
        <v>184</v>
      </c>
      <c r="L19" s="44" t="s">
        <v>203</v>
      </c>
      <c r="M19" s="67">
        <v>199900</v>
      </c>
      <c r="N19" s="11">
        <v>0.5</v>
      </c>
      <c r="O19" s="10">
        <f t="shared" si="4"/>
        <v>99950</v>
      </c>
      <c r="P19" s="7" t="s">
        <v>16</v>
      </c>
    </row>
    <row r="20" spans="1:16" x14ac:dyDescent="0.35">
      <c r="A20" s="40" t="s">
        <v>218</v>
      </c>
      <c r="B20" s="41">
        <f t="shared" ref="B20:C20" si="19">B19</f>
        <v>46108</v>
      </c>
      <c r="C20" s="41">
        <f t="shared" si="19"/>
        <v>46113</v>
      </c>
      <c r="D20" s="42">
        <v>3259</v>
      </c>
      <c r="E20" s="42">
        <v>333</v>
      </c>
      <c r="F20" s="46">
        <v>3</v>
      </c>
      <c r="G20" s="44">
        <v>12</v>
      </c>
      <c r="H20" s="44">
        <v>80300</v>
      </c>
      <c r="I20" s="44" t="s">
        <v>17</v>
      </c>
      <c r="J20" s="44">
        <v>79192595</v>
      </c>
      <c r="K20" s="44" t="s">
        <v>184</v>
      </c>
      <c r="L20" s="44" t="s">
        <v>204</v>
      </c>
      <c r="M20" s="67">
        <v>199900</v>
      </c>
      <c r="N20" s="11">
        <v>0.5</v>
      </c>
      <c r="O20" s="10">
        <f t="shared" si="4"/>
        <v>99950</v>
      </c>
      <c r="P20" s="7" t="s">
        <v>16</v>
      </c>
    </row>
    <row r="21" spans="1:16" x14ac:dyDescent="0.35">
      <c r="A21" s="40" t="s">
        <v>218</v>
      </c>
      <c r="B21" s="41">
        <f t="shared" ref="B21:C21" si="20">B20</f>
        <v>46108</v>
      </c>
      <c r="C21" s="41">
        <f t="shared" si="20"/>
        <v>46113</v>
      </c>
      <c r="D21" s="42">
        <v>3259</v>
      </c>
      <c r="E21" s="42">
        <v>333</v>
      </c>
      <c r="F21" s="46">
        <v>3</v>
      </c>
      <c r="G21" s="44">
        <v>12</v>
      </c>
      <c r="H21" s="44">
        <v>80300</v>
      </c>
      <c r="I21" s="44" t="s">
        <v>17</v>
      </c>
      <c r="J21" s="44">
        <v>13495202</v>
      </c>
      <c r="K21" s="44" t="s">
        <v>184</v>
      </c>
      <c r="L21" s="44" t="s">
        <v>205</v>
      </c>
      <c r="M21" s="67">
        <v>199900</v>
      </c>
      <c r="N21" s="11">
        <v>0.5</v>
      </c>
      <c r="O21" s="10">
        <f t="shared" si="4"/>
        <v>99950</v>
      </c>
      <c r="P21" s="7" t="s">
        <v>16</v>
      </c>
    </row>
    <row r="22" spans="1:16" x14ac:dyDescent="0.35">
      <c r="A22" s="40" t="s">
        <v>218</v>
      </c>
      <c r="B22" s="41">
        <f t="shared" ref="B22:C22" si="21">B21</f>
        <v>46108</v>
      </c>
      <c r="C22" s="41">
        <f t="shared" si="21"/>
        <v>46113</v>
      </c>
      <c r="D22" s="42">
        <v>3259</v>
      </c>
      <c r="E22" s="42">
        <v>333</v>
      </c>
      <c r="F22" s="46">
        <v>3</v>
      </c>
      <c r="G22" s="44">
        <v>12</v>
      </c>
      <c r="H22" s="44">
        <v>80300</v>
      </c>
      <c r="I22" s="44" t="s">
        <v>17</v>
      </c>
      <c r="J22" s="44">
        <v>13495211</v>
      </c>
      <c r="K22" s="44" t="s">
        <v>184</v>
      </c>
      <c r="L22" s="44" t="s">
        <v>206</v>
      </c>
      <c r="M22" s="67">
        <v>199900</v>
      </c>
      <c r="N22" s="11">
        <v>0.5</v>
      </c>
      <c r="O22" s="10">
        <f t="shared" si="4"/>
        <v>99950</v>
      </c>
      <c r="P22" s="7" t="s">
        <v>16</v>
      </c>
    </row>
    <row r="23" spans="1:16" x14ac:dyDescent="0.35">
      <c r="A23" s="40" t="s">
        <v>218</v>
      </c>
      <c r="B23" s="41">
        <f t="shared" ref="B23:C23" si="22">B22</f>
        <v>46108</v>
      </c>
      <c r="C23" s="41">
        <f t="shared" si="22"/>
        <v>46113</v>
      </c>
      <c r="D23" s="42">
        <v>3259</v>
      </c>
      <c r="E23" s="42">
        <v>333</v>
      </c>
      <c r="F23" s="46">
        <v>3</v>
      </c>
      <c r="G23" s="44">
        <v>12</v>
      </c>
      <c r="H23" s="44">
        <v>80300</v>
      </c>
      <c r="I23" s="44" t="s">
        <v>17</v>
      </c>
      <c r="J23" s="44">
        <v>13495220</v>
      </c>
      <c r="K23" s="44" t="s">
        <v>184</v>
      </c>
      <c r="L23" s="44" t="s">
        <v>207</v>
      </c>
      <c r="M23" s="67">
        <v>199900</v>
      </c>
      <c r="N23" s="11">
        <v>0.5</v>
      </c>
      <c r="O23" s="10">
        <f t="shared" si="4"/>
        <v>99950</v>
      </c>
      <c r="P23" s="7" t="s">
        <v>16</v>
      </c>
    </row>
    <row r="24" spans="1:16" x14ac:dyDescent="0.35">
      <c r="A24" s="40" t="s">
        <v>218</v>
      </c>
      <c r="B24" s="41">
        <f t="shared" ref="B24:C24" si="23">B23</f>
        <v>46108</v>
      </c>
      <c r="C24" s="41">
        <f t="shared" si="23"/>
        <v>46113</v>
      </c>
      <c r="D24" s="42">
        <v>3259</v>
      </c>
      <c r="E24" s="42">
        <v>333</v>
      </c>
      <c r="F24" s="46">
        <v>3</v>
      </c>
      <c r="G24" s="44">
        <v>12</v>
      </c>
      <c r="H24" s="44">
        <v>80300</v>
      </c>
      <c r="I24" s="44" t="s">
        <v>17</v>
      </c>
      <c r="J24" s="44">
        <v>13495239</v>
      </c>
      <c r="K24" s="44" t="s">
        <v>184</v>
      </c>
      <c r="L24" s="44" t="s">
        <v>208</v>
      </c>
      <c r="M24" s="67">
        <v>199900</v>
      </c>
      <c r="N24" s="11">
        <v>0.5</v>
      </c>
      <c r="O24" s="10">
        <f t="shared" si="4"/>
        <v>99950</v>
      </c>
      <c r="P24" s="7" t="s">
        <v>16</v>
      </c>
    </row>
    <row r="25" spans="1:16" x14ac:dyDescent="0.35">
      <c r="A25" s="40" t="s">
        <v>218</v>
      </c>
      <c r="B25" s="41">
        <f t="shared" ref="B25:C25" si="24">B24</f>
        <v>46108</v>
      </c>
      <c r="C25" s="41">
        <f t="shared" si="24"/>
        <v>46113</v>
      </c>
      <c r="D25" s="42">
        <v>3259</v>
      </c>
      <c r="E25" s="42">
        <v>333</v>
      </c>
      <c r="F25" s="46">
        <v>3</v>
      </c>
      <c r="G25" s="44">
        <v>12</v>
      </c>
      <c r="H25" s="44">
        <v>80300</v>
      </c>
      <c r="I25" s="44" t="s">
        <v>17</v>
      </c>
      <c r="J25" s="44">
        <v>13495248</v>
      </c>
      <c r="K25" s="44" t="s">
        <v>184</v>
      </c>
      <c r="L25" s="44" t="s">
        <v>209</v>
      </c>
      <c r="M25" s="67">
        <v>199900</v>
      </c>
      <c r="N25" s="11">
        <v>0.5</v>
      </c>
      <c r="O25" s="10">
        <f t="shared" si="4"/>
        <v>99950</v>
      </c>
      <c r="P25" s="7" t="s">
        <v>16</v>
      </c>
    </row>
    <row r="26" spans="1:16" x14ac:dyDescent="0.35">
      <c r="A26" s="40" t="s">
        <v>218</v>
      </c>
      <c r="B26" s="41">
        <f t="shared" ref="B26:C26" si="25">B25</f>
        <v>46108</v>
      </c>
      <c r="C26" s="41">
        <f t="shared" si="25"/>
        <v>46113</v>
      </c>
      <c r="D26" s="42">
        <v>3259</v>
      </c>
      <c r="E26" s="42">
        <v>333</v>
      </c>
      <c r="F26" s="46">
        <v>3</v>
      </c>
      <c r="G26" s="44">
        <v>12</v>
      </c>
      <c r="H26" s="44">
        <v>80300</v>
      </c>
      <c r="I26" s="44" t="s">
        <v>17</v>
      </c>
      <c r="J26" s="44">
        <v>13495266</v>
      </c>
      <c r="K26" s="44" t="s">
        <v>184</v>
      </c>
      <c r="L26" s="44" t="s">
        <v>210</v>
      </c>
      <c r="M26" s="67">
        <v>199900</v>
      </c>
      <c r="N26" s="11">
        <v>0.5</v>
      </c>
      <c r="O26" s="10">
        <f t="shared" si="4"/>
        <v>99950</v>
      </c>
      <c r="P26" s="7" t="s">
        <v>16</v>
      </c>
    </row>
    <row r="27" spans="1:16" s="49" customFormat="1" x14ac:dyDescent="0.35">
      <c r="A27" s="40" t="s">
        <v>218</v>
      </c>
      <c r="B27" s="41">
        <f t="shared" ref="B27:C27" si="26">B26</f>
        <v>46108</v>
      </c>
      <c r="C27" s="41">
        <f t="shared" si="26"/>
        <v>46113</v>
      </c>
      <c r="D27" s="42">
        <v>3259</v>
      </c>
      <c r="E27" s="42">
        <v>333</v>
      </c>
      <c r="F27" s="46">
        <v>3</v>
      </c>
      <c r="G27" s="44">
        <v>12</v>
      </c>
      <c r="H27" s="44">
        <v>80300</v>
      </c>
      <c r="I27" s="44" t="s">
        <v>17</v>
      </c>
      <c r="J27" s="44">
        <v>79192406</v>
      </c>
      <c r="K27" s="44" t="s">
        <v>184</v>
      </c>
      <c r="L27" s="44" t="s">
        <v>211</v>
      </c>
      <c r="M27" s="67">
        <v>199900</v>
      </c>
      <c r="N27" s="11">
        <v>0.5</v>
      </c>
      <c r="O27" s="10">
        <f t="shared" si="4"/>
        <v>99950</v>
      </c>
      <c r="P27" s="7" t="s">
        <v>16</v>
      </c>
    </row>
    <row r="28" spans="1:16" s="49" customFormat="1" x14ac:dyDescent="0.35">
      <c r="A28" s="40" t="s">
        <v>218</v>
      </c>
      <c r="B28" s="41">
        <f t="shared" ref="B28:C28" si="27">B27</f>
        <v>46108</v>
      </c>
      <c r="C28" s="41">
        <f t="shared" si="27"/>
        <v>46113</v>
      </c>
      <c r="D28" s="42">
        <v>3259</v>
      </c>
      <c r="E28" s="42">
        <v>333</v>
      </c>
      <c r="F28" s="46">
        <v>3</v>
      </c>
      <c r="G28" s="44">
        <v>12</v>
      </c>
      <c r="H28" s="44">
        <v>80300</v>
      </c>
      <c r="I28" s="44" t="s">
        <v>17</v>
      </c>
      <c r="J28" s="44">
        <v>79192415</v>
      </c>
      <c r="K28" s="44" t="s">
        <v>184</v>
      </c>
      <c r="L28" s="44" t="s">
        <v>212</v>
      </c>
      <c r="M28" s="67">
        <v>199900</v>
      </c>
      <c r="N28" s="11">
        <v>0.5</v>
      </c>
      <c r="O28" s="10">
        <f t="shared" si="4"/>
        <v>99950</v>
      </c>
      <c r="P28" s="7" t="s">
        <v>16</v>
      </c>
    </row>
    <row r="29" spans="1:16" s="49" customFormat="1" x14ac:dyDescent="0.35">
      <c r="A29" s="40" t="s">
        <v>218</v>
      </c>
      <c r="B29" s="41">
        <f t="shared" ref="B29:C29" si="28">B28</f>
        <v>46108</v>
      </c>
      <c r="C29" s="41">
        <f t="shared" si="28"/>
        <v>46113</v>
      </c>
      <c r="D29" s="42">
        <v>3259</v>
      </c>
      <c r="E29" s="42">
        <v>333</v>
      </c>
      <c r="F29" s="46">
        <v>3</v>
      </c>
      <c r="G29" s="44">
        <v>12</v>
      </c>
      <c r="H29" s="44">
        <v>80300</v>
      </c>
      <c r="I29" s="44" t="s">
        <v>17</v>
      </c>
      <c r="J29" s="44">
        <v>79192424</v>
      </c>
      <c r="K29" s="44" t="s">
        <v>184</v>
      </c>
      <c r="L29" s="44" t="s">
        <v>213</v>
      </c>
      <c r="M29" s="67">
        <v>199900</v>
      </c>
      <c r="N29" s="11">
        <v>0.5</v>
      </c>
      <c r="O29" s="10">
        <f t="shared" si="4"/>
        <v>99950</v>
      </c>
      <c r="P29" s="7" t="s">
        <v>16</v>
      </c>
    </row>
    <row r="30" spans="1:16" s="49" customFormat="1" x14ac:dyDescent="0.35">
      <c r="A30" s="40" t="s">
        <v>218</v>
      </c>
      <c r="B30" s="41">
        <f t="shared" ref="B30:C30" si="29">B29</f>
        <v>46108</v>
      </c>
      <c r="C30" s="41">
        <f t="shared" si="29"/>
        <v>46113</v>
      </c>
      <c r="D30" s="42">
        <v>3259</v>
      </c>
      <c r="E30" s="42">
        <v>333</v>
      </c>
      <c r="F30" s="46">
        <v>3</v>
      </c>
      <c r="G30" s="44">
        <v>12</v>
      </c>
      <c r="H30" s="44">
        <v>80300</v>
      </c>
      <c r="I30" s="44" t="s">
        <v>17</v>
      </c>
      <c r="J30" s="44">
        <v>79192433</v>
      </c>
      <c r="K30" s="44" t="s">
        <v>184</v>
      </c>
      <c r="L30" s="44" t="s">
        <v>214</v>
      </c>
      <c r="M30" s="67">
        <v>199900</v>
      </c>
      <c r="N30" s="11">
        <v>0.5</v>
      </c>
      <c r="O30" s="10">
        <f t="shared" si="4"/>
        <v>99950</v>
      </c>
      <c r="P30" s="7" t="s">
        <v>16</v>
      </c>
    </row>
    <row r="31" spans="1:16" s="49" customFormat="1" x14ac:dyDescent="0.35">
      <c r="A31" s="40" t="s">
        <v>218</v>
      </c>
      <c r="B31" s="41">
        <f t="shared" ref="B31:C31" si="30">B30</f>
        <v>46108</v>
      </c>
      <c r="C31" s="41">
        <f t="shared" si="30"/>
        <v>46113</v>
      </c>
      <c r="D31" s="42">
        <v>3259</v>
      </c>
      <c r="E31" s="42">
        <v>333</v>
      </c>
      <c r="F31" s="46">
        <v>3</v>
      </c>
      <c r="G31" s="44">
        <v>12</v>
      </c>
      <c r="H31" s="44">
        <v>80300</v>
      </c>
      <c r="I31" s="44" t="s">
        <v>17</v>
      </c>
      <c r="J31" s="44">
        <v>79192442</v>
      </c>
      <c r="K31" s="44" t="s">
        <v>184</v>
      </c>
      <c r="L31" s="44" t="s">
        <v>215</v>
      </c>
      <c r="M31" s="67">
        <v>199900</v>
      </c>
      <c r="N31" s="11">
        <v>0.5</v>
      </c>
      <c r="O31" s="10">
        <f t="shared" si="4"/>
        <v>99950</v>
      </c>
      <c r="P31" s="7" t="s">
        <v>16</v>
      </c>
    </row>
    <row r="32" spans="1:16" s="49" customFormat="1" x14ac:dyDescent="0.35">
      <c r="A32" s="40" t="s">
        <v>218</v>
      </c>
      <c r="B32" s="41">
        <f t="shared" ref="B32:C32" si="31">B31</f>
        <v>46108</v>
      </c>
      <c r="C32" s="41">
        <f t="shared" si="31"/>
        <v>46113</v>
      </c>
      <c r="D32" s="42">
        <v>3259</v>
      </c>
      <c r="E32" s="42">
        <v>333</v>
      </c>
      <c r="F32" s="46">
        <v>3</v>
      </c>
      <c r="G32" s="44">
        <v>12</v>
      </c>
      <c r="H32" s="44">
        <v>80300</v>
      </c>
      <c r="I32" s="44" t="s">
        <v>17</v>
      </c>
      <c r="J32" s="44">
        <v>79192451</v>
      </c>
      <c r="K32" s="44" t="s">
        <v>184</v>
      </c>
      <c r="L32" s="44" t="s">
        <v>216</v>
      </c>
      <c r="M32" s="67">
        <v>199900</v>
      </c>
      <c r="N32" s="11">
        <v>0.5</v>
      </c>
      <c r="O32" s="10">
        <f t="shared" si="4"/>
        <v>99950</v>
      </c>
      <c r="P32" s="7" t="s">
        <v>16</v>
      </c>
    </row>
  </sheetData>
  <autoFilter ref="A1:P1" xr:uid="{00000000-0009-0000-0000-000015000000}"/>
  <conditionalFormatting sqref="J1">
    <cfRule type="duplicateValues" dxfId="494" priority="138"/>
    <cfRule type="duplicateValues" dxfId="493" priority="139"/>
  </conditionalFormatting>
  <conditionalFormatting sqref="J1:J5">
    <cfRule type="duplicateValues" dxfId="492" priority="146"/>
    <cfRule type="duplicateValues" dxfId="491" priority="147"/>
    <cfRule type="duplicateValues" dxfId="490" priority="148"/>
    <cfRule type="duplicateValues" dxfId="489" priority="149"/>
    <cfRule type="duplicateValues" dxfId="488" priority="150"/>
    <cfRule type="duplicateValues" dxfId="487" priority="151"/>
    <cfRule type="duplicateValues" dxfId="486" priority="152"/>
    <cfRule type="duplicateValues" dxfId="485" priority="153"/>
    <cfRule type="duplicateValues" dxfId="484" priority="154"/>
    <cfRule type="duplicateValues" dxfId="483" priority="155"/>
    <cfRule type="duplicateValues" dxfId="482" priority="156"/>
    <cfRule type="duplicateValues" dxfId="481" priority="160"/>
    <cfRule type="duplicateValues" dxfId="480" priority="161"/>
    <cfRule type="duplicateValues" dxfId="479" priority="162"/>
  </conditionalFormatting>
  <conditionalFormatting sqref="J1:J8">
    <cfRule type="duplicateValues" dxfId="478" priority="163"/>
  </conditionalFormatting>
  <conditionalFormatting sqref="J2:J3">
    <cfRule type="duplicateValues" dxfId="477" priority="140"/>
    <cfRule type="duplicateValues" dxfId="476" priority="141"/>
    <cfRule type="duplicateValues" dxfId="475" priority="142"/>
    <cfRule type="duplicateValues" dxfId="474" priority="143"/>
    <cfRule type="duplicateValues" dxfId="473" priority="144"/>
    <cfRule type="duplicateValues" dxfId="472" priority="145"/>
  </conditionalFormatting>
  <conditionalFormatting sqref="J2:J5">
    <cfRule type="duplicateValues" dxfId="471" priority="157"/>
    <cfRule type="duplicateValues" dxfId="470" priority="158"/>
    <cfRule type="duplicateValues" dxfId="469" priority="159"/>
  </conditionalFormatting>
  <conditionalFormatting sqref="J6:J8">
    <cfRule type="duplicateValues" dxfId="468" priority="101"/>
    <cfRule type="duplicateValues" dxfId="467" priority="102"/>
    <cfRule type="duplicateValues" dxfId="466" priority="103"/>
    <cfRule type="duplicateValues" dxfId="465" priority="104"/>
    <cfRule type="duplicateValues" dxfId="464" priority="105"/>
    <cfRule type="duplicateValues" dxfId="463" priority="106"/>
    <cfRule type="duplicateValues" dxfId="462" priority="107"/>
    <cfRule type="duplicateValues" dxfId="461" priority="108"/>
    <cfRule type="duplicateValues" dxfId="460" priority="109"/>
    <cfRule type="duplicateValues" dxfId="459" priority="110"/>
    <cfRule type="duplicateValues" dxfId="458" priority="111"/>
    <cfRule type="duplicateValues" dxfId="457" priority="112"/>
    <cfRule type="duplicateValues" dxfId="456" priority="113"/>
    <cfRule type="duplicateValues" dxfId="455" priority="114"/>
    <cfRule type="duplicateValues" dxfId="454" priority="115"/>
    <cfRule type="duplicateValues" dxfId="453" priority="116"/>
    <cfRule type="duplicateValues" dxfId="452" priority="117"/>
    <cfRule type="duplicateValues" dxfId="451" priority="118"/>
    <cfRule type="duplicateValues" dxfId="450" priority="119"/>
    <cfRule type="duplicateValues" dxfId="449" priority="120"/>
    <cfRule type="duplicateValues" dxfId="448" priority="121"/>
    <cfRule type="duplicateValues" dxfId="447" priority="122"/>
    <cfRule type="duplicateValues" dxfId="446" priority="123"/>
    <cfRule type="duplicateValues" dxfId="445" priority="124"/>
    <cfRule type="duplicateValues" dxfId="444" priority="125"/>
    <cfRule type="duplicateValues" dxfId="443" priority="126"/>
    <cfRule type="duplicateValues" dxfId="442" priority="127"/>
    <cfRule type="duplicateValues" dxfId="441" priority="128"/>
    <cfRule type="duplicateValues" dxfId="440" priority="129"/>
    <cfRule type="duplicateValues" dxfId="439" priority="130"/>
    <cfRule type="duplicateValues" dxfId="438" priority="131"/>
    <cfRule type="duplicateValues" dxfId="437" priority="132"/>
    <cfRule type="duplicateValues" dxfId="436" priority="133"/>
    <cfRule type="duplicateValues" dxfId="435" priority="134"/>
    <cfRule type="duplicateValues" dxfId="434" priority="135"/>
    <cfRule type="duplicateValues" dxfId="433" priority="136"/>
    <cfRule type="duplicateValues" dxfId="432" priority="137"/>
  </conditionalFormatting>
  <conditionalFormatting sqref="J9:J12">
    <cfRule type="duplicateValues" dxfId="431" priority="43"/>
    <cfRule type="duplicateValues" dxfId="430" priority="44"/>
    <cfRule type="duplicateValues" dxfId="429" priority="45"/>
    <cfRule type="duplicateValues" dxfId="428" priority="46"/>
    <cfRule type="duplicateValues" dxfId="427" priority="47"/>
  </conditionalFormatting>
  <conditionalFormatting sqref="J9:J13">
    <cfRule type="duplicateValues" dxfId="426" priority="48"/>
  </conditionalFormatting>
  <conditionalFormatting sqref="J9:J14">
    <cfRule type="duplicateValues" dxfId="425" priority="49"/>
    <cfRule type="duplicateValues" dxfId="424" priority="50"/>
    <cfRule type="duplicateValues" dxfId="423" priority="51"/>
    <cfRule type="duplicateValues" dxfId="422" priority="52"/>
    <cfRule type="duplicateValues" dxfId="421" priority="53"/>
    <cfRule type="duplicateValues" dxfId="420" priority="54"/>
    <cfRule type="duplicateValues" dxfId="419" priority="55"/>
    <cfRule type="duplicateValues" dxfId="418" priority="56"/>
    <cfRule type="duplicateValues" dxfId="417" priority="57"/>
    <cfRule type="duplicateValues" dxfId="416" priority="58"/>
    <cfRule type="duplicateValues" dxfId="415" priority="59"/>
    <cfRule type="duplicateValues" dxfId="414" priority="60"/>
    <cfRule type="duplicateValues" dxfId="413" priority="61"/>
    <cfRule type="duplicateValues" dxfId="412" priority="62"/>
    <cfRule type="duplicateValues" dxfId="411" priority="63"/>
    <cfRule type="duplicateValues" dxfId="410" priority="64"/>
    <cfRule type="duplicateValues" dxfId="409" priority="65"/>
    <cfRule type="duplicateValues" dxfId="408" priority="66"/>
  </conditionalFormatting>
  <conditionalFormatting sqref="J9:J33">
    <cfRule type="duplicateValues" dxfId="407" priority="1"/>
  </conditionalFormatting>
  <conditionalFormatting sqref="J13">
    <cfRule type="duplicateValues" dxfId="406" priority="41"/>
    <cfRule type="duplicateValues" dxfId="405" priority="42"/>
  </conditionalFormatting>
  <conditionalFormatting sqref="J15:J26">
    <cfRule type="duplicateValues" dxfId="404" priority="67"/>
    <cfRule type="duplicateValues" dxfId="403" priority="68"/>
    <cfRule type="duplicateValues" dxfId="402" priority="69"/>
    <cfRule type="duplicateValues" dxfId="401" priority="70"/>
    <cfRule type="duplicateValues" dxfId="400" priority="71"/>
    <cfRule type="duplicateValues" dxfId="399" priority="72"/>
    <cfRule type="duplicateValues" dxfId="398" priority="73"/>
    <cfRule type="duplicateValues" dxfId="397" priority="74"/>
    <cfRule type="duplicateValues" dxfId="396" priority="75"/>
    <cfRule type="duplicateValues" dxfId="395" priority="76"/>
    <cfRule type="duplicateValues" dxfId="394" priority="77"/>
    <cfRule type="duplicateValues" dxfId="393" priority="78"/>
    <cfRule type="duplicateValues" dxfId="392" priority="79"/>
    <cfRule type="duplicateValues" dxfId="391" priority="80"/>
    <cfRule type="duplicateValues" dxfId="390" priority="81"/>
    <cfRule type="duplicateValues" dxfId="389" priority="82"/>
    <cfRule type="duplicateValues" dxfId="388" priority="83"/>
    <cfRule type="duplicateValues" dxfId="387" priority="84"/>
    <cfRule type="duplicateValues" dxfId="386" priority="85"/>
    <cfRule type="duplicateValues" dxfId="385" priority="86"/>
    <cfRule type="duplicateValues" dxfId="384" priority="87"/>
    <cfRule type="duplicateValues" dxfId="383" priority="88"/>
    <cfRule type="duplicateValues" dxfId="382" priority="89"/>
    <cfRule type="duplicateValues" dxfId="381" priority="90"/>
    <cfRule type="duplicateValues" dxfId="380" priority="91"/>
    <cfRule type="duplicateValues" dxfId="379" priority="92"/>
    <cfRule type="duplicateValues" dxfId="378" priority="93"/>
    <cfRule type="duplicateValues" dxfId="377" priority="94"/>
    <cfRule type="duplicateValues" dxfId="376" priority="95"/>
    <cfRule type="duplicateValues" dxfId="375" priority="96"/>
    <cfRule type="duplicateValues" dxfId="374" priority="97"/>
    <cfRule type="duplicateValues" dxfId="373" priority="98"/>
    <cfRule type="duplicateValues" dxfId="372" priority="99"/>
  </conditionalFormatting>
  <conditionalFormatting sqref="J27:J32">
    <cfRule type="duplicateValues" dxfId="371" priority="2"/>
    <cfRule type="duplicateValues" dxfId="370" priority="3"/>
    <cfRule type="duplicateValues" dxfId="369" priority="4"/>
    <cfRule type="duplicateValues" dxfId="368" priority="5"/>
    <cfRule type="duplicateValues" dxfId="367" priority="6"/>
    <cfRule type="duplicateValues" dxfId="366" priority="7"/>
    <cfRule type="duplicateValues" dxfId="365" priority="8"/>
    <cfRule type="duplicateValues" dxfId="364" priority="9"/>
    <cfRule type="duplicateValues" dxfId="363" priority="10"/>
    <cfRule type="duplicateValues" dxfId="362" priority="11"/>
    <cfRule type="duplicateValues" dxfId="361" priority="12"/>
    <cfRule type="duplicateValues" dxfId="360" priority="13"/>
    <cfRule type="duplicateValues" dxfId="359" priority="14"/>
    <cfRule type="duplicateValues" dxfId="358" priority="15"/>
    <cfRule type="duplicateValues" dxfId="357" priority="16"/>
    <cfRule type="duplicateValues" dxfId="356" priority="17"/>
    <cfRule type="duplicateValues" dxfId="355" priority="18"/>
    <cfRule type="duplicateValues" dxfId="354" priority="19"/>
    <cfRule type="duplicateValues" dxfId="353" priority="20"/>
    <cfRule type="duplicateValues" dxfId="352" priority="21"/>
    <cfRule type="duplicateValues" dxfId="351" priority="22"/>
    <cfRule type="duplicateValues" dxfId="350" priority="23"/>
    <cfRule type="duplicateValues" dxfId="349" priority="24"/>
    <cfRule type="duplicateValues" dxfId="348" priority="25"/>
    <cfRule type="duplicateValues" dxfId="347" priority="26"/>
    <cfRule type="duplicateValues" dxfId="346" priority="27"/>
    <cfRule type="duplicateValues" dxfId="345" priority="28"/>
    <cfRule type="duplicateValues" dxfId="344" priority="29"/>
    <cfRule type="duplicateValues" dxfId="343" priority="30"/>
    <cfRule type="duplicateValues" dxfId="342" priority="31"/>
    <cfRule type="duplicateValues" dxfId="341" priority="32"/>
    <cfRule type="duplicateValues" dxfId="340" priority="33"/>
    <cfRule type="duplicateValues" dxfId="339" priority="34"/>
    <cfRule type="duplicateValues" dxfId="338" priority="35"/>
    <cfRule type="duplicateValues" dxfId="337" priority="36"/>
    <cfRule type="duplicateValues" dxfId="336" priority="37"/>
    <cfRule type="duplicateValues" dxfId="335" priority="38"/>
    <cfRule type="duplicateValues" dxfId="334" priority="39"/>
    <cfRule type="duplicateValues" dxfId="333" priority="40"/>
  </conditionalFormatting>
  <conditionalFormatting sqref="J27:J33 J9:J14">
    <cfRule type="duplicateValues" dxfId="332" priority="10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FACB-E27C-4E61-B1E3-F73988D54F92}">
  <sheetPr>
    <tabColor rgb="FFFFFF00"/>
  </sheetPr>
  <dimension ref="A1:P49"/>
  <sheetViews>
    <sheetView topLeftCell="M1" zoomScale="57" workbookViewId="0">
      <selection activeCell="Q1" sqref="Q1:XFD1048576"/>
    </sheetView>
  </sheetViews>
  <sheetFormatPr defaultColWidth="8.7265625" defaultRowHeight="14.5" x14ac:dyDescent="0.35"/>
  <cols>
    <col min="1" max="1" width="31.1796875" style="17" customWidth="1"/>
    <col min="2" max="2" width="19.26953125" style="17" bestFit="1" customWidth="1"/>
    <col min="3" max="3" width="16.36328125" style="17" bestFit="1" customWidth="1"/>
    <col min="4" max="4" width="13.36328125" style="17" bestFit="1" customWidth="1"/>
    <col min="5" max="5" width="15.7265625" style="17" bestFit="1" customWidth="1"/>
    <col min="6" max="6" width="16.81640625" style="17" bestFit="1" customWidth="1"/>
    <col min="7" max="7" width="14.26953125" style="17" bestFit="1" customWidth="1"/>
    <col min="8" max="8" width="17" style="17" bestFit="1" customWidth="1"/>
    <col min="9" max="9" width="15.26953125" style="17" bestFit="1" customWidth="1"/>
    <col min="10" max="10" width="12.36328125" style="17" bestFit="1" customWidth="1"/>
    <col min="11" max="11" width="15.90625" style="17" bestFit="1" customWidth="1"/>
    <col min="12" max="12" width="65.36328125" style="17" customWidth="1"/>
    <col min="13" max="13" width="25.08984375" style="69" bestFit="1" customWidth="1"/>
    <col min="14" max="14" width="15.7265625" style="17" bestFit="1" customWidth="1"/>
    <col min="15" max="16" width="22.7265625" style="17" bestFit="1" customWidth="1"/>
    <col min="17" max="16384" width="8.7265625" style="17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70" t="s">
        <v>6</v>
      </c>
      <c r="K1" s="2" t="s">
        <v>7</v>
      </c>
      <c r="L1" s="2" t="s">
        <v>13</v>
      </c>
      <c r="M1" s="55" t="s">
        <v>14</v>
      </c>
      <c r="N1" s="56" t="s">
        <v>8</v>
      </c>
      <c r="O1" s="5" t="s">
        <v>9</v>
      </c>
      <c r="P1" s="2" t="s">
        <v>10</v>
      </c>
    </row>
    <row r="2" spans="1:16" x14ac:dyDescent="0.35">
      <c r="A2" s="71" t="s">
        <v>340</v>
      </c>
      <c r="B2" s="41">
        <v>46108</v>
      </c>
      <c r="C2" s="41">
        <v>46113</v>
      </c>
      <c r="D2" s="12">
        <v>3259</v>
      </c>
      <c r="E2" s="12">
        <v>333</v>
      </c>
      <c r="F2" s="7">
        <v>3</v>
      </c>
      <c r="G2" s="18">
        <v>6</v>
      </c>
      <c r="H2" s="18"/>
      <c r="I2" s="72" t="s">
        <v>17</v>
      </c>
      <c r="J2" s="18">
        <v>59201826</v>
      </c>
      <c r="K2" s="73" t="s">
        <v>85</v>
      </c>
      <c r="L2" s="18" t="s">
        <v>219</v>
      </c>
      <c r="M2" s="74">
        <v>279900</v>
      </c>
      <c r="N2" s="11">
        <v>0.3</v>
      </c>
      <c r="O2" s="10">
        <f t="shared" ref="O2" si="0">M2-(M2*N2)</f>
        <v>195930</v>
      </c>
      <c r="P2" s="7" t="s">
        <v>16</v>
      </c>
    </row>
    <row r="3" spans="1:16" x14ac:dyDescent="0.35">
      <c r="A3" s="71" t="s">
        <v>340</v>
      </c>
      <c r="B3" s="41">
        <f t="shared" ref="B3:C3" si="1">B2</f>
        <v>46108</v>
      </c>
      <c r="C3" s="41">
        <f t="shared" si="1"/>
        <v>46113</v>
      </c>
      <c r="D3" s="12">
        <v>3259</v>
      </c>
      <c r="E3" s="12">
        <v>333</v>
      </c>
      <c r="F3" s="7">
        <v>3</v>
      </c>
      <c r="G3" s="18">
        <v>6</v>
      </c>
      <c r="H3" s="18"/>
      <c r="I3" s="72" t="s">
        <v>17</v>
      </c>
      <c r="J3" s="18">
        <v>59201782</v>
      </c>
      <c r="K3" s="18" t="s">
        <v>85</v>
      </c>
      <c r="L3" s="18" t="s">
        <v>220</v>
      </c>
      <c r="M3" s="74">
        <v>279900</v>
      </c>
      <c r="N3" s="11">
        <v>0.3</v>
      </c>
      <c r="O3" s="10">
        <f t="shared" ref="O3:O49" si="2">M3-(M3*N3)</f>
        <v>195930</v>
      </c>
      <c r="P3" s="7" t="s">
        <v>16</v>
      </c>
    </row>
    <row r="4" spans="1:16" x14ac:dyDescent="0.35">
      <c r="A4" s="71" t="s">
        <v>340</v>
      </c>
      <c r="B4" s="8">
        <f t="shared" ref="B4:B49" si="3">B3</f>
        <v>46108</v>
      </c>
      <c r="C4" s="8">
        <f t="shared" ref="C4:C49" si="4">C3</f>
        <v>46113</v>
      </c>
      <c r="D4" s="12">
        <v>3259</v>
      </c>
      <c r="E4" s="12">
        <v>333</v>
      </c>
      <c r="F4" s="7">
        <v>3</v>
      </c>
      <c r="G4" s="18">
        <v>6</v>
      </c>
      <c r="H4" s="18"/>
      <c r="I4" s="72" t="s">
        <v>17</v>
      </c>
      <c r="J4" s="18">
        <v>59201791</v>
      </c>
      <c r="K4" s="18" t="s">
        <v>85</v>
      </c>
      <c r="L4" s="18" t="s">
        <v>221</v>
      </c>
      <c r="M4" s="74">
        <v>279900</v>
      </c>
      <c r="N4" s="11">
        <v>0.3</v>
      </c>
      <c r="O4" s="10">
        <f t="shared" si="2"/>
        <v>195930</v>
      </c>
      <c r="P4" s="7" t="s">
        <v>16</v>
      </c>
    </row>
    <row r="5" spans="1:16" x14ac:dyDescent="0.35">
      <c r="A5" s="71" t="s">
        <v>340</v>
      </c>
      <c r="B5" s="8">
        <f t="shared" si="3"/>
        <v>46108</v>
      </c>
      <c r="C5" s="8">
        <f t="shared" si="4"/>
        <v>46113</v>
      </c>
      <c r="D5" s="12">
        <v>3259</v>
      </c>
      <c r="E5" s="12">
        <v>333</v>
      </c>
      <c r="F5" s="7">
        <v>3</v>
      </c>
      <c r="G5" s="18">
        <v>6</v>
      </c>
      <c r="H5" s="18"/>
      <c r="I5" s="72" t="s">
        <v>17</v>
      </c>
      <c r="J5" s="18">
        <v>59201817</v>
      </c>
      <c r="K5" s="18" t="s">
        <v>85</v>
      </c>
      <c r="L5" s="18" t="s">
        <v>222</v>
      </c>
      <c r="M5" s="74">
        <v>279900</v>
      </c>
      <c r="N5" s="11">
        <v>0.3</v>
      </c>
      <c r="O5" s="10">
        <f t="shared" si="2"/>
        <v>195930</v>
      </c>
      <c r="P5" s="7" t="s">
        <v>16</v>
      </c>
    </row>
    <row r="6" spans="1:16" x14ac:dyDescent="0.35">
      <c r="A6" s="71" t="s">
        <v>340</v>
      </c>
      <c r="B6" s="8">
        <f t="shared" si="3"/>
        <v>46108</v>
      </c>
      <c r="C6" s="8">
        <f t="shared" si="4"/>
        <v>46113</v>
      </c>
      <c r="D6" s="12">
        <v>3259</v>
      </c>
      <c r="E6" s="12">
        <v>333</v>
      </c>
      <c r="F6" s="7">
        <v>3</v>
      </c>
      <c r="G6" s="18">
        <v>6</v>
      </c>
      <c r="H6" s="18"/>
      <c r="I6" s="72" t="s">
        <v>17</v>
      </c>
      <c r="J6" s="18">
        <v>59201808</v>
      </c>
      <c r="K6" s="18" t="s">
        <v>85</v>
      </c>
      <c r="L6" s="18" t="s">
        <v>223</v>
      </c>
      <c r="M6" s="74">
        <v>279900</v>
      </c>
      <c r="N6" s="11">
        <v>0.3</v>
      </c>
      <c r="O6" s="10">
        <f t="shared" si="2"/>
        <v>195930</v>
      </c>
      <c r="P6" s="7" t="s">
        <v>16</v>
      </c>
    </row>
    <row r="7" spans="1:16" x14ac:dyDescent="0.35">
      <c r="A7" s="71" t="s">
        <v>340</v>
      </c>
      <c r="B7" s="8">
        <f t="shared" si="3"/>
        <v>46108</v>
      </c>
      <c r="C7" s="8">
        <f t="shared" si="4"/>
        <v>46113</v>
      </c>
      <c r="D7" s="12">
        <v>3259</v>
      </c>
      <c r="E7" s="12">
        <v>333</v>
      </c>
      <c r="F7" s="7">
        <v>3</v>
      </c>
      <c r="G7" s="18">
        <v>6</v>
      </c>
      <c r="H7" s="18"/>
      <c r="I7" s="72" t="s">
        <v>17</v>
      </c>
      <c r="J7" s="18">
        <v>59201835</v>
      </c>
      <c r="K7" s="18" t="s">
        <v>85</v>
      </c>
      <c r="L7" s="18" t="s">
        <v>224</v>
      </c>
      <c r="M7" s="74">
        <v>279900</v>
      </c>
      <c r="N7" s="11">
        <v>0.3</v>
      </c>
      <c r="O7" s="10">
        <f t="shared" si="2"/>
        <v>195930</v>
      </c>
      <c r="P7" s="7" t="s">
        <v>16</v>
      </c>
    </row>
    <row r="8" spans="1:16" x14ac:dyDescent="0.35">
      <c r="A8" s="71" t="s">
        <v>340</v>
      </c>
      <c r="B8" s="8">
        <f t="shared" si="3"/>
        <v>46108</v>
      </c>
      <c r="C8" s="8">
        <f t="shared" si="4"/>
        <v>46113</v>
      </c>
      <c r="D8" s="12">
        <v>3259</v>
      </c>
      <c r="E8" s="12">
        <v>333</v>
      </c>
      <c r="F8" s="7">
        <v>3</v>
      </c>
      <c r="G8" s="18">
        <v>6</v>
      </c>
      <c r="H8" s="18"/>
      <c r="I8" s="72" t="s">
        <v>17</v>
      </c>
      <c r="J8" s="18">
        <v>51919718</v>
      </c>
      <c r="K8" s="18" t="s">
        <v>225</v>
      </c>
      <c r="L8" s="18" t="s">
        <v>226</v>
      </c>
      <c r="M8" s="74">
        <v>279900</v>
      </c>
      <c r="N8" s="11">
        <v>0.3</v>
      </c>
      <c r="O8" s="10">
        <f t="shared" si="2"/>
        <v>195930</v>
      </c>
      <c r="P8" s="7" t="s">
        <v>16</v>
      </c>
    </row>
    <row r="9" spans="1:16" x14ac:dyDescent="0.35">
      <c r="A9" s="71" t="s">
        <v>340</v>
      </c>
      <c r="B9" s="8">
        <f t="shared" si="3"/>
        <v>46108</v>
      </c>
      <c r="C9" s="8">
        <f t="shared" si="4"/>
        <v>46113</v>
      </c>
      <c r="D9" s="12">
        <v>3259</v>
      </c>
      <c r="E9" s="12">
        <v>333</v>
      </c>
      <c r="F9" s="7">
        <v>3</v>
      </c>
      <c r="G9" s="18">
        <v>6</v>
      </c>
      <c r="H9" s="18"/>
      <c r="I9" s="72" t="s">
        <v>17</v>
      </c>
      <c r="J9" s="18">
        <v>51919727</v>
      </c>
      <c r="K9" s="18" t="s">
        <v>225</v>
      </c>
      <c r="L9" s="18" t="s">
        <v>227</v>
      </c>
      <c r="M9" s="74">
        <v>279900</v>
      </c>
      <c r="N9" s="11">
        <v>0.3</v>
      </c>
      <c r="O9" s="10">
        <f t="shared" si="2"/>
        <v>195930</v>
      </c>
      <c r="P9" s="7" t="s">
        <v>16</v>
      </c>
    </row>
    <row r="10" spans="1:16" x14ac:dyDescent="0.35">
      <c r="A10" s="71" t="s">
        <v>340</v>
      </c>
      <c r="B10" s="8">
        <f t="shared" si="3"/>
        <v>46108</v>
      </c>
      <c r="C10" s="8">
        <f t="shared" si="4"/>
        <v>46113</v>
      </c>
      <c r="D10" s="12">
        <v>3259</v>
      </c>
      <c r="E10" s="12">
        <v>333</v>
      </c>
      <c r="F10" s="7">
        <v>3</v>
      </c>
      <c r="G10" s="18">
        <v>6</v>
      </c>
      <c r="H10" s="18"/>
      <c r="I10" s="72" t="s">
        <v>17</v>
      </c>
      <c r="J10" s="18">
        <v>51919736</v>
      </c>
      <c r="K10" s="18" t="s">
        <v>225</v>
      </c>
      <c r="L10" s="18" t="s">
        <v>228</v>
      </c>
      <c r="M10" s="74">
        <v>279900</v>
      </c>
      <c r="N10" s="11">
        <v>0.3</v>
      </c>
      <c r="O10" s="10">
        <f t="shared" si="2"/>
        <v>195930</v>
      </c>
      <c r="P10" s="7" t="s">
        <v>16</v>
      </c>
    </row>
    <row r="11" spans="1:16" x14ac:dyDescent="0.35">
      <c r="A11" s="71" t="s">
        <v>340</v>
      </c>
      <c r="B11" s="8">
        <f t="shared" si="3"/>
        <v>46108</v>
      </c>
      <c r="C11" s="8">
        <f t="shared" si="4"/>
        <v>46113</v>
      </c>
      <c r="D11" s="12">
        <v>3259</v>
      </c>
      <c r="E11" s="12">
        <v>333</v>
      </c>
      <c r="F11" s="7">
        <v>3</v>
      </c>
      <c r="G11" s="18">
        <v>6</v>
      </c>
      <c r="H11" s="18"/>
      <c r="I11" s="72" t="s">
        <v>17</v>
      </c>
      <c r="J11" s="18">
        <v>51919745</v>
      </c>
      <c r="K11" s="18" t="s">
        <v>225</v>
      </c>
      <c r="L11" s="18" t="s">
        <v>229</v>
      </c>
      <c r="M11" s="74">
        <v>279900</v>
      </c>
      <c r="N11" s="11">
        <v>0.3</v>
      </c>
      <c r="O11" s="10">
        <f t="shared" si="2"/>
        <v>195930</v>
      </c>
      <c r="P11" s="7" t="s">
        <v>16</v>
      </c>
    </row>
    <row r="12" spans="1:16" x14ac:dyDescent="0.35">
      <c r="A12" s="71" t="s">
        <v>340</v>
      </c>
      <c r="B12" s="8">
        <f t="shared" si="3"/>
        <v>46108</v>
      </c>
      <c r="C12" s="8">
        <f t="shared" si="4"/>
        <v>46113</v>
      </c>
      <c r="D12" s="12">
        <v>3259</v>
      </c>
      <c r="E12" s="12">
        <v>333</v>
      </c>
      <c r="F12" s="7">
        <v>3</v>
      </c>
      <c r="G12" s="18">
        <v>6</v>
      </c>
      <c r="H12" s="18"/>
      <c r="I12" s="72" t="s">
        <v>17</v>
      </c>
      <c r="J12" s="18">
        <v>51919754</v>
      </c>
      <c r="K12" s="18" t="s">
        <v>225</v>
      </c>
      <c r="L12" s="18" t="s">
        <v>230</v>
      </c>
      <c r="M12" s="74">
        <v>279900</v>
      </c>
      <c r="N12" s="11">
        <v>0.3</v>
      </c>
      <c r="O12" s="10">
        <f t="shared" si="2"/>
        <v>195930</v>
      </c>
      <c r="P12" s="7" t="s">
        <v>16</v>
      </c>
    </row>
    <row r="13" spans="1:16" x14ac:dyDescent="0.35">
      <c r="A13" s="71" t="s">
        <v>340</v>
      </c>
      <c r="B13" s="8">
        <f t="shared" si="3"/>
        <v>46108</v>
      </c>
      <c r="C13" s="8">
        <f t="shared" si="4"/>
        <v>46113</v>
      </c>
      <c r="D13" s="12">
        <v>3259</v>
      </c>
      <c r="E13" s="12">
        <v>333</v>
      </c>
      <c r="F13" s="7">
        <v>3</v>
      </c>
      <c r="G13" s="18">
        <v>6</v>
      </c>
      <c r="H13" s="18"/>
      <c r="I13" s="72" t="s">
        <v>17</v>
      </c>
      <c r="J13" s="18">
        <v>51919763</v>
      </c>
      <c r="K13" s="18" t="s">
        <v>225</v>
      </c>
      <c r="L13" s="18" t="s">
        <v>231</v>
      </c>
      <c r="M13" s="74">
        <v>279900</v>
      </c>
      <c r="N13" s="11">
        <v>0.3</v>
      </c>
      <c r="O13" s="10">
        <f t="shared" si="2"/>
        <v>195930</v>
      </c>
      <c r="P13" s="7" t="s">
        <v>16</v>
      </c>
    </row>
    <row r="14" spans="1:16" x14ac:dyDescent="0.35">
      <c r="A14" s="71" t="s">
        <v>340</v>
      </c>
      <c r="B14" s="8">
        <f t="shared" si="3"/>
        <v>46108</v>
      </c>
      <c r="C14" s="8">
        <f t="shared" si="4"/>
        <v>46113</v>
      </c>
      <c r="D14" s="12">
        <v>3259</v>
      </c>
      <c r="E14" s="12">
        <v>333</v>
      </c>
      <c r="F14" s="7">
        <v>3</v>
      </c>
      <c r="G14" s="18">
        <v>6</v>
      </c>
      <c r="H14" s="18"/>
      <c r="I14" s="72" t="s">
        <v>17</v>
      </c>
      <c r="J14" s="72">
        <v>50386180</v>
      </c>
      <c r="K14" s="72" t="s">
        <v>225</v>
      </c>
      <c r="L14" s="72" t="s">
        <v>232</v>
      </c>
      <c r="M14" s="67">
        <v>279900</v>
      </c>
      <c r="N14" s="11">
        <v>0.3</v>
      </c>
      <c r="O14" s="10">
        <f t="shared" si="2"/>
        <v>195930</v>
      </c>
      <c r="P14" s="7" t="s">
        <v>16</v>
      </c>
    </row>
    <row r="15" spans="1:16" x14ac:dyDescent="0.35">
      <c r="A15" s="71" t="s">
        <v>340</v>
      </c>
      <c r="B15" s="8">
        <f t="shared" si="3"/>
        <v>46108</v>
      </c>
      <c r="C15" s="8">
        <f t="shared" si="4"/>
        <v>46113</v>
      </c>
      <c r="D15" s="12">
        <v>3259</v>
      </c>
      <c r="E15" s="12">
        <v>333</v>
      </c>
      <c r="F15" s="7">
        <v>3</v>
      </c>
      <c r="G15" s="18">
        <v>6</v>
      </c>
      <c r="H15" s="18"/>
      <c r="I15" s="72" t="s">
        <v>17</v>
      </c>
      <c r="J15" s="72">
        <v>50386199</v>
      </c>
      <c r="K15" s="72" t="s">
        <v>225</v>
      </c>
      <c r="L15" s="72" t="s">
        <v>233</v>
      </c>
      <c r="M15" s="67">
        <v>279900</v>
      </c>
      <c r="N15" s="11">
        <v>0.3</v>
      </c>
      <c r="O15" s="10">
        <f t="shared" si="2"/>
        <v>195930</v>
      </c>
      <c r="P15" s="7" t="s">
        <v>16</v>
      </c>
    </row>
    <row r="16" spans="1:16" x14ac:dyDescent="0.35">
      <c r="A16" s="71" t="s">
        <v>340</v>
      </c>
      <c r="B16" s="8">
        <f t="shared" si="3"/>
        <v>46108</v>
      </c>
      <c r="C16" s="8">
        <f t="shared" si="4"/>
        <v>46113</v>
      </c>
      <c r="D16" s="12">
        <v>3259</v>
      </c>
      <c r="E16" s="12">
        <v>333</v>
      </c>
      <c r="F16" s="7">
        <v>3</v>
      </c>
      <c r="G16" s="18">
        <v>6</v>
      </c>
      <c r="H16" s="18"/>
      <c r="I16" s="72" t="s">
        <v>17</v>
      </c>
      <c r="J16" s="72">
        <v>50386215</v>
      </c>
      <c r="K16" s="72" t="s">
        <v>225</v>
      </c>
      <c r="L16" s="72" t="s">
        <v>234</v>
      </c>
      <c r="M16" s="67">
        <v>279900</v>
      </c>
      <c r="N16" s="11">
        <v>0.3</v>
      </c>
      <c r="O16" s="10">
        <f t="shared" si="2"/>
        <v>195930</v>
      </c>
      <c r="P16" s="7" t="s">
        <v>16</v>
      </c>
    </row>
    <row r="17" spans="1:16" x14ac:dyDescent="0.35">
      <c r="A17" s="71" t="s">
        <v>340</v>
      </c>
      <c r="B17" s="8">
        <f t="shared" si="3"/>
        <v>46108</v>
      </c>
      <c r="C17" s="8">
        <f t="shared" si="4"/>
        <v>46113</v>
      </c>
      <c r="D17" s="12">
        <v>3259</v>
      </c>
      <c r="E17" s="12">
        <v>333</v>
      </c>
      <c r="F17" s="7">
        <v>3</v>
      </c>
      <c r="G17" s="18">
        <v>6</v>
      </c>
      <c r="H17" s="18"/>
      <c r="I17" s="72" t="s">
        <v>17</v>
      </c>
      <c r="J17" s="72">
        <v>50386224</v>
      </c>
      <c r="K17" s="72" t="s">
        <v>225</v>
      </c>
      <c r="L17" s="72" t="s">
        <v>235</v>
      </c>
      <c r="M17" s="67">
        <v>279900</v>
      </c>
      <c r="N17" s="11">
        <v>0.3</v>
      </c>
      <c r="O17" s="10">
        <f t="shared" si="2"/>
        <v>195930</v>
      </c>
      <c r="P17" s="7" t="s">
        <v>16</v>
      </c>
    </row>
    <row r="18" spans="1:16" x14ac:dyDescent="0.35">
      <c r="A18" s="71" t="s">
        <v>340</v>
      </c>
      <c r="B18" s="8">
        <f t="shared" si="3"/>
        <v>46108</v>
      </c>
      <c r="C18" s="8">
        <f t="shared" si="4"/>
        <v>46113</v>
      </c>
      <c r="D18" s="12">
        <v>3259</v>
      </c>
      <c r="E18" s="12">
        <v>333</v>
      </c>
      <c r="F18" s="7">
        <v>3</v>
      </c>
      <c r="G18" s="18">
        <v>6</v>
      </c>
      <c r="H18" s="18"/>
      <c r="I18" s="72" t="s">
        <v>17</v>
      </c>
      <c r="J18" s="72">
        <v>50386233</v>
      </c>
      <c r="K18" s="72" t="s">
        <v>225</v>
      </c>
      <c r="L18" s="72" t="s">
        <v>236</v>
      </c>
      <c r="M18" s="67">
        <v>279900</v>
      </c>
      <c r="N18" s="11">
        <v>0.3</v>
      </c>
      <c r="O18" s="10">
        <f t="shared" si="2"/>
        <v>195930</v>
      </c>
      <c r="P18" s="7" t="s">
        <v>16</v>
      </c>
    </row>
    <row r="19" spans="1:16" x14ac:dyDescent="0.35">
      <c r="A19" s="71" t="s">
        <v>340</v>
      </c>
      <c r="B19" s="8">
        <f t="shared" si="3"/>
        <v>46108</v>
      </c>
      <c r="C19" s="8">
        <f t="shared" si="4"/>
        <v>46113</v>
      </c>
      <c r="D19" s="12">
        <v>3259</v>
      </c>
      <c r="E19" s="12">
        <v>333</v>
      </c>
      <c r="F19" s="7">
        <v>3</v>
      </c>
      <c r="G19" s="18">
        <v>6</v>
      </c>
      <c r="H19" s="18"/>
      <c r="I19" s="72" t="s">
        <v>17</v>
      </c>
      <c r="J19" s="72">
        <v>50386242</v>
      </c>
      <c r="K19" s="72" t="s">
        <v>225</v>
      </c>
      <c r="L19" s="72" t="s">
        <v>237</v>
      </c>
      <c r="M19" s="67">
        <v>279900</v>
      </c>
      <c r="N19" s="11">
        <v>0.3</v>
      </c>
      <c r="O19" s="10">
        <f t="shared" si="2"/>
        <v>195930</v>
      </c>
      <c r="P19" s="7" t="s">
        <v>16</v>
      </c>
    </row>
    <row r="20" spans="1:16" x14ac:dyDescent="0.35">
      <c r="A20" s="71" t="s">
        <v>340</v>
      </c>
      <c r="B20" s="8">
        <f t="shared" si="3"/>
        <v>46108</v>
      </c>
      <c r="C20" s="8">
        <f t="shared" si="4"/>
        <v>46113</v>
      </c>
      <c r="D20" s="12">
        <v>3259</v>
      </c>
      <c r="E20" s="12">
        <v>333</v>
      </c>
      <c r="F20" s="7">
        <v>3</v>
      </c>
      <c r="G20" s="18">
        <v>6</v>
      </c>
      <c r="H20" s="18"/>
      <c r="I20" s="72" t="s">
        <v>17</v>
      </c>
      <c r="J20" s="18">
        <v>59201924</v>
      </c>
      <c r="K20" s="18" t="s">
        <v>238</v>
      </c>
      <c r="L20" s="18" t="s">
        <v>239</v>
      </c>
      <c r="M20" s="74">
        <v>249900</v>
      </c>
      <c r="N20" s="11">
        <v>0.3</v>
      </c>
      <c r="O20" s="10">
        <f t="shared" si="2"/>
        <v>174930</v>
      </c>
      <c r="P20" s="7" t="s">
        <v>16</v>
      </c>
    </row>
    <row r="21" spans="1:16" x14ac:dyDescent="0.35">
      <c r="A21" s="71" t="s">
        <v>340</v>
      </c>
      <c r="B21" s="8">
        <f t="shared" si="3"/>
        <v>46108</v>
      </c>
      <c r="C21" s="8">
        <f t="shared" si="4"/>
        <v>46113</v>
      </c>
      <c r="D21" s="12">
        <v>3259</v>
      </c>
      <c r="E21" s="12">
        <v>333</v>
      </c>
      <c r="F21" s="7">
        <v>3</v>
      </c>
      <c r="G21" s="18">
        <v>6</v>
      </c>
      <c r="H21" s="18"/>
      <c r="I21" s="72" t="s">
        <v>17</v>
      </c>
      <c r="J21" s="18">
        <v>59201933</v>
      </c>
      <c r="K21" s="18" t="s">
        <v>238</v>
      </c>
      <c r="L21" s="18" t="s">
        <v>240</v>
      </c>
      <c r="M21" s="74">
        <v>249900</v>
      </c>
      <c r="N21" s="11">
        <v>0.3</v>
      </c>
      <c r="O21" s="10">
        <f t="shared" si="2"/>
        <v>174930</v>
      </c>
      <c r="P21" s="7" t="s">
        <v>16</v>
      </c>
    </row>
    <row r="22" spans="1:16" x14ac:dyDescent="0.35">
      <c r="A22" s="71" t="s">
        <v>340</v>
      </c>
      <c r="B22" s="8">
        <f t="shared" si="3"/>
        <v>46108</v>
      </c>
      <c r="C22" s="8">
        <f t="shared" si="4"/>
        <v>46113</v>
      </c>
      <c r="D22" s="12">
        <v>3259</v>
      </c>
      <c r="E22" s="12">
        <v>333</v>
      </c>
      <c r="F22" s="7">
        <v>3</v>
      </c>
      <c r="G22" s="18">
        <v>6</v>
      </c>
      <c r="H22" s="18"/>
      <c r="I22" s="72" t="s">
        <v>17</v>
      </c>
      <c r="J22" s="18">
        <v>59201942</v>
      </c>
      <c r="K22" s="18" t="s">
        <v>238</v>
      </c>
      <c r="L22" s="18" t="s">
        <v>241</v>
      </c>
      <c r="M22" s="74">
        <v>249900</v>
      </c>
      <c r="N22" s="11">
        <v>0.3</v>
      </c>
      <c r="O22" s="10">
        <f t="shared" si="2"/>
        <v>174930</v>
      </c>
      <c r="P22" s="7" t="s">
        <v>16</v>
      </c>
    </row>
    <row r="23" spans="1:16" x14ac:dyDescent="0.35">
      <c r="A23" s="71" t="s">
        <v>340</v>
      </c>
      <c r="B23" s="8">
        <f t="shared" si="3"/>
        <v>46108</v>
      </c>
      <c r="C23" s="8">
        <f t="shared" si="4"/>
        <v>46113</v>
      </c>
      <c r="D23" s="12">
        <v>3259</v>
      </c>
      <c r="E23" s="12">
        <v>333</v>
      </c>
      <c r="F23" s="7">
        <v>3</v>
      </c>
      <c r="G23" s="18">
        <v>6</v>
      </c>
      <c r="H23" s="18"/>
      <c r="I23" s="72" t="s">
        <v>17</v>
      </c>
      <c r="J23" s="18">
        <v>59201951</v>
      </c>
      <c r="K23" s="18" t="s">
        <v>238</v>
      </c>
      <c r="L23" s="18" t="s">
        <v>242</v>
      </c>
      <c r="M23" s="74">
        <v>249900</v>
      </c>
      <c r="N23" s="11">
        <v>0.3</v>
      </c>
      <c r="O23" s="10">
        <f t="shared" si="2"/>
        <v>174930</v>
      </c>
      <c r="P23" s="7" t="s">
        <v>16</v>
      </c>
    </row>
    <row r="24" spans="1:16" x14ac:dyDescent="0.35">
      <c r="A24" s="71" t="s">
        <v>340</v>
      </c>
      <c r="B24" s="8">
        <f t="shared" si="3"/>
        <v>46108</v>
      </c>
      <c r="C24" s="8">
        <f t="shared" si="4"/>
        <v>46113</v>
      </c>
      <c r="D24" s="12">
        <v>3259</v>
      </c>
      <c r="E24" s="12">
        <v>333</v>
      </c>
      <c r="F24" s="7">
        <v>3</v>
      </c>
      <c r="G24" s="18">
        <v>6</v>
      </c>
      <c r="H24" s="18"/>
      <c r="I24" s="72" t="s">
        <v>17</v>
      </c>
      <c r="J24" s="18">
        <v>59201960</v>
      </c>
      <c r="K24" s="18" t="s">
        <v>238</v>
      </c>
      <c r="L24" s="18" t="s">
        <v>243</v>
      </c>
      <c r="M24" s="74">
        <v>249900</v>
      </c>
      <c r="N24" s="11">
        <v>0.3</v>
      </c>
      <c r="O24" s="10">
        <f t="shared" si="2"/>
        <v>174930</v>
      </c>
      <c r="P24" s="7" t="s">
        <v>16</v>
      </c>
    </row>
    <row r="25" spans="1:16" x14ac:dyDescent="0.35">
      <c r="A25" s="71" t="s">
        <v>340</v>
      </c>
      <c r="B25" s="8">
        <f t="shared" si="3"/>
        <v>46108</v>
      </c>
      <c r="C25" s="8">
        <f t="shared" si="4"/>
        <v>46113</v>
      </c>
      <c r="D25" s="12">
        <v>3259</v>
      </c>
      <c r="E25" s="12">
        <v>333</v>
      </c>
      <c r="F25" s="7">
        <v>3</v>
      </c>
      <c r="G25" s="18">
        <v>6</v>
      </c>
      <c r="H25" s="18"/>
      <c r="I25" s="72" t="s">
        <v>17</v>
      </c>
      <c r="J25" s="18">
        <v>59201979</v>
      </c>
      <c r="K25" s="18" t="s">
        <v>238</v>
      </c>
      <c r="L25" s="18" t="s">
        <v>244</v>
      </c>
      <c r="M25" s="74">
        <v>249900</v>
      </c>
      <c r="N25" s="11">
        <v>0.3</v>
      </c>
      <c r="O25" s="10">
        <f t="shared" si="2"/>
        <v>174930</v>
      </c>
      <c r="P25" s="7" t="s">
        <v>16</v>
      </c>
    </row>
    <row r="26" spans="1:16" x14ac:dyDescent="0.35">
      <c r="A26" s="71" t="s">
        <v>340</v>
      </c>
      <c r="B26" s="8">
        <f t="shared" si="3"/>
        <v>46108</v>
      </c>
      <c r="C26" s="8">
        <f t="shared" si="4"/>
        <v>46113</v>
      </c>
      <c r="D26" s="12">
        <v>3259</v>
      </c>
      <c r="E26" s="12">
        <v>333</v>
      </c>
      <c r="F26" s="7">
        <v>3</v>
      </c>
      <c r="G26" s="18">
        <v>6</v>
      </c>
      <c r="H26" s="18"/>
      <c r="I26" s="72" t="s">
        <v>17</v>
      </c>
      <c r="J26" s="18">
        <v>59201988</v>
      </c>
      <c r="K26" s="18" t="s">
        <v>238</v>
      </c>
      <c r="L26" s="18" t="s">
        <v>245</v>
      </c>
      <c r="M26" s="74">
        <v>249900</v>
      </c>
      <c r="N26" s="11">
        <v>0.3</v>
      </c>
      <c r="O26" s="10">
        <f t="shared" si="2"/>
        <v>174930</v>
      </c>
      <c r="P26" s="7" t="s">
        <v>16</v>
      </c>
    </row>
    <row r="27" spans="1:16" x14ac:dyDescent="0.35">
      <c r="A27" s="71" t="s">
        <v>340</v>
      </c>
      <c r="B27" s="8">
        <f t="shared" si="3"/>
        <v>46108</v>
      </c>
      <c r="C27" s="8">
        <f t="shared" si="4"/>
        <v>46113</v>
      </c>
      <c r="D27" s="12">
        <v>3259</v>
      </c>
      <c r="E27" s="12">
        <v>333</v>
      </c>
      <c r="F27" s="7">
        <v>3</v>
      </c>
      <c r="G27" s="18">
        <v>6</v>
      </c>
      <c r="H27" s="18"/>
      <c r="I27" s="72" t="s">
        <v>17</v>
      </c>
      <c r="J27" s="18">
        <v>59201997</v>
      </c>
      <c r="K27" s="18" t="s">
        <v>238</v>
      </c>
      <c r="L27" s="18" t="s">
        <v>246</v>
      </c>
      <c r="M27" s="74">
        <v>249900</v>
      </c>
      <c r="N27" s="11">
        <v>0.3</v>
      </c>
      <c r="O27" s="10">
        <f t="shared" si="2"/>
        <v>174930</v>
      </c>
      <c r="P27" s="7" t="s">
        <v>16</v>
      </c>
    </row>
    <row r="28" spans="1:16" x14ac:dyDescent="0.35">
      <c r="A28" s="71" t="s">
        <v>340</v>
      </c>
      <c r="B28" s="8">
        <f t="shared" si="3"/>
        <v>46108</v>
      </c>
      <c r="C28" s="8">
        <f t="shared" si="4"/>
        <v>46113</v>
      </c>
      <c r="D28" s="12">
        <v>3259</v>
      </c>
      <c r="E28" s="12">
        <v>333</v>
      </c>
      <c r="F28" s="7">
        <v>3</v>
      </c>
      <c r="G28" s="18">
        <v>6</v>
      </c>
      <c r="H28" s="18"/>
      <c r="I28" s="72" t="s">
        <v>17</v>
      </c>
      <c r="J28" s="18">
        <v>59202003</v>
      </c>
      <c r="K28" s="18" t="s">
        <v>238</v>
      </c>
      <c r="L28" s="18" t="s">
        <v>247</v>
      </c>
      <c r="M28" s="74">
        <v>249900</v>
      </c>
      <c r="N28" s="11">
        <v>0.3</v>
      </c>
      <c r="O28" s="10">
        <f t="shared" si="2"/>
        <v>174930</v>
      </c>
      <c r="P28" s="7" t="s">
        <v>16</v>
      </c>
    </row>
    <row r="29" spans="1:16" x14ac:dyDescent="0.35">
      <c r="A29" s="71" t="s">
        <v>340</v>
      </c>
      <c r="B29" s="8">
        <f t="shared" si="3"/>
        <v>46108</v>
      </c>
      <c r="C29" s="8">
        <f t="shared" si="4"/>
        <v>46113</v>
      </c>
      <c r="D29" s="12">
        <v>3259</v>
      </c>
      <c r="E29" s="12">
        <v>333</v>
      </c>
      <c r="F29" s="7">
        <v>3</v>
      </c>
      <c r="G29" s="18">
        <v>6</v>
      </c>
      <c r="H29" s="18"/>
      <c r="I29" s="72" t="s">
        <v>17</v>
      </c>
      <c r="J29" s="18">
        <v>59202012</v>
      </c>
      <c r="K29" s="18" t="s">
        <v>238</v>
      </c>
      <c r="L29" s="18" t="s">
        <v>248</v>
      </c>
      <c r="M29" s="74">
        <v>249900</v>
      </c>
      <c r="N29" s="11">
        <v>0.3</v>
      </c>
      <c r="O29" s="10">
        <f t="shared" si="2"/>
        <v>174930</v>
      </c>
      <c r="P29" s="7" t="s">
        <v>16</v>
      </c>
    </row>
    <row r="30" spans="1:16" x14ac:dyDescent="0.35">
      <c r="A30" s="71" t="s">
        <v>340</v>
      </c>
      <c r="B30" s="8">
        <f t="shared" si="3"/>
        <v>46108</v>
      </c>
      <c r="C30" s="8">
        <f t="shared" si="4"/>
        <v>46113</v>
      </c>
      <c r="D30" s="12">
        <v>3259</v>
      </c>
      <c r="E30" s="12">
        <v>333</v>
      </c>
      <c r="F30" s="7">
        <v>3</v>
      </c>
      <c r="G30" s="18">
        <v>6</v>
      </c>
      <c r="H30" s="18"/>
      <c r="I30" s="72" t="s">
        <v>17</v>
      </c>
      <c r="J30" s="18">
        <v>59202021</v>
      </c>
      <c r="K30" s="18" t="s">
        <v>238</v>
      </c>
      <c r="L30" s="18" t="s">
        <v>249</v>
      </c>
      <c r="M30" s="74">
        <v>249900</v>
      </c>
      <c r="N30" s="11">
        <v>0.3</v>
      </c>
      <c r="O30" s="10">
        <f t="shared" si="2"/>
        <v>174930</v>
      </c>
      <c r="P30" s="7" t="s">
        <v>16</v>
      </c>
    </row>
    <row r="31" spans="1:16" x14ac:dyDescent="0.35">
      <c r="A31" s="71" t="s">
        <v>340</v>
      </c>
      <c r="B31" s="8">
        <f t="shared" si="3"/>
        <v>46108</v>
      </c>
      <c r="C31" s="8">
        <f t="shared" si="4"/>
        <v>46113</v>
      </c>
      <c r="D31" s="12">
        <v>3259</v>
      </c>
      <c r="E31" s="12">
        <v>333</v>
      </c>
      <c r="F31" s="7">
        <v>3</v>
      </c>
      <c r="G31" s="18">
        <v>6</v>
      </c>
      <c r="H31" s="18"/>
      <c r="I31" s="72" t="s">
        <v>17</v>
      </c>
      <c r="J31" s="18">
        <v>59202030</v>
      </c>
      <c r="K31" s="18" t="s">
        <v>238</v>
      </c>
      <c r="L31" s="18" t="s">
        <v>250</v>
      </c>
      <c r="M31" s="74">
        <v>249900</v>
      </c>
      <c r="N31" s="11">
        <v>0.3</v>
      </c>
      <c r="O31" s="10">
        <f t="shared" si="2"/>
        <v>174930</v>
      </c>
      <c r="P31" s="7" t="s">
        <v>16</v>
      </c>
    </row>
    <row r="32" spans="1:16" x14ac:dyDescent="0.35">
      <c r="A32" s="71" t="s">
        <v>340</v>
      </c>
      <c r="B32" s="8">
        <f t="shared" si="3"/>
        <v>46108</v>
      </c>
      <c r="C32" s="8">
        <f t="shared" si="4"/>
        <v>46113</v>
      </c>
      <c r="D32" s="12">
        <v>3259</v>
      </c>
      <c r="E32" s="12">
        <v>333</v>
      </c>
      <c r="F32" s="7">
        <v>3</v>
      </c>
      <c r="G32" s="18">
        <v>6</v>
      </c>
      <c r="H32" s="18"/>
      <c r="I32" s="72" t="s">
        <v>17</v>
      </c>
      <c r="J32" s="18">
        <v>59202049</v>
      </c>
      <c r="K32" s="18" t="s">
        <v>238</v>
      </c>
      <c r="L32" s="18" t="s">
        <v>251</v>
      </c>
      <c r="M32" s="74">
        <v>249900</v>
      </c>
      <c r="N32" s="11">
        <v>0.3</v>
      </c>
      <c r="O32" s="10">
        <f t="shared" si="2"/>
        <v>174930</v>
      </c>
      <c r="P32" s="7" t="s">
        <v>16</v>
      </c>
    </row>
    <row r="33" spans="1:16" x14ac:dyDescent="0.35">
      <c r="A33" s="71" t="s">
        <v>340</v>
      </c>
      <c r="B33" s="8">
        <f t="shared" si="3"/>
        <v>46108</v>
      </c>
      <c r="C33" s="8">
        <f t="shared" si="4"/>
        <v>46113</v>
      </c>
      <c r="D33" s="12">
        <v>3259</v>
      </c>
      <c r="E33" s="12">
        <v>333</v>
      </c>
      <c r="F33" s="7">
        <v>3</v>
      </c>
      <c r="G33" s="18">
        <v>6</v>
      </c>
      <c r="H33" s="18"/>
      <c r="I33" s="72" t="s">
        <v>17</v>
      </c>
      <c r="J33" s="18">
        <v>59202058</v>
      </c>
      <c r="K33" s="18" t="s">
        <v>238</v>
      </c>
      <c r="L33" s="18" t="s">
        <v>252</v>
      </c>
      <c r="M33" s="74">
        <v>249900</v>
      </c>
      <c r="N33" s="11">
        <v>0.3</v>
      </c>
      <c r="O33" s="10">
        <f t="shared" si="2"/>
        <v>174930</v>
      </c>
      <c r="P33" s="7" t="s">
        <v>16</v>
      </c>
    </row>
    <row r="34" spans="1:16" x14ac:dyDescent="0.35">
      <c r="A34" s="71" t="s">
        <v>340</v>
      </c>
      <c r="B34" s="8">
        <f t="shared" si="3"/>
        <v>46108</v>
      </c>
      <c r="C34" s="8">
        <f t="shared" si="4"/>
        <v>46113</v>
      </c>
      <c r="D34" s="12">
        <v>3259</v>
      </c>
      <c r="E34" s="12">
        <v>333</v>
      </c>
      <c r="F34" s="7">
        <v>3</v>
      </c>
      <c r="G34" s="18">
        <v>6</v>
      </c>
      <c r="H34" s="18"/>
      <c r="I34" s="72" t="s">
        <v>17</v>
      </c>
      <c r="J34" s="18">
        <v>59202067</v>
      </c>
      <c r="K34" s="18" t="s">
        <v>238</v>
      </c>
      <c r="L34" s="18" t="s">
        <v>253</v>
      </c>
      <c r="M34" s="74">
        <v>249900</v>
      </c>
      <c r="N34" s="11">
        <v>0.3</v>
      </c>
      <c r="O34" s="10">
        <f t="shared" si="2"/>
        <v>174930</v>
      </c>
      <c r="P34" s="7" t="s">
        <v>16</v>
      </c>
    </row>
    <row r="35" spans="1:16" x14ac:dyDescent="0.35">
      <c r="A35" s="71" t="s">
        <v>340</v>
      </c>
      <c r="B35" s="8">
        <f t="shared" si="3"/>
        <v>46108</v>
      </c>
      <c r="C35" s="8">
        <f t="shared" si="4"/>
        <v>46113</v>
      </c>
      <c r="D35" s="12">
        <v>3259</v>
      </c>
      <c r="E35" s="12">
        <v>333</v>
      </c>
      <c r="F35" s="7">
        <v>3</v>
      </c>
      <c r="G35" s="18">
        <v>6</v>
      </c>
      <c r="H35" s="18"/>
      <c r="I35" s="72" t="s">
        <v>17</v>
      </c>
      <c r="J35" s="18">
        <v>59202076</v>
      </c>
      <c r="K35" s="18" t="s">
        <v>238</v>
      </c>
      <c r="L35" s="18" t="s">
        <v>254</v>
      </c>
      <c r="M35" s="74">
        <v>249900</v>
      </c>
      <c r="N35" s="11">
        <v>0.3</v>
      </c>
      <c r="O35" s="10">
        <f t="shared" si="2"/>
        <v>174930</v>
      </c>
      <c r="P35" s="7" t="s">
        <v>16</v>
      </c>
    </row>
    <row r="36" spans="1:16" x14ac:dyDescent="0.35">
      <c r="A36" s="71" t="s">
        <v>340</v>
      </c>
      <c r="B36" s="8">
        <f t="shared" si="3"/>
        <v>46108</v>
      </c>
      <c r="C36" s="8">
        <f t="shared" si="4"/>
        <v>46113</v>
      </c>
      <c r="D36" s="12">
        <v>3259</v>
      </c>
      <c r="E36" s="12">
        <v>333</v>
      </c>
      <c r="F36" s="7">
        <v>3</v>
      </c>
      <c r="G36" s="18">
        <v>6</v>
      </c>
      <c r="H36" s="18"/>
      <c r="I36" s="72" t="s">
        <v>17</v>
      </c>
      <c r="J36" s="18">
        <v>59202085</v>
      </c>
      <c r="K36" s="18" t="s">
        <v>238</v>
      </c>
      <c r="L36" s="18" t="s">
        <v>255</v>
      </c>
      <c r="M36" s="74">
        <v>249900</v>
      </c>
      <c r="N36" s="11">
        <v>0.3</v>
      </c>
      <c r="O36" s="10">
        <f t="shared" si="2"/>
        <v>174930</v>
      </c>
      <c r="P36" s="7" t="s">
        <v>16</v>
      </c>
    </row>
    <row r="37" spans="1:16" x14ac:dyDescent="0.35">
      <c r="A37" s="71" t="s">
        <v>340</v>
      </c>
      <c r="B37" s="8">
        <f t="shared" si="3"/>
        <v>46108</v>
      </c>
      <c r="C37" s="8">
        <f t="shared" si="4"/>
        <v>46113</v>
      </c>
      <c r="D37" s="12">
        <v>3259</v>
      </c>
      <c r="E37" s="12">
        <v>333</v>
      </c>
      <c r="F37" s="7">
        <v>3</v>
      </c>
      <c r="G37" s="18">
        <v>6</v>
      </c>
      <c r="H37" s="18"/>
      <c r="I37" s="72" t="s">
        <v>17</v>
      </c>
      <c r="J37" s="18">
        <v>59202094</v>
      </c>
      <c r="K37" s="18" t="s">
        <v>238</v>
      </c>
      <c r="L37" s="18" t="s">
        <v>256</v>
      </c>
      <c r="M37" s="74">
        <v>249900</v>
      </c>
      <c r="N37" s="11">
        <v>0.3</v>
      </c>
      <c r="O37" s="10">
        <f t="shared" si="2"/>
        <v>174930</v>
      </c>
      <c r="P37" s="7" t="s">
        <v>16</v>
      </c>
    </row>
    <row r="38" spans="1:16" x14ac:dyDescent="0.35">
      <c r="A38" s="71" t="s">
        <v>340</v>
      </c>
      <c r="B38" s="8">
        <f t="shared" si="3"/>
        <v>46108</v>
      </c>
      <c r="C38" s="8">
        <f t="shared" si="4"/>
        <v>46113</v>
      </c>
      <c r="D38" s="12">
        <v>3259</v>
      </c>
      <c r="E38" s="12">
        <v>333</v>
      </c>
      <c r="F38" s="7">
        <v>3</v>
      </c>
      <c r="G38" s="18">
        <v>6</v>
      </c>
      <c r="H38" s="18"/>
      <c r="I38" s="72" t="s">
        <v>17</v>
      </c>
      <c r="J38" s="18">
        <v>59202101</v>
      </c>
      <c r="K38" s="18" t="s">
        <v>238</v>
      </c>
      <c r="L38" s="18" t="s">
        <v>257</v>
      </c>
      <c r="M38" s="74">
        <v>249900</v>
      </c>
      <c r="N38" s="11">
        <v>0.3</v>
      </c>
      <c r="O38" s="10">
        <f t="shared" si="2"/>
        <v>174930</v>
      </c>
      <c r="P38" s="7" t="s">
        <v>16</v>
      </c>
    </row>
    <row r="39" spans="1:16" x14ac:dyDescent="0.35">
      <c r="A39" s="71" t="s">
        <v>340</v>
      </c>
      <c r="B39" s="8">
        <f t="shared" si="3"/>
        <v>46108</v>
      </c>
      <c r="C39" s="8">
        <f t="shared" si="4"/>
        <v>46113</v>
      </c>
      <c r="D39" s="12">
        <v>3259</v>
      </c>
      <c r="E39" s="12">
        <v>333</v>
      </c>
      <c r="F39" s="7">
        <v>3</v>
      </c>
      <c r="G39" s="18">
        <v>6</v>
      </c>
      <c r="H39" s="18"/>
      <c r="I39" s="72" t="s">
        <v>17</v>
      </c>
      <c r="J39" s="18">
        <v>59202110</v>
      </c>
      <c r="K39" s="18" t="s">
        <v>238</v>
      </c>
      <c r="L39" s="18" t="s">
        <v>258</v>
      </c>
      <c r="M39" s="74">
        <v>249900</v>
      </c>
      <c r="N39" s="11">
        <v>0.3</v>
      </c>
      <c r="O39" s="10">
        <f t="shared" si="2"/>
        <v>174930</v>
      </c>
      <c r="P39" s="7" t="s">
        <v>16</v>
      </c>
    </row>
    <row r="40" spans="1:16" x14ac:dyDescent="0.35">
      <c r="A40" s="71" t="s">
        <v>340</v>
      </c>
      <c r="B40" s="8">
        <f t="shared" si="3"/>
        <v>46108</v>
      </c>
      <c r="C40" s="8">
        <f t="shared" si="4"/>
        <v>46113</v>
      </c>
      <c r="D40" s="12">
        <v>3259</v>
      </c>
      <c r="E40" s="12">
        <v>333</v>
      </c>
      <c r="F40" s="7">
        <v>3</v>
      </c>
      <c r="G40" s="18">
        <v>6</v>
      </c>
      <c r="H40" s="18"/>
      <c r="I40" s="72" t="s">
        <v>17</v>
      </c>
      <c r="J40" s="18">
        <v>59202129</v>
      </c>
      <c r="K40" s="18" t="s">
        <v>238</v>
      </c>
      <c r="L40" s="18" t="s">
        <v>259</v>
      </c>
      <c r="M40" s="74">
        <v>249900</v>
      </c>
      <c r="N40" s="11">
        <v>0.3</v>
      </c>
      <c r="O40" s="10">
        <f t="shared" si="2"/>
        <v>174930</v>
      </c>
      <c r="P40" s="7" t="s">
        <v>16</v>
      </c>
    </row>
    <row r="41" spans="1:16" x14ac:dyDescent="0.35">
      <c r="A41" s="71" t="s">
        <v>340</v>
      </c>
      <c r="B41" s="8">
        <f t="shared" si="3"/>
        <v>46108</v>
      </c>
      <c r="C41" s="8">
        <f t="shared" si="4"/>
        <v>46113</v>
      </c>
      <c r="D41" s="12">
        <v>3259</v>
      </c>
      <c r="E41" s="12">
        <v>333</v>
      </c>
      <c r="F41" s="7">
        <v>3</v>
      </c>
      <c r="G41" s="18">
        <v>6</v>
      </c>
      <c r="H41" s="18"/>
      <c r="I41" s="72" t="s">
        <v>17</v>
      </c>
      <c r="J41" s="18">
        <v>59202138</v>
      </c>
      <c r="K41" s="18" t="s">
        <v>238</v>
      </c>
      <c r="L41" s="18" t="s">
        <v>260</v>
      </c>
      <c r="M41" s="74">
        <v>249900</v>
      </c>
      <c r="N41" s="11">
        <v>0.3</v>
      </c>
      <c r="O41" s="10">
        <f t="shared" si="2"/>
        <v>174930</v>
      </c>
      <c r="P41" s="7" t="s">
        <v>16</v>
      </c>
    </row>
    <row r="42" spans="1:16" x14ac:dyDescent="0.35">
      <c r="A42" s="71" t="s">
        <v>340</v>
      </c>
      <c r="B42" s="8">
        <f t="shared" si="3"/>
        <v>46108</v>
      </c>
      <c r="C42" s="8">
        <f t="shared" si="4"/>
        <v>46113</v>
      </c>
      <c r="D42" s="12">
        <v>3259</v>
      </c>
      <c r="E42" s="12">
        <v>333</v>
      </c>
      <c r="F42" s="7">
        <v>3</v>
      </c>
      <c r="G42" s="18">
        <v>6</v>
      </c>
      <c r="H42" s="18"/>
      <c r="I42" s="72" t="s">
        <v>17</v>
      </c>
      <c r="J42" s="18">
        <v>59202147</v>
      </c>
      <c r="K42" s="18" t="s">
        <v>238</v>
      </c>
      <c r="L42" s="18" t="s">
        <v>261</v>
      </c>
      <c r="M42" s="74">
        <v>249900</v>
      </c>
      <c r="N42" s="11">
        <v>0.3</v>
      </c>
      <c r="O42" s="10">
        <f t="shared" si="2"/>
        <v>174930</v>
      </c>
      <c r="P42" s="7" t="s">
        <v>16</v>
      </c>
    </row>
    <row r="43" spans="1:16" x14ac:dyDescent="0.35">
      <c r="A43" s="71" t="s">
        <v>340</v>
      </c>
      <c r="B43" s="8">
        <f t="shared" si="3"/>
        <v>46108</v>
      </c>
      <c r="C43" s="8">
        <f t="shared" si="4"/>
        <v>46113</v>
      </c>
      <c r="D43" s="12">
        <v>3259</v>
      </c>
      <c r="E43" s="12">
        <v>333</v>
      </c>
      <c r="F43" s="7">
        <v>3</v>
      </c>
      <c r="G43" s="18">
        <v>6</v>
      </c>
      <c r="H43" s="18"/>
      <c r="I43" s="72" t="s">
        <v>17</v>
      </c>
      <c r="J43" s="18">
        <v>59202156</v>
      </c>
      <c r="K43" s="18" t="s">
        <v>238</v>
      </c>
      <c r="L43" s="18" t="s">
        <v>262</v>
      </c>
      <c r="M43" s="74">
        <v>249900</v>
      </c>
      <c r="N43" s="11">
        <v>0.3</v>
      </c>
      <c r="O43" s="10">
        <f t="shared" si="2"/>
        <v>174930</v>
      </c>
      <c r="P43" s="7" t="s">
        <v>16</v>
      </c>
    </row>
    <row r="44" spans="1:16" x14ac:dyDescent="0.35">
      <c r="A44" s="71" t="s">
        <v>340</v>
      </c>
      <c r="B44" s="8">
        <f t="shared" si="3"/>
        <v>46108</v>
      </c>
      <c r="C44" s="8">
        <f t="shared" si="4"/>
        <v>46113</v>
      </c>
      <c r="D44" s="12">
        <v>3259</v>
      </c>
      <c r="E44" s="12">
        <v>333</v>
      </c>
      <c r="F44" s="7">
        <v>3</v>
      </c>
      <c r="G44" s="18">
        <v>6</v>
      </c>
      <c r="H44" s="18"/>
      <c r="I44" s="72" t="s">
        <v>17</v>
      </c>
      <c r="J44" s="18">
        <v>61618444</v>
      </c>
      <c r="K44" s="18" t="s">
        <v>263</v>
      </c>
      <c r="L44" s="18" t="s">
        <v>264</v>
      </c>
      <c r="M44" s="74">
        <v>249900</v>
      </c>
      <c r="N44" s="11">
        <v>0.3</v>
      </c>
      <c r="O44" s="10">
        <f t="shared" si="2"/>
        <v>174930</v>
      </c>
      <c r="P44" s="7" t="s">
        <v>16</v>
      </c>
    </row>
    <row r="45" spans="1:16" x14ac:dyDescent="0.35">
      <c r="A45" s="71" t="s">
        <v>340</v>
      </c>
      <c r="B45" s="8">
        <f t="shared" si="3"/>
        <v>46108</v>
      </c>
      <c r="C45" s="8">
        <f t="shared" si="4"/>
        <v>46113</v>
      </c>
      <c r="D45" s="12">
        <v>3259</v>
      </c>
      <c r="E45" s="12">
        <v>333</v>
      </c>
      <c r="F45" s="7">
        <v>3</v>
      </c>
      <c r="G45" s="18">
        <v>6</v>
      </c>
      <c r="H45" s="18"/>
      <c r="I45" s="72" t="s">
        <v>17</v>
      </c>
      <c r="J45" s="18">
        <v>61618453</v>
      </c>
      <c r="K45" s="18" t="s">
        <v>263</v>
      </c>
      <c r="L45" s="18" t="s">
        <v>265</v>
      </c>
      <c r="M45" s="74">
        <v>249900</v>
      </c>
      <c r="N45" s="11">
        <v>0.3</v>
      </c>
      <c r="O45" s="10">
        <f t="shared" si="2"/>
        <v>174930</v>
      </c>
      <c r="P45" s="7" t="s">
        <v>16</v>
      </c>
    </row>
    <row r="46" spans="1:16" x14ac:dyDescent="0.35">
      <c r="A46" s="71" t="s">
        <v>340</v>
      </c>
      <c r="B46" s="8">
        <f t="shared" si="3"/>
        <v>46108</v>
      </c>
      <c r="C46" s="8">
        <f t="shared" si="4"/>
        <v>46113</v>
      </c>
      <c r="D46" s="12">
        <v>3259</v>
      </c>
      <c r="E46" s="12">
        <v>333</v>
      </c>
      <c r="F46" s="7">
        <v>3</v>
      </c>
      <c r="G46" s="18">
        <v>6</v>
      </c>
      <c r="H46" s="18"/>
      <c r="I46" s="72" t="s">
        <v>17</v>
      </c>
      <c r="J46" s="18">
        <v>61618462</v>
      </c>
      <c r="K46" s="18" t="s">
        <v>263</v>
      </c>
      <c r="L46" s="18" t="s">
        <v>266</v>
      </c>
      <c r="M46" s="74">
        <v>249900</v>
      </c>
      <c r="N46" s="11">
        <v>0.3</v>
      </c>
      <c r="O46" s="10">
        <f t="shared" si="2"/>
        <v>174930</v>
      </c>
      <c r="P46" s="7" t="s">
        <v>16</v>
      </c>
    </row>
    <row r="47" spans="1:16" x14ac:dyDescent="0.35">
      <c r="A47" s="71" t="s">
        <v>340</v>
      </c>
      <c r="B47" s="8">
        <f t="shared" si="3"/>
        <v>46108</v>
      </c>
      <c r="C47" s="8">
        <f t="shared" si="4"/>
        <v>46113</v>
      </c>
      <c r="D47" s="12">
        <v>3259</v>
      </c>
      <c r="E47" s="12">
        <v>333</v>
      </c>
      <c r="F47" s="7">
        <v>3</v>
      </c>
      <c r="G47" s="18">
        <v>6</v>
      </c>
      <c r="H47" s="18"/>
      <c r="I47" s="72" t="s">
        <v>17</v>
      </c>
      <c r="J47" s="18">
        <v>61618471</v>
      </c>
      <c r="K47" s="18" t="s">
        <v>263</v>
      </c>
      <c r="L47" s="18" t="s">
        <v>267</v>
      </c>
      <c r="M47" s="74">
        <v>249900</v>
      </c>
      <c r="N47" s="11">
        <v>0.3</v>
      </c>
      <c r="O47" s="10">
        <f t="shared" si="2"/>
        <v>174930</v>
      </c>
      <c r="P47" s="7" t="s">
        <v>16</v>
      </c>
    </row>
    <row r="48" spans="1:16" x14ac:dyDescent="0.35">
      <c r="A48" s="71" t="s">
        <v>340</v>
      </c>
      <c r="B48" s="8">
        <f t="shared" si="3"/>
        <v>46108</v>
      </c>
      <c r="C48" s="8">
        <f t="shared" si="4"/>
        <v>46113</v>
      </c>
      <c r="D48" s="12">
        <v>3259</v>
      </c>
      <c r="E48" s="12">
        <v>333</v>
      </c>
      <c r="F48" s="7">
        <v>3</v>
      </c>
      <c r="G48" s="18">
        <v>6</v>
      </c>
      <c r="H48" s="18"/>
      <c r="I48" s="72" t="s">
        <v>17</v>
      </c>
      <c r="J48" s="18">
        <v>61618480</v>
      </c>
      <c r="K48" s="18" t="s">
        <v>263</v>
      </c>
      <c r="L48" s="18" t="s">
        <v>268</v>
      </c>
      <c r="M48" s="74">
        <v>249900</v>
      </c>
      <c r="N48" s="11">
        <v>0.3</v>
      </c>
      <c r="O48" s="10">
        <f t="shared" si="2"/>
        <v>174930</v>
      </c>
      <c r="P48" s="7" t="s">
        <v>16</v>
      </c>
    </row>
    <row r="49" spans="1:16" x14ac:dyDescent="0.35">
      <c r="A49" s="71" t="s">
        <v>340</v>
      </c>
      <c r="B49" s="8">
        <f t="shared" si="3"/>
        <v>46108</v>
      </c>
      <c r="C49" s="8">
        <f t="shared" si="4"/>
        <v>46113</v>
      </c>
      <c r="D49" s="12">
        <v>3259</v>
      </c>
      <c r="E49" s="12">
        <v>333</v>
      </c>
      <c r="F49" s="7">
        <v>3</v>
      </c>
      <c r="G49" s="18">
        <v>6</v>
      </c>
      <c r="H49" s="18"/>
      <c r="I49" s="72" t="s">
        <v>17</v>
      </c>
      <c r="J49" s="18">
        <v>61618499</v>
      </c>
      <c r="K49" s="18" t="s">
        <v>263</v>
      </c>
      <c r="L49" s="18" t="s">
        <v>269</v>
      </c>
      <c r="M49" s="74">
        <v>249900</v>
      </c>
      <c r="N49" s="11">
        <v>0.3</v>
      </c>
      <c r="O49" s="10">
        <f t="shared" si="2"/>
        <v>174930</v>
      </c>
      <c r="P49" s="7" t="s">
        <v>16</v>
      </c>
    </row>
  </sheetData>
  <autoFilter ref="A1:P13" xr:uid="{00000000-0009-0000-0000-00001E000000}"/>
  <conditionalFormatting sqref="J1">
    <cfRule type="duplicateValues" dxfId="331" priority="20"/>
    <cfRule type="duplicateValues" dxfId="330" priority="21"/>
    <cfRule type="duplicateValues" dxfId="329" priority="22"/>
    <cfRule type="duplicateValues" dxfId="328" priority="23"/>
    <cfRule type="duplicateValues" dxfId="327" priority="24"/>
    <cfRule type="duplicateValues" dxfId="326" priority="25"/>
    <cfRule type="duplicateValues" dxfId="325" priority="26"/>
    <cfRule type="duplicateValues" dxfId="324" priority="27"/>
    <cfRule type="duplicateValues" dxfId="323" priority="28"/>
    <cfRule type="duplicateValues" dxfId="322" priority="29"/>
    <cfRule type="duplicateValues" dxfId="321" priority="30"/>
    <cfRule type="duplicateValues" dxfId="320" priority="31"/>
    <cfRule type="duplicateValues" dxfId="319" priority="32"/>
    <cfRule type="duplicateValues" dxfId="318" priority="33"/>
    <cfRule type="duplicateValues" dxfId="317" priority="34"/>
    <cfRule type="duplicateValues" dxfId="316" priority="35"/>
    <cfRule type="duplicateValues" dxfId="315" priority="36"/>
    <cfRule type="duplicateValues" dxfId="314" priority="37"/>
    <cfRule type="duplicateValues" dxfId="313" priority="38"/>
    <cfRule type="duplicateValues" dxfId="312" priority="39"/>
    <cfRule type="duplicateValues" dxfId="311" priority="40"/>
    <cfRule type="duplicateValues" dxfId="310" priority="41"/>
    <cfRule type="duplicateValues" dxfId="309" priority="42"/>
    <cfRule type="duplicateValues" dxfId="308" priority="43"/>
    <cfRule type="duplicateValues" dxfId="307" priority="44"/>
    <cfRule type="duplicateValues" dxfId="306" priority="45"/>
    <cfRule type="duplicateValues" dxfId="305" priority="46"/>
    <cfRule type="duplicateValues" dxfId="304" priority="47"/>
  </conditionalFormatting>
  <conditionalFormatting sqref="J1:J7">
    <cfRule type="duplicateValues" dxfId="303" priority="48"/>
    <cfRule type="duplicateValues" dxfId="302" priority="49"/>
    <cfRule type="duplicateValues" dxfId="301" priority="50"/>
    <cfRule type="duplicateValues" dxfId="300" priority="51"/>
    <cfRule type="duplicateValues" dxfId="299" priority="52"/>
    <cfRule type="duplicateValues" dxfId="298" priority="53"/>
    <cfRule type="duplicateValues" dxfId="297" priority="54"/>
    <cfRule type="duplicateValues" dxfId="296" priority="55"/>
    <cfRule type="duplicateValues" dxfId="295" priority="56"/>
    <cfRule type="duplicateValues" dxfId="294" priority="57"/>
    <cfRule type="duplicateValues" dxfId="293" priority="58"/>
    <cfRule type="duplicateValues" dxfId="292" priority="59"/>
    <cfRule type="duplicateValues" dxfId="291" priority="60"/>
    <cfRule type="duplicateValues" dxfId="290" priority="61"/>
    <cfRule type="duplicateValues" dxfId="289" priority="62"/>
    <cfRule type="duplicateValues" dxfId="288" priority="66"/>
    <cfRule type="duplicateValues" dxfId="287" priority="67"/>
    <cfRule type="duplicateValues" dxfId="286" priority="68"/>
    <cfRule type="duplicateValues" dxfId="285" priority="69"/>
    <cfRule type="duplicateValues" dxfId="284" priority="70"/>
    <cfRule type="duplicateValues" dxfId="283" priority="71"/>
    <cfRule type="duplicateValues" dxfId="282" priority="72"/>
  </conditionalFormatting>
  <conditionalFormatting sqref="J1:J13">
    <cfRule type="duplicateValues" dxfId="281" priority="63"/>
    <cfRule type="duplicateValues" dxfId="280" priority="64"/>
    <cfRule type="duplicateValues" dxfId="279" priority="65"/>
    <cfRule type="duplicateValues" dxfId="278" priority="127"/>
    <cfRule type="duplicateValues" dxfId="277" priority="128"/>
  </conditionalFormatting>
  <conditionalFormatting sqref="J1:J19">
    <cfRule type="duplicateValues" dxfId="276" priority="78"/>
    <cfRule type="duplicateValues" dxfId="275" priority="79"/>
    <cfRule type="duplicateValues" dxfId="274" priority="80"/>
    <cfRule type="duplicateValues" dxfId="273" priority="81"/>
    <cfRule type="duplicateValues" dxfId="272" priority="82"/>
    <cfRule type="duplicateValues" dxfId="271" priority="83"/>
    <cfRule type="duplicateValues" dxfId="270" priority="84"/>
    <cfRule type="duplicateValues" dxfId="269" priority="85"/>
    <cfRule type="duplicateValues" dxfId="268" priority="86"/>
    <cfRule type="duplicateValues" dxfId="267" priority="87"/>
    <cfRule type="duplicateValues" dxfId="266" priority="88"/>
    <cfRule type="duplicateValues" dxfId="265" priority="89"/>
    <cfRule type="duplicateValues" dxfId="264" priority="90"/>
    <cfRule type="duplicateValues" dxfId="263" priority="91"/>
    <cfRule type="duplicateValues" dxfId="262" priority="92"/>
    <cfRule type="duplicateValues" dxfId="261" priority="93"/>
    <cfRule type="duplicateValues" dxfId="260" priority="94"/>
    <cfRule type="duplicateValues" dxfId="259" priority="95"/>
    <cfRule type="duplicateValues" dxfId="258" priority="96"/>
    <cfRule type="duplicateValues" dxfId="257" priority="97"/>
    <cfRule type="duplicateValues" dxfId="256" priority="98"/>
    <cfRule type="duplicateValues" dxfId="255" priority="99"/>
    <cfRule type="duplicateValues" dxfId="254" priority="100"/>
    <cfRule type="duplicateValues" dxfId="253" priority="101"/>
    <cfRule type="duplicateValues" dxfId="252" priority="102"/>
    <cfRule type="duplicateValues" dxfId="251" priority="103"/>
    <cfRule type="duplicateValues" dxfId="250" priority="104"/>
    <cfRule type="duplicateValues" dxfId="249" priority="105"/>
    <cfRule type="duplicateValues" dxfId="248" priority="106"/>
    <cfRule type="duplicateValues" dxfId="247" priority="107"/>
    <cfRule type="duplicateValues" dxfId="246" priority="108"/>
    <cfRule type="duplicateValues" dxfId="245" priority="109"/>
    <cfRule type="duplicateValues" dxfId="244" priority="110"/>
    <cfRule type="duplicateValues" dxfId="243" priority="111"/>
    <cfRule type="duplicateValues" dxfId="242" priority="112"/>
    <cfRule type="duplicateValues" dxfId="241" priority="113"/>
    <cfRule type="duplicateValues" dxfId="240" priority="114"/>
    <cfRule type="duplicateValues" dxfId="239" priority="115"/>
    <cfRule type="duplicateValues" dxfId="238" priority="116"/>
    <cfRule type="duplicateValues" dxfId="237" priority="117"/>
    <cfRule type="duplicateValues" dxfId="236" priority="118"/>
    <cfRule type="duplicateValues" dxfId="235" priority="119"/>
    <cfRule type="duplicateValues" dxfId="234" priority="120"/>
    <cfRule type="duplicateValues" dxfId="233" priority="121"/>
    <cfRule type="duplicateValues" dxfId="232" priority="122"/>
    <cfRule type="duplicateValues" dxfId="231" priority="123"/>
    <cfRule type="duplicateValues" dxfId="230" priority="124"/>
    <cfRule type="duplicateValues" dxfId="229" priority="125"/>
    <cfRule type="duplicateValues" dxfId="228" priority="126"/>
    <cfRule type="duplicateValues" dxfId="227" priority="7305"/>
    <cfRule type="duplicateValues" dxfId="226" priority="7306"/>
    <cfRule type="duplicateValues" dxfId="225" priority="7307"/>
    <cfRule type="duplicateValues" dxfId="224" priority="7308"/>
    <cfRule type="duplicateValues" dxfId="223" priority="7309"/>
    <cfRule type="duplicateValues" dxfId="222" priority="7310"/>
    <cfRule type="duplicateValues" dxfId="221" priority="7311"/>
    <cfRule type="duplicateValues" dxfId="220" priority="7312"/>
  </conditionalFormatting>
  <conditionalFormatting sqref="J1:J1048576">
    <cfRule type="duplicateValues" dxfId="219" priority="1"/>
  </conditionalFormatting>
  <conditionalFormatting sqref="J14:J19">
    <cfRule type="duplicateValues" dxfId="218" priority="5"/>
    <cfRule type="duplicateValues" dxfId="217" priority="6"/>
    <cfRule type="duplicateValues" dxfId="216" priority="7"/>
    <cfRule type="duplicateValues" dxfId="215" priority="8"/>
    <cfRule type="duplicateValues" dxfId="214" priority="9"/>
    <cfRule type="duplicateValues" dxfId="213" priority="10"/>
    <cfRule type="duplicateValues" dxfId="212" priority="11"/>
    <cfRule type="duplicateValues" dxfId="211" priority="12"/>
    <cfRule type="duplicateValues" dxfId="210" priority="13"/>
    <cfRule type="duplicateValues" dxfId="209" priority="14"/>
    <cfRule type="duplicateValues" dxfId="208" priority="15"/>
    <cfRule type="duplicateValues" dxfId="207" priority="16"/>
    <cfRule type="duplicateValues" dxfId="206" priority="17"/>
    <cfRule type="duplicateValues" dxfId="205" priority="18"/>
    <cfRule type="duplicateValues" dxfId="204" priority="19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DE09-624C-4A3E-B47A-368F32372B43}">
  <sheetPr>
    <tabColor rgb="FFFFFF00"/>
  </sheetPr>
  <dimension ref="A1:P57"/>
  <sheetViews>
    <sheetView topLeftCell="M41" zoomScale="57" workbookViewId="0">
      <selection activeCell="Q41" sqref="Q1:XFD1048576"/>
    </sheetView>
  </sheetViews>
  <sheetFormatPr defaultColWidth="8.7265625" defaultRowHeight="14.5" x14ac:dyDescent="0.35"/>
  <cols>
    <col min="1" max="1" width="24.36328125" style="17" bestFit="1" customWidth="1"/>
    <col min="2" max="2" width="24" style="17" bestFit="1" customWidth="1"/>
    <col min="3" max="3" width="20.54296875" style="17" bestFit="1" customWidth="1"/>
    <col min="4" max="4" width="16.54296875" style="17" bestFit="1" customWidth="1"/>
    <col min="5" max="5" width="18.81640625" style="17" bestFit="1" customWidth="1"/>
    <col min="6" max="6" width="20.453125" style="17" bestFit="1" customWidth="1"/>
    <col min="7" max="7" width="17.81640625" style="17" bestFit="1" customWidth="1"/>
    <col min="8" max="8" width="12.54296875" style="17" customWidth="1"/>
    <col min="9" max="9" width="18.1796875" style="17" bestFit="1" customWidth="1"/>
    <col min="10" max="10" width="14.81640625" style="17" customWidth="1"/>
    <col min="11" max="11" width="20.1796875" style="17" bestFit="1" customWidth="1"/>
    <col min="12" max="12" width="122.453125" style="17" bestFit="1" customWidth="1"/>
    <col min="13" max="13" width="30.81640625" style="34" bestFit="1" customWidth="1"/>
    <col min="14" max="14" width="19" style="17" bestFit="1" customWidth="1"/>
    <col min="15" max="15" width="22.7265625" style="17" bestFit="1" customWidth="1"/>
    <col min="16" max="16" width="29.453125" style="17" customWidth="1"/>
    <col min="17" max="16384" width="8.7265625" style="17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70" t="s">
        <v>6</v>
      </c>
      <c r="K1" s="2" t="s">
        <v>7</v>
      </c>
      <c r="L1" s="2" t="s">
        <v>13</v>
      </c>
      <c r="M1" s="31" t="s">
        <v>14</v>
      </c>
      <c r="N1" s="32" t="s">
        <v>8</v>
      </c>
      <c r="O1" s="5" t="s">
        <v>9</v>
      </c>
      <c r="P1" s="2" t="s">
        <v>10</v>
      </c>
    </row>
    <row r="2" spans="1:16" s="78" customFormat="1" x14ac:dyDescent="0.35">
      <c r="A2" s="75" t="s">
        <v>341</v>
      </c>
      <c r="B2" s="41">
        <v>46108</v>
      </c>
      <c r="C2" s="41">
        <v>46113</v>
      </c>
      <c r="D2" s="12">
        <v>3259</v>
      </c>
      <c r="E2" s="12">
        <v>333</v>
      </c>
      <c r="F2" s="7">
        <v>3</v>
      </c>
      <c r="G2" s="72"/>
      <c r="H2" s="72"/>
      <c r="I2" s="72" t="s">
        <v>17</v>
      </c>
      <c r="J2" s="72">
        <v>59120619</v>
      </c>
      <c r="K2" s="76" t="s">
        <v>87</v>
      </c>
      <c r="L2" s="72" t="s">
        <v>270</v>
      </c>
      <c r="M2" s="77">
        <v>179900</v>
      </c>
      <c r="N2" s="11">
        <v>0.3</v>
      </c>
      <c r="O2" s="10">
        <f t="shared" ref="O2" si="0">M2-(M2*N2)</f>
        <v>125930</v>
      </c>
      <c r="P2" s="7" t="s">
        <v>16</v>
      </c>
    </row>
    <row r="3" spans="1:16" s="78" customFormat="1" x14ac:dyDescent="0.35">
      <c r="A3" s="75" t="s">
        <v>341</v>
      </c>
      <c r="B3" s="41">
        <f t="shared" ref="B3:C3" si="1">B2</f>
        <v>46108</v>
      </c>
      <c r="C3" s="41">
        <f t="shared" si="1"/>
        <v>46113</v>
      </c>
      <c r="D3" s="12">
        <v>3259</v>
      </c>
      <c r="E3" s="12">
        <v>333</v>
      </c>
      <c r="F3" s="7">
        <v>3</v>
      </c>
      <c r="G3" s="72"/>
      <c r="H3" s="72"/>
      <c r="I3" s="72" t="s">
        <v>17</v>
      </c>
      <c r="J3" s="72">
        <v>59120628</v>
      </c>
      <c r="K3" s="76" t="s">
        <v>87</v>
      </c>
      <c r="L3" s="72" t="s">
        <v>271</v>
      </c>
      <c r="M3" s="77">
        <v>179900</v>
      </c>
      <c r="N3" s="11">
        <v>0.3</v>
      </c>
      <c r="O3" s="10">
        <f t="shared" ref="O3:O57" si="2">M3-(M3*N3)</f>
        <v>125930</v>
      </c>
      <c r="P3" s="7" t="s">
        <v>16</v>
      </c>
    </row>
    <row r="4" spans="1:16" s="78" customFormat="1" x14ac:dyDescent="0.35">
      <c r="A4" s="75" t="s">
        <v>341</v>
      </c>
      <c r="B4" s="8">
        <f t="shared" ref="B4:C19" si="3">B3</f>
        <v>46108</v>
      </c>
      <c r="C4" s="8">
        <f t="shared" si="3"/>
        <v>46113</v>
      </c>
      <c r="D4" s="12">
        <v>3259</v>
      </c>
      <c r="E4" s="12">
        <v>333</v>
      </c>
      <c r="F4" s="7">
        <v>3</v>
      </c>
      <c r="G4" s="72"/>
      <c r="H4" s="72"/>
      <c r="I4" s="72" t="s">
        <v>17</v>
      </c>
      <c r="J4" s="72">
        <v>59120637</v>
      </c>
      <c r="K4" s="76" t="s">
        <v>87</v>
      </c>
      <c r="L4" s="72" t="s">
        <v>272</v>
      </c>
      <c r="M4" s="77">
        <v>179900</v>
      </c>
      <c r="N4" s="11">
        <v>0.3</v>
      </c>
      <c r="O4" s="10">
        <f t="shared" si="2"/>
        <v>125930</v>
      </c>
      <c r="P4" s="7" t="s">
        <v>16</v>
      </c>
    </row>
    <row r="5" spans="1:16" s="78" customFormat="1" x14ac:dyDescent="0.35">
      <c r="A5" s="75" t="s">
        <v>341</v>
      </c>
      <c r="B5" s="8">
        <f t="shared" si="3"/>
        <v>46108</v>
      </c>
      <c r="C5" s="8">
        <f t="shared" si="3"/>
        <v>46113</v>
      </c>
      <c r="D5" s="12">
        <v>3259</v>
      </c>
      <c r="E5" s="12">
        <v>333</v>
      </c>
      <c r="F5" s="7">
        <v>3</v>
      </c>
      <c r="G5" s="72"/>
      <c r="H5" s="72"/>
      <c r="I5" s="72" t="s">
        <v>17</v>
      </c>
      <c r="J5" s="72">
        <v>59120646</v>
      </c>
      <c r="K5" s="76" t="s">
        <v>87</v>
      </c>
      <c r="L5" s="72" t="s">
        <v>273</v>
      </c>
      <c r="M5" s="77">
        <v>179900</v>
      </c>
      <c r="N5" s="11">
        <v>0.3</v>
      </c>
      <c r="O5" s="10">
        <f t="shared" si="2"/>
        <v>125930</v>
      </c>
      <c r="P5" s="7" t="s">
        <v>16</v>
      </c>
    </row>
    <row r="6" spans="1:16" s="78" customFormat="1" x14ac:dyDescent="0.35">
      <c r="A6" s="75" t="s">
        <v>341</v>
      </c>
      <c r="B6" s="8">
        <f t="shared" si="3"/>
        <v>46108</v>
      </c>
      <c r="C6" s="8">
        <f t="shared" si="3"/>
        <v>46113</v>
      </c>
      <c r="D6" s="12">
        <v>3259</v>
      </c>
      <c r="E6" s="12">
        <v>333</v>
      </c>
      <c r="F6" s="7">
        <v>3</v>
      </c>
      <c r="G6" s="72"/>
      <c r="H6" s="72"/>
      <c r="I6" s="72" t="s">
        <v>17</v>
      </c>
      <c r="J6" s="72">
        <v>59120655</v>
      </c>
      <c r="K6" s="76" t="s">
        <v>87</v>
      </c>
      <c r="L6" s="72" t="s">
        <v>274</v>
      </c>
      <c r="M6" s="77">
        <v>179900</v>
      </c>
      <c r="N6" s="11">
        <v>0.3</v>
      </c>
      <c r="O6" s="10">
        <f t="shared" si="2"/>
        <v>125930</v>
      </c>
      <c r="P6" s="7" t="s">
        <v>16</v>
      </c>
    </row>
    <row r="7" spans="1:16" s="78" customFormat="1" x14ac:dyDescent="0.35">
      <c r="A7" s="75" t="s">
        <v>341</v>
      </c>
      <c r="B7" s="8">
        <f t="shared" si="3"/>
        <v>46108</v>
      </c>
      <c r="C7" s="8">
        <f t="shared" si="3"/>
        <v>46113</v>
      </c>
      <c r="D7" s="12">
        <v>3259</v>
      </c>
      <c r="E7" s="12">
        <v>333</v>
      </c>
      <c r="F7" s="7">
        <v>3</v>
      </c>
      <c r="G7" s="72"/>
      <c r="H7" s="72"/>
      <c r="I7" s="72" t="s">
        <v>17</v>
      </c>
      <c r="J7" s="72">
        <v>59120664</v>
      </c>
      <c r="K7" s="76" t="s">
        <v>87</v>
      </c>
      <c r="L7" s="72" t="s">
        <v>275</v>
      </c>
      <c r="M7" s="77">
        <v>179900</v>
      </c>
      <c r="N7" s="11">
        <v>0.3</v>
      </c>
      <c r="O7" s="10">
        <f t="shared" si="2"/>
        <v>125930</v>
      </c>
      <c r="P7" s="7" t="s">
        <v>16</v>
      </c>
    </row>
    <row r="8" spans="1:16" x14ac:dyDescent="0.35">
      <c r="A8" s="75" t="s">
        <v>341</v>
      </c>
      <c r="B8" s="8">
        <f t="shared" si="3"/>
        <v>46108</v>
      </c>
      <c r="C8" s="8">
        <f t="shared" si="3"/>
        <v>46113</v>
      </c>
      <c r="D8" s="12">
        <v>3259</v>
      </c>
      <c r="E8" s="12">
        <v>333</v>
      </c>
      <c r="F8" s="7">
        <v>3</v>
      </c>
      <c r="G8" s="72"/>
      <c r="H8" s="72"/>
      <c r="I8" s="72" t="s">
        <v>17</v>
      </c>
      <c r="J8" s="18">
        <v>59120557</v>
      </c>
      <c r="K8" s="76" t="s">
        <v>87</v>
      </c>
      <c r="L8" s="18" t="s">
        <v>276</v>
      </c>
      <c r="M8" s="77">
        <v>179900</v>
      </c>
      <c r="N8" s="11">
        <v>0.3</v>
      </c>
      <c r="O8" s="10">
        <f t="shared" si="2"/>
        <v>125930</v>
      </c>
      <c r="P8" s="7" t="s">
        <v>16</v>
      </c>
    </row>
    <row r="9" spans="1:16" x14ac:dyDescent="0.35">
      <c r="A9" s="75" t="s">
        <v>341</v>
      </c>
      <c r="B9" s="8">
        <f t="shared" si="3"/>
        <v>46108</v>
      </c>
      <c r="C9" s="8">
        <f t="shared" si="3"/>
        <v>46113</v>
      </c>
      <c r="D9" s="12">
        <v>3259</v>
      </c>
      <c r="E9" s="12">
        <v>333</v>
      </c>
      <c r="F9" s="7">
        <v>3</v>
      </c>
      <c r="G9" s="72"/>
      <c r="H9" s="72"/>
      <c r="I9" s="72" t="s">
        <v>17</v>
      </c>
      <c r="J9" s="18">
        <v>59120566</v>
      </c>
      <c r="K9" s="76" t="s">
        <v>87</v>
      </c>
      <c r="L9" s="18" t="s">
        <v>277</v>
      </c>
      <c r="M9" s="77">
        <v>179900</v>
      </c>
      <c r="N9" s="11">
        <v>0.3</v>
      </c>
      <c r="O9" s="10">
        <f t="shared" si="2"/>
        <v>125930</v>
      </c>
      <c r="P9" s="7" t="s">
        <v>16</v>
      </c>
    </row>
    <row r="10" spans="1:16" x14ac:dyDescent="0.35">
      <c r="A10" s="75" t="s">
        <v>341</v>
      </c>
      <c r="B10" s="8">
        <f t="shared" si="3"/>
        <v>46108</v>
      </c>
      <c r="C10" s="8">
        <f t="shared" si="3"/>
        <v>46113</v>
      </c>
      <c r="D10" s="12">
        <v>3259</v>
      </c>
      <c r="E10" s="12">
        <v>333</v>
      </c>
      <c r="F10" s="7">
        <v>3</v>
      </c>
      <c r="G10" s="72"/>
      <c r="H10" s="72"/>
      <c r="I10" s="72" t="s">
        <v>17</v>
      </c>
      <c r="J10" s="18">
        <v>59120575</v>
      </c>
      <c r="K10" s="76" t="s">
        <v>87</v>
      </c>
      <c r="L10" s="18" t="s">
        <v>278</v>
      </c>
      <c r="M10" s="77">
        <v>179900</v>
      </c>
      <c r="N10" s="11">
        <v>0.3</v>
      </c>
      <c r="O10" s="10">
        <f t="shared" si="2"/>
        <v>125930</v>
      </c>
      <c r="P10" s="7" t="s">
        <v>16</v>
      </c>
    </row>
    <row r="11" spans="1:16" x14ac:dyDescent="0.35">
      <c r="A11" s="75" t="s">
        <v>341</v>
      </c>
      <c r="B11" s="8">
        <f t="shared" si="3"/>
        <v>46108</v>
      </c>
      <c r="C11" s="8">
        <f t="shared" si="3"/>
        <v>46113</v>
      </c>
      <c r="D11" s="12">
        <v>3259</v>
      </c>
      <c r="E11" s="12">
        <v>333</v>
      </c>
      <c r="F11" s="7">
        <v>3</v>
      </c>
      <c r="G11" s="72"/>
      <c r="H11" s="72"/>
      <c r="I11" s="72" t="s">
        <v>17</v>
      </c>
      <c r="J11" s="18">
        <v>59120584</v>
      </c>
      <c r="K11" s="76" t="s">
        <v>87</v>
      </c>
      <c r="L11" s="18" t="s">
        <v>279</v>
      </c>
      <c r="M11" s="77">
        <v>179900</v>
      </c>
      <c r="N11" s="11">
        <v>0.3</v>
      </c>
      <c r="O11" s="10">
        <f t="shared" si="2"/>
        <v>125930</v>
      </c>
      <c r="P11" s="7" t="s">
        <v>16</v>
      </c>
    </row>
    <row r="12" spans="1:16" x14ac:dyDescent="0.35">
      <c r="A12" s="75" t="s">
        <v>341</v>
      </c>
      <c r="B12" s="8">
        <f t="shared" si="3"/>
        <v>46108</v>
      </c>
      <c r="C12" s="8">
        <f t="shared" si="3"/>
        <v>46113</v>
      </c>
      <c r="D12" s="12">
        <v>3259</v>
      </c>
      <c r="E12" s="12">
        <v>333</v>
      </c>
      <c r="F12" s="7">
        <v>3</v>
      </c>
      <c r="G12" s="72"/>
      <c r="H12" s="72"/>
      <c r="I12" s="72" t="s">
        <v>17</v>
      </c>
      <c r="J12" s="18">
        <v>59120593</v>
      </c>
      <c r="K12" s="76" t="s">
        <v>87</v>
      </c>
      <c r="L12" s="18" t="s">
        <v>280</v>
      </c>
      <c r="M12" s="77">
        <v>179900</v>
      </c>
      <c r="N12" s="11">
        <v>0.3</v>
      </c>
      <c r="O12" s="10">
        <f t="shared" si="2"/>
        <v>125930</v>
      </c>
      <c r="P12" s="7" t="s">
        <v>16</v>
      </c>
    </row>
    <row r="13" spans="1:16" x14ac:dyDescent="0.35">
      <c r="A13" s="75" t="s">
        <v>341</v>
      </c>
      <c r="B13" s="8">
        <f t="shared" si="3"/>
        <v>46108</v>
      </c>
      <c r="C13" s="8">
        <f t="shared" si="3"/>
        <v>46113</v>
      </c>
      <c r="D13" s="12">
        <v>3259</v>
      </c>
      <c r="E13" s="12">
        <v>333</v>
      </c>
      <c r="F13" s="7">
        <v>3</v>
      </c>
      <c r="G13" s="72"/>
      <c r="H13" s="72"/>
      <c r="I13" s="72" t="s">
        <v>17</v>
      </c>
      <c r="J13" s="18">
        <v>59120600</v>
      </c>
      <c r="K13" s="76" t="s">
        <v>87</v>
      </c>
      <c r="L13" s="18" t="s">
        <v>281</v>
      </c>
      <c r="M13" s="77">
        <v>179900</v>
      </c>
      <c r="N13" s="11">
        <v>0.3</v>
      </c>
      <c r="O13" s="10">
        <f t="shared" si="2"/>
        <v>125930</v>
      </c>
      <c r="P13" s="7" t="s">
        <v>16</v>
      </c>
    </row>
    <row r="14" spans="1:16" x14ac:dyDescent="0.35">
      <c r="A14" s="75" t="s">
        <v>341</v>
      </c>
      <c r="B14" s="8">
        <f t="shared" si="3"/>
        <v>46108</v>
      </c>
      <c r="C14" s="8">
        <f t="shared" si="3"/>
        <v>46113</v>
      </c>
      <c r="D14" s="12">
        <v>3259</v>
      </c>
      <c r="E14" s="12">
        <v>333</v>
      </c>
      <c r="F14" s="7">
        <v>3</v>
      </c>
      <c r="G14" s="18">
        <v>15</v>
      </c>
      <c r="H14" s="18"/>
      <c r="I14" s="72" t="s">
        <v>17</v>
      </c>
      <c r="J14" s="18">
        <v>61942049</v>
      </c>
      <c r="K14" s="18" t="s">
        <v>282</v>
      </c>
      <c r="L14" s="18" t="s">
        <v>283</v>
      </c>
      <c r="M14" s="33">
        <v>179900</v>
      </c>
      <c r="N14" s="11">
        <v>0.3</v>
      </c>
      <c r="O14" s="10">
        <f t="shared" si="2"/>
        <v>125930</v>
      </c>
      <c r="P14" s="7" t="s">
        <v>16</v>
      </c>
    </row>
    <row r="15" spans="1:16" x14ac:dyDescent="0.35">
      <c r="A15" s="75" t="s">
        <v>341</v>
      </c>
      <c r="B15" s="8">
        <f t="shared" si="3"/>
        <v>46108</v>
      </c>
      <c r="C15" s="8">
        <f t="shared" si="3"/>
        <v>46113</v>
      </c>
      <c r="D15" s="12">
        <v>3259</v>
      </c>
      <c r="E15" s="12">
        <v>333</v>
      </c>
      <c r="F15" s="7">
        <v>3</v>
      </c>
      <c r="G15" s="18">
        <v>15</v>
      </c>
      <c r="H15" s="18"/>
      <c r="I15" s="72" t="s">
        <v>17</v>
      </c>
      <c r="J15" s="18">
        <v>61942058</v>
      </c>
      <c r="K15" s="18" t="s">
        <v>282</v>
      </c>
      <c r="L15" s="18" t="s">
        <v>284</v>
      </c>
      <c r="M15" s="33">
        <v>179900</v>
      </c>
      <c r="N15" s="11">
        <v>0.3</v>
      </c>
      <c r="O15" s="10">
        <f t="shared" si="2"/>
        <v>125930</v>
      </c>
      <c r="P15" s="7" t="s">
        <v>16</v>
      </c>
    </row>
    <row r="16" spans="1:16" x14ac:dyDescent="0.35">
      <c r="A16" s="75" t="s">
        <v>341</v>
      </c>
      <c r="B16" s="8">
        <f t="shared" si="3"/>
        <v>46108</v>
      </c>
      <c r="C16" s="8">
        <f t="shared" si="3"/>
        <v>46113</v>
      </c>
      <c r="D16" s="12">
        <v>3259</v>
      </c>
      <c r="E16" s="12">
        <v>333</v>
      </c>
      <c r="F16" s="7">
        <v>3</v>
      </c>
      <c r="G16" s="18">
        <v>15</v>
      </c>
      <c r="H16" s="18"/>
      <c r="I16" s="72" t="s">
        <v>17</v>
      </c>
      <c r="J16" s="18">
        <v>61942067</v>
      </c>
      <c r="K16" s="18" t="s">
        <v>282</v>
      </c>
      <c r="L16" s="18" t="s">
        <v>285</v>
      </c>
      <c r="M16" s="33">
        <v>179900</v>
      </c>
      <c r="N16" s="11">
        <v>0.3</v>
      </c>
      <c r="O16" s="10">
        <f t="shared" si="2"/>
        <v>125930</v>
      </c>
      <c r="P16" s="7" t="s">
        <v>16</v>
      </c>
    </row>
    <row r="17" spans="1:16" x14ac:dyDescent="0.35">
      <c r="A17" s="75" t="s">
        <v>341</v>
      </c>
      <c r="B17" s="8">
        <f t="shared" si="3"/>
        <v>46108</v>
      </c>
      <c r="C17" s="8">
        <f t="shared" si="3"/>
        <v>46113</v>
      </c>
      <c r="D17" s="12">
        <v>3259</v>
      </c>
      <c r="E17" s="12">
        <v>333</v>
      </c>
      <c r="F17" s="7">
        <v>3</v>
      </c>
      <c r="G17" s="18">
        <v>15</v>
      </c>
      <c r="H17" s="18"/>
      <c r="I17" s="72" t="s">
        <v>17</v>
      </c>
      <c r="J17" s="18">
        <v>61942076</v>
      </c>
      <c r="K17" s="18" t="s">
        <v>282</v>
      </c>
      <c r="L17" s="18" t="s">
        <v>286</v>
      </c>
      <c r="M17" s="33">
        <v>179900</v>
      </c>
      <c r="N17" s="11">
        <v>0.3</v>
      </c>
      <c r="O17" s="10">
        <f t="shared" si="2"/>
        <v>125930</v>
      </c>
      <c r="P17" s="7" t="s">
        <v>16</v>
      </c>
    </row>
    <row r="18" spans="1:16" x14ac:dyDescent="0.35">
      <c r="A18" s="75" t="s">
        <v>341</v>
      </c>
      <c r="B18" s="8">
        <f t="shared" si="3"/>
        <v>46108</v>
      </c>
      <c r="C18" s="8">
        <f t="shared" si="3"/>
        <v>46113</v>
      </c>
      <c r="D18" s="12">
        <v>3259</v>
      </c>
      <c r="E18" s="12">
        <v>333</v>
      </c>
      <c r="F18" s="7">
        <v>3</v>
      </c>
      <c r="G18" s="18">
        <v>15</v>
      </c>
      <c r="H18" s="18"/>
      <c r="I18" s="72" t="s">
        <v>17</v>
      </c>
      <c r="J18" s="18">
        <v>61942085</v>
      </c>
      <c r="K18" s="18" t="s">
        <v>282</v>
      </c>
      <c r="L18" s="18" t="s">
        <v>287</v>
      </c>
      <c r="M18" s="33">
        <v>179900</v>
      </c>
      <c r="N18" s="11">
        <v>0.3</v>
      </c>
      <c r="O18" s="10">
        <f t="shared" si="2"/>
        <v>125930</v>
      </c>
      <c r="P18" s="7" t="s">
        <v>16</v>
      </c>
    </row>
    <row r="19" spans="1:16" x14ac:dyDescent="0.35">
      <c r="A19" s="75" t="s">
        <v>341</v>
      </c>
      <c r="B19" s="8">
        <f t="shared" si="3"/>
        <v>46108</v>
      </c>
      <c r="C19" s="8">
        <f t="shared" si="3"/>
        <v>46113</v>
      </c>
      <c r="D19" s="12">
        <v>3259</v>
      </c>
      <c r="E19" s="12">
        <v>333</v>
      </c>
      <c r="F19" s="7">
        <v>3</v>
      </c>
      <c r="G19" s="18">
        <v>15</v>
      </c>
      <c r="H19" s="18"/>
      <c r="I19" s="72" t="s">
        <v>17</v>
      </c>
      <c r="J19" s="18">
        <v>61942094</v>
      </c>
      <c r="K19" s="18" t="s">
        <v>282</v>
      </c>
      <c r="L19" s="18" t="s">
        <v>288</v>
      </c>
      <c r="M19" s="33">
        <v>179900</v>
      </c>
      <c r="N19" s="11">
        <v>0.3</v>
      </c>
      <c r="O19" s="10">
        <f t="shared" si="2"/>
        <v>125930</v>
      </c>
      <c r="P19" s="7" t="s">
        <v>16</v>
      </c>
    </row>
    <row r="20" spans="1:16" x14ac:dyDescent="0.35">
      <c r="A20" s="75" t="s">
        <v>341</v>
      </c>
      <c r="B20" s="8">
        <f t="shared" ref="B20:C33" si="4">B19</f>
        <v>46108</v>
      </c>
      <c r="C20" s="8">
        <f t="shared" si="4"/>
        <v>46113</v>
      </c>
      <c r="D20" s="12">
        <v>3259</v>
      </c>
      <c r="E20" s="12">
        <v>333</v>
      </c>
      <c r="F20" s="7">
        <v>3</v>
      </c>
      <c r="G20" s="18">
        <v>15</v>
      </c>
      <c r="H20" s="18"/>
      <c r="I20" s="72" t="s">
        <v>17</v>
      </c>
      <c r="J20" s="18">
        <v>61942101</v>
      </c>
      <c r="K20" s="18" t="s">
        <v>282</v>
      </c>
      <c r="L20" s="18" t="s">
        <v>289</v>
      </c>
      <c r="M20" s="33">
        <v>179900</v>
      </c>
      <c r="N20" s="11">
        <v>0.3</v>
      </c>
      <c r="O20" s="10">
        <f t="shared" si="2"/>
        <v>125930</v>
      </c>
      <c r="P20" s="7" t="s">
        <v>16</v>
      </c>
    </row>
    <row r="21" spans="1:16" x14ac:dyDescent="0.35">
      <c r="A21" s="75" t="s">
        <v>341</v>
      </c>
      <c r="B21" s="8">
        <f t="shared" si="4"/>
        <v>46108</v>
      </c>
      <c r="C21" s="8">
        <f t="shared" si="4"/>
        <v>46113</v>
      </c>
      <c r="D21" s="12">
        <v>3259</v>
      </c>
      <c r="E21" s="12">
        <v>333</v>
      </c>
      <c r="F21" s="7">
        <v>3</v>
      </c>
      <c r="G21" s="18">
        <v>15</v>
      </c>
      <c r="H21" s="18"/>
      <c r="I21" s="72" t="s">
        <v>17</v>
      </c>
      <c r="J21" s="18">
        <v>61942110</v>
      </c>
      <c r="K21" s="18" t="s">
        <v>282</v>
      </c>
      <c r="L21" s="18" t="s">
        <v>290</v>
      </c>
      <c r="M21" s="33">
        <v>179900</v>
      </c>
      <c r="N21" s="11">
        <v>0.3</v>
      </c>
      <c r="O21" s="10">
        <f t="shared" si="2"/>
        <v>125930</v>
      </c>
      <c r="P21" s="7" t="s">
        <v>16</v>
      </c>
    </row>
    <row r="22" spans="1:16" x14ac:dyDescent="0.35">
      <c r="A22" s="75" t="s">
        <v>341</v>
      </c>
      <c r="B22" s="8">
        <f t="shared" si="4"/>
        <v>46108</v>
      </c>
      <c r="C22" s="8">
        <f t="shared" si="4"/>
        <v>46113</v>
      </c>
      <c r="D22" s="12">
        <v>3259</v>
      </c>
      <c r="E22" s="12">
        <v>333</v>
      </c>
      <c r="F22" s="7">
        <v>3</v>
      </c>
      <c r="G22" s="18">
        <v>15</v>
      </c>
      <c r="H22" s="18"/>
      <c r="I22" s="72" t="s">
        <v>17</v>
      </c>
      <c r="J22" s="18">
        <v>61942129</v>
      </c>
      <c r="K22" s="18" t="s">
        <v>282</v>
      </c>
      <c r="L22" s="18" t="s">
        <v>291</v>
      </c>
      <c r="M22" s="33">
        <v>179900</v>
      </c>
      <c r="N22" s="11">
        <v>0.3</v>
      </c>
      <c r="O22" s="10">
        <f t="shared" si="2"/>
        <v>125930</v>
      </c>
      <c r="P22" s="7" t="s">
        <v>16</v>
      </c>
    </row>
    <row r="23" spans="1:16" x14ac:dyDescent="0.35">
      <c r="A23" s="75" t="s">
        <v>341</v>
      </c>
      <c r="B23" s="8">
        <f t="shared" si="4"/>
        <v>46108</v>
      </c>
      <c r="C23" s="8">
        <f t="shared" si="4"/>
        <v>46113</v>
      </c>
      <c r="D23" s="12">
        <v>3259</v>
      </c>
      <c r="E23" s="12">
        <v>333</v>
      </c>
      <c r="F23" s="7">
        <v>3</v>
      </c>
      <c r="G23" s="18">
        <v>15</v>
      </c>
      <c r="H23" s="18"/>
      <c r="I23" s="72" t="s">
        <v>17</v>
      </c>
      <c r="J23" s="18">
        <v>61942147</v>
      </c>
      <c r="K23" s="18" t="s">
        <v>282</v>
      </c>
      <c r="L23" s="18" t="s">
        <v>292</v>
      </c>
      <c r="M23" s="33">
        <v>179900</v>
      </c>
      <c r="N23" s="11">
        <v>0.3</v>
      </c>
      <c r="O23" s="10">
        <f t="shared" si="2"/>
        <v>125930</v>
      </c>
      <c r="P23" s="7" t="s">
        <v>16</v>
      </c>
    </row>
    <row r="24" spans="1:16" x14ac:dyDescent="0.35">
      <c r="A24" s="75" t="s">
        <v>341</v>
      </c>
      <c r="B24" s="8">
        <f t="shared" si="4"/>
        <v>46108</v>
      </c>
      <c r="C24" s="8">
        <f t="shared" si="4"/>
        <v>46113</v>
      </c>
      <c r="D24" s="12">
        <v>3259</v>
      </c>
      <c r="E24" s="12">
        <v>333</v>
      </c>
      <c r="F24" s="7">
        <v>3</v>
      </c>
      <c r="G24" s="18">
        <v>15</v>
      </c>
      <c r="H24" s="18"/>
      <c r="I24" s="72" t="s">
        <v>17</v>
      </c>
      <c r="J24" s="18">
        <v>61942156</v>
      </c>
      <c r="K24" s="18" t="s">
        <v>282</v>
      </c>
      <c r="L24" s="18" t="s">
        <v>293</v>
      </c>
      <c r="M24" s="33">
        <v>179900</v>
      </c>
      <c r="N24" s="11">
        <v>0.3</v>
      </c>
      <c r="O24" s="10">
        <f t="shared" si="2"/>
        <v>125930</v>
      </c>
      <c r="P24" s="7" t="s">
        <v>16</v>
      </c>
    </row>
    <row r="25" spans="1:16" x14ac:dyDescent="0.35">
      <c r="A25" s="75" t="s">
        <v>341</v>
      </c>
      <c r="B25" s="8">
        <f t="shared" si="4"/>
        <v>46108</v>
      </c>
      <c r="C25" s="8">
        <f t="shared" si="4"/>
        <v>46113</v>
      </c>
      <c r="D25" s="12">
        <v>3259</v>
      </c>
      <c r="E25" s="12">
        <v>333</v>
      </c>
      <c r="F25" s="7">
        <v>3</v>
      </c>
      <c r="G25" s="18">
        <v>15</v>
      </c>
      <c r="H25" s="18"/>
      <c r="I25" s="72" t="s">
        <v>17</v>
      </c>
      <c r="J25" s="18">
        <v>61942165</v>
      </c>
      <c r="K25" s="18" t="s">
        <v>282</v>
      </c>
      <c r="L25" s="18" t="s">
        <v>294</v>
      </c>
      <c r="M25" s="33">
        <v>179900</v>
      </c>
      <c r="N25" s="11">
        <v>0.3</v>
      </c>
      <c r="O25" s="10">
        <f t="shared" si="2"/>
        <v>125930</v>
      </c>
      <c r="P25" s="7" t="s">
        <v>16</v>
      </c>
    </row>
    <row r="26" spans="1:16" x14ac:dyDescent="0.35">
      <c r="A26" s="75" t="s">
        <v>341</v>
      </c>
      <c r="B26" s="8">
        <f t="shared" si="4"/>
        <v>46108</v>
      </c>
      <c r="C26" s="8">
        <f t="shared" si="4"/>
        <v>46113</v>
      </c>
      <c r="D26" s="12">
        <v>3259</v>
      </c>
      <c r="E26" s="12">
        <v>333</v>
      </c>
      <c r="F26" s="7">
        <v>3</v>
      </c>
      <c r="G26" s="18">
        <v>15</v>
      </c>
      <c r="H26" s="18"/>
      <c r="I26" s="72" t="s">
        <v>17</v>
      </c>
      <c r="J26" s="18">
        <v>61942174</v>
      </c>
      <c r="K26" s="18" t="s">
        <v>282</v>
      </c>
      <c r="L26" s="18" t="s">
        <v>295</v>
      </c>
      <c r="M26" s="33">
        <v>179900</v>
      </c>
      <c r="N26" s="11">
        <v>0.3</v>
      </c>
      <c r="O26" s="10">
        <f t="shared" si="2"/>
        <v>125930</v>
      </c>
      <c r="P26" s="7" t="s">
        <v>16</v>
      </c>
    </row>
    <row r="27" spans="1:16" x14ac:dyDescent="0.35">
      <c r="A27" s="75" t="s">
        <v>341</v>
      </c>
      <c r="B27" s="8">
        <f t="shared" si="4"/>
        <v>46108</v>
      </c>
      <c r="C27" s="8">
        <f t="shared" si="4"/>
        <v>46113</v>
      </c>
      <c r="D27" s="12">
        <v>3259</v>
      </c>
      <c r="E27" s="12">
        <v>333</v>
      </c>
      <c r="F27" s="7">
        <v>3</v>
      </c>
      <c r="G27" s="18">
        <v>15</v>
      </c>
      <c r="H27" s="18"/>
      <c r="I27" s="72" t="s">
        <v>17</v>
      </c>
      <c r="J27" s="18">
        <v>61942183</v>
      </c>
      <c r="K27" s="18" t="s">
        <v>282</v>
      </c>
      <c r="L27" s="18" t="s">
        <v>296</v>
      </c>
      <c r="M27" s="33">
        <v>179900</v>
      </c>
      <c r="N27" s="11">
        <v>0.3</v>
      </c>
      <c r="O27" s="10">
        <f t="shared" si="2"/>
        <v>125930</v>
      </c>
      <c r="P27" s="7" t="s">
        <v>16</v>
      </c>
    </row>
    <row r="28" spans="1:16" x14ac:dyDescent="0.35">
      <c r="A28" s="75" t="s">
        <v>341</v>
      </c>
      <c r="B28" s="8">
        <f t="shared" si="4"/>
        <v>46108</v>
      </c>
      <c r="C28" s="8">
        <f t="shared" si="4"/>
        <v>46113</v>
      </c>
      <c r="D28" s="12">
        <v>3259</v>
      </c>
      <c r="E28" s="12">
        <v>333</v>
      </c>
      <c r="F28" s="7">
        <v>3</v>
      </c>
      <c r="G28" s="18">
        <v>15</v>
      </c>
      <c r="H28" s="18"/>
      <c r="I28" s="72" t="s">
        <v>17</v>
      </c>
      <c r="J28" s="18">
        <v>61942192</v>
      </c>
      <c r="K28" s="18" t="s">
        <v>282</v>
      </c>
      <c r="L28" s="18" t="s">
        <v>297</v>
      </c>
      <c r="M28" s="33">
        <v>179900</v>
      </c>
      <c r="N28" s="11">
        <v>0.3</v>
      </c>
      <c r="O28" s="10">
        <f t="shared" si="2"/>
        <v>125930</v>
      </c>
      <c r="P28" s="7" t="s">
        <v>16</v>
      </c>
    </row>
    <row r="29" spans="1:16" x14ac:dyDescent="0.35">
      <c r="A29" s="75" t="s">
        <v>341</v>
      </c>
      <c r="B29" s="8">
        <f t="shared" si="4"/>
        <v>46108</v>
      </c>
      <c r="C29" s="8">
        <f t="shared" si="4"/>
        <v>46113</v>
      </c>
      <c r="D29" s="12">
        <v>3259</v>
      </c>
      <c r="E29" s="12">
        <v>333</v>
      </c>
      <c r="F29" s="7">
        <v>3</v>
      </c>
      <c r="G29" s="18">
        <v>15</v>
      </c>
      <c r="H29" s="18"/>
      <c r="I29" s="72" t="s">
        <v>17</v>
      </c>
      <c r="J29" s="18">
        <v>61942209</v>
      </c>
      <c r="K29" s="18" t="s">
        <v>282</v>
      </c>
      <c r="L29" s="18" t="s">
        <v>298</v>
      </c>
      <c r="M29" s="33">
        <v>179900</v>
      </c>
      <c r="N29" s="11">
        <v>0.3</v>
      </c>
      <c r="O29" s="10">
        <f t="shared" si="2"/>
        <v>125930</v>
      </c>
      <c r="P29" s="7" t="s">
        <v>16</v>
      </c>
    </row>
    <row r="30" spans="1:16" x14ac:dyDescent="0.35">
      <c r="A30" s="75" t="s">
        <v>341</v>
      </c>
      <c r="B30" s="8">
        <f t="shared" si="4"/>
        <v>46108</v>
      </c>
      <c r="C30" s="8">
        <f t="shared" si="4"/>
        <v>46113</v>
      </c>
      <c r="D30" s="12">
        <v>3259</v>
      </c>
      <c r="E30" s="12">
        <v>333</v>
      </c>
      <c r="F30" s="7">
        <v>3</v>
      </c>
      <c r="G30" s="18">
        <v>15</v>
      </c>
      <c r="H30" s="18"/>
      <c r="I30" s="72" t="s">
        <v>17</v>
      </c>
      <c r="J30" s="18">
        <v>61942218</v>
      </c>
      <c r="K30" s="18" t="s">
        <v>282</v>
      </c>
      <c r="L30" s="18" t="s">
        <v>299</v>
      </c>
      <c r="M30" s="33">
        <v>179900</v>
      </c>
      <c r="N30" s="11">
        <v>0.3</v>
      </c>
      <c r="O30" s="10">
        <f t="shared" si="2"/>
        <v>125930</v>
      </c>
      <c r="P30" s="7" t="s">
        <v>16</v>
      </c>
    </row>
    <row r="31" spans="1:16" x14ac:dyDescent="0.35">
      <c r="A31" s="75" t="s">
        <v>341</v>
      </c>
      <c r="B31" s="8">
        <f t="shared" si="4"/>
        <v>46108</v>
      </c>
      <c r="C31" s="8">
        <f t="shared" si="4"/>
        <v>46113</v>
      </c>
      <c r="D31" s="12">
        <v>3259</v>
      </c>
      <c r="E31" s="12">
        <v>333</v>
      </c>
      <c r="F31" s="7">
        <v>3</v>
      </c>
      <c r="G31" s="18">
        <v>15</v>
      </c>
      <c r="H31" s="18"/>
      <c r="I31" s="72" t="s">
        <v>17</v>
      </c>
      <c r="J31" s="18">
        <v>61942227</v>
      </c>
      <c r="K31" s="18" t="s">
        <v>282</v>
      </c>
      <c r="L31" s="18" t="s">
        <v>300</v>
      </c>
      <c r="M31" s="33">
        <v>179900</v>
      </c>
      <c r="N31" s="11">
        <v>0.3</v>
      </c>
      <c r="O31" s="10">
        <f t="shared" si="2"/>
        <v>125930</v>
      </c>
      <c r="P31" s="7" t="s">
        <v>16</v>
      </c>
    </row>
    <row r="32" spans="1:16" x14ac:dyDescent="0.35">
      <c r="A32" s="75" t="s">
        <v>341</v>
      </c>
      <c r="B32" s="8">
        <f t="shared" si="4"/>
        <v>46108</v>
      </c>
      <c r="C32" s="8">
        <f t="shared" si="4"/>
        <v>46113</v>
      </c>
      <c r="D32" s="12">
        <v>3259</v>
      </c>
      <c r="E32" s="12">
        <v>333</v>
      </c>
      <c r="F32" s="7">
        <v>3</v>
      </c>
      <c r="G32" s="18">
        <v>15</v>
      </c>
      <c r="H32" s="18"/>
      <c r="I32" s="72" t="s">
        <v>17</v>
      </c>
      <c r="J32" s="18">
        <v>61942236</v>
      </c>
      <c r="K32" s="18" t="s">
        <v>282</v>
      </c>
      <c r="L32" s="18" t="s">
        <v>301</v>
      </c>
      <c r="M32" s="33">
        <v>179900</v>
      </c>
      <c r="N32" s="11">
        <v>0.3</v>
      </c>
      <c r="O32" s="10">
        <f t="shared" si="2"/>
        <v>125930</v>
      </c>
      <c r="P32" s="7" t="s">
        <v>16</v>
      </c>
    </row>
    <row r="33" spans="1:16" x14ac:dyDescent="0.35">
      <c r="A33" s="75" t="s">
        <v>341</v>
      </c>
      <c r="B33" s="8">
        <f t="shared" si="4"/>
        <v>46108</v>
      </c>
      <c r="C33" s="8">
        <f t="shared" si="4"/>
        <v>46113</v>
      </c>
      <c r="D33" s="12">
        <v>3259</v>
      </c>
      <c r="E33" s="12">
        <v>333</v>
      </c>
      <c r="F33" s="7">
        <v>3</v>
      </c>
      <c r="G33" s="18">
        <v>15</v>
      </c>
      <c r="H33" s="18"/>
      <c r="I33" s="72" t="s">
        <v>17</v>
      </c>
      <c r="J33" s="18">
        <v>61942138</v>
      </c>
      <c r="K33" s="18" t="s">
        <v>282</v>
      </c>
      <c r="L33" s="18" t="s">
        <v>302</v>
      </c>
      <c r="M33" s="33">
        <v>179900</v>
      </c>
      <c r="N33" s="11">
        <v>0.3</v>
      </c>
      <c r="O33" s="10">
        <f t="shared" si="2"/>
        <v>125930</v>
      </c>
      <c r="P33" s="7" t="s">
        <v>16</v>
      </c>
    </row>
    <row r="34" spans="1:16" x14ac:dyDescent="0.35">
      <c r="A34" s="75" t="s">
        <v>341</v>
      </c>
      <c r="B34" s="8">
        <f t="shared" ref="B34:C34" si="5">B33</f>
        <v>46108</v>
      </c>
      <c r="C34" s="8">
        <f t="shared" si="5"/>
        <v>46113</v>
      </c>
      <c r="D34" s="12">
        <v>3259</v>
      </c>
      <c r="E34" s="12">
        <v>333</v>
      </c>
      <c r="F34" s="7">
        <v>3</v>
      </c>
      <c r="G34" s="18">
        <v>15</v>
      </c>
      <c r="H34" s="18"/>
      <c r="I34" s="72" t="s">
        <v>17</v>
      </c>
      <c r="J34" s="18">
        <v>61618088</v>
      </c>
      <c r="K34" s="18" t="s">
        <v>303</v>
      </c>
      <c r="L34" s="18" t="s">
        <v>304</v>
      </c>
      <c r="M34" s="33">
        <v>199900</v>
      </c>
      <c r="N34" s="11">
        <v>0.3</v>
      </c>
      <c r="O34" s="10">
        <f t="shared" si="2"/>
        <v>139930</v>
      </c>
      <c r="P34" s="7" t="s">
        <v>16</v>
      </c>
    </row>
    <row r="35" spans="1:16" s="34" customFormat="1" x14ac:dyDescent="0.35">
      <c r="A35" s="75" t="s">
        <v>341</v>
      </c>
      <c r="B35" s="8">
        <f t="shared" ref="B35:C35" si="6">B34</f>
        <v>46108</v>
      </c>
      <c r="C35" s="8">
        <f t="shared" si="6"/>
        <v>46113</v>
      </c>
      <c r="D35" s="12">
        <v>3259</v>
      </c>
      <c r="E35" s="12">
        <v>333</v>
      </c>
      <c r="F35" s="7">
        <v>3</v>
      </c>
      <c r="G35" s="18">
        <v>15</v>
      </c>
      <c r="H35" s="18"/>
      <c r="I35" s="72" t="s">
        <v>17</v>
      </c>
      <c r="J35" s="18">
        <v>61618097</v>
      </c>
      <c r="K35" s="18" t="s">
        <v>303</v>
      </c>
      <c r="L35" s="18" t="s">
        <v>305</v>
      </c>
      <c r="M35" s="33">
        <v>199900</v>
      </c>
      <c r="N35" s="11">
        <v>0.3</v>
      </c>
      <c r="O35" s="10">
        <f t="shared" si="2"/>
        <v>139930</v>
      </c>
      <c r="P35" s="7" t="s">
        <v>16</v>
      </c>
    </row>
    <row r="36" spans="1:16" s="34" customFormat="1" x14ac:dyDescent="0.35">
      <c r="A36" s="75" t="s">
        <v>341</v>
      </c>
      <c r="B36" s="8">
        <f t="shared" ref="B36:C36" si="7">B35</f>
        <v>46108</v>
      </c>
      <c r="C36" s="8">
        <f t="shared" si="7"/>
        <v>46113</v>
      </c>
      <c r="D36" s="12">
        <v>3259</v>
      </c>
      <c r="E36" s="12">
        <v>333</v>
      </c>
      <c r="F36" s="7">
        <v>3</v>
      </c>
      <c r="G36" s="18">
        <v>15</v>
      </c>
      <c r="H36" s="18"/>
      <c r="I36" s="72" t="s">
        <v>17</v>
      </c>
      <c r="J36" s="18">
        <v>61618104</v>
      </c>
      <c r="K36" s="18" t="s">
        <v>303</v>
      </c>
      <c r="L36" s="18" t="s">
        <v>306</v>
      </c>
      <c r="M36" s="33">
        <v>199900</v>
      </c>
      <c r="N36" s="11">
        <v>0.3</v>
      </c>
      <c r="O36" s="10">
        <f t="shared" si="2"/>
        <v>139930</v>
      </c>
      <c r="P36" s="7" t="s">
        <v>16</v>
      </c>
    </row>
    <row r="37" spans="1:16" s="34" customFormat="1" x14ac:dyDescent="0.35">
      <c r="A37" s="75" t="s">
        <v>341</v>
      </c>
      <c r="B37" s="8">
        <f t="shared" ref="B37:C37" si="8">B36</f>
        <v>46108</v>
      </c>
      <c r="C37" s="8">
        <f t="shared" si="8"/>
        <v>46113</v>
      </c>
      <c r="D37" s="12">
        <v>3259</v>
      </c>
      <c r="E37" s="12">
        <v>333</v>
      </c>
      <c r="F37" s="7">
        <v>3</v>
      </c>
      <c r="G37" s="18">
        <v>15</v>
      </c>
      <c r="H37" s="18"/>
      <c r="I37" s="72" t="s">
        <v>17</v>
      </c>
      <c r="J37" s="18">
        <v>61618113</v>
      </c>
      <c r="K37" s="18" t="s">
        <v>303</v>
      </c>
      <c r="L37" s="18" t="s">
        <v>307</v>
      </c>
      <c r="M37" s="33">
        <v>199900</v>
      </c>
      <c r="N37" s="11">
        <v>0.3</v>
      </c>
      <c r="O37" s="10">
        <f t="shared" si="2"/>
        <v>139930</v>
      </c>
      <c r="P37" s="7" t="s">
        <v>16</v>
      </c>
    </row>
    <row r="38" spans="1:16" s="34" customFormat="1" x14ac:dyDescent="0.35">
      <c r="A38" s="75" t="s">
        <v>341</v>
      </c>
      <c r="B38" s="8">
        <f t="shared" ref="B38:C38" si="9">B37</f>
        <v>46108</v>
      </c>
      <c r="C38" s="8">
        <f t="shared" si="9"/>
        <v>46113</v>
      </c>
      <c r="D38" s="12">
        <v>3259</v>
      </c>
      <c r="E38" s="12">
        <v>333</v>
      </c>
      <c r="F38" s="7">
        <v>3</v>
      </c>
      <c r="G38" s="18">
        <v>15</v>
      </c>
      <c r="H38" s="18"/>
      <c r="I38" s="72" t="s">
        <v>17</v>
      </c>
      <c r="J38" s="18">
        <v>61618122</v>
      </c>
      <c r="K38" s="18" t="s">
        <v>303</v>
      </c>
      <c r="L38" s="18" t="s">
        <v>308</v>
      </c>
      <c r="M38" s="33">
        <v>199900</v>
      </c>
      <c r="N38" s="11">
        <v>0.3</v>
      </c>
      <c r="O38" s="10">
        <f t="shared" si="2"/>
        <v>139930</v>
      </c>
      <c r="P38" s="7" t="s">
        <v>16</v>
      </c>
    </row>
    <row r="39" spans="1:16" s="34" customFormat="1" x14ac:dyDescent="0.35">
      <c r="A39" s="75" t="s">
        <v>341</v>
      </c>
      <c r="B39" s="8">
        <f t="shared" ref="B39:C39" si="10">B38</f>
        <v>46108</v>
      </c>
      <c r="C39" s="8">
        <f t="shared" si="10"/>
        <v>46113</v>
      </c>
      <c r="D39" s="12">
        <v>3259</v>
      </c>
      <c r="E39" s="12">
        <v>333</v>
      </c>
      <c r="F39" s="7">
        <v>3</v>
      </c>
      <c r="G39" s="18">
        <v>15</v>
      </c>
      <c r="H39" s="18"/>
      <c r="I39" s="72" t="s">
        <v>17</v>
      </c>
      <c r="J39" s="18">
        <v>61618131</v>
      </c>
      <c r="K39" s="18" t="s">
        <v>303</v>
      </c>
      <c r="L39" s="18" t="s">
        <v>309</v>
      </c>
      <c r="M39" s="33">
        <v>199900</v>
      </c>
      <c r="N39" s="11">
        <v>0.3</v>
      </c>
      <c r="O39" s="10">
        <f t="shared" si="2"/>
        <v>139930</v>
      </c>
      <c r="P39" s="7" t="s">
        <v>16</v>
      </c>
    </row>
    <row r="40" spans="1:16" s="34" customFormat="1" x14ac:dyDescent="0.35">
      <c r="A40" s="75" t="s">
        <v>341</v>
      </c>
      <c r="B40" s="8">
        <f t="shared" ref="B40:C40" si="11">B39</f>
        <v>46108</v>
      </c>
      <c r="C40" s="8">
        <f t="shared" si="11"/>
        <v>46113</v>
      </c>
      <c r="D40" s="12">
        <v>3259</v>
      </c>
      <c r="E40" s="12">
        <v>333</v>
      </c>
      <c r="F40" s="7">
        <v>3</v>
      </c>
      <c r="G40" s="18">
        <v>15</v>
      </c>
      <c r="H40" s="18"/>
      <c r="I40" s="72" t="s">
        <v>17</v>
      </c>
      <c r="J40" s="18">
        <v>61618140</v>
      </c>
      <c r="K40" s="18" t="s">
        <v>303</v>
      </c>
      <c r="L40" s="18" t="s">
        <v>310</v>
      </c>
      <c r="M40" s="33">
        <v>199900</v>
      </c>
      <c r="N40" s="11">
        <v>0.3</v>
      </c>
      <c r="O40" s="10">
        <f t="shared" si="2"/>
        <v>139930</v>
      </c>
      <c r="P40" s="7" t="s">
        <v>16</v>
      </c>
    </row>
    <row r="41" spans="1:16" s="34" customFormat="1" x14ac:dyDescent="0.35">
      <c r="A41" s="75" t="s">
        <v>341</v>
      </c>
      <c r="B41" s="8">
        <f t="shared" ref="B41:C41" si="12">B40</f>
        <v>46108</v>
      </c>
      <c r="C41" s="8">
        <f t="shared" si="12"/>
        <v>46113</v>
      </c>
      <c r="D41" s="12">
        <v>3259</v>
      </c>
      <c r="E41" s="12">
        <v>333</v>
      </c>
      <c r="F41" s="7">
        <v>3</v>
      </c>
      <c r="G41" s="18">
        <v>15</v>
      </c>
      <c r="H41" s="18"/>
      <c r="I41" s="72" t="s">
        <v>17</v>
      </c>
      <c r="J41" s="18">
        <v>61618159</v>
      </c>
      <c r="K41" s="18" t="s">
        <v>303</v>
      </c>
      <c r="L41" s="18" t="s">
        <v>311</v>
      </c>
      <c r="M41" s="33">
        <v>199900</v>
      </c>
      <c r="N41" s="11">
        <v>0.3</v>
      </c>
      <c r="O41" s="10">
        <f t="shared" si="2"/>
        <v>139930</v>
      </c>
      <c r="P41" s="7" t="s">
        <v>16</v>
      </c>
    </row>
    <row r="42" spans="1:16" s="34" customFormat="1" x14ac:dyDescent="0.35">
      <c r="A42" s="75" t="s">
        <v>341</v>
      </c>
      <c r="B42" s="8">
        <f t="shared" ref="B42:C42" si="13">B41</f>
        <v>46108</v>
      </c>
      <c r="C42" s="8">
        <f t="shared" si="13"/>
        <v>46113</v>
      </c>
      <c r="D42" s="12">
        <v>3259</v>
      </c>
      <c r="E42" s="12">
        <v>333</v>
      </c>
      <c r="F42" s="7">
        <v>3</v>
      </c>
      <c r="G42" s="18">
        <v>15</v>
      </c>
      <c r="H42" s="18"/>
      <c r="I42" s="72" t="s">
        <v>17</v>
      </c>
      <c r="J42" s="18">
        <v>61618168</v>
      </c>
      <c r="K42" s="18" t="s">
        <v>303</v>
      </c>
      <c r="L42" s="18" t="s">
        <v>312</v>
      </c>
      <c r="M42" s="33">
        <v>199900</v>
      </c>
      <c r="N42" s="11">
        <v>0.3</v>
      </c>
      <c r="O42" s="10">
        <f t="shared" si="2"/>
        <v>139930</v>
      </c>
      <c r="P42" s="7" t="s">
        <v>16</v>
      </c>
    </row>
    <row r="43" spans="1:16" s="34" customFormat="1" x14ac:dyDescent="0.35">
      <c r="A43" s="75" t="s">
        <v>341</v>
      </c>
      <c r="B43" s="8">
        <f t="shared" ref="B43:C43" si="14">B42</f>
        <v>46108</v>
      </c>
      <c r="C43" s="8">
        <f t="shared" si="14"/>
        <v>46113</v>
      </c>
      <c r="D43" s="12">
        <v>3259</v>
      </c>
      <c r="E43" s="12">
        <v>333</v>
      </c>
      <c r="F43" s="7">
        <v>3</v>
      </c>
      <c r="G43" s="18">
        <v>15</v>
      </c>
      <c r="H43" s="18"/>
      <c r="I43" s="72" t="s">
        <v>17</v>
      </c>
      <c r="J43" s="18">
        <v>61618177</v>
      </c>
      <c r="K43" s="18" t="s">
        <v>303</v>
      </c>
      <c r="L43" s="18" t="s">
        <v>313</v>
      </c>
      <c r="M43" s="33">
        <v>199900</v>
      </c>
      <c r="N43" s="11">
        <v>0.3</v>
      </c>
      <c r="O43" s="10">
        <f t="shared" si="2"/>
        <v>139930</v>
      </c>
      <c r="P43" s="7" t="s">
        <v>16</v>
      </c>
    </row>
    <row r="44" spans="1:16" s="34" customFormat="1" x14ac:dyDescent="0.35">
      <c r="A44" s="75" t="s">
        <v>341</v>
      </c>
      <c r="B44" s="8">
        <f t="shared" ref="B44:C44" si="15">B43</f>
        <v>46108</v>
      </c>
      <c r="C44" s="8">
        <f t="shared" si="15"/>
        <v>46113</v>
      </c>
      <c r="D44" s="12">
        <v>3259</v>
      </c>
      <c r="E44" s="12">
        <v>333</v>
      </c>
      <c r="F44" s="7">
        <v>3</v>
      </c>
      <c r="G44" s="18">
        <v>15</v>
      </c>
      <c r="H44" s="18"/>
      <c r="I44" s="72" t="s">
        <v>17</v>
      </c>
      <c r="J44" s="18">
        <v>61618186</v>
      </c>
      <c r="K44" s="18" t="s">
        <v>303</v>
      </c>
      <c r="L44" s="18" t="s">
        <v>314</v>
      </c>
      <c r="M44" s="33">
        <v>199900</v>
      </c>
      <c r="N44" s="11">
        <v>0.3</v>
      </c>
      <c r="O44" s="10">
        <f t="shared" si="2"/>
        <v>139930</v>
      </c>
      <c r="P44" s="7" t="s">
        <v>16</v>
      </c>
    </row>
    <row r="45" spans="1:16" s="34" customFormat="1" x14ac:dyDescent="0.35">
      <c r="A45" s="75" t="s">
        <v>341</v>
      </c>
      <c r="B45" s="8">
        <f t="shared" ref="B45:C45" si="16">B44</f>
        <v>46108</v>
      </c>
      <c r="C45" s="8">
        <f t="shared" si="16"/>
        <v>46113</v>
      </c>
      <c r="D45" s="12">
        <v>3259</v>
      </c>
      <c r="E45" s="12">
        <v>333</v>
      </c>
      <c r="F45" s="7">
        <v>3</v>
      </c>
      <c r="G45" s="18">
        <v>15</v>
      </c>
      <c r="H45" s="18"/>
      <c r="I45" s="72" t="s">
        <v>17</v>
      </c>
      <c r="J45" s="18">
        <v>61618195</v>
      </c>
      <c r="K45" s="18" t="s">
        <v>303</v>
      </c>
      <c r="L45" s="18" t="s">
        <v>315</v>
      </c>
      <c r="M45" s="33">
        <v>199900</v>
      </c>
      <c r="N45" s="11">
        <v>0.3</v>
      </c>
      <c r="O45" s="10">
        <f t="shared" si="2"/>
        <v>139930</v>
      </c>
      <c r="P45" s="7" t="s">
        <v>16</v>
      </c>
    </row>
    <row r="46" spans="1:16" s="34" customFormat="1" x14ac:dyDescent="0.35">
      <c r="A46" s="75" t="s">
        <v>341</v>
      </c>
      <c r="B46" s="8">
        <f t="shared" ref="B46:C46" si="17">B45</f>
        <v>46108</v>
      </c>
      <c r="C46" s="8">
        <f t="shared" si="17"/>
        <v>46113</v>
      </c>
      <c r="D46" s="12">
        <v>3259</v>
      </c>
      <c r="E46" s="12">
        <v>333</v>
      </c>
      <c r="F46" s="7">
        <v>3</v>
      </c>
      <c r="G46" s="18">
        <v>15</v>
      </c>
      <c r="H46" s="18"/>
      <c r="I46" s="72" t="s">
        <v>17</v>
      </c>
      <c r="J46" s="18">
        <v>61618266</v>
      </c>
      <c r="K46" s="18" t="s">
        <v>303</v>
      </c>
      <c r="L46" s="18" t="s">
        <v>316</v>
      </c>
      <c r="M46" s="33">
        <v>199900</v>
      </c>
      <c r="N46" s="11">
        <v>0.3</v>
      </c>
      <c r="O46" s="10">
        <f t="shared" si="2"/>
        <v>139930</v>
      </c>
      <c r="P46" s="7" t="s">
        <v>16</v>
      </c>
    </row>
    <row r="47" spans="1:16" s="34" customFormat="1" x14ac:dyDescent="0.35">
      <c r="A47" s="75" t="s">
        <v>341</v>
      </c>
      <c r="B47" s="8">
        <f t="shared" ref="B47:C47" si="18">B46</f>
        <v>46108</v>
      </c>
      <c r="C47" s="8">
        <f t="shared" si="18"/>
        <v>46113</v>
      </c>
      <c r="D47" s="12">
        <v>3259</v>
      </c>
      <c r="E47" s="12">
        <v>333</v>
      </c>
      <c r="F47" s="7">
        <v>3</v>
      </c>
      <c r="G47" s="18">
        <v>15</v>
      </c>
      <c r="H47" s="18"/>
      <c r="I47" s="72" t="s">
        <v>17</v>
      </c>
      <c r="J47" s="18">
        <v>61618275</v>
      </c>
      <c r="K47" s="18" t="s">
        <v>303</v>
      </c>
      <c r="L47" s="18" t="s">
        <v>317</v>
      </c>
      <c r="M47" s="33">
        <v>199900</v>
      </c>
      <c r="N47" s="11">
        <v>0.3</v>
      </c>
      <c r="O47" s="10">
        <f t="shared" si="2"/>
        <v>139930</v>
      </c>
      <c r="P47" s="7" t="s">
        <v>16</v>
      </c>
    </row>
    <row r="48" spans="1:16" s="34" customFormat="1" x14ac:dyDescent="0.35">
      <c r="A48" s="75" t="s">
        <v>341</v>
      </c>
      <c r="B48" s="8">
        <f t="shared" ref="B48:C48" si="19">B47</f>
        <v>46108</v>
      </c>
      <c r="C48" s="8">
        <f t="shared" si="19"/>
        <v>46113</v>
      </c>
      <c r="D48" s="12">
        <v>3259</v>
      </c>
      <c r="E48" s="12">
        <v>333</v>
      </c>
      <c r="F48" s="7">
        <v>3</v>
      </c>
      <c r="G48" s="18">
        <v>15</v>
      </c>
      <c r="H48" s="18"/>
      <c r="I48" s="72" t="s">
        <v>17</v>
      </c>
      <c r="J48" s="18">
        <v>61618284</v>
      </c>
      <c r="K48" s="18" t="s">
        <v>303</v>
      </c>
      <c r="L48" s="18" t="s">
        <v>318</v>
      </c>
      <c r="M48" s="33">
        <v>199900</v>
      </c>
      <c r="N48" s="11">
        <v>0.3</v>
      </c>
      <c r="O48" s="10">
        <f t="shared" si="2"/>
        <v>139930</v>
      </c>
      <c r="P48" s="7" t="s">
        <v>16</v>
      </c>
    </row>
    <row r="49" spans="1:16" s="34" customFormat="1" x14ac:dyDescent="0.35">
      <c r="A49" s="75" t="s">
        <v>341</v>
      </c>
      <c r="B49" s="8">
        <f t="shared" ref="B49:C49" si="20">B48</f>
        <v>46108</v>
      </c>
      <c r="C49" s="8">
        <f t="shared" si="20"/>
        <v>46113</v>
      </c>
      <c r="D49" s="12">
        <v>3259</v>
      </c>
      <c r="E49" s="12">
        <v>333</v>
      </c>
      <c r="F49" s="7">
        <v>3</v>
      </c>
      <c r="G49" s="18">
        <v>15</v>
      </c>
      <c r="H49" s="18"/>
      <c r="I49" s="72" t="s">
        <v>17</v>
      </c>
      <c r="J49" s="18">
        <v>61618293</v>
      </c>
      <c r="K49" s="18" t="s">
        <v>303</v>
      </c>
      <c r="L49" s="18" t="s">
        <v>319</v>
      </c>
      <c r="M49" s="33">
        <v>199900</v>
      </c>
      <c r="N49" s="11">
        <v>0.3</v>
      </c>
      <c r="O49" s="10">
        <f t="shared" si="2"/>
        <v>139930</v>
      </c>
      <c r="P49" s="7" t="s">
        <v>16</v>
      </c>
    </row>
    <row r="50" spans="1:16" s="34" customFormat="1" x14ac:dyDescent="0.35">
      <c r="A50" s="75" t="s">
        <v>341</v>
      </c>
      <c r="B50" s="8">
        <f t="shared" ref="B50:C50" si="21">B49</f>
        <v>46108</v>
      </c>
      <c r="C50" s="8">
        <f t="shared" si="21"/>
        <v>46113</v>
      </c>
      <c r="D50" s="12">
        <v>3259</v>
      </c>
      <c r="E50" s="12">
        <v>333</v>
      </c>
      <c r="F50" s="7">
        <v>3</v>
      </c>
      <c r="G50" s="18">
        <v>15</v>
      </c>
      <c r="H50" s="18"/>
      <c r="I50" s="72" t="s">
        <v>17</v>
      </c>
      <c r="J50" s="18">
        <v>61618300</v>
      </c>
      <c r="K50" s="18" t="s">
        <v>303</v>
      </c>
      <c r="L50" s="18" t="s">
        <v>320</v>
      </c>
      <c r="M50" s="33">
        <v>199900</v>
      </c>
      <c r="N50" s="11">
        <v>0.3</v>
      </c>
      <c r="O50" s="10">
        <f t="shared" si="2"/>
        <v>139930</v>
      </c>
      <c r="P50" s="7" t="s">
        <v>16</v>
      </c>
    </row>
    <row r="51" spans="1:16" s="34" customFormat="1" x14ac:dyDescent="0.35">
      <c r="A51" s="75" t="s">
        <v>341</v>
      </c>
      <c r="B51" s="8">
        <f t="shared" ref="B51:C51" si="22">B50</f>
        <v>46108</v>
      </c>
      <c r="C51" s="8">
        <f t="shared" si="22"/>
        <v>46113</v>
      </c>
      <c r="D51" s="12">
        <v>3259</v>
      </c>
      <c r="E51" s="12">
        <v>333</v>
      </c>
      <c r="F51" s="7">
        <v>3</v>
      </c>
      <c r="G51" s="18">
        <v>15</v>
      </c>
      <c r="H51" s="18"/>
      <c r="I51" s="72" t="s">
        <v>17</v>
      </c>
      <c r="J51" s="18">
        <v>61618319</v>
      </c>
      <c r="K51" s="18" t="s">
        <v>303</v>
      </c>
      <c r="L51" s="18" t="s">
        <v>321</v>
      </c>
      <c r="M51" s="33">
        <v>199900</v>
      </c>
      <c r="N51" s="11">
        <v>0.3</v>
      </c>
      <c r="O51" s="10">
        <f t="shared" si="2"/>
        <v>139930</v>
      </c>
      <c r="P51" s="7" t="s">
        <v>16</v>
      </c>
    </row>
    <row r="52" spans="1:16" s="34" customFormat="1" x14ac:dyDescent="0.35">
      <c r="A52" s="75" t="s">
        <v>341</v>
      </c>
      <c r="B52" s="8">
        <f t="shared" ref="B52:C52" si="23">B51</f>
        <v>46108</v>
      </c>
      <c r="C52" s="8">
        <f t="shared" si="23"/>
        <v>46113</v>
      </c>
      <c r="D52" s="12">
        <v>3259</v>
      </c>
      <c r="E52" s="12">
        <v>333</v>
      </c>
      <c r="F52" s="7">
        <v>3</v>
      </c>
      <c r="G52" s="18">
        <v>15</v>
      </c>
      <c r="H52" s="18"/>
      <c r="I52" s="72" t="s">
        <v>17</v>
      </c>
      <c r="J52" s="18">
        <v>61618328</v>
      </c>
      <c r="K52" s="18" t="s">
        <v>303</v>
      </c>
      <c r="L52" s="18" t="s">
        <v>322</v>
      </c>
      <c r="M52" s="33">
        <v>199900</v>
      </c>
      <c r="N52" s="11">
        <v>0.3</v>
      </c>
      <c r="O52" s="10">
        <f t="shared" si="2"/>
        <v>139930</v>
      </c>
      <c r="P52" s="7" t="s">
        <v>16</v>
      </c>
    </row>
    <row r="53" spans="1:16" s="34" customFormat="1" x14ac:dyDescent="0.35">
      <c r="A53" s="75" t="s">
        <v>341</v>
      </c>
      <c r="B53" s="8">
        <f t="shared" ref="B53:C53" si="24">B52</f>
        <v>46108</v>
      </c>
      <c r="C53" s="8">
        <f t="shared" si="24"/>
        <v>46113</v>
      </c>
      <c r="D53" s="12">
        <v>3259</v>
      </c>
      <c r="E53" s="12">
        <v>333</v>
      </c>
      <c r="F53" s="7">
        <v>3</v>
      </c>
      <c r="G53" s="18">
        <v>15</v>
      </c>
      <c r="H53" s="18"/>
      <c r="I53" s="72" t="s">
        <v>17</v>
      </c>
      <c r="J53" s="18">
        <v>61618337</v>
      </c>
      <c r="K53" s="18" t="s">
        <v>303</v>
      </c>
      <c r="L53" s="18" t="s">
        <v>323</v>
      </c>
      <c r="M53" s="33">
        <v>199900</v>
      </c>
      <c r="N53" s="11">
        <v>0.3</v>
      </c>
      <c r="O53" s="10">
        <f t="shared" si="2"/>
        <v>139930</v>
      </c>
      <c r="P53" s="7" t="s">
        <v>16</v>
      </c>
    </row>
    <row r="54" spans="1:16" s="34" customFormat="1" x14ac:dyDescent="0.35">
      <c r="A54" s="75" t="s">
        <v>341</v>
      </c>
      <c r="B54" s="8">
        <f t="shared" ref="B54:C54" si="25">B53</f>
        <v>46108</v>
      </c>
      <c r="C54" s="8">
        <f t="shared" si="25"/>
        <v>46113</v>
      </c>
      <c r="D54" s="12">
        <v>3259</v>
      </c>
      <c r="E54" s="12">
        <v>333</v>
      </c>
      <c r="F54" s="7">
        <v>3</v>
      </c>
      <c r="G54" s="18">
        <v>15</v>
      </c>
      <c r="H54" s="18"/>
      <c r="I54" s="72" t="s">
        <v>17</v>
      </c>
      <c r="J54" s="18">
        <v>61618346</v>
      </c>
      <c r="K54" s="18" t="s">
        <v>303</v>
      </c>
      <c r="L54" s="18" t="s">
        <v>324</v>
      </c>
      <c r="M54" s="33">
        <v>199900</v>
      </c>
      <c r="N54" s="11">
        <v>0.3</v>
      </c>
      <c r="O54" s="10">
        <f t="shared" si="2"/>
        <v>139930</v>
      </c>
      <c r="P54" s="7" t="s">
        <v>16</v>
      </c>
    </row>
    <row r="55" spans="1:16" s="34" customFormat="1" x14ac:dyDescent="0.35">
      <c r="A55" s="75" t="s">
        <v>341</v>
      </c>
      <c r="B55" s="8">
        <f t="shared" ref="B55:C55" si="26">B54</f>
        <v>46108</v>
      </c>
      <c r="C55" s="8">
        <f t="shared" si="26"/>
        <v>46113</v>
      </c>
      <c r="D55" s="12">
        <v>3259</v>
      </c>
      <c r="E55" s="12">
        <v>333</v>
      </c>
      <c r="F55" s="7">
        <v>3</v>
      </c>
      <c r="G55" s="18">
        <v>15</v>
      </c>
      <c r="H55" s="18"/>
      <c r="I55" s="72" t="s">
        <v>17</v>
      </c>
      <c r="J55" s="18">
        <v>61618355</v>
      </c>
      <c r="K55" s="18" t="s">
        <v>303</v>
      </c>
      <c r="L55" s="18" t="s">
        <v>325</v>
      </c>
      <c r="M55" s="33">
        <v>199900</v>
      </c>
      <c r="N55" s="11">
        <v>0.3</v>
      </c>
      <c r="O55" s="10">
        <f t="shared" si="2"/>
        <v>139930</v>
      </c>
      <c r="P55" s="7" t="s">
        <v>16</v>
      </c>
    </row>
    <row r="56" spans="1:16" s="34" customFormat="1" x14ac:dyDescent="0.35">
      <c r="A56" s="75" t="s">
        <v>341</v>
      </c>
      <c r="B56" s="8">
        <f t="shared" ref="B56:C56" si="27">B55</f>
        <v>46108</v>
      </c>
      <c r="C56" s="8">
        <f t="shared" si="27"/>
        <v>46113</v>
      </c>
      <c r="D56" s="12">
        <v>3259</v>
      </c>
      <c r="E56" s="12">
        <v>333</v>
      </c>
      <c r="F56" s="7">
        <v>3</v>
      </c>
      <c r="G56" s="18">
        <v>15</v>
      </c>
      <c r="H56" s="18"/>
      <c r="I56" s="72" t="s">
        <v>17</v>
      </c>
      <c r="J56" s="18">
        <v>61618364</v>
      </c>
      <c r="K56" s="18" t="s">
        <v>303</v>
      </c>
      <c r="L56" s="18" t="s">
        <v>326</v>
      </c>
      <c r="M56" s="33">
        <v>199900</v>
      </c>
      <c r="N56" s="11">
        <v>0.3</v>
      </c>
      <c r="O56" s="10">
        <f t="shared" si="2"/>
        <v>139930</v>
      </c>
      <c r="P56" s="7" t="s">
        <v>16</v>
      </c>
    </row>
    <row r="57" spans="1:16" s="34" customFormat="1" x14ac:dyDescent="0.35">
      <c r="A57" s="75" t="s">
        <v>341</v>
      </c>
      <c r="B57" s="8">
        <f t="shared" ref="B57:C57" si="28">B56</f>
        <v>46108</v>
      </c>
      <c r="C57" s="8">
        <f t="shared" si="28"/>
        <v>46113</v>
      </c>
      <c r="D57" s="12">
        <v>3259</v>
      </c>
      <c r="E57" s="12">
        <v>333</v>
      </c>
      <c r="F57" s="7">
        <v>3</v>
      </c>
      <c r="G57" s="18">
        <v>15</v>
      </c>
      <c r="H57" s="18"/>
      <c r="I57" s="72" t="s">
        <v>17</v>
      </c>
      <c r="J57" s="18">
        <v>61618373</v>
      </c>
      <c r="K57" s="18" t="s">
        <v>303</v>
      </c>
      <c r="L57" s="18" t="s">
        <v>327</v>
      </c>
      <c r="M57" s="33">
        <v>199900</v>
      </c>
      <c r="N57" s="11">
        <v>0.3</v>
      </c>
      <c r="O57" s="10">
        <f t="shared" si="2"/>
        <v>139930</v>
      </c>
      <c r="P57" s="7" t="s">
        <v>16</v>
      </c>
    </row>
  </sheetData>
  <autoFilter ref="A1:P13" xr:uid="{00000000-0009-0000-0000-00001E000000}"/>
  <conditionalFormatting sqref="J1">
    <cfRule type="duplicateValues" dxfId="203" priority="25"/>
    <cfRule type="duplicateValues" dxfId="202" priority="26"/>
    <cfRule type="duplicateValues" dxfId="201" priority="27"/>
    <cfRule type="duplicateValues" dxfId="200" priority="37"/>
    <cfRule type="duplicateValues" dxfId="199" priority="38"/>
    <cfRule type="duplicateValues" dxfId="198" priority="39"/>
    <cfRule type="duplicateValues" dxfId="197" priority="40"/>
    <cfRule type="duplicateValues" dxfId="196" priority="41"/>
    <cfRule type="duplicateValues" dxfId="195" priority="42"/>
    <cfRule type="duplicateValues" dxfId="194" priority="43"/>
    <cfRule type="duplicateValues" dxfId="193" priority="44"/>
    <cfRule type="duplicateValues" dxfId="192" priority="45"/>
    <cfRule type="duplicateValues" dxfId="191" priority="46"/>
    <cfRule type="duplicateValues" dxfId="190" priority="47"/>
    <cfRule type="duplicateValues" dxfId="189" priority="50"/>
    <cfRule type="duplicateValues" dxfId="188" priority="51"/>
    <cfRule type="duplicateValues" dxfId="187" priority="52"/>
    <cfRule type="duplicateValues" dxfId="186" priority="53"/>
    <cfRule type="duplicateValues" dxfId="185" priority="54"/>
    <cfRule type="duplicateValues" dxfId="184" priority="55"/>
    <cfRule type="duplicateValues" dxfId="183" priority="56"/>
    <cfRule type="duplicateValues" dxfId="182" priority="57"/>
    <cfRule type="duplicateValues" dxfId="181" priority="58"/>
    <cfRule type="duplicateValues" dxfId="180" priority="59"/>
    <cfRule type="duplicateValues" dxfId="179" priority="60"/>
    <cfRule type="duplicateValues" dxfId="178" priority="61"/>
    <cfRule type="duplicateValues" dxfId="177" priority="62"/>
    <cfRule type="duplicateValues" dxfId="176" priority="63"/>
    <cfRule type="duplicateValues" dxfId="175" priority="64"/>
    <cfRule type="duplicateValues" dxfId="174" priority="65"/>
    <cfRule type="duplicateValues" dxfId="173" priority="66"/>
    <cfRule type="duplicateValues" dxfId="172" priority="67"/>
    <cfRule type="duplicateValues" dxfId="171" priority="68"/>
    <cfRule type="duplicateValues" dxfId="170" priority="69"/>
    <cfRule type="duplicateValues" dxfId="169" priority="70"/>
    <cfRule type="duplicateValues" dxfId="168" priority="71"/>
    <cfRule type="duplicateValues" dxfId="167" priority="72"/>
    <cfRule type="duplicateValues" dxfId="166" priority="73"/>
    <cfRule type="duplicateValues" dxfId="165" priority="74"/>
    <cfRule type="duplicateValues" dxfId="164" priority="75"/>
    <cfRule type="duplicateValues" dxfId="163" priority="76"/>
    <cfRule type="duplicateValues" dxfId="162" priority="77"/>
    <cfRule type="duplicateValues" dxfId="161" priority="78"/>
    <cfRule type="duplicateValues" dxfId="160" priority="79"/>
    <cfRule type="duplicateValues" dxfId="159" priority="80"/>
    <cfRule type="duplicateValues" dxfId="158" priority="81"/>
    <cfRule type="duplicateValues" dxfId="157" priority="82"/>
    <cfRule type="duplicateValues" dxfId="156" priority="83"/>
    <cfRule type="duplicateValues" dxfId="155" priority="84"/>
    <cfRule type="duplicateValues" dxfId="154" priority="85"/>
    <cfRule type="duplicateValues" dxfId="153" priority="86"/>
    <cfRule type="duplicateValues" dxfId="152" priority="87"/>
    <cfRule type="duplicateValues" dxfId="151" priority="88"/>
  </conditionalFormatting>
  <conditionalFormatting sqref="J1:J13">
    <cfRule type="duplicateValues" dxfId="150" priority="48"/>
    <cfRule type="duplicateValues" dxfId="149" priority="49"/>
    <cfRule type="duplicateValues" dxfId="148" priority="89"/>
    <cfRule type="duplicateValues" dxfId="147" priority="90"/>
    <cfRule type="duplicateValues" dxfId="146" priority="91"/>
    <cfRule type="duplicateValues" dxfId="145" priority="92"/>
    <cfRule type="duplicateValues" dxfId="144" priority="93"/>
  </conditionalFormatting>
  <conditionalFormatting sqref="J1:J33">
    <cfRule type="duplicateValues" dxfId="143" priority="94"/>
    <cfRule type="duplicateValues" dxfId="142" priority="95"/>
    <cfRule type="duplicateValues" dxfId="141" priority="96"/>
    <cfRule type="duplicateValues" dxfId="140" priority="97"/>
    <cfRule type="duplicateValues" dxfId="139" priority="98"/>
    <cfRule type="duplicateValues" dxfId="138" priority="99"/>
    <cfRule type="duplicateValues" dxfId="137" priority="100"/>
    <cfRule type="duplicateValues" dxfId="136" priority="101"/>
    <cfRule type="duplicateValues" dxfId="135" priority="102"/>
    <cfRule type="duplicateValues" dxfId="134" priority="103"/>
    <cfRule type="duplicateValues" dxfId="133" priority="104"/>
    <cfRule type="duplicateValues" dxfId="132" priority="105"/>
    <cfRule type="duplicateValues" dxfId="131" priority="106"/>
    <cfRule type="duplicateValues" dxfId="130" priority="107"/>
    <cfRule type="duplicateValues" dxfId="129" priority="108"/>
    <cfRule type="duplicateValues" dxfId="128" priority="109"/>
    <cfRule type="duplicateValues" dxfId="127" priority="110"/>
    <cfRule type="duplicateValues" dxfId="126" priority="111"/>
    <cfRule type="duplicateValues" dxfId="125" priority="112"/>
    <cfRule type="duplicateValues" dxfId="124" priority="113"/>
    <cfRule type="duplicateValues" dxfId="123" priority="114"/>
    <cfRule type="duplicateValues" dxfId="122" priority="115"/>
    <cfRule type="duplicateValues" dxfId="121" priority="116"/>
    <cfRule type="duplicateValues" dxfId="120" priority="117"/>
    <cfRule type="duplicateValues" dxfId="119" priority="118"/>
    <cfRule type="duplicateValues" dxfId="118" priority="119"/>
    <cfRule type="duplicateValues" dxfId="117" priority="120"/>
    <cfRule type="duplicateValues" dxfId="116" priority="121"/>
    <cfRule type="duplicateValues" dxfId="115" priority="122"/>
    <cfRule type="duplicateValues" dxfId="114" priority="123"/>
    <cfRule type="duplicateValues" dxfId="113" priority="124"/>
    <cfRule type="duplicateValues" dxfId="112" priority="125"/>
    <cfRule type="duplicateValues" dxfId="111" priority="126"/>
    <cfRule type="duplicateValues" dxfId="110" priority="127"/>
    <cfRule type="duplicateValues" dxfId="109" priority="128"/>
    <cfRule type="duplicateValues" dxfId="108" priority="129"/>
    <cfRule type="duplicateValues" dxfId="107" priority="130"/>
    <cfRule type="duplicateValues" dxfId="106" priority="131"/>
    <cfRule type="duplicateValues" dxfId="105" priority="132"/>
    <cfRule type="duplicateValues" dxfId="104" priority="133"/>
    <cfRule type="duplicateValues" dxfId="103" priority="134"/>
    <cfRule type="duplicateValues" dxfId="102" priority="135"/>
    <cfRule type="duplicateValues" dxfId="101" priority="136"/>
    <cfRule type="duplicateValues" dxfId="100" priority="137"/>
    <cfRule type="duplicateValues" dxfId="99" priority="138"/>
    <cfRule type="duplicateValues" dxfId="98" priority="139"/>
    <cfRule type="duplicateValues" dxfId="97" priority="140"/>
  </conditionalFormatting>
  <conditionalFormatting sqref="J1:J1048576">
    <cfRule type="duplicateValues" dxfId="96" priority="1"/>
    <cfRule type="duplicateValues" dxfId="95" priority="2"/>
    <cfRule type="duplicateValues" dxfId="94" priority="3"/>
    <cfRule type="duplicateValues" dxfId="93" priority="28"/>
    <cfRule type="duplicateValues" dxfId="92" priority="29"/>
    <cfRule type="duplicateValues" dxfId="91" priority="30"/>
    <cfRule type="duplicateValues" dxfId="90" priority="31"/>
    <cfRule type="duplicateValues" dxfId="89" priority="32"/>
    <cfRule type="duplicateValues" dxfId="88" priority="33"/>
    <cfRule type="duplicateValues" dxfId="87" priority="34"/>
    <cfRule type="duplicateValues" dxfId="86" priority="35"/>
    <cfRule type="duplicateValues" dxfId="85" priority="36"/>
  </conditionalFormatting>
  <conditionalFormatting sqref="J2:J7">
    <cfRule type="duplicateValues" dxfId="84" priority="4"/>
    <cfRule type="duplicateValues" dxfId="83" priority="5"/>
    <cfRule type="duplicateValues" dxfId="82" priority="6"/>
    <cfRule type="duplicateValues" dxfId="81" priority="7"/>
    <cfRule type="duplicateValues" dxfId="80" priority="8"/>
    <cfRule type="duplicateValues" dxfId="79" priority="9"/>
    <cfRule type="duplicateValues" dxfId="78" priority="10"/>
    <cfRule type="duplicateValues" dxfId="77" priority="11"/>
    <cfRule type="duplicateValues" dxfId="76" priority="12"/>
    <cfRule type="duplicateValues" dxfId="75" priority="13"/>
    <cfRule type="duplicateValues" dxfId="74" priority="14"/>
    <cfRule type="duplicateValues" dxfId="73" priority="15"/>
    <cfRule type="duplicateValues" dxfId="72" priority="16"/>
    <cfRule type="duplicateValues" dxfId="71" priority="17"/>
    <cfRule type="duplicateValues" dxfId="70" priority="18"/>
    <cfRule type="duplicateValues" dxfId="69" priority="19"/>
    <cfRule type="duplicateValues" dxfId="68" priority="20"/>
    <cfRule type="duplicateValues" dxfId="67" priority="21"/>
    <cfRule type="duplicateValues" dxfId="66" priority="22"/>
    <cfRule type="duplicateValues" dxfId="65" priority="23"/>
    <cfRule type="duplicateValues" dxfId="64" priority="2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77D2-4299-4985-9EDA-05B2E39D4E16}">
  <sheetPr>
    <tabColor rgb="FFFFFF00"/>
  </sheetPr>
  <dimension ref="A1:P37"/>
  <sheetViews>
    <sheetView tabSelected="1" zoomScale="58" workbookViewId="0">
      <selection activeCell="B13" sqref="B13:C37"/>
    </sheetView>
  </sheetViews>
  <sheetFormatPr defaultColWidth="8.7265625" defaultRowHeight="14.5" x14ac:dyDescent="0.35"/>
  <cols>
    <col min="1" max="1" width="22" style="64" bestFit="1" customWidth="1"/>
    <col min="2" max="2" width="17.1796875" style="64" bestFit="1" customWidth="1"/>
    <col min="3" max="3" width="12.81640625" style="64" bestFit="1" customWidth="1"/>
    <col min="4" max="4" width="8.7265625" style="64" bestFit="1" customWidth="1"/>
    <col min="5" max="5" width="7.1796875" style="64" bestFit="1" customWidth="1"/>
    <col min="6" max="6" width="8.453125" style="64" bestFit="1" customWidth="1"/>
    <col min="7" max="7" width="5.7265625" style="64" bestFit="1" customWidth="1"/>
    <col min="8" max="8" width="8.54296875" style="64" bestFit="1" customWidth="1"/>
    <col min="9" max="9" width="11" style="64" bestFit="1" customWidth="1"/>
    <col min="10" max="10" width="14.54296875" style="64" bestFit="1" customWidth="1"/>
    <col min="11" max="11" width="12.54296875" style="64" customWidth="1"/>
    <col min="12" max="12" width="94" style="64" bestFit="1" customWidth="1"/>
    <col min="13" max="13" width="16.1796875" style="66" bestFit="1" customWidth="1"/>
    <col min="14" max="14" width="15.1796875" style="64" bestFit="1" customWidth="1"/>
    <col min="15" max="15" width="14" style="64" bestFit="1" customWidth="1"/>
    <col min="16" max="16" width="22.453125" style="64" bestFit="1" customWidth="1"/>
    <col min="17" max="16384" width="8.7265625" style="64"/>
  </cols>
  <sheetData>
    <row r="1" spans="1:16" s="58" customFormat="1" ht="29.25" customHeight="1" x14ac:dyDescent="0.35">
      <c r="A1" s="52" t="s">
        <v>0</v>
      </c>
      <c r="B1" s="53" t="s">
        <v>15</v>
      </c>
      <c r="C1" s="53" t="s">
        <v>11</v>
      </c>
      <c r="D1" s="52" t="s">
        <v>1</v>
      </c>
      <c r="E1" s="52" t="s">
        <v>2</v>
      </c>
      <c r="F1" s="52" t="s">
        <v>12</v>
      </c>
      <c r="G1" s="54" t="s">
        <v>3</v>
      </c>
      <c r="H1" s="54" t="s">
        <v>4</v>
      </c>
      <c r="I1" s="52" t="s">
        <v>5</v>
      </c>
      <c r="J1" s="52" t="s">
        <v>6</v>
      </c>
      <c r="K1" s="52" t="s">
        <v>7</v>
      </c>
      <c r="L1" s="52" t="s">
        <v>13</v>
      </c>
      <c r="M1" s="55" t="s">
        <v>14</v>
      </c>
      <c r="N1" s="56" t="s">
        <v>8</v>
      </c>
      <c r="O1" s="57" t="s">
        <v>9</v>
      </c>
      <c r="P1" s="52" t="s">
        <v>10</v>
      </c>
    </row>
    <row r="2" spans="1:16" x14ac:dyDescent="0.35">
      <c r="A2" s="59" t="s">
        <v>342</v>
      </c>
      <c r="B2" s="41">
        <v>46108</v>
      </c>
      <c r="C2" s="41">
        <v>46113</v>
      </c>
      <c r="D2" s="60">
        <v>3259</v>
      </c>
      <c r="E2" s="60">
        <v>333</v>
      </c>
      <c r="F2" s="61">
        <v>3</v>
      </c>
      <c r="G2" s="62"/>
      <c r="H2" s="62"/>
      <c r="I2" s="63" t="s">
        <v>17</v>
      </c>
      <c r="J2" s="62">
        <v>15257591</v>
      </c>
      <c r="K2" s="62" t="s">
        <v>18</v>
      </c>
      <c r="L2" s="62" t="s">
        <v>328</v>
      </c>
      <c r="M2" s="79">
        <v>259900</v>
      </c>
      <c r="N2" s="11">
        <v>0.3</v>
      </c>
      <c r="O2" s="10">
        <f t="shared" ref="O2" si="0">M2-(M2*N2)</f>
        <v>181930</v>
      </c>
      <c r="P2" s="7" t="s">
        <v>16</v>
      </c>
    </row>
    <row r="3" spans="1:16" x14ac:dyDescent="0.35">
      <c r="A3" s="59" t="s">
        <v>342</v>
      </c>
      <c r="B3" s="41">
        <f t="shared" ref="B3:C3" si="1">B2</f>
        <v>46108</v>
      </c>
      <c r="C3" s="41">
        <f t="shared" si="1"/>
        <v>46113</v>
      </c>
      <c r="D3" s="60">
        <v>3259</v>
      </c>
      <c r="E3" s="60">
        <v>333</v>
      </c>
      <c r="F3" s="61">
        <v>3</v>
      </c>
      <c r="G3" s="62"/>
      <c r="H3" s="62"/>
      <c r="I3" s="63" t="s">
        <v>17</v>
      </c>
      <c r="J3" s="62">
        <v>15257608</v>
      </c>
      <c r="K3" s="62" t="s">
        <v>18</v>
      </c>
      <c r="L3" s="62" t="s">
        <v>329</v>
      </c>
      <c r="M3" s="79">
        <v>259900</v>
      </c>
      <c r="N3" s="11">
        <v>0.3</v>
      </c>
      <c r="O3" s="10">
        <f t="shared" ref="O3:O37" si="2">M3-(M3*N3)</f>
        <v>181930</v>
      </c>
      <c r="P3" s="7" t="s">
        <v>16</v>
      </c>
    </row>
    <row r="4" spans="1:16" x14ac:dyDescent="0.35">
      <c r="A4" s="59" t="s">
        <v>342</v>
      </c>
      <c r="B4" s="8">
        <f t="shared" ref="B4:C8" si="3">B3</f>
        <v>46108</v>
      </c>
      <c r="C4" s="8">
        <f t="shared" si="3"/>
        <v>46113</v>
      </c>
      <c r="D4" s="60">
        <v>3259</v>
      </c>
      <c r="E4" s="60">
        <v>333</v>
      </c>
      <c r="F4" s="61">
        <v>3</v>
      </c>
      <c r="G4" s="62"/>
      <c r="H4" s="62"/>
      <c r="I4" s="63" t="s">
        <v>17</v>
      </c>
      <c r="J4" s="62">
        <v>15257617</v>
      </c>
      <c r="K4" s="62" t="s">
        <v>18</v>
      </c>
      <c r="L4" s="62" t="s">
        <v>330</v>
      </c>
      <c r="M4" s="79">
        <v>259900</v>
      </c>
      <c r="N4" s="11">
        <v>0.3</v>
      </c>
      <c r="O4" s="10">
        <f t="shared" si="2"/>
        <v>181930</v>
      </c>
      <c r="P4" s="7" t="s">
        <v>16</v>
      </c>
    </row>
    <row r="5" spans="1:16" x14ac:dyDescent="0.35">
      <c r="A5" s="59" t="s">
        <v>342</v>
      </c>
      <c r="B5" s="8">
        <f t="shared" si="3"/>
        <v>46108</v>
      </c>
      <c r="C5" s="8">
        <f t="shared" si="3"/>
        <v>46113</v>
      </c>
      <c r="D5" s="60">
        <v>3259</v>
      </c>
      <c r="E5" s="60">
        <v>333</v>
      </c>
      <c r="F5" s="61">
        <v>3</v>
      </c>
      <c r="G5" s="62"/>
      <c r="H5" s="62"/>
      <c r="I5" s="63" t="s">
        <v>17</v>
      </c>
      <c r="J5" s="62">
        <v>15257626</v>
      </c>
      <c r="K5" s="62" t="s">
        <v>18</v>
      </c>
      <c r="L5" s="62" t="s">
        <v>331</v>
      </c>
      <c r="M5" s="79">
        <v>259900</v>
      </c>
      <c r="N5" s="11">
        <v>0.3</v>
      </c>
      <c r="O5" s="10">
        <f t="shared" si="2"/>
        <v>181930</v>
      </c>
      <c r="P5" s="7" t="s">
        <v>16</v>
      </c>
    </row>
    <row r="6" spans="1:16" x14ac:dyDescent="0.35">
      <c r="A6" s="59" t="s">
        <v>342</v>
      </c>
      <c r="B6" s="8">
        <f t="shared" si="3"/>
        <v>46108</v>
      </c>
      <c r="C6" s="8">
        <f t="shared" si="3"/>
        <v>46113</v>
      </c>
      <c r="D6" s="60">
        <v>3259</v>
      </c>
      <c r="E6" s="60">
        <v>333</v>
      </c>
      <c r="F6" s="61">
        <v>3</v>
      </c>
      <c r="G6" s="62"/>
      <c r="H6" s="62"/>
      <c r="I6" s="63" t="s">
        <v>17</v>
      </c>
      <c r="J6" s="62">
        <v>15257635</v>
      </c>
      <c r="K6" s="62" t="s">
        <v>18</v>
      </c>
      <c r="L6" s="62" t="s">
        <v>332</v>
      </c>
      <c r="M6" s="79">
        <v>259900</v>
      </c>
      <c r="N6" s="11">
        <v>0.3</v>
      </c>
      <c r="O6" s="10">
        <f t="shared" si="2"/>
        <v>181930</v>
      </c>
      <c r="P6" s="7" t="s">
        <v>16</v>
      </c>
    </row>
    <row r="7" spans="1:16" x14ac:dyDescent="0.35">
      <c r="A7" s="59" t="s">
        <v>342</v>
      </c>
      <c r="B7" s="8">
        <f t="shared" si="3"/>
        <v>46108</v>
      </c>
      <c r="C7" s="8">
        <f t="shared" si="3"/>
        <v>46113</v>
      </c>
      <c r="D7" s="60">
        <v>3259</v>
      </c>
      <c r="E7" s="60">
        <v>333</v>
      </c>
      <c r="F7" s="61">
        <v>3</v>
      </c>
      <c r="G7" s="62"/>
      <c r="H7" s="62"/>
      <c r="I7" s="63" t="s">
        <v>17</v>
      </c>
      <c r="J7" s="62">
        <v>15257644</v>
      </c>
      <c r="K7" s="62" t="s">
        <v>18</v>
      </c>
      <c r="L7" s="62" t="s">
        <v>333</v>
      </c>
      <c r="M7" s="79">
        <v>259900</v>
      </c>
      <c r="N7" s="11">
        <v>0.3</v>
      </c>
      <c r="O7" s="10">
        <f t="shared" si="2"/>
        <v>181930</v>
      </c>
      <c r="P7" s="7" t="s">
        <v>16</v>
      </c>
    </row>
    <row r="8" spans="1:16" x14ac:dyDescent="0.35">
      <c r="A8" s="59" t="s">
        <v>342</v>
      </c>
      <c r="B8" s="8">
        <f t="shared" si="3"/>
        <v>46108</v>
      </c>
      <c r="C8" s="8">
        <f t="shared" si="3"/>
        <v>46113</v>
      </c>
      <c r="D8" s="60">
        <v>3259</v>
      </c>
      <c r="E8" s="60">
        <v>333</v>
      </c>
      <c r="F8" s="61">
        <v>3</v>
      </c>
      <c r="G8" s="62"/>
      <c r="H8" s="62"/>
      <c r="I8" s="63" t="s">
        <v>17</v>
      </c>
      <c r="J8" s="62">
        <v>15257653</v>
      </c>
      <c r="K8" s="62" t="s">
        <v>18</v>
      </c>
      <c r="L8" s="62" t="s">
        <v>334</v>
      </c>
      <c r="M8" s="79">
        <v>259900</v>
      </c>
      <c r="N8" s="11">
        <v>0.3</v>
      </c>
      <c r="O8" s="10">
        <f t="shared" si="2"/>
        <v>181930</v>
      </c>
      <c r="P8" s="7" t="s">
        <v>16</v>
      </c>
    </row>
    <row r="9" spans="1:16" x14ac:dyDescent="0.35">
      <c r="A9" s="59" t="s">
        <v>342</v>
      </c>
      <c r="B9" s="8">
        <f t="shared" ref="B9:C9" si="4">B8</f>
        <v>46108</v>
      </c>
      <c r="C9" s="8">
        <f t="shared" si="4"/>
        <v>46113</v>
      </c>
      <c r="D9" s="60">
        <v>3259</v>
      </c>
      <c r="E9" s="60">
        <v>333</v>
      </c>
      <c r="F9" s="61">
        <v>3</v>
      </c>
      <c r="G9" s="62"/>
      <c r="H9" s="62"/>
      <c r="I9" s="63" t="s">
        <v>17</v>
      </c>
      <c r="J9" s="62">
        <v>15257662</v>
      </c>
      <c r="K9" s="62" t="s">
        <v>18</v>
      </c>
      <c r="L9" s="62" t="s">
        <v>335</v>
      </c>
      <c r="M9" s="79">
        <v>259900</v>
      </c>
      <c r="N9" s="11">
        <v>0.3</v>
      </c>
      <c r="O9" s="10">
        <f t="shared" si="2"/>
        <v>181930</v>
      </c>
      <c r="P9" s="7" t="s">
        <v>16</v>
      </c>
    </row>
    <row r="10" spans="1:16" x14ac:dyDescent="0.35">
      <c r="A10" s="59" t="s">
        <v>342</v>
      </c>
      <c r="B10" s="8">
        <f t="shared" ref="B10:C10" si="5">B9</f>
        <v>46108</v>
      </c>
      <c r="C10" s="8">
        <f t="shared" si="5"/>
        <v>46113</v>
      </c>
      <c r="D10" s="60">
        <v>3259</v>
      </c>
      <c r="E10" s="60">
        <v>333</v>
      </c>
      <c r="F10" s="61">
        <v>3</v>
      </c>
      <c r="G10" s="62"/>
      <c r="H10" s="62"/>
      <c r="I10" s="63" t="s">
        <v>17</v>
      </c>
      <c r="J10" s="62">
        <v>15257671</v>
      </c>
      <c r="K10" s="62" t="s">
        <v>18</v>
      </c>
      <c r="L10" s="62" t="s">
        <v>336</v>
      </c>
      <c r="M10" s="79">
        <v>259900</v>
      </c>
      <c r="N10" s="11">
        <v>0.3</v>
      </c>
      <c r="O10" s="10">
        <f t="shared" si="2"/>
        <v>181930</v>
      </c>
      <c r="P10" s="7" t="s">
        <v>16</v>
      </c>
    </row>
    <row r="11" spans="1:16" x14ac:dyDescent="0.35">
      <c r="A11" s="59" t="s">
        <v>342</v>
      </c>
      <c r="B11" s="8">
        <f t="shared" ref="B11:C11" si="6">B10</f>
        <v>46108</v>
      </c>
      <c r="C11" s="8">
        <f t="shared" si="6"/>
        <v>46113</v>
      </c>
      <c r="D11" s="60">
        <v>3259</v>
      </c>
      <c r="E11" s="60">
        <v>333</v>
      </c>
      <c r="F11" s="61">
        <v>3</v>
      </c>
      <c r="G11" s="62"/>
      <c r="H11" s="62"/>
      <c r="I11" s="63" t="s">
        <v>17</v>
      </c>
      <c r="J11" s="62">
        <v>15257680</v>
      </c>
      <c r="K11" s="62" t="s">
        <v>18</v>
      </c>
      <c r="L11" s="62" t="s">
        <v>337</v>
      </c>
      <c r="M11" s="79">
        <v>259900</v>
      </c>
      <c r="N11" s="11">
        <v>0.3</v>
      </c>
      <c r="O11" s="10">
        <f t="shared" si="2"/>
        <v>181930</v>
      </c>
      <c r="P11" s="7" t="s">
        <v>16</v>
      </c>
    </row>
    <row r="12" spans="1:16" x14ac:dyDescent="0.35">
      <c r="A12" s="59" t="s">
        <v>342</v>
      </c>
      <c r="B12" s="8">
        <f t="shared" ref="B12:C12" si="7">B11</f>
        <v>46108</v>
      </c>
      <c r="C12" s="8">
        <f t="shared" si="7"/>
        <v>46113</v>
      </c>
      <c r="D12" s="60">
        <v>3259</v>
      </c>
      <c r="E12" s="60">
        <v>333</v>
      </c>
      <c r="F12" s="61">
        <v>3</v>
      </c>
      <c r="G12" s="62"/>
      <c r="H12" s="62"/>
      <c r="I12" s="63" t="s">
        <v>17</v>
      </c>
      <c r="J12" s="62">
        <v>15257699</v>
      </c>
      <c r="K12" s="62" t="s">
        <v>18</v>
      </c>
      <c r="L12" s="62" t="s">
        <v>338</v>
      </c>
      <c r="M12" s="79">
        <v>259900</v>
      </c>
      <c r="N12" s="11">
        <v>0.3</v>
      </c>
      <c r="O12" s="10">
        <f t="shared" si="2"/>
        <v>181930</v>
      </c>
      <c r="P12" s="7" t="s">
        <v>16</v>
      </c>
    </row>
    <row r="13" spans="1:16" x14ac:dyDescent="0.35">
      <c r="A13" s="59" t="s">
        <v>342</v>
      </c>
      <c r="B13" s="8">
        <f t="shared" ref="B13:C13" si="8">B12</f>
        <v>46108</v>
      </c>
      <c r="C13" s="8">
        <f t="shared" si="8"/>
        <v>46113</v>
      </c>
      <c r="D13" s="60">
        <v>3259</v>
      </c>
      <c r="E13" s="60">
        <v>333</v>
      </c>
      <c r="F13" s="61">
        <v>3</v>
      </c>
      <c r="G13" s="62"/>
      <c r="H13" s="62"/>
      <c r="I13" s="63" t="s">
        <v>17</v>
      </c>
      <c r="J13" s="62">
        <v>15257706</v>
      </c>
      <c r="K13" s="62" t="s">
        <v>18</v>
      </c>
      <c r="L13" s="62" t="s">
        <v>339</v>
      </c>
      <c r="M13" s="79">
        <v>259900</v>
      </c>
      <c r="N13" s="11">
        <v>0.3</v>
      </c>
      <c r="O13" s="10">
        <f t="shared" si="2"/>
        <v>181930</v>
      </c>
      <c r="P13" s="7" t="s">
        <v>16</v>
      </c>
    </row>
    <row r="14" spans="1:16" x14ac:dyDescent="0.35">
      <c r="A14" s="59" t="s">
        <v>342</v>
      </c>
      <c r="B14" s="8">
        <f t="shared" ref="B14:C14" si="9">B13</f>
        <v>46108</v>
      </c>
      <c r="C14" s="8">
        <f t="shared" si="9"/>
        <v>46113</v>
      </c>
      <c r="D14" s="60">
        <v>3259</v>
      </c>
      <c r="E14" s="60">
        <v>333</v>
      </c>
      <c r="F14" s="61">
        <v>3</v>
      </c>
      <c r="G14" s="62"/>
      <c r="H14" s="62"/>
      <c r="I14" s="63" t="s">
        <v>17</v>
      </c>
      <c r="J14" s="62">
        <v>53687046</v>
      </c>
      <c r="K14" s="62" t="s">
        <v>343</v>
      </c>
      <c r="L14" s="62" t="s">
        <v>344</v>
      </c>
      <c r="M14" s="79">
        <v>259900</v>
      </c>
      <c r="N14" s="11">
        <v>0.3</v>
      </c>
      <c r="O14" s="10">
        <f t="shared" si="2"/>
        <v>181930</v>
      </c>
      <c r="P14" s="7" t="s">
        <v>16</v>
      </c>
    </row>
    <row r="15" spans="1:16" x14ac:dyDescent="0.35">
      <c r="A15" s="59" t="s">
        <v>342</v>
      </c>
      <c r="B15" s="8">
        <f t="shared" ref="B15:C15" si="10">B14</f>
        <v>46108</v>
      </c>
      <c r="C15" s="8">
        <f t="shared" si="10"/>
        <v>46113</v>
      </c>
      <c r="D15" s="60">
        <v>3259</v>
      </c>
      <c r="E15" s="60">
        <v>333</v>
      </c>
      <c r="F15" s="61">
        <v>3</v>
      </c>
      <c r="G15" s="62"/>
      <c r="H15" s="62"/>
      <c r="I15" s="63" t="s">
        <v>17</v>
      </c>
      <c r="J15" s="62">
        <v>53687055</v>
      </c>
      <c r="K15" s="62" t="s">
        <v>343</v>
      </c>
      <c r="L15" s="62" t="s">
        <v>345</v>
      </c>
      <c r="M15" s="79">
        <v>259900</v>
      </c>
      <c r="N15" s="11">
        <v>0.3</v>
      </c>
      <c r="O15" s="10">
        <f t="shared" si="2"/>
        <v>181930</v>
      </c>
      <c r="P15" s="7" t="s">
        <v>16</v>
      </c>
    </row>
    <row r="16" spans="1:16" x14ac:dyDescent="0.35">
      <c r="A16" s="59" t="s">
        <v>342</v>
      </c>
      <c r="B16" s="8">
        <f t="shared" ref="B16:C16" si="11">B15</f>
        <v>46108</v>
      </c>
      <c r="C16" s="8">
        <f t="shared" si="11"/>
        <v>46113</v>
      </c>
      <c r="D16" s="60">
        <v>3259</v>
      </c>
      <c r="E16" s="60">
        <v>333</v>
      </c>
      <c r="F16" s="61">
        <v>3</v>
      </c>
      <c r="G16" s="62"/>
      <c r="H16" s="62"/>
      <c r="I16" s="63" t="s">
        <v>17</v>
      </c>
      <c r="J16" s="62">
        <v>53687064</v>
      </c>
      <c r="K16" s="62" t="s">
        <v>343</v>
      </c>
      <c r="L16" s="62" t="s">
        <v>346</v>
      </c>
      <c r="M16" s="79">
        <v>259900</v>
      </c>
      <c r="N16" s="11">
        <v>0.3</v>
      </c>
      <c r="O16" s="10">
        <f t="shared" si="2"/>
        <v>181930</v>
      </c>
      <c r="P16" s="7" t="s">
        <v>16</v>
      </c>
    </row>
    <row r="17" spans="1:16" x14ac:dyDescent="0.35">
      <c r="A17" s="59" t="s">
        <v>342</v>
      </c>
      <c r="B17" s="8">
        <f t="shared" ref="B17:C17" si="12">B16</f>
        <v>46108</v>
      </c>
      <c r="C17" s="8">
        <f t="shared" si="12"/>
        <v>46113</v>
      </c>
      <c r="D17" s="60">
        <v>3259</v>
      </c>
      <c r="E17" s="60">
        <v>333</v>
      </c>
      <c r="F17" s="61">
        <v>3</v>
      </c>
      <c r="G17" s="62"/>
      <c r="H17" s="62"/>
      <c r="I17" s="63" t="s">
        <v>17</v>
      </c>
      <c r="J17" s="62">
        <v>53687073</v>
      </c>
      <c r="K17" s="62" t="s">
        <v>343</v>
      </c>
      <c r="L17" s="62" t="s">
        <v>347</v>
      </c>
      <c r="M17" s="79">
        <v>259900</v>
      </c>
      <c r="N17" s="11">
        <v>0.3</v>
      </c>
      <c r="O17" s="10">
        <f t="shared" si="2"/>
        <v>181930</v>
      </c>
      <c r="P17" s="7" t="s">
        <v>16</v>
      </c>
    </row>
    <row r="18" spans="1:16" x14ac:dyDescent="0.35">
      <c r="A18" s="59" t="s">
        <v>342</v>
      </c>
      <c r="B18" s="8">
        <f t="shared" ref="B18:C18" si="13">B17</f>
        <v>46108</v>
      </c>
      <c r="C18" s="8">
        <f t="shared" si="13"/>
        <v>46113</v>
      </c>
      <c r="D18" s="60">
        <v>3259</v>
      </c>
      <c r="E18" s="60">
        <v>333</v>
      </c>
      <c r="F18" s="61">
        <v>3</v>
      </c>
      <c r="G18" s="62"/>
      <c r="H18" s="62"/>
      <c r="I18" s="63" t="s">
        <v>17</v>
      </c>
      <c r="J18" s="62">
        <v>53687082</v>
      </c>
      <c r="K18" s="62" t="s">
        <v>343</v>
      </c>
      <c r="L18" s="62" t="s">
        <v>348</v>
      </c>
      <c r="M18" s="79">
        <v>259900</v>
      </c>
      <c r="N18" s="11">
        <v>0.3</v>
      </c>
      <c r="O18" s="10">
        <f t="shared" si="2"/>
        <v>181930</v>
      </c>
      <c r="P18" s="7" t="s">
        <v>16</v>
      </c>
    </row>
    <row r="19" spans="1:16" x14ac:dyDescent="0.35">
      <c r="A19" s="59" t="s">
        <v>342</v>
      </c>
      <c r="B19" s="8">
        <f t="shared" ref="B19:C19" si="14">B18</f>
        <v>46108</v>
      </c>
      <c r="C19" s="8">
        <f t="shared" si="14"/>
        <v>46113</v>
      </c>
      <c r="D19" s="60">
        <v>3259</v>
      </c>
      <c r="E19" s="60">
        <v>333</v>
      </c>
      <c r="F19" s="61">
        <v>3</v>
      </c>
      <c r="G19" s="62"/>
      <c r="H19" s="62"/>
      <c r="I19" s="63" t="s">
        <v>17</v>
      </c>
      <c r="J19" s="62">
        <v>53687091</v>
      </c>
      <c r="K19" s="62" t="s">
        <v>343</v>
      </c>
      <c r="L19" s="62" t="s">
        <v>349</v>
      </c>
      <c r="M19" s="79">
        <v>259900</v>
      </c>
      <c r="N19" s="11">
        <v>0.3</v>
      </c>
      <c r="O19" s="10">
        <f t="shared" si="2"/>
        <v>181930</v>
      </c>
      <c r="P19" s="7" t="s">
        <v>16</v>
      </c>
    </row>
    <row r="20" spans="1:16" x14ac:dyDescent="0.35">
      <c r="A20" s="59" t="s">
        <v>342</v>
      </c>
      <c r="B20" s="8">
        <f t="shared" ref="B20:C20" si="15">B19</f>
        <v>46108</v>
      </c>
      <c r="C20" s="8">
        <f t="shared" si="15"/>
        <v>46113</v>
      </c>
      <c r="D20" s="60">
        <v>3259</v>
      </c>
      <c r="E20" s="60">
        <v>333</v>
      </c>
      <c r="F20" s="61">
        <v>3</v>
      </c>
      <c r="G20" s="62"/>
      <c r="H20" s="62"/>
      <c r="I20" s="63" t="s">
        <v>17</v>
      </c>
      <c r="J20" s="62">
        <v>54910382</v>
      </c>
      <c r="K20" s="62" t="s">
        <v>350</v>
      </c>
      <c r="L20" s="62" t="s">
        <v>351</v>
      </c>
      <c r="M20" s="79">
        <v>279900</v>
      </c>
      <c r="N20" s="11">
        <v>0.3</v>
      </c>
      <c r="O20" s="10">
        <f t="shared" si="2"/>
        <v>195930</v>
      </c>
      <c r="P20" s="7" t="s">
        <v>16</v>
      </c>
    </row>
    <row r="21" spans="1:16" x14ac:dyDescent="0.35">
      <c r="A21" s="59" t="s">
        <v>342</v>
      </c>
      <c r="B21" s="8">
        <f t="shared" ref="B21:C21" si="16">B20</f>
        <v>46108</v>
      </c>
      <c r="C21" s="8">
        <f t="shared" si="16"/>
        <v>46113</v>
      </c>
      <c r="D21" s="60">
        <v>3259</v>
      </c>
      <c r="E21" s="60">
        <v>333</v>
      </c>
      <c r="F21" s="61">
        <v>3</v>
      </c>
      <c r="G21" s="62"/>
      <c r="H21" s="62"/>
      <c r="I21" s="63" t="s">
        <v>17</v>
      </c>
      <c r="J21" s="62">
        <v>54910391</v>
      </c>
      <c r="K21" s="62" t="s">
        <v>350</v>
      </c>
      <c r="L21" s="62" t="s">
        <v>352</v>
      </c>
      <c r="M21" s="79">
        <v>279900</v>
      </c>
      <c r="N21" s="11">
        <v>0.3</v>
      </c>
      <c r="O21" s="10">
        <f t="shared" si="2"/>
        <v>195930</v>
      </c>
      <c r="P21" s="7" t="s">
        <v>16</v>
      </c>
    </row>
    <row r="22" spans="1:16" x14ac:dyDescent="0.35">
      <c r="A22" s="59" t="s">
        <v>342</v>
      </c>
      <c r="B22" s="8">
        <f t="shared" ref="B22:C22" si="17">B21</f>
        <v>46108</v>
      </c>
      <c r="C22" s="8">
        <f t="shared" si="17"/>
        <v>46113</v>
      </c>
      <c r="D22" s="60">
        <v>3259</v>
      </c>
      <c r="E22" s="60">
        <v>333</v>
      </c>
      <c r="F22" s="61">
        <v>3</v>
      </c>
      <c r="G22" s="62"/>
      <c r="H22" s="62"/>
      <c r="I22" s="63" t="s">
        <v>17</v>
      </c>
      <c r="J22" s="62">
        <v>54910408</v>
      </c>
      <c r="K22" s="62" t="s">
        <v>350</v>
      </c>
      <c r="L22" s="62" t="s">
        <v>353</v>
      </c>
      <c r="M22" s="79">
        <v>279900</v>
      </c>
      <c r="N22" s="11">
        <v>0.3</v>
      </c>
      <c r="O22" s="10">
        <f t="shared" si="2"/>
        <v>195930</v>
      </c>
      <c r="P22" s="7" t="s">
        <v>16</v>
      </c>
    </row>
    <row r="23" spans="1:16" x14ac:dyDescent="0.35">
      <c r="A23" s="59" t="s">
        <v>342</v>
      </c>
      <c r="B23" s="8">
        <f t="shared" ref="B23:C23" si="18">B22</f>
        <v>46108</v>
      </c>
      <c r="C23" s="8">
        <f t="shared" si="18"/>
        <v>46113</v>
      </c>
      <c r="D23" s="60">
        <v>3259</v>
      </c>
      <c r="E23" s="60">
        <v>333</v>
      </c>
      <c r="F23" s="61">
        <v>3</v>
      </c>
      <c r="G23" s="62"/>
      <c r="H23" s="62"/>
      <c r="I23" s="63" t="s">
        <v>17</v>
      </c>
      <c r="J23" s="62">
        <v>54910417</v>
      </c>
      <c r="K23" s="62" t="s">
        <v>350</v>
      </c>
      <c r="L23" s="62" t="s">
        <v>354</v>
      </c>
      <c r="M23" s="79">
        <v>279900</v>
      </c>
      <c r="N23" s="11">
        <v>0.3</v>
      </c>
      <c r="O23" s="10">
        <f t="shared" si="2"/>
        <v>195930</v>
      </c>
      <c r="P23" s="7" t="s">
        <v>16</v>
      </c>
    </row>
    <row r="24" spans="1:16" x14ac:dyDescent="0.35">
      <c r="A24" s="59" t="s">
        <v>342</v>
      </c>
      <c r="B24" s="8">
        <f t="shared" ref="B24:C24" si="19">B23</f>
        <v>46108</v>
      </c>
      <c r="C24" s="8">
        <f t="shared" si="19"/>
        <v>46113</v>
      </c>
      <c r="D24" s="60">
        <v>3259</v>
      </c>
      <c r="E24" s="60">
        <v>333</v>
      </c>
      <c r="F24" s="61">
        <v>3</v>
      </c>
      <c r="G24" s="62"/>
      <c r="H24" s="62"/>
      <c r="I24" s="63" t="s">
        <v>17</v>
      </c>
      <c r="J24" s="62">
        <v>54910426</v>
      </c>
      <c r="K24" s="62" t="s">
        <v>350</v>
      </c>
      <c r="L24" s="62" t="s">
        <v>355</v>
      </c>
      <c r="M24" s="79">
        <v>279900</v>
      </c>
      <c r="N24" s="11">
        <v>0.3</v>
      </c>
      <c r="O24" s="10">
        <f t="shared" si="2"/>
        <v>195930</v>
      </c>
      <c r="P24" s="7" t="s">
        <v>16</v>
      </c>
    </row>
    <row r="25" spans="1:16" x14ac:dyDescent="0.35">
      <c r="A25" s="59" t="s">
        <v>342</v>
      </c>
      <c r="B25" s="8">
        <f t="shared" ref="B25:C25" si="20">B24</f>
        <v>46108</v>
      </c>
      <c r="C25" s="8">
        <f t="shared" si="20"/>
        <v>46113</v>
      </c>
      <c r="D25" s="60">
        <v>3259</v>
      </c>
      <c r="E25" s="60">
        <v>333</v>
      </c>
      <c r="F25" s="61">
        <v>3</v>
      </c>
      <c r="G25" s="62"/>
      <c r="H25" s="62"/>
      <c r="I25" s="63" t="s">
        <v>17</v>
      </c>
      <c r="J25" s="62">
        <v>54910435</v>
      </c>
      <c r="K25" s="62" t="s">
        <v>350</v>
      </c>
      <c r="L25" s="62" t="s">
        <v>356</v>
      </c>
      <c r="M25" s="79">
        <v>279900</v>
      </c>
      <c r="N25" s="11">
        <v>0.3</v>
      </c>
      <c r="O25" s="10">
        <f t="shared" si="2"/>
        <v>195930</v>
      </c>
      <c r="P25" s="7" t="s">
        <v>16</v>
      </c>
    </row>
    <row r="26" spans="1:16" x14ac:dyDescent="0.35">
      <c r="A26" s="59" t="s">
        <v>342</v>
      </c>
      <c r="B26" s="8">
        <f t="shared" ref="B26:C26" si="21">B25</f>
        <v>46108</v>
      </c>
      <c r="C26" s="8">
        <f t="shared" si="21"/>
        <v>46113</v>
      </c>
      <c r="D26" s="60">
        <v>3259</v>
      </c>
      <c r="E26" s="60">
        <v>333</v>
      </c>
      <c r="F26" s="61">
        <v>3</v>
      </c>
      <c r="G26" s="62"/>
      <c r="H26" s="62"/>
      <c r="I26" s="63" t="s">
        <v>17</v>
      </c>
      <c r="J26" s="62">
        <v>55526000</v>
      </c>
      <c r="K26" s="62" t="s">
        <v>357</v>
      </c>
      <c r="L26" s="62" t="s">
        <v>358</v>
      </c>
      <c r="M26" s="79">
        <v>279900</v>
      </c>
      <c r="N26" s="11">
        <v>0.3</v>
      </c>
      <c r="O26" s="10">
        <f t="shared" si="2"/>
        <v>195930</v>
      </c>
      <c r="P26" s="7" t="s">
        <v>16</v>
      </c>
    </row>
    <row r="27" spans="1:16" x14ac:dyDescent="0.35">
      <c r="A27" s="59" t="s">
        <v>342</v>
      </c>
      <c r="B27" s="8">
        <f t="shared" ref="B27:C27" si="22">B26</f>
        <v>46108</v>
      </c>
      <c r="C27" s="8">
        <f t="shared" si="22"/>
        <v>46113</v>
      </c>
      <c r="D27" s="60">
        <v>3259</v>
      </c>
      <c r="E27" s="60">
        <v>333</v>
      </c>
      <c r="F27" s="61">
        <v>3</v>
      </c>
      <c r="G27" s="62"/>
      <c r="H27" s="62"/>
      <c r="I27" s="63" t="s">
        <v>17</v>
      </c>
      <c r="J27" s="62">
        <v>55526019</v>
      </c>
      <c r="K27" s="62" t="s">
        <v>357</v>
      </c>
      <c r="L27" s="62" t="s">
        <v>359</v>
      </c>
      <c r="M27" s="79">
        <v>279900</v>
      </c>
      <c r="N27" s="11">
        <v>0.3</v>
      </c>
      <c r="O27" s="10">
        <f t="shared" si="2"/>
        <v>195930</v>
      </c>
      <c r="P27" s="7" t="s">
        <v>16</v>
      </c>
    </row>
    <row r="28" spans="1:16" x14ac:dyDescent="0.35">
      <c r="A28" s="59" t="s">
        <v>342</v>
      </c>
      <c r="B28" s="8">
        <f t="shared" ref="B28:C28" si="23">B27</f>
        <v>46108</v>
      </c>
      <c r="C28" s="8">
        <f t="shared" si="23"/>
        <v>46113</v>
      </c>
      <c r="D28" s="60">
        <v>3259</v>
      </c>
      <c r="E28" s="60">
        <v>333</v>
      </c>
      <c r="F28" s="61">
        <v>3</v>
      </c>
      <c r="G28" s="62"/>
      <c r="H28" s="62"/>
      <c r="I28" s="63" t="s">
        <v>17</v>
      </c>
      <c r="J28" s="62">
        <v>55526028</v>
      </c>
      <c r="K28" s="62" t="s">
        <v>357</v>
      </c>
      <c r="L28" s="62" t="s">
        <v>360</v>
      </c>
      <c r="M28" s="79">
        <v>279900</v>
      </c>
      <c r="N28" s="11">
        <v>0.3</v>
      </c>
      <c r="O28" s="10">
        <f t="shared" si="2"/>
        <v>195930</v>
      </c>
      <c r="P28" s="7" t="s">
        <v>16</v>
      </c>
    </row>
    <row r="29" spans="1:16" x14ac:dyDescent="0.35">
      <c r="A29" s="59" t="s">
        <v>342</v>
      </c>
      <c r="B29" s="8">
        <f t="shared" ref="B29:C29" si="24">B28</f>
        <v>46108</v>
      </c>
      <c r="C29" s="8">
        <f t="shared" si="24"/>
        <v>46113</v>
      </c>
      <c r="D29" s="60">
        <v>3259</v>
      </c>
      <c r="E29" s="60">
        <v>333</v>
      </c>
      <c r="F29" s="61">
        <v>3</v>
      </c>
      <c r="G29" s="62"/>
      <c r="H29" s="62"/>
      <c r="I29" s="63" t="s">
        <v>17</v>
      </c>
      <c r="J29" s="62">
        <v>55526037</v>
      </c>
      <c r="K29" s="62" t="s">
        <v>357</v>
      </c>
      <c r="L29" s="62" t="s">
        <v>361</v>
      </c>
      <c r="M29" s="79">
        <v>279900</v>
      </c>
      <c r="N29" s="11">
        <v>0.3</v>
      </c>
      <c r="O29" s="10">
        <f t="shared" si="2"/>
        <v>195930</v>
      </c>
      <c r="P29" s="7" t="s">
        <v>16</v>
      </c>
    </row>
    <row r="30" spans="1:16" x14ac:dyDescent="0.35">
      <c r="A30" s="59" t="s">
        <v>342</v>
      </c>
      <c r="B30" s="8">
        <f t="shared" ref="B30:C30" si="25">B29</f>
        <v>46108</v>
      </c>
      <c r="C30" s="8">
        <f t="shared" si="25"/>
        <v>46113</v>
      </c>
      <c r="D30" s="60">
        <v>3259</v>
      </c>
      <c r="E30" s="60">
        <v>333</v>
      </c>
      <c r="F30" s="61">
        <v>3</v>
      </c>
      <c r="G30" s="62"/>
      <c r="H30" s="62"/>
      <c r="I30" s="63" t="s">
        <v>17</v>
      </c>
      <c r="J30" s="62">
        <v>55526046</v>
      </c>
      <c r="K30" s="62" t="s">
        <v>357</v>
      </c>
      <c r="L30" s="62" t="s">
        <v>362</v>
      </c>
      <c r="M30" s="79">
        <v>279900</v>
      </c>
      <c r="N30" s="11">
        <v>0.3</v>
      </c>
      <c r="O30" s="10">
        <f t="shared" si="2"/>
        <v>195930</v>
      </c>
      <c r="P30" s="7" t="s">
        <v>16</v>
      </c>
    </row>
    <row r="31" spans="1:16" x14ac:dyDescent="0.35">
      <c r="A31" s="59" t="s">
        <v>342</v>
      </c>
      <c r="B31" s="8">
        <f t="shared" ref="B31:C31" si="26">B30</f>
        <v>46108</v>
      </c>
      <c r="C31" s="8">
        <f t="shared" si="26"/>
        <v>46113</v>
      </c>
      <c r="D31" s="60">
        <v>3259</v>
      </c>
      <c r="E31" s="60">
        <v>333</v>
      </c>
      <c r="F31" s="61">
        <v>3</v>
      </c>
      <c r="G31" s="62"/>
      <c r="H31" s="62"/>
      <c r="I31" s="63" t="s">
        <v>17</v>
      </c>
      <c r="J31" s="62">
        <v>55526055</v>
      </c>
      <c r="K31" s="62" t="s">
        <v>357</v>
      </c>
      <c r="L31" s="62" t="s">
        <v>363</v>
      </c>
      <c r="M31" s="79">
        <v>279900</v>
      </c>
      <c r="N31" s="11">
        <v>0.3</v>
      </c>
      <c r="O31" s="10">
        <f t="shared" si="2"/>
        <v>195930</v>
      </c>
      <c r="P31" s="7" t="s">
        <v>16</v>
      </c>
    </row>
    <row r="32" spans="1:16" x14ac:dyDescent="0.35">
      <c r="A32" s="59" t="s">
        <v>342</v>
      </c>
      <c r="B32" s="8">
        <f t="shared" ref="B32:C32" si="27">B31</f>
        <v>46108</v>
      </c>
      <c r="C32" s="8">
        <f t="shared" si="27"/>
        <v>46113</v>
      </c>
      <c r="D32" s="60">
        <v>3259</v>
      </c>
      <c r="E32" s="60">
        <v>333</v>
      </c>
      <c r="F32" s="61">
        <v>3</v>
      </c>
      <c r="G32" s="62"/>
      <c r="H32" s="62"/>
      <c r="I32" s="63" t="s">
        <v>17</v>
      </c>
      <c r="J32" s="62">
        <v>59233668</v>
      </c>
      <c r="K32" s="62" t="s">
        <v>350</v>
      </c>
      <c r="L32" s="62" t="s">
        <v>364</v>
      </c>
      <c r="M32" s="79">
        <v>279900</v>
      </c>
      <c r="N32" s="11">
        <v>0.3</v>
      </c>
      <c r="O32" s="10">
        <f t="shared" si="2"/>
        <v>195930</v>
      </c>
      <c r="P32" s="7" t="s">
        <v>16</v>
      </c>
    </row>
    <row r="33" spans="1:16" x14ac:dyDescent="0.35">
      <c r="A33" s="59" t="s">
        <v>342</v>
      </c>
      <c r="B33" s="8">
        <f t="shared" ref="B33:C33" si="28">B32</f>
        <v>46108</v>
      </c>
      <c r="C33" s="8">
        <f t="shared" si="28"/>
        <v>46113</v>
      </c>
      <c r="D33" s="60">
        <v>3259</v>
      </c>
      <c r="E33" s="60">
        <v>333</v>
      </c>
      <c r="F33" s="61">
        <v>3</v>
      </c>
      <c r="G33" s="62"/>
      <c r="H33" s="62"/>
      <c r="I33" s="63" t="s">
        <v>17</v>
      </c>
      <c r="J33" s="62">
        <v>59233677</v>
      </c>
      <c r="K33" s="62" t="s">
        <v>350</v>
      </c>
      <c r="L33" s="62" t="s">
        <v>365</v>
      </c>
      <c r="M33" s="79">
        <v>279900</v>
      </c>
      <c r="N33" s="11">
        <v>0.3</v>
      </c>
      <c r="O33" s="10">
        <f t="shared" si="2"/>
        <v>195930</v>
      </c>
      <c r="P33" s="7" t="s">
        <v>16</v>
      </c>
    </row>
    <row r="34" spans="1:16" x14ac:dyDescent="0.35">
      <c r="A34" s="59" t="s">
        <v>342</v>
      </c>
      <c r="B34" s="8">
        <f t="shared" ref="B34:C34" si="29">B33</f>
        <v>46108</v>
      </c>
      <c r="C34" s="8">
        <f t="shared" si="29"/>
        <v>46113</v>
      </c>
      <c r="D34" s="60">
        <v>3259</v>
      </c>
      <c r="E34" s="60">
        <v>333</v>
      </c>
      <c r="F34" s="61">
        <v>3</v>
      </c>
      <c r="G34" s="62"/>
      <c r="H34" s="62"/>
      <c r="I34" s="63" t="s">
        <v>17</v>
      </c>
      <c r="J34" s="62">
        <v>59233686</v>
      </c>
      <c r="K34" s="62" t="s">
        <v>350</v>
      </c>
      <c r="L34" s="62" t="s">
        <v>366</v>
      </c>
      <c r="M34" s="79">
        <v>279900</v>
      </c>
      <c r="N34" s="11">
        <v>0.3</v>
      </c>
      <c r="O34" s="10">
        <f t="shared" si="2"/>
        <v>195930</v>
      </c>
      <c r="P34" s="7" t="s">
        <v>16</v>
      </c>
    </row>
    <row r="35" spans="1:16" x14ac:dyDescent="0.35">
      <c r="A35" s="59" t="s">
        <v>342</v>
      </c>
      <c r="B35" s="8">
        <f t="shared" ref="B35:C35" si="30">B34</f>
        <v>46108</v>
      </c>
      <c r="C35" s="8">
        <f t="shared" si="30"/>
        <v>46113</v>
      </c>
      <c r="D35" s="60">
        <v>3259</v>
      </c>
      <c r="E35" s="60">
        <v>333</v>
      </c>
      <c r="F35" s="61">
        <v>3</v>
      </c>
      <c r="G35" s="62"/>
      <c r="H35" s="62"/>
      <c r="I35" s="63" t="s">
        <v>17</v>
      </c>
      <c r="J35" s="62">
        <v>59233695</v>
      </c>
      <c r="K35" s="62" t="s">
        <v>350</v>
      </c>
      <c r="L35" s="62" t="s">
        <v>367</v>
      </c>
      <c r="M35" s="79">
        <v>279900</v>
      </c>
      <c r="N35" s="11">
        <v>0.3</v>
      </c>
      <c r="O35" s="10">
        <f t="shared" si="2"/>
        <v>195930</v>
      </c>
      <c r="P35" s="7" t="s">
        <v>16</v>
      </c>
    </row>
    <row r="36" spans="1:16" x14ac:dyDescent="0.35">
      <c r="A36" s="59" t="s">
        <v>342</v>
      </c>
      <c r="B36" s="8">
        <f t="shared" ref="B36:C36" si="31">B35</f>
        <v>46108</v>
      </c>
      <c r="C36" s="8">
        <f t="shared" si="31"/>
        <v>46113</v>
      </c>
      <c r="D36" s="60">
        <v>3259</v>
      </c>
      <c r="E36" s="60">
        <v>333</v>
      </c>
      <c r="F36" s="61">
        <v>3</v>
      </c>
      <c r="G36" s="62"/>
      <c r="H36" s="62"/>
      <c r="I36" s="63" t="s">
        <v>17</v>
      </c>
      <c r="J36" s="62">
        <v>59233702</v>
      </c>
      <c r="K36" s="62" t="s">
        <v>350</v>
      </c>
      <c r="L36" s="62" t="s">
        <v>368</v>
      </c>
      <c r="M36" s="79">
        <v>279900</v>
      </c>
      <c r="N36" s="11">
        <v>0.3</v>
      </c>
      <c r="O36" s="10">
        <f t="shared" si="2"/>
        <v>195930</v>
      </c>
      <c r="P36" s="7" t="s">
        <v>16</v>
      </c>
    </row>
    <row r="37" spans="1:16" x14ac:dyDescent="0.35">
      <c r="A37" s="59" t="s">
        <v>342</v>
      </c>
      <c r="B37" s="8">
        <f t="shared" ref="B37:C37" si="32">B36</f>
        <v>46108</v>
      </c>
      <c r="C37" s="8">
        <f t="shared" si="32"/>
        <v>46113</v>
      </c>
      <c r="D37" s="60">
        <v>3259</v>
      </c>
      <c r="E37" s="60">
        <v>333</v>
      </c>
      <c r="F37" s="61">
        <v>3</v>
      </c>
      <c r="G37" s="62"/>
      <c r="H37" s="62"/>
      <c r="I37" s="63" t="s">
        <v>17</v>
      </c>
      <c r="J37" s="62">
        <v>59233711</v>
      </c>
      <c r="K37" s="62" t="s">
        <v>350</v>
      </c>
      <c r="L37" s="62" t="s">
        <v>369</v>
      </c>
      <c r="M37" s="79">
        <v>279900</v>
      </c>
      <c r="N37" s="11">
        <v>0.3</v>
      </c>
      <c r="O37" s="10">
        <f t="shared" si="2"/>
        <v>195930</v>
      </c>
      <c r="P37" s="7" t="s">
        <v>16</v>
      </c>
    </row>
  </sheetData>
  <autoFilter ref="A1:P13" xr:uid="{00000000-0009-0000-0000-000020000000}"/>
  <conditionalFormatting sqref="J1">
    <cfRule type="duplicateValues" dxfId="63" priority="21"/>
    <cfRule type="duplicateValues" dxfId="62" priority="22"/>
    <cfRule type="duplicateValues" dxfId="61" priority="23"/>
    <cfRule type="duplicateValues" dxfId="60" priority="24"/>
    <cfRule type="duplicateValues" dxfId="59" priority="25"/>
    <cfRule type="duplicateValues" dxfId="58" priority="26"/>
    <cfRule type="duplicateValues" dxfId="57" priority="27"/>
    <cfRule type="duplicateValues" dxfId="56" priority="28"/>
    <cfRule type="duplicateValues" dxfId="55" priority="29"/>
    <cfRule type="duplicateValues" dxfId="54" priority="30"/>
    <cfRule type="duplicateValues" dxfId="53" priority="31"/>
    <cfRule type="duplicateValues" dxfId="52" priority="32"/>
    <cfRule type="duplicateValues" dxfId="51" priority="33"/>
    <cfRule type="duplicateValues" dxfId="50" priority="34"/>
    <cfRule type="duplicateValues" dxfId="49" priority="35"/>
    <cfRule type="duplicateValues" dxfId="48" priority="36"/>
    <cfRule type="duplicateValues" dxfId="47" priority="68"/>
    <cfRule type="duplicateValues" dxfId="46" priority="69"/>
    <cfRule type="duplicateValues" dxfId="45" priority="70"/>
    <cfRule type="duplicateValues" dxfId="44" priority="71"/>
    <cfRule type="duplicateValues" dxfId="43" priority="72"/>
    <cfRule type="duplicateValues" dxfId="42" priority="73"/>
  </conditionalFormatting>
  <conditionalFormatting sqref="J1:J13">
    <cfRule type="duplicateValues" dxfId="41" priority="7315"/>
    <cfRule type="duplicateValues" dxfId="40" priority="7316"/>
    <cfRule type="duplicateValues" dxfId="39" priority="7317"/>
    <cfRule type="duplicateValues" dxfId="38" priority="7318"/>
    <cfRule type="duplicateValues" dxfId="37" priority="7319"/>
    <cfRule type="duplicateValues" dxfId="36" priority="7320"/>
    <cfRule type="duplicateValues" dxfId="35" priority="7321"/>
    <cfRule type="duplicateValues" dxfId="34" priority="7322"/>
    <cfRule type="duplicateValues" dxfId="33" priority="7323"/>
  </conditionalFormatting>
  <conditionalFormatting sqref="J1:J1048576">
    <cfRule type="duplicateValues" dxfId="32" priority="2"/>
    <cfRule type="duplicateValues" dxfId="31" priority="83"/>
  </conditionalFormatting>
  <conditionalFormatting sqref="J2:J13">
    <cfRule type="duplicateValues" dxfId="30" priority="37"/>
    <cfRule type="duplicateValues" dxfId="29" priority="38"/>
    <cfRule type="duplicateValues" dxfId="28" priority="39"/>
    <cfRule type="duplicateValues" dxfId="27" priority="40"/>
    <cfRule type="duplicateValues" dxfId="26" priority="41"/>
    <cfRule type="duplicateValues" dxfId="25" priority="42"/>
    <cfRule type="duplicateValues" dxfId="24" priority="43"/>
    <cfRule type="duplicateValues" dxfId="23" priority="44"/>
    <cfRule type="duplicateValues" dxfId="22" priority="45"/>
    <cfRule type="duplicateValues" dxfId="21" priority="46"/>
    <cfRule type="duplicateValues" dxfId="20" priority="47"/>
    <cfRule type="duplicateValues" dxfId="19" priority="48"/>
    <cfRule type="duplicateValues" dxfId="18" priority="49"/>
    <cfRule type="duplicateValues" dxfId="17" priority="50"/>
    <cfRule type="duplicateValues" dxfId="16" priority="51"/>
    <cfRule type="duplicateValues" dxfId="15" priority="52"/>
    <cfRule type="duplicateValues" dxfId="14" priority="53"/>
    <cfRule type="duplicateValues" dxfId="13" priority="54"/>
    <cfRule type="duplicateValues" dxfId="12" priority="55"/>
    <cfRule type="duplicateValues" dxfId="11" priority="56"/>
    <cfRule type="duplicateValues" dxfId="10" priority="57"/>
    <cfRule type="duplicateValues" dxfId="9" priority="58"/>
    <cfRule type="duplicateValues" dxfId="8" priority="59"/>
    <cfRule type="duplicateValues" dxfId="7" priority="60"/>
    <cfRule type="duplicateValues" dxfId="6" priority="61"/>
    <cfRule type="duplicateValues" dxfId="5" priority="62"/>
    <cfRule type="duplicateValues" dxfId="4" priority="63"/>
    <cfRule type="duplicateValues" dxfId="3" priority="64"/>
    <cfRule type="duplicateValues" dxfId="2" priority="65"/>
    <cfRule type="duplicateValues" dxfId="1" priority="66"/>
    <cfRule type="duplicateValues" dxfId="0" priority="6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25 JUL KNITSHORT KNITPANTS D50</vt:lpstr>
      <vt:lpstr>2025 AUG Denim D50</vt:lpstr>
      <vt:lpstr> 2025 Aug Sept WvnPants D50</vt:lpstr>
      <vt:lpstr>2025 AUG SEPT KNIT SHORT D50</vt:lpstr>
      <vt:lpstr>25 AUG SEPT KNIT PANTS D50</vt:lpstr>
      <vt:lpstr>2025 AUG SEPT Woven Short D50</vt:lpstr>
      <vt:lpstr>25 KINS DISCNTINU D50</vt:lpstr>
      <vt:lpstr>25 KIPANTLAMA DISCONTI D50</vt:lpstr>
      <vt:lpstr>25Q4 WVN PANTS D30</vt:lpstr>
      <vt:lpstr>25Q4 Woven Short SP 139 K</vt:lpstr>
      <vt:lpstr>2025 Q4 Denim D30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2023-12-05T12:25:54Z</dcterms:created>
  <dcterms:modified xsi:type="dcterms:W3CDTF">2026-03-25T11:10:50Z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d2ab91a5358544ab95ad50cc1bb14159</vt:lpwstr>
  </property>
</Properties>
</file>