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F959A443-008D-4258-8737-B616A32D6D0C}" xr6:coauthVersionLast="47" xr6:coauthVersionMax="47" xr10:uidLastSave="{00000000-0000-0000-0000-000000000000}"/>
  <bookViews>
    <workbookView xWindow="-110" yWindow="-110" windowWidth="19420" windowHeight="10300" tabRatio="899" firstSheet="6" activeTab="10" xr2:uid="{00000000-000D-0000-FFFF-FFFF00000000}"/>
  </bookViews>
  <sheets>
    <sheet name=" 2024 H1 D75" sheetId="32" r:id="rId1"/>
    <sheet name="2024 H2 OUTERWEAR D75" sheetId="33" r:id="rId2"/>
    <sheet name=" 2024 H2 FORMAL PANT D75" sheetId="34" r:id="rId3"/>
    <sheet name="2024 H2 FORMAL SHIRT D75" sheetId="35" r:id="rId4"/>
    <sheet name="2025 Q1 WORKWEARSHIRT D75" sheetId="36" r:id="rId5"/>
    <sheet name="2025 Q2 WORKWEARSHIRT D75" sheetId="37" r:id="rId6"/>
    <sheet name="2025 Q2 WORKWEARPANT D75" sheetId="38" r:id="rId7"/>
    <sheet name="25 Q1 KI WORKWEAR PANTS D75" sheetId="39" r:id="rId8"/>
    <sheet name="25 Q1 KI WWSHIRT D75" sheetId="40" r:id="rId9"/>
    <sheet name="25 Q3 KI WWSHIRT D50" sheetId="41" r:id="rId10"/>
    <sheet name="KI PANTS SELECTED D50" sheetId="28" r:id="rId11"/>
    <sheet name="25Q4 WWSHIRT D30" sheetId="29" r:id="rId12"/>
    <sheet name="25Q4 WWPANT D30" sheetId="30" r:id="rId13"/>
    <sheet name=" 2025 Q4 OUTERWEAR D30" sheetId="31" r:id="rId14"/>
  </sheets>
  <definedNames>
    <definedName name="_xlnm._FilterDatabase" localSheetId="0" hidden="1">' 2024 H1 D75'!$A$1:$P$451</definedName>
    <definedName name="_xlnm._FilterDatabase" localSheetId="2" hidden="1">' 2024 H2 FORMAL PANT D75'!$A$1:$P$34</definedName>
    <definedName name="_xlnm._FilterDatabase" localSheetId="3" hidden="1">'2024 H2 FORMAL SHIRT D75'!$A$1:$P$1</definedName>
    <definedName name="_xlnm._FilterDatabase" localSheetId="1" hidden="1">'2024 H2 OUTERWEAR D75'!$A$1:$P$1</definedName>
    <definedName name="_xlnm._FilterDatabase" localSheetId="4" hidden="1">'2025 Q1 WORKWEARSHIRT D75'!$A$1:$P$108</definedName>
    <definedName name="_xlnm._FilterDatabase" localSheetId="5" hidden="1">'2025 Q2 WORKWEARSHIRT D75'!$A$1:$P$1</definedName>
    <definedName name="_xlnm._FilterDatabase" localSheetId="12" hidden="1">'25Q4 WWPANT D30'!$A$1:$P$1</definedName>
    <definedName name="_xlnm._FilterDatabase" localSheetId="11" hidden="1">'25Q4 WWSHIRT D30'!$A$1:$P$1</definedName>
    <definedName name="_xlnm._FilterDatabase" localSheetId="10" hidden="1">'KI PANTS SELECTED D50'!$A$1:$P$1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41" l="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C3" i="41"/>
  <c r="C4" i="41" s="1"/>
  <c r="C5" i="41" s="1"/>
  <c r="C6" i="41" s="1"/>
  <c r="C7" i="41" s="1"/>
  <c r="C8" i="41" s="1"/>
  <c r="C9" i="41" s="1"/>
  <c r="C10" i="41" s="1"/>
  <c r="C11" i="41" s="1"/>
  <c r="C12" i="41" s="1"/>
  <c r="C13" i="41" s="1"/>
  <c r="C14" i="41" s="1"/>
  <c r="C15" i="41" s="1"/>
  <c r="C16" i="41" s="1"/>
  <c r="B3" i="41"/>
  <c r="B4" i="41" s="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O6" i="40"/>
  <c r="O5" i="40"/>
  <c r="O4" i="40"/>
  <c r="O3" i="40"/>
  <c r="O2" i="40"/>
  <c r="C3" i="40"/>
  <c r="C4" i="40" s="1"/>
  <c r="C5" i="40" s="1"/>
  <c r="C6" i="40" s="1"/>
  <c r="B3" i="40"/>
  <c r="B4" i="40" s="1"/>
  <c r="B5" i="40" s="1"/>
  <c r="B6" i="40" s="1"/>
  <c r="C3" i="39"/>
  <c r="B3" i="39"/>
  <c r="B4" i="39" s="1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C3" i="38"/>
  <c r="B3" i="38"/>
  <c r="C3" i="37"/>
  <c r="B3" i="37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C3" i="35"/>
  <c r="B3" i="35"/>
  <c r="C3" i="34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C3" i="33"/>
  <c r="B3" i="33"/>
  <c r="C4" i="39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O2" i="38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C4" i="37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C4" i="35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C4" i="34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O5" i="33"/>
  <c r="O4" i="33"/>
  <c r="O3" i="33"/>
  <c r="B4" i="33"/>
  <c r="B5" i="33" s="1"/>
  <c r="O2" i="33"/>
  <c r="C4" i="33"/>
  <c r="C5" i="33" s="1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C3" i="32"/>
  <c r="C4" i="32" s="1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B3" i="32"/>
  <c r="B4" i="32" s="1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C3" i="31" l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C3" i="30"/>
  <c r="B3" i="30"/>
  <c r="C3" i="29"/>
  <c r="C4" i="29" s="1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B3" i="29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C4" i="30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B4" i="30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4" i="29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O11" i="28" l="1"/>
  <c r="O10" i="28"/>
  <c r="O9" i="28"/>
  <c r="O8" i="28"/>
  <c r="O7" i="28"/>
  <c r="O6" i="28"/>
  <c r="O5" i="28"/>
  <c r="O4" i="28"/>
  <c r="O3" i="28"/>
  <c r="O2" i="28"/>
  <c r="C4" i="28" l="1"/>
  <c r="C5" i="28" s="1"/>
  <c r="C6" i="28" s="1"/>
  <c r="C7" i="28" s="1"/>
  <c r="C8" i="28" s="1"/>
  <c r="C9" i="28" s="1"/>
  <c r="C10" i="28" s="1"/>
  <c r="C11" i="28" s="1"/>
  <c r="B4" i="28"/>
  <c r="B5" i="28" s="1"/>
  <c r="B6" i="28" s="1"/>
  <c r="B7" i="28" s="1"/>
  <c r="B8" i="28" s="1"/>
  <c r="B9" i="28" s="1"/>
  <c r="B10" i="28" s="1"/>
  <c r="B11" i="28" s="1"/>
  <c r="C3" i="28" l="1"/>
  <c r="B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A6E9C0E-1095-4F79-81D3-BF3578B01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BBA4D0-8359-4168-ADA6-0280A75BA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7FDA94-6701-4D8D-9489-ABE04630E3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7919DD1-ED50-45F7-A24B-7CF671A29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C487F3-11B4-45A8-B715-8F1720EE9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9864EA-DE1B-4F77-B477-6329216789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A6B7B6-9834-47F9-802A-832BAA423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ABCB00-F5FD-404D-ABB1-FA07DD9108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740001E-594E-43FD-964F-FF8931561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CBB43D7-3074-4A06-A7AC-AADF788DA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E7F4A6-C692-4DB1-B83B-3B4F9C1B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9E571E-365D-4B6D-944E-562960302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F48564-E853-4C82-B7D5-5E0A1FD03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240F9D-7862-46C7-B707-4E9935408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DEF2EA-FFBA-43A3-8956-457B96E51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5F9F81-1D18-4CF0-B51B-89F8BA435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67A3D4-BBFD-4168-B1CE-F32CB345D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954395-BC2E-4B5D-9E5F-220008B1F8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99A19F0-B532-4005-975B-7E5B59E87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DDCF3D-4EAF-4DB0-BEF5-286BD2C10C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15E10F-8C45-4A50-BDBF-A3FAA6121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D8D329-B722-40FF-9DA6-8FAF8FD8D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543A48-FFA9-4C91-9B0E-085344B593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7C9E58-A933-4E93-92B7-EE937BC633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2D5A93-3E19-4B07-BCFD-4903B1580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20EC97-EC21-429D-8DCC-AEBEA7F16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3DB907-D849-4F76-B55E-840EACAC76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2D4D4B-EA31-4410-B7F7-3BA6C6EF0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6ACEF9A-3CB7-4570-B306-6B99547A7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7EF636-A315-4ED5-9086-1601E8C66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1F7BB0F-0F0C-4C80-BBB4-C886C2A06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D32753-1C1D-4CAA-8B64-0E34AD43F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EA1263-7D49-4CBD-842F-71F2FCF96A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799589-3977-4119-8E6B-909E9C209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D1708-D9B6-446D-8504-4AAC9BB9DF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4A6E80-8C04-4463-8C4E-2CC5E384B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6AB9E60-DD27-4065-A52B-178CA1D32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7C5DC8EA-0477-4736-8567-52F9D0D455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4C784D-4753-46B9-AB2B-65909A624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7B0CA6B-8C81-420D-8455-2F7D63E8B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0CA2C0-C0D0-42A9-A4CE-751F2EC11F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555851-F2A1-41BC-8839-C0BA9CBDC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D6082-FF4B-4D0F-A9AD-12072AD3A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6D9771-BD16-42B5-AE02-661C4E010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3C15DE-8898-4E73-8034-73778BFD5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CBA9DB-18E6-4B84-B200-AA3CDB3AF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C4AC46-0E7C-41C3-8DFF-D3B0EE709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21D8C-EE55-41C5-A832-CBDC77F41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37B847-7E69-4581-BA64-6E856A448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560B8DC-3463-40E4-94E5-718DC699C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369B51C-3EFA-4C17-B83F-83EBA6A817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1513B5E-BBBA-491F-966D-BC2C6F25D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7FFA9F-01D7-417C-92E9-4CBD72133B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49B377-F406-4EC0-8DAD-2690B098A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150B846-5D43-4976-97D8-5C2DD6726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11E611-BE5D-4F56-8FA2-3C8AD3A25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BC379E-BF1E-44D6-8755-EF297C2170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81FB77-1DEE-4A7E-8698-9CA05FECCC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7D352D-9AE0-4CB7-8ABD-B2AC421EF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01F8D8-536C-40B4-8136-4EDFA79566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B5A756-4393-4BEA-9C57-DECBE1146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B2932D7-88A1-488C-AE55-080C4DD50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288FBA3-5376-4ED3-9B7D-F19B5484AC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58E40C-C2CF-46E5-93FE-67F54DB3E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A97602-1BBD-4B47-AD54-8C60849C6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9FF9E903-E643-4A4B-925A-51D46D1CD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2C57487-D0A5-4716-92E6-A52782605E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161820-DA6A-4214-A551-42D9FE39B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156292-27C8-49B1-8FA0-DDD230CB6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514DCC-A5D7-4D85-80E1-ED99EFA85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A33DF7-0B76-4DF6-893A-8E9E04CF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CCDAE8C-F332-477E-96B2-B849A4B5D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263120-FF07-49B0-9578-782ADB43F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56DB769-60B2-47C6-BAEF-27A51E3DA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464A8B-AABB-4F90-AFC6-E9842250C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DA6E33-39B4-4287-ACE5-C208644E9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DBAC42-F7BC-41AD-BCF8-0DAA09D5B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A9F14C-8D0E-4711-B49E-874475B40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A4DE499A-A154-4DBA-A883-45ADBEE7E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A80E9BB-F173-47E8-9542-7837D50E3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554AB9-884C-4F22-B2DD-BAD13800D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592FB8C-22C2-45ED-B4F2-D35C11766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43AA03-2A12-4F2C-B205-8D085ED22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1D32F02-B8D3-405D-A825-8F796D582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FFE3B8-616A-41DB-BDE4-DF0CBE2FAF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A241528-9BC9-4EB3-9EDF-B64987752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1C82F1-2C57-4FFC-9A1B-1BEDFB110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F01A546-9428-438B-A1EF-A79AB1A7A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70D201-5A17-415A-91CF-F27F2163B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40E30F-2183-423A-A83B-59D0CD156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B90FCAF-9A32-4E01-B5A9-9062424191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E230B0-F1D9-4702-804A-D25132A38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6C0C9B52-4657-4631-8B17-69EF576BB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0B2A846-002C-4D77-AB2D-936755443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2972A3-0CD3-4C28-B346-07016D164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87F8EF-3DFA-4FF3-9D1C-4A3789ED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A08F0E-139A-4D3D-979E-C1F4680A91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F02BDD-8393-453A-93A4-F7E9113F4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E0B194-08CA-478D-A8D1-651CA578A9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1E8292B-9DD1-4E28-A331-C5C6C9458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BC3ADFC-3ABC-46A9-95B7-DAAE5260B5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412EC4-C6A4-4BBB-BEE4-5CA6CAA37B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BF1E74-E72B-46E8-AEDA-FC9BB864F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FFE6C-B657-4CEF-82E4-6D0642003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EED648-E7DF-4E89-9DCA-91CBFD8D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665996-3F31-40A1-A6CA-6B0DE2180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AB66B2C-9FBB-48D6-848A-F4551C5EC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ECDFD0AF-C5A5-462C-AF2F-AE7BC2A71F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B38020-F604-4BF8-A8A3-45BECBC948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6F8A1E4-13E9-44A9-A642-D649AED9D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F23DF6-2722-4DFE-9BD1-BED71D0C9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DAD6790-AA84-4589-A33F-3386CFC7B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B0EEB1-7C4C-4431-9D6B-AEEB3E824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7F2AAC-2CC2-43ED-9148-97ADA4857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60DF05-2CF8-4265-89DD-BC16DE35C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7842CF-0F46-4817-A58D-BFCFC9BB20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3D5DC4-AEBA-474B-BBF5-01A8D1FD3E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B8E51-D256-4F92-A73B-DE05D1CF1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EAAA54-58CE-42CE-A497-EE0DB3599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38DE86-7ABB-4E05-8E12-3804703A0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5DB23463-8DAC-440E-8699-132E79EA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1A7C616-0A6D-44AB-83D3-83D9E82D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E285C18-B0FD-4E9B-BF47-AC8E95FDE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89595B-A899-42F1-973F-4901C0CFF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7D37D0-54B8-41AF-AEEF-B6610CB19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C1D02A-3170-4E4A-A38A-449C7341F2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62A8CD-5DD9-4593-9216-3FCB034B5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0F18E9-46C2-419B-99EB-E66DED30B6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7ADB80-7CA0-425F-9EAF-A3A97CE5E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908832-4D60-4C25-B425-76354AF38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C2E1CEA-A714-4D5C-8871-6C796A9A5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09C308-D17E-482E-84F8-EE1A1718C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59DAF6-F377-4BEB-9FF0-853BA204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67AA-B156-4360-845D-3F084A0B47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B11379-EFA1-4DF4-9550-17B67AF409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54A9D8F2-0E29-4C8A-87DE-F0DF4ED95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9A54DE-E335-4268-A429-8807F5F1D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229905B-35AB-49F5-AAEA-EFF4F7436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754D6F-0026-429E-944D-19C24C91C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ECCB00-620C-4F8F-8813-026D79E06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B7DC5B-73BF-4603-AE3F-A2F316E1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F8764-F588-4DFC-985A-48C1D47A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773B02-BC9A-49F6-8FBE-43E0D3E55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CFBA74-BFA5-48BD-B3B8-10A0AEE101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993809-02E6-4477-85C7-49679C56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07BCC4-1532-4F06-AC5E-743CE7247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D20F56-58F4-4DF3-9D46-8E08105F63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8221D2-446B-4F83-BCCF-A3258165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4ABEBF9-C9F2-458B-A63D-7BC803F8BE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F3C632B-321E-4643-ACF6-ABFBDEE84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09137D-62E5-4055-A55F-5246A9C5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2140AF5-4AD8-49F1-A86F-F261D8376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079DDD-3F27-45F6-B87E-59D4BBD13C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6B491B-451B-483A-BD93-89AE017E92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669EFA9-2E1E-44D3-A35A-89A6018DD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9480F3-6085-4E94-8385-97020CF7CB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FE860E0-8499-4537-A76F-918DA5EB9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E86F4-C3EF-455E-AACE-7D38EC8A2D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CF9805-1906-4CAF-A8CB-2E5CCA7248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A627AD-7EBC-45EB-A8D2-4C382670E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764C6F-E431-4F6E-862B-92F79C9F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DF0619-2C6B-44C6-94BB-A1C6AE4EE0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106C0F16-32D6-4A7A-9751-CA51306319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771CBAA-9D1B-4005-A23B-D2EBAB432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280E63F-0662-4BD1-BC4E-0BB9104733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B1E851-3BB2-4BEF-BAE6-EBE069788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B7143E-C226-45CD-AC0E-2BEC8D633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6E6143-3C58-40D0-A2D7-C22E0055D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7B31C8B-A0CE-4737-A54F-72CBAC1D1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3CF1184-8579-48D3-81B8-E17E4D734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8182651-97A8-4D91-A14A-28D3EA044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A25FB-D068-4D1C-8DAB-6B222BC2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96043B-CF0C-49F7-9634-2A17DB82C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37311D-1DE6-4567-980D-769B40ABB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FA7532-B631-4CB8-973B-21BF40BC2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95A629-289D-4C87-838F-1FE1C9470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B473CA18-6B9A-49F1-8937-326967274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D19AE193-FAB7-4D8D-A07B-61E16210D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C229BF-9A53-44FC-9944-F45F7F448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3424F5-B138-4986-85AB-63DF1DEF8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23C496-07F5-40F7-95BA-3980DAE27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C388A48-605A-40D0-BBB9-E24548B209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<sst xmlns="http://schemas.openxmlformats.org/spreadsheetml/2006/main" count="4575" uniqueCount="1001">
  <si>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</si>
  <si>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</si>
  <si>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</si>
  <si>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</si>
  <si>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</si>
  <si>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</si>
  <si>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</si>
  <si>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</si>
  <si>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</si>
  <si>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</si>
  <si>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</si>
  <si>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</si>
  <si>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</si>
  <si>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</si>
  <si>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</si>
  <si>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</si>
  <si>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</si>
  <si>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</si>
  <si>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REGEXT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</si>
  <si>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</si>
  <si>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</si>
  <si>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</si>
  <si>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</si>
  <si>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</si>
  <si>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</si>
  <si>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REG EXTEND BUTTON 1 REGEXT:BLACK:34:SOLID:LONG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</si>
  <si>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</si>
  <si>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</si>
  <si>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</si>
  <si>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</si>
  <si>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</si>
  <si>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</si>
  <si>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</si>
  <si>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</si>
  <si>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</si>
  <si>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</si>
  <si>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</si>
  <si>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</si>
  <si>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</si>
  <si>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</si>
  <si>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</si>
  <si>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</si>
  <si>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</si>
  <si>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</si>
  <si>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</si>
  <si>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</si>
  <si>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CPTRWBKS1</t>
  </si>
  <si>
    <t>LONG PANTS REG EXTEND BUTTON 1 REGEXT:BLACK:30:SOLID:LONG PANTS</t>
  </si>
  <si>
    <t>LONG PANTS REG EXTEND BUTTON 1 REGEXT:BLACK:32:SOLID:LONG PANTS</t>
  </si>
  <si>
    <t>LONG PANTS REG EXTEND BUTTON 1 REGEXT:BLACK:36:SOLID:LONG PANTS</t>
  </si>
  <si>
    <t>LONG PANTS REG EXTEND BUTTON 1 REGEXT:BLACK:38:SOLID:LONG PANTS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</si>
  <si>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</si>
  <si>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</si>
  <si>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</si>
  <si>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</si>
  <si>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</si>
  <si>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</si>
  <si>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</si>
  <si>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</si>
  <si>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</si>
  <si>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</si>
  <si>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</si>
  <si>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</si>
  <si>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</si>
  <si>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</si>
  <si>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</si>
  <si>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</si>
  <si>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</si>
  <si>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</si>
  <si>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</si>
  <si>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</si>
  <si>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</si>
  <si>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</si>
  <si>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</si>
  <si>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</si>
  <si>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</si>
  <si>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</si>
  <si>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</si>
  <si>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</si>
  <si>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</si>
  <si>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</si>
  <si>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</si>
  <si>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</si>
  <si>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</si>
  <si>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</si>
  <si>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</si>
  <si>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</si>
  <si>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</si>
  <si>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</si>
  <si>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</si>
  <si>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</si>
  <si>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</si>
  <si>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</si>
  <si>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</si>
  <si>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</si>
  <si>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</si>
  <si>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</si>
  <si>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</si>
  <si>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</si>
  <si>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</si>
  <si>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</si>
  <si>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</si>
  <si>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</si>
  <si>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</si>
  <si>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</si>
  <si>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</si>
  <si>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</si>
  <si>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</si>
  <si>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</si>
  <si>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</si>
  <si>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</si>
  <si>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</si>
  <si>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</si>
  <si>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</si>
  <si>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</si>
  <si>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</si>
  <si>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</si>
  <si>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</si>
  <si>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</si>
  <si>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</si>
  <si>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</si>
  <si>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</si>
  <si>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</si>
  <si>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>LONG PANTS TR TWILL SLIM CPTRWBKS1:CHARCOAL:31:SOLID:LONG PANTS</t>
  </si>
  <si>
    <t>2026 KI PANTS SELECTED D50</t>
  </si>
  <si>
    <t xml:space="preserve"> 2025 Q4 WORKWEARSHIRT D30</t>
  </si>
  <si>
    <t xml:space="preserve"> 2025 Q4 WORKWEARPANT  D30</t>
  </si>
  <si>
    <t xml:space="preserve"> 2025 Q4 OUTERWEAR D30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</si>
  <si>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</si>
  <si>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</si>
  <si>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</si>
  <si>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</si>
  <si>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</si>
  <si>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</si>
  <si>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</si>
  <si>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</si>
  <si>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</si>
  <si>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</si>
  <si>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</si>
  <si>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</si>
  <si>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</si>
  <si>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</si>
  <si>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</si>
  <si>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</si>
  <si>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</si>
  <si>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</si>
  <si>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</si>
  <si>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</si>
  <si>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</si>
  <si>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</si>
  <si>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</si>
  <si>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</si>
  <si>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</si>
  <si>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</si>
  <si>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</si>
  <si>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</si>
  <si>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</si>
  <si>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</si>
  <si>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</si>
  <si>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</si>
  <si>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</si>
  <si>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</si>
  <si>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</si>
  <si>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</si>
  <si>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</si>
  <si>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</si>
  <si>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</si>
  <si>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</si>
  <si>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</si>
  <si>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</si>
  <si>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</si>
  <si>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</si>
  <si>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</si>
  <si>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</si>
  <si>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</si>
  <si>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</si>
  <si>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</si>
  <si>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</si>
  <si>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</si>
  <si>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</si>
  <si>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</si>
  <si>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</si>
  <si>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</si>
  <si>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</si>
  <si>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</si>
  <si>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</si>
  <si>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</si>
  <si>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</si>
  <si>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</si>
  <si>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</si>
  <si>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</si>
  <si>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</si>
  <si>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</si>
  <si>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</si>
  <si>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</si>
  <si>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</si>
  <si>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</si>
  <si>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</si>
  <si>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</si>
  <si>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</si>
  <si>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</si>
  <si>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</si>
  <si>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</si>
  <si>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</si>
  <si>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</si>
  <si>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</si>
  <si>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</si>
  <si>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</si>
  <si>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</si>
  <si>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</si>
  <si>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</si>
  <si>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</si>
  <si>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</si>
  <si>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</si>
  <si>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</si>
  <si>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</si>
  <si>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</si>
  <si>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</si>
  <si>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</si>
  <si>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</si>
  <si>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</si>
  <si>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</si>
  <si>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</si>
  <si>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</si>
  <si>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</si>
  <si>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</si>
  <si>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</si>
  <si>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</si>
  <si>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</si>
  <si>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</si>
  <si>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</si>
  <si>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</si>
  <si>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</si>
  <si>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</si>
  <si>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</si>
  <si>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</si>
  <si>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</si>
  <si>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</si>
  <si>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</si>
  <si>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</si>
  <si>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</si>
  <si>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</si>
  <si>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</si>
  <si>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</si>
  <si>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</si>
  <si>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</si>
  <si>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</si>
  <si>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</si>
  <si>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</si>
  <si>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</si>
  <si>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</si>
  <si>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</si>
  <si>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</si>
  <si>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</si>
  <si>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</si>
  <si>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</si>
  <si>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</si>
  <si>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</si>
  <si>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</si>
  <si>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</si>
  <si>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</si>
  <si>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</si>
  <si>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</si>
  <si>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</si>
  <si>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</si>
  <si>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</si>
  <si>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</si>
  <si>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</si>
  <si>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</si>
  <si>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</si>
  <si>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</si>
  <si>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</si>
  <si>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</si>
  <si>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</si>
  <si>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</si>
  <si>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</si>
  <si>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</si>
  <si>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</si>
  <si>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</si>
  <si>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</si>
  <si>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</si>
  <si>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</si>
  <si>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</si>
  <si>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</si>
  <si>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</si>
  <si>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</si>
  <si>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</si>
  <si>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</si>
  <si>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</si>
  <si>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</si>
  <si>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</si>
  <si>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</si>
  <si>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</si>
  <si>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</si>
  <si>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</si>
  <si>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</si>
  <si>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</si>
  <si>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</si>
  <si>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</si>
  <si>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</si>
  <si>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</si>
  <si>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</si>
  <si>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</si>
  <si>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</si>
  <si>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</si>
  <si>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</si>
  <si>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</si>
  <si>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</si>
  <si>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</si>
  <si>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</si>
  <si>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</si>
  <si>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</si>
  <si>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</si>
  <si>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</si>
  <si>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</si>
  <si>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</si>
  <si>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</si>
  <si>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</si>
  <si>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</si>
  <si>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</si>
  <si>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</si>
  <si>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</si>
  <si>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</si>
  <si>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</si>
  <si>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</si>
  <si>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</si>
  <si>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</si>
  <si>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</si>
  <si>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</si>
  <si>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</si>
  <si>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</si>
  <si>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</si>
  <si>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</si>
  <si>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</si>
  <si>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</si>
  <si>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</si>
  <si>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</si>
  <si>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</si>
  <si>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</si>
  <si>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</si>
  <si>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</si>
  <si>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</si>
  <si>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</si>
  <si>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</si>
  <si>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</si>
  <si>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</si>
  <si>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</si>
  <si>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</si>
  <si>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</si>
  <si>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</si>
  <si>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</si>
  <si>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</si>
  <si>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</si>
  <si>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</si>
  <si>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</si>
  <si>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</si>
  <si>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</si>
  <si>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</si>
  <si>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</si>
  <si>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</si>
  <si>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</si>
  <si>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</si>
  <si>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</si>
  <si>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</si>
  <si>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</si>
  <si>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</si>
  <si>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</si>
  <si>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</si>
  <si>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</si>
  <si>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</si>
  <si>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</si>
  <si>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</si>
  <si>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</si>
  <si>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</si>
  <si>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</si>
  <si>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</si>
  <si>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</si>
  <si>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</si>
  <si>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</si>
  <si>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</si>
  <si>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</si>
  <si>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</si>
  <si>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</si>
  <si>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</si>
  <si>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</si>
  <si>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</si>
  <si>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</si>
  <si>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</si>
  <si>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</si>
  <si>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</si>
  <si>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</si>
  <si>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</si>
  <si>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</si>
  <si>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</si>
  <si>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</si>
  <si>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</si>
  <si>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</si>
  <si>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</si>
  <si>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</si>
  <si>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</si>
  <si>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</si>
  <si>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</si>
  <si>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</si>
  <si>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</si>
  <si>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</si>
  <si>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</si>
  <si>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</si>
  <si>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</si>
  <si>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</si>
  <si>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</si>
  <si>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</si>
  <si>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</si>
  <si>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</si>
  <si>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</si>
  <si>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</si>
  <si>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</si>
  <si>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</si>
  <si>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</si>
  <si>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</si>
  <si>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</si>
  <si>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</si>
  <si>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</si>
  <si>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</si>
  <si>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</si>
  <si>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</si>
  <si>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</si>
  <si>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</si>
  <si>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</si>
  <si>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</si>
  <si>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</si>
  <si>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</si>
  <si>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</si>
  <si>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</si>
  <si>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</si>
  <si>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</si>
  <si>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CPRPVS01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</si>
  <si>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</si>
  <si>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</si>
  <si>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</si>
  <si>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</si>
  <si>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</si>
  <si>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</si>
  <si>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</si>
  <si>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</si>
  <si>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CPRPVS02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</si>
  <si>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</si>
  <si>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</si>
  <si>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</si>
  <si>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</si>
  <si>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</si>
  <si>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</si>
  <si>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</si>
  <si>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</si>
  <si>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CPRPVS03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</si>
  <si>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</si>
  <si>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</si>
  <si>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</si>
  <si>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</si>
  <si>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</si>
  <si>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</si>
  <si>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</si>
  <si>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</si>
  <si>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CPRPVS83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</si>
  <si>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</si>
  <si>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</si>
  <si>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</si>
  <si>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</si>
  <si>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</si>
  <si>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</si>
  <si>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</si>
  <si>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</si>
  <si>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CPFCTSK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</si>
  <si>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</si>
  <si>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</si>
  <si>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</si>
  <si>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</si>
  <si>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</si>
  <si>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</si>
  <si>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CPSPVTS3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</si>
  <si>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</si>
  <si>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</si>
  <si>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</si>
  <si>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</si>
  <si>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</si>
  <si>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</si>
  <si>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</si>
  <si>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</si>
  <si>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CPSPVTS1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</si>
  <si>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</si>
  <si>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</si>
  <si>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</si>
  <si>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</si>
  <si>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</si>
  <si>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</si>
  <si>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</si>
  <si>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</si>
  <si>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CPSPVTS5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</si>
  <si>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</si>
  <si>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</si>
  <si>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</si>
  <si>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</si>
  <si>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</si>
  <si>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</si>
  <si>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</si>
  <si>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CLPCSF1K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</si>
  <si>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</si>
  <si>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</si>
  <si>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</si>
  <si>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</si>
  <si>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</si>
  <si>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</si>
  <si>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</si>
  <si>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</si>
  <si>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</si>
  <si>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</si>
  <si>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SPRPVFOB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</si>
  <si>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</si>
  <si>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</si>
  <si>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</si>
  <si>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</si>
  <si>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</si>
  <si>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</si>
  <si>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</si>
  <si>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</si>
  <si>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SPRPVFIN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</si>
  <si>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</si>
  <si>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</si>
  <si>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</si>
  <si>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</si>
  <si>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</si>
  <si>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</si>
  <si>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</si>
  <si>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</si>
  <si>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</si>
  <si>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</si>
  <si>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LSWHT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</si>
  <si>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</si>
  <si>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</si>
  <si>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</si>
  <si>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</si>
  <si>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</si>
  <si>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</si>
  <si>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HADWHITE</t>
  </si>
  <si>
    <t>302 LS BASIC TEXT HAD-WHITE REGULAR:WHITE:14.5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</si>
  <si>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</si>
  <si>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</si>
  <si>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</si>
  <si>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</si>
  <si>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</si>
  <si>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</si>
  <si>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</si>
  <si>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301 LS BASIC SOLID REGULAR:WHITE:18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</si>
  <si>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</si>
  <si>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</si>
  <si>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</si>
  <si>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</si>
  <si>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</si>
  <si>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</si>
  <si>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</si>
  <si>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SS SHIRT REGULAR SOLID TC 1134 FAB 301 SSREGPC:WHITE:17:SOLID:SS SHIRT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</si>
  <si>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</si>
  <si>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</si>
  <si>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</si>
  <si>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</si>
  <si>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</si>
  <si>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</si>
  <si>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</si>
  <si>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</si>
  <si>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</si>
  <si>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</si>
  <si>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</si>
  <si>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</si>
  <si>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</si>
  <si>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CLPPXD1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</si>
  <si>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</si>
  <si>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</si>
  <si>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</si>
  <si>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</si>
  <si>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</si>
  <si>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</si>
  <si>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</si>
  <si>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</si>
  <si>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</si>
  <si>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</si>
  <si>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</si>
  <si>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</si>
  <si>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</si>
  <si>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</si>
  <si>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</si>
  <si>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</si>
  <si>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</si>
  <si>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</si>
  <si>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</si>
  <si>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</si>
  <si>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</si>
  <si>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</si>
  <si>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</si>
  <si>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</si>
  <si>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</si>
  <si>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</si>
  <si>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</si>
  <si>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</si>
  <si>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</si>
  <si>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</si>
  <si>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CPTRTWGS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</si>
  <si>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</si>
  <si>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</si>
  <si>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</si>
  <si>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</si>
  <si>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</si>
  <si>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</si>
  <si>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</si>
  <si>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</si>
  <si>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</si>
  <si>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</si>
  <si>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</si>
  <si>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</si>
  <si>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</si>
  <si>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</si>
  <si>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</si>
  <si>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</si>
  <si>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</si>
  <si>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</si>
  <si>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</si>
  <si>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</si>
  <si>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</si>
  <si>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</si>
  <si>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</si>
  <si>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</si>
  <si>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</si>
  <si>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</si>
  <si>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</si>
  <si>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</si>
  <si>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</si>
  <si>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</si>
  <si>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</si>
  <si>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CBZRKNB1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</si>
  <si>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</si>
  <si>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</si>
  <si>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</si>
  <si>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</si>
  <si>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LONG PANTS SLIM PV TEXTURED CPSPVTS5:BLACK:40:TEXTURE:LONG PANTS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</si>
  <si>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</si>
  <si>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</si>
  <si>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</si>
  <si>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</si>
  <si>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</si>
  <si>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</si>
  <si>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</si>
  <si>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</si>
  <si>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</si>
  <si>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</si>
  <si>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</si>
  <si>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</si>
  <si>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</si>
  <si>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</si>
  <si>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</si>
  <si>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</si>
  <si>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</si>
  <si>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</si>
  <si>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</si>
  <si>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</si>
  <si>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</si>
  <si>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</si>
  <si>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</si>
  <si>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</si>
  <si>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</si>
  <si>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LPSPVSS2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</si>
  <si>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</si>
  <si>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</si>
  <si>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</si>
  <si>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</si>
  <si>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</si>
  <si>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LPSPVSS3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</si>
  <si>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</si>
  <si>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</si>
  <si>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</si>
  <si>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</si>
  <si>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</si>
  <si>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LPSPVSS1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</si>
  <si>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</si>
  <si>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</si>
  <si>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</si>
  <si>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</si>
  <si>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</si>
  <si>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LONG PANTS SLIM YUJI EXTEND BUTTON SLIMYJI:BLACK:35:SOLID:LONG PANTS</t>
  </si>
  <si>
    <t>LONG PANTS SLIM TWILL STRETCH ESMIC 1 TWSTRETCH:CHARCOAL:35:SOLID:LONG PANTS</t>
  </si>
  <si>
    <t>LONG PANTS SLIM TWILL STRETCH ESMIC 1 TWSTRETCH:BLACK:35:SOLID:LONG PANTS</t>
  </si>
  <si>
    <t>LONG PANTS SLIM TWILL STRETCH ESMIC 1 TWSTRETCH:NAVY BLUE:35:SOLID:LONG PANTS</t>
  </si>
  <si>
    <t>LONG PANTS SLIM YUJI EXTEND BUTTON SLIMYJI:FROST GREY:35:SOLID:LONG PANTS</t>
  </si>
  <si>
    <t>LONG PANTS REG EXTEND BUTTON 1 REGEXT:KHAKI:35:SOLID:LONG PANTS</t>
  </si>
  <si>
    <t>CLRSTEXB</t>
  </si>
  <si>
    <t>LS SHIRT REGULAR DOB</t>
  </si>
  <si>
    <t>CSRSCVCG</t>
  </si>
  <si>
    <t>SS SHIRT REGULAR SOL</t>
  </si>
  <si>
    <t>CLDBSTEX07W</t>
  </si>
  <si>
    <t>LS SHIRT REGULAR TEX</t>
  </si>
  <si>
    <t>CLBDJACHE</t>
  </si>
  <si>
    <t>LS SHIRT REGULAR CHE</t>
  </si>
  <si>
    <t>CLRCSS001</t>
  </si>
  <si>
    <t>CLRTEX58W</t>
  </si>
  <si>
    <t>LSSTRKKY</t>
  </si>
  <si>
    <t>LS SHIRT REG STRIPE</t>
  </si>
  <si>
    <t>LSCHNAVY</t>
  </si>
  <si>
    <t>LS SHIRT CHECKS REG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</si>
  <si>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</si>
  <si>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</si>
  <si>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</si>
  <si>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</si>
  <si>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</si>
  <si>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</si>
  <si>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</si>
  <si>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</si>
  <si>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</si>
  <si>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</si>
  <si>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WLFILSSK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</si>
  <si>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</si>
  <si>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</si>
  <si>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</si>
  <si>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</si>
  <si>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</si>
  <si>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LSSTRCVC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</si>
  <si>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</si>
  <si>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</si>
  <si>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</si>
  <si>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</si>
  <si>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</si>
  <si>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</si>
  <si>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</si>
  <si>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</si>
  <si>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</si>
  <si>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</si>
  <si>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</si>
  <si>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</si>
  <si>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SSREGCHE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</si>
  <si>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</si>
  <si>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</si>
  <si>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</si>
  <si>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</si>
  <si>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</si>
  <si>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</si>
  <si>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</si>
  <si>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</si>
  <si>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</si>
  <si>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</si>
  <si>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</si>
  <si>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</si>
  <si>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</si>
  <si>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</si>
  <si>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</si>
  <si>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</si>
  <si>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</si>
  <si>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</si>
  <si>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</si>
  <si>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</si>
  <si>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</si>
  <si>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</si>
  <si>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</si>
  <si>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</si>
  <si>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</si>
  <si>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</si>
  <si>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</si>
  <si>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</si>
  <si>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</si>
  <si>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</si>
  <si>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</si>
  <si>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</si>
  <si>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</si>
  <si>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</si>
  <si>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</si>
  <si>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</si>
  <si>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</si>
  <si>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</si>
  <si>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</si>
  <si>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</si>
  <si>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</si>
  <si>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</si>
  <si>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</si>
  <si>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</si>
  <si>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</si>
  <si>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</si>
  <si>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</si>
  <si>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</si>
  <si>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</si>
  <si>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</si>
  <si>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</si>
  <si>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</si>
  <si>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</si>
  <si>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</si>
  <si>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</si>
  <si>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</si>
  <si>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</si>
  <si>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</si>
  <si>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</si>
  <si>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</si>
  <si>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</si>
  <si>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</si>
  <si>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</si>
  <si>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</si>
  <si>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</si>
  <si>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</si>
  <si>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</si>
  <si>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</si>
  <si>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</si>
  <si>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</si>
  <si>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</si>
  <si>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</si>
  <si>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</si>
  <si>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</si>
  <si>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</si>
  <si>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</si>
  <si>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</si>
  <si>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</si>
  <si>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</si>
  <si>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</si>
  <si>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</si>
  <si>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</si>
  <si>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</si>
  <si>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</si>
  <si>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</si>
  <si>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</si>
  <si>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</si>
  <si>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</si>
  <si>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</si>
  <si>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</si>
  <si>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</si>
  <si>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</si>
  <si>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</si>
  <si>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</si>
  <si>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</si>
  <si>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</si>
  <si>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</si>
  <si>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</si>
  <si>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</si>
  <si>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</si>
  <si>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</si>
  <si>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</si>
  <si>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</si>
  <si>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</si>
  <si>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</si>
  <si>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</si>
  <si>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</si>
  <si>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</si>
  <si>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</si>
  <si>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</si>
  <si>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</si>
  <si>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</si>
  <si>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</si>
  <si>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</si>
  <si>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</si>
  <si>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</si>
  <si>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</si>
  <si>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</si>
  <si>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</si>
  <si>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</si>
  <si>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</si>
  <si>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</si>
  <si>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</si>
  <si>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</si>
  <si>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</si>
  <si>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</si>
  <si>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</si>
  <si>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</si>
  <si>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</si>
  <si>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</si>
  <si>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</si>
  <si>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</si>
  <si>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</si>
  <si>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</si>
  <si>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LS SHIRT STRIPES CVC REGULAR WLSTRSS4:BEIGE:XXXL:STRIPES:LS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</si>
  <si>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</si>
  <si>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</si>
  <si>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</si>
  <si>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</si>
  <si>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</si>
  <si>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LSSOLOXF:KHAKI:XL:SOLID:LS SHIRT</t>
  </si>
  <si>
    <t>LS SHIRT REGFIT PLAIN CLASSIC OXFORD LSSOLOXF:KHAKI:XXL:SOLID:LS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</si>
  <si>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</si>
  <si>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</si>
  <si>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</si>
  <si>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</si>
  <si>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LSREGTWL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</si>
  <si>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</si>
  <si>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</si>
  <si>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</si>
  <si>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</si>
  <si>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</si>
  <si>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</si>
  <si>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</si>
  <si>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</si>
  <si>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</si>
  <si>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</si>
  <si>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LSTWREGPL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</si>
  <si>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</si>
  <si>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</si>
  <si>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</si>
  <si>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</si>
  <si>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</si>
  <si>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</si>
  <si>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</si>
  <si>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</si>
  <si>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</si>
  <si>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</si>
  <si>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</si>
  <si>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</si>
  <si>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</si>
  <si>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</si>
  <si>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</si>
  <si>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LSMEDSTR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</si>
  <si>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</si>
  <si>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</si>
  <si>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</si>
  <si>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</si>
  <si>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</si>
  <si>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</si>
  <si>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</si>
  <si>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</si>
  <si>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</si>
  <si>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</si>
  <si>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</si>
  <si>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</si>
  <si>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</si>
  <si>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</si>
  <si>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</si>
  <si>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PSLIMACT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</si>
  <si>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</si>
  <si>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</si>
  <si>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</si>
  <si>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</si>
  <si>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</si>
  <si>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</si>
  <si>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</si>
  <si>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</si>
  <si>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</si>
  <si>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</si>
  <si>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</si>
  <si>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</si>
  <si>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</si>
  <si>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REG EXTEND BUTTON 1 REGEXT:BLACK:35:SOLID:LONG PANTS</t>
  </si>
  <si>
    <t>LONG PANTS REG EXTEND BUTTON 1 REGEXT:FROST GREY:35:SOLID:LONG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</si>
  <si>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</si>
  <si>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</si>
  <si>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</si>
  <si>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</si>
  <si>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</si>
  <si>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SLIM TWILL STRETCH ESMIC 1 TWSTRETCH:BLACK:31:SOLID:LONG PANTS</t>
  </si>
  <si>
    <t>LONG PANTS SLIM TWILL STRETCH ESMIC 1 TWSTRETCH:CHARCOAL:31:SOLID:LONG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</si>
  <si>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</si>
  <si>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</si>
  <si>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</si>
  <si>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</si>
  <si>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YUJI EXTEND BUTTON SLIMYJI:NAVY BLUE:30:SOLID:LONG PANTS</t>
  </si>
  <si>
    <t>CPTRTREG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</si>
  <si>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</si>
  <si>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</si>
  <si>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</si>
  <si>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</si>
  <si>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</si>
  <si>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</si>
  <si>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</si>
  <si>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</si>
  <si>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</si>
  <si>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</si>
  <si>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</si>
  <si>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</si>
  <si>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</si>
  <si>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</si>
  <si>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</si>
  <si>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</si>
  <si>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</si>
  <si>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</si>
  <si>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</si>
  <si>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</si>
  <si>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</si>
  <si>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</si>
  <si>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LSRSDBU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</si>
  <si>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</si>
  <si>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</si>
  <si>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</si>
  <si>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</si>
  <si>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</si>
  <si>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</si>
  <si>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</si>
  <si>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</si>
  <si>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</si>
  <si>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</si>
  <si>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</si>
  <si>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</si>
  <si>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</si>
  <si>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</si>
  <si>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</si>
  <si>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2024 H1 D75</t>
  </si>
  <si>
    <t xml:space="preserve"> 2024 H2 OUTERWEAR D75</t>
  </si>
  <si>
    <t>2024 H2 FORMAL PANT D75</t>
  </si>
  <si>
    <t>2024 H2 FORMAL SHIRT D75</t>
  </si>
  <si>
    <t xml:space="preserve"> 2025 Q1 WORKWEARSHIRT D75</t>
  </si>
  <si>
    <t>2025 Q2 WORKWEARSHIRT D75</t>
  </si>
  <si>
    <t xml:space="preserve"> 2025 Q2 WORKWEARPANT D75</t>
  </si>
  <si>
    <t>2025 Q1 KI WORKWEAR PANTS D75</t>
  </si>
  <si>
    <t>2025 Q1 KI WORKWEARSHIRT D75</t>
  </si>
  <si>
    <t>2025 Q3 KI WORKWEARSHIRT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</si>
</sst>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8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3" fillId="0" borderId="0">
      <alignment vertical="top"/>
      <protection locked="0"/>
    </xf>
    <xf numFmtId="43" fontId="3" fillId="0" borderId="0">
      <alignment vertical="top"/>
      <protection locked="0"/>
    </xf>
    <xf numFmtId="43" fontId="1" fillId="0" borderId="0">
      <alignment vertical="top"/>
      <protection locked="0"/>
    </xf>
    <xf numFmtId="9" fontId="1" fillId="0" borderId="0">
      <alignment vertical="top"/>
      <protection locked="0"/>
    </xf>
  </cellStyleXfs>
  <cellXfs count="5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2" fillId="2" borderId="2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/>
    <xf numFmtId="0" fontId="1" fillId="0" borderId="1" xfId="0" applyFont="1" applyBorder="1" applyAlignment="1"/>
    <xf numFmtId="49" fontId="2" fillId="2" borderId="1" xfId="0" applyNumberFormat="1" applyFont="1" applyFill="1" applyBorder="1" applyAlignment="1">
      <alignment horizontal="center" vertical="center"/>
    </xf>
    <xf numFmtId="165" fontId="1" fillId="0" borderId="1" xfId="2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1" fontId="2" fillId="0" borderId="1" xfId="3" applyNumberFormat="1" applyFont="1" applyBorder="1" applyAlignment="1" applyProtection="1">
      <alignment horizontal="center" vertical="center"/>
    </xf>
    <xf numFmtId="165" fontId="2" fillId="2" borderId="1" xfId="3" applyNumberFormat="1" applyFont="1" applyFill="1" applyBorder="1" applyAlignment="1" applyProtection="1">
      <alignment horizontal="center" vertical="center"/>
    </xf>
    <xf numFmtId="3" fontId="2" fillId="2" borderId="1" xfId="4" applyNumberFormat="1" applyFont="1" applyFill="1" applyBorder="1" applyAlignment="1" applyProtection="1">
      <alignment horizontal="center" vertical="center"/>
    </xf>
    <xf numFmtId="0" fontId="1" fillId="0" borderId="1" xfId="3" applyNumberFormat="1" applyBorder="1" applyAlignment="1" applyProtection="1"/>
    <xf numFmtId="165" fontId="1" fillId="0" borderId="1" xfId="3" applyNumberFormat="1" applyBorder="1" applyAlignment="1" applyProtection="1"/>
    <xf numFmtId="1" fontId="1" fillId="0" borderId="1" xfId="3" applyNumberFormat="1" applyBorder="1" applyAlignment="1" applyProtection="1"/>
    <xf numFmtId="1" fontId="1" fillId="0" borderId="0" xfId="3" applyNumberFormat="1" applyAlignment="1" applyProtection="1"/>
    <xf numFmtId="165" fontId="1" fillId="0" borderId="0" xfId="3" applyNumberFormat="1" applyAlignment="1" applyProtection="1"/>
    <xf numFmtId="49" fontId="6" fillId="0" borderId="1" xfId="0" applyNumberFormat="1" applyFont="1" applyBorder="1" applyAlignment="1"/>
    <xf numFmtId="0" fontId="6" fillId="0" borderId="1" xfId="0" applyFont="1" applyBorder="1" applyAlignment="1"/>
    <xf numFmtId="0" fontId="1" fillId="0" borderId="0" xfId="0" applyFont="1" applyAlignment="1">
      <alignment horizontal="center" vertical="center"/>
    </xf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165" fontId="1" fillId="0" borderId="1" xfId="3" applyNumberFormat="1" applyBorder="1" applyAlignment="1" applyProtection="1">
      <alignment horizontal="center"/>
    </xf>
    <xf numFmtId="9" fontId="1" fillId="0" borderId="2" xfId="4" applyBorder="1" applyAlignment="1" applyProtection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4" applyAlignment="1" applyProtection="1">
      <alignment horizontal="center" vertical="center"/>
    </xf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/>
    <xf numFmtId="165" fontId="1" fillId="0" borderId="0" xfId="3" applyNumberFormat="1" applyAlignment="1" applyProtection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1" xfId="3" applyNumberFormat="1" applyBorder="1" applyAlignment="1" applyProtection="1">
      <alignment horizontal="right"/>
    </xf>
    <xf numFmtId="166" fontId="1" fillId="0" borderId="1" xfId="0" applyNumberFormat="1" applyFont="1" applyBorder="1" applyAlignment="1">
      <alignment horizontal="center" vertical="center"/>
    </xf>
    <xf numFmtId="49" fontId="1" fillId="0" borderId="1" xfId="3" applyNumberFormat="1" applyBorder="1" applyAlignment="1" applyProtection="1"/>
    <xf numFmtId="165" fontId="1" fillId="0" borderId="1" xfId="3" applyNumberFormat="1" applyBorder="1" applyAlignment="1" applyProtection="1">
      <alignment horizontal="left"/>
    </xf>
    <xf numFmtId="49" fontId="1" fillId="0" borderId="1" xfId="0" applyNumberFormat="1" applyFont="1" applyBorder="1" applyAlignment="1">
      <alignment horizontal="right"/>
    </xf>
  </cellXfs>
  <cellStyles count="5">
    <cellStyle name="Comma" xfId="2" builtinId="3"/>
    <cellStyle name="Comma 2" xfId="3" xr:uid="{9BB3B73D-0202-42E3-A0AF-28A0A98BB20A}"/>
    <cellStyle name="Normal" xfId="0" builtinId="0"/>
    <cellStyle name="Percent" xfId="1" builtinId="5"/>
    <cellStyle name="Percent 2" xfId="4" xr:uid="{6716AEFE-0704-4207-9E1E-22A0BF2A2700}"/>
  </cellStyles>
  <dxfs count="4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33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42EF-3DCE-47BE-A353-7716AC83140B}">
  <sheetPr>
    <tabColor rgb="FFFFFF00"/>
  </sheetPr>
  <dimension ref="A1:P451"/>
  <sheetViews>
    <sheetView zoomScale="70" workbookViewId="0">
      <selection activeCell="P33" sqref="P33"/>
    </sheetView>
  </sheetViews>
  <sheetFormatPr defaultColWidth="8.7265625" defaultRowHeight="14.5" x14ac:dyDescent="0.35"/>
  <cols>
    <col min="1" max="1" width="11.2695312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1796875" style="10" bestFit="1" customWidth="1"/>
    <col min="12" max="12" width="88" style="10" bestFit="1" customWidth="1"/>
    <col min="13" max="13" width="14.8164062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s="32" customForma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991</v>
      </c>
      <c r="B2" s="6">
        <v>46108</v>
      </c>
      <c r="C2" s="6">
        <v>46113</v>
      </c>
      <c r="D2" s="18">
        <v>3249</v>
      </c>
      <c r="E2" s="18">
        <v>332</v>
      </c>
      <c r="F2" s="18">
        <v>3</v>
      </c>
      <c r="G2" s="18">
        <v>1</v>
      </c>
      <c r="H2" s="18">
        <v>81642</v>
      </c>
      <c r="I2" s="18" t="s">
        <v>17</v>
      </c>
      <c r="J2" s="18">
        <v>16345378</v>
      </c>
      <c r="K2" s="18" t="s">
        <v>128</v>
      </c>
      <c r="L2" s="18" t="s">
        <v>129</v>
      </c>
      <c r="M2" s="33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991</v>
      </c>
      <c r="B3" s="6">
        <f t="shared" ref="B3:C18" si="1">B2</f>
        <v>46108</v>
      </c>
      <c r="C3" s="6">
        <f t="shared" si="1"/>
        <v>46113</v>
      </c>
      <c r="D3" s="18">
        <v>3249</v>
      </c>
      <c r="E3" s="18">
        <v>332</v>
      </c>
      <c r="F3" s="18">
        <v>3</v>
      </c>
      <c r="G3" s="18">
        <v>1</v>
      </c>
      <c r="H3" s="18">
        <v>81642</v>
      </c>
      <c r="I3" s="18" t="s">
        <v>17</v>
      </c>
      <c r="J3" s="18">
        <v>16345387</v>
      </c>
      <c r="K3" s="18" t="s">
        <v>128</v>
      </c>
      <c r="L3" s="18" t="s">
        <v>130</v>
      </c>
      <c r="M3" s="33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991</v>
      </c>
      <c r="B4" s="6">
        <f t="shared" si="1"/>
        <v>46108</v>
      </c>
      <c r="C4" s="6">
        <f t="shared" si="1"/>
        <v>46113</v>
      </c>
      <c r="D4" s="18">
        <v>3249</v>
      </c>
      <c r="E4" s="18">
        <v>332</v>
      </c>
      <c r="F4" s="18">
        <v>3</v>
      </c>
      <c r="G4" s="18">
        <v>1</v>
      </c>
      <c r="H4" s="18">
        <v>81642</v>
      </c>
      <c r="I4" s="18" t="s">
        <v>17</v>
      </c>
      <c r="J4" s="18">
        <v>16345396</v>
      </c>
      <c r="K4" s="18" t="s">
        <v>128</v>
      </c>
      <c r="L4" s="18" t="s">
        <v>131</v>
      </c>
      <c r="M4" s="33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991</v>
      </c>
      <c r="B5" s="6">
        <f t="shared" si="1"/>
        <v>46108</v>
      </c>
      <c r="C5" s="6">
        <f t="shared" si="1"/>
        <v>46113</v>
      </c>
      <c r="D5" s="18">
        <v>3249</v>
      </c>
      <c r="E5" s="18">
        <v>332</v>
      </c>
      <c r="F5" s="18">
        <v>3</v>
      </c>
      <c r="G5" s="18">
        <v>1</v>
      </c>
      <c r="H5" s="18">
        <v>81642</v>
      </c>
      <c r="I5" s="18" t="s">
        <v>17</v>
      </c>
      <c r="J5" s="18">
        <v>16345403</v>
      </c>
      <c r="K5" s="18" t="s">
        <v>128</v>
      </c>
      <c r="L5" s="18" t="s">
        <v>132</v>
      </c>
      <c r="M5" s="33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991</v>
      </c>
      <c r="B6" s="6">
        <f t="shared" si="1"/>
        <v>46108</v>
      </c>
      <c r="C6" s="6">
        <f t="shared" si="1"/>
        <v>46113</v>
      </c>
      <c r="D6" s="18">
        <v>3249</v>
      </c>
      <c r="E6" s="18">
        <v>332</v>
      </c>
      <c r="F6" s="18">
        <v>3</v>
      </c>
      <c r="G6" s="18">
        <v>1</v>
      </c>
      <c r="H6" s="18">
        <v>81642</v>
      </c>
      <c r="I6" s="18" t="s">
        <v>17</v>
      </c>
      <c r="J6" s="18">
        <v>16345412</v>
      </c>
      <c r="K6" s="18" t="s">
        <v>128</v>
      </c>
      <c r="L6" s="18" t="s">
        <v>133</v>
      </c>
      <c r="M6" s="33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991</v>
      </c>
      <c r="B7" s="6">
        <f t="shared" si="1"/>
        <v>46108</v>
      </c>
      <c r="C7" s="6">
        <f t="shared" si="1"/>
        <v>46113</v>
      </c>
      <c r="D7" s="18">
        <v>3249</v>
      </c>
      <c r="E7" s="18">
        <v>332</v>
      </c>
      <c r="F7" s="18">
        <v>3</v>
      </c>
      <c r="G7" s="18">
        <v>1</v>
      </c>
      <c r="H7" s="18">
        <v>81642</v>
      </c>
      <c r="I7" s="18" t="s">
        <v>17</v>
      </c>
      <c r="J7" s="18">
        <v>16345421</v>
      </c>
      <c r="K7" s="18" t="s">
        <v>128</v>
      </c>
      <c r="L7" s="18" t="s">
        <v>134</v>
      </c>
      <c r="M7" s="33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991</v>
      </c>
      <c r="B8" s="6">
        <f t="shared" si="1"/>
        <v>46108</v>
      </c>
      <c r="C8" s="6">
        <f t="shared" si="1"/>
        <v>46113</v>
      </c>
      <c r="D8" s="18">
        <v>3249</v>
      </c>
      <c r="E8" s="18">
        <v>332</v>
      </c>
      <c r="F8" s="18">
        <v>3</v>
      </c>
      <c r="G8" s="18">
        <v>1</v>
      </c>
      <c r="H8" s="18">
        <v>81642</v>
      </c>
      <c r="I8" s="18" t="s">
        <v>17</v>
      </c>
      <c r="J8" s="18">
        <v>16345430</v>
      </c>
      <c r="K8" s="18" t="s">
        <v>135</v>
      </c>
      <c r="L8" s="18" t="s">
        <v>136</v>
      </c>
      <c r="M8" s="33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991</v>
      </c>
      <c r="B9" s="6">
        <f t="shared" si="1"/>
        <v>46108</v>
      </c>
      <c r="C9" s="6">
        <f t="shared" si="1"/>
        <v>46113</v>
      </c>
      <c r="D9" s="18">
        <v>3249</v>
      </c>
      <c r="E9" s="18">
        <v>332</v>
      </c>
      <c r="F9" s="18">
        <v>3</v>
      </c>
      <c r="G9" s="18">
        <v>1</v>
      </c>
      <c r="H9" s="18">
        <v>81642</v>
      </c>
      <c r="I9" s="18" t="s">
        <v>17</v>
      </c>
      <c r="J9" s="18">
        <v>16345449</v>
      </c>
      <c r="K9" s="18" t="s">
        <v>135</v>
      </c>
      <c r="L9" s="18" t="s">
        <v>137</v>
      </c>
      <c r="M9" s="33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991</v>
      </c>
      <c r="B10" s="6">
        <f t="shared" si="1"/>
        <v>46108</v>
      </c>
      <c r="C10" s="6">
        <f t="shared" si="1"/>
        <v>46113</v>
      </c>
      <c r="D10" s="18">
        <v>3249</v>
      </c>
      <c r="E10" s="18">
        <v>332</v>
      </c>
      <c r="F10" s="18">
        <v>3</v>
      </c>
      <c r="G10" s="18">
        <v>1</v>
      </c>
      <c r="H10" s="18">
        <v>81642</v>
      </c>
      <c r="I10" s="18" t="s">
        <v>17</v>
      </c>
      <c r="J10" s="18">
        <v>16345458</v>
      </c>
      <c r="K10" s="18" t="s">
        <v>135</v>
      </c>
      <c r="L10" s="18" t="s">
        <v>138</v>
      </c>
      <c r="M10" s="33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991</v>
      </c>
      <c r="B11" s="6">
        <f t="shared" si="1"/>
        <v>46108</v>
      </c>
      <c r="C11" s="6">
        <f t="shared" si="1"/>
        <v>46113</v>
      </c>
      <c r="D11" s="18">
        <v>3249</v>
      </c>
      <c r="E11" s="18">
        <v>332</v>
      </c>
      <c r="F11" s="18">
        <v>3</v>
      </c>
      <c r="G11" s="18">
        <v>1</v>
      </c>
      <c r="H11" s="18">
        <v>81642</v>
      </c>
      <c r="I11" s="18" t="s">
        <v>17</v>
      </c>
      <c r="J11" s="18">
        <v>16345467</v>
      </c>
      <c r="K11" s="18" t="s">
        <v>135</v>
      </c>
      <c r="L11" s="18" t="s">
        <v>139</v>
      </c>
      <c r="M11" s="33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991</v>
      </c>
      <c r="B12" s="6">
        <f t="shared" si="1"/>
        <v>46108</v>
      </c>
      <c r="C12" s="6">
        <f t="shared" si="1"/>
        <v>46113</v>
      </c>
      <c r="D12" s="18">
        <v>3249</v>
      </c>
      <c r="E12" s="18">
        <v>332</v>
      </c>
      <c r="F12" s="18">
        <v>3</v>
      </c>
      <c r="G12" s="18">
        <v>1</v>
      </c>
      <c r="H12" s="18">
        <v>81642</v>
      </c>
      <c r="I12" s="18" t="s">
        <v>17</v>
      </c>
      <c r="J12" s="18">
        <v>16345476</v>
      </c>
      <c r="K12" s="18" t="s">
        <v>135</v>
      </c>
      <c r="L12" s="18" t="s">
        <v>140</v>
      </c>
      <c r="M12" s="33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991</v>
      </c>
      <c r="B13" s="6">
        <f t="shared" si="1"/>
        <v>46108</v>
      </c>
      <c r="C13" s="6">
        <f t="shared" si="1"/>
        <v>46113</v>
      </c>
      <c r="D13" s="18">
        <v>3249</v>
      </c>
      <c r="E13" s="18">
        <v>332</v>
      </c>
      <c r="F13" s="18">
        <v>3</v>
      </c>
      <c r="G13" s="18">
        <v>1</v>
      </c>
      <c r="H13" s="18">
        <v>81642</v>
      </c>
      <c r="I13" s="18" t="s">
        <v>17</v>
      </c>
      <c r="J13" s="18">
        <v>16345485</v>
      </c>
      <c r="K13" s="18" t="s">
        <v>135</v>
      </c>
      <c r="L13" s="18" t="s">
        <v>141</v>
      </c>
      <c r="M13" s="33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991</v>
      </c>
      <c r="B14" s="6">
        <f t="shared" si="1"/>
        <v>46108</v>
      </c>
      <c r="C14" s="6">
        <f t="shared" si="1"/>
        <v>46113</v>
      </c>
      <c r="D14" s="18">
        <v>3249</v>
      </c>
      <c r="E14" s="18">
        <v>332</v>
      </c>
      <c r="F14" s="18">
        <v>3</v>
      </c>
      <c r="G14" s="18">
        <v>1</v>
      </c>
      <c r="H14" s="18">
        <v>81642</v>
      </c>
      <c r="I14" s="18" t="s">
        <v>17</v>
      </c>
      <c r="J14" s="18">
        <v>16345494</v>
      </c>
      <c r="K14" s="18" t="s">
        <v>142</v>
      </c>
      <c r="L14" s="18" t="s">
        <v>143</v>
      </c>
      <c r="M14" s="33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991</v>
      </c>
      <c r="B15" s="6">
        <f t="shared" si="1"/>
        <v>46108</v>
      </c>
      <c r="C15" s="6">
        <f t="shared" si="1"/>
        <v>46113</v>
      </c>
      <c r="D15" s="18">
        <v>3249</v>
      </c>
      <c r="E15" s="18">
        <v>332</v>
      </c>
      <c r="F15" s="18">
        <v>3</v>
      </c>
      <c r="G15" s="18">
        <v>1</v>
      </c>
      <c r="H15" s="18">
        <v>81642</v>
      </c>
      <c r="I15" s="18" t="s">
        <v>17</v>
      </c>
      <c r="J15" s="18">
        <v>16345501</v>
      </c>
      <c r="K15" s="18" t="s">
        <v>142</v>
      </c>
      <c r="L15" s="18" t="s">
        <v>144</v>
      </c>
      <c r="M15" s="33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991</v>
      </c>
      <c r="B16" s="6">
        <f t="shared" si="1"/>
        <v>46108</v>
      </c>
      <c r="C16" s="6">
        <f t="shared" si="1"/>
        <v>46113</v>
      </c>
      <c r="D16" s="18">
        <v>3249</v>
      </c>
      <c r="E16" s="18">
        <v>332</v>
      </c>
      <c r="F16" s="18">
        <v>3</v>
      </c>
      <c r="G16" s="18">
        <v>1</v>
      </c>
      <c r="H16" s="18">
        <v>81642</v>
      </c>
      <c r="I16" s="18" t="s">
        <v>17</v>
      </c>
      <c r="J16" s="18">
        <v>16345510</v>
      </c>
      <c r="K16" s="18" t="s">
        <v>142</v>
      </c>
      <c r="L16" s="18" t="s">
        <v>145</v>
      </c>
      <c r="M16" s="33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991</v>
      </c>
      <c r="B17" s="6">
        <f t="shared" si="1"/>
        <v>46108</v>
      </c>
      <c r="C17" s="6">
        <f t="shared" si="1"/>
        <v>46113</v>
      </c>
      <c r="D17" s="18">
        <v>3249</v>
      </c>
      <c r="E17" s="18">
        <v>332</v>
      </c>
      <c r="F17" s="18">
        <v>3</v>
      </c>
      <c r="G17" s="18">
        <v>1</v>
      </c>
      <c r="H17" s="18">
        <v>81642</v>
      </c>
      <c r="I17" s="18" t="s">
        <v>17</v>
      </c>
      <c r="J17" s="18">
        <v>16345529</v>
      </c>
      <c r="K17" s="18" t="s">
        <v>142</v>
      </c>
      <c r="L17" s="18" t="s">
        <v>146</v>
      </c>
      <c r="M17" s="33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991</v>
      </c>
      <c r="B18" s="6">
        <f t="shared" si="1"/>
        <v>46108</v>
      </c>
      <c r="C18" s="6">
        <f t="shared" si="1"/>
        <v>46113</v>
      </c>
      <c r="D18" s="18">
        <v>3249</v>
      </c>
      <c r="E18" s="18">
        <v>332</v>
      </c>
      <c r="F18" s="18">
        <v>3</v>
      </c>
      <c r="G18" s="18">
        <v>1</v>
      </c>
      <c r="H18" s="18">
        <v>81642</v>
      </c>
      <c r="I18" s="18" t="s">
        <v>17</v>
      </c>
      <c r="J18" s="18">
        <v>16345538</v>
      </c>
      <c r="K18" s="18" t="s">
        <v>142</v>
      </c>
      <c r="L18" s="18" t="s">
        <v>147</v>
      </c>
      <c r="M18" s="33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991</v>
      </c>
      <c r="B19" s="6">
        <f t="shared" ref="B19:C34" si="2">B18</f>
        <v>46108</v>
      </c>
      <c r="C19" s="6">
        <f t="shared" si="2"/>
        <v>46113</v>
      </c>
      <c r="D19" s="18">
        <v>3249</v>
      </c>
      <c r="E19" s="18">
        <v>332</v>
      </c>
      <c r="F19" s="18">
        <v>3</v>
      </c>
      <c r="G19" s="18">
        <v>1</v>
      </c>
      <c r="H19" s="18">
        <v>81642</v>
      </c>
      <c r="I19" s="18" t="s">
        <v>17</v>
      </c>
      <c r="J19" s="18">
        <v>16345547</v>
      </c>
      <c r="K19" s="18" t="s">
        <v>142</v>
      </c>
      <c r="L19" s="18" t="s">
        <v>148</v>
      </c>
      <c r="M19" s="33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991</v>
      </c>
      <c r="B20" s="6">
        <f t="shared" si="2"/>
        <v>46108</v>
      </c>
      <c r="C20" s="6">
        <f t="shared" si="2"/>
        <v>46113</v>
      </c>
      <c r="D20" s="18">
        <v>3249</v>
      </c>
      <c r="E20" s="18">
        <v>332</v>
      </c>
      <c r="F20" s="18">
        <v>3</v>
      </c>
      <c r="G20" s="18">
        <v>1</v>
      </c>
      <c r="H20" s="18">
        <v>81642</v>
      </c>
      <c r="I20" s="18" t="s">
        <v>17</v>
      </c>
      <c r="J20" s="18">
        <v>16774879</v>
      </c>
      <c r="K20" s="18" t="s">
        <v>149</v>
      </c>
      <c r="L20" s="18" t="s">
        <v>150</v>
      </c>
      <c r="M20" s="33">
        <v>229900</v>
      </c>
      <c r="N20" s="34">
        <v>0.75</v>
      </c>
      <c r="O20" s="7">
        <f t="shared" si="0"/>
        <v>57475</v>
      </c>
      <c r="P20" s="18" t="s">
        <v>16</v>
      </c>
    </row>
    <row r="21" spans="1:16" x14ac:dyDescent="0.35">
      <c r="A21" s="18" t="s">
        <v>991</v>
      </c>
      <c r="B21" s="6">
        <f t="shared" si="2"/>
        <v>46108</v>
      </c>
      <c r="C21" s="6">
        <f t="shared" si="2"/>
        <v>46113</v>
      </c>
      <c r="D21" s="18">
        <v>3249</v>
      </c>
      <c r="E21" s="18">
        <v>332</v>
      </c>
      <c r="F21" s="18">
        <v>3</v>
      </c>
      <c r="G21" s="18">
        <v>1</v>
      </c>
      <c r="H21" s="18">
        <v>81642</v>
      </c>
      <c r="I21" s="18" t="s">
        <v>17</v>
      </c>
      <c r="J21" s="18">
        <v>16774888</v>
      </c>
      <c r="K21" s="18" t="s">
        <v>149</v>
      </c>
      <c r="L21" s="18" t="s">
        <v>151</v>
      </c>
      <c r="M21" s="33">
        <v>229900</v>
      </c>
      <c r="N21" s="34">
        <v>0.75</v>
      </c>
      <c r="O21" s="7">
        <f t="shared" si="0"/>
        <v>57475</v>
      </c>
      <c r="P21" s="18" t="s">
        <v>16</v>
      </c>
    </row>
    <row r="22" spans="1:16" x14ac:dyDescent="0.35">
      <c r="A22" s="18" t="s">
        <v>991</v>
      </c>
      <c r="B22" s="6">
        <f t="shared" si="2"/>
        <v>46108</v>
      </c>
      <c r="C22" s="6">
        <f t="shared" si="2"/>
        <v>46113</v>
      </c>
      <c r="D22" s="18">
        <v>3249</v>
      </c>
      <c r="E22" s="18">
        <v>332</v>
      </c>
      <c r="F22" s="18">
        <v>3</v>
      </c>
      <c r="G22" s="18">
        <v>1</v>
      </c>
      <c r="H22" s="18">
        <v>81642</v>
      </c>
      <c r="I22" s="18" t="s">
        <v>17</v>
      </c>
      <c r="J22" s="18">
        <v>16774897</v>
      </c>
      <c r="K22" s="18" t="s">
        <v>149</v>
      </c>
      <c r="L22" s="18" t="s">
        <v>152</v>
      </c>
      <c r="M22" s="33">
        <v>229900</v>
      </c>
      <c r="N22" s="34">
        <v>0.75</v>
      </c>
      <c r="O22" s="7">
        <f t="shared" si="0"/>
        <v>57475</v>
      </c>
      <c r="P22" s="18" t="s">
        <v>16</v>
      </c>
    </row>
    <row r="23" spans="1:16" x14ac:dyDescent="0.35">
      <c r="A23" s="18" t="s">
        <v>991</v>
      </c>
      <c r="B23" s="6">
        <f t="shared" si="2"/>
        <v>46108</v>
      </c>
      <c r="C23" s="6">
        <f t="shared" si="2"/>
        <v>46113</v>
      </c>
      <c r="D23" s="18">
        <v>3249</v>
      </c>
      <c r="E23" s="18">
        <v>332</v>
      </c>
      <c r="F23" s="18">
        <v>3</v>
      </c>
      <c r="G23" s="18">
        <v>1</v>
      </c>
      <c r="H23" s="18">
        <v>81642</v>
      </c>
      <c r="I23" s="18" t="s">
        <v>17</v>
      </c>
      <c r="J23" s="18">
        <v>16774904</v>
      </c>
      <c r="K23" s="18" t="s">
        <v>149</v>
      </c>
      <c r="L23" s="18" t="s">
        <v>153</v>
      </c>
      <c r="M23" s="33">
        <v>229900</v>
      </c>
      <c r="N23" s="34">
        <v>0.75</v>
      </c>
      <c r="O23" s="7">
        <f t="shared" si="0"/>
        <v>57475</v>
      </c>
      <c r="P23" s="18" t="s">
        <v>16</v>
      </c>
    </row>
    <row r="24" spans="1:16" x14ac:dyDescent="0.35">
      <c r="A24" s="18" t="s">
        <v>991</v>
      </c>
      <c r="B24" s="6">
        <f t="shared" si="2"/>
        <v>46108</v>
      </c>
      <c r="C24" s="6">
        <f t="shared" si="2"/>
        <v>46113</v>
      </c>
      <c r="D24" s="18">
        <v>3249</v>
      </c>
      <c r="E24" s="18">
        <v>332</v>
      </c>
      <c r="F24" s="18">
        <v>3</v>
      </c>
      <c r="G24" s="18">
        <v>1</v>
      </c>
      <c r="H24" s="18">
        <v>81642</v>
      </c>
      <c r="I24" s="18" t="s">
        <v>17</v>
      </c>
      <c r="J24" s="18">
        <v>16774913</v>
      </c>
      <c r="K24" s="18" t="s">
        <v>149</v>
      </c>
      <c r="L24" s="18" t="s">
        <v>154</v>
      </c>
      <c r="M24" s="33">
        <v>229900</v>
      </c>
      <c r="N24" s="34">
        <v>0.75</v>
      </c>
      <c r="O24" s="7">
        <f t="shared" si="0"/>
        <v>57475</v>
      </c>
      <c r="P24" s="18" t="s">
        <v>16</v>
      </c>
    </row>
    <row r="25" spans="1:16" x14ac:dyDescent="0.35">
      <c r="A25" s="18" t="s">
        <v>991</v>
      </c>
      <c r="B25" s="6">
        <f t="shared" si="2"/>
        <v>46108</v>
      </c>
      <c r="C25" s="6">
        <f t="shared" si="2"/>
        <v>46113</v>
      </c>
      <c r="D25" s="18">
        <v>3249</v>
      </c>
      <c r="E25" s="18">
        <v>332</v>
      </c>
      <c r="F25" s="18">
        <v>3</v>
      </c>
      <c r="G25" s="18">
        <v>1</v>
      </c>
      <c r="H25" s="18">
        <v>81642</v>
      </c>
      <c r="I25" s="18" t="s">
        <v>17</v>
      </c>
      <c r="J25" s="18">
        <v>16774922</v>
      </c>
      <c r="K25" s="18" t="s">
        <v>149</v>
      </c>
      <c r="L25" s="18" t="s">
        <v>155</v>
      </c>
      <c r="M25" s="33">
        <v>229900</v>
      </c>
      <c r="N25" s="34">
        <v>0.75</v>
      </c>
      <c r="O25" s="7">
        <f t="shared" si="0"/>
        <v>57475</v>
      </c>
      <c r="P25" s="18" t="s">
        <v>16</v>
      </c>
    </row>
    <row r="26" spans="1:16" x14ac:dyDescent="0.35">
      <c r="A26" s="18" t="s">
        <v>991</v>
      </c>
      <c r="B26" s="6">
        <f t="shared" si="2"/>
        <v>46108</v>
      </c>
      <c r="C26" s="6">
        <f t="shared" si="2"/>
        <v>46113</v>
      </c>
      <c r="D26" s="18">
        <v>3249</v>
      </c>
      <c r="E26" s="18">
        <v>332</v>
      </c>
      <c r="F26" s="18">
        <v>3</v>
      </c>
      <c r="G26" s="18">
        <v>1</v>
      </c>
      <c r="H26" s="18">
        <v>81642</v>
      </c>
      <c r="I26" s="18" t="s">
        <v>17</v>
      </c>
      <c r="J26" s="18">
        <v>16774931</v>
      </c>
      <c r="K26" s="18" t="s">
        <v>156</v>
      </c>
      <c r="L26" s="18" t="s">
        <v>157</v>
      </c>
      <c r="M26" s="33">
        <v>229900</v>
      </c>
      <c r="N26" s="34">
        <v>0.75</v>
      </c>
      <c r="O26" s="7">
        <f t="shared" si="0"/>
        <v>57475</v>
      </c>
      <c r="P26" s="18" t="s">
        <v>16</v>
      </c>
    </row>
    <row r="27" spans="1:16" x14ac:dyDescent="0.35">
      <c r="A27" s="18" t="s">
        <v>991</v>
      </c>
      <c r="B27" s="6">
        <f t="shared" si="2"/>
        <v>46108</v>
      </c>
      <c r="C27" s="6">
        <f t="shared" si="2"/>
        <v>46113</v>
      </c>
      <c r="D27" s="18">
        <v>3249</v>
      </c>
      <c r="E27" s="18">
        <v>332</v>
      </c>
      <c r="F27" s="18">
        <v>3</v>
      </c>
      <c r="G27" s="18">
        <v>1</v>
      </c>
      <c r="H27" s="18">
        <v>81642</v>
      </c>
      <c r="I27" s="18" t="s">
        <v>17</v>
      </c>
      <c r="J27" s="18">
        <v>16774940</v>
      </c>
      <c r="K27" s="18" t="s">
        <v>156</v>
      </c>
      <c r="L27" s="18" t="s">
        <v>158</v>
      </c>
      <c r="M27" s="33">
        <v>229900</v>
      </c>
      <c r="N27" s="34">
        <v>0.75</v>
      </c>
      <c r="O27" s="7">
        <f t="shared" si="0"/>
        <v>57475</v>
      </c>
      <c r="P27" s="18" t="s">
        <v>16</v>
      </c>
    </row>
    <row r="28" spans="1:16" x14ac:dyDescent="0.35">
      <c r="A28" s="18" t="s">
        <v>991</v>
      </c>
      <c r="B28" s="6">
        <f t="shared" si="2"/>
        <v>46108</v>
      </c>
      <c r="C28" s="6">
        <f t="shared" si="2"/>
        <v>46113</v>
      </c>
      <c r="D28" s="18">
        <v>3249</v>
      </c>
      <c r="E28" s="18">
        <v>332</v>
      </c>
      <c r="F28" s="18">
        <v>3</v>
      </c>
      <c r="G28" s="18">
        <v>1</v>
      </c>
      <c r="H28" s="18">
        <v>81642</v>
      </c>
      <c r="I28" s="18" t="s">
        <v>17</v>
      </c>
      <c r="J28" s="18">
        <v>16774959</v>
      </c>
      <c r="K28" s="18" t="s">
        <v>156</v>
      </c>
      <c r="L28" s="18" t="s">
        <v>159</v>
      </c>
      <c r="M28" s="33">
        <v>229900</v>
      </c>
      <c r="N28" s="34">
        <v>0.75</v>
      </c>
      <c r="O28" s="7">
        <f t="shared" si="0"/>
        <v>57475</v>
      </c>
      <c r="P28" s="18" t="s">
        <v>16</v>
      </c>
    </row>
    <row r="29" spans="1:16" x14ac:dyDescent="0.35">
      <c r="A29" s="18" t="s">
        <v>991</v>
      </c>
      <c r="B29" s="6">
        <f t="shared" si="2"/>
        <v>46108</v>
      </c>
      <c r="C29" s="6">
        <f t="shared" si="2"/>
        <v>46113</v>
      </c>
      <c r="D29" s="18">
        <v>3249</v>
      </c>
      <c r="E29" s="18">
        <v>332</v>
      </c>
      <c r="F29" s="18">
        <v>3</v>
      </c>
      <c r="G29" s="18">
        <v>1</v>
      </c>
      <c r="H29" s="18">
        <v>81642</v>
      </c>
      <c r="I29" s="18" t="s">
        <v>17</v>
      </c>
      <c r="J29" s="18">
        <v>16774968</v>
      </c>
      <c r="K29" s="18" t="s">
        <v>156</v>
      </c>
      <c r="L29" s="18" t="s">
        <v>160</v>
      </c>
      <c r="M29" s="33">
        <v>229900</v>
      </c>
      <c r="N29" s="34">
        <v>0.75</v>
      </c>
      <c r="O29" s="7">
        <f t="shared" si="0"/>
        <v>57475</v>
      </c>
      <c r="P29" s="18" t="s">
        <v>16</v>
      </c>
    </row>
    <row r="30" spans="1:16" x14ac:dyDescent="0.35">
      <c r="A30" s="18" t="s">
        <v>991</v>
      </c>
      <c r="B30" s="6">
        <f t="shared" si="2"/>
        <v>46108</v>
      </c>
      <c r="C30" s="6">
        <f t="shared" si="2"/>
        <v>46113</v>
      </c>
      <c r="D30" s="18">
        <v>3249</v>
      </c>
      <c r="E30" s="18">
        <v>332</v>
      </c>
      <c r="F30" s="18">
        <v>3</v>
      </c>
      <c r="G30" s="18">
        <v>1</v>
      </c>
      <c r="H30" s="18">
        <v>81642</v>
      </c>
      <c r="I30" s="18" t="s">
        <v>17</v>
      </c>
      <c r="J30" s="18">
        <v>16774977</v>
      </c>
      <c r="K30" s="18" t="s">
        <v>156</v>
      </c>
      <c r="L30" s="18" t="s">
        <v>161</v>
      </c>
      <c r="M30" s="33">
        <v>229900</v>
      </c>
      <c r="N30" s="34">
        <v>0.75</v>
      </c>
      <c r="O30" s="7">
        <f t="shared" si="0"/>
        <v>57475</v>
      </c>
      <c r="P30" s="18" t="s">
        <v>16</v>
      </c>
    </row>
    <row r="31" spans="1:16" x14ac:dyDescent="0.35">
      <c r="A31" s="18" t="s">
        <v>991</v>
      </c>
      <c r="B31" s="6">
        <f t="shared" si="2"/>
        <v>46108</v>
      </c>
      <c r="C31" s="6">
        <f t="shared" si="2"/>
        <v>46113</v>
      </c>
      <c r="D31" s="18">
        <v>3249</v>
      </c>
      <c r="E31" s="18">
        <v>332</v>
      </c>
      <c r="F31" s="18">
        <v>3</v>
      </c>
      <c r="G31" s="18">
        <v>1</v>
      </c>
      <c r="H31" s="18">
        <v>81642</v>
      </c>
      <c r="I31" s="18" t="s">
        <v>17</v>
      </c>
      <c r="J31" s="18">
        <v>16774986</v>
      </c>
      <c r="K31" s="18" t="s">
        <v>156</v>
      </c>
      <c r="L31" s="18" t="s">
        <v>162</v>
      </c>
      <c r="M31" s="33">
        <v>229900</v>
      </c>
      <c r="N31" s="34">
        <v>0.75</v>
      </c>
      <c r="O31" s="7">
        <f t="shared" si="0"/>
        <v>57475</v>
      </c>
      <c r="P31" s="18" t="s">
        <v>16</v>
      </c>
    </row>
    <row r="32" spans="1:16" x14ac:dyDescent="0.35">
      <c r="A32" s="18" t="s">
        <v>991</v>
      </c>
      <c r="B32" s="6">
        <f t="shared" si="2"/>
        <v>46108</v>
      </c>
      <c r="C32" s="6">
        <f t="shared" si="2"/>
        <v>46113</v>
      </c>
      <c r="D32" s="18">
        <v>3249</v>
      </c>
      <c r="E32" s="18">
        <v>332</v>
      </c>
      <c r="F32" s="18">
        <v>3</v>
      </c>
      <c r="G32" s="18">
        <v>1</v>
      </c>
      <c r="H32" s="18">
        <v>81642</v>
      </c>
      <c r="I32" s="18" t="s">
        <v>17</v>
      </c>
      <c r="J32" s="18">
        <v>16774995</v>
      </c>
      <c r="K32" s="18" t="s">
        <v>163</v>
      </c>
      <c r="L32" s="18" t="s">
        <v>164</v>
      </c>
      <c r="M32" s="33">
        <v>229900</v>
      </c>
      <c r="N32" s="34">
        <v>0.75</v>
      </c>
      <c r="O32" s="7">
        <f t="shared" si="0"/>
        <v>57475</v>
      </c>
      <c r="P32" s="18" t="s">
        <v>16</v>
      </c>
    </row>
    <row r="33" spans="1:16" x14ac:dyDescent="0.35">
      <c r="A33" s="18" t="s">
        <v>991</v>
      </c>
      <c r="B33" s="6">
        <f t="shared" si="2"/>
        <v>46108</v>
      </c>
      <c r="C33" s="6">
        <f t="shared" si="2"/>
        <v>46113</v>
      </c>
      <c r="D33" s="18">
        <v>3249</v>
      </c>
      <c r="E33" s="18">
        <v>332</v>
      </c>
      <c r="F33" s="18">
        <v>3</v>
      </c>
      <c r="G33" s="18">
        <v>1</v>
      </c>
      <c r="H33" s="18">
        <v>81642</v>
      </c>
      <c r="I33" s="18" t="s">
        <v>17</v>
      </c>
      <c r="J33" s="18">
        <v>16775001</v>
      </c>
      <c r="K33" s="18" t="s">
        <v>163</v>
      </c>
      <c r="L33" s="18" t="s">
        <v>165</v>
      </c>
      <c r="M33" s="33">
        <v>229900</v>
      </c>
      <c r="N33" s="34">
        <v>0.75</v>
      </c>
      <c r="O33" s="7">
        <f t="shared" si="0"/>
        <v>57475</v>
      </c>
      <c r="P33" s="18" t="s">
        <v>16</v>
      </c>
    </row>
    <row r="34" spans="1:16" x14ac:dyDescent="0.35">
      <c r="A34" s="18" t="s">
        <v>991</v>
      </c>
      <c r="B34" s="6">
        <f t="shared" si="2"/>
        <v>46108</v>
      </c>
      <c r="C34" s="6">
        <f t="shared" si="2"/>
        <v>46113</v>
      </c>
      <c r="D34" s="18">
        <v>3249</v>
      </c>
      <c r="E34" s="18">
        <v>332</v>
      </c>
      <c r="F34" s="18">
        <v>3</v>
      </c>
      <c r="G34" s="18">
        <v>1</v>
      </c>
      <c r="H34" s="18">
        <v>81642</v>
      </c>
      <c r="I34" s="18" t="s">
        <v>17</v>
      </c>
      <c r="J34" s="18">
        <v>16775010</v>
      </c>
      <c r="K34" s="18" t="s">
        <v>163</v>
      </c>
      <c r="L34" s="18" t="s">
        <v>166</v>
      </c>
      <c r="M34" s="33">
        <v>229900</v>
      </c>
      <c r="N34" s="34">
        <v>0.75</v>
      </c>
      <c r="O34" s="7">
        <f t="shared" si="0"/>
        <v>57475</v>
      </c>
      <c r="P34" s="18" t="s">
        <v>16</v>
      </c>
    </row>
    <row r="35" spans="1:16" x14ac:dyDescent="0.35">
      <c r="A35" s="18" t="s">
        <v>991</v>
      </c>
      <c r="B35" s="6">
        <f t="shared" ref="B35:C50" si="3">B34</f>
        <v>46108</v>
      </c>
      <c r="C35" s="6">
        <f t="shared" si="3"/>
        <v>46113</v>
      </c>
      <c r="D35" s="18">
        <v>3249</v>
      </c>
      <c r="E35" s="18">
        <v>332</v>
      </c>
      <c r="F35" s="18">
        <v>3</v>
      </c>
      <c r="G35" s="18">
        <v>1</v>
      </c>
      <c r="H35" s="18">
        <v>81642</v>
      </c>
      <c r="I35" s="18" t="s">
        <v>17</v>
      </c>
      <c r="J35" s="18">
        <v>16775029</v>
      </c>
      <c r="K35" s="18" t="s">
        <v>163</v>
      </c>
      <c r="L35" s="18" t="s">
        <v>167</v>
      </c>
      <c r="M35" s="33">
        <v>229900</v>
      </c>
      <c r="N35" s="34">
        <v>0.75</v>
      </c>
      <c r="O35" s="7">
        <f t="shared" si="0"/>
        <v>57475</v>
      </c>
      <c r="P35" s="18" t="s">
        <v>16</v>
      </c>
    </row>
    <row r="36" spans="1:16" x14ac:dyDescent="0.35">
      <c r="A36" s="18" t="s">
        <v>991</v>
      </c>
      <c r="B36" s="6">
        <f t="shared" si="3"/>
        <v>46108</v>
      </c>
      <c r="C36" s="6">
        <f t="shared" si="3"/>
        <v>46113</v>
      </c>
      <c r="D36" s="18">
        <v>3249</v>
      </c>
      <c r="E36" s="18">
        <v>332</v>
      </c>
      <c r="F36" s="18">
        <v>3</v>
      </c>
      <c r="G36" s="18">
        <v>1</v>
      </c>
      <c r="H36" s="18">
        <v>81642</v>
      </c>
      <c r="I36" s="18" t="s">
        <v>17</v>
      </c>
      <c r="J36" s="18">
        <v>16775038</v>
      </c>
      <c r="K36" s="18" t="s">
        <v>163</v>
      </c>
      <c r="L36" s="18" t="s">
        <v>168</v>
      </c>
      <c r="M36" s="33">
        <v>229900</v>
      </c>
      <c r="N36" s="34">
        <v>0.75</v>
      </c>
      <c r="O36" s="7">
        <f t="shared" si="0"/>
        <v>57475</v>
      </c>
      <c r="P36" s="18" t="s">
        <v>16</v>
      </c>
    </row>
    <row r="37" spans="1:16" x14ac:dyDescent="0.35">
      <c r="A37" s="18" t="s">
        <v>991</v>
      </c>
      <c r="B37" s="6">
        <f t="shared" si="3"/>
        <v>46108</v>
      </c>
      <c r="C37" s="6">
        <f t="shared" si="3"/>
        <v>46113</v>
      </c>
      <c r="D37" s="18">
        <v>3249</v>
      </c>
      <c r="E37" s="18">
        <v>332</v>
      </c>
      <c r="F37" s="18">
        <v>3</v>
      </c>
      <c r="G37" s="18">
        <v>1</v>
      </c>
      <c r="H37" s="18">
        <v>81642</v>
      </c>
      <c r="I37" s="18" t="s">
        <v>17</v>
      </c>
      <c r="J37" s="18">
        <v>16775047</v>
      </c>
      <c r="K37" s="18" t="s">
        <v>163</v>
      </c>
      <c r="L37" s="18" t="s">
        <v>169</v>
      </c>
      <c r="M37" s="33">
        <v>229900</v>
      </c>
      <c r="N37" s="34">
        <v>0.75</v>
      </c>
      <c r="O37" s="7">
        <f t="shared" si="0"/>
        <v>57475</v>
      </c>
      <c r="P37" s="18" t="s">
        <v>16</v>
      </c>
    </row>
    <row r="38" spans="1:16" x14ac:dyDescent="0.35">
      <c r="A38" s="18" t="s">
        <v>991</v>
      </c>
      <c r="B38" s="6">
        <f t="shared" si="3"/>
        <v>46108</v>
      </c>
      <c r="C38" s="6">
        <f t="shared" si="3"/>
        <v>46113</v>
      </c>
      <c r="D38" s="18">
        <v>3249</v>
      </c>
      <c r="E38" s="18">
        <v>332</v>
      </c>
      <c r="F38" s="18">
        <v>3</v>
      </c>
      <c r="G38" s="18">
        <v>1</v>
      </c>
      <c r="H38" s="18">
        <v>81642</v>
      </c>
      <c r="I38" s="18" t="s">
        <v>17</v>
      </c>
      <c r="J38" s="18">
        <v>18248881</v>
      </c>
      <c r="K38" s="18" t="s">
        <v>170</v>
      </c>
      <c r="L38" s="18" t="s">
        <v>171</v>
      </c>
      <c r="M38" s="33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991</v>
      </c>
      <c r="B39" s="6">
        <f t="shared" si="3"/>
        <v>46108</v>
      </c>
      <c r="C39" s="6">
        <f t="shared" si="3"/>
        <v>46113</v>
      </c>
      <c r="D39" s="18">
        <v>3249</v>
      </c>
      <c r="E39" s="18">
        <v>332</v>
      </c>
      <c r="F39" s="18">
        <v>3</v>
      </c>
      <c r="G39" s="18">
        <v>1</v>
      </c>
      <c r="H39" s="18">
        <v>81642</v>
      </c>
      <c r="I39" s="18" t="s">
        <v>17</v>
      </c>
      <c r="J39" s="18">
        <v>18248890</v>
      </c>
      <c r="K39" s="18" t="s">
        <v>170</v>
      </c>
      <c r="L39" s="18" t="s">
        <v>172</v>
      </c>
      <c r="M39" s="33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991</v>
      </c>
      <c r="B40" s="6">
        <f t="shared" si="3"/>
        <v>46108</v>
      </c>
      <c r="C40" s="6">
        <f t="shared" si="3"/>
        <v>46113</v>
      </c>
      <c r="D40" s="18">
        <v>3249</v>
      </c>
      <c r="E40" s="18">
        <v>332</v>
      </c>
      <c r="F40" s="18">
        <v>3</v>
      </c>
      <c r="G40" s="18">
        <v>1</v>
      </c>
      <c r="H40" s="18">
        <v>81642</v>
      </c>
      <c r="I40" s="18" t="s">
        <v>17</v>
      </c>
      <c r="J40" s="18">
        <v>18248907</v>
      </c>
      <c r="K40" s="18" t="s">
        <v>170</v>
      </c>
      <c r="L40" s="18" t="s">
        <v>173</v>
      </c>
      <c r="M40" s="33">
        <v>249900</v>
      </c>
      <c r="N40" s="34">
        <v>0.75</v>
      </c>
      <c r="O40" s="7">
        <f t="shared" si="0"/>
        <v>62475</v>
      </c>
      <c r="P40" s="18" t="s">
        <v>16</v>
      </c>
    </row>
    <row r="41" spans="1:16" x14ac:dyDescent="0.35">
      <c r="A41" s="18" t="s">
        <v>991</v>
      </c>
      <c r="B41" s="6">
        <f t="shared" si="3"/>
        <v>46108</v>
      </c>
      <c r="C41" s="6">
        <f t="shared" si="3"/>
        <v>46113</v>
      </c>
      <c r="D41" s="18">
        <v>3249</v>
      </c>
      <c r="E41" s="18">
        <v>332</v>
      </c>
      <c r="F41" s="18">
        <v>3</v>
      </c>
      <c r="G41" s="18">
        <v>1</v>
      </c>
      <c r="H41" s="18">
        <v>81642</v>
      </c>
      <c r="I41" s="18" t="s">
        <v>17</v>
      </c>
      <c r="J41" s="18">
        <v>18248916</v>
      </c>
      <c r="K41" s="18" t="s">
        <v>170</v>
      </c>
      <c r="L41" s="18" t="s">
        <v>174</v>
      </c>
      <c r="M41" s="33">
        <v>249900</v>
      </c>
      <c r="N41" s="34">
        <v>0.75</v>
      </c>
      <c r="O41" s="7">
        <f t="shared" si="0"/>
        <v>62475</v>
      </c>
      <c r="P41" s="18" t="s">
        <v>16</v>
      </c>
    </row>
    <row r="42" spans="1:16" x14ac:dyDescent="0.35">
      <c r="A42" s="18" t="s">
        <v>991</v>
      </c>
      <c r="B42" s="6">
        <f t="shared" si="3"/>
        <v>46108</v>
      </c>
      <c r="C42" s="6">
        <f t="shared" si="3"/>
        <v>46113</v>
      </c>
      <c r="D42" s="18">
        <v>3249</v>
      </c>
      <c r="E42" s="18">
        <v>332</v>
      </c>
      <c r="F42" s="18">
        <v>3</v>
      </c>
      <c r="G42" s="18">
        <v>1</v>
      </c>
      <c r="H42" s="18">
        <v>81642</v>
      </c>
      <c r="I42" s="18" t="s">
        <v>17</v>
      </c>
      <c r="J42" s="18">
        <v>18248925</v>
      </c>
      <c r="K42" s="18" t="s">
        <v>170</v>
      </c>
      <c r="L42" s="18" t="s">
        <v>175</v>
      </c>
      <c r="M42" s="33">
        <v>249900</v>
      </c>
      <c r="N42" s="34">
        <v>0.75</v>
      </c>
      <c r="O42" s="7">
        <f t="shared" si="0"/>
        <v>62475</v>
      </c>
      <c r="P42" s="18" t="s">
        <v>16</v>
      </c>
    </row>
    <row r="43" spans="1:16" x14ac:dyDescent="0.35">
      <c r="A43" s="18" t="s">
        <v>991</v>
      </c>
      <c r="B43" s="6">
        <f t="shared" si="3"/>
        <v>46108</v>
      </c>
      <c r="C43" s="6">
        <f t="shared" si="3"/>
        <v>46113</v>
      </c>
      <c r="D43" s="18">
        <v>3249</v>
      </c>
      <c r="E43" s="18">
        <v>332</v>
      </c>
      <c r="F43" s="18">
        <v>3</v>
      </c>
      <c r="G43" s="18">
        <v>1</v>
      </c>
      <c r="H43" s="18">
        <v>81642</v>
      </c>
      <c r="I43" s="18" t="s">
        <v>17</v>
      </c>
      <c r="J43" s="18">
        <v>18248934</v>
      </c>
      <c r="K43" s="18" t="s">
        <v>170</v>
      </c>
      <c r="L43" s="18" t="s">
        <v>176</v>
      </c>
      <c r="M43" s="33">
        <v>249900</v>
      </c>
      <c r="N43" s="34">
        <v>0.75</v>
      </c>
      <c r="O43" s="7">
        <f t="shared" si="0"/>
        <v>62475</v>
      </c>
      <c r="P43" s="18" t="s">
        <v>16</v>
      </c>
    </row>
    <row r="44" spans="1:16" x14ac:dyDescent="0.35">
      <c r="A44" s="18" t="s">
        <v>991</v>
      </c>
      <c r="B44" s="6">
        <f t="shared" si="3"/>
        <v>46108</v>
      </c>
      <c r="C44" s="6">
        <f t="shared" si="3"/>
        <v>46113</v>
      </c>
      <c r="D44" s="18">
        <v>3249</v>
      </c>
      <c r="E44" s="18">
        <v>332</v>
      </c>
      <c r="F44" s="18">
        <v>3</v>
      </c>
      <c r="G44" s="18">
        <v>1</v>
      </c>
      <c r="H44" s="18">
        <v>81642</v>
      </c>
      <c r="I44" s="18" t="s">
        <v>17</v>
      </c>
      <c r="J44" s="18">
        <v>18248943</v>
      </c>
      <c r="K44" s="18" t="s">
        <v>177</v>
      </c>
      <c r="L44" s="18" t="s">
        <v>178</v>
      </c>
      <c r="M44" s="33">
        <v>249900</v>
      </c>
      <c r="N44" s="34">
        <v>0.75</v>
      </c>
      <c r="O44" s="7">
        <f t="shared" si="0"/>
        <v>62475</v>
      </c>
      <c r="P44" s="18" t="s">
        <v>16</v>
      </c>
    </row>
    <row r="45" spans="1:16" x14ac:dyDescent="0.35">
      <c r="A45" s="18" t="s">
        <v>991</v>
      </c>
      <c r="B45" s="6">
        <f t="shared" si="3"/>
        <v>46108</v>
      </c>
      <c r="C45" s="6">
        <f t="shared" si="3"/>
        <v>46113</v>
      </c>
      <c r="D45" s="18">
        <v>3249</v>
      </c>
      <c r="E45" s="18">
        <v>332</v>
      </c>
      <c r="F45" s="18">
        <v>3</v>
      </c>
      <c r="G45" s="18">
        <v>1</v>
      </c>
      <c r="H45" s="18">
        <v>81642</v>
      </c>
      <c r="I45" s="18" t="s">
        <v>17</v>
      </c>
      <c r="J45" s="18">
        <v>18248952</v>
      </c>
      <c r="K45" s="18" t="s">
        <v>177</v>
      </c>
      <c r="L45" s="18" t="s">
        <v>179</v>
      </c>
      <c r="M45" s="33">
        <v>249900</v>
      </c>
      <c r="N45" s="34">
        <v>0.75</v>
      </c>
      <c r="O45" s="7">
        <f t="shared" si="0"/>
        <v>62475</v>
      </c>
      <c r="P45" s="18" t="s">
        <v>16</v>
      </c>
    </row>
    <row r="46" spans="1:16" x14ac:dyDescent="0.35">
      <c r="A46" s="18" t="s">
        <v>991</v>
      </c>
      <c r="B46" s="6">
        <f t="shared" si="3"/>
        <v>46108</v>
      </c>
      <c r="C46" s="6">
        <f t="shared" si="3"/>
        <v>46113</v>
      </c>
      <c r="D46" s="18">
        <v>3249</v>
      </c>
      <c r="E46" s="18">
        <v>332</v>
      </c>
      <c r="F46" s="18">
        <v>3</v>
      </c>
      <c r="G46" s="18">
        <v>1</v>
      </c>
      <c r="H46" s="18">
        <v>81642</v>
      </c>
      <c r="I46" s="18" t="s">
        <v>17</v>
      </c>
      <c r="J46" s="18">
        <v>18248961</v>
      </c>
      <c r="K46" s="18" t="s">
        <v>177</v>
      </c>
      <c r="L46" s="18" t="s">
        <v>180</v>
      </c>
      <c r="M46" s="33">
        <v>249900</v>
      </c>
      <c r="N46" s="34">
        <v>0.75</v>
      </c>
      <c r="O46" s="7">
        <f t="shared" si="0"/>
        <v>62475</v>
      </c>
      <c r="P46" s="18" t="s">
        <v>16</v>
      </c>
    </row>
    <row r="47" spans="1:16" x14ac:dyDescent="0.35">
      <c r="A47" s="18" t="s">
        <v>991</v>
      </c>
      <c r="B47" s="6">
        <f t="shared" si="3"/>
        <v>46108</v>
      </c>
      <c r="C47" s="6">
        <f t="shared" si="3"/>
        <v>46113</v>
      </c>
      <c r="D47" s="18">
        <v>3249</v>
      </c>
      <c r="E47" s="18">
        <v>332</v>
      </c>
      <c r="F47" s="18">
        <v>3</v>
      </c>
      <c r="G47" s="18">
        <v>1</v>
      </c>
      <c r="H47" s="18">
        <v>81642</v>
      </c>
      <c r="I47" s="18" t="s">
        <v>17</v>
      </c>
      <c r="J47" s="18">
        <v>18248970</v>
      </c>
      <c r="K47" s="18" t="s">
        <v>177</v>
      </c>
      <c r="L47" s="18" t="s">
        <v>181</v>
      </c>
      <c r="M47" s="33">
        <v>249900</v>
      </c>
      <c r="N47" s="34">
        <v>0.75</v>
      </c>
      <c r="O47" s="7">
        <f t="shared" si="0"/>
        <v>62475</v>
      </c>
      <c r="P47" s="18" t="s">
        <v>16</v>
      </c>
    </row>
    <row r="48" spans="1:16" x14ac:dyDescent="0.35">
      <c r="A48" s="18" t="s">
        <v>991</v>
      </c>
      <c r="B48" s="6">
        <f t="shared" si="3"/>
        <v>46108</v>
      </c>
      <c r="C48" s="6">
        <f t="shared" si="3"/>
        <v>46113</v>
      </c>
      <c r="D48" s="18">
        <v>3249</v>
      </c>
      <c r="E48" s="18">
        <v>332</v>
      </c>
      <c r="F48" s="18">
        <v>3</v>
      </c>
      <c r="G48" s="18">
        <v>1</v>
      </c>
      <c r="H48" s="18">
        <v>81642</v>
      </c>
      <c r="I48" s="18" t="s">
        <v>17</v>
      </c>
      <c r="J48" s="18">
        <v>18248989</v>
      </c>
      <c r="K48" s="18" t="s">
        <v>177</v>
      </c>
      <c r="L48" s="18" t="s">
        <v>182</v>
      </c>
      <c r="M48" s="33">
        <v>249900</v>
      </c>
      <c r="N48" s="34">
        <v>0.75</v>
      </c>
      <c r="O48" s="7">
        <f t="shared" si="0"/>
        <v>62475</v>
      </c>
      <c r="P48" s="18" t="s">
        <v>16</v>
      </c>
    </row>
    <row r="49" spans="1:16" x14ac:dyDescent="0.35">
      <c r="A49" s="18" t="s">
        <v>991</v>
      </c>
      <c r="B49" s="6">
        <f t="shared" si="3"/>
        <v>46108</v>
      </c>
      <c r="C49" s="6">
        <f t="shared" si="3"/>
        <v>46113</v>
      </c>
      <c r="D49" s="18">
        <v>3249</v>
      </c>
      <c r="E49" s="18">
        <v>332</v>
      </c>
      <c r="F49" s="18">
        <v>3</v>
      </c>
      <c r="G49" s="18">
        <v>1</v>
      </c>
      <c r="H49" s="18">
        <v>81642</v>
      </c>
      <c r="I49" s="18" t="s">
        <v>17</v>
      </c>
      <c r="J49" s="18">
        <v>18248998</v>
      </c>
      <c r="K49" s="18" t="s">
        <v>177</v>
      </c>
      <c r="L49" s="18" t="s">
        <v>183</v>
      </c>
      <c r="M49" s="33">
        <v>249900</v>
      </c>
      <c r="N49" s="34">
        <v>0.75</v>
      </c>
      <c r="O49" s="7">
        <f t="shared" si="0"/>
        <v>62475</v>
      </c>
      <c r="P49" s="18" t="s">
        <v>16</v>
      </c>
    </row>
    <row r="50" spans="1:16" x14ac:dyDescent="0.35">
      <c r="A50" s="18" t="s">
        <v>991</v>
      </c>
      <c r="B50" s="6">
        <f t="shared" si="3"/>
        <v>46108</v>
      </c>
      <c r="C50" s="6">
        <f t="shared" si="3"/>
        <v>46113</v>
      </c>
      <c r="D50" s="18">
        <v>3249</v>
      </c>
      <c r="E50" s="18">
        <v>332</v>
      </c>
      <c r="F50" s="18">
        <v>3</v>
      </c>
      <c r="G50" s="18">
        <v>1</v>
      </c>
      <c r="H50" s="18">
        <v>81642</v>
      </c>
      <c r="I50" s="18" t="s">
        <v>17</v>
      </c>
      <c r="J50" s="18">
        <v>18249004</v>
      </c>
      <c r="K50" s="18" t="s">
        <v>184</v>
      </c>
      <c r="L50" s="18" t="s">
        <v>185</v>
      </c>
      <c r="M50" s="33">
        <v>249900</v>
      </c>
      <c r="N50" s="34">
        <v>0.75</v>
      </c>
      <c r="O50" s="7">
        <f t="shared" si="0"/>
        <v>62475</v>
      </c>
      <c r="P50" s="18" t="s">
        <v>16</v>
      </c>
    </row>
    <row r="51" spans="1:16" x14ac:dyDescent="0.35">
      <c r="A51" s="18" t="s">
        <v>991</v>
      </c>
      <c r="B51" s="6">
        <f t="shared" ref="B51:C66" si="4">B50</f>
        <v>46108</v>
      </c>
      <c r="C51" s="6">
        <f t="shared" si="4"/>
        <v>46113</v>
      </c>
      <c r="D51" s="18">
        <v>3249</v>
      </c>
      <c r="E51" s="18">
        <v>332</v>
      </c>
      <c r="F51" s="18">
        <v>3</v>
      </c>
      <c r="G51" s="18">
        <v>1</v>
      </c>
      <c r="H51" s="18">
        <v>81642</v>
      </c>
      <c r="I51" s="18" t="s">
        <v>17</v>
      </c>
      <c r="J51" s="18">
        <v>18249013</v>
      </c>
      <c r="K51" s="18" t="s">
        <v>184</v>
      </c>
      <c r="L51" s="18" t="s">
        <v>186</v>
      </c>
      <c r="M51" s="33">
        <v>249900</v>
      </c>
      <c r="N51" s="34">
        <v>0.75</v>
      </c>
      <c r="O51" s="7">
        <f t="shared" si="0"/>
        <v>62475</v>
      </c>
      <c r="P51" s="18" t="s">
        <v>16</v>
      </c>
    </row>
    <row r="52" spans="1:16" x14ac:dyDescent="0.35">
      <c r="A52" s="18" t="s">
        <v>991</v>
      </c>
      <c r="B52" s="6">
        <f t="shared" si="4"/>
        <v>46108</v>
      </c>
      <c r="C52" s="6">
        <f t="shared" si="4"/>
        <v>46113</v>
      </c>
      <c r="D52" s="18">
        <v>3249</v>
      </c>
      <c r="E52" s="18">
        <v>332</v>
      </c>
      <c r="F52" s="18">
        <v>3</v>
      </c>
      <c r="G52" s="18">
        <v>1</v>
      </c>
      <c r="H52" s="18">
        <v>81642</v>
      </c>
      <c r="I52" s="18" t="s">
        <v>17</v>
      </c>
      <c r="J52" s="18">
        <v>18249022</v>
      </c>
      <c r="K52" s="18" t="s">
        <v>184</v>
      </c>
      <c r="L52" s="18" t="s">
        <v>187</v>
      </c>
      <c r="M52" s="33">
        <v>249900</v>
      </c>
      <c r="N52" s="34">
        <v>0.75</v>
      </c>
      <c r="O52" s="7">
        <f t="shared" si="0"/>
        <v>62475</v>
      </c>
      <c r="P52" s="18" t="s">
        <v>16</v>
      </c>
    </row>
    <row r="53" spans="1:16" x14ac:dyDescent="0.35">
      <c r="A53" s="18" t="s">
        <v>991</v>
      </c>
      <c r="B53" s="6">
        <f t="shared" si="4"/>
        <v>46108</v>
      </c>
      <c r="C53" s="6">
        <f t="shared" si="4"/>
        <v>46113</v>
      </c>
      <c r="D53" s="18">
        <v>3249</v>
      </c>
      <c r="E53" s="18">
        <v>332</v>
      </c>
      <c r="F53" s="18">
        <v>3</v>
      </c>
      <c r="G53" s="18">
        <v>1</v>
      </c>
      <c r="H53" s="18">
        <v>81642</v>
      </c>
      <c r="I53" s="18" t="s">
        <v>17</v>
      </c>
      <c r="J53" s="18">
        <v>18249031</v>
      </c>
      <c r="K53" s="18" t="s">
        <v>184</v>
      </c>
      <c r="L53" s="18" t="s">
        <v>188</v>
      </c>
      <c r="M53" s="33">
        <v>249900</v>
      </c>
      <c r="N53" s="34">
        <v>0.75</v>
      </c>
      <c r="O53" s="7">
        <f t="shared" si="0"/>
        <v>62475</v>
      </c>
      <c r="P53" s="18" t="s">
        <v>16</v>
      </c>
    </row>
    <row r="54" spans="1:16" x14ac:dyDescent="0.35">
      <c r="A54" s="18" t="s">
        <v>991</v>
      </c>
      <c r="B54" s="6">
        <f t="shared" si="4"/>
        <v>46108</v>
      </c>
      <c r="C54" s="6">
        <f t="shared" si="4"/>
        <v>46113</v>
      </c>
      <c r="D54" s="18">
        <v>3249</v>
      </c>
      <c r="E54" s="18">
        <v>332</v>
      </c>
      <c r="F54" s="18">
        <v>3</v>
      </c>
      <c r="G54" s="18">
        <v>1</v>
      </c>
      <c r="H54" s="18">
        <v>81642</v>
      </c>
      <c r="I54" s="18" t="s">
        <v>17</v>
      </c>
      <c r="J54" s="18">
        <v>18249040</v>
      </c>
      <c r="K54" s="18" t="s">
        <v>184</v>
      </c>
      <c r="L54" s="18" t="s">
        <v>189</v>
      </c>
      <c r="M54" s="33">
        <v>249900</v>
      </c>
      <c r="N54" s="34">
        <v>0.75</v>
      </c>
      <c r="O54" s="7">
        <f t="shared" si="0"/>
        <v>62475</v>
      </c>
      <c r="P54" s="18" t="s">
        <v>16</v>
      </c>
    </row>
    <row r="55" spans="1:16" x14ac:dyDescent="0.35">
      <c r="A55" s="18" t="s">
        <v>991</v>
      </c>
      <c r="B55" s="6">
        <f t="shared" si="4"/>
        <v>46108</v>
      </c>
      <c r="C55" s="6">
        <f t="shared" si="4"/>
        <v>46113</v>
      </c>
      <c r="D55" s="18">
        <v>3249</v>
      </c>
      <c r="E55" s="18">
        <v>332</v>
      </c>
      <c r="F55" s="18">
        <v>3</v>
      </c>
      <c r="G55" s="18">
        <v>1</v>
      </c>
      <c r="H55" s="18">
        <v>81642</v>
      </c>
      <c r="I55" s="18" t="s">
        <v>17</v>
      </c>
      <c r="J55" s="18">
        <v>18249059</v>
      </c>
      <c r="K55" s="18" t="s">
        <v>184</v>
      </c>
      <c r="L55" s="18" t="s">
        <v>190</v>
      </c>
      <c r="M55" s="33">
        <v>249900</v>
      </c>
      <c r="N55" s="34">
        <v>0.75</v>
      </c>
      <c r="O55" s="7">
        <f t="shared" si="0"/>
        <v>62475</v>
      </c>
      <c r="P55" s="18" t="s">
        <v>16</v>
      </c>
    </row>
    <row r="56" spans="1:16" x14ac:dyDescent="0.35">
      <c r="A56" s="18" t="s">
        <v>991</v>
      </c>
      <c r="B56" s="6">
        <f t="shared" si="4"/>
        <v>46108</v>
      </c>
      <c r="C56" s="6">
        <f t="shared" si="4"/>
        <v>46113</v>
      </c>
      <c r="D56" s="18">
        <v>3249</v>
      </c>
      <c r="E56" s="18">
        <v>332</v>
      </c>
      <c r="F56" s="18">
        <v>3</v>
      </c>
      <c r="G56" s="18">
        <v>1</v>
      </c>
      <c r="H56" s="18">
        <v>81642</v>
      </c>
      <c r="I56" s="18" t="s">
        <v>17</v>
      </c>
      <c r="J56" s="18">
        <v>84449852</v>
      </c>
      <c r="K56" s="18" t="s">
        <v>191</v>
      </c>
      <c r="L56" s="18" t="s">
        <v>192</v>
      </c>
      <c r="M56" s="33">
        <v>249900</v>
      </c>
      <c r="N56" s="34">
        <v>0.75</v>
      </c>
      <c r="O56" s="7">
        <f t="shared" si="0"/>
        <v>62475</v>
      </c>
      <c r="P56" s="18" t="s">
        <v>16</v>
      </c>
    </row>
    <row r="57" spans="1:16" x14ac:dyDescent="0.35">
      <c r="A57" s="18" t="s">
        <v>991</v>
      </c>
      <c r="B57" s="6">
        <f t="shared" si="4"/>
        <v>46108</v>
      </c>
      <c r="C57" s="6">
        <f t="shared" si="4"/>
        <v>46113</v>
      </c>
      <c r="D57" s="18">
        <v>3249</v>
      </c>
      <c r="E57" s="18">
        <v>332</v>
      </c>
      <c r="F57" s="18">
        <v>3</v>
      </c>
      <c r="G57" s="18">
        <v>1</v>
      </c>
      <c r="H57" s="18">
        <v>81642</v>
      </c>
      <c r="I57" s="18" t="s">
        <v>17</v>
      </c>
      <c r="J57" s="18">
        <v>84449861</v>
      </c>
      <c r="K57" s="18" t="s">
        <v>191</v>
      </c>
      <c r="L57" s="18" t="s">
        <v>193</v>
      </c>
      <c r="M57" s="33">
        <v>249900</v>
      </c>
      <c r="N57" s="34">
        <v>0.75</v>
      </c>
      <c r="O57" s="7">
        <f t="shared" si="0"/>
        <v>62475</v>
      </c>
      <c r="P57" s="18" t="s">
        <v>16</v>
      </c>
    </row>
    <row r="58" spans="1:16" x14ac:dyDescent="0.35">
      <c r="A58" s="18" t="s">
        <v>991</v>
      </c>
      <c r="B58" s="6">
        <f t="shared" si="4"/>
        <v>46108</v>
      </c>
      <c r="C58" s="6">
        <f t="shared" si="4"/>
        <v>46113</v>
      </c>
      <c r="D58" s="18">
        <v>3249</v>
      </c>
      <c r="E58" s="18">
        <v>332</v>
      </c>
      <c r="F58" s="18">
        <v>3</v>
      </c>
      <c r="G58" s="18">
        <v>1</v>
      </c>
      <c r="H58" s="18">
        <v>81642</v>
      </c>
      <c r="I58" s="18" t="s">
        <v>17</v>
      </c>
      <c r="J58" s="18">
        <v>84449870</v>
      </c>
      <c r="K58" s="18" t="s">
        <v>191</v>
      </c>
      <c r="L58" s="18" t="s">
        <v>194</v>
      </c>
      <c r="M58" s="33">
        <v>249900</v>
      </c>
      <c r="N58" s="34">
        <v>0.75</v>
      </c>
      <c r="O58" s="7">
        <f t="shared" si="0"/>
        <v>62475</v>
      </c>
      <c r="P58" s="18" t="s">
        <v>16</v>
      </c>
    </row>
    <row r="59" spans="1:16" x14ac:dyDescent="0.35">
      <c r="A59" s="18" t="s">
        <v>991</v>
      </c>
      <c r="B59" s="6">
        <f t="shared" si="4"/>
        <v>46108</v>
      </c>
      <c r="C59" s="6">
        <f t="shared" si="4"/>
        <v>46113</v>
      </c>
      <c r="D59" s="18">
        <v>3249</v>
      </c>
      <c r="E59" s="18">
        <v>332</v>
      </c>
      <c r="F59" s="18">
        <v>3</v>
      </c>
      <c r="G59" s="18">
        <v>1</v>
      </c>
      <c r="H59" s="18">
        <v>81642</v>
      </c>
      <c r="I59" s="18" t="s">
        <v>17</v>
      </c>
      <c r="J59" s="18">
        <v>84449889</v>
      </c>
      <c r="K59" s="18" t="s">
        <v>191</v>
      </c>
      <c r="L59" s="18" t="s">
        <v>195</v>
      </c>
      <c r="M59" s="33">
        <v>249900</v>
      </c>
      <c r="N59" s="34">
        <v>0.75</v>
      </c>
      <c r="O59" s="7">
        <f t="shared" si="0"/>
        <v>62475</v>
      </c>
      <c r="P59" s="18" t="s">
        <v>16</v>
      </c>
    </row>
    <row r="60" spans="1:16" x14ac:dyDescent="0.35">
      <c r="A60" s="18" t="s">
        <v>991</v>
      </c>
      <c r="B60" s="6">
        <f t="shared" si="4"/>
        <v>46108</v>
      </c>
      <c r="C60" s="6">
        <f t="shared" si="4"/>
        <v>46113</v>
      </c>
      <c r="D60" s="18">
        <v>3249</v>
      </c>
      <c r="E60" s="18">
        <v>332</v>
      </c>
      <c r="F60" s="18">
        <v>3</v>
      </c>
      <c r="G60" s="18">
        <v>1</v>
      </c>
      <c r="H60" s="18">
        <v>81642</v>
      </c>
      <c r="I60" s="18" t="s">
        <v>17</v>
      </c>
      <c r="J60" s="18">
        <v>84449898</v>
      </c>
      <c r="K60" s="18" t="s">
        <v>191</v>
      </c>
      <c r="L60" s="18" t="s">
        <v>196</v>
      </c>
      <c r="M60" s="33">
        <v>249900</v>
      </c>
      <c r="N60" s="34">
        <v>0.75</v>
      </c>
      <c r="O60" s="7">
        <f t="shared" si="0"/>
        <v>62475</v>
      </c>
      <c r="P60" s="18" t="s">
        <v>16</v>
      </c>
    </row>
    <row r="61" spans="1:16" x14ac:dyDescent="0.35">
      <c r="A61" s="18" t="s">
        <v>991</v>
      </c>
      <c r="B61" s="6">
        <f t="shared" si="4"/>
        <v>46108</v>
      </c>
      <c r="C61" s="6">
        <f t="shared" si="4"/>
        <v>46113</v>
      </c>
      <c r="D61" s="18">
        <v>3249</v>
      </c>
      <c r="E61" s="18">
        <v>332</v>
      </c>
      <c r="F61" s="18">
        <v>3</v>
      </c>
      <c r="G61" s="18">
        <v>1</v>
      </c>
      <c r="H61" s="18">
        <v>81642</v>
      </c>
      <c r="I61" s="18" t="s">
        <v>17</v>
      </c>
      <c r="J61" s="18">
        <v>84449905</v>
      </c>
      <c r="K61" s="18" t="s">
        <v>191</v>
      </c>
      <c r="L61" s="18" t="s">
        <v>197</v>
      </c>
      <c r="M61" s="33">
        <v>249900</v>
      </c>
      <c r="N61" s="34">
        <v>0.75</v>
      </c>
      <c r="O61" s="7">
        <f t="shared" si="0"/>
        <v>62475</v>
      </c>
      <c r="P61" s="18" t="s">
        <v>16</v>
      </c>
    </row>
    <row r="62" spans="1:16" x14ac:dyDescent="0.35">
      <c r="A62" s="18" t="s">
        <v>991</v>
      </c>
      <c r="B62" s="6">
        <f t="shared" si="4"/>
        <v>46108</v>
      </c>
      <c r="C62" s="6">
        <f t="shared" si="4"/>
        <v>46113</v>
      </c>
      <c r="D62" s="18">
        <v>3249</v>
      </c>
      <c r="E62" s="18">
        <v>332</v>
      </c>
      <c r="F62" s="18">
        <v>3</v>
      </c>
      <c r="G62" s="18">
        <v>1</v>
      </c>
      <c r="H62" s="18">
        <v>81642</v>
      </c>
      <c r="I62" s="18" t="s">
        <v>17</v>
      </c>
      <c r="J62" s="18">
        <v>84449914</v>
      </c>
      <c r="K62" s="18" t="s">
        <v>198</v>
      </c>
      <c r="L62" s="18" t="s">
        <v>199</v>
      </c>
      <c r="M62" s="33">
        <v>249900</v>
      </c>
      <c r="N62" s="34">
        <v>0.75</v>
      </c>
      <c r="O62" s="7">
        <f t="shared" si="0"/>
        <v>62475</v>
      </c>
      <c r="P62" s="18" t="s">
        <v>16</v>
      </c>
    </row>
    <row r="63" spans="1:16" x14ac:dyDescent="0.35">
      <c r="A63" s="18" t="s">
        <v>991</v>
      </c>
      <c r="B63" s="6">
        <f t="shared" si="4"/>
        <v>46108</v>
      </c>
      <c r="C63" s="6">
        <f t="shared" si="4"/>
        <v>46113</v>
      </c>
      <c r="D63" s="18">
        <v>3249</v>
      </c>
      <c r="E63" s="18">
        <v>332</v>
      </c>
      <c r="F63" s="18">
        <v>3</v>
      </c>
      <c r="G63" s="18">
        <v>1</v>
      </c>
      <c r="H63" s="18">
        <v>81642</v>
      </c>
      <c r="I63" s="18" t="s">
        <v>17</v>
      </c>
      <c r="J63" s="18">
        <v>84449923</v>
      </c>
      <c r="K63" s="18" t="s">
        <v>198</v>
      </c>
      <c r="L63" s="18" t="s">
        <v>200</v>
      </c>
      <c r="M63" s="33">
        <v>249900</v>
      </c>
      <c r="N63" s="34">
        <v>0.75</v>
      </c>
      <c r="O63" s="7">
        <f t="shared" si="0"/>
        <v>62475</v>
      </c>
      <c r="P63" s="18" t="s">
        <v>16</v>
      </c>
    </row>
    <row r="64" spans="1:16" x14ac:dyDescent="0.35">
      <c r="A64" s="18" t="s">
        <v>991</v>
      </c>
      <c r="B64" s="6">
        <f t="shared" si="4"/>
        <v>46108</v>
      </c>
      <c r="C64" s="6">
        <f t="shared" si="4"/>
        <v>46113</v>
      </c>
      <c r="D64" s="18">
        <v>3249</v>
      </c>
      <c r="E64" s="18">
        <v>332</v>
      </c>
      <c r="F64" s="18">
        <v>3</v>
      </c>
      <c r="G64" s="18">
        <v>1</v>
      </c>
      <c r="H64" s="18">
        <v>81642</v>
      </c>
      <c r="I64" s="18" t="s">
        <v>17</v>
      </c>
      <c r="J64" s="18">
        <v>84449932</v>
      </c>
      <c r="K64" s="18" t="s">
        <v>198</v>
      </c>
      <c r="L64" s="18" t="s">
        <v>201</v>
      </c>
      <c r="M64" s="33">
        <v>249900</v>
      </c>
      <c r="N64" s="34">
        <v>0.75</v>
      </c>
      <c r="O64" s="7">
        <f t="shared" si="0"/>
        <v>62475</v>
      </c>
      <c r="P64" s="18" t="s">
        <v>16</v>
      </c>
    </row>
    <row r="65" spans="1:16" x14ac:dyDescent="0.35">
      <c r="A65" s="18" t="s">
        <v>991</v>
      </c>
      <c r="B65" s="6">
        <f t="shared" si="4"/>
        <v>46108</v>
      </c>
      <c r="C65" s="6">
        <f t="shared" si="4"/>
        <v>46113</v>
      </c>
      <c r="D65" s="18">
        <v>3249</v>
      </c>
      <c r="E65" s="18">
        <v>332</v>
      </c>
      <c r="F65" s="18">
        <v>3</v>
      </c>
      <c r="G65" s="18">
        <v>1</v>
      </c>
      <c r="H65" s="18">
        <v>81642</v>
      </c>
      <c r="I65" s="18" t="s">
        <v>17</v>
      </c>
      <c r="J65" s="18">
        <v>84449941</v>
      </c>
      <c r="K65" s="18" t="s">
        <v>198</v>
      </c>
      <c r="L65" s="18" t="s">
        <v>202</v>
      </c>
      <c r="M65" s="33">
        <v>249900</v>
      </c>
      <c r="N65" s="34">
        <v>0.75</v>
      </c>
      <c r="O65" s="7">
        <f t="shared" si="0"/>
        <v>62475</v>
      </c>
      <c r="P65" s="18" t="s">
        <v>16</v>
      </c>
    </row>
    <row r="66" spans="1:16" x14ac:dyDescent="0.35">
      <c r="A66" s="18" t="s">
        <v>991</v>
      </c>
      <c r="B66" s="6">
        <f t="shared" si="4"/>
        <v>46108</v>
      </c>
      <c r="C66" s="6">
        <f t="shared" si="4"/>
        <v>46113</v>
      </c>
      <c r="D66" s="18">
        <v>3249</v>
      </c>
      <c r="E66" s="18">
        <v>332</v>
      </c>
      <c r="F66" s="18">
        <v>3</v>
      </c>
      <c r="G66" s="18">
        <v>1</v>
      </c>
      <c r="H66" s="18">
        <v>81642</v>
      </c>
      <c r="I66" s="18" t="s">
        <v>17</v>
      </c>
      <c r="J66" s="18">
        <v>84449950</v>
      </c>
      <c r="K66" s="18" t="s">
        <v>198</v>
      </c>
      <c r="L66" s="18" t="s">
        <v>203</v>
      </c>
      <c r="M66" s="33">
        <v>249900</v>
      </c>
      <c r="N66" s="34">
        <v>0.75</v>
      </c>
      <c r="O66" s="7">
        <f t="shared" ref="O66:O129" si="5">M66-(M66*N66)</f>
        <v>62475</v>
      </c>
      <c r="P66" s="18" t="s">
        <v>16</v>
      </c>
    </row>
    <row r="67" spans="1:16" x14ac:dyDescent="0.35">
      <c r="A67" s="18" t="s">
        <v>991</v>
      </c>
      <c r="B67" s="6">
        <f t="shared" ref="B67:C82" si="6">B66</f>
        <v>46108</v>
      </c>
      <c r="C67" s="6">
        <f t="shared" si="6"/>
        <v>46113</v>
      </c>
      <c r="D67" s="18">
        <v>3249</v>
      </c>
      <c r="E67" s="18">
        <v>332</v>
      </c>
      <c r="F67" s="18">
        <v>3</v>
      </c>
      <c r="G67" s="18">
        <v>1</v>
      </c>
      <c r="H67" s="18">
        <v>81642</v>
      </c>
      <c r="I67" s="18" t="s">
        <v>17</v>
      </c>
      <c r="J67" s="18">
        <v>84449969</v>
      </c>
      <c r="K67" s="18" t="s">
        <v>198</v>
      </c>
      <c r="L67" s="18" t="s">
        <v>204</v>
      </c>
      <c r="M67" s="33">
        <v>249900</v>
      </c>
      <c r="N67" s="34">
        <v>0.75</v>
      </c>
      <c r="O67" s="7">
        <f t="shared" si="5"/>
        <v>62475</v>
      </c>
      <c r="P67" s="18" t="s">
        <v>16</v>
      </c>
    </row>
    <row r="68" spans="1:16" x14ac:dyDescent="0.35">
      <c r="A68" s="18" t="s">
        <v>991</v>
      </c>
      <c r="B68" s="6">
        <f t="shared" si="6"/>
        <v>46108</v>
      </c>
      <c r="C68" s="6">
        <f t="shared" si="6"/>
        <v>46113</v>
      </c>
      <c r="D68" s="18">
        <v>3249</v>
      </c>
      <c r="E68" s="18">
        <v>332</v>
      </c>
      <c r="F68" s="18">
        <v>3</v>
      </c>
      <c r="G68" s="18">
        <v>2</v>
      </c>
      <c r="H68" s="18">
        <v>81642</v>
      </c>
      <c r="I68" s="18" t="s">
        <v>17</v>
      </c>
      <c r="J68" s="18">
        <v>14111758</v>
      </c>
      <c r="K68" s="18" t="s">
        <v>205</v>
      </c>
      <c r="L68" s="18" t="s">
        <v>206</v>
      </c>
      <c r="M68" s="33">
        <v>279900</v>
      </c>
      <c r="N68" s="34">
        <v>0.75</v>
      </c>
      <c r="O68" s="7">
        <f t="shared" si="5"/>
        <v>69975</v>
      </c>
      <c r="P68" s="18" t="s">
        <v>16</v>
      </c>
    </row>
    <row r="69" spans="1:16" x14ac:dyDescent="0.35">
      <c r="A69" s="18" t="s">
        <v>991</v>
      </c>
      <c r="B69" s="6">
        <f t="shared" si="6"/>
        <v>46108</v>
      </c>
      <c r="C69" s="6">
        <f t="shared" si="6"/>
        <v>46113</v>
      </c>
      <c r="D69" s="18">
        <v>3249</v>
      </c>
      <c r="E69" s="18">
        <v>332</v>
      </c>
      <c r="F69" s="18">
        <v>3</v>
      </c>
      <c r="G69" s="18">
        <v>2</v>
      </c>
      <c r="H69" s="18">
        <v>81642</v>
      </c>
      <c r="I69" s="18" t="s">
        <v>17</v>
      </c>
      <c r="J69" s="18">
        <v>14111767</v>
      </c>
      <c r="K69" s="18" t="s">
        <v>205</v>
      </c>
      <c r="L69" s="18" t="s">
        <v>207</v>
      </c>
      <c r="M69" s="33">
        <v>279900</v>
      </c>
      <c r="N69" s="34">
        <v>0.75</v>
      </c>
      <c r="O69" s="7">
        <f t="shared" si="5"/>
        <v>69975</v>
      </c>
      <c r="P69" s="18" t="s">
        <v>16</v>
      </c>
    </row>
    <row r="70" spans="1:16" x14ac:dyDescent="0.35">
      <c r="A70" s="18" t="s">
        <v>991</v>
      </c>
      <c r="B70" s="6">
        <f t="shared" si="6"/>
        <v>46108</v>
      </c>
      <c r="C70" s="6">
        <f t="shared" si="6"/>
        <v>46113</v>
      </c>
      <c r="D70" s="18">
        <v>3249</v>
      </c>
      <c r="E70" s="18">
        <v>332</v>
      </c>
      <c r="F70" s="18">
        <v>3</v>
      </c>
      <c r="G70" s="18">
        <v>2</v>
      </c>
      <c r="H70" s="18">
        <v>81642</v>
      </c>
      <c r="I70" s="18" t="s">
        <v>17</v>
      </c>
      <c r="J70" s="18">
        <v>14111776</v>
      </c>
      <c r="K70" s="18" t="s">
        <v>205</v>
      </c>
      <c r="L70" s="18" t="s">
        <v>208</v>
      </c>
      <c r="M70" s="33">
        <v>279900</v>
      </c>
      <c r="N70" s="34">
        <v>0.75</v>
      </c>
      <c r="O70" s="7">
        <f t="shared" si="5"/>
        <v>69975</v>
      </c>
      <c r="P70" s="18" t="s">
        <v>16</v>
      </c>
    </row>
    <row r="71" spans="1:16" x14ac:dyDescent="0.35">
      <c r="A71" s="18" t="s">
        <v>991</v>
      </c>
      <c r="B71" s="6">
        <f t="shared" si="6"/>
        <v>46108</v>
      </c>
      <c r="C71" s="6">
        <f t="shared" si="6"/>
        <v>46113</v>
      </c>
      <c r="D71" s="18">
        <v>3249</v>
      </c>
      <c r="E71" s="18">
        <v>332</v>
      </c>
      <c r="F71" s="18">
        <v>3</v>
      </c>
      <c r="G71" s="18">
        <v>2</v>
      </c>
      <c r="H71" s="18">
        <v>81642</v>
      </c>
      <c r="I71" s="18" t="s">
        <v>17</v>
      </c>
      <c r="J71" s="18">
        <v>14111785</v>
      </c>
      <c r="K71" s="18" t="s">
        <v>205</v>
      </c>
      <c r="L71" s="18" t="s">
        <v>209</v>
      </c>
      <c r="M71" s="33">
        <v>279900</v>
      </c>
      <c r="N71" s="34">
        <v>0.75</v>
      </c>
      <c r="O71" s="7">
        <f t="shared" si="5"/>
        <v>69975</v>
      </c>
      <c r="P71" s="18" t="s">
        <v>16</v>
      </c>
    </row>
    <row r="72" spans="1:16" x14ac:dyDescent="0.35">
      <c r="A72" s="18" t="s">
        <v>991</v>
      </c>
      <c r="B72" s="6">
        <f t="shared" si="6"/>
        <v>46108</v>
      </c>
      <c r="C72" s="6">
        <f t="shared" si="6"/>
        <v>46113</v>
      </c>
      <c r="D72" s="18">
        <v>3249</v>
      </c>
      <c r="E72" s="18">
        <v>332</v>
      </c>
      <c r="F72" s="18">
        <v>3</v>
      </c>
      <c r="G72" s="18">
        <v>2</v>
      </c>
      <c r="H72" s="18">
        <v>81642</v>
      </c>
      <c r="I72" s="18" t="s">
        <v>17</v>
      </c>
      <c r="J72" s="18">
        <v>14111794</v>
      </c>
      <c r="K72" s="18" t="s">
        <v>205</v>
      </c>
      <c r="L72" s="18" t="s">
        <v>210</v>
      </c>
      <c r="M72" s="33">
        <v>279900</v>
      </c>
      <c r="N72" s="34">
        <v>0.75</v>
      </c>
      <c r="O72" s="7">
        <f t="shared" si="5"/>
        <v>69975</v>
      </c>
      <c r="P72" s="18" t="s">
        <v>16</v>
      </c>
    </row>
    <row r="73" spans="1:16" x14ac:dyDescent="0.35">
      <c r="A73" s="18" t="s">
        <v>991</v>
      </c>
      <c r="B73" s="6">
        <f t="shared" si="6"/>
        <v>46108</v>
      </c>
      <c r="C73" s="6">
        <f t="shared" si="6"/>
        <v>46113</v>
      </c>
      <c r="D73" s="18">
        <v>3249</v>
      </c>
      <c r="E73" s="18">
        <v>332</v>
      </c>
      <c r="F73" s="18">
        <v>3</v>
      </c>
      <c r="G73" s="18">
        <v>2</v>
      </c>
      <c r="H73" s="18">
        <v>81642</v>
      </c>
      <c r="I73" s="18" t="s">
        <v>17</v>
      </c>
      <c r="J73" s="18">
        <v>14111801</v>
      </c>
      <c r="K73" s="18" t="s">
        <v>205</v>
      </c>
      <c r="L73" s="18" t="s">
        <v>211</v>
      </c>
      <c r="M73" s="33">
        <v>279900</v>
      </c>
      <c r="N73" s="34">
        <v>0.75</v>
      </c>
      <c r="O73" s="7">
        <f t="shared" si="5"/>
        <v>69975</v>
      </c>
      <c r="P73" s="18" t="s">
        <v>16</v>
      </c>
    </row>
    <row r="74" spans="1:16" x14ac:dyDescent="0.35">
      <c r="A74" s="18" t="s">
        <v>991</v>
      </c>
      <c r="B74" s="6">
        <f t="shared" si="6"/>
        <v>46108</v>
      </c>
      <c r="C74" s="6">
        <f t="shared" si="6"/>
        <v>46113</v>
      </c>
      <c r="D74" s="18">
        <v>3249</v>
      </c>
      <c r="E74" s="18">
        <v>332</v>
      </c>
      <c r="F74" s="18">
        <v>3</v>
      </c>
      <c r="G74" s="18">
        <v>2</v>
      </c>
      <c r="H74" s="18">
        <v>81642</v>
      </c>
      <c r="I74" s="18" t="s">
        <v>17</v>
      </c>
      <c r="J74" s="18">
        <v>14111810</v>
      </c>
      <c r="K74" s="18" t="s">
        <v>212</v>
      </c>
      <c r="L74" s="18" t="s">
        <v>213</v>
      </c>
      <c r="M74" s="33">
        <v>279900</v>
      </c>
      <c r="N74" s="34">
        <v>0.75</v>
      </c>
      <c r="O74" s="7">
        <f t="shared" si="5"/>
        <v>69975</v>
      </c>
      <c r="P74" s="18" t="s">
        <v>16</v>
      </c>
    </row>
    <row r="75" spans="1:16" x14ac:dyDescent="0.35">
      <c r="A75" s="18" t="s">
        <v>991</v>
      </c>
      <c r="B75" s="6">
        <f t="shared" si="6"/>
        <v>46108</v>
      </c>
      <c r="C75" s="6">
        <f t="shared" si="6"/>
        <v>46113</v>
      </c>
      <c r="D75" s="18">
        <v>3249</v>
      </c>
      <c r="E75" s="18">
        <v>332</v>
      </c>
      <c r="F75" s="18">
        <v>3</v>
      </c>
      <c r="G75" s="18">
        <v>2</v>
      </c>
      <c r="H75" s="18">
        <v>81642</v>
      </c>
      <c r="I75" s="18" t="s">
        <v>17</v>
      </c>
      <c r="J75" s="18">
        <v>14111829</v>
      </c>
      <c r="K75" s="18" t="s">
        <v>212</v>
      </c>
      <c r="L75" s="18" t="s">
        <v>214</v>
      </c>
      <c r="M75" s="33">
        <v>279900</v>
      </c>
      <c r="N75" s="34">
        <v>0.75</v>
      </c>
      <c r="O75" s="7">
        <f t="shared" si="5"/>
        <v>69975</v>
      </c>
      <c r="P75" s="18" t="s">
        <v>16</v>
      </c>
    </row>
    <row r="76" spans="1:16" x14ac:dyDescent="0.35">
      <c r="A76" s="18" t="s">
        <v>991</v>
      </c>
      <c r="B76" s="6">
        <f t="shared" si="6"/>
        <v>46108</v>
      </c>
      <c r="C76" s="6">
        <f t="shared" si="6"/>
        <v>46113</v>
      </c>
      <c r="D76" s="18">
        <v>3249</v>
      </c>
      <c r="E76" s="18">
        <v>332</v>
      </c>
      <c r="F76" s="18">
        <v>3</v>
      </c>
      <c r="G76" s="18">
        <v>2</v>
      </c>
      <c r="H76" s="18">
        <v>81642</v>
      </c>
      <c r="I76" s="18" t="s">
        <v>17</v>
      </c>
      <c r="J76" s="18">
        <v>14111838</v>
      </c>
      <c r="K76" s="18" t="s">
        <v>212</v>
      </c>
      <c r="L76" s="18" t="s">
        <v>215</v>
      </c>
      <c r="M76" s="33">
        <v>279900</v>
      </c>
      <c r="N76" s="34">
        <v>0.75</v>
      </c>
      <c r="O76" s="7">
        <f t="shared" si="5"/>
        <v>69975</v>
      </c>
      <c r="P76" s="18" t="s">
        <v>16</v>
      </c>
    </row>
    <row r="77" spans="1:16" x14ac:dyDescent="0.35">
      <c r="A77" s="18" t="s">
        <v>991</v>
      </c>
      <c r="B77" s="6">
        <f t="shared" si="6"/>
        <v>46108</v>
      </c>
      <c r="C77" s="6">
        <f t="shared" si="6"/>
        <v>46113</v>
      </c>
      <c r="D77" s="18">
        <v>3249</v>
      </c>
      <c r="E77" s="18">
        <v>332</v>
      </c>
      <c r="F77" s="18">
        <v>3</v>
      </c>
      <c r="G77" s="18">
        <v>2</v>
      </c>
      <c r="H77" s="18">
        <v>81642</v>
      </c>
      <c r="I77" s="18" t="s">
        <v>17</v>
      </c>
      <c r="J77" s="18">
        <v>14111847</v>
      </c>
      <c r="K77" s="18" t="s">
        <v>212</v>
      </c>
      <c r="L77" s="18" t="s">
        <v>216</v>
      </c>
      <c r="M77" s="33">
        <v>279900</v>
      </c>
      <c r="N77" s="34">
        <v>0.75</v>
      </c>
      <c r="O77" s="7">
        <f t="shared" si="5"/>
        <v>69975</v>
      </c>
      <c r="P77" s="18" t="s">
        <v>16</v>
      </c>
    </row>
    <row r="78" spans="1:16" x14ac:dyDescent="0.35">
      <c r="A78" s="18" t="s">
        <v>991</v>
      </c>
      <c r="B78" s="6">
        <f t="shared" si="6"/>
        <v>46108</v>
      </c>
      <c r="C78" s="6">
        <f t="shared" si="6"/>
        <v>46113</v>
      </c>
      <c r="D78" s="18">
        <v>3249</v>
      </c>
      <c r="E78" s="18">
        <v>332</v>
      </c>
      <c r="F78" s="18">
        <v>3</v>
      </c>
      <c r="G78" s="18">
        <v>2</v>
      </c>
      <c r="H78" s="18">
        <v>81642</v>
      </c>
      <c r="I78" s="18" t="s">
        <v>17</v>
      </c>
      <c r="J78" s="18">
        <v>14111856</v>
      </c>
      <c r="K78" s="18" t="s">
        <v>212</v>
      </c>
      <c r="L78" s="18" t="s">
        <v>217</v>
      </c>
      <c r="M78" s="33">
        <v>279900</v>
      </c>
      <c r="N78" s="34">
        <v>0.75</v>
      </c>
      <c r="O78" s="7">
        <f t="shared" si="5"/>
        <v>69975</v>
      </c>
      <c r="P78" s="18" t="s">
        <v>16</v>
      </c>
    </row>
    <row r="79" spans="1:16" x14ac:dyDescent="0.35">
      <c r="A79" s="18" t="s">
        <v>991</v>
      </c>
      <c r="B79" s="6">
        <f t="shared" si="6"/>
        <v>46108</v>
      </c>
      <c r="C79" s="6">
        <f t="shared" si="6"/>
        <v>46113</v>
      </c>
      <c r="D79" s="18">
        <v>3249</v>
      </c>
      <c r="E79" s="18">
        <v>332</v>
      </c>
      <c r="F79" s="18">
        <v>3</v>
      </c>
      <c r="G79" s="18">
        <v>2</v>
      </c>
      <c r="H79" s="18">
        <v>81642</v>
      </c>
      <c r="I79" s="18" t="s">
        <v>17</v>
      </c>
      <c r="J79" s="18">
        <v>14111865</v>
      </c>
      <c r="K79" s="18" t="s">
        <v>212</v>
      </c>
      <c r="L79" s="18" t="s">
        <v>218</v>
      </c>
      <c r="M79" s="33">
        <v>279900</v>
      </c>
      <c r="N79" s="34">
        <v>0.75</v>
      </c>
      <c r="O79" s="7">
        <f t="shared" si="5"/>
        <v>69975</v>
      </c>
      <c r="P79" s="18" t="s">
        <v>16</v>
      </c>
    </row>
    <row r="80" spans="1:16" x14ac:dyDescent="0.35">
      <c r="A80" s="18" t="s">
        <v>991</v>
      </c>
      <c r="B80" s="6">
        <f t="shared" si="6"/>
        <v>46108</v>
      </c>
      <c r="C80" s="6">
        <f t="shared" si="6"/>
        <v>46113</v>
      </c>
      <c r="D80" s="18">
        <v>3249</v>
      </c>
      <c r="E80" s="18">
        <v>332</v>
      </c>
      <c r="F80" s="18">
        <v>3</v>
      </c>
      <c r="G80" s="18">
        <v>2</v>
      </c>
      <c r="H80" s="18">
        <v>81642</v>
      </c>
      <c r="I80" s="18" t="s">
        <v>17</v>
      </c>
      <c r="J80" s="18">
        <v>15271315</v>
      </c>
      <c r="K80" s="18" t="s">
        <v>219</v>
      </c>
      <c r="L80" s="18" t="s">
        <v>220</v>
      </c>
      <c r="M80" s="33">
        <v>279900</v>
      </c>
      <c r="N80" s="34">
        <v>0.75</v>
      </c>
      <c r="O80" s="7">
        <f t="shared" si="5"/>
        <v>69975</v>
      </c>
      <c r="P80" s="18" t="s">
        <v>16</v>
      </c>
    </row>
    <row r="81" spans="1:16" x14ac:dyDescent="0.35">
      <c r="A81" s="18" t="s">
        <v>991</v>
      </c>
      <c r="B81" s="6">
        <f t="shared" si="6"/>
        <v>46108</v>
      </c>
      <c r="C81" s="6">
        <f t="shared" si="6"/>
        <v>46113</v>
      </c>
      <c r="D81" s="18">
        <v>3249</v>
      </c>
      <c r="E81" s="18">
        <v>332</v>
      </c>
      <c r="F81" s="18">
        <v>3</v>
      </c>
      <c r="G81" s="18">
        <v>2</v>
      </c>
      <c r="H81" s="18">
        <v>81642</v>
      </c>
      <c r="I81" s="18" t="s">
        <v>17</v>
      </c>
      <c r="J81" s="18">
        <v>15271324</v>
      </c>
      <c r="K81" s="18" t="s">
        <v>219</v>
      </c>
      <c r="L81" s="18" t="s">
        <v>221</v>
      </c>
      <c r="M81" s="33">
        <v>279900</v>
      </c>
      <c r="N81" s="34">
        <v>0.75</v>
      </c>
      <c r="O81" s="7">
        <f t="shared" si="5"/>
        <v>69975</v>
      </c>
      <c r="P81" s="18" t="s">
        <v>16</v>
      </c>
    </row>
    <row r="82" spans="1:16" x14ac:dyDescent="0.35">
      <c r="A82" s="18" t="s">
        <v>991</v>
      </c>
      <c r="B82" s="6">
        <f t="shared" si="6"/>
        <v>46108</v>
      </c>
      <c r="C82" s="6">
        <f t="shared" si="6"/>
        <v>46113</v>
      </c>
      <c r="D82" s="18">
        <v>3249</v>
      </c>
      <c r="E82" s="18">
        <v>332</v>
      </c>
      <c r="F82" s="18">
        <v>3</v>
      </c>
      <c r="G82" s="18">
        <v>2</v>
      </c>
      <c r="H82" s="18">
        <v>81642</v>
      </c>
      <c r="I82" s="18" t="s">
        <v>17</v>
      </c>
      <c r="J82" s="18">
        <v>15271333</v>
      </c>
      <c r="K82" s="18" t="s">
        <v>219</v>
      </c>
      <c r="L82" s="18" t="s">
        <v>222</v>
      </c>
      <c r="M82" s="33">
        <v>279900</v>
      </c>
      <c r="N82" s="34">
        <v>0.75</v>
      </c>
      <c r="O82" s="7">
        <f t="shared" si="5"/>
        <v>69975</v>
      </c>
      <c r="P82" s="18" t="s">
        <v>16</v>
      </c>
    </row>
    <row r="83" spans="1:16" x14ac:dyDescent="0.35">
      <c r="A83" s="18" t="s">
        <v>991</v>
      </c>
      <c r="B83" s="6">
        <f t="shared" ref="B83:C98" si="7">B82</f>
        <v>46108</v>
      </c>
      <c r="C83" s="6">
        <f t="shared" si="7"/>
        <v>46113</v>
      </c>
      <c r="D83" s="18">
        <v>3249</v>
      </c>
      <c r="E83" s="18">
        <v>332</v>
      </c>
      <c r="F83" s="18">
        <v>3</v>
      </c>
      <c r="G83" s="18">
        <v>2</v>
      </c>
      <c r="H83" s="18">
        <v>81642</v>
      </c>
      <c r="I83" s="18" t="s">
        <v>17</v>
      </c>
      <c r="J83" s="18">
        <v>15271342</v>
      </c>
      <c r="K83" s="18" t="s">
        <v>219</v>
      </c>
      <c r="L83" s="18" t="s">
        <v>223</v>
      </c>
      <c r="M83" s="33">
        <v>279900</v>
      </c>
      <c r="N83" s="34">
        <v>0.75</v>
      </c>
      <c r="O83" s="7">
        <f t="shared" si="5"/>
        <v>69975</v>
      </c>
      <c r="P83" s="18" t="s">
        <v>16</v>
      </c>
    </row>
    <row r="84" spans="1:16" x14ac:dyDescent="0.35">
      <c r="A84" s="18" t="s">
        <v>991</v>
      </c>
      <c r="B84" s="6">
        <f t="shared" si="7"/>
        <v>46108</v>
      </c>
      <c r="C84" s="6">
        <f t="shared" si="7"/>
        <v>46113</v>
      </c>
      <c r="D84" s="18">
        <v>3249</v>
      </c>
      <c r="E84" s="18">
        <v>332</v>
      </c>
      <c r="F84" s="18">
        <v>3</v>
      </c>
      <c r="G84" s="18">
        <v>2</v>
      </c>
      <c r="H84" s="18">
        <v>81642</v>
      </c>
      <c r="I84" s="18" t="s">
        <v>17</v>
      </c>
      <c r="J84" s="18">
        <v>15271351</v>
      </c>
      <c r="K84" s="18" t="s">
        <v>219</v>
      </c>
      <c r="L84" s="18" t="s">
        <v>224</v>
      </c>
      <c r="M84" s="33">
        <v>279900</v>
      </c>
      <c r="N84" s="34">
        <v>0.75</v>
      </c>
      <c r="O84" s="7">
        <f t="shared" si="5"/>
        <v>69975</v>
      </c>
      <c r="P84" s="18" t="s">
        <v>16</v>
      </c>
    </row>
    <row r="85" spans="1:16" x14ac:dyDescent="0.35">
      <c r="A85" s="18" t="s">
        <v>991</v>
      </c>
      <c r="B85" s="6">
        <f t="shared" si="7"/>
        <v>46108</v>
      </c>
      <c r="C85" s="6">
        <f t="shared" si="7"/>
        <v>46113</v>
      </c>
      <c r="D85" s="18">
        <v>3249</v>
      </c>
      <c r="E85" s="18">
        <v>332</v>
      </c>
      <c r="F85" s="18">
        <v>3</v>
      </c>
      <c r="G85" s="18">
        <v>2</v>
      </c>
      <c r="H85" s="18">
        <v>81642</v>
      </c>
      <c r="I85" s="18" t="s">
        <v>17</v>
      </c>
      <c r="J85" s="18">
        <v>15271360</v>
      </c>
      <c r="K85" s="18" t="s">
        <v>219</v>
      </c>
      <c r="L85" s="18" t="s">
        <v>225</v>
      </c>
      <c r="M85" s="33">
        <v>279900</v>
      </c>
      <c r="N85" s="34">
        <v>0.75</v>
      </c>
      <c r="O85" s="7">
        <f t="shared" si="5"/>
        <v>69975</v>
      </c>
      <c r="P85" s="18" t="s">
        <v>16</v>
      </c>
    </row>
    <row r="86" spans="1:16" x14ac:dyDescent="0.35">
      <c r="A86" s="18" t="s">
        <v>991</v>
      </c>
      <c r="B86" s="6">
        <f t="shared" si="7"/>
        <v>46108</v>
      </c>
      <c r="C86" s="6">
        <f t="shared" si="7"/>
        <v>46113</v>
      </c>
      <c r="D86" s="18">
        <v>3249</v>
      </c>
      <c r="E86" s="18">
        <v>332</v>
      </c>
      <c r="F86" s="18">
        <v>3</v>
      </c>
      <c r="G86" s="18">
        <v>2</v>
      </c>
      <c r="H86" s="18">
        <v>81642</v>
      </c>
      <c r="I86" s="18" t="s">
        <v>17</v>
      </c>
      <c r="J86" s="18">
        <v>16193925</v>
      </c>
      <c r="K86" s="18" t="s">
        <v>226</v>
      </c>
      <c r="L86" s="18" t="s">
        <v>227</v>
      </c>
      <c r="M86" s="33">
        <v>279900</v>
      </c>
      <c r="N86" s="34">
        <v>0.75</v>
      </c>
      <c r="O86" s="7">
        <f t="shared" si="5"/>
        <v>69975</v>
      </c>
      <c r="P86" s="18" t="s">
        <v>16</v>
      </c>
    </row>
    <row r="87" spans="1:16" x14ac:dyDescent="0.35">
      <c r="A87" s="18" t="s">
        <v>991</v>
      </c>
      <c r="B87" s="6">
        <f t="shared" si="7"/>
        <v>46108</v>
      </c>
      <c r="C87" s="6">
        <f t="shared" si="7"/>
        <v>46113</v>
      </c>
      <c r="D87" s="18">
        <v>3249</v>
      </c>
      <c r="E87" s="18">
        <v>332</v>
      </c>
      <c r="F87" s="18">
        <v>3</v>
      </c>
      <c r="G87" s="18">
        <v>2</v>
      </c>
      <c r="H87" s="18">
        <v>81642</v>
      </c>
      <c r="I87" s="18" t="s">
        <v>17</v>
      </c>
      <c r="J87" s="18">
        <v>16193934</v>
      </c>
      <c r="K87" s="18" t="s">
        <v>226</v>
      </c>
      <c r="L87" s="18" t="s">
        <v>228</v>
      </c>
      <c r="M87" s="33">
        <v>279900</v>
      </c>
      <c r="N87" s="34">
        <v>0.75</v>
      </c>
      <c r="O87" s="7">
        <f t="shared" si="5"/>
        <v>69975</v>
      </c>
      <c r="P87" s="18" t="s">
        <v>16</v>
      </c>
    </row>
    <row r="88" spans="1:16" x14ac:dyDescent="0.35">
      <c r="A88" s="18" t="s">
        <v>991</v>
      </c>
      <c r="B88" s="6">
        <f t="shared" si="7"/>
        <v>46108</v>
      </c>
      <c r="C88" s="6">
        <f t="shared" si="7"/>
        <v>46113</v>
      </c>
      <c r="D88" s="18">
        <v>3249</v>
      </c>
      <c r="E88" s="18">
        <v>332</v>
      </c>
      <c r="F88" s="18">
        <v>3</v>
      </c>
      <c r="G88" s="18">
        <v>2</v>
      </c>
      <c r="H88" s="18">
        <v>81642</v>
      </c>
      <c r="I88" s="18" t="s">
        <v>17</v>
      </c>
      <c r="J88" s="18">
        <v>16193943</v>
      </c>
      <c r="K88" s="18" t="s">
        <v>226</v>
      </c>
      <c r="L88" s="18" t="s">
        <v>229</v>
      </c>
      <c r="M88" s="33">
        <v>279900</v>
      </c>
      <c r="N88" s="34">
        <v>0.75</v>
      </c>
      <c r="O88" s="7">
        <f t="shared" si="5"/>
        <v>69975</v>
      </c>
      <c r="P88" s="18" t="s">
        <v>16</v>
      </c>
    </row>
    <row r="89" spans="1:16" x14ac:dyDescent="0.35">
      <c r="A89" s="18" t="s">
        <v>991</v>
      </c>
      <c r="B89" s="6">
        <f t="shared" si="7"/>
        <v>46108</v>
      </c>
      <c r="C89" s="6">
        <f t="shared" si="7"/>
        <v>46113</v>
      </c>
      <c r="D89" s="18">
        <v>3249</v>
      </c>
      <c r="E89" s="18">
        <v>332</v>
      </c>
      <c r="F89" s="18">
        <v>3</v>
      </c>
      <c r="G89" s="18">
        <v>2</v>
      </c>
      <c r="H89" s="18">
        <v>81642</v>
      </c>
      <c r="I89" s="18" t="s">
        <v>17</v>
      </c>
      <c r="J89" s="18">
        <v>16193952</v>
      </c>
      <c r="K89" s="18" t="s">
        <v>226</v>
      </c>
      <c r="L89" s="18" t="s">
        <v>230</v>
      </c>
      <c r="M89" s="33">
        <v>279900</v>
      </c>
      <c r="N89" s="34">
        <v>0.75</v>
      </c>
      <c r="O89" s="7">
        <f t="shared" si="5"/>
        <v>69975</v>
      </c>
      <c r="P89" s="18" t="s">
        <v>16</v>
      </c>
    </row>
    <row r="90" spans="1:16" x14ac:dyDescent="0.35">
      <c r="A90" s="18" t="s">
        <v>991</v>
      </c>
      <c r="B90" s="6">
        <f t="shared" si="7"/>
        <v>46108</v>
      </c>
      <c r="C90" s="6">
        <f t="shared" si="7"/>
        <v>46113</v>
      </c>
      <c r="D90" s="18">
        <v>3249</v>
      </c>
      <c r="E90" s="18">
        <v>332</v>
      </c>
      <c r="F90" s="18">
        <v>3</v>
      </c>
      <c r="G90" s="18">
        <v>2</v>
      </c>
      <c r="H90" s="18">
        <v>81642</v>
      </c>
      <c r="I90" s="18" t="s">
        <v>17</v>
      </c>
      <c r="J90" s="18">
        <v>16193961</v>
      </c>
      <c r="K90" s="18" t="s">
        <v>226</v>
      </c>
      <c r="L90" s="18" t="s">
        <v>231</v>
      </c>
      <c r="M90" s="33">
        <v>279900</v>
      </c>
      <c r="N90" s="34">
        <v>0.75</v>
      </c>
      <c r="O90" s="7">
        <f t="shared" si="5"/>
        <v>69975</v>
      </c>
      <c r="P90" s="18" t="s">
        <v>16</v>
      </c>
    </row>
    <row r="91" spans="1:16" x14ac:dyDescent="0.35">
      <c r="A91" s="18" t="s">
        <v>991</v>
      </c>
      <c r="B91" s="6">
        <f t="shared" si="7"/>
        <v>46108</v>
      </c>
      <c r="C91" s="6">
        <f t="shared" si="7"/>
        <v>46113</v>
      </c>
      <c r="D91" s="18">
        <v>3249</v>
      </c>
      <c r="E91" s="18">
        <v>332</v>
      </c>
      <c r="F91" s="18">
        <v>3</v>
      </c>
      <c r="G91" s="18">
        <v>2</v>
      </c>
      <c r="H91" s="18">
        <v>81642</v>
      </c>
      <c r="I91" s="18" t="s">
        <v>17</v>
      </c>
      <c r="J91" s="18">
        <v>16193970</v>
      </c>
      <c r="K91" s="18" t="s">
        <v>226</v>
      </c>
      <c r="L91" s="18" t="s">
        <v>232</v>
      </c>
      <c r="M91" s="33">
        <v>279900</v>
      </c>
      <c r="N91" s="34">
        <v>0.75</v>
      </c>
      <c r="O91" s="7">
        <f t="shared" si="5"/>
        <v>69975</v>
      </c>
      <c r="P91" s="18" t="s">
        <v>16</v>
      </c>
    </row>
    <row r="92" spans="1:16" x14ac:dyDescent="0.35">
      <c r="A92" s="18" t="s">
        <v>991</v>
      </c>
      <c r="B92" s="6">
        <f t="shared" si="7"/>
        <v>46108</v>
      </c>
      <c r="C92" s="6">
        <f t="shared" si="7"/>
        <v>46113</v>
      </c>
      <c r="D92" s="18">
        <v>3249</v>
      </c>
      <c r="E92" s="18">
        <v>332</v>
      </c>
      <c r="F92" s="18">
        <v>3</v>
      </c>
      <c r="G92" s="18">
        <v>2</v>
      </c>
      <c r="H92" s="18">
        <v>81642</v>
      </c>
      <c r="I92" s="18" t="s">
        <v>17</v>
      </c>
      <c r="J92" s="18">
        <v>16193989</v>
      </c>
      <c r="K92" s="18" t="s">
        <v>233</v>
      </c>
      <c r="L92" s="18" t="s">
        <v>234</v>
      </c>
      <c r="M92" s="33">
        <v>279900</v>
      </c>
      <c r="N92" s="34">
        <v>0.75</v>
      </c>
      <c r="O92" s="7">
        <f t="shared" si="5"/>
        <v>69975</v>
      </c>
      <c r="P92" s="18" t="s">
        <v>16</v>
      </c>
    </row>
    <row r="93" spans="1:16" x14ac:dyDescent="0.35">
      <c r="A93" s="18" t="s">
        <v>991</v>
      </c>
      <c r="B93" s="6">
        <f t="shared" si="7"/>
        <v>46108</v>
      </c>
      <c r="C93" s="6">
        <f t="shared" si="7"/>
        <v>46113</v>
      </c>
      <c r="D93" s="18">
        <v>3249</v>
      </c>
      <c r="E93" s="18">
        <v>332</v>
      </c>
      <c r="F93" s="18">
        <v>3</v>
      </c>
      <c r="G93" s="18">
        <v>2</v>
      </c>
      <c r="H93" s="18">
        <v>81642</v>
      </c>
      <c r="I93" s="18" t="s">
        <v>17</v>
      </c>
      <c r="J93" s="18">
        <v>16194013</v>
      </c>
      <c r="K93" s="18" t="s">
        <v>233</v>
      </c>
      <c r="L93" s="18" t="s">
        <v>235</v>
      </c>
      <c r="M93" s="33">
        <v>279900</v>
      </c>
      <c r="N93" s="34">
        <v>0.75</v>
      </c>
      <c r="O93" s="7">
        <f t="shared" si="5"/>
        <v>69975</v>
      </c>
      <c r="P93" s="18" t="s">
        <v>16</v>
      </c>
    </row>
    <row r="94" spans="1:16" x14ac:dyDescent="0.35">
      <c r="A94" s="18" t="s">
        <v>991</v>
      </c>
      <c r="B94" s="6">
        <f t="shared" si="7"/>
        <v>46108</v>
      </c>
      <c r="C94" s="6">
        <f t="shared" si="7"/>
        <v>46113</v>
      </c>
      <c r="D94" s="18">
        <v>3249</v>
      </c>
      <c r="E94" s="18">
        <v>332</v>
      </c>
      <c r="F94" s="18">
        <v>3</v>
      </c>
      <c r="G94" s="18">
        <v>2</v>
      </c>
      <c r="H94" s="18">
        <v>81642</v>
      </c>
      <c r="I94" s="18" t="s">
        <v>17</v>
      </c>
      <c r="J94" s="18">
        <v>16194040</v>
      </c>
      <c r="K94" s="18" t="s">
        <v>233</v>
      </c>
      <c r="L94" s="18" t="s">
        <v>236</v>
      </c>
      <c r="M94" s="33">
        <v>279900</v>
      </c>
      <c r="N94" s="34">
        <v>0.75</v>
      </c>
      <c r="O94" s="7">
        <f t="shared" si="5"/>
        <v>69975</v>
      </c>
      <c r="P94" s="18" t="s">
        <v>16</v>
      </c>
    </row>
    <row r="95" spans="1:16" x14ac:dyDescent="0.35">
      <c r="A95" s="18" t="s">
        <v>991</v>
      </c>
      <c r="B95" s="6">
        <f t="shared" si="7"/>
        <v>46108</v>
      </c>
      <c r="C95" s="6">
        <f t="shared" si="7"/>
        <v>46113</v>
      </c>
      <c r="D95" s="18">
        <v>3249</v>
      </c>
      <c r="E95" s="18">
        <v>332</v>
      </c>
      <c r="F95" s="18">
        <v>3</v>
      </c>
      <c r="G95" s="18">
        <v>2</v>
      </c>
      <c r="H95" s="18">
        <v>81642</v>
      </c>
      <c r="I95" s="18" t="s">
        <v>17</v>
      </c>
      <c r="J95" s="18">
        <v>16194059</v>
      </c>
      <c r="K95" s="18" t="s">
        <v>233</v>
      </c>
      <c r="L95" s="18" t="s">
        <v>237</v>
      </c>
      <c r="M95" s="33">
        <v>279900</v>
      </c>
      <c r="N95" s="34">
        <v>0.75</v>
      </c>
      <c r="O95" s="7">
        <f t="shared" si="5"/>
        <v>69975</v>
      </c>
      <c r="P95" s="18" t="s">
        <v>16</v>
      </c>
    </row>
    <row r="96" spans="1:16" x14ac:dyDescent="0.35">
      <c r="A96" s="18" t="s">
        <v>991</v>
      </c>
      <c r="B96" s="6">
        <f t="shared" si="7"/>
        <v>46108</v>
      </c>
      <c r="C96" s="6">
        <f t="shared" si="7"/>
        <v>46113</v>
      </c>
      <c r="D96" s="18">
        <v>3249</v>
      </c>
      <c r="E96" s="18">
        <v>332</v>
      </c>
      <c r="F96" s="18">
        <v>3</v>
      </c>
      <c r="G96" s="18">
        <v>2</v>
      </c>
      <c r="H96" s="18">
        <v>81642</v>
      </c>
      <c r="I96" s="18" t="s">
        <v>17</v>
      </c>
      <c r="J96" s="18">
        <v>16194068</v>
      </c>
      <c r="K96" s="18" t="s">
        <v>233</v>
      </c>
      <c r="L96" s="18" t="s">
        <v>238</v>
      </c>
      <c r="M96" s="33">
        <v>279900</v>
      </c>
      <c r="N96" s="34">
        <v>0.75</v>
      </c>
      <c r="O96" s="7">
        <f t="shared" si="5"/>
        <v>69975</v>
      </c>
      <c r="P96" s="18" t="s">
        <v>16</v>
      </c>
    </row>
    <row r="97" spans="1:16" x14ac:dyDescent="0.35">
      <c r="A97" s="18" t="s">
        <v>991</v>
      </c>
      <c r="B97" s="6">
        <f t="shared" si="7"/>
        <v>46108</v>
      </c>
      <c r="C97" s="6">
        <f t="shared" si="7"/>
        <v>46113</v>
      </c>
      <c r="D97" s="18">
        <v>3249</v>
      </c>
      <c r="E97" s="18">
        <v>332</v>
      </c>
      <c r="F97" s="18">
        <v>3</v>
      </c>
      <c r="G97" s="18">
        <v>2</v>
      </c>
      <c r="H97" s="18">
        <v>81642</v>
      </c>
      <c r="I97" s="18" t="s">
        <v>17</v>
      </c>
      <c r="J97" s="18">
        <v>16194077</v>
      </c>
      <c r="K97" s="18" t="s">
        <v>233</v>
      </c>
      <c r="L97" s="18" t="s">
        <v>239</v>
      </c>
      <c r="M97" s="33">
        <v>279900</v>
      </c>
      <c r="N97" s="34">
        <v>0.75</v>
      </c>
      <c r="O97" s="7">
        <f t="shared" si="5"/>
        <v>69975</v>
      </c>
      <c r="P97" s="18" t="s">
        <v>16</v>
      </c>
    </row>
    <row r="98" spans="1:16" x14ac:dyDescent="0.35">
      <c r="A98" s="18" t="s">
        <v>991</v>
      </c>
      <c r="B98" s="6">
        <f t="shared" si="7"/>
        <v>46108</v>
      </c>
      <c r="C98" s="6">
        <f t="shared" si="7"/>
        <v>46113</v>
      </c>
      <c r="D98" s="18">
        <v>3249</v>
      </c>
      <c r="E98" s="18">
        <v>332</v>
      </c>
      <c r="F98" s="18">
        <v>3</v>
      </c>
      <c r="G98" s="18">
        <v>2</v>
      </c>
      <c r="H98" s="18">
        <v>81642</v>
      </c>
      <c r="I98" s="18" t="s">
        <v>17</v>
      </c>
      <c r="J98" s="18">
        <v>16194166</v>
      </c>
      <c r="K98" s="18" t="s">
        <v>240</v>
      </c>
      <c r="L98" s="18" t="s">
        <v>241</v>
      </c>
      <c r="M98" s="33">
        <v>249900</v>
      </c>
      <c r="N98" s="34">
        <v>0.75</v>
      </c>
      <c r="O98" s="7">
        <f t="shared" si="5"/>
        <v>62475</v>
      </c>
      <c r="P98" s="18" t="s">
        <v>16</v>
      </c>
    </row>
    <row r="99" spans="1:16" x14ac:dyDescent="0.35">
      <c r="A99" s="18" t="s">
        <v>991</v>
      </c>
      <c r="B99" s="6">
        <f t="shared" ref="B99:C114" si="8">B98</f>
        <v>46108</v>
      </c>
      <c r="C99" s="6">
        <f t="shared" si="8"/>
        <v>46113</v>
      </c>
      <c r="D99" s="18">
        <v>3249</v>
      </c>
      <c r="E99" s="18">
        <v>332</v>
      </c>
      <c r="F99" s="18">
        <v>3</v>
      </c>
      <c r="G99" s="18">
        <v>2</v>
      </c>
      <c r="H99" s="18">
        <v>81642</v>
      </c>
      <c r="I99" s="18" t="s">
        <v>17</v>
      </c>
      <c r="J99" s="18">
        <v>16194175</v>
      </c>
      <c r="K99" s="18" t="s">
        <v>240</v>
      </c>
      <c r="L99" s="18" t="s">
        <v>242</v>
      </c>
      <c r="M99" s="33">
        <v>249900</v>
      </c>
      <c r="N99" s="34">
        <v>0.75</v>
      </c>
      <c r="O99" s="7">
        <f t="shared" si="5"/>
        <v>62475</v>
      </c>
      <c r="P99" s="18" t="s">
        <v>16</v>
      </c>
    </row>
    <row r="100" spans="1:16" x14ac:dyDescent="0.35">
      <c r="A100" s="18" t="s">
        <v>991</v>
      </c>
      <c r="B100" s="6">
        <f t="shared" si="8"/>
        <v>46108</v>
      </c>
      <c r="C100" s="6">
        <f t="shared" si="8"/>
        <v>46113</v>
      </c>
      <c r="D100" s="18">
        <v>3249</v>
      </c>
      <c r="E100" s="18">
        <v>332</v>
      </c>
      <c r="F100" s="18">
        <v>3</v>
      </c>
      <c r="G100" s="18">
        <v>2</v>
      </c>
      <c r="H100" s="18">
        <v>81642</v>
      </c>
      <c r="I100" s="18" t="s">
        <v>17</v>
      </c>
      <c r="J100" s="18">
        <v>16194184</v>
      </c>
      <c r="K100" s="18" t="s">
        <v>240</v>
      </c>
      <c r="L100" s="18" t="s">
        <v>243</v>
      </c>
      <c r="M100" s="33">
        <v>249900</v>
      </c>
      <c r="N100" s="34">
        <v>0.75</v>
      </c>
      <c r="O100" s="7">
        <f t="shared" si="5"/>
        <v>62475</v>
      </c>
      <c r="P100" s="18" t="s">
        <v>16</v>
      </c>
    </row>
    <row r="101" spans="1:16" x14ac:dyDescent="0.35">
      <c r="A101" s="18" t="s">
        <v>991</v>
      </c>
      <c r="B101" s="6">
        <f t="shared" si="8"/>
        <v>46108</v>
      </c>
      <c r="C101" s="6">
        <f t="shared" si="8"/>
        <v>46113</v>
      </c>
      <c r="D101" s="18">
        <v>3249</v>
      </c>
      <c r="E101" s="18">
        <v>332</v>
      </c>
      <c r="F101" s="18">
        <v>3</v>
      </c>
      <c r="G101" s="18">
        <v>2</v>
      </c>
      <c r="H101" s="18">
        <v>81642</v>
      </c>
      <c r="I101" s="18" t="s">
        <v>17</v>
      </c>
      <c r="J101" s="18">
        <v>16194193</v>
      </c>
      <c r="K101" s="18" t="s">
        <v>240</v>
      </c>
      <c r="L101" s="18" t="s">
        <v>244</v>
      </c>
      <c r="M101" s="33">
        <v>249900</v>
      </c>
      <c r="N101" s="34">
        <v>0.75</v>
      </c>
      <c r="O101" s="7">
        <f t="shared" si="5"/>
        <v>62475</v>
      </c>
      <c r="P101" s="18" t="s">
        <v>16</v>
      </c>
    </row>
    <row r="102" spans="1:16" x14ac:dyDescent="0.35">
      <c r="A102" s="18" t="s">
        <v>991</v>
      </c>
      <c r="B102" s="6">
        <f t="shared" si="8"/>
        <v>46108</v>
      </c>
      <c r="C102" s="6">
        <f t="shared" si="8"/>
        <v>46113</v>
      </c>
      <c r="D102" s="18">
        <v>3249</v>
      </c>
      <c r="E102" s="18">
        <v>332</v>
      </c>
      <c r="F102" s="18">
        <v>3</v>
      </c>
      <c r="G102" s="18">
        <v>2</v>
      </c>
      <c r="H102" s="18">
        <v>81642</v>
      </c>
      <c r="I102" s="18" t="s">
        <v>17</v>
      </c>
      <c r="J102" s="18">
        <v>16194228</v>
      </c>
      <c r="K102" s="18" t="s">
        <v>240</v>
      </c>
      <c r="L102" s="18" t="s">
        <v>245</v>
      </c>
      <c r="M102" s="33">
        <v>249900</v>
      </c>
      <c r="N102" s="34">
        <v>0.75</v>
      </c>
      <c r="O102" s="7">
        <f t="shared" si="5"/>
        <v>62475</v>
      </c>
      <c r="P102" s="18" t="s">
        <v>16</v>
      </c>
    </row>
    <row r="103" spans="1:16" x14ac:dyDescent="0.35">
      <c r="A103" s="18" t="s">
        <v>991</v>
      </c>
      <c r="B103" s="6">
        <f t="shared" si="8"/>
        <v>46108</v>
      </c>
      <c r="C103" s="6">
        <f t="shared" si="8"/>
        <v>46113</v>
      </c>
      <c r="D103" s="18">
        <v>3249</v>
      </c>
      <c r="E103" s="18">
        <v>332</v>
      </c>
      <c r="F103" s="18">
        <v>3</v>
      </c>
      <c r="G103" s="18">
        <v>2</v>
      </c>
      <c r="H103" s="18">
        <v>81642</v>
      </c>
      <c r="I103" s="18" t="s">
        <v>17</v>
      </c>
      <c r="J103" s="18">
        <v>16194237</v>
      </c>
      <c r="K103" s="18" t="s">
        <v>240</v>
      </c>
      <c r="L103" s="18" t="s">
        <v>246</v>
      </c>
      <c r="M103" s="33">
        <v>249900</v>
      </c>
      <c r="N103" s="34">
        <v>0.75</v>
      </c>
      <c r="O103" s="7">
        <f t="shared" si="5"/>
        <v>62475</v>
      </c>
      <c r="P103" s="18" t="s">
        <v>16</v>
      </c>
    </row>
    <row r="104" spans="1:16" x14ac:dyDescent="0.35">
      <c r="A104" s="18" t="s">
        <v>991</v>
      </c>
      <c r="B104" s="6">
        <f t="shared" si="8"/>
        <v>46108</v>
      </c>
      <c r="C104" s="6">
        <f t="shared" si="8"/>
        <v>46113</v>
      </c>
      <c r="D104" s="18">
        <v>3249</v>
      </c>
      <c r="E104" s="18">
        <v>332</v>
      </c>
      <c r="F104" s="18">
        <v>3</v>
      </c>
      <c r="G104" s="18">
        <v>2</v>
      </c>
      <c r="H104" s="18">
        <v>81642</v>
      </c>
      <c r="I104" s="18" t="s">
        <v>17</v>
      </c>
      <c r="J104" s="18">
        <v>16194246</v>
      </c>
      <c r="K104" s="18" t="s">
        <v>247</v>
      </c>
      <c r="L104" s="18" t="s">
        <v>248</v>
      </c>
      <c r="M104" s="33">
        <v>249900</v>
      </c>
      <c r="N104" s="34">
        <v>0.75</v>
      </c>
      <c r="O104" s="7">
        <f t="shared" si="5"/>
        <v>62475</v>
      </c>
      <c r="P104" s="18" t="s">
        <v>16</v>
      </c>
    </row>
    <row r="105" spans="1:16" x14ac:dyDescent="0.35">
      <c r="A105" s="18" t="s">
        <v>991</v>
      </c>
      <c r="B105" s="6">
        <f t="shared" si="8"/>
        <v>46108</v>
      </c>
      <c r="C105" s="6">
        <f t="shared" si="8"/>
        <v>46113</v>
      </c>
      <c r="D105" s="18">
        <v>3249</v>
      </c>
      <c r="E105" s="18">
        <v>332</v>
      </c>
      <c r="F105" s="18">
        <v>3</v>
      </c>
      <c r="G105" s="18">
        <v>2</v>
      </c>
      <c r="H105" s="18">
        <v>81642</v>
      </c>
      <c r="I105" s="18" t="s">
        <v>17</v>
      </c>
      <c r="J105" s="18">
        <v>16194255</v>
      </c>
      <c r="K105" s="18" t="s">
        <v>247</v>
      </c>
      <c r="L105" s="18" t="s">
        <v>249</v>
      </c>
      <c r="M105" s="33">
        <v>249900</v>
      </c>
      <c r="N105" s="34">
        <v>0.75</v>
      </c>
      <c r="O105" s="7">
        <f t="shared" si="5"/>
        <v>62475</v>
      </c>
      <c r="P105" s="18" t="s">
        <v>16</v>
      </c>
    </row>
    <row r="106" spans="1:16" x14ac:dyDescent="0.35">
      <c r="A106" s="18" t="s">
        <v>991</v>
      </c>
      <c r="B106" s="6">
        <f t="shared" si="8"/>
        <v>46108</v>
      </c>
      <c r="C106" s="6">
        <f t="shared" si="8"/>
        <v>46113</v>
      </c>
      <c r="D106" s="18">
        <v>3249</v>
      </c>
      <c r="E106" s="18">
        <v>332</v>
      </c>
      <c r="F106" s="18">
        <v>3</v>
      </c>
      <c r="G106" s="18">
        <v>2</v>
      </c>
      <c r="H106" s="18">
        <v>81642</v>
      </c>
      <c r="I106" s="18" t="s">
        <v>17</v>
      </c>
      <c r="J106" s="18">
        <v>16194264</v>
      </c>
      <c r="K106" s="18" t="s">
        <v>247</v>
      </c>
      <c r="L106" s="18" t="s">
        <v>250</v>
      </c>
      <c r="M106" s="33">
        <v>249900</v>
      </c>
      <c r="N106" s="34">
        <v>0.75</v>
      </c>
      <c r="O106" s="7">
        <f t="shared" si="5"/>
        <v>62475</v>
      </c>
      <c r="P106" s="18" t="s">
        <v>16</v>
      </c>
    </row>
    <row r="107" spans="1:16" x14ac:dyDescent="0.35">
      <c r="A107" s="18" t="s">
        <v>991</v>
      </c>
      <c r="B107" s="6">
        <f t="shared" si="8"/>
        <v>46108</v>
      </c>
      <c r="C107" s="6">
        <f t="shared" si="8"/>
        <v>46113</v>
      </c>
      <c r="D107" s="18">
        <v>3249</v>
      </c>
      <c r="E107" s="18">
        <v>332</v>
      </c>
      <c r="F107" s="18">
        <v>3</v>
      </c>
      <c r="G107" s="18">
        <v>2</v>
      </c>
      <c r="H107" s="18">
        <v>81642</v>
      </c>
      <c r="I107" s="18" t="s">
        <v>17</v>
      </c>
      <c r="J107" s="18">
        <v>16194273</v>
      </c>
      <c r="K107" s="18" t="s">
        <v>247</v>
      </c>
      <c r="L107" s="18" t="s">
        <v>251</v>
      </c>
      <c r="M107" s="33">
        <v>249900</v>
      </c>
      <c r="N107" s="34">
        <v>0.75</v>
      </c>
      <c r="O107" s="7">
        <f t="shared" si="5"/>
        <v>62475</v>
      </c>
      <c r="P107" s="18" t="s">
        <v>16</v>
      </c>
    </row>
    <row r="108" spans="1:16" x14ac:dyDescent="0.35">
      <c r="A108" s="18" t="s">
        <v>991</v>
      </c>
      <c r="B108" s="6">
        <f t="shared" si="8"/>
        <v>46108</v>
      </c>
      <c r="C108" s="6">
        <f t="shared" si="8"/>
        <v>46113</v>
      </c>
      <c r="D108" s="18">
        <v>3249</v>
      </c>
      <c r="E108" s="18">
        <v>332</v>
      </c>
      <c r="F108" s="18">
        <v>3</v>
      </c>
      <c r="G108" s="18">
        <v>2</v>
      </c>
      <c r="H108" s="18">
        <v>81642</v>
      </c>
      <c r="I108" s="18" t="s">
        <v>17</v>
      </c>
      <c r="J108" s="18">
        <v>16194282</v>
      </c>
      <c r="K108" s="18" t="s">
        <v>247</v>
      </c>
      <c r="L108" s="18" t="s">
        <v>252</v>
      </c>
      <c r="M108" s="33">
        <v>249900</v>
      </c>
      <c r="N108" s="34">
        <v>0.75</v>
      </c>
      <c r="O108" s="7">
        <f t="shared" si="5"/>
        <v>62475</v>
      </c>
      <c r="P108" s="18" t="s">
        <v>16</v>
      </c>
    </row>
    <row r="109" spans="1:16" x14ac:dyDescent="0.35">
      <c r="A109" s="18" t="s">
        <v>991</v>
      </c>
      <c r="B109" s="6">
        <f t="shared" si="8"/>
        <v>46108</v>
      </c>
      <c r="C109" s="6">
        <f t="shared" si="8"/>
        <v>46113</v>
      </c>
      <c r="D109" s="18">
        <v>3249</v>
      </c>
      <c r="E109" s="18">
        <v>332</v>
      </c>
      <c r="F109" s="18">
        <v>3</v>
      </c>
      <c r="G109" s="18">
        <v>2</v>
      </c>
      <c r="H109" s="18">
        <v>81642</v>
      </c>
      <c r="I109" s="18" t="s">
        <v>17</v>
      </c>
      <c r="J109" s="18">
        <v>16194291</v>
      </c>
      <c r="K109" s="18" t="s">
        <v>247</v>
      </c>
      <c r="L109" s="18" t="s">
        <v>253</v>
      </c>
      <c r="M109" s="33">
        <v>249900</v>
      </c>
      <c r="N109" s="34">
        <v>0.75</v>
      </c>
      <c r="O109" s="7">
        <f t="shared" si="5"/>
        <v>62475</v>
      </c>
      <c r="P109" s="18" t="s">
        <v>16</v>
      </c>
    </row>
    <row r="110" spans="1:16" x14ac:dyDescent="0.35">
      <c r="A110" s="18" t="s">
        <v>991</v>
      </c>
      <c r="B110" s="6">
        <f t="shared" si="8"/>
        <v>46108</v>
      </c>
      <c r="C110" s="6">
        <f t="shared" si="8"/>
        <v>46113</v>
      </c>
      <c r="D110" s="18">
        <v>3249</v>
      </c>
      <c r="E110" s="18">
        <v>332</v>
      </c>
      <c r="F110" s="18">
        <v>3</v>
      </c>
      <c r="G110" s="18">
        <v>2</v>
      </c>
      <c r="H110" s="18">
        <v>81642</v>
      </c>
      <c r="I110" s="18" t="s">
        <v>17</v>
      </c>
      <c r="J110" s="18">
        <v>16194308</v>
      </c>
      <c r="K110" s="18" t="s">
        <v>254</v>
      </c>
      <c r="L110" s="18" t="s">
        <v>255</v>
      </c>
      <c r="M110" s="33">
        <v>249900</v>
      </c>
      <c r="N110" s="34">
        <v>0.75</v>
      </c>
      <c r="O110" s="7">
        <f t="shared" si="5"/>
        <v>62475</v>
      </c>
      <c r="P110" s="18" t="s">
        <v>16</v>
      </c>
    </row>
    <row r="111" spans="1:16" x14ac:dyDescent="0.35">
      <c r="A111" s="18" t="s">
        <v>991</v>
      </c>
      <c r="B111" s="6">
        <f t="shared" si="8"/>
        <v>46108</v>
      </c>
      <c r="C111" s="6">
        <f t="shared" si="8"/>
        <v>46113</v>
      </c>
      <c r="D111" s="18">
        <v>3249</v>
      </c>
      <c r="E111" s="18">
        <v>332</v>
      </c>
      <c r="F111" s="18">
        <v>3</v>
      </c>
      <c r="G111" s="18">
        <v>2</v>
      </c>
      <c r="H111" s="18">
        <v>81642</v>
      </c>
      <c r="I111" s="18" t="s">
        <v>17</v>
      </c>
      <c r="J111" s="18">
        <v>16194317</v>
      </c>
      <c r="K111" s="18" t="s">
        <v>254</v>
      </c>
      <c r="L111" s="18" t="s">
        <v>256</v>
      </c>
      <c r="M111" s="33">
        <v>249900</v>
      </c>
      <c r="N111" s="34">
        <v>0.75</v>
      </c>
      <c r="O111" s="7">
        <f t="shared" si="5"/>
        <v>62475</v>
      </c>
      <c r="P111" s="18" t="s">
        <v>16</v>
      </c>
    </row>
    <row r="112" spans="1:16" x14ac:dyDescent="0.35">
      <c r="A112" s="18" t="s">
        <v>991</v>
      </c>
      <c r="B112" s="6">
        <f t="shared" si="8"/>
        <v>46108</v>
      </c>
      <c r="C112" s="6">
        <f t="shared" si="8"/>
        <v>46113</v>
      </c>
      <c r="D112" s="18">
        <v>3249</v>
      </c>
      <c r="E112" s="18">
        <v>332</v>
      </c>
      <c r="F112" s="18">
        <v>3</v>
      </c>
      <c r="G112" s="18">
        <v>2</v>
      </c>
      <c r="H112" s="18">
        <v>81642</v>
      </c>
      <c r="I112" s="18" t="s">
        <v>17</v>
      </c>
      <c r="J112" s="18">
        <v>16194326</v>
      </c>
      <c r="K112" s="18" t="s">
        <v>254</v>
      </c>
      <c r="L112" s="18" t="s">
        <v>257</v>
      </c>
      <c r="M112" s="33">
        <v>249900</v>
      </c>
      <c r="N112" s="34">
        <v>0.75</v>
      </c>
      <c r="O112" s="7">
        <f t="shared" si="5"/>
        <v>62475</v>
      </c>
      <c r="P112" s="18" t="s">
        <v>16</v>
      </c>
    </row>
    <row r="113" spans="1:16" x14ac:dyDescent="0.35">
      <c r="A113" s="18" t="s">
        <v>991</v>
      </c>
      <c r="B113" s="6">
        <f t="shared" si="8"/>
        <v>46108</v>
      </c>
      <c r="C113" s="6">
        <f t="shared" si="8"/>
        <v>46113</v>
      </c>
      <c r="D113" s="18">
        <v>3249</v>
      </c>
      <c r="E113" s="18">
        <v>332</v>
      </c>
      <c r="F113" s="18">
        <v>3</v>
      </c>
      <c r="G113" s="18">
        <v>2</v>
      </c>
      <c r="H113" s="18">
        <v>81642</v>
      </c>
      <c r="I113" s="18" t="s">
        <v>17</v>
      </c>
      <c r="J113" s="18">
        <v>16194335</v>
      </c>
      <c r="K113" s="18" t="s">
        <v>254</v>
      </c>
      <c r="L113" s="18" t="s">
        <v>258</v>
      </c>
      <c r="M113" s="33">
        <v>249900</v>
      </c>
      <c r="N113" s="34">
        <v>0.75</v>
      </c>
      <c r="O113" s="7">
        <f t="shared" si="5"/>
        <v>62475</v>
      </c>
      <c r="P113" s="18" t="s">
        <v>16</v>
      </c>
    </row>
    <row r="114" spans="1:16" x14ac:dyDescent="0.35">
      <c r="A114" s="18" t="s">
        <v>991</v>
      </c>
      <c r="B114" s="6">
        <f t="shared" si="8"/>
        <v>46108</v>
      </c>
      <c r="C114" s="6">
        <f t="shared" si="8"/>
        <v>46113</v>
      </c>
      <c r="D114" s="18">
        <v>3249</v>
      </c>
      <c r="E114" s="18">
        <v>332</v>
      </c>
      <c r="F114" s="18">
        <v>3</v>
      </c>
      <c r="G114" s="18">
        <v>2</v>
      </c>
      <c r="H114" s="18">
        <v>81642</v>
      </c>
      <c r="I114" s="18" t="s">
        <v>17</v>
      </c>
      <c r="J114" s="18">
        <v>16194344</v>
      </c>
      <c r="K114" s="18" t="s">
        <v>254</v>
      </c>
      <c r="L114" s="18" t="s">
        <v>259</v>
      </c>
      <c r="M114" s="33">
        <v>249900</v>
      </c>
      <c r="N114" s="34">
        <v>0.75</v>
      </c>
      <c r="O114" s="7">
        <f t="shared" si="5"/>
        <v>62475</v>
      </c>
      <c r="P114" s="18" t="s">
        <v>16</v>
      </c>
    </row>
    <row r="115" spans="1:16" x14ac:dyDescent="0.35">
      <c r="A115" s="18" t="s">
        <v>991</v>
      </c>
      <c r="B115" s="6">
        <f t="shared" ref="B115:C130" si="9">B114</f>
        <v>46108</v>
      </c>
      <c r="C115" s="6">
        <f t="shared" si="9"/>
        <v>46113</v>
      </c>
      <c r="D115" s="18">
        <v>3249</v>
      </c>
      <c r="E115" s="18">
        <v>332</v>
      </c>
      <c r="F115" s="18">
        <v>3</v>
      </c>
      <c r="G115" s="18">
        <v>2</v>
      </c>
      <c r="H115" s="18">
        <v>81642</v>
      </c>
      <c r="I115" s="18" t="s">
        <v>17</v>
      </c>
      <c r="J115" s="18">
        <v>16194353</v>
      </c>
      <c r="K115" s="18" t="s">
        <v>254</v>
      </c>
      <c r="L115" s="18" t="s">
        <v>260</v>
      </c>
      <c r="M115" s="33">
        <v>249900</v>
      </c>
      <c r="N115" s="34">
        <v>0.75</v>
      </c>
      <c r="O115" s="7">
        <f t="shared" si="5"/>
        <v>62475</v>
      </c>
      <c r="P115" s="18" t="s">
        <v>16</v>
      </c>
    </row>
    <row r="116" spans="1:16" x14ac:dyDescent="0.35">
      <c r="A116" s="18" t="s">
        <v>991</v>
      </c>
      <c r="B116" s="6">
        <f t="shared" si="9"/>
        <v>46108</v>
      </c>
      <c r="C116" s="6">
        <f t="shared" si="9"/>
        <v>46113</v>
      </c>
      <c r="D116" s="18">
        <v>3249</v>
      </c>
      <c r="E116" s="18">
        <v>332</v>
      </c>
      <c r="F116" s="18">
        <v>3</v>
      </c>
      <c r="G116" s="18">
        <v>2</v>
      </c>
      <c r="H116" s="18">
        <v>81642</v>
      </c>
      <c r="I116" s="18" t="s">
        <v>17</v>
      </c>
      <c r="J116" s="18">
        <v>16258089</v>
      </c>
      <c r="K116" s="18" t="s">
        <v>261</v>
      </c>
      <c r="L116" s="18" t="s">
        <v>262</v>
      </c>
      <c r="M116" s="33">
        <v>249900</v>
      </c>
      <c r="N116" s="34">
        <v>0.75</v>
      </c>
      <c r="O116" s="7">
        <f t="shared" si="5"/>
        <v>62475</v>
      </c>
      <c r="P116" s="18" t="s">
        <v>16</v>
      </c>
    </row>
    <row r="117" spans="1:16" x14ac:dyDescent="0.35">
      <c r="A117" s="18" t="s">
        <v>991</v>
      </c>
      <c r="B117" s="6">
        <f t="shared" si="9"/>
        <v>46108</v>
      </c>
      <c r="C117" s="6">
        <f t="shared" si="9"/>
        <v>46113</v>
      </c>
      <c r="D117" s="18">
        <v>3249</v>
      </c>
      <c r="E117" s="18">
        <v>332</v>
      </c>
      <c r="F117" s="18">
        <v>3</v>
      </c>
      <c r="G117" s="18">
        <v>2</v>
      </c>
      <c r="H117" s="18">
        <v>81642</v>
      </c>
      <c r="I117" s="18" t="s">
        <v>17</v>
      </c>
      <c r="J117" s="18">
        <v>16258098</v>
      </c>
      <c r="K117" s="18" t="s">
        <v>261</v>
      </c>
      <c r="L117" s="18" t="s">
        <v>263</v>
      </c>
      <c r="M117" s="33">
        <v>249900</v>
      </c>
      <c r="N117" s="34">
        <v>0.75</v>
      </c>
      <c r="O117" s="7">
        <f t="shared" si="5"/>
        <v>62475</v>
      </c>
      <c r="P117" s="18" t="s">
        <v>16</v>
      </c>
    </row>
    <row r="118" spans="1:16" x14ac:dyDescent="0.35">
      <c r="A118" s="18" t="s">
        <v>991</v>
      </c>
      <c r="B118" s="6">
        <f t="shared" si="9"/>
        <v>46108</v>
      </c>
      <c r="C118" s="6">
        <f t="shared" si="9"/>
        <v>46113</v>
      </c>
      <c r="D118" s="18">
        <v>3249</v>
      </c>
      <c r="E118" s="18">
        <v>332</v>
      </c>
      <c r="F118" s="18">
        <v>3</v>
      </c>
      <c r="G118" s="18">
        <v>2</v>
      </c>
      <c r="H118" s="18">
        <v>81642</v>
      </c>
      <c r="I118" s="18" t="s">
        <v>17</v>
      </c>
      <c r="J118" s="18">
        <v>16258105</v>
      </c>
      <c r="K118" s="18" t="s">
        <v>261</v>
      </c>
      <c r="L118" s="18" t="s">
        <v>264</v>
      </c>
      <c r="M118" s="33">
        <v>249900</v>
      </c>
      <c r="N118" s="34">
        <v>0.75</v>
      </c>
      <c r="O118" s="7">
        <f t="shared" si="5"/>
        <v>62475</v>
      </c>
      <c r="P118" s="18" t="s">
        <v>16</v>
      </c>
    </row>
    <row r="119" spans="1:16" x14ac:dyDescent="0.35">
      <c r="A119" s="18" t="s">
        <v>991</v>
      </c>
      <c r="B119" s="6">
        <f t="shared" si="9"/>
        <v>46108</v>
      </c>
      <c r="C119" s="6">
        <f t="shared" si="9"/>
        <v>46113</v>
      </c>
      <c r="D119" s="18">
        <v>3249</v>
      </c>
      <c r="E119" s="18">
        <v>332</v>
      </c>
      <c r="F119" s="18">
        <v>3</v>
      </c>
      <c r="G119" s="18">
        <v>2</v>
      </c>
      <c r="H119" s="18">
        <v>81642</v>
      </c>
      <c r="I119" s="18" t="s">
        <v>17</v>
      </c>
      <c r="J119" s="18">
        <v>16258114</v>
      </c>
      <c r="K119" s="18" t="s">
        <v>261</v>
      </c>
      <c r="L119" s="18" t="s">
        <v>265</v>
      </c>
      <c r="M119" s="33">
        <v>249900</v>
      </c>
      <c r="N119" s="34">
        <v>0.75</v>
      </c>
      <c r="O119" s="7">
        <f t="shared" si="5"/>
        <v>62475</v>
      </c>
      <c r="P119" s="18" t="s">
        <v>16</v>
      </c>
    </row>
    <row r="120" spans="1:16" x14ac:dyDescent="0.35">
      <c r="A120" s="18" t="s">
        <v>991</v>
      </c>
      <c r="B120" s="6">
        <f t="shared" si="9"/>
        <v>46108</v>
      </c>
      <c r="C120" s="6">
        <f t="shared" si="9"/>
        <v>46113</v>
      </c>
      <c r="D120" s="18">
        <v>3249</v>
      </c>
      <c r="E120" s="18">
        <v>332</v>
      </c>
      <c r="F120" s="18">
        <v>3</v>
      </c>
      <c r="G120" s="18">
        <v>2</v>
      </c>
      <c r="H120" s="18">
        <v>81642</v>
      </c>
      <c r="I120" s="18" t="s">
        <v>17</v>
      </c>
      <c r="J120" s="18">
        <v>16258123</v>
      </c>
      <c r="K120" s="18" t="s">
        <v>261</v>
      </c>
      <c r="L120" s="18" t="s">
        <v>266</v>
      </c>
      <c r="M120" s="33">
        <v>249900</v>
      </c>
      <c r="N120" s="34">
        <v>0.75</v>
      </c>
      <c r="O120" s="7">
        <f t="shared" si="5"/>
        <v>62475</v>
      </c>
      <c r="P120" s="18" t="s">
        <v>16</v>
      </c>
    </row>
    <row r="121" spans="1:16" x14ac:dyDescent="0.35">
      <c r="A121" s="18" t="s">
        <v>991</v>
      </c>
      <c r="B121" s="6">
        <f t="shared" si="9"/>
        <v>46108</v>
      </c>
      <c r="C121" s="6">
        <f t="shared" si="9"/>
        <v>46113</v>
      </c>
      <c r="D121" s="18">
        <v>3249</v>
      </c>
      <c r="E121" s="18">
        <v>332</v>
      </c>
      <c r="F121" s="18">
        <v>3</v>
      </c>
      <c r="G121" s="18">
        <v>2</v>
      </c>
      <c r="H121" s="18">
        <v>81642</v>
      </c>
      <c r="I121" s="18" t="s">
        <v>17</v>
      </c>
      <c r="J121" s="18">
        <v>16258132</v>
      </c>
      <c r="K121" s="18" t="s">
        <v>261</v>
      </c>
      <c r="L121" s="18" t="s">
        <v>267</v>
      </c>
      <c r="M121" s="33">
        <v>249900</v>
      </c>
      <c r="N121" s="34">
        <v>0.75</v>
      </c>
      <c r="O121" s="7">
        <f t="shared" si="5"/>
        <v>62475</v>
      </c>
      <c r="P121" s="18" t="s">
        <v>16</v>
      </c>
    </row>
    <row r="122" spans="1:16" x14ac:dyDescent="0.35">
      <c r="A122" s="18" t="s">
        <v>991</v>
      </c>
      <c r="B122" s="6">
        <f t="shared" si="9"/>
        <v>46108</v>
      </c>
      <c r="C122" s="6">
        <f t="shared" si="9"/>
        <v>46113</v>
      </c>
      <c r="D122" s="18">
        <v>3249</v>
      </c>
      <c r="E122" s="18">
        <v>332</v>
      </c>
      <c r="F122" s="18">
        <v>3</v>
      </c>
      <c r="G122" s="18">
        <v>2</v>
      </c>
      <c r="H122" s="18">
        <v>81642</v>
      </c>
      <c r="I122" s="18" t="s">
        <v>17</v>
      </c>
      <c r="J122" s="18">
        <v>16274043</v>
      </c>
      <c r="K122" s="18" t="s">
        <v>268</v>
      </c>
      <c r="L122" s="18" t="s">
        <v>269</v>
      </c>
      <c r="M122" s="33">
        <v>249900</v>
      </c>
      <c r="N122" s="34">
        <v>0.75</v>
      </c>
      <c r="O122" s="7">
        <f t="shared" si="5"/>
        <v>62475</v>
      </c>
      <c r="P122" s="18" t="s">
        <v>16</v>
      </c>
    </row>
    <row r="123" spans="1:16" x14ac:dyDescent="0.35">
      <c r="A123" s="18" t="s">
        <v>991</v>
      </c>
      <c r="B123" s="6">
        <f t="shared" si="9"/>
        <v>46108</v>
      </c>
      <c r="C123" s="6">
        <f t="shared" si="9"/>
        <v>46113</v>
      </c>
      <c r="D123" s="18">
        <v>3249</v>
      </c>
      <c r="E123" s="18">
        <v>332</v>
      </c>
      <c r="F123" s="18">
        <v>3</v>
      </c>
      <c r="G123" s="18">
        <v>2</v>
      </c>
      <c r="H123" s="18">
        <v>81642</v>
      </c>
      <c r="I123" s="18" t="s">
        <v>17</v>
      </c>
      <c r="J123" s="18">
        <v>16274052</v>
      </c>
      <c r="K123" s="18" t="s">
        <v>268</v>
      </c>
      <c r="L123" s="18" t="s">
        <v>270</v>
      </c>
      <c r="M123" s="33">
        <v>249900</v>
      </c>
      <c r="N123" s="34">
        <v>0.75</v>
      </c>
      <c r="O123" s="7">
        <f t="shared" si="5"/>
        <v>62475</v>
      </c>
      <c r="P123" s="18" t="s">
        <v>16</v>
      </c>
    </row>
    <row r="124" spans="1:16" x14ac:dyDescent="0.35">
      <c r="A124" s="18" t="s">
        <v>991</v>
      </c>
      <c r="B124" s="6">
        <f t="shared" si="9"/>
        <v>46108</v>
      </c>
      <c r="C124" s="6">
        <f t="shared" si="9"/>
        <v>46113</v>
      </c>
      <c r="D124" s="18">
        <v>3249</v>
      </c>
      <c r="E124" s="18">
        <v>332</v>
      </c>
      <c r="F124" s="18">
        <v>3</v>
      </c>
      <c r="G124" s="18">
        <v>2</v>
      </c>
      <c r="H124" s="18">
        <v>81642</v>
      </c>
      <c r="I124" s="18" t="s">
        <v>17</v>
      </c>
      <c r="J124" s="18">
        <v>16274061</v>
      </c>
      <c r="K124" s="18" t="s">
        <v>268</v>
      </c>
      <c r="L124" s="18" t="s">
        <v>271</v>
      </c>
      <c r="M124" s="33">
        <v>249900</v>
      </c>
      <c r="N124" s="34">
        <v>0.75</v>
      </c>
      <c r="O124" s="7">
        <f t="shared" si="5"/>
        <v>62475</v>
      </c>
      <c r="P124" s="18" t="s">
        <v>16</v>
      </c>
    </row>
    <row r="125" spans="1:16" x14ac:dyDescent="0.35">
      <c r="A125" s="18" t="s">
        <v>991</v>
      </c>
      <c r="B125" s="6">
        <f t="shared" si="9"/>
        <v>46108</v>
      </c>
      <c r="C125" s="6">
        <f t="shared" si="9"/>
        <v>46113</v>
      </c>
      <c r="D125" s="18">
        <v>3249</v>
      </c>
      <c r="E125" s="18">
        <v>332</v>
      </c>
      <c r="F125" s="18">
        <v>3</v>
      </c>
      <c r="G125" s="18">
        <v>2</v>
      </c>
      <c r="H125" s="18">
        <v>81642</v>
      </c>
      <c r="I125" s="18" t="s">
        <v>17</v>
      </c>
      <c r="J125" s="18">
        <v>16274070</v>
      </c>
      <c r="K125" s="18" t="s">
        <v>268</v>
      </c>
      <c r="L125" s="18" t="s">
        <v>272</v>
      </c>
      <c r="M125" s="33">
        <v>249900</v>
      </c>
      <c r="N125" s="34">
        <v>0.75</v>
      </c>
      <c r="O125" s="7">
        <f t="shared" si="5"/>
        <v>62475</v>
      </c>
      <c r="P125" s="18" t="s">
        <v>16</v>
      </c>
    </row>
    <row r="126" spans="1:16" x14ac:dyDescent="0.35">
      <c r="A126" s="18" t="s">
        <v>991</v>
      </c>
      <c r="B126" s="6">
        <f t="shared" si="9"/>
        <v>46108</v>
      </c>
      <c r="C126" s="6">
        <f t="shared" si="9"/>
        <v>46113</v>
      </c>
      <c r="D126" s="18">
        <v>3249</v>
      </c>
      <c r="E126" s="18">
        <v>332</v>
      </c>
      <c r="F126" s="18">
        <v>3</v>
      </c>
      <c r="G126" s="18">
        <v>2</v>
      </c>
      <c r="H126" s="18">
        <v>81642</v>
      </c>
      <c r="I126" s="18" t="s">
        <v>17</v>
      </c>
      <c r="J126" s="18">
        <v>16274089</v>
      </c>
      <c r="K126" s="18" t="s">
        <v>268</v>
      </c>
      <c r="L126" s="18" t="s">
        <v>273</v>
      </c>
      <c r="M126" s="33">
        <v>249900</v>
      </c>
      <c r="N126" s="34">
        <v>0.75</v>
      </c>
      <c r="O126" s="7">
        <f t="shared" si="5"/>
        <v>62475</v>
      </c>
      <c r="P126" s="18" t="s">
        <v>16</v>
      </c>
    </row>
    <row r="127" spans="1:16" x14ac:dyDescent="0.35">
      <c r="A127" s="18" t="s">
        <v>991</v>
      </c>
      <c r="B127" s="6">
        <f t="shared" si="9"/>
        <v>46108</v>
      </c>
      <c r="C127" s="6">
        <f t="shared" si="9"/>
        <v>46113</v>
      </c>
      <c r="D127" s="18">
        <v>3249</v>
      </c>
      <c r="E127" s="18">
        <v>332</v>
      </c>
      <c r="F127" s="18">
        <v>3</v>
      </c>
      <c r="G127" s="18">
        <v>2</v>
      </c>
      <c r="H127" s="18">
        <v>81642</v>
      </c>
      <c r="I127" s="18" t="s">
        <v>17</v>
      </c>
      <c r="J127" s="18">
        <v>16274098</v>
      </c>
      <c r="K127" s="18" t="s">
        <v>268</v>
      </c>
      <c r="L127" s="18" t="s">
        <v>274</v>
      </c>
      <c r="M127" s="33">
        <v>249900</v>
      </c>
      <c r="N127" s="34">
        <v>0.75</v>
      </c>
      <c r="O127" s="7">
        <f t="shared" si="5"/>
        <v>62475</v>
      </c>
      <c r="P127" s="18" t="s">
        <v>16</v>
      </c>
    </row>
    <row r="128" spans="1:16" x14ac:dyDescent="0.35">
      <c r="A128" s="18" t="s">
        <v>991</v>
      </c>
      <c r="B128" s="6">
        <f t="shared" si="9"/>
        <v>46108</v>
      </c>
      <c r="C128" s="6">
        <f t="shared" si="9"/>
        <v>46113</v>
      </c>
      <c r="D128" s="18">
        <v>3249</v>
      </c>
      <c r="E128" s="18">
        <v>332</v>
      </c>
      <c r="F128" s="18">
        <v>3</v>
      </c>
      <c r="G128" s="18">
        <v>2</v>
      </c>
      <c r="H128" s="18">
        <v>81642</v>
      </c>
      <c r="I128" s="18" t="s">
        <v>17</v>
      </c>
      <c r="J128" s="18">
        <v>16282605</v>
      </c>
      <c r="K128" s="18" t="s">
        <v>275</v>
      </c>
      <c r="L128" s="18" t="s">
        <v>276</v>
      </c>
      <c r="M128" s="33">
        <v>249900</v>
      </c>
      <c r="N128" s="34">
        <v>0.75</v>
      </c>
      <c r="O128" s="7">
        <f t="shared" si="5"/>
        <v>62475</v>
      </c>
      <c r="P128" s="18" t="s">
        <v>16</v>
      </c>
    </row>
    <row r="129" spans="1:16" x14ac:dyDescent="0.35">
      <c r="A129" s="18" t="s">
        <v>991</v>
      </c>
      <c r="B129" s="6">
        <f t="shared" si="9"/>
        <v>46108</v>
      </c>
      <c r="C129" s="6">
        <f t="shared" si="9"/>
        <v>46113</v>
      </c>
      <c r="D129" s="18">
        <v>3249</v>
      </c>
      <c r="E129" s="18">
        <v>332</v>
      </c>
      <c r="F129" s="18">
        <v>3</v>
      </c>
      <c r="G129" s="18">
        <v>2</v>
      </c>
      <c r="H129" s="18">
        <v>81642</v>
      </c>
      <c r="I129" s="18" t="s">
        <v>17</v>
      </c>
      <c r="J129" s="18">
        <v>16282614</v>
      </c>
      <c r="K129" s="18" t="s">
        <v>275</v>
      </c>
      <c r="L129" s="18" t="s">
        <v>277</v>
      </c>
      <c r="M129" s="33">
        <v>249900</v>
      </c>
      <c r="N129" s="34">
        <v>0.75</v>
      </c>
      <c r="O129" s="7">
        <f t="shared" si="5"/>
        <v>62475</v>
      </c>
      <c r="P129" s="18" t="s">
        <v>16</v>
      </c>
    </row>
    <row r="130" spans="1:16" x14ac:dyDescent="0.35">
      <c r="A130" s="18" t="s">
        <v>991</v>
      </c>
      <c r="B130" s="6">
        <f t="shared" si="9"/>
        <v>46108</v>
      </c>
      <c r="C130" s="6">
        <f t="shared" si="9"/>
        <v>46113</v>
      </c>
      <c r="D130" s="18">
        <v>3249</v>
      </c>
      <c r="E130" s="18">
        <v>332</v>
      </c>
      <c r="F130" s="18">
        <v>3</v>
      </c>
      <c r="G130" s="18">
        <v>2</v>
      </c>
      <c r="H130" s="18">
        <v>81642</v>
      </c>
      <c r="I130" s="18" t="s">
        <v>17</v>
      </c>
      <c r="J130" s="18">
        <v>16282623</v>
      </c>
      <c r="K130" s="18" t="s">
        <v>275</v>
      </c>
      <c r="L130" s="18" t="s">
        <v>278</v>
      </c>
      <c r="M130" s="33">
        <v>249900</v>
      </c>
      <c r="N130" s="34">
        <v>0.75</v>
      </c>
      <c r="O130" s="7">
        <f t="shared" ref="O130:O193" si="10">M130-(M130*N130)</f>
        <v>62475</v>
      </c>
      <c r="P130" s="18" t="s">
        <v>16</v>
      </c>
    </row>
    <row r="131" spans="1:16" x14ac:dyDescent="0.35">
      <c r="A131" s="18" t="s">
        <v>991</v>
      </c>
      <c r="B131" s="6">
        <f t="shared" ref="B131:C146" si="11">B130</f>
        <v>46108</v>
      </c>
      <c r="C131" s="6">
        <f t="shared" si="11"/>
        <v>46113</v>
      </c>
      <c r="D131" s="18">
        <v>3249</v>
      </c>
      <c r="E131" s="18">
        <v>332</v>
      </c>
      <c r="F131" s="18">
        <v>3</v>
      </c>
      <c r="G131" s="18">
        <v>2</v>
      </c>
      <c r="H131" s="18">
        <v>81642</v>
      </c>
      <c r="I131" s="18" t="s">
        <v>17</v>
      </c>
      <c r="J131" s="18">
        <v>16282632</v>
      </c>
      <c r="K131" s="18" t="s">
        <v>275</v>
      </c>
      <c r="L131" s="18" t="s">
        <v>279</v>
      </c>
      <c r="M131" s="33">
        <v>249900</v>
      </c>
      <c r="N131" s="34">
        <v>0.75</v>
      </c>
      <c r="O131" s="7">
        <f t="shared" si="10"/>
        <v>62475</v>
      </c>
      <c r="P131" s="18" t="s">
        <v>16</v>
      </c>
    </row>
    <row r="132" spans="1:16" x14ac:dyDescent="0.35">
      <c r="A132" s="18" t="s">
        <v>991</v>
      </c>
      <c r="B132" s="6">
        <f t="shared" si="11"/>
        <v>46108</v>
      </c>
      <c r="C132" s="6">
        <f t="shared" si="11"/>
        <v>46113</v>
      </c>
      <c r="D132" s="18">
        <v>3249</v>
      </c>
      <c r="E132" s="18">
        <v>332</v>
      </c>
      <c r="F132" s="18">
        <v>3</v>
      </c>
      <c r="G132" s="18">
        <v>2</v>
      </c>
      <c r="H132" s="18">
        <v>81642</v>
      </c>
      <c r="I132" s="18" t="s">
        <v>17</v>
      </c>
      <c r="J132" s="18">
        <v>16282641</v>
      </c>
      <c r="K132" s="18" t="s">
        <v>275</v>
      </c>
      <c r="L132" s="18" t="s">
        <v>280</v>
      </c>
      <c r="M132" s="33">
        <v>249900</v>
      </c>
      <c r="N132" s="34">
        <v>0.75</v>
      </c>
      <c r="O132" s="7">
        <f t="shared" si="10"/>
        <v>62475</v>
      </c>
      <c r="P132" s="18" t="s">
        <v>16</v>
      </c>
    </row>
    <row r="133" spans="1:16" x14ac:dyDescent="0.35">
      <c r="A133" s="18" t="s">
        <v>991</v>
      </c>
      <c r="B133" s="6">
        <f t="shared" si="11"/>
        <v>46108</v>
      </c>
      <c r="C133" s="6">
        <f t="shared" si="11"/>
        <v>46113</v>
      </c>
      <c r="D133" s="18">
        <v>3249</v>
      </c>
      <c r="E133" s="18">
        <v>332</v>
      </c>
      <c r="F133" s="18">
        <v>3</v>
      </c>
      <c r="G133" s="18">
        <v>2</v>
      </c>
      <c r="H133" s="18">
        <v>81642</v>
      </c>
      <c r="I133" s="18" t="s">
        <v>17</v>
      </c>
      <c r="J133" s="18">
        <v>16282650</v>
      </c>
      <c r="K133" s="18" t="s">
        <v>275</v>
      </c>
      <c r="L133" s="18" t="s">
        <v>281</v>
      </c>
      <c r="M133" s="33">
        <v>249900</v>
      </c>
      <c r="N133" s="34">
        <v>0.75</v>
      </c>
      <c r="O133" s="7">
        <f t="shared" si="10"/>
        <v>62475</v>
      </c>
      <c r="P133" s="18" t="s">
        <v>16</v>
      </c>
    </row>
    <row r="134" spans="1:16" x14ac:dyDescent="0.35">
      <c r="A134" s="18" t="s">
        <v>991</v>
      </c>
      <c r="B134" s="6">
        <f t="shared" si="11"/>
        <v>46108</v>
      </c>
      <c r="C134" s="6">
        <f t="shared" si="11"/>
        <v>46113</v>
      </c>
      <c r="D134" s="18">
        <v>3249</v>
      </c>
      <c r="E134" s="18">
        <v>332</v>
      </c>
      <c r="F134" s="18">
        <v>3</v>
      </c>
      <c r="G134" s="18">
        <v>2</v>
      </c>
      <c r="H134" s="18">
        <v>81642</v>
      </c>
      <c r="I134" s="18" t="s">
        <v>17</v>
      </c>
      <c r="J134" s="18">
        <v>16282669</v>
      </c>
      <c r="K134" s="18" t="s">
        <v>282</v>
      </c>
      <c r="L134" s="18" t="s">
        <v>283</v>
      </c>
      <c r="M134" s="33">
        <v>249900</v>
      </c>
      <c r="N134" s="34">
        <v>0.75</v>
      </c>
      <c r="O134" s="7">
        <f t="shared" si="10"/>
        <v>62475</v>
      </c>
      <c r="P134" s="18" t="s">
        <v>16</v>
      </c>
    </row>
    <row r="135" spans="1:16" x14ac:dyDescent="0.35">
      <c r="A135" s="18" t="s">
        <v>991</v>
      </c>
      <c r="B135" s="6">
        <f t="shared" si="11"/>
        <v>46108</v>
      </c>
      <c r="C135" s="6">
        <f t="shared" si="11"/>
        <v>46113</v>
      </c>
      <c r="D135" s="18">
        <v>3249</v>
      </c>
      <c r="E135" s="18">
        <v>332</v>
      </c>
      <c r="F135" s="18">
        <v>3</v>
      </c>
      <c r="G135" s="18">
        <v>2</v>
      </c>
      <c r="H135" s="18">
        <v>81642</v>
      </c>
      <c r="I135" s="18" t="s">
        <v>17</v>
      </c>
      <c r="J135" s="18">
        <v>16282678</v>
      </c>
      <c r="K135" s="18" t="s">
        <v>282</v>
      </c>
      <c r="L135" s="18" t="s">
        <v>284</v>
      </c>
      <c r="M135" s="33">
        <v>249900</v>
      </c>
      <c r="N135" s="34">
        <v>0.75</v>
      </c>
      <c r="O135" s="7">
        <f t="shared" si="10"/>
        <v>62475</v>
      </c>
      <c r="P135" s="18" t="s">
        <v>16</v>
      </c>
    </row>
    <row r="136" spans="1:16" x14ac:dyDescent="0.35">
      <c r="A136" s="18" t="s">
        <v>991</v>
      </c>
      <c r="B136" s="6">
        <f t="shared" si="11"/>
        <v>46108</v>
      </c>
      <c r="C136" s="6">
        <f t="shared" si="11"/>
        <v>46113</v>
      </c>
      <c r="D136" s="18">
        <v>3249</v>
      </c>
      <c r="E136" s="18">
        <v>332</v>
      </c>
      <c r="F136" s="18">
        <v>3</v>
      </c>
      <c r="G136" s="18">
        <v>2</v>
      </c>
      <c r="H136" s="18">
        <v>81642</v>
      </c>
      <c r="I136" s="18" t="s">
        <v>17</v>
      </c>
      <c r="J136" s="18">
        <v>16282687</v>
      </c>
      <c r="K136" s="18" t="s">
        <v>282</v>
      </c>
      <c r="L136" s="18" t="s">
        <v>285</v>
      </c>
      <c r="M136" s="33">
        <v>249900</v>
      </c>
      <c r="N136" s="34">
        <v>0.75</v>
      </c>
      <c r="O136" s="7">
        <f t="shared" si="10"/>
        <v>62475</v>
      </c>
      <c r="P136" s="18" t="s">
        <v>16</v>
      </c>
    </row>
    <row r="137" spans="1:16" x14ac:dyDescent="0.35">
      <c r="A137" s="18" t="s">
        <v>991</v>
      </c>
      <c r="B137" s="6">
        <f t="shared" si="11"/>
        <v>46108</v>
      </c>
      <c r="C137" s="6">
        <f t="shared" si="11"/>
        <v>46113</v>
      </c>
      <c r="D137" s="18">
        <v>3249</v>
      </c>
      <c r="E137" s="18">
        <v>332</v>
      </c>
      <c r="F137" s="18">
        <v>3</v>
      </c>
      <c r="G137" s="18">
        <v>2</v>
      </c>
      <c r="H137" s="18">
        <v>81642</v>
      </c>
      <c r="I137" s="18" t="s">
        <v>17</v>
      </c>
      <c r="J137" s="18">
        <v>16282696</v>
      </c>
      <c r="K137" s="18" t="s">
        <v>282</v>
      </c>
      <c r="L137" s="18" t="s">
        <v>286</v>
      </c>
      <c r="M137" s="33">
        <v>249900</v>
      </c>
      <c r="N137" s="34">
        <v>0.75</v>
      </c>
      <c r="O137" s="7">
        <f t="shared" si="10"/>
        <v>62475</v>
      </c>
      <c r="P137" s="18" t="s">
        <v>16</v>
      </c>
    </row>
    <row r="138" spans="1:16" x14ac:dyDescent="0.35">
      <c r="A138" s="18" t="s">
        <v>991</v>
      </c>
      <c r="B138" s="6">
        <f t="shared" si="11"/>
        <v>46108</v>
      </c>
      <c r="C138" s="6">
        <f t="shared" si="11"/>
        <v>46113</v>
      </c>
      <c r="D138" s="18">
        <v>3249</v>
      </c>
      <c r="E138" s="18">
        <v>332</v>
      </c>
      <c r="F138" s="18">
        <v>3</v>
      </c>
      <c r="G138" s="18">
        <v>2</v>
      </c>
      <c r="H138" s="18">
        <v>81642</v>
      </c>
      <c r="I138" s="18" t="s">
        <v>17</v>
      </c>
      <c r="J138" s="18">
        <v>16282703</v>
      </c>
      <c r="K138" s="18" t="s">
        <v>282</v>
      </c>
      <c r="L138" s="18" t="s">
        <v>287</v>
      </c>
      <c r="M138" s="33">
        <v>249900</v>
      </c>
      <c r="N138" s="34">
        <v>0.75</v>
      </c>
      <c r="O138" s="7">
        <f t="shared" si="10"/>
        <v>62475</v>
      </c>
      <c r="P138" s="18" t="s">
        <v>16</v>
      </c>
    </row>
    <row r="139" spans="1:16" x14ac:dyDescent="0.35">
      <c r="A139" s="18" t="s">
        <v>991</v>
      </c>
      <c r="B139" s="6">
        <f t="shared" si="11"/>
        <v>46108</v>
      </c>
      <c r="C139" s="6">
        <f t="shared" si="11"/>
        <v>46113</v>
      </c>
      <c r="D139" s="18">
        <v>3249</v>
      </c>
      <c r="E139" s="18">
        <v>332</v>
      </c>
      <c r="F139" s="18">
        <v>3</v>
      </c>
      <c r="G139" s="18">
        <v>2</v>
      </c>
      <c r="H139" s="18">
        <v>81642</v>
      </c>
      <c r="I139" s="18" t="s">
        <v>17</v>
      </c>
      <c r="J139" s="18">
        <v>16282712</v>
      </c>
      <c r="K139" s="18" t="s">
        <v>282</v>
      </c>
      <c r="L139" s="18" t="s">
        <v>288</v>
      </c>
      <c r="M139" s="33">
        <v>249900</v>
      </c>
      <c r="N139" s="34">
        <v>0.75</v>
      </c>
      <c r="O139" s="7">
        <f t="shared" si="10"/>
        <v>62475</v>
      </c>
      <c r="P139" s="18" t="s">
        <v>16</v>
      </c>
    </row>
    <row r="140" spans="1:16" x14ac:dyDescent="0.35">
      <c r="A140" s="18" t="s">
        <v>991</v>
      </c>
      <c r="B140" s="6">
        <f t="shared" si="11"/>
        <v>46108</v>
      </c>
      <c r="C140" s="6">
        <f t="shared" si="11"/>
        <v>46113</v>
      </c>
      <c r="D140" s="18">
        <v>3249</v>
      </c>
      <c r="E140" s="18">
        <v>332</v>
      </c>
      <c r="F140" s="18">
        <v>3</v>
      </c>
      <c r="G140" s="18">
        <v>2</v>
      </c>
      <c r="H140" s="18">
        <v>81642</v>
      </c>
      <c r="I140" s="18" t="s">
        <v>17</v>
      </c>
      <c r="J140" s="18">
        <v>16773852</v>
      </c>
      <c r="K140" s="18" t="s">
        <v>289</v>
      </c>
      <c r="L140" s="18" t="s">
        <v>290</v>
      </c>
      <c r="M140" s="33">
        <v>279900</v>
      </c>
      <c r="N140" s="34">
        <v>0.75</v>
      </c>
      <c r="O140" s="7">
        <f t="shared" si="10"/>
        <v>69975</v>
      </c>
      <c r="P140" s="18" t="s">
        <v>16</v>
      </c>
    </row>
    <row r="141" spans="1:16" x14ac:dyDescent="0.35">
      <c r="A141" s="18" t="s">
        <v>991</v>
      </c>
      <c r="B141" s="6">
        <f t="shared" si="11"/>
        <v>46108</v>
      </c>
      <c r="C141" s="6">
        <f t="shared" si="11"/>
        <v>46113</v>
      </c>
      <c r="D141" s="18">
        <v>3249</v>
      </c>
      <c r="E141" s="18">
        <v>332</v>
      </c>
      <c r="F141" s="18">
        <v>3</v>
      </c>
      <c r="G141" s="18">
        <v>2</v>
      </c>
      <c r="H141" s="18">
        <v>81642</v>
      </c>
      <c r="I141" s="18" t="s">
        <v>17</v>
      </c>
      <c r="J141" s="18">
        <v>16773861</v>
      </c>
      <c r="K141" s="18" t="s">
        <v>289</v>
      </c>
      <c r="L141" s="18" t="s">
        <v>291</v>
      </c>
      <c r="M141" s="33">
        <v>279900</v>
      </c>
      <c r="N141" s="34">
        <v>0.75</v>
      </c>
      <c r="O141" s="7">
        <f t="shared" si="10"/>
        <v>69975</v>
      </c>
      <c r="P141" s="18" t="s">
        <v>16</v>
      </c>
    </row>
    <row r="142" spans="1:16" x14ac:dyDescent="0.35">
      <c r="A142" s="18" t="s">
        <v>991</v>
      </c>
      <c r="B142" s="6">
        <f t="shared" si="11"/>
        <v>46108</v>
      </c>
      <c r="C142" s="6">
        <f t="shared" si="11"/>
        <v>46113</v>
      </c>
      <c r="D142" s="18">
        <v>3249</v>
      </c>
      <c r="E142" s="18">
        <v>332</v>
      </c>
      <c r="F142" s="18">
        <v>3</v>
      </c>
      <c r="G142" s="18">
        <v>2</v>
      </c>
      <c r="H142" s="18">
        <v>81642</v>
      </c>
      <c r="I142" s="18" t="s">
        <v>17</v>
      </c>
      <c r="J142" s="18">
        <v>16773870</v>
      </c>
      <c r="K142" s="18" t="s">
        <v>289</v>
      </c>
      <c r="L142" s="18" t="s">
        <v>292</v>
      </c>
      <c r="M142" s="33">
        <v>279900</v>
      </c>
      <c r="N142" s="34">
        <v>0.75</v>
      </c>
      <c r="O142" s="7">
        <f t="shared" si="10"/>
        <v>69975</v>
      </c>
      <c r="P142" s="18" t="s">
        <v>16</v>
      </c>
    </row>
    <row r="143" spans="1:16" x14ac:dyDescent="0.35">
      <c r="A143" s="18" t="s">
        <v>991</v>
      </c>
      <c r="B143" s="6">
        <f t="shared" si="11"/>
        <v>46108</v>
      </c>
      <c r="C143" s="6">
        <f t="shared" si="11"/>
        <v>46113</v>
      </c>
      <c r="D143" s="18">
        <v>3249</v>
      </c>
      <c r="E143" s="18">
        <v>332</v>
      </c>
      <c r="F143" s="18">
        <v>3</v>
      </c>
      <c r="G143" s="18">
        <v>2</v>
      </c>
      <c r="H143" s="18">
        <v>81642</v>
      </c>
      <c r="I143" s="18" t="s">
        <v>17</v>
      </c>
      <c r="J143" s="18">
        <v>16773889</v>
      </c>
      <c r="K143" s="18" t="s">
        <v>289</v>
      </c>
      <c r="L143" s="18" t="s">
        <v>293</v>
      </c>
      <c r="M143" s="33">
        <v>279900</v>
      </c>
      <c r="N143" s="34">
        <v>0.75</v>
      </c>
      <c r="O143" s="7">
        <f t="shared" si="10"/>
        <v>69975</v>
      </c>
      <c r="P143" s="18" t="s">
        <v>16</v>
      </c>
    </row>
    <row r="144" spans="1:16" x14ac:dyDescent="0.35">
      <c r="A144" s="18" t="s">
        <v>991</v>
      </c>
      <c r="B144" s="6">
        <f t="shared" si="11"/>
        <v>46108</v>
      </c>
      <c r="C144" s="6">
        <f t="shared" si="11"/>
        <v>46113</v>
      </c>
      <c r="D144" s="18">
        <v>3249</v>
      </c>
      <c r="E144" s="18">
        <v>332</v>
      </c>
      <c r="F144" s="18">
        <v>3</v>
      </c>
      <c r="G144" s="18">
        <v>2</v>
      </c>
      <c r="H144" s="18">
        <v>81642</v>
      </c>
      <c r="I144" s="18" t="s">
        <v>17</v>
      </c>
      <c r="J144" s="18">
        <v>16773898</v>
      </c>
      <c r="K144" s="18" t="s">
        <v>289</v>
      </c>
      <c r="L144" s="18" t="s">
        <v>294</v>
      </c>
      <c r="M144" s="33">
        <v>279900</v>
      </c>
      <c r="N144" s="34">
        <v>0.75</v>
      </c>
      <c r="O144" s="7">
        <f t="shared" si="10"/>
        <v>69975</v>
      </c>
      <c r="P144" s="18" t="s">
        <v>16</v>
      </c>
    </row>
    <row r="145" spans="1:16" x14ac:dyDescent="0.35">
      <c r="A145" s="18" t="s">
        <v>991</v>
      </c>
      <c r="B145" s="6">
        <f t="shared" si="11"/>
        <v>46108</v>
      </c>
      <c r="C145" s="6">
        <f t="shared" si="11"/>
        <v>46113</v>
      </c>
      <c r="D145" s="18">
        <v>3249</v>
      </c>
      <c r="E145" s="18">
        <v>332</v>
      </c>
      <c r="F145" s="18">
        <v>3</v>
      </c>
      <c r="G145" s="18">
        <v>2</v>
      </c>
      <c r="H145" s="18">
        <v>81642</v>
      </c>
      <c r="I145" s="18" t="s">
        <v>17</v>
      </c>
      <c r="J145" s="18">
        <v>16773905</v>
      </c>
      <c r="K145" s="18" t="s">
        <v>289</v>
      </c>
      <c r="L145" s="18" t="s">
        <v>295</v>
      </c>
      <c r="M145" s="33">
        <v>279900</v>
      </c>
      <c r="N145" s="34">
        <v>0.75</v>
      </c>
      <c r="O145" s="7">
        <f t="shared" si="10"/>
        <v>69975</v>
      </c>
      <c r="P145" s="18" t="s">
        <v>16</v>
      </c>
    </row>
    <row r="146" spans="1:16" x14ac:dyDescent="0.35">
      <c r="A146" s="18" t="s">
        <v>991</v>
      </c>
      <c r="B146" s="6">
        <f t="shared" si="11"/>
        <v>46108</v>
      </c>
      <c r="C146" s="6">
        <f t="shared" si="11"/>
        <v>46113</v>
      </c>
      <c r="D146" s="18">
        <v>3249</v>
      </c>
      <c r="E146" s="18">
        <v>332</v>
      </c>
      <c r="F146" s="18">
        <v>3</v>
      </c>
      <c r="G146" s="18">
        <v>2</v>
      </c>
      <c r="H146" s="18">
        <v>81642</v>
      </c>
      <c r="I146" s="18" t="s">
        <v>17</v>
      </c>
      <c r="J146" s="18">
        <v>16773914</v>
      </c>
      <c r="K146" s="18" t="s">
        <v>296</v>
      </c>
      <c r="L146" s="18" t="s">
        <v>297</v>
      </c>
      <c r="M146" s="33">
        <v>279900</v>
      </c>
      <c r="N146" s="34">
        <v>0.75</v>
      </c>
      <c r="O146" s="7">
        <f t="shared" si="10"/>
        <v>69975</v>
      </c>
      <c r="P146" s="18" t="s">
        <v>16</v>
      </c>
    </row>
    <row r="147" spans="1:16" x14ac:dyDescent="0.35">
      <c r="A147" s="18" t="s">
        <v>991</v>
      </c>
      <c r="B147" s="6">
        <f t="shared" ref="B147:C162" si="12">B146</f>
        <v>46108</v>
      </c>
      <c r="C147" s="6">
        <f t="shared" si="12"/>
        <v>46113</v>
      </c>
      <c r="D147" s="18">
        <v>3249</v>
      </c>
      <c r="E147" s="18">
        <v>332</v>
      </c>
      <c r="F147" s="18">
        <v>3</v>
      </c>
      <c r="G147" s="18">
        <v>2</v>
      </c>
      <c r="H147" s="18">
        <v>81642</v>
      </c>
      <c r="I147" s="18" t="s">
        <v>17</v>
      </c>
      <c r="J147" s="18">
        <v>16773923</v>
      </c>
      <c r="K147" s="18" t="s">
        <v>296</v>
      </c>
      <c r="L147" s="18" t="s">
        <v>298</v>
      </c>
      <c r="M147" s="33">
        <v>279900</v>
      </c>
      <c r="N147" s="34">
        <v>0.75</v>
      </c>
      <c r="O147" s="7">
        <f t="shared" si="10"/>
        <v>69975</v>
      </c>
      <c r="P147" s="18" t="s">
        <v>16</v>
      </c>
    </row>
    <row r="148" spans="1:16" x14ac:dyDescent="0.35">
      <c r="A148" s="18" t="s">
        <v>991</v>
      </c>
      <c r="B148" s="6">
        <f t="shared" si="12"/>
        <v>46108</v>
      </c>
      <c r="C148" s="6">
        <f t="shared" si="12"/>
        <v>46113</v>
      </c>
      <c r="D148" s="18">
        <v>3249</v>
      </c>
      <c r="E148" s="18">
        <v>332</v>
      </c>
      <c r="F148" s="18">
        <v>3</v>
      </c>
      <c r="G148" s="18">
        <v>2</v>
      </c>
      <c r="H148" s="18">
        <v>81642</v>
      </c>
      <c r="I148" s="18" t="s">
        <v>17</v>
      </c>
      <c r="J148" s="18">
        <v>16773932</v>
      </c>
      <c r="K148" s="18" t="s">
        <v>296</v>
      </c>
      <c r="L148" s="18" t="s">
        <v>299</v>
      </c>
      <c r="M148" s="33">
        <v>279900</v>
      </c>
      <c r="N148" s="34">
        <v>0.75</v>
      </c>
      <c r="O148" s="7">
        <f t="shared" si="10"/>
        <v>69975</v>
      </c>
      <c r="P148" s="18" t="s">
        <v>16</v>
      </c>
    </row>
    <row r="149" spans="1:16" x14ac:dyDescent="0.35">
      <c r="A149" s="18" t="s">
        <v>991</v>
      </c>
      <c r="B149" s="6">
        <f t="shared" si="12"/>
        <v>46108</v>
      </c>
      <c r="C149" s="6">
        <f t="shared" si="12"/>
        <v>46113</v>
      </c>
      <c r="D149" s="18">
        <v>3249</v>
      </c>
      <c r="E149" s="18">
        <v>332</v>
      </c>
      <c r="F149" s="18">
        <v>3</v>
      </c>
      <c r="G149" s="18">
        <v>2</v>
      </c>
      <c r="H149" s="18">
        <v>81642</v>
      </c>
      <c r="I149" s="18" t="s">
        <v>17</v>
      </c>
      <c r="J149" s="18">
        <v>16773941</v>
      </c>
      <c r="K149" s="18" t="s">
        <v>296</v>
      </c>
      <c r="L149" s="18" t="s">
        <v>300</v>
      </c>
      <c r="M149" s="33">
        <v>279900</v>
      </c>
      <c r="N149" s="34">
        <v>0.75</v>
      </c>
      <c r="O149" s="7">
        <f t="shared" si="10"/>
        <v>69975</v>
      </c>
      <c r="P149" s="18" t="s">
        <v>16</v>
      </c>
    </row>
    <row r="150" spans="1:16" x14ac:dyDescent="0.35">
      <c r="A150" s="18" t="s">
        <v>991</v>
      </c>
      <c r="B150" s="6">
        <f t="shared" si="12"/>
        <v>46108</v>
      </c>
      <c r="C150" s="6">
        <f t="shared" si="12"/>
        <v>46113</v>
      </c>
      <c r="D150" s="18">
        <v>3249</v>
      </c>
      <c r="E150" s="18">
        <v>332</v>
      </c>
      <c r="F150" s="18">
        <v>3</v>
      </c>
      <c r="G150" s="18">
        <v>2</v>
      </c>
      <c r="H150" s="18">
        <v>81642</v>
      </c>
      <c r="I150" s="18" t="s">
        <v>17</v>
      </c>
      <c r="J150" s="18">
        <v>16773950</v>
      </c>
      <c r="K150" s="18" t="s">
        <v>296</v>
      </c>
      <c r="L150" s="18" t="s">
        <v>301</v>
      </c>
      <c r="M150" s="33">
        <v>279900</v>
      </c>
      <c r="N150" s="34">
        <v>0.75</v>
      </c>
      <c r="O150" s="7">
        <f t="shared" si="10"/>
        <v>69975</v>
      </c>
      <c r="P150" s="18" t="s">
        <v>16</v>
      </c>
    </row>
    <row r="151" spans="1:16" x14ac:dyDescent="0.35">
      <c r="A151" s="18" t="s">
        <v>991</v>
      </c>
      <c r="B151" s="6">
        <f t="shared" si="12"/>
        <v>46108</v>
      </c>
      <c r="C151" s="6">
        <f t="shared" si="12"/>
        <v>46113</v>
      </c>
      <c r="D151" s="18">
        <v>3249</v>
      </c>
      <c r="E151" s="18">
        <v>332</v>
      </c>
      <c r="F151" s="18">
        <v>3</v>
      </c>
      <c r="G151" s="18">
        <v>2</v>
      </c>
      <c r="H151" s="18">
        <v>81642</v>
      </c>
      <c r="I151" s="18" t="s">
        <v>17</v>
      </c>
      <c r="J151" s="18">
        <v>16773969</v>
      </c>
      <c r="K151" s="18" t="s">
        <v>296</v>
      </c>
      <c r="L151" s="18" t="s">
        <v>302</v>
      </c>
      <c r="M151" s="33">
        <v>279900</v>
      </c>
      <c r="N151" s="34">
        <v>0.75</v>
      </c>
      <c r="O151" s="7">
        <f t="shared" si="10"/>
        <v>69975</v>
      </c>
      <c r="P151" s="18" t="s">
        <v>16</v>
      </c>
    </row>
    <row r="152" spans="1:16" x14ac:dyDescent="0.35">
      <c r="A152" s="18" t="s">
        <v>991</v>
      </c>
      <c r="B152" s="6">
        <f t="shared" si="12"/>
        <v>46108</v>
      </c>
      <c r="C152" s="6">
        <f t="shared" si="12"/>
        <v>46113</v>
      </c>
      <c r="D152" s="18">
        <v>3249</v>
      </c>
      <c r="E152" s="18">
        <v>332</v>
      </c>
      <c r="F152" s="18">
        <v>3</v>
      </c>
      <c r="G152" s="18">
        <v>2</v>
      </c>
      <c r="H152" s="18">
        <v>81642</v>
      </c>
      <c r="I152" s="18" t="s">
        <v>17</v>
      </c>
      <c r="J152" s="18">
        <v>16815879</v>
      </c>
      <c r="K152" s="18" t="s">
        <v>303</v>
      </c>
      <c r="L152" s="18" t="s">
        <v>304</v>
      </c>
      <c r="M152" s="33">
        <v>279900</v>
      </c>
      <c r="N152" s="34">
        <v>0.75</v>
      </c>
      <c r="O152" s="7">
        <f t="shared" si="10"/>
        <v>69975</v>
      </c>
      <c r="P152" s="18" t="s">
        <v>16</v>
      </c>
    </row>
    <row r="153" spans="1:16" x14ac:dyDescent="0.35">
      <c r="A153" s="18" t="s">
        <v>991</v>
      </c>
      <c r="B153" s="6">
        <f t="shared" si="12"/>
        <v>46108</v>
      </c>
      <c r="C153" s="6">
        <f t="shared" si="12"/>
        <v>46113</v>
      </c>
      <c r="D153" s="18">
        <v>3249</v>
      </c>
      <c r="E153" s="18">
        <v>332</v>
      </c>
      <c r="F153" s="18">
        <v>3</v>
      </c>
      <c r="G153" s="18">
        <v>2</v>
      </c>
      <c r="H153" s="18">
        <v>81642</v>
      </c>
      <c r="I153" s="18" t="s">
        <v>17</v>
      </c>
      <c r="J153" s="18">
        <v>16815888</v>
      </c>
      <c r="K153" s="18" t="s">
        <v>303</v>
      </c>
      <c r="L153" s="18" t="s">
        <v>305</v>
      </c>
      <c r="M153" s="33">
        <v>279900</v>
      </c>
      <c r="N153" s="34">
        <v>0.75</v>
      </c>
      <c r="O153" s="7">
        <f t="shared" si="10"/>
        <v>69975</v>
      </c>
      <c r="P153" s="18" t="s">
        <v>16</v>
      </c>
    </row>
    <row r="154" spans="1:16" x14ac:dyDescent="0.35">
      <c r="A154" s="18" t="s">
        <v>991</v>
      </c>
      <c r="B154" s="6">
        <f t="shared" si="12"/>
        <v>46108</v>
      </c>
      <c r="C154" s="6">
        <f t="shared" si="12"/>
        <v>46113</v>
      </c>
      <c r="D154" s="18">
        <v>3249</v>
      </c>
      <c r="E154" s="18">
        <v>332</v>
      </c>
      <c r="F154" s="18">
        <v>3</v>
      </c>
      <c r="G154" s="18">
        <v>2</v>
      </c>
      <c r="H154" s="18">
        <v>81642</v>
      </c>
      <c r="I154" s="18" t="s">
        <v>17</v>
      </c>
      <c r="J154" s="18">
        <v>16815897</v>
      </c>
      <c r="K154" s="18" t="s">
        <v>303</v>
      </c>
      <c r="L154" s="18" t="s">
        <v>306</v>
      </c>
      <c r="M154" s="33">
        <v>279900</v>
      </c>
      <c r="N154" s="34">
        <v>0.75</v>
      </c>
      <c r="O154" s="7">
        <f t="shared" si="10"/>
        <v>69975</v>
      </c>
      <c r="P154" s="18" t="s">
        <v>16</v>
      </c>
    </row>
    <row r="155" spans="1:16" x14ac:dyDescent="0.35">
      <c r="A155" s="18" t="s">
        <v>991</v>
      </c>
      <c r="B155" s="6">
        <f t="shared" si="12"/>
        <v>46108</v>
      </c>
      <c r="C155" s="6">
        <f t="shared" si="12"/>
        <v>46113</v>
      </c>
      <c r="D155" s="18">
        <v>3249</v>
      </c>
      <c r="E155" s="18">
        <v>332</v>
      </c>
      <c r="F155" s="18">
        <v>3</v>
      </c>
      <c r="G155" s="18">
        <v>2</v>
      </c>
      <c r="H155" s="18">
        <v>81642</v>
      </c>
      <c r="I155" s="18" t="s">
        <v>17</v>
      </c>
      <c r="J155" s="18">
        <v>16815904</v>
      </c>
      <c r="K155" s="18" t="s">
        <v>303</v>
      </c>
      <c r="L155" s="18" t="s">
        <v>307</v>
      </c>
      <c r="M155" s="33">
        <v>279900</v>
      </c>
      <c r="N155" s="34">
        <v>0.75</v>
      </c>
      <c r="O155" s="7">
        <f t="shared" si="10"/>
        <v>69975</v>
      </c>
      <c r="P155" s="18" t="s">
        <v>16</v>
      </c>
    </row>
    <row r="156" spans="1:16" x14ac:dyDescent="0.35">
      <c r="A156" s="18" t="s">
        <v>991</v>
      </c>
      <c r="B156" s="6">
        <f t="shared" si="12"/>
        <v>46108</v>
      </c>
      <c r="C156" s="6">
        <f t="shared" si="12"/>
        <v>46113</v>
      </c>
      <c r="D156" s="18">
        <v>3249</v>
      </c>
      <c r="E156" s="18">
        <v>332</v>
      </c>
      <c r="F156" s="18">
        <v>3</v>
      </c>
      <c r="G156" s="18">
        <v>2</v>
      </c>
      <c r="H156" s="18">
        <v>81642</v>
      </c>
      <c r="I156" s="18" t="s">
        <v>17</v>
      </c>
      <c r="J156" s="18">
        <v>16815913</v>
      </c>
      <c r="K156" s="18" t="s">
        <v>303</v>
      </c>
      <c r="L156" s="18" t="s">
        <v>308</v>
      </c>
      <c r="M156" s="33">
        <v>279900</v>
      </c>
      <c r="N156" s="34">
        <v>0.75</v>
      </c>
      <c r="O156" s="7">
        <f t="shared" si="10"/>
        <v>69975</v>
      </c>
      <c r="P156" s="18" t="s">
        <v>16</v>
      </c>
    </row>
    <row r="157" spans="1:16" x14ac:dyDescent="0.35">
      <c r="A157" s="18" t="s">
        <v>991</v>
      </c>
      <c r="B157" s="6">
        <f t="shared" si="12"/>
        <v>46108</v>
      </c>
      <c r="C157" s="6">
        <f t="shared" si="12"/>
        <v>46113</v>
      </c>
      <c r="D157" s="18">
        <v>3249</v>
      </c>
      <c r="E157" s="18">
        <v>332</v>
      </c>
      <c r="F157" s="18">
        <v>3</v>
      </c>
      <c r="G157" s="18">
        <v>2</v>
      </c>
      <c r="H157" s="18">
        <v>81642</v>
      </c>
      <c r="I157" s="18" t="s">
        <v>17</v>
      </c>
      <c r="J157" s="18">
        <v>16815922</v>
      </c>
      <c r="K157" s="18" t="s">
        <v>303</v>
      </c>
      <c r="L157" s="18" t="s">
        <v>309</v>
      </c>
      <c r="M157" s="33">
        <v>279900</v>
      </c>
      <c r="N157" s="34">
        <v>0.75</v>
      </c>
      <c r="O157" s="7">
        <f t="shared" si="10"/>
        <v>69975</v>
      </c>
      <c r="P157" s="18" t="s">
        <v>16</v>
      </c>
    </row>
    <row r="158" spans="1:16" x14ac:dyDescent="0.35">
      <c r="A158" s="18" t="s">
        <v>991</v>
      </c>
      <c r="B158" s="6">
        <f t="shared" si="12"/>
        <v>46108</v>
      </c>
      <c r="C158" s="6">
        <f t="shared" si="12"/>
        <v>46113</v>
      </c>
      <c r="D158" s="18">
        <v>3249</v>
      </c>
      <c r="E158" s="18">
        <v>332</v>
      </c>
      <c r="F158" s="18">
        <v>3</v>
      </c>
      <c r="G158" s="18">
        <v>2</v>
      </c>
      <c r="H158" s="18">
        <v>81642</v>
      </c>
      <c r="I158" s="18" t="s">
        <v>17</v>
      </c>
      <c r="J158" s="18">
        <v>16851428</v>
      </c>
      <c r="K158" s="18" t="s">
        <v>310</v>
      </c>
      <c r="L158" s="18" t="s">
        <v>311</v>
      </c>
      <c r="M158" s="33">
        <v>249900</v>
      </c>
      <c r="N158" s="34">
        <v>0.75</v>
      </c>
      <c r="O158" s="7">
        <f t="shared" si="10"/>
        <v>62475</v>
      </c>
      <c r="P158" s="18" t="s">
        <v>16</v>
      </c>
    </row>
    <row r="159" spans="1:16" x14ac:dyDescent="0.35">
      <c r="A159" s="18" t="s">
        <v>991</v>
      </c>
      <c r="B159" s="6">
        <f t="shared" si="12"/>
        <v>46108</v>
      </c>
      <c r="C159" s="6">
        <f t="shared" si="12"/>
        <v>46113</v>
      </c>
      <c r="D159" s="18">
        <v>3249</v>
      </c>
      <c r="E159" s="18">
        <v>332</v>
      </c>
      <c r="F159" s="18">
        <v>3</v>
      </c>
      <c r="G159" s="18">
        <v>2</v>
      </c>
      <c r="H159" s="18">
        <v>81642</v>
      </c>
      <c r="I159" s="18" t="s">
        <v>17</v>
      </c>
      <c r="J159" s="18">
        <v>16851437</v>
      </c>
      <c r="K159" s="18" t="s">
        <v>310</v>
      </c>
      <c r="L159" s="18" t="s">
        <v>312</v>
      </c>
      <c r="M159" s="33">
        <v>249900</v>
      </c>
      <c r="N159" s="34">
        <v>0.75</v>
      </c>
      <c r="O159" s="7">
        <f t="shared" si="10"/>
        <v>62475</v>
      </c>
      <c r="P159" s="18" t="s">
        <v>16</v>
      </c>
    </row>
    <row r="160" spans="1:16" x14ac:dyDescent="0.35">
      <c r="A160" s="18" t="s">
        <v>991</v>
      </c>
      <c r="B160" s="6">
        <f t="shared" si="12"/>
        <v>46108</v>
      </c>
      <c r="C160" s="6">
        <f t="shared" si="12"/>
        <v>46113</v>
      </c>
      <c r="D160" s="18">
        <v>3249</v>
      </c>
      <c r="E160" s="18">
        <v>332</v>
      </c>
      <c r="F160" s="18">
        <v>3</v>
      </c>
      <c r="G160" s="18">
        <v>2</v>
      </c>
      <c r="H160" s="18">
        <v>81642</v>
      </c>
      <c r="I160" s="18" t="s">
        <v>17</v>
      </c>
      <c r="J160" s="18">
        <v>16851446</v>
      </c>
      <c r="K160" s="18" t="s">
        <v>310</v>
      </c>
      <c r="L160" s="18" t="s">
        <v>313</v>
      </c>
      <c r="M160" s="33">
        <v>249900</v>
      </c>
      <c r="N160" s="34">
        <v>0.75</v>
      </c>
      <c r="O160" s="7">
        <f t="shared" si="10"/>
        <v>62475</v>
      </c>
      <c r="P160" s="18" t="s">
        <v>16</v>
      </c>
    </row>
    <row r="161" spans="1:16" x14ac:dyDescent="0.35">
      <c r="A161" s="18" t="s">
        <v>991</v>
      </c>
      <c r="B161" s="6">
        <f t="shared" si="12"/>
        <v>46108</v>
      </c>
      <c r="C161" s="6">
        <f t="shared" si="12"/>
        <v>46113</v>
      </c>
      <c r="D161" s="18">
        <v>3249</v>
      </c>
      <c r="E161" s="18">
        <v>332</v>
      </c>
      <c r="F161" s="18">
        <v>3</v>
      </c>
      <c r="G161" s="18">
        <v>2</v>
      </c>
      <c r="H161" s="18">
        <v>81642</v>
      </c>
      <c r="I161" s="18" t="s">
        <v>17</v>
      </c>
      <c r="J161" s="18">
        <v>16851455</v>
      </c>
      <c r="K161" s="18" t="s">
        <v>310</v>
      </c>
      <c r="L161" s="18" t="s">
        <v>314</v>
      </c>
      <c r="M161" s="33">
        <v>249900</v>
      </c>
      <c r="N161" s="34">
        <v>0.75</v>
      </c>
      <c r="O161" s="7">
        <f t="shared" si="10"/>
        <v>62475</v>
      </c>
      <c r="P161" s="18" t="s">
        <v>16</v>
      </c>
    </row>
    <row r="162" spans="1:16" x14ac:dyDescent="0.35">
      <c r="A162" s="18" t="s">
        <v>991</v>
      </c>
      <c r="B162" s="6">
        <f t="shared" si="12"/>
        <v>46108</v>
      </c>
      <c r="C162" s="6">
        <f t="shared" si="12"/>
        <v>46113</v>
      </c>
      <c r="D162" s="18">
        <v>3249</v>
      </c>
      <c r="E162" s="18">
        <v>332</v>
      </c>
      <c r="F162" s="18">
        <v>3</v>
      </c>
      <c r="G162" s="18">
        <v>2</v>
      </c>
      <c r="H162" s="18">
        <v>81642</v>
      </c>
      <c r="I162" s="18" t="s">
        <v>17</v>
      </c>
      <c r="J162" s="18">
        <v>16851464</v>
      </c>
      <c r="K162" s="18" t="s">
        <v>310</v>
      </c>
      <c r="L162" s="18" t="s">
        <v>315</v>
      </c>
      <c r="M162" s="33">
        <v>249900</v>
      </c>
      <c r="N162" s="34">
        <v>0.75</v>
      </c>
      <c r="O162" s="7">
        <f t="shared" si="10"/>
        <v>62475</v>
      </c>
      <c r="P162" s="18" t="s">
        <v>16</v>
      </c>
    </row>
    <row r="163" spans="1:16" x14ac:dyDescent="0.35">
      <c r="A163" s="18" t="s">
        <v>991</v>
      </c>
      <c r="B163" s="6">
        <f t="shared" ref="B163:C178" si="13">B162</f>
        <v>46108</v>
      </c>
      <c r="C163" s="6">
        <f t="shared" si="13"/>
        <v>46113</v>
      </c>
      <c r="D163" s="18">
        <v>3249</v>
      </c>
      <c r="E163" s="18">
        <v>332</v>
      </c>
      <c r="F163" s="18">
        <v>3</v>
      </c>
      <c r="G163" s="18">
        <v>2</v>
      </c>
      <c r="H163" s="18">
        <v>81642</v>
      </c>
      <c r="I163" s="18" t="s">
        <v>17</v>
      </c>
      <c r="J163" s="18">
        <v>16851473</v>
      </c>
      <c r="K163" s="18" t="s">
        <v>310</v>
      </c>
      <c r="L163" s="18" t="s">
        <v>316</v>
      </c>
      <c r="M163" s="33">
        <v>249900</v>
      </c>
      <c r="N163" s="34">
        <v>0.75</v>
      </c>
      <c r="O163" s="7">
        <f t="shared" si="10"/>
        <v>62475</v>
      </c>
      <c r="P163" s="18" t="s">
        <v>16</v>
      </c>
    </row>
    <row r="164" spans="1:16" x14ac:dyDescent="0.35">
      <c r="A164" s="18" t="s">
        <v>991</v>
      </c>
      <c r="B164" s="6">
        <f t="shared" si="13"/>
        <v>46108</v>
      </c>
      <c r="C164" s="6">
        <f t="shared" si="13"/>
        <v>46113</v>
      </c>
      <c r="D164" s="18">
        <v>3249</v>
      </c>
      <c r="E164" s="18">
        <v>332</v>
      </c>
      <c r="F164" s="18">
        <v>3</v>
      </c>
      <c r="G164" s="18">
        <v>2</v>
      </c>
      <c r="H164" s="18">
        <v>81642</v>
      </c>
      <c r="I164" s="18" t="s">
        <v>17</v>
      </c>
      <c r="J164" s="18">
        <v>16851482</v>
      </c>
      <c r="K164" s="18" t="s">
        <v>317</v>
      </c>
      <c r="L164" s="18" t="s">
        <v>318</v>
      </c>
      <c r="M164" s="33">
        <v>249900</v>
      </c>
      <c r="N164" s="34">
        <v>0.75</v>
      </c>
      <c r="O164" s="7">
        <f t="shared" si="10"/>
        <v>62475</v>
      </c>
      <c r="P164" s="18" t="s">
        <v>16</v>
      </c>
    </row>
    <row r="165" spans="1:16" x14ac:dyDescent="0.35">
      <c r="A165" s="18" t="s">
        <v>991</v>
      </c>
      <c r="B165" s="6">
        <f t="shared" si="13"/>
        <v>46108</v>
      </c>
      <c r="C165" s="6">
        <f t="shared" si="13"/>
        <v>46113</v>
      </c>
      <c r="D165" s="18">
        <v>3249</v>
      </c>
      <c r="E165" s="18">
        <v>332</v>
      </c>
      <c r="F165" s="18">
        <v>3</v>
      </c>
      <c r="G165" s="18">
        <v>2</v>
      </c>
      <c r="H165" s="18">
        <v>81642</v>
      </c>
      <c r="I165" s="18" t="s">
        <v>17</v>
      </c>
      <c r="J165" s="18">
        <v>16851491</v>
      </c>
      <c r="K165" s="18" t="s">
        <v>317</v>
      </c>
      <c r="L165" s="18" t="s">
        <v>319</v>
      </c>
      <c r="M165" s="33">
        <v>249900</v>
      </c>
      <c r="N165" s="34">
        <v>0.75</v>
      </c>
      <c r="O165" s="7">
        <f t="shared" si="10"/>
        <v>62475</v>
      </c>
      <c r="P165" s="18" t="s">
        <v>16</v>
      </c>
    </row>
    <row r="166" spans="1:16" x14ac:dyDescent="0.35">
      <c r="A166" s="18" t="s">
        <v>991</v>
      </c>
      <c r="B166" s="6">
        <f t="shared" si="13"/>
        <v>46108</v>
      </c>
      <c r="C166" s="6">
        <f t="shared" si="13"/>
        <v>46113</v>
      </c>
      <c r="D166" s="18">
        <v>3249</v>
      </c>
      <c r="E166" s="18">
        <v>332</v>
      </c>
      <c r="F166" s="18">
        <v>3</v>
      </c>
      <c r="G166" s="18">
        <v>2</v>
      </c>
      <c r="H166" s="18">
        <v>81642</v>
      </c>
      <c r="I166" s="18" t="s">
        <v>17</v>
      </c>
      <c r="J166" s="18">
        <v>16851508</v>
      </c>
      <c r="K166" s="18" t="s">
        <v>317</v>
      </c>
      <c r="L166" s="18" t="s">
        <v>320</v>
      </c>
      <c r="M166" s="33">
        <v>249900</v>
      </c>
      <c r="N166" s="34">
        <v>0.75</v>
      </c>
      <c r="O166" s="7">
        <f t="shared" si="10"/>
        <v>62475</v>
      </c>
      <c r="P166" s="18" t="s">
        <v>16</v>
      </c>
    </row>
    <row r="167" spans="1:16" x14ac:dyDescent="0.35">
      <c r="A167" s="18" t="s">
        <v>991</v>
      </c>
      <c r="B167" s="6">
        <f t="shared" si="13"/>
        <v>46108</v>
      </c>
      <c r="C167" s="6">
        <f t="shared" si="13"/>
        <v>46113</v>
      </c>
      <c r="D167" s="18">
        <v>3249</v>
      </c>
      <c r="E167" s="18">
        <v>332</v>
      </c>
      <c r="F167" s="18">
        <v>3</v>
      </c>
      <c r="G167" s="18">
        <v>2</v>
      </c>
      <c r="H167" s="18">
        <v>81642</v>
      </c>
      <c r="I167" s="18" t="s">
        <v>17</v>
      </c>
      <c r="J167" s="18">
        <v>16851517</v>
      </c>
      <c r="K167" s="18" t="s">
        <v>317</v>
      </c>
      <c r="L167" s="18" t="s">
        <v>321</v>
      </c>
      <c r="M167" s="33">
        <v>249900</v>
      </c>
      <c r="N167" s="34">
        <v>0.75</v>
      </c>
      <c r="O167" s="7">
        <f t="shared" si="10"/>
        <v>62475</v>
      </c>
      <c r="P167" s="18" t="s">
        <v>16</v>
      </c>
    </row>
    <row r="168" spans="1:16" x14ac:dyDescent="0.35">
      <c r="A168" s="18" t="s">
        <v>991</v>
      </c>
      <c r="B168" s="6">
        <f t="shared" si="13"/>
        <v>46108</v>
      </c>
      <c r="C168" s="6">
        <f t="shared" si="13"/>
        <v>46113</v>
      </c>
      <c r="D168" s="18">
        <v>3249</v>
      </c>
      <c r="E168" s="18">
        <v>332</v>
      </c>
      <c r="F168" s="18">
        <v>3</v>
      </c>
      <c r="G168" s="18">
        <v>2</v>
      </c>
      <c r="H168" s="18">
        <v>81642</v>
      </c>
      <c r="I168" s="18" t="s">
        <v>17</v>
      </c>
      <c r="J168" s="18">
        <v>16851526</v>
      </c>
      <c r="K168" s="18" t="s">
        <v>317</v>
      </c>
      <c r="L168" s="18" t="s">
        <v>322</v>
      </c>
      <c r="M168" s="33">
        <v>249900</v>
      </c>
      <c r="N168" s="34">
        <v>0.75</v>
      </c>
      <c r="O168" s="7">
        <f t="shared" si="10"/>
        <v>62475</v>
      </c>
      <c r="P168" s="18" t="s">
        <v>16</v>
      </c>
    </row>
    <row r="169" spans="1:16" x14ac:dyDescent="0.35">
      <c r="A169" s="18" t="s">
        <v>991</v>
      </c>
      <c r="B169" s="6">
        <f t="shared" si="13"/>
        <v>46108</v>
      </c>
      <c r="C169" s="6">
        <f t="shared" si="13"/>
        <v>46113</v>
      </c>
      <c r="D169" s="18">
        <v>3249</v>
      </c>
      <c r="E169" s="18">
        <v>332</v>
      </c>
      <c r="F169" s="18">
        <v>3</v>
      </c>
      <c r="G169" s="18">
        <v>2</v>
      </c>
      <c r="H169" s="18">
        <v>81642</v>
      </c>
      <c r="I169" s="18" t="s">
        <v>17</v>
      </c>
      <c r="J169" s="18">
        <v>16851535</v>
      </c>
      <c r="K169" s="18" t="s">
        <v>317</v>
      </c>
      <c r="L169" s="18" t="s">
        <v>323</v>
      </c>
      <c r="M169" s="33">
        <v>249900</v>
      </c>
      <c r="N169" s="34">
        <v>0.75</v>
      </c>
      <c r="O169" s="7">
        <f t="shared" si="10"/>
        <v>62475</v>
      </c>
      <c r="P169" s="18" t="s">
        <v>16</v>
      </c>
    </row>
    <row r="170" spans="1:16" x14ac:dyDescent="0.35">
      <c r="A170" s="18" t="s">
        <v>991</v>
      </c>
      <c r="B170" s="6">
        <f t="shared" si="13"/>
        <v>46108</v>
      </c>
      <c r="C170" s="6">
        <f t="shared" si="13"/>
        <v>46113</v>
      </c>
      <c r="D170" s="18">
        <v>3249</v>
      </c>
      <c r="E170" s="18">
        <v>332</v>
      </c>
      <c r="F170" s="18">
        <v>3</v>
      </c>
      <c r="G170" s="18">
        <v>2</v>
      </c>
      <c r="H170" s="18">
        <v>81642</v>
      </c>
      <c r="I170" s="18" t="s">
        <v>17</v>
      </c>
      <c r="J170" s="18">
        <v>17076738</v>
      </c>
      <c r="K170" s="18" t="s">
        <v>324</v>
      </c>
      <c r="L170" s="18" t="s">
        <v>325</v>
      </c>
      <c r="M170" s="33">
        <v>279900</v>
      </c>
      <c r="N170" s="34">
        <v>0.75</v>
      </c>
      <c r="O170" s="7">
        <f t="shared" si="10"/>
        <v>69975</v>
      </c>
      <c r="P170" s="18" t="s">
        <v>16</v>
      </c>
    </row>
    <row r="171" spans="1:16" x14ac:dyDescent="0.35">
      <c r="A171" s="18" t="s">
        <v>991</v>
      </c>
      <c r="B171" s="6">
        <f t="shared" si="13"/>
        <v>46108</v>
      </c>
      <c r="C171" s="6">
        <f t="shared" si="13"/>
        <v>46113</v>
      </c>
      <c r="D171" s="18">
        <v>3249</v>
      </c>
      <c r="E171" s="18">
        <v>332</v>
      </c>
      <c r="F171" s="18">
        <v>3</v>
      </c>
      <c r="G171" s="18">
        <v>2</v>
      </c>
      <c r="H171" s="18">
        <v>81642</v>
      </c>
      <c r="I171" s="18" t="s">
        <v>17</v>
      </c>
      <c r="J171" s="18">
        <v>17076747</v>
      </c>
      <c r="K171" s="18" t="s">
        <v>324</v>
      </c>
      <c r="L171" s="18" t="s">
        <v>326</v>
      </c>
      <c r="M171" s="33">
        <v>279900</v>
      </c>
      <c r="N171" s="34">
        <v>0.75</v>
      </c>
      <c r="O171" s="7">
        <f t="shared" si="10"/>
        <v>69975</v>
      </c>
      <c r="P171" s="18" t="s">
        <v>16</v>
      </c>
    </row>
    <row r="172" spans="1:16" x14ac:dyDescent="0.35">
      <c r="A172" s="18" t="s">
        <v>991</v>
      </c>
      <c r="B172" s="6">
        <f t="shared" si="13"/>
        <v>46108</v>
      </c>
      <c r="C172" s="6">
        <f t="shared" si="13"/>
        <v>46113</v>
      </c>
      <c r="D172" s="18">
        <v>3249</v>
      </c>
      <c r="E172" s="18">
        <v>332</v>
      </c>
      <c r="F172" s="18">
        <v>3</v>
      </c>
      <c r="G172" s="18">
        <v>2</v>
      </c>
      <c r="H172" s="18">
        <v>81642</v>
      </c>
      <c r="I172" s="18" t="s">
        <v>17</v>
      </c>
      <c r="J172" s="18">
        <v>17076756</v>
      </c>
      <c r="K172" s="18" t="s">
        <v>324</v>
      </c>
      <c r="L172" s="18" t="s">
        <v>327</v>
      </c>
      <c r="M172" s="33">
        <v>279900</v>
      </c>
      <c r="N172" s="34">
        <v>0.75</v>
      </c>
      <c r="O172" s="7">
        <f t="shared" si="10"/>
        <v>69975</v>
      </c>
      <c r="P172" s="18" t="s">
        <v>16</v>
      </c>
    </row>
    <row r="173" spans="1:16" x14ac:dyDescent="0.35">
      <c r="A173" s="18" t="s">
        <v>991</v>
      </c>
      <c r="B173" s="6">
        <f t="shared" si="13"/>
        <v>46108</v>
      </c>
      <c r="C173" s="6">
        <f t="shared" si="13"/>
        <v>46113</v>
      </c>
      <c r="D173" s="18">
        <v>3249</v>
      </c>
      <c r="E173" s="18">
        <v>332</v>
      </c>
      <c r="F173" s="18">
        <v>3</v>
      </c>
      <c r="G173" s="18">
        <v>2</v>
      </c>
      <c r="H173" s="18">
        <v>81642</v>
      </c>
      <c r="I173" s="18" t="s">
        <v>17</v>
      </c>
      <c r="J173" s="18">
        <v>17076765</v>
      </c>
      <c r="K173" s="18" t="s">
        <v>324</v>
      </c>
      <c r="L173" s="18" t="s">
        <v>328</v>
      </c>
      <c r="M173" s="33">
        <v>279900</v>
      </c>
      <c r="N173" s="34">
        <v>0.75</v>
      </c>
      <c r="O173" s="7">
        <f t="shared" si="10"/>
        <v>69975</v>
      </c>
      <c r="P173" s="18" t="s">
        <v>16</v>
      </c>
    </row>
    <row r="174" spans="1:16" x14ac:dyDescent="0.35">
      <c r="A174" s="18" t="s">
        <v>991</v>
      </c>
      <c r="B174" s="6">
        <f t="shared" si="13"/>
        <v>46108</v>
      </c>
      <c r="C174" s="6">
        <f t="shared" si="13"/>
        <v>46113</v>
      </c>
      <c r="D174" s="18">
        <v>3249</v>
      </c>
      <c r="E174" s="18">
        <v>332</v>
      </c>
      <c r="F174" s="18">
        <v>3</v>
      </c>
      <c r="G174" s="18">
        <v>2</v>
      </c>
      <c r="H174" s="18">
        <v>81642</v>
      </c>
      <c r="I174" s="18" t="s">
        <v>17</v>
      </c>
      <c r="J174" s="18">
        <v>17076774</v>
      </c>
      <c r="K174" s="18" t="s">
        <v>324</v>
      </c>
      <c r="L174" s="18" t="s">
        <v>329</v>
      </c>
      <c r="M174" s="33">
        <v>279900</v>
      </c>
      <c r="N174" s="34">
        <v>0.75</v>
      </c>
      <c r="O174" s="7">
        <f t="shared" si="10"/>
        <v>69975</v>
      </c>
      <c r="P174" s="18" t="s">
        <v>16</v>
      </c>
    </row>
    <row r="175" spans="1:16" x14ac:dyDescent="0.35">
      <c r="A175" s="18" t="s">
        <v>991</v>
      </c>
      <c r="B175" s="6">
        <f t="shared" si="13"/>
        <v>46108</v>
      </c>
      <c r="C175" s="6">
        <f t="shared" si="13"/>
        <v>46113</v>
      </c>
      <c r="D175" s="18">
        <v>3249</v>
      </c>
      <c r="E175" s="18">
        <v>332</v>
      </c>
      <c r="F175" s="18">
        <v>3</v>
      </c>
      <c r="G175" s="18">
        <v>2</v>
      </c>
      <c r="H175" s="18">
        <v>81642</v>
      </c>
      <c r="I175" s="18" t="s">
        <v>17</v>
      </c>
      <c r="J175" s="18">
        <v>17076783</v>
      </c>
      <c r="K175" s="18" t="s">
        <v>324</v>
      </c>
      <c r="L175" s="18" t="s">
        <v>330</v>
      </c>
      <c r="M175" s="33">
        <v>279900</v>
      </c>
      <c r="N175" s="34">
        <v>0.75</v>
      </c>
      <c r="O175" s="7">
        <f t="shared" si="10"/>
        <v>69975</v>
      </c>
      <c r="P175" s="18" t="s">
        <v>16</v>
      </c>
    </row>
    <row r="176" spans="1:16" x14ac:dyDescent="0.35">
      <c r="A176" s="18" t="s">
        <v>991</v>
      </c>
      <c r="B176" s="6">
        <f t="shared" si="13"/>
        <v>46108</v>
      </c>
      <c r="C176" s="6">
        <f t="shared" si="13"/>
        <v>46113</v>
      </c>
      <c r="D176" s="18">
        <v>3249</v>
      </c>
      <c r="E176" s="18">
        <v>332</v>
      </c>
      <c r="F176" s="18">
        <v>3</v>
      </c>
      <c r="G176" s="18">
        <v>2</v>
      </c>
      <c r="H176" s="18">
        <v>81642</v>
      </c>
      <c r="I176" s="18" t="s">
        <v>17</v>
      </c>
      <c r="J176" s="18">
        <v>17076809</v>
      </c>
      <c r="K176" s="18" t="s">
        <v>331</v>
      </c>
      <c r="L176" s="18" t="s">
        <v>332</v>
      </c>
      <c r="M176" s="33">
        <v>279900</v>
      </c>
      <c r="N176" s="34">
        <v>0.75</v>
      </c>
      <c r="O176" s="7">
        <f t="shared" si="10"/>
        <v>69975</v>
      </c>
      <c r="P176" s="18" t="s">
        <v>16</v>
      </c>
    </row>
    <row r="177" spans="1:16" x14ac:dyDescent="0.35">
      <c r="A177" s="18" t="s">
        <v>991</v>
      </c>
      <c r="B177" s="6">
        <f t="shared" si="13"/>
        <v>46108</v>
      </c>
      <c r="C177" s="6">
        <f t="shared" si="13"/>
        <v>46113</v>
      </c>
      <c r="D177" s="18">
        <v>3249</v>
      </c>
      <c r="E177" s="18">
        <v>332</v>
      </c>
      <c r="F177" s="18">
        <v>3</v>
      </c>
      <c r="G177" s="18">
        <v>2</v>
      </c>
      <c r="H177" s="18">
        <v>81642</v>
      </c>
      <c r="I177" s="18" t="s">
        <v>17</v>
      </c>
      <c r="J177" s="18">
        <v>17076818</v>
      </c>
      <c r="K177" s="18" t="s">
        <v>331</v>
      </c>
      <c r="L177" s="18" t="s">
        <v>333</v>
      </c>
      <c r="M177" s="33">
        <v>279900</v>
      </c>
      <c r="N177" s="34">
        <v>0.75</v>
      </c>
      <c r="O177" s="7">
        <f t="shared" si="10"/>
        <v>69975</v>
      </c>
      <c r="P177" s="18" t="s">
        <v>16</v>
      </c>
    </row>
    <row r="178" spans="1:16" x14ac:dyDescent="0.35">
      <c r="A178" s="18" t="s">
        <v>991</v>
      </c>
      <c r="B178" s="6">
        <f t="shared" si="13"/>
        <v>46108</v>
      </c>
      <c r="C178" s="6">
        <f t="shared" si="13"/>
        <v>46113</v>
      </c>
      <c r="D178" s="18">
        <v>3249</v>
      </c>
      <c r="E178" s="18">
        <v>332</v>
      </c>
      <c r="F178" s="18">
        <v>3</v>
      </c>
      <c r="G178" s="18">
        <v>2</v>
      </c>
      <c r="H178" s="18">
        <v>81642</v>
      </c>
      <c r="I178" s="18" t="s">
        <v>17</v>
      </c>
      <c r="J178" s="18">
        <v>17076827</v>
      </c>
      <c r="K178" s="18" t="s">
        <v>331</v>
      </c>
      <c r="L178" s="18" t="s">
        <v>334</v>
      </c>
      <c r="M178" s="33">
        <v>279900</v>
      </c>
      <c r="N178" s="34">
        <v>0.75</v>
      </c>
      <c r="O178" s="7">
        <f t="shared" si="10"/>
        <v>69975</v>
      </c>
      <c r="P178" s="18" t="s">
        <v>16</v>
      </c>
    </row>
    <row r="179" spans="1:16" x14ac:dyDescent="0.35">
      <c r="A179" s="18" t="s">
        <v>991</v>
      </c>
      <c r="B179" s="6">
        <f t="shared" ref="B179:C194" si="14">B178</f>
        <v>46108</v>
      </c>
      <c r="C179" s="6">
        <f t="shared" si="14"/>
        <v>46113</v>
      </c>
      <c r="D179" s="18">
        <v>3249</v>
      </c>
      <c r="E179" s="18">
        <v>332</v>
      </c>
      <c r="F179" s="18">
        <v>3</v>
      </c>
      <c r="G179" s="18">
        <v>2</v>
      </c>
      <c r="H179" s="18">
        <v>81642</v>
      </c>
      <c r="I179" s="18" t="s">
        <v>17</v>
      </c>
      <c r="J179" s="18">
        <v>17076836</v>
      </c>
      <c r="K179" s="18" t="s">
        <v>331</v>
      </c>
      <c r="L179" s="18" t="s">
        <v>335</v>
      </c>
      <c r="M179" s="33">
        <v>279900</v>
      </c>
      <c r="N179" s="34">
        <v>0.75</v>
      </c>
      <c r="O179" s="7">
        <f t="shared" si="10"/>
        <v>69975</v>
      </c>
      <c r="P179" s="18" t="s">
        <v>16</v>
      </c>
    </row>
    <row r="180" spans="1:16" x14ac:dyDescent="0.35">
      <c r="A180" s="18" t="s">
        <v>991</v>
      </c>
      <c r="B180" s="6">
        <f t="shared" si="14"/>
        <v>46108</v>
      </c>
      <c r="C180" s="6">
        <f t="shared" si="14"/>
        <v>46113</v>
      </c>
      <c r="D180" s="18">
        <v>3249</v>
      </c>
      <c r="E180" s="18">
        <v>332</v>
      </c>
      <c r="F180" s="18">
        <v>3</v>
      </c>
      <c r="G180" s="18">
        <v>2</v>
      </c>
      <c r="H180" s="18">
        <v>81642</v>
      </c>
      <c r="I180" s="18" t="s">
        <v>17</v>
      </c>
      <c r="J180" s="18">
        <v>17076845</v>
      </c>
      <c r="K180" s="18" t="s">
        <v>331</v>
      </c>
      <c r="L180" s="18" t="s">
        <v>336</v>
      </c>
      <c r="M180" s="33">
        <v>279900</v>
      </c>
      <c r="N180" s="34">
        <v>0.75</v>
      </c>
      <c r="O180" s="7">
        <f t="shared" si="10"/>
        <v>69975</v>
      </c>
      <c r="P180" s="18" t="s">
        <v>16</v>
      </c>
    </row>
    <row r="181" spans="1:16" x14ac:dyDescent="0.35">
      <c r="A181" s="18" t="s">
        <v>991</v>
      </c>
      <c r="B181" s="6">
        <f t="shared" si="14"/>
        <v>46108</v>
      </c>
      <c r="C181" s="6">
        <f t="shared" si="14"/>
        <v>46113</v>
      </c>
      <c r="D181" s="18">
        <v>3249</v>
      </c>
      <c r="E181" s="18">
        <v>332</v>
      </c>
      <c r="F181" s="18">
        <v>3</v>
      </c>
      <c r="G181" s="18">
        <v>2</v>
      </c>
      <c r="H181" s="18">
        <v>81642</v>
      </c>
      <c r="I181" s="18" t="s">
        <v>17</v>
      </c>
      <c r="J181" s="18">
        <v>17076854</v>
      </c>
      <c r="K181" s="18" t="s">
        <v>331</v>
      </c>
      <c r="L181" s="18" t="s">
        <v>337</v>
      </c>
      <c r="M181" s="33">
        <v>279900</v>
      </c>
      <c r="N181" s="34">
        <v>0.75</v>
      </c>
      <c r="O181" s="7">
        <f t="shared" si="10"/>
        <v>69975</v>
      </c>
      <c r="P181" s="18" t="s">
        <v>16</v>
      </c>
    </row>
    <row r="182" spans="1:16" x14ac:dyDescent="0.35">
      <c r="A182" s="18" t="s">
        <v>991</v>
      </c>
      <c r="B182" s="6">
        <f t="shared" si="14"/>
        <v>46108</v>
      </c>
      <c r="C182" s="6">
        <f t="shared" si="14"/>
        <v>46113</v>
      </c>
      <c r="D182" s="18">
        <v>3249</v>
      </c>
      <c r="E182" s="18">
        <v>332</v>
      </c>
      <c r="F182" s="18">
        <v>3</v>
      </c>
      <c r="G182" s="18">
        <v>2</v>
      </c>
      <c r="H182" s="18">
        <v>81642</v>
      </c>
      <c r="I182" s="18" t="s">
        <v>17</v>
      </c>
      <c r="J182" s="18">
        <v>18249068</v>
      </c>
      <c r="K182" s="18" t="s">
        <v>338</v>
      </c>
      <c r="L182" s="18" t="s">
        <v>339</v>
      </c>
      <c r="M182" s="33">
        <v>279900</v>
      </c>
      <c r="N182" s="34">
        <v>0.75</v>
      </c>
      <c r="O182" s="7">
        <f t="shared" si="10"/>
        <v>69975</v>
      </c>
      <c r="P182" s="18" t="s">
        <v>16</v>
      </c>
    </row>
    <row r="183" spans="1:16" x14ac:dyDescent="0.35">
      <c r="A183" s="18" t="s">
        <v>991</v>
      </c>
      <c r="B183" s="6">
        <f t="shared" si="14"/>
        <v>46108</v>
      </c>
      <c r="C183" s="6">
        <f t="shared" si="14"/>
        <v>46113</v>
      </c>
      <c r="D183" s="18">
        <v>3249</v>
      </c>
      <c r="E183" s="18">
        <v>332</v>
      </c>
      <c r="F183" s="18">
        <v>3</v>
      </c>
      <c r="G183" s="18">
        <v>2</v>
      </c>
      <c r="H183" s="18">
        <v>81642</v>
      </c>
      <c r="I183" s="18" t="s">
        <v>17</v>
      </c>
      <c r="J183" s="18">
        <v>18249077</v>
      </c>
      <c r="K183" s="18" t="s">
        <v>338</v>
      </c>
      <c r="L183" s="18" t="s">
        <v>340</v>
      </c>
      <c r="M183" s="33">
        <v>279900</v>
      </c>
      <c r="N183" s="34">
        <v>0.75</v>
      </c>
      <c r="O183" s="7">
        <f t="shared" si="10"/>
        <v>69975</v>
      </c>
      <c r="P183" s="18" t="s">
        <v>16</v>
      </c>
    </row>
    <row r="184" spans="1:16" x14ac:dyDescent="0.35">
      <c r="A184" s="18" t="s">
        <v>991</v>
      </c>
      <c r="B184" s="6">
        <f t="shared" si="14"/>
        <v>46108</v>
      </c>
      <c r="C184" s="6">
        <f t="shared" si="14"/>
        <v>46113</v>
      </c>
      <c r="D184" s="18">
        <v>3249</v>
      </c>
      <c r="E184" s="18">
        <v>332</v>
      </c>
      <c r="F184" s="18">
        <v>3</v>
      </c>
      <c r="G184" s="18">
        <v>2</v>
      </c>
      <c r="H184" s="18">
        <v>81642</v>
      </c>
      <c r="I184" s="18" t="s">
        <v>17</v>
      </c>
      <c r="J184" s="18">
        <v>18249086</v>
      </c>
      <c r="K184" s="18" t="s">
        <v>338</v>
      </c>
      <c r="L184" s="18" t="s">
        <v>341</v>
      </c>
      <c r="M184" s="33">
        <v>279900</v>
      </c>
      <c r="N184" s="34">
        <v>0.75</v>
      </c>
      <c r="O184" s="7">
        <f t="shared" si="10"/>
        <v>69975</v>
      </c>
      <c r="P184" s="18" t="s">
        <v>16</v>
      </c>
    </row>
    <row r="185" spans="1:16" x14ac:dyDescent="0.35">
      <c r="A185" s="18" t="s">
        <v>991</v>
      </c>
      <c r="B185" s="6">
        <f t="shared" si="14"/>
        <v>46108</v>
      </c>
      <c r="C185" s="6">
        <f t="shared" si="14"/>
        <v>46113</v>
      </c>
      <c r="D185" s="18">
        <v>3249</v>
      </c>
      <c r="E185" s="18">
        <v>332</v>
      </c>
      <c r="F185" s="18">
        <v>3</v>
      </c>
      <c r="G185" s="18">
        <v>2</v>
      </c>
      <c r="H185" s="18">
        <v>81642</v>
      </c>
      <c r="I185" s="18" t="s">
        <v>17</v>
      </c>
      <c r="J185" s="18">
        <v>18249095</v>
      </c>
      <c r="K185" s="18" t="s">
        <v>338</v>
      </c>
      <c r="L185" s="18" t="s">
        <v>342</v>
      </c>
      <c r="M185" s="33">
        <v>279900</v>
      </c>
      <c r="N185" s="34">
        <v>0.75</v>
      </c>
      <c r="O185" s="7">
        <f t="shared" si="10"/>
        <v>69975</v>
      </c>
      <c r="P185" s="18" t="s">
        <v>16</v>
      </c>
    </row>
    <row r="186" spans="1:16" x14ac:dyDescent="0.35">
      <c r="A186" s="18" t="s">
        <v>991</v>
      </c>
      <c r="B186" s="6">
        <f t="shared" si="14"/>
        <v>46108</v>
      </c>
      <c r="C186" s="6">
        <f t="shared" si="14"/>
        <v>46113</v>
      </c>
      <c r="D186" s="18">
        <v>3249</v>
      </c>
      <c r="E186" s="18">
        <v>332</v>
      </c>
      <c r="F186" s="18">
        <v>3</v>
      </c>
      <c r="G186" s="18">
        <v>2</v>
      </c>
      <c r="H186" s="18">
        <v>81642</v>
      </c>
      <c r="I186" s="18" t="s">
        <v>17</v>
      </c>
      <c r="J186" s="18">
        <v>18249102</v>
      </c>
      <c r="K186" s="18" t="s">
        <v>338</v>
      </c>
      <c r="L186" s="18" t="s">
        <v>343</v>
      </c>
      <c r="M186" s="33">
        <v>279900</v>
      </c>
      <c r="N186" s="34">
        <v>0.75</v>
      </c>
      <c r="O186" s="7">
        <f t="shared" si="10"/>
        <v>69975</v>
      </c>
      <c r="P186" s="18" t="s">
        <v>16</v>
      </c>
    </row>
    <row r="187" spans="1:16" x14ac:dyDescent="0.35">
      <c r="A187" s="18" t="s">
        <v>991</v>
      </c>
      <c r="B187" s="6">
        <f t="shared" si="14"/>
        <v>46108</v>
      </c>
      <c r="C187" s="6">
        <f t="shared" si="14"/>
        <v>46113</v>
      </c>
      <c r="D187" s="18">
        <v>3249</v>
      </c>
      <c r="E187" s="18">
        <v>332</v>
      </c>
      <c r="F187" s="18">
        <v>3</v>
      </c>
      <c r="G187" s="18">
        <v>2</v>
      </c>
      <c r="H187" s="18">
        <v>81642</v>
      </c>
      <c r="I187" s="18" t="s">
        <v>17</v>
      </c>
      <c r="J187" s="18">
        <v>18249111</v>
      </c>
      <c r="K187" s="18" t="s">
        <v>338</v>
      </c>
      <c r="L187" s="18" t="s">
        <v>344</v>
      </c>
      <c r="M187" s="33">
        <v>279900</v>
      </c>
      <c r="N187" s="34">
        <v>0.75</v>
      </c>
      <c r="O187" s="7">
        <f t="shared" si="10"/>
        <v>69975</v>
      </c>
      <c r="P187" s="18" t="s">
        <v>16</v>
      </c>
    </row>
    <row r="188" spans="1:16" x14ac:dyDescent="0.35">
      <c r="A188" s="18" t="s">
        <v>991</v>
      </c>
      <c r="B188" s="6">
        <f t="shared" si="14"/>
        <v>46108</v>
      </c>
      <c r="C188" s="6">
        <f t="shared" si="14"/>
        <v>46113</v>
      </c>
      <c r="D188" s="18">
        <v>3249</v>
      </c>
      <c r="E188" s="18">
        <v>332</v>
      </c>
      <c r="F188" s="18">
        <v>3</v>
      </c>
      <c r="G188" s="18">
        <v>2</v>
      </c>
      <c r="H188" s="18">
        <v>81642</v>
      </c>
      <c r="I188" s="18" t="s">
        <v>17</v>
      </c>
      <c r="J188" s="18">
        <v>18596237</v>
      </c>
      <c r="K188" s="18" t="s">
        <v>345</v>
      </c>
      <c r="L188" s="18" t="s">
        <v>346</v>
      </c>
      <c r="M188" s="33">
        <v>279900</v>
      </c>
      <c r="N188" s="34">
        <v>0.75</v>
      </c>
      <c r="O188" s="7">
        <f t="shared" si="10"/>
        <v>69975</v>
      </c>
      <c r="P188" s="18" t="s">
        <v>16</v>
      </c>
    </row>
    <row r="189" spans="1:16" x14ac:dyDescent="0.35">
      <c r="A189" s="18" t="s">
        <v>991</v>
      </c>
      <c r="B189" s="6">
        <f t="shared" si="14"/>
        <v>46108</v>
      </c>
      <c r="C189" s="6">
        <f t="shared" si="14"/>
        <v>46113</v>
      </c>
      <c r="D189" s="18">
        <v>3249</v>
      </c>
      <c r="E189" s="18">
        <v>332</v>
      </c>
      <c r="F189" s="18">
        <v>3</v>
      </c>
      <c r="G189" s="18">
        <v>2</v>
      </c>
      <c r="H189" s="18">
        <v>81642</v>
      </c>
      <c r="I189" s="18" t="s">
        <v>17</v>
      </c>
      <c r="J189" s="18">
        <v>18596246</v>
      </c>
      <c r="K189" s="18" t="s">
        <v>345</v>
      </c>
      <c r="L189" s="18" t="s">
        <v>347</v>
      </c>
      <c r="M189" s="33">
        <v>279900</v>
      </c>
      <c r="N189" s="34">
        <v>0.75</v>
      </c>
      <c r="O189" s="7">
        <f t="shared" si="10"/>
        <v>69975</v>
      </c>
      <c r="P189" s="18" t="s">
        <v>16</v>
      </c>
    </row>
    <row r="190" spans="1:16" x14ac:dyDescent="0.35">
      <c r="A190" s="18" t="s">
        <v>991</v>
      </c>
      <c r="B190" s="6">
        <f t="shared" si="14"/>
        <v>46108</v>
      </c>
      <c r="C190" s="6">
        <f t="shared" si="14"/>
        <v>46113</v>
      </c>
      <c r="D190" s="18">
        <v>3249</v>
      </c>
      <c r="E190" s="18">
        <v>332</v>
      </c>
      <c r="F190" s="18">
        <v>3</v>
      </c>
      <c r="G190" s="18">
        <v>2</v>
      </c>
      <c r="H190" s="18">
        <v>81642</v>
      </c>
      <c r="I190" s="18" t="s">
        <v>17</v>
      </c>
      <c r="J190" s="18">
        <v>18596255</v>
      </c>
      <c r="K190" s="18" t="s">
        <v>345</v>
      </c>
      <c r="L190" s="18" t="s">
        <v>348</v>
      </c>
      <c r="M190" s="33">
        <v>279900</v>
      </c>
      <c r="N190" s="34">
        <v>0.75</v>
      </c>
      <c r="O190" s="7">
        <f t="shared" si="10"/>
        <v>69975</v>
      </c>
      <c r="P190" s="18" t="s">
        <v>16</v>
      </c>
    </row>
    <row r="191" spans="1:16" x14ac:dyDescent="0.35">
      <c r="A191" s="18" t="s">
        <v>991</v>
      </c>
      <c r="B191" s="6">
        <f t="shared" si="14"/>
        <v>46108</v>
      </c>
      <c r="C191" s="6">
        <f t="shared" si="14"/>
        <v>46113</v>
      </c>
      <c r="D191" s="18">
        <v>3249</v>
      </c>
      <c r="E191" s="18">
        <v>332</v>
      </c>
      <c r="F191" s="18">
        <v>3</v>
      </c>
      <c r="G191" s="18">
        <v>2</v>
      </c>
      <c r="H191" s="18">
        <v>81642</v>
      </c>
      <c r="I191" s="18" t="s">
        <v>17</v>
      </c>
      <c r="J191" s="18">
        <v>18596264</v>
      </c>
      <c r="K191" s="18" t="s">
        <v>345</v>
      </c>
      <c r="L191" s="18" t="s">
        <v>349</v>
      </c>
      <c r="M191" s="33">
        <v>279900</v>
      </c>
      <c r="N191" s="34">
        <v>0.75</v>
      </c>
      <c r="O191" s="7">
        <f t="shared" si="10"/>
        <v>69975</v>
      </c>
      <c r="P191" s="18" t="s">
        <v>16</v>
      </c>
    </row>
    <row r="192" spans="1:16" x14ac:dyDescent="0.35">
      <c r="A192" s="18" t="s">
        <v>991</v>
      </c>
      <c r="B192" s="6">
        <f t="shared" si="14"/>
        <v>46108</v>
      </c>
      <c r="C192" s="6">
        <f t="shared" si="14"/>
        <v>46113</v>
      </c>
      <c r="D192" s="18">
        <v>3249</v>
      </c>
      <c r="E192" s="18">
        <v>332</v>
      </c>
      <c r="F192" s="18">
        <v>3</v>
      </c>
      <c r="G192" s="18">
        <v>2</v>
      </c>
      <c r="H192" s="18">
        <v>81642</v>
      </c>
      <c r="I192" s="18" t="s">
        <v>17</v>
      </c>
      <c r="J192" s="18">
        <v>18596273</v>
      </c>
      <c r="K192" s="18" t="s">
        <v>345</v>
      </c>
      <c r="L192" s="18" t="s">
        <v>350</v>
      </c>
      <c r="M192" s="33">
        <v>279900</v>
      </c>
      <c r="N192" s="34">
        <v>0.75</v>
      </c>
      <c r="O192" s="7">
        <f t="shared" si="10"/>
        <v>69975</v>
      </c>
      <c r="P192" s="18" t="s">
        <v>16</v>
      </c>
    </row>
    <row r="193" spans="1:16" x14ac:dyDescent="0.35">
      <c r="A193" s="18" t="s">
        <v>991</v>
      </c>
      <c r="B193" s="6">
        <f t="shared" si="14"/>
        <v>46108</v>
      </c>
      <c r="C193" s="6">
        <f t="shared" si="14"/>
        <v>46113</v>
      </c>
      <c r="D193" s="18">
        <v>3249</v>
      </c>
      <c r="E193" s="18">
        <v>332</v>
      </c>
      <c r="F193" s="18">
        <v>3</v>
      </c>
      <c r="G193" s="18">
        <v>2</v>
      </c>
      <c r="H193" s="18">
        <v>81642</v>
      </c>
      <c r="I193" s="18" t="s">
        <v>17</v>
      </c>
      <c r="J193" s="18">
        <v>18596282</v>
      </c>
      <c r="K193" s="18" t="s">
        <v>345</v>
      </c>
      <c r="L193" s="18" t="s">
        <v>351</v>
      </c>
      <c r="M193" s="33">
        <v>279900</v>
      </c>
      <c r="N193" s="34">
        <v>0.75</v>
      </c>
      <c r="O193" s="7">
        <f t="shared" si="10"/>
        <v>69975</v>
      </c>
      <c r="P193" s="18" t="s">
        <v>16</v>
      </c>
    </row>
    <row r="194" spans="1:16" x14ac:dyDescent="0.35">
      <c r="A194" s="18" t="s">
        <v>991</v>
      </c>
      <c r="B194" s="6">
        <f t="shared" si="14"/>
        <v>46108</v>
      </c>
      <c r="C194" s="6">
        <f t="shared" si="14"/>
        <v>46113</v>
      </c>
      <c r="D194" s="18">
        <v>3249</v>
      </c>
      <c r="E194" s="18">
        <v>332</v>
      </c>
      <c r="F194" s="18">
        <v>3</v>
      </c>
      <c r="G194" s="18">
        <v>2</v>
      </c>
      <c r="H194" s="18">
        <v>81735</v>
      </c>
      <c r="I194" s="18" t="s">
        <v>17</v>
      </c>
      <c r="J194" s="18">
        <v>14111392</v>
      </c>
      <c r="K194" s="18" t="s">
        <v>352</v>
      </c>
      <c r="L194" s="18" t="s">
        <v>353</v>
      </c>
      <c r="M194" s="33">
        <v>249900</v>
      </c>
      <c r="N194" s="34">
        <v>0.75</v>
      </c>
      <c r="O194" s="7">
        <f t="shared" ref="O194:O257" si="15">M194-(M194*N194)</f>
        <v>62475</v>
      </c>
      <c r="P194" s="18" t="s">
        <v>16</v>
      </c>
    </row>
    <row r="195" spans="1:16" x14ac:dyDescent="0.35">
      <c r="A195" s="18" t="s">
        <v>991</v>
      </c>
      <c r="B195" s="6">
        <f t="shared" ref="B195:C210" si="16">B194</f>
        <v>46108</v>
      </c>
      <c r="C195" s="6">
        <f t="shared" si="16"/>
        <v>46113</v>
      </c>
      <c r="D195" s="18">
        <v>3249</v>
      </c>
      <c r="E195" s="18">
        <v>332</v>
      </c>
      <c r="F195" s="18">
        <v>3</v>
      </c>
      <c r="G195" s="18">
        <v>2</v>
      </c>
      <c r="H195" s="18">
        <v>81735</v>
      </c>
      <c r="I195" s="18" t="s">
        <v>17</v>
      </c>
      <c r="J195" s="18">
        <v>14111409</v>
      </c>
      <c r="K195" s="18" t="s">
        <v>352</v>
      </c>
      <c r="L195" s="18" t="s">
        <v>354</v>
      </c>
      <c r="M195" s="33">
        <v>249900</v>
      </c>
      <c r="N195" s="34">
        <v>0.75</v>
      </c>
      <c r="O195" s="7">
        <f t="shared" si="15"/>
        <v>62475</v>
      </c>
      <c r="P195" s="18" t="s">
        <v>16</v>
      </c>
    </row>
    <row r="196" spans="1:16" x14ac:dyDescent="0.35">
      <c r="A196" s="18" t="s">
        <v>991</v>
      </c>
      <c r="B196" s="6">
        <f t="shared" si="16"/>
        <v>46108</v>
      </c>
      <c r="C196" s="6">
        <f t="shared" si="16"/>
        <v>46113</v>
      </c>
      <c r="D196" s="18">
        <v>3249</v>
      </c>
      <c r="E196" s="18">
        <v>332</v>
      </c>
      <c r="F196" s="18">
        <v>3</v>
      </c>
      <c r="G196" s="18">
        <v>2</v>
      </c>
      <c r="H196" s="18">
        <v>81735</v>
      </c>
      <c r="I196" s="18" t="s">
        <v>17</v>
      </c>
      <c r="J196" s="18">
        <v>14111418</v>
      </c>
      <c r="K196" s="18" t="s">
        <v>352</v>
      </c>
      <c r="L196" s="18" t="s">
        <v>355</v>
      </c>
      <c r="M196" s="33">
        <v>249900</v>
      </c>
      <c r="N196" s="34">
        <v>0.75</v>
      </c>
      <c r="O196" s="7">
        <f t="shared" si="15"/>
        <v>62475</v>
      </c>
      <c r="P196" s="18" t="s">
        <v>16</v>
      </c>
    </row>
    <row r="197" spans="1:16" x14ac:dyDescent="0.35">
      <c r="A197" s="18" t="s">
        <v>991</v>
      </c>
      <c r="B197" s="6">
        <f t="shared" si="16"/>
        <v>46108</v>
      </c>
      <c r="C197" s="6">
        <f t="shared" si="16"/>
        <v>46113</v>
      </c>
      <c r="D197" s="18">
        <v>3249</v>
      </c>
      <c r="E197" s="18">
        <v>332</v>
      </c>
      <c r="F197" s="18">
        <v>3</v>
      </c>
      <c r="G197" s="18">
        <v>2</v>
      </c>
      <c r="H197" s="18">
        <v>81735</v>
      </c>
      <c r="I197" s="18" t="s">
        <v>17</v>
      </c>
      <c r="J197" s="18">
        <v>14111427</v>
      </c>
      <c r="K197" s="18" t="s">
        <v>352</v>
      </c>
      <c r="L197" s="18" t="s">
        <v>356</v>
      </c>
      <c r="M197" s="33">
        <v>249900</v>
      </c>
      <c r="N197" s="34">
        <v>0.75</v>
      </c>
      <c r="O197" s="7">
        <f t="shared" si="15"/>
        <v>62475</v>
      </c>
      <c r="P197" s="18" t="s">
        <v>16</v>
      </c>
    </row>
    <row r="198" spans="1:16" x14ac:dyDescent="0.35">
      <c r="A198" s="18" t="s">
        <v>991</v>
      </c>
      <c r="B198" s="6">
        <f t="shared" si="16"/>
        <v>46108</v>
      </c>
      <c r="C198" s="6">
        <f t="shared" si="16"/>
        <v>46113</v>
      </c>
      <c r="D198" s="18">
        <v>3249</v>
      </c>
      <c r="E198" s="18">
        <v>332</v>
      </c>
      <c r="F198" s="18">
        <v>3</v>
      </c>
      <c r="G198" s="18">
        <v>2</v>
      </c>
      <c r="H198" s="18">
        <v>81735</v>
      </c>
      <c r="I198" s="18" t="s">
        <v>17</v>
      </c>
      <c r="J198" s="18">
        <v>14111436</v>
      </c>
      <c r="K198" s="18" t="s">
        <v>352</v>
      </c>
      <c r="L198" s="18" t="s">
        <v>357</v>
      </c>
      <c r="M198" s="33">
        <v>249900</v>
      </c>
      <c r="N198" s="34">
        <v>0.75</v>
      </c>
      <c r="O198" s="7">
        <f t="shared" si="15"/>
        <v>62475</v>
      </c>
      <c r="P198" s="18" t="s">
        <v>16</v>
      </c>
    </row>
    <row r="199" spans="1:16" x14ac:dyDescent="0.35">
      <c r="A199" s="18" t="s">
        <v>991</v>
      </c>
      <c r="B199" s="6">
        <f t="shared" si="16"/>
        <v>46108</v>
      </c>
      <c r="C199" s="6">
        <f t="shared" si="16"/>
        <v>46113</v>
      </c>
      <c r="D199" s="18">
        <v>3249</v>
      </c>
      <c r="E199" s="18">
        <v>332</v>
      </c>
      <c r="F199" s="18">
        <v>3</v>
      </c>
      <c r="G199" s="18">
        <v>2</v>
      </c>
      <c r="H199" s="18">
        <v>81735</v>
      </c>
      <c r="I199" s="18" t="s">
        <v>17</v>
      </c>
      <c r="J199" s="18">
        <v>14111445</v>
      </c>
      <c r="K199" s="18" t="s">
        <v>352</v>
      </c>
      <c r="L199" s="18" t="s">
        <v>358</v>
      </c>
      <c r="M199" s="33">
        <v>249900</v>
      </c>
      <c r="N199" s="34">
        <v>0.75</v>
      </c>
      <c r="O199" s="7">
        <f t="shared" si="15"/>
        <v>62475</v>
      </c>
      <c r="P199" s="18" t="s">
        <v>16</v>
      </c>
    </row>
    <row r="200" spans="1:16" x14ac:dyDescent="0.35">
      <c r="A200" s="18" t="s">
        <v>991</v>
      </c>
      <c r="B200" s="6">
        <f t="shared" si="16"/>
        <v>46108</v>
      </c>
      <c r="C200" s="6">
        <f t="shared" si="16"/>
        <v>46113</v>
      </c>
      <c r="D200" s="18">
        <v>3249</v>
      </c>
      <c r="E200" s="18">
        <v>332</v>
      </c>
      <c r="F200" s="18">
        <v>3</v>
      </c>
      <c r="G200" s="18">
        <v>2</v>
      </c>
      <c r="H200" s="18">
        <v>81735</v>
      </c>
      <c r="I200" s="18" t="s">
        <v>17</v>
      </c>
      <c r="J200" s="18">
        <v>14111454</v>
      </c>
      <c r="K200" s="18" t="s">
        <v>359</v>
      </c>
      <c r="L200" s="18" t="s">
        <v>360</v>
      </c>
      <c r="M200" s="33">
        <v>249900</v>
      </c>
      <c r="N200" s="34">
        <v>0.75</v>
      </c>
      <c r="O200" s="7">
        <f t="shared" si="15"/>
        <v>62475</v>
      </c>
      <c r="P200" s="18" t="s">
        <v>16</v>
      </c>
    </row>
    <row r="201" spans="1:16" x14ac:dyDescent="0.35">
      <c r="A201" s="18" t="s">
        <v>991</v>
      </c>
      <c r="B201" s="6">
        <f t="shared" si="16"/>
        <v>46108</v>
      </c>
      <c r="C201" s="6">
        <f t="shared" si="16"/>
        <v>46113</v>
      </c>
      <c r="D201" s="18">
        <v>3249</v>
      </c>
      <c r="E201" s="18">
        <v>332</v>
      </c>
      <c r="F201" s="18">
        <v>3</v>
      </c>
      <c r="G201" s="18">
        <v>2</v>
      </c>
      <c r="H201" s="18">
        <v>81735</v>
      </c>
      <c r="I201" s="18" t="s">
        <v>17</v>
      </c>
      <c r="J201" s="18">
        <v>14111463</v>
      </c>
      <c r="K201" s="18" t="s">
        <v>359</v>
      </c>
      <c r="L201" s="18" t="s">
        <v>361</v>
      </c>
      <c r="M201" s="33">
        <v>249900</v>
      </c>
      <c r="N201" s="34">
        <v>0.75</v>
      </c>
      <c r="O201" s="7">
        <f t="shared" si="15"/>
        <v>62475</v>
      </c>
      <c r="P201" s="18" t="s">
        <v>16</v>
      </c>
    </row>
    <row r="202" spans="1:16" x14ac:dyDescent="0.35">
      <c r="A202" s="18" t="s">
        <v>991</v>
      </c>
      <c r="B202" s="6">
        <f t="shared" si="16"/>
        <v>46108</v>
      </c>
      <c r="C202" s="6">
        <f t="shared" si="16"/>
        <v>46113</v>
      </c>
      <c r="D202" s="18">
        <v>3249</v>
      </c>
      <c r="E202" s="18">
        <v>332</v>
      </c>
      <c r="F202" s="18">
        <v>3</v>
      </c>
      <c r="G202" s="18">
        <v>2</v>
      </c>
      <c r="H202" s="18">
        <v>81735</v>
      </c>
      <c r="I202" s="18" t="s">
        <v>17</v>
      </c>
      <c r="J202" s="18">
        <v>14111472</v>
      </c>
      <c r="K202" s="18" t="s">
        <v>359</v>
      </c>
      <c r="L202" s="18" t="s">
        <v>362</v>
      </c>
      <c r="M202" s="33">
        <v>249900</v>
      </c>
      <c r="N202" s="34">
        <v>0.75</v>
      </c>
      <c r="O202" s="7">
        <f t="shared" si="15"/>
        <v>62475</v>
      </c>
      <c r="P202" s="18" t="s">
        <v>16</v>
      </c>
    </row>
    <row r="203" spans="1:16" x14ac:dyDescent="0.35">
      <c r="A203" s="18" t="s">
        <v>991</v>
      </c>
      <c r="B203" s="6">
        <f t="shared" si="16"/>
        <v>46108</v>
      </c>
      <c r="C203" s="6">
        <f t="shared" si="16"/>
        <v>46113</v>
      </c>
      <c r="D203" s="18">
        <v>3249</v>
      </c>
      <c r="E203" s="18">
        <v>332</v>
      </c>
      <c r="F203" s="18">
        <v>3</v>
      </c>
      <c r="G203" s="18">
        <v>2</v>
      </c>
      <c r="H203" s="18">
        <v>81735</v>
      </c>
      <c r="I203" s="18" t="s">
        <v>17</v>
      </c>
      <c r="J203" s="18">
        <v>14111481</v>
      </c>
      <c r="K203" s="18" t="s">
        <v>359</v>
      </c>
      <c r="L203" s="18" t="s">
        <v>363</v>
      </c>
      <c r="M203" s="33">
        <v>249900</v>
      </c>
      <c r="N203" s="34">
        <v>0.75</v>
      </c>
      <c r="O203" s="7">
        <f t="shared" si="15"/>
        <v>62475</v>
      </c>
      <c r="P203" s="18" t="s">
        <v>16</v>
      </c>
    </row>
    <row r="204" spans="1:16" x14ac:dyDescent="0.35">
      <c r="A204" s="18" t="s">
        <v>991</v>
      </c>
      <c r="B204" s="6">
        <f t="shared" si="16"/>
        <v>46108</v>
      </c>
      <c r="C204" s="6">
        <f t="shared" si="16"/>
        <v>46113</v>
      </c>
      <c r="D204" s="18">
        <v>3249</v>
      </c>
      <c r="E204" s="18">
        <v>332</v>
      </c>
      <c r="F204" s="18">
        <v>3</v>
      </c>
      <c r="G204" s="18">
        <v>2</v>
      </c>
      <c r="H204" s="18">
        <v>81735</v>
      </c>
      <c r="I204" s="18" t="s">
        <v>17</v>
      </c>
      <c r="J204" s="18">
        <v>14111490</v>
      </c>
      <c r="K204" s="18" t="s">
        <v>359</v>
      </c>
      <c r="L204" s="18" t="s">
        <v>364</v>
      </c>
      <c r="M204" s="33">
        <v>249900</v>
      </c>
      <c r="N204" s="34">
        <v>0.75</v>
      </c>
      <c r="O204" s="7">
        <f t="shared" si="15"/>
        <v>62475</v>
      </c>
      <c r="P204" s="18" t="s">
        <v>16</v>
      </c>
    </row>
    <row r="205" spans="1:16" x14ac:dyDescent="0.35">
      <c r="A205" s="18" t="s">
        <v>991</v>
      </c>
      <c r="B205" s="6">
        <f t="shared" si="16"/>
        <v>46108</v>
      </c>
      <c r="C205" s="6">
        <f t="shared" si="16"/>
        <v>46113</v>
      </c>
      <c r="D205" s="18">
        <v>3249</v>
      </c>
      <c r="E205" s="18">
        <v>332</v>
      </c>
      <c r="F205" s="18">
        <v>3</v>
      </c>
      <c r="G205" s="18">
        <v>2</v>
      </c>
      <c r="H205" s="18">
        <v>81735</v>
      </c>
      <c r="I205" s="18" t="s">
        <v>17</v>
      </c>
      <c r="J205" s="18">
        <v>14111696</v>
      </c>
      <c r="K205" s="18" t="s">
        <v>365</v>
      </c>
      <c r="L205" s="18" t="s">
        <v>366</v>
      </c>
      <c r="M205" s="33">
        <v>249900</v>
      </c>
      <c r="N205" s="34">
        <v>0.75</v>
      </c>
      <c r="O205" s="7">
        <f t="shared" si="15"/>
        <v>62475</v>
      </c>
      <c r="P205" s="18" t="s">
        <v>16</v>
      </c>
    </row>
    <row r="206" spans="1:16" x14ac:dyDescent="0.35">
      <c r="A206" s="18" t="s">
        <v>991</v>
      </c>
      <c r="B206" s="6">
        <f t="shared" si="16"/>
        <v>46108</v>
      </c>
      <c r="C206" s="6">
        <f t="shared" si="16"/>
        <v>46113</v>
      </c>
      <c r="D206" s="18">
        <v>3249</v>
      </c>
      <c r="E206" s="18">
        <v>332</v>
      </c>
      <c r="F206" s="18">
        <v>3</v>
      </c>
      <c r="G206" s="18">
        <v>2</v>
      </c>
      <c r="H206" s="18">
        <v>81735</v>
      </c>
      <c r="I206" s="18" t="s">
        <v>17</v>
      </c>
      <c r="J206" s="18">
        <v>14111703</v>
      </c>
      <c r="K206" s="18" t="s">
        <v>365</v>
      </c>
      <c r="L206" s="18" t="s">
        <v>367</v>
      </c>
      <c r="M206" s="33">
        <v>249900</v>
      </c>
      <c r="N206" s="34">
        <v>0.75</v>
      </c>
      <c r="O206" s="7">
        <f t="shared" si="15"/>
        <v>62475</v>
      </c>
      <c r="P206" s="18" t="s">
        <v>16</v>
      </c>
    </row>
    <row r="207" spans="1:16" x14ac:dyDescent="0.35">
      <c r="A207" s="18" t="s">
        <v>991</v>
      </c>
      <c r="B207" s="6">
        <f t="shared" si="16"/>
        <v>46108</v>
      </c>
      <c r="C207" s="6">
        <f t="shared" si="16"/>
        <v>46113</v>
      </c>
      <c r="D207" s="18">
        <v>3249</v>
      </c>
      <c r="E207" s="18">
        <v>332</v>
      </c>
      <c r="F207" s="18">
        <v>3</v>
      </c>
      <c r="G207" s="18">
        <v>2</v>
      </c>
      <c r="H207" s="18">
        <v>81735</v>
      </c>
      <c r="I207" s="18" t="s">
        <v>17</v>
      </c>
      <c r="J207" s="18">
        <v>14111712</v>
      </c>
      <c r="K207" s="18" t="s">
        <v>365</v>
      </c>
      <c r="L207" s="18" t="s">
        <v>368</v>
      </c>
      <c r="M207" s="33">
        <v>249900</v>
      </c>
      <c r="N207" s="34">
        <v>0.75</v>
      </c>
      <c r="O207" s="7">
        <f t="shared" si="15"/>
        <v>62475</v>
      </c>
      <c r="P207" s="18" t="s">
        <v>16</v>
      </c>
    </row>
    <row r="208" spans="1:16" x14ac:dyDescent="0.35">
      <c r="A208" s="18" t="s">
        <v>991</v>
      </c>
      <c r="B208" s="6">
        <f t="shared" si="16"/>
        <v>46108</v>
      </c>
      <c r="C208" s="6">
        <f t="shared" si="16"/>
        <v>46113</v>
      </c>
      <c r="D208" s="18">
        <v>3249</v>
      </c>
      <c r="E208" s="18">
        <v>332</v>
      </c>
      <c r="F208" s="18">
        <v>3</v>
      </c>
      <c r="G208" s="18">
        <v>2</v>
      </c>
      <c r="H208" s="18">
        <v>81735</v>
      </c>
      <c r="I208" s="18" t="s">
        <v>17</v>
      </c>
      <c r="J208" s="18">
        <v>14111721</v>
      </c>
      <c r="K208" s="18" t="s">
        <v>365</v>
      </c>
      <c r="L208" s="18" t="s">
        <v>369</v>
      </c>
      <c r="M208" s="33">
        <v>249900</v>
      </c>
      <c r="N208" s="34">
        <v>0.75</v>
      </c>
      <c r="O208" s="7">
        <f t="shared" si="15"/>
        <v>62475</v>
      </c>
      <c r="P208" s="18" t="s">
        <v>16</v>
      </c>
    </row>
    <row r="209" spans="1:16" x14ac:dyDescent="0.35">
      <c r="A209" s="18" t="s">
        <v>991</v>
      </c>
      <c r="B209" s="6">
        <f t="shared" si="16"/>
        <v>46108</v>
      </c>
      <c r="C209" s="6">
        <f t="shared" si="16"/>
        <v>46113</v>
      </c>
      <c r="D209" s="18">
        <v>3249</v>
      </c>
      <c r="E209" s="18">
        <v>332</v>
      </c>
      <c r="F209" s="18">
        <v>3</v>
      </c>
      <c r="G209" s="18">
        <v>2</v>
      </c>
      <c r="H209" s="18">
        <v>81735</v>
      </c>
      <c r="I209" s="18" t="s">
        <v>17</v>
      </c>
      <c r="J209" s="18">
        <v>14111730</v>
      </c>
      <c r="K209" s="18" t="s">
        <v>365</v>
      </c>
      <c r="L209" s="18" t="s">
        <v>370</v>
      </c>
      <c r="M209" s="33">
        <v>249900</v>
      </c>
      <c r="N209" s="34">
        <v>0.75</v>
      </c>
      <c r="O209" s="7">
        <f t="shared" si="15"/>
        <v>62475</v>
      </c>
      <c r="P209" s="18" t="s">
        <v>16</v>
      </c>
    </row>
    <row r="210" spans="1:16" x14ac:dyDescent="0.35">
      <c r="A210" s="18" t="s">
        <v>991</v>
      </c>
      <c r="B210" s="6">
        <f t="shared" si="16"/>
        <v>46108</v>
      </c>
      <c r="C210" s="6">
        <f t="shared" si="16"/>
        <v>46113</v>
      </c>
      <c r="D210" s="18">
        <v>3249</v>
      </c>
      <c r="E210" s="18">
        <v>332</v>
      </c>
      <c r="F210" s="18">
        <v>3</v>
      </c>
      <c r="G210" s="18">
        <v>2</v>
      </c>
      <c r="H210" s="18">
        <v>81735</v>
      </c>
      <c r="I210" s="18" t="s">
        <v>17</v>
      </c>
      <c r="J210" s="18">
        <v>14111749</v>
      </c>
      <c r="K210" s="18" t="s">
        <v>365</v>
      </c>
      <c r="L210" s="18" t="s">
        <v>371</v>
      </c>
      <c r="M210" s="33">
        <v>249900</v>
      </c>
      <c r="N210" s="34">
        <v>0.75</v>
      </c>
      <c r="O210" s="7">
        <f t="shared" si="15"/>
        <v>62475</v>
      </c>
      <c r="P210" s="18" t="s">
        <v>16</v>
      </c>
    </row>
    <row r="211" spans="1:16" x14ac:dyDescent="0.35">
      <c r="A211" s="18" t="s">
        <v>991</v>
      </c>
      <c r="B211" s="6">
        <f t="shared" ref="B211:C226" si="17">B210</f>
        <v>46108</v>
      </c>
      <c r="C211" s="6">
        <f t="shared" si="17"/>
        <v>46113</v>
      </c>
      <c r="D211" s="18">
        <v>3249</v>
      </c>
      <c r="E211" s="18">
        <v>332</v>
      </c>
      <c r="F211" s="18">
        <v>3</v>
      </c>
      <c r="G211" s="18">
        <v>2</v>
      </c>
      <c r="H211" s="18">
        <v>81735</v>
      </c>
      <c r="I211" s="18" t="s">
        <v>17</v>
      </c>
      <c r="J211" s="18">
        <v>16193569</v>
      </c>
      <c r="K211" s="18" t="s">
        <v>372</v>
      </c>
      <c r="L211" s="18" t="s">
        <v>373</v>
      </c>
      <c r="M211" s="33">
        <v>279900</v>
      </c>
      <c r="N211" s="34">
        <v>0.75</v>
      </c>
      <c r="O211" s="7">
        <f t="shared" si="15"/>
        <v>69975</v>
      </c>
      <c r="P211" s="18" t="s">
        <v>16</v>
      </c>
    </row>
    <row r="212" spans="1:16" x14ac:dyDescent="0.35">
      <c r="A212" s="18" t="s">
        <v>991</v>
      </c>
      <c r="B212" s="6">
        <f t="shared" si="17"/>
        <v>46108</v>
      </c>
      <c r="C212" s="6">
        <f t="shared" si="17"/>
        <v>46113</v>
      </c>
      <c r="D212" s="18">
        <v>3249</v>
      </c>
      <c r="E212" s="18">
        <v>332</v>
      </c>
      <c r="F212" s="18">
        <v>3</v>
      </c>
      <c r="G212" s="18">
        <v>2</v>
      </c>
      <c r="H212" s="18">
        <v>81735</v>
      </c>
      <c r="I212" s="18" t="s">
        <v>17</v>
      </c>
      <c r="J212" s="18">
        <v>16193578</v>
      </c>
      <c r="K212" s="18" t="s">
        <v>372</v>
      </c>
      <c r="L212" s="18" t="s">
        <v>374</v>
      </c>
      <c r="M212" s="33">
        <v>279900</v>
      </c>
      <c r="N212" s="34">
        <v>0.75</v>
      </c>
      <c r="O212" s="7">
        <f t="shared" si="15"/>
        <v>69975</v>
      </c>
      <c r="P212" s="18" t="s">
        <v>16</v>
      </c>
    </row>
    <row r="213" spans="1:16" x14ac:dyDescent="0.35">
      <c r="A213" s="18" t="s">
        <v>991</v>
      </c>
      <c r="B213" s="6">
        <f t="shared" si="17"/>
        <v>46108</v>
      </c>
      <c r="C213" s="6">
        <f t="shared" si="17"/>
        <v>46113</v>
      </c>
      <c r="D213" s="18">
        <v>3249</v>
      </c>
      <c r="E213" s="18">
        <v>332</v>
      </c>
      <c r="F213" s="18">
        <v>3</v>
      </c>
      <c r="G213" s="18">
        <v>2</v>
      </c>
      <c r="H213" s="18">
        <v>81735</v>
      </c>
      <c r="I213" s="18" t="s">
        <v>17</v>
      </c>
      <c r="J213" s="18">
        <v>16193587</v>
      </c>
      <c r="K213" s="18" t="s">
        <v>372</v>
      </c>
      <c r="L213" s="18" t="s">
        <v>375</v>
      </c>
      <c r="M213" s="33">
        <v>279900</v>
      </c>
      <c r="N213" s="34">
        <v>0.75</v>
      </c>
      <c r="O213" s="7">
        <f t="shared" si="15"/>
        <v>69975</v>
      </c>
      <c r="P213" s="18" t="s">
        <v>16</v>
      </c>
    </row>
    <row r="214" spans="1:16" x14ac:dyDescent="0.35">
      <c r="A214" s="18" t="s">
        <v>991</v>
      </c>
      <c r="B214" s="6">
        <f t="shared" si="17"/>
        <v>46108</v>
      </c>
      <c r="C214" s="6">
        <f t="shared" si="17"/>
        <v>46113</v>
      </c>
      <c r="D214" s="18">
        <v>3249</v>
      </c>
      <c r="E214" s="18">
        <v>332</v>
      </c>
      <c r="F214" s="18">
        <v>3</v>
      </c>
      <c r="G214" s="18">
        <v>2</v>
      </c>
      <c r="H214" s="18">
        <v>81735</v>
      </c>
      <c r="I214" s="18" t="s">
        <v>17</v>
      </c>
      <c r="J214" s="18">
        <v>16193596</v>
      </c>
      <c r="K214" s="18" t="s">
        <v>372</v>
      </c>
      <c r="L214" s="18" t="s">
        <v>376</v>
      </c>
      <c r="M214" s="33">
        <v>279900</v>
      </c>
      <c r="N214" s="34">
        <v>0.75</v>
      </c>
      <c r="O214" s="7">
        <f t="shared" si="15"/>
        <v>69975</v>
      </c>
      <c r="P214" s="18" t="s">
        <v>16</v>
      </c>
    </row>
    <row r="215" spans="1:16" x14ac:dyDescent="0.35">
      <c r="A215" s="18" t="s">
        <v>991</v>
      </c>
      <c r="B215" s="6">
        <f t="shared" si="17"/>
        <v>46108</v>
      </c>
      <c r="C215" s="6">
        <f t="shared" si="17"/>
        <v>46113</v>
      </c>
      <c r="D215" s="18">
        <v>3249</v>
      </c>
      <c r="E215" s="18">
        <v>332</v>
      </c>
      <c r="F215" s="18">
        <v>3</v>
      </c>
      <c r="G215" s="18">
        <v>2</v>
      </c>
      <c r="H215" s="18">
        <v>81735</v>
      </c>
      <c r="I215" s="18" t="s">
        <v>17</v>
      </c>
      <c r="J215" s="18">
        <v>16193603</v>
      </c>
      <c r="K215" s="18" t="s">
        <v>372</v>
      </c>
      <c r="L215" s="18" t="s">
        <v>377</v>
      </c>
      <c r="M215" s="33">
        <v>279900</v>
      </c>
      <c r="N215" s="34">
        <v>0.75</v>
      </c>
      <c r="O215" s="7">
        <f t="shared" si="15"/>
        <v>69975</v>
      </c>
      <c r="P215" s="18" t="s">
        <v>16</v>
      </c>
    </row>
    <row r="216" spans="1:16" x14ac:dyDescent="0.35">
      <c r="A216" s="18" t="s">
        <v>991</v>
      </c>
      <c r="B216" s="6">
        <f t="shared" si="17"/>
        <v>46108</v>
      </c>
      <c r="C216" s="6">
        <f t="shared" si="17"/>
        <v>46113</v>
      </c>
      <c r="D216" s="18">
        <v>3249</v>
      </c>
      <c r="E216" s="18">
        <v>332</v>
      </c>
      <c r="F216" s="18">
        <v>3</v>
      </c>
      <c r="G216" s="18">
        <v>2</v>
      </c>
      <c r="H216" s="18">
        <v>81735</v>
      </c>
      <c r="I216" s="18" t="s">
        <v>17</v>
      </c>
      <c r="J216" s="18">
        <v>16193612</v>
      </c>
      <c r="K216" s="18" t="s">
        <v>372</v>
      </c>
      <c r="L216" s="18" t="s">
        <v>378</v>
      </c>
      <c r="M216" s="33">
        <v>279900</v>
      </c>
      <c r="N216" s="34">
        <v>0.75</v>
      </c>
      <c r="O216" s="7">
        <f t="shared" si="15"/>
        <v>69975</v>
      </c>
      <c r="P216" s="18" t="s">
        <v>16</v>
      </c>
    </row>
    <row r="217" spans="1:16" x14ac:dyDescent="0.35">
      <c r="A217" s="18" t="s">
        <v>991</v>
      </c>
      <c r="B217" s="6">
        <f t="shared" si="17"/>
        <v>46108</v>
      </c>
      <c r="C217" s="6">
        <f t="shared" si="17"/>
        <v>46113</v>
      </c>
      <c r="D217" s="18">
        <v>3249</v>
      </c>
      <c r="E217" s="18">
        <v>332</v>
      </c>
      <c r="F217" s="18">
        <v>3</v>
      </c>
      <c r="G217" s="18">
        <v>2</v>
      </c>
      <c r="H217" s="18">
        <v>81735</v>
      </c>
      <c r="I217" s="18" t="s">
        <v>17</v>
      </c>
      <c r="J217" s="18">
        <v>16193621</v>
      </c>
      <c r="K217" s="18" t="s">
        <v>379</v>
      </c>
      <c r="L217" s="18" t="s">
        <v>380</v>
      </c>
      <c r="M217" s="33">
        <v>279900</v>
      </c>
      <c r="N217" s="34">
        <v>0.75</v>
      </c>
      <c r="O217" s="7">
        <f t="shared" si="15"/>
        <v>69975</v>
      </c>
      <c r="P217" s="18" t="s">
        <v>16</v>
      </c>
    </row>
    <row r="218" spans="1:16" x14ac:dyDescent="0.35">
      <c r="A218" s="18" t="s">
        <v>991</v>
      </c>
      <c r="B218" s="6">
        <f t="shared" si="17"/>
        <v>46108</v>
      </c>
      <c r="C218" s="6">
        <f t="shared" si="17"/>
        <v>46113</v>
      </c>
      <c r="D218" s="18">
        <v>3249</v>
      </c>
      <c r="E218" s="18">
        <v>332</v>
      </c>
      <c r="F218" s="18">
        <v>3</v>
      </c>
      <c r="G218" s="18">
        <v>2</v>
      </c>
      <c r="H218" s="18">
        <v>81735</v>
      </c>
      <c r="I218" s="18" t="s">
        <v>17</v>
      </c>
      <c r="J218" s="18">
        <v>16193630</v>
      </c>
      <c r="K218" s="18" t="s">
        <v>379</v>
      </c>
      <c r="L218" s="18" t="s">
        <v>381</v>
      </c>
      <c r="M218" s="33">
        <v>279900</v>
      </c>
      <c r="N218" s="34">
        <v>0.75</v>
      </c>
      <c r="O218" s="7">
        <f t="shared" si="15"/>
        <v>69975</v>
      </c>
      <c r="P218" s="18" t="s">
        <v>16</v>
      </c>
    </row>
    <row r="219" spans="1:16" x14ac:dyDescent="0.35">
      <c r="A219" s="18" t="s">
        <v>991</v>
      </c>
      <c r="B219" s="6">
        <f t="shared" si="17"/>
        <v>46108</v>
      </c>
      <c r="C219" s="6">
        <f t="shared" si="17"/>
        <v>46113</v>
      </c>
      <c r="D219" s="18">
        <v>3249</v>
      </c>
      <c r="E219" s="18">
        <v>332</v>
      </c>
      <c r="F219" s="18">
        <v>3</v>
      </c>
      <c r="G219" s="18">
        <v>2</v>
      </c>
      <c r="H219" s="18">
        <v>81735</v>
      </c>
      <c r="I219" s="18" t="s">
        <v>17</v>
      </c>
      <c r="J219" s="18">
        <v>16193649</v>
      </c>
      <c r="K219" s="18" t="s">
        <v>379</v>
      </c>
      <c r="L219" s="18" t="s">
        <v>382</v>
      </c>
      <c r="M219" s="33">
        <v>279900</v>
      </c>
      <c r="N219" s="34">
        <v>0.75</v>
      </c>
      <c r="O219" s="7">
        <f t="shared" si="15"/>
        <v>69975</v>
      </c>
      <c r="P219" s="18" t="s">
        <v>16</v>
      </c>
    </row>
    <row r="220" spans="1:16" x14ac:dyDescent="0.35">
      <c r="A220" s="18" t="s">
        <v>991</v>
      </c>
      <c r="B220" s="6">
        <f t="shared" si="17"/>
        <v>46108</v>
      </c>
      <c r="C220" s="6">
        <f t="shared" si="17"/>
        <v>46113</v>
      </c>
      <c r="D220" s="18">
        <v>3249</v>
      </c>
      <c r="E220" s="18">
        <v>332</v>
      </c>
      <c r="F220" s="18">
        <v>3</v>
      </c>
      <c r="G220" s="18">
        <v>2</v>
      </c>
      <c r="H220" s="18">
        <v>81735</v>
      </c>
      <c r="I220" s="18" t="s">
        <v>17</v>
      </c>
      <c r="J220" s="18">
        <v>16193658</v>
      </c>
      <c r="K220" s="18" t="s">
        <v>379</v>
      </c>
      <c r="L220" s="18" t="s">
        <v>383</v>
      </c>
      <c r="M220" s="33">
        <v>279900</v>
      </c>
      <c r="N220" s="34">
        <v>0.75</v>
      </c>
      <c r="O220" s="7">
        <f t="shared" si="15"/>
        <v>69975</v>
      </c>
      <c r="P220" s="18" t="s">
        <v>16</v>
      </c>
    </row>
    <row r="221" spans="1:16" x14ac:dyDescent="0.35">
      <c r="A221" s="18" t="s">
        <v>991</v>
      </c>
      <c r="B221" s="6">
        <f t="shared" si="17"/>
        <v>46108</v>
      </c>
      <c r="C221" s="6">
        <f t="shared" si="17"/>
        <v>46113</v>
      </c>
      <c r="D221" s="18">
        <v>3249</v>
      </c>
      <c r="E221" s="18">
        <v>332</v>
      </c>
      <c r="F221" s="18">
        <v>3</v>
      </c>
      <c r="G221" s="18">
        <v>2</v>
      </c>
      <c r="H221" s="18">
        <v>81735</v>
      </c>
      <c r="I221" s="18" t="s">
        <v>17</v>
      </c>
      <c r="J221" s="18">
        <v>16193667</v>
      </c>
      <c r="K221" s="18" t="s">
        <v>379</v>
      </c>
      <c r="L221" s="18" t="s">
        <v>384</v>
      </c>
      <c r="M221" s="33">
        <v>279900</v>
      </c>
      <c r="N221" s="34">
        <v>0.75</v>
      </c>
      <c r="O221" s="7">
        <f t="shared" si="15"/>
        <v>69975</v>
      </c>
      <c r="P221" s="18" t="s">
        <v>16</v>
      </c>
    </row>
    <row r="222" spans="1:16" x14ac:dyDescent="0.35">
      <c r="A222" s="18" t="s">
        <v>991</v>
      </c>
      <c r="B222" s="6">
        <f t="shared" si="17"/>
        <v>46108</v>
      </c>
      <c r="C222" s="6">
        <f t="shared" si="17"/>
        <v>46113</v>
      </c>
      <c r="D222" s="18">
        <v>3249</v>
      </c>
      <c r="E222" s="18">
        <v>332</v>
      </c>
      <c r="F222" s="18">
        <v>3</v>
      </c>
      <c r="G222" s="18">
        <v>2</v>
      </c>
      <c r="H222" s="18">
        <v>81735</v>
      </c>
      <c r="I222" s="18" t="s">
        <v>17</v>
      </c>
      <c r="J222" s="18">
        <v>16193676</v>
      </c>
      <c r="K222" s="18" t="s">
        <v>379</v>
      </c>
      <c r="L222" s="18" t="s">
        <v>385</v>
      </c>
      <c r="M222" s="33">
        <v>279900</v>
      </c>
      <c r="N222" s="34">
        <v>0.75</v>
      </c>
      <c r="O222" s="7">
        <f t="shared" si="15"/>
        <v>69975</v>
      </c>
      <c r="P222" s="18" t="s">
        <v>16</v>
      </c>
    </row>
    <row r="223" spans="1:16" x14ac:dyDescent="0.35">
      <c r="A223" s="18" t="s">
        <v>991</v>
      </c>
      <c r="B223" s="6">
        <f t="shared" si="17"/>
        <v>46108</v>
      </c>
      <c r="C223" s="6">
        <f t="shared" si="17"/>
        <v>46113</v>
      </c>
      <c r="D223" s="18">
        <v>3249</v>
      </c>
      <c r="E223" s="18">
        <v>332</v>
      </c>
      <c r="F223" s="18">
        <v>3</v>
      </c>
      <c r="G223" s="18">
        <v>2</v>
      </c>
      <c r="H223" s="18">
        <v>81735</v>
      </c>
      <c r="I223" s="18" t="s">
        <v>17</v>
      </c>
      <c r="J223" s="18">
        <v>16194086</v>
      </c>
      <c r="K223" s="18" t="s">
        <v>386</v>
      </c>
      <c r="L223" s="18" t="s">
        <v>387</v>
      </c>
      <c r="M223" s="33">
        <v>249900</v>
      </c>
      <c r="N223" s="34">
        <v>0.75</v>
      </c>
      <c r="O223" s="7">
        <f t="shared" si="15"/>
        <v>62475</v>
      </c>
      <c r="P223" s="18" t="s">
        <v>16</v>
      </c>
    </row>
    <row r="224" spans="1:16" x14ac:dyDescent="0.35">
      <c r="A224" s="18" t="s">
        <v>991</v>
      </c>
      <c r="B224" s="6">
        <f t="shared" si="17"/>
        <v>46108</v>
      </c>
      <c r="C224" s="6">
        <f t="shared" si="17"/>
        <v>46113</v>
      </c>
      <c r="D224" s="18">
        <v>3249</v>
      </c>
      <c r="E224" s="18">
        <v>332</v>
      </c>
      <c r="F224" s="18">
        <v>3</v>
      </c>
      <c r="G224" s="18">
        <v>2</v>
      </c>
      <c r="H224" s="18">
        <v>81735</v>
      </c>
      <c r="I224" s="18" t="s">
        <v>17</v>
      </c>
      <c r="J224" s="18">
        <v>16194102</v>
      </c>
      <c r="K224" s="18" t="s">
        <v>386</v>
      </c>
      <c r="L224" s="18" t="s">
        <v>388</v>
      </c>
      <c r="M224" s="33">
        <v>249900</v>
      </c>
      <c r="N224" s="34">
        <v>0.75</v>
      </c>
      <c r="O224" s="7">
        <f t="shared" si="15"/>
        <v>62475</v>
      </c>
      <c r="P224" s="18" t="s">
        <v>16</v>
      </c>
    </row>
    <row r="225" spans="1:16" x14ac:dyDescent="0.35">
      <c r="A225" s="18" t="s">
        <v>991</v>
      </c>
      <c r="B225" s="6">
        <f t="shared" si="17"/>
        <v>46108</v>
      </c>
      <c r="C225" s="6">
        <f t="shared" si="17"/>
        <v>46113</v>
      </c>
      <c r="D225" s="18">
        <v>3249</v>
      </c>
      <c r="E225" s="18">
        <v>332</v>
      </c>
      <c r="F225" s="18">
        <v>3</v>
      </c>
      <c r="G225" s="18">
        <v>2</v>
      </c>
      <c r="H225" s="18">
        <v>81735</v>
      </c>
      <c r="I225" s="18" t="s">
        <v>17</v>
      </c>
      <c r="J225" s="18">
        <v>16194120</v>
      </c>
      <c r="K225" s="18" t="s">
        <v>386</v>
      </c>
      <c r="L225" s="18" t="s">
        <v>389</v>
      </c>
      <c r="M225" s="33">
        <v>249900</v>
      </c>
      <c r="N225" s="34">
        <v>0.75</v>
      </c>
      <c r="O225" s="7">
        <f t="shared" si="15"/>
        <v>62475</v>
      </c>
      <c r="P225" s="18" t="s">
        <v>16</v>
      </c>
    </row>
    <row r="226" spans="1:16" x14ac:dyDescent="0.35">
      <c r="A226" s="18" t="s">
        <v>991</v>
      </c>
      <c r="B226" s="6">
        <f t="shared" si="17"/>
        <v>46108</v>
      </c>
      <c r="C226" s="6">
        <f t="shared" si="17"/>
        <v>46113</v>
      </c>
      <c r="D226" s="18">
        <v>3249</v>
      </c>
      <c r="E226" s="18">
        <v>332</v>
      </c>
      <c r="F226" s="18">
        <v>3</v>
      </c>
      <c r="G226" s="18">
        <v>2</v>
      </c>
      <c r="H226" s="18">
        <v>81735</v>
      </c>
      <c r="I226" s="18" t="s">
        <v>17</v>
      </c>
      <c r="J226" s="18">
        <v>16194139</v>
      </c>
      <c r="K226" s="18" t="s">
        <v>386</v>
      </c>
      <c r="L226" s="18" t="s">
        <v>390</v>
      </c>
      <c r="M226" s="33">
        <v>249900</v>
      </c>
      <c r="N226" s="34">
        <v>0.75</v>
      </c>
      <c r="O226" s="7">
        <f t="shared" si="15"/>
        <v>62475</v>
      </c>
      <c r="P226" s="18" t="s">
        <v>16</v>
      </c>
    </row>
    <row r="227" spans="1:16" x14ac:dyDescent="0.35">
      <c r="A227" s="18" t="s">
        <v>991</v>
      </c>
      <c r="B227" s="6">
        <f t="shared" ref="B227:C242" si="18">B226</f>
        <v>46108</v>
      </c>
      <c r="C227" s="6">
        <f t="shared" si="18"/>
        <v>46113</v>
      </c>
      <c r="D227" s="18">
        <v>3249</v>
      </c>
      <c r="E227" s="18">
        <v>332</v>
      </c>
      <c r="F227" s="18">
        <v>3</v>
      </c>
      <c r="G227" s="18">
        <v>2</v>
      </c>
      <c r="H227" s="18">
        <v>81735</v>
      </c>
      <c r="I227" s="18" t="s">
        <v>17</v>
      </c>
      <c r="J227" s="18">
        <v>16194148</v>
      </c>
      <c r="K227" s="18" t="s">
        <v>386</v>
      </c>
      <c r="L227" s="18" t="s">
        <v>391</v>
      </c>
      <c r="M227" s="33">
        <v>249900</v>
      </c>
      <c r="N227" s="34">
        <v>0.75</v>
      </c>
      <c r="O227" s="7">
        <f t="shared" si="15"/>
        <v>62475</v>
      </c>
      <c r="P227" s="18" t="s">
        <v>16</v>
      </c>
    </row>
    <row r="228" spans="1:16" x14ac:dyDescent="0.35">
      <c r="A228" s="18" t="s">
        <v>991</v>
      </c>
      <c r="B228" s="6">
        <f t="shared" si="18"/>
        <v>46108</v>
      </c>
      <c r="C228" s="6">
        <f t="shared" si="18"/>
        <v>46113</v>
      </c>
      <c r="D228" s="18">
        <v>3249</v>
      </c>
      <c r="E228" s="18">
        <v>332</v>
      </c>
      <c r="F228" s="18">
        <v>3</v>
      </c>
      <c r="G228" s="18">
        <v>2</v>
      </c>
      <c r="H228" s="18">
        <v>81735</v>
      </c>
      <c r="I228" s="18" t="s">
        <v>17</v>
      </c>
      <c r="J228" s="18">
        <v>16194157</v>
      </c>
      <c r="K228" s="18" t="s">
        <v>386</v>
      </c>
      <c r="L228" s="18" t="s">
        <v>392</v>
      </c>
      <c r="M228" s="33">
        <v>249900</v>
      </c>
      <c r="N228" s="34">
        <v>0.75</v>
      </c>
      <c r="O228" s="7">
        <f t="shared" si="15"/>
        <v>62475</v>
      </c>
      <c r="P228" s="18" t="s">
        <v>16</v>
      </c>
    </row>
    <row r="229" spans="1:16" x14ac:dyDescent="0.35">
      <c r="A229" s="18" t="s">
        <v>991</v>
      </c>
      <c r="B229" s="6">
        <f t="shared" si="18"/>
        <v>46108</v>
      </c>
      <c r="C229" s="6">
        <f t="shared" si="18"/>
        <v>46113</v>
      </c>
      <c r="D229" s="18">
        <v>3249</v>
      </c>
      <c r="E229" s="18">
        <v>332</v>
      </c>
      <c r="F229" s="18">
        <v>3</v>
      </c>
      <c r="G229" s="18">
        <v>2</v>
      </c>
      <c r="H229" s="18">
        <v>81735</v>
      </c>
      <c r="I229" s="18" t="s">
        <v>17</v>
      </c>
      <c r="J229" s="18">
        <v>16257946</v>
      </c>
      <c r="K229" s="18" t="s">
        <v>393</v>
      </c>
      <c r="L229" s="18" t="s">
        <v>394</v>
      </c>
      <c r="M229" s="33">
        <v>279900</v>
      </c>
      <c r="N229" s="34">
        <v>0.75</v>
      </c>
      <c r="O229" s="7">
        <f t="shared" si="15"/>
        <v>69975</v>
      </c>
      <c r="P229" s="18" t="s">
        <v>16</v>
      </c>
    </row>
    <row r="230" spans="1:16" x14ac:dyDescent="0.35">
      <c r="A230" s="18" t="s">
        <v>991</v>
      </c>
      <c r="B230" s="6">
        <f t="shared" si="18"/>
        <v>46108</v>
      </c>
      <c r="C230" s="6">
        <f t="shared" si="18"/>
        <v>46113</v>
      </c>
      <c r="D230" s="18">
        <v>3249</v>
      </c>
      <c r="E230" s="18">
        <v>332</v>
      </c>
      <c r="F230" s="18">
        <v>3</v>
      </c>
      <c r="G230" s="18">
        <v>2</v>
      </c>
      <c r="H230" s="18">
        <v>81735</v>
      </c>
      <c r="I230" s="18" t="s">
        <v>17</v>
      </c>
      <c r="J230" s="18">
        <v>16257955</v>
      </c>
      <c r="K230" s="18" t="s">
        <v>393</v>
      </c>
      <c r="L230" s="18" t="s">
        <v>395</v>
      </c>
      <c r="M230" s="33">
        <v>279900</v>
      </c>
      <c r="N230" s="34">
        <v>0.75</v>
      </c>
      <c r="O230" s="7">
        <f t="shared" si="15"/>
        <v>69975</v>
      </c>
      <c r="P230" s="18" t="s">
        <v>16</v>
      </c>
    </row>
    <row r="231" spans="1:16" x14ac:dyDescent="0.35">
      <c r="A231" s="18" t="s">
        <v>991</v>
      </c>
      <c r="B231" s="6">
        <f t="shared" si="18"/>
        <v>46108</v>
      </c>
      <c r="C231" s="6">
        <f t="shared" si="18"/>
        <v>46113</v>
      </c>
      <c r="D231" s="18">
        <v>3249</v>
      </c>
      <c r="E231" s="18">
        <v>332</v>
      </c>
      <c r="F231" s="18">
        <v>3</v>
      </c>
      <c r="G231" s="18">
        <v>2</v>
      </c>
      <c r="H231" s="18">
        <v>81735</v>
      </c>
      <c r="I231" s="18" t="s">
        <v>17</v>
      </c>
      <c r="J231" s="18">
        <v>16257982</v>
      </c>
      <c r="K231" s="18" t="s">
        <v>393</v>
      </c>
      <c r="L231" s="18" t="s">
        <v>396</v>
      </c>
      <c r="M231" s="33">
        <v>279900</v>
      </c>
      <c r="N231" s="34">
        <v>0.75</v>
      </c>
      <c r="O231" s="7">
        <f t="shared" si="15"/>
        <v>69975</v>
      </c>
      <c r="P231" s="18" t="s">
        <v>16</v>
      </c>
    </row>
    <row r="232" spans="1:16" x14ac:dyDescent="0.35">
      <c r="A232" s="18" t="s">
        <v>991</v>
      </c>
      <c r="B232" s="6">
        <f t="shared" si="18"/>
        <v>46108</v>
      </c>
      <c r="C232" s="6">
        <f t="shared" si="18"/>
        <v>46113</v>
      </c>
      <c r="D232" s="18">
        <v>3249</v>
      </c>
      <c r="E232" s="18">
        <v>332</v>
      </c>
      <c r="F232" s="18">
        <v>3</v>
      </c>
      <c r="G232" s="18">
        <v>2</v>
      </c>
      <c r="H232" s="18">
        <v>81735</v>
      </c>
      <c r="I232" s="18" t="s">
        <v>17</v>
      </c>
      <c r="J232" s="18">
        <v>16257991</v>
      </c>
      <c r="K232" s="18" t="s">
        <v>393</v>
      </c>
      <c r="L232" s="18" t="s">
        <v>397</v>
      </c>
      <c r="M232" s="33">
        <v>279900</v>
      </c>
      <c r="N232" s="34">
        <v>0.75</v>
      </c>
      <c r="O232" s="7">
        <f t="shared" si="15"/>
        <v>69975</v>
      </c>
      <c r="P232" s="18" t="s">
        <v>16</v>
      </c>
    </row>
    <row r="233" spans="1:16" x14ac:dyDescent="0.35">
      <c r="A233" s="18" t="s">
        <v>991</v>
      </c>
      <c r="B233" s="6">
        <f t="shared" si="18"/>
        <v>46108</v>
      </c>
      <c r="C233" s="6">
        <f t="shared" si="18"/>
        <v>46113</v>
      </c>
      <c r="D233" s="18">
        <v>3249</v>
      </c>
      <c r="E233" s="18">
        <v>332</v>
      </c>
      <c r="F233" s="18">
        <v>3</v>
      </c>
      <c r="G233" s="18">
        <v>2</v>
      </c>
      <c r="H233" s="18">
        <v>81735</v>
      </c>
      <c r="I233" s="18" t="s">
        <v>17</v>
      </c>
      <c r="J233" s="18">
        <v>16258007</v>
      </c>
      <c r="K233" s="18" t="s">
        <v>393</v>
      </c>
      <c r="L233" s="18" t="s">
        <v>398</v>
      </c>
      <c r="M233" s="33">
        <v>279900</v>
      </c>
      <c r="N233" s="34">
        <v>0.75</v>
      </c>
      <c r="O233" s="7">
        <f t="shared" si="15"/>
        <v>69975</v>
      </c>
      <c r="P233" s="18" t="s">
        <v>16</v>
      </c>
    </row>
    <row r="234" spans="1:16" x14ac:dyDescent="0.35">
      <c r="A234" s="18" t="s">
        <v>991</v>
      </c>
      <c r="B234" s="6">
        <f t="shared" si="18"/>
        <v>46108</v>
      </c>
      <c r="C234" s="6">
        <f t="shared" si="18"/>
        <v>46113</v>
      </c>
      <c r="D234" s="18">
        <v>3249</v>
      </c>
      <c r="E234" s="18">
        <v>332</v>
      </c>
      <c r="F234" s="18">
        <v>3</v>
      </c>
      <c r="G234" s="18">
        <v>2</v>
      </c>
      <c r="H234" s="18">
        <v>81735</v>
      </c>
      <c r="I234" s="18" t="s">
        <v>17</v>
      </c>
      <c r="J234" s="18">
        <v>16258016</v>
      </c>
      <c r="K234" s="18" t="s">
        <v>393</v>
      </c>
      <c r="L234" s="18" t="s">
        <v>399</v>
      </c>
      <c r="M234" s="33">
        <v>279900</v>
      </c>
      <c r="N234" s="34">
        <v>0.75</v>
      </c>
      <c r="O234" s="7">
        <f t="shared" si="15"/>
        <v>69975</v>
      </c>
      <c r="P234" s="18" t="s">
        <v>16</v>
      </c>
    </row>
    <row r="235" spans="1:16" x14ac:dyDescent="0.35">
      <c r="A235" s="18" t="s">
        <v>991</v>
      </c>
      <c r="B235" s="6">
        <f t="shared" si="18"/>
        <v>46108</v>
      </c>
      <c r="C235" s="6">
        <f t="shared" si="18"/>
        <v>46113</v>
      </c>
      <c r="D235" s="18">
        <v>3249</v>
      </c>
      <c r="E235" s="18">
        <v>332</v>
      </c>
      <c r="F235" s="18">
        <v>3</v>
      </c>
      <c r="G235" s="18">
        <v>2</v>
      </c>
      <c r="H235" s="18">
        <v>81735</v>
      </c>
      <c r="I235" s="18" t="s">
        <v>17</v>
      </c>
      <c r="J235" s="18">
        <v>16258034</v>
      </c>
      <c r="K235" s="18" t="s">
        <v>400</v>
      </c>
      <c r="L235" s="18" t="s">
        <v>401</v>
      </c>
      <c r="M235" s="33">
        <v>279900</v>
      </c>
      <c r="N235" s="34">
        <v>0.75</v>
      </c>
      <c r="O235" s="7">
        <f t="shared" si="15"/>
        <v>69975</v>
      </c>
      <c r="P235" s="18" t="s">
        <v>16</v>
      </c>
    </row>
    <row r="236" spans="1:16" x14ac:dyDescent="0.35">
      <c r="A236" s="18" t="s">
        <v>991</v>
      </c>
      <c r="B236" s="6">
        <f t="shared" si="18"/>
        <v>46108</v>
      </c>
      <c r="C236" s="6">
        <f t="shared" si="18"/>
        <v>46113</v>
      </c>
      <c r="D236" s="18">
        <v>3249</v>
      </c>
      <c r="E236" s="18">
        <v>332</v>
      </c>
      <c r="F236" s="18">
        <v>3</v>
      </c>
      <c r="G236" s="18">
        <v>2</v>
      </c>
      <c r="H236" s="18">
        <v>81735</v>
      </c>
      <c r="I236" s="18" t="s">
        <v>17</v>
      </c>
      <c r="J236" s="18">
        <v>16258043</v>
      </c>
      <c r="K236" s="18" t="s">
        <v>400</v>
      </c>
      <c r="L236" s="18" t="s">
        <v>402</v>
      </c>
      <c r="M236" s="33">
        <v>279900</v>
      </c>
      <c r="N236" s="34">
        <v>0.75</v>
      </c>
      <c r="O236" s="7">
        <f t="shared" si="15"/>
        <v>69975</v>
      </c>
      <c r="P236" s="18" t="s">
        <v>16</v>
      </c>
    </row>
    <row r="237" spans="1:16" x14ac:dyDescent="0.35">
      <c r="A237" s="18" t="s">
        <v>991</v>
      </c>
      <c r="B237" s="6">
        <f t="shared" si="18"/>
        <v>46108</v>
      </c>
      <c r="C237" s="6">
        <f t="shared" si="18"/>
        <v>46113</v>
      </c>
      <c r="D237" s="18">
        <v>3249</v>
      </c>
      <c r="E237" s="18">
        <v>332</v>
      </c>
      <c r="F237" s="18">
        <v>3</v>
      </c>
      <c r="G237" s="18">
        <v>2</v>
      </c>
      <c r="H237" s="18">
        <v>81735</v>
      </c>
      <c r="I237" s="18" t="s">
        <v>17</v>
      </c>
      <c r="J237" s="18">
        <v>16258052</v>
      </c>
      <c r="K237" s="18" t="s">
        <v>400</v>
      </c>
      <c r="L237" s="18" t="s">
        <v>403</v>
      </c>
      <c r="M237" s="33">
        <v>279900</v>
      </c>
      <c r="N237" s="34">
        <v>0.75</v>
      </c>
      <c r="O237" s="7">
        <f t="shared" si="15"/>
        <v>69975</v>
      </c>
      <c r="P237" s="18" t="s">
        <v>16</v>
      </c>
    </row>
    <row r="238" spans="1:16" x14ac:dyDescent="0.35">
      <c r="A238" s="18" t="s">
        <v>991</v>
      </c>
      <c r="B238" s="6">
        <f t="shared" si="18"/>
        <v>46108</v>
      </c>
      <c r="C238" s="6">
        <f t="shared" si="18"/>
        <v>46113</v>
      </c>
      <c r="D238" s="18">
        <v>3249</v>
      </c>
      <c r="E238" s="18">
        <v>332</v>
      </c>
      <c r="F238" s="18">
        <v>3</v>
      </c>
      <c r="G238" s="18">
        <v>2</v>
      </c>
      <c r="H238" s="18">
        <v>81735</v>
      </c>
      <c r="I238" s="18" t="s">
        <v>17</v>
      </c>
      <c r="J238" s="18">
        <v>16258061</v>
      </c>
      <c r="K238" s="18" t="s">
        <v>400</v>
      </c>
      <c r="L238" s="18" t="s">
        <v>404</v>
      </c>
      <c r="M238" s="33">
        <v>279900</v>
      </c>
      <c r="N238" s="34">
        <v>0.75</v>
      </c>
      <c r="O238" s="7">
        <f t="shared" si="15"/>
        <v>69975</v>
      </c>
      <c r="P238" s="18" t="s">
        <v>16</v>
      </c>
    </row>
    <row r="239" spans="1:16" x14ac:dyDescent="0.35">
      <c r="A239" s="18" t="s">
        <v>991</v>
      </c>
      <c r="B239" s="6">
        <f t="shared" si="18"/>
        <v>46108</v>
      </c>
      <c r="C239" s="6">
        <f t="shared" si="18"/>
        <v>46113</v>
      </c>
      <c r="D239" s="18">
        <v>3249</v>
      </c>
      <c r="E239" s="18">
        <v>332</v>
      </c>
      <c r="F239" s="18">
        <v>3</v>
      </c>
      <c r="G239" s="18">
        <v>2</v>
      </c>
      <c r="H239" s="18">
        <v>81735</v>
      </c>
      <c r="I239" s="18" t="s">
        <v>17</v>
      </c>
      <c r="J239" s="18">
        <v>16258070</v>
      </c>
      <c r="K239" s="18" t="s">
        <v>400</v>
      </c>
      <c r="L239" s="18" t="s">
        <v>405</v>
      </c>
      <c r="M239" s="33">
        <v>279900</v>
      </c>
      <c r="N239" s="34">
        <v>0.75</v>
      </c>
      <c r="O239" s="7">
        <f t="shared" si="15"/>
        <v>69975</v>
      </c>
      <c r="P239" s="18" t="s">
        <v>16</v>
      </c>
    </row>
    <row r="240" spans="1:16" x14ac:dyDescent="0.35">
      <c r="A240" s="18" t="s">
        <v>991</v>
      </c>
      <c r="B240" s="6">
        <f t="shared" si="18"/>
        <v>46108</v>
      </c>
      <c r="C240" s="6">
        <f t="shared" si="18"/>
        <v>46113</v>
      </c>
      <c r="D240" s="18">
        <v>3249</v>
      </c>
      <c r="E240" s="18">
        <v>332</v>
      </c>
      <c r="F240" s="18">
        <v>3</v>
      </c>
      <c r="G240" s="18">
        <v>2</v>
      </c>
      <c r="H240" s="18">
        <v>81735</v>
      </c>
      <c r="I240" s="18" t="s">
        <v>17</v>
      </c>
      <c r="J240" s="18">
        <v>16401315</v>
      </c>
      <c r="K240" s="18" t="s">
        <v>400</v>
      </c>
      <c r="L240" s="18" t="s">
        <v>406</v>
      </c>
      <c r="M240" s="33">
        <v>279900</v>
      </c>
      <c r="N240" s="34">
        <v>0.75</v>
      </c>
      <c r="O240" s="7">
        <f t="shared" si="15"/>
        <v>69975</v>
      </c>
      <c r="P240" s="18" t="s">
        <v>16</v>
      </c>
    </row>
    <row r="241" spans="1:16" x14ac:dyDescent="0.35">
      <c r="A241" s="18" t="s">
        <v>991</v>
      </c>
      <c r="B241" s="6">
        <f t="shared" si="18"/>
        <v>46108</v>
      </c>
      <c r="C241" s="6">
        <f t="shared" si="18"/>
        <v>46113</v>
      </c>
      <c r="D241" s="18">
        <v>3249</v>
      </c>
      <c r="E241" s="18">
        <v>332</v>
      </c>
      <c r="F241" s="18">
        <v>3</v>
      </c>
      <c r="G241" s="18">
        <v>2</v>
      </c>
      <c r="H241" s="18">
        <v>81735</v>
      </c>
      <c r="I241" s="18" t="s">
        <v>17</v>
      </c>
      <c r="J241" s="18">
        <v>16409513</v>
      </c>
      <c r="K241" s="18" t="s">
        <v>407</v>
      </c>
      <c r="L241" s="18" t="s">
        <v>408</v>
      </c>
      <c r="M241" s="33">
        <v>279900</v>
      </c>
      <c r="N241" s="34">
        <v>0.75</v>
      </c>
      <c r="O241" s="7">
        <f t="shared" si="15"/>
        <v>69975</v>
      </c>
      <c r="P241" s="18" t="s">
        <v>16</v>
      </c>
    </row>
    <row r="242" spans="1:16" x14ac:dyDescent="0.35">
      <c r="A242" s="18" t="s">
        <v>991</v>
      </c>
      <c r="B242" s="6">
        <f t="shared" si="18"/>
        <v>46108</v>
      </c>
      <c r="C242" s="6">
        <f t="shared" si="18"/>
        <v>46113</v>
      </c>
      <c r="D242" s="18">
        <v>3249</v>
      </c>
      <c r="E242" s="18">
        <v>332</v>
      </c>
      <c r="F242" s="18">
        <v>3</v>
      </c>
      <c r="G242" s="18">
        <v>2</v>
      </c>
      <c r="H242" s="18">
        <v>81735</v>
      </c>
      <c r="I242" s="18" t="s">
        <v>17</v>
      </c>
      <c r="J242" s="18">
        <v>16409522</v>
      </c>
      <c r="K242" s="18" t="s">
        <v>407</v>
      </c>
      <c r="L242" s="18" t="s">
        <v>409</v>
      </c>
      <c r="M242" s="33">
        <v>279900</v>
      </c>
      <c r="N242" s="34">
        <v>0.75</v>
      </c>
      <c r="O242" s="7">
        <f t="shared" si="15"/>
        <v>69975</v>
      </c>
      <c r="P242" s="18" t="s">
        <v>16</v>
      </c>
    </row>
    <row r="243" spans="1:16" x14ac:dyDescent="0.35">
      <c r="A243" s="18" t="s">
        <v>991</v>
      </c>
      <c r="B243" s="6">
        <f t="shared" ref="B243:C258" si="19">B242</f>
        <v>46108</v>
      </c>
      <c r="C243" s="6">
        <f t="shared" si="19"/>
        <v>46113</v>
      </c>
      <c r="D243" s="18">
        <v>3249</v>
      </c>
      <c r="E243" s="18">
        <v>332</v>
      </c>
      <c r="F243" s="18">
        <v>3</v>
      </c>
      <c r="G243" s="18">
        <v>2</v>
      </c>
      <c r="H243" s="18">
        <v>81735</v>
      </c>
      <c r="I243" s="18" t="s">
        <v>17</v>
      </c>
      <c r="J243" s="18">
        <v>16409531</v>
      </c>
      <c r="K243" s="18" t="s">
        <v>407</v>
      </c>
      <c r="L243" s="18" t="s">
        <v>410</v>
      </c>
      <c r="M243" s="33">
        <v>279900</v>
      </c>
      <c r="N243" s="34">
        <v>0.75</v>
      </c>
      <c r="O243" s="7">
        <f t="shared" si="15"/>
        <v>69975</v>
      </c>
      <c r="P243" s="18" t="s">
        <v>16</v>
      </c>
    </row>
    <row r="244" spans="1:16" x14ac:dyDescent="0.35">
      <c r="A244" s="18" t="s">
        <v>991</v>
      </c>
      <c r="B244" s="6">
        <f t="shared" si="19"/>
        <v>46108</v>
      </c>
      <c r="C244" s="6">
        <f t="shared" si="19"/>
        <v>46113</v>
      </c>
      <c r="D244" s="18">
        <v>3249</v>
      </c>
      <c r="E244" s="18">
        <v>332</v>
      </c>
      <c r="F244" s="18">
        <v>3</v>
      </c>
      <c r="G244" s="18">
        <v>2</v>
      </c>
      <c r="H244" s="18">
        <v>81735</v>
      </c>
      <c r="I244" s="18" t="s">
        <v>17</v>
      </c>
      <c r="J244" s="18">
        <v>16409540</v>
      </c>
      <c r="K244" s="18" t="s">
        <v>407</v>
      </c>
      <c r="L244" s="18" t="s">
        <v>411</v>
      </c>
      <c r="M244" s="33">
        <v>279900</v>
      </c>
      <c r="N244" s="34">
        <v>0.75</v>
      </c>
      <c r="O244" s="7">
        <f t="shared" si="15"/>
        <v>69975</v>
      </c>
      <c r="P244" s="18" t="s">
        <v>16</v>
      </c>
    </row>
    <row r="245" spans="1:16" x14ac:dyDescent="0.35">
      <c r="A245" s="18" t="s">
        <v>991</v>
      </c>
      <c r="B245" s="6">
        <f t="shared" si="19"/>
        <v>46108</v>
      </c>
      <c r="C245" s="6">
        <f t="shared" si="19"/>
        <v>46113</v>
      </c>
      <c r="D245" s="18">
        <v>3249</v>
      </c>
      <c r="E245" s="18">
        <v>332</v>
      </c>
      <c r="F245" s="18">
        <v>3</v>
      </c>
      <c r="G245" s="18">
        <v>2</v>
      </c>
      <c r="H245" s="18">
        <v>81735</v>
      </c>
      <c r="I245" s="18" t="s">
        <v>17</v>
      </c>
      <c r="J245" s="18">
        <v>16409559</v>
      </c>
      <c r="K245" s="18" t="s">
        <v>407</v>
      </c>
      <c r="L245" s="18" t="s">
        <v>412</v>
      </c>
      <c r="M245" s="33">
        <v>279900</v>
      </c>
      <c r="N245" s="34">
        <v>0.75</v>
      </c>
      <c r="O245" s="7">
        <f t="shared" si="15"/>
        <v>69975</v>
      </c>
      <c r="P245" s="18" t="s">
        <v>16</v>
      </c>
    </row>
    <row r="246" spans="1:16" x14ac:dyDescent="0.35">
      <c r="A246" s="18" t="s">
        <v>991</v>
      </c>
      <c r="B246" s="6">
        <f t="shared" si="19"/>
        <v>46108</v>
      </c>
      <c r="C246" s="6">
        <f t="shared" si="19"/>
        <v>46113</v>
      </c>
      <c r="D246" s="18">
        <v>3249</v>
      </c>
      <c r="E246" s="18">
        <v>332</v>
      </c>
      <c r="F246" s="18">
        <v>3</v>
      </c>
      <c r="G246" s="18">
        <v>2</v>
      </c>
      <c r="H246" s="18">
        <v>81735</v>
      </c>
      <c r="I246" s="18" t="s">
        <v>17</v>
      </c>
      <c r="J246" s="18">
        <v>16409568</v>
      </c>
      <c r="K246" s="18" t="s">
        <v>407</v>
      </c>
      <c r="L246" s="18" t="s">
        <v>413</v>
      </c>
      <c r="M246" s="33">
        <v>279900</v>
      </c>
      <c r="N246" s="34">
        <v>0.75</v>
      </c>
      <c r="O246" s="7">
        <f t="shared" si="15"/>
        <v>69975</v>
      </c>
      <c r="P246" s="18" t="s">
        <v>16</v>
      </c>
    </row>
    <row r="247" spans="1:16" x14ac:dyDescent="0.35">
      <c r="A247" s="18" t="s">
        <v>991</v>
      </c>
      <c r="B247" s="6">
        <f t="shared" si="19"/>
        <v>46108</v>
      </c>
      <c r="C247" s="6">
        <f t="shared" si="19"/>
        <v>46113</v>
      </c>
      <c r="D247" s="18">
        <v>3249</v>
      </c>
      <c r="E247" s="18">
        <v>332</v>
      </c>
      <c r="F247" s="18">
        <v>3</v>
      </c>
      <c r="G247" s="18">
        <v>2</v>
      </c>
      <c r="H247" s="18">
        <v>81735</v>
      </c>
      <c r="I247" s="18" t="s">
        <v>17</v>
      </c>
      <c r="J247" s="18">
        <v>16775092</v>
      </c>
      <c r="K247" s="18" t="s">
        <v>414</v>
      </c>
      <c r="L247" s="18" t="s">
        <v>415</v>
      </c>
      <c r="M247" s="33">
        <v>249900</v>
      </c>
      <c r="N247" s="34">
        <v>0.75</v>
      </c>
      <c r="O247" s="7">
        <f t="shared" si="15"/>
        <v>62475</v>
      </c>
      <c r="P247" s="18" t="s">
        <v>16</v>
      </c>
    </row>
    <row r="248" spans="1:16" x14ac:dyDescent="0.35">
      <c r="A248" s="18" t="s">
        <v>991</v>
      </c>
      <c r="B248" s="6">
        <f t="shared" si="19"/>
        <v>46108</v>
      </c>
      <c r="C248" s="6">
        <f t="shared" si="19"/>
        <v>46113</v>
      </c>
      <c r="D248" s="18">
        <v>3249</v>
      </c>
      <c r="E248" s="18">
        <v>332</v>
      </c>
      <c r="F248" s="18">
        <v>3</v>
      </c>
      <c r="G248" s="18">
        <v>2</v>
      </c>
      <c r="H248" s="18">
        <v>81735</v>
      </c>
      <c r="I248" s="18" t="s">
        <v>17</v>
      </c>
      <c r="J248" s="18">
        <v>16775109</v>
      </c>
      <c r="K248" s="18" t="s">
        <v>414</v>
      </c>
      <c r="L248" s="18" t="s">
        <v>416</v>
      </c>
      <c r="M248" s="33">
        <v>249900</v>
      </c>
      <c r="N248" s="34">
        <v>0.75</v>
      </c>
      <c r="O248" s="7">
        <f t="shared" si="15"/>
        <v>62475</v>
      </c>
      <c r="P248" s="18" t="s">
        <v>16</v>
      </c>
    </row>
    <row r="249" spans="1:16" x14ac:dyDescent="0.35">
      <c r="A249" s="18" t="s">
        <v>991</v>
      </c>
      <c r="B249" s="6">
        <f t="shared" si="19"/>
        <v>46108</v>
      </c>
      <c r="C249" s="6">
        <f t="shared" si="19"/>
        <v>46113</v>
      </c>
      <c r="D249" s="18">
        <v>3249</v>
      </c>
      <c r="E249" s="18">
        <v>332</v>
      </c>
      <c r="F249" s="18">
        <v>3</v>
      </c>
      <c r="G249" s="18">
        <v>2</v>
      </c>
      <c r="H249" s="18">
        <v>81735</v>
      </c>
      <c r="I249" s="18" t="s">
        <v>17</v>
      </c>
      <c r="J249" s="18">
        <v>16775118</v>
      </c>
      <c r="K249" s="18" t="s">
        <v>414</v>
      </c>
      <c r="L249" s="18" t="s">
        <v>417</v>
      </c>
      <c r="M249" s="33">
        <v>249900</v>
      </c>
      <c r="N249" s="34">
        <v>0.75</v>
      </c>
      <c r="O249" s="7">
        <f t="shared" si="15"/>
        <v>62475</v>
      </c>
      <c r="P249" s="18" t="s">
        <v>16</v>
      </c>
    </row>
    <row r="250" spans="1:16" x14ac:dyDescent="0.35">
      <c r="A250" s="18" t="s">
        <v>991</v>
      </c>
      <c r="B250" s="6">
        <f t="shared" si="19"/>
        <v>46108</v>
      </c>
      <c r="C250" s="6">
        <f t="shared" si="19"/>
        <v>46113</v>
      </c>
      <c r="D250" s="18">
        <v>3249</v>
      </c>
      <c r="E250" s="18">
        <v>332</v>
      </c>
      <c r="F250" s="18">
        <v>3</v>
      </c>
      <c r="G250" s="18">
        <v>2</v>
      </c>
      <c r="H250" s="18">
        <v>81735</v>
      </c>
      <c r="I250" s="18" t="s">
        <v>17</v>
      </c>
      <c r="J250" s="18">
        <v>16775127</v>
      </c>
      <c r="K250" s="18" t="s">
        <v>414</v>
      </c>
      <c r="L250" s="18" t="s">
        <v>418</v>
      </c>
      <c r="M250" s="33">
        <v>249900</v>
      </c>
      <c r="N250" s="34">
        <v>0.75</v>
      </c>
      <c r="O250" s="7">
        <f t="shared" si="15"/>
        <v>62475</v>
      </c>
      <c r="P250" s="18" t="s">
        <v>16</v>
      </c>
    </row>
    <row r="251" spans="1:16" x14ac:dyDescent="0.35">
      <c r="A251" s="18" t="s">
        <v>991</v>
      </c>
      <c r="B251" s="6">
        <f t="shared" si="19"/>
        <v>46108</v>
      </c>
      <c r="C251" s="6">
        <f t="shared" si="19"/>
        <v>46113</v>
      </c>
      <c r="D251" s="18">
        <v>3249</v>
      </c>
      <c r="E251" s="18">
        <v>332</v>
      </c>
      <c r="F251" s="18">
        <v>3</v>
      </c>
      <c r="G251" s="18">
        <v>2</v>
      </c>
      <c r="H251" s="18">
        <v>81735</v>
      </c>
      <c r="I251" s="18" t="s">
        <v>17</v>
      </c>
      <c r="J251" s="18">
        <v>16775136</v>
      </c>
      <c r="K251" s="18" t="s">
        <v>414</v>
      </c>
      <c r="L251" s="18" t="s">
        <v>419</v>
      </c>
      <c r="M251" s="33">
        <v>249900</v>
      </c>
      <c r="N251" s="34">
        <v>0.75</v>
      </c>
      <c r="O251" s="7">
        <f t="shared" si="15"/>
        <v>62475</v>
      </c>
      <c r="P251" s="18" t="s">
        <v>16</v>
      </c>
    </row>
    <row r="252" spans="1:16" x14ac:dyDescent="0.35">
      <c r="A252" s="18" t="s">
        <v>991</v>
      </c>
      <c r="B252" s="6">
        <f t="shared" si="19"/>
        <v>46108</v>
      </c>
      <c r="C252" s="6">
        <f t="shared" si="19"/>
        <v>46113</v>
      </c>
      <c r="D252" s="18">
        <v>3249</v>
      </c>
      <c r="E252" s="18">
        <v>332</v>
      </c>
      <c r="F252" s="18">
        <v>3</v>
      </c>
      <c r="G252" s="18">
        <v>2</v>
      </c>
      <c r="H252" s="18">
        <v>81735</v>
      </c>
      <c r="I252" s="18" t="s">
        <v>17</v>
      </c>
      <c r="J252" s="18">
        <v>16775145</v>
      </c>
      <c r="K252" s="18" t="s">
        <v>414</v>
      </c>
      <c r="L252" s="18" t="s">
        <v>420</v>
      </c>
      <c r="M252" s="33">
        <v>249900</v>
      </c>
      <c r="N252" s="34">
        <v>0.75</v>
      </c>
      <c r="O252" s="7">
        <f t="shared" si="15"/>
        <v>62475</v>
      </c>
      <c r="P252" s="18" t="s">
        <v>16</v>
      </c>
    </row>
    <row r="253" spans="1:16" x14ac:dyDescent="0.35">
      <c r="A253" s="18" t="s">
        <v>991</v>
      </c>
      <c r="B253" s="6">
        <f t="shared" si="19"/>
        <v>46108</v>
      </c>
      <c r="C253" s="6">
        <f t="shared" si="19"/>
        <v>46113</v>
      </c>
      <c r="D253" s="18">
        <v>3249</v>
      </c>
      <c r="E253" s="18">
        <v>332</v>
      </c>
      <c r="F253" s="18">
        <v>3</v>
      </c>
      <c r="G253" s="18">
        <v>2</v>
      </c>
      <c r="H253" s="18">
        <v>81735</v>
      </c>
      <c r="I253" s="18" t="s">
        <v>17</v>
      </c>
      <c r="J253" s="18">
        <v>16775154</v>
      </c>
      <c r="K253" s="18" t="s">
        <v>421</v>
      </c>
      <c r="L253" s="18" t="s">
        <v>422</v>
      </c>
      <c r="M253" s="33">
        <v>249900</v>
      </c>
      <c r="N253" s="34">
        <v>0.75</v>
      </c>
      <c r="O253" s="7">
        <f t="shared" si="15"/>
        <v>62475</v>
      </c>
      <c r="P253" s="18" t="s">
        <v>16</v>
      </c>
    </row>
    <row r="254" spans="1:16" x14ac:dyDescent="0.35">
      <c r="A254" s="18" t="s">
        <v>991</v>
      </c>
      <c r="B254" s="6">
        <f t="shared" si="19"/>
        <v>46108</v>
      </c>
      <c r="C254" s="6">
        <f t="shared" si="19"/>
        <v>46113</v>
      </c>
      <c r="D254" s="18">
        <v>3249</v>
      </c>
      <c r="E254" s="18">
        <v>332</v>
      </c>
      <c r="F254" s="18">
        <v>3</v>
      </c>
      <c r="G254" s="18">
        <v>2</v>
      </c>
      <c r="H254" s="18">
        <v>81735</v>
      </c>
      <c r="I254" s="18" t="s">
        <v>17</v>
      </c>
      <c r="J254" s="18">
        <v>16775163</v>
      </c>
      <c r="K254" s="18" t="s">
        <v>421</v>
      </c>
      <c r="L254" s="18" t="s">
        <v>423</v>
      </c>
      <c r="M254" s="33">
        <v>249900</v>
      </c>
      <c r="N254" s="34">
        <v>0.75</v>
      </c>
      <c r="O254" s="7">
        <f t="shared" si="15"/>
        <v>62475</v>
      </c>
      <c r="P254" s="18" t="s">
        <v>16</v>
      </c>
    </row>
    <row r="255" spans="1:16" x14ac:dyDescent="0.35">
      <c r="A255" s="18" t="s">
        <v>991</v>
      </c>
      <c r="B255" s="6">
        <f t="shared" si="19"/>
        <v>46108</v>
      </c>
      <c r="C255" s="6">
        <f t="shared" si="19"/>
        <v>46113</v>
      </c>
      <c r="D255" s="18">
        <v>3249</v>
      </c>
      <c r="E255" s="18">
        <v>332</v>
      </c>
      <c r="F255" s="18">
        <v>3</v>
      </c>
      <c r="G255" s="18">
        <v>2</v>
      </c>
      <c r="H255" s="18">
        <v>81735</v>
      </c>
      <c r="I255" s="18" t="s">
        <v>17</v>
      </c>
      <c r="J255" s="18">
        <v>16775172</v>
      </c>
      <c r="K255" s="18" t="s">
        <v>421</v>
      </c>
      <c r="L255" s="18" t="s">
        <v>424</v>
      </c>
      <c r="M255" s="33">
        <v>249900</v>
      </c>
      <c r="N255" s="34">
        <v>0.75</v>
      </c>
      <c r="O255" s="7">
        <f t="shared" si="15"/>
        <v>62475</v>
      </c>
      <c r="P255" s="18" t="s">
        <v>16</v>
      </c>
    </row>
    <row r="256" spans="1:16" x14ac:dyDescent="0.35">
      <c r="A256" s="18" t="s">
        <v>991</v>
      </c>
      <c r="B256" s="6">
        <f t="shared" si="19"/>
        <v>46108</v>
      </c>
      <c r="C256" s="6">
        <f t="shared" si="19"/>
        <v>46113</v>
      </c>
      <c r="D256" s="18">
        <v>3249</v>
      </c>
      <c r="E256" s="18">
        <v>332</v>
      </c>
      <c r="F256" s="18">
        <v>3</v>
      </c>
      <c r="G256" s="18">
        <v>2</v>
      </c>
      <c r="H256" s="18">
        <v>81735</v>
      </c>
      <c r="I256" s="18" t="s">
        <v>17</v>
      </c>
      <c r="J256" s="18">
        <v>16775181</v>
      </c>
      <c r="K256" s="18" t="s">
        <v>421</v>
      </c>
      <c r="L256" s="18" t="s">
        <v>425</v>
      </c>
      <c r="M256" s="33">
        <v>249900</v>
      </c>
      <c r="N256" s="34">
        <v>0.75</v>
      </c>
      <c r="O256" s="7">
        <f t="shared" si="15"/>
        <v>62475</v>
      </c>
      <c r="P256" s="18" t="s">
        <v>16</v>
      </c>
    </row>
    <row r="257" spans="1:16" x14ac:dyDescent="0.35">
      <c r="A257" s="18" t="s">
        <v>991</v>
      </c>
      <c r="B257" s="6">
        <f t="shared" si="19"/>
        <v>46108</v>
      </c>
      <c r="C257" s="6">
        <f t="shared" si="19"/>
        <v>46113</v>
      </c>
      <c r="D257" s="18">
        <v>3249</v>
      </c>
      <c r="E257" s="18">
        <v>332</v>
      </c>
      <c r="F257" s="18">
        <v>3</v>
      </c>
      <c r="G257" s="18">
        <v>2</v>
      </c>
      <c r="H257" s="18">
        <v>81735</v>
      </c>
      <c r="I257" s="18" t="s">
        <v>17</v>
      </c>
      <c r="J257" s="18">
        <v>16775190</v>
      </c>
      <c r="K257" s="18" t="s">
        <v>421</v>
      </c>
      <c r="L257" s="18" t="s">
        <v>426</v>
      </c>
      <c r="M257" s="33">
        <v>249900</v>
      </c>
      <c r="N257" s="34">
        <v>0.75</v>
      </c>
      <c r="O257" s="7">
        <f t="shared" si="15"/>
        <v>62475</v>
      </c>
      <c r="P257" s="18" t="s">
        <v>16</v>
      </c>
    </row>
    <row r="258" spans="1:16" x14ac:dyDescent="0.35">
      <c r="A258" s="18" t="s">
        <v>991</v>
      </c>
      <c r="B258" s="6">
        <f t="shared" si="19"/>
        <v>46108</v>
      </c>
      <c r="C258" s="6">
        <f t="shared" si="19"/>
        <v>46113</v>
      </c>
      <c r="D258" s="18">
        <v>3249</v>
      </c>
      <c r="E258" s="18">
        <v>332</v>
      </c>
      <c r="F258" s="18">
        <v>3</v>
      </c>
      <c r="G258" s="18">
        <v>2</v>
      </c>
      <c r="H258" s="18">
        <v>81735</v>
      </c>
      <c r="I258" s="18" t="s">
        <v>17</v>
      </c>
      <c r="J258" s="18">
        <v>16775207</v>
      </c>
      <c r="K258" s="18" t="s">
        <v>421</v>
      </c>
      <c r="L258" s="18" t="s">
        <v>427</v>
      </c>
      <c r="M258" s="33">
        <v>249900</v>
      </c>
      <c r="N258" s="34">
        <v>0.75</v>
      </c>
      <c r="O258" s="7">
        <f t="shared" ref="O258:O321" si="20">M258-(M258*N258)</f>
        <v>62475</v>
      </c>
      <c r="P258" s="18" t="s">
        <v>16</v>
      </c>
    </row>
    <row r="259" spans="1:16" x14ac:dyDescent="0.35">
      <c r="A259" s="18" t="s">
        <v>991</v>
      </c>
      <c r="B259" s="6">
        <f t="shared" ref="B259:C274" si="21">B258</f>
        <v>46108</v>
      </c>
      <c r="C259" s="6">
        <f t="shared" si="21"/>
        <v>46113</v>
      </c>
      <c r="D259" s="18">
        <v>3249</v>
      </c>
      <c r="E259" s="18">
        <v>332</v>
      </c>
      <c r="F259" s="18">
        <v>3</v>
      </c>
      <c r="G259" s="18">
        <v>2</v>
      </c>
      <c r="H259" s="18">
        <v>81735</v>
      </c>
      <c r="I259" s="18" t="s">
        <v>17</v>
      </c>
      <c r="J259" s="18">
        <v>16857155</v>
      </c>
      <c r="K259" s="18" t="s">
        <v>428</v>
      </c>
      <c r="L259" s="18" t="s">
        <v>429</v>
      </c>
      <c r="M259" s="33">
        <v>249900</v>
      </c>
      <c r="N259" s="34">
        <v>0.75</v>
      </c>
      <c r="O259" s="7">
        <f t="shared" si="20"/>
        <v>62475</v>
      </c>
      <c r="P259" s="18" t="s">
        <v>16</v>
      </c>
    </row>
    <row r="260" spans="1:16" x14ac:dyDescent="0.35">
      <c r="A260" s="18" t="s">
        <v>991</v>
      </c>
      <c r="B260" s="6">
        <f t="shared" si="21"/>
        <v>46108</v>
      </c>
      <c r="C260" s="6">
        <f t="shared" si="21"/>
        <v>46113</v>
      </c>
      <c r="D260" s="18">
        <v>3249</v>
      </c>
      <c r="E260" s="18">
        <v>332</v>
      </c>
      <c r="F260" s="18">
        <v>3</v>
      </c>
      <c r="G260" s="18">
        <v>2</v>
      </c>
      <c r="H260" s="18">
        <v>81735</v>
      </c>
      <c r="I260" s="18" t="s">
        <v>17</v>
      </c>
      <c r="J260" s="18">
        <v>16857164</v>
      </c>
      <c r="K260" s="18" t="s">
        <v>428</v>
      </c>
      <c r="L260" s="18" t="s">
        <v>430</v>
      </c>
      <c r="M260" s="33">
        <v>249900</v>
      </c>
      <c r="N260" s="34">
        <v>0.75</v>
      </c>
      <c r="O260" s="7">
        <f t="shared" si="20"/>
        <v>62475</v>
      </c>
      <c r="P260" s="18" t="s">
        <v>16</v>
      </c>
    </row>
    <row r="261" spans="1:16" x14ac:dyDescent="0.35">
      <c r="A261" s="18" t="s">
        <v>991</v>
      </c>
      <c r="B261" s="6">
        <f t="shared" si="21"/>
        <v>46108</v>
      </c>
      <c r="C261" s="6">
        <f t="shared" si="21"/>
        <v>46113</v>
      </c>
      <c r="D261" s="18">
        <v>3249</v>
      </c>
      <c r="E261" s="18">
        <v>332</v>
      </c>
      <c r="F261" s="18">
        <v>3</v>
      </c>
      <c r="G261" s="18">
        <v>2</v>
      </c>
      <c r="H261" s="18">
        <v>81735</v>
      </c>
      <c r="I261" s="18" t="s">
        <v>17</v>
      </c>
      <c r="J261" s="18">
        <v>16857173</v>
      </c>
      <c r="K261" s="18" t="s">
        <v>428</v>
      </c>
      <c r="L261" s="18" t="s">
        <v>431</v>
      </c>
      <c r="M261" s="33">
        <v>249900</v>
      </c>
      <c r="N261" s="34">
        <v>0.75</v>
      </c>
      <c r="O261" s="7">
        <f t="shared" si="20"/>
        <v>62475</v>
      </c>
      <c r="P261" s="18" t="s">
        <v>16</v>
      </c>
    </row>
    <row r="262" spans="1:16" x14ac:dyDescent="0.35">
      <c r="A262" s="18" t="s">
        <v>991</v>
      </c>
      <c r="B262" s="6">
        <f t="shared" si="21"/>
        <v>46108</v>
      </c>
      <c r="C262" s="6">
        <f t="shared" si="21"/>
        <v>46113</v>
      </c>
      <c r="D262" s="18">
        <v>3249</v>
      </c>
      <c r="E262" s="18">
        <v>332</v>
      </c>
      <c r="F262" s="18">
        <v>3</v>
      </c>
      <c r="G262" s="18">
        <v>2</v>
      </c>
      <c r="H262" s="18">
        <v>81735</v>
      </c>
      <c r="I262" s="18" t="s">
        <v>17</v>
      </c>
      <c r="J262" s="18">
        <v>16857182</v>
      </c>
      <c r="K262" s="18" t="s">
        <v>428</v>
      </c>
      <c r="L262" s="18" t="s">
        <v>432</v>
      </c>
      <c r="M262" s="33">
        <v>249900</v>
      </c>
      <c r="N262" s="34">
        <v>0.75</v>
      </c>
      <c r="O262" s="7">
        <f t="shared" si="20"/>
        <v>62475</v>
      </c>
      <c r="P262" s="18" t="s">
        <v>16</v>
      </c>
    </row>
    <row r="263" spans="1:16" x14ac:dyDescent="0.35">
      <c r="A263" s="18" t="s">
        <v>991</v>
      </c>
      <c r="B263" s="6">
        <f t="shared" si="21"/>
        <v>46108</v>
      </c>
      <c r="C263" s="6">
        <f t="shared" si="21"/>
        <v>46113</v>
      </c>
      <c r="D263" s="18">
        <v>3249</v>
      </c>
      <c r="E263" s="18">
        <v>332</v>
      </c>
      <c r="F263" s="18">
        <v>3</v>
      </c>
      <c r="G263" s="18">
        <v>2</v>
      </c>
      <c r="H263" s="18">
        <v>81735</v>
      </c>
      <c r="I263" s="18" t="s">
        <v>17</v>
      </c>
      <c r="J263" s="18">
        <v>16857208</v>
      </c>
      <c r="K263" s="18" t="s">
        <v>428</v>
      </c>
      <c r="L263" s="18" t="s">
        <v>433</v>
      </c>
      <c r="M263" s="33">
        <v>249900</v>
      </c>
      <c r="N263" s="34">
        <v>0.75</v>
      </c>
      <c r="O263" s="7">
        <f t="shared" si="20"/>
        <v>62475</v>
      </c>
      <c r="P263" s="18" t="s">
        <v>16</v>
      </c>
    </row>
    <row r="264" spans="1:16" x14ac:dyDescent="0.35">
      <c r="A264" s="18" t="s">
        <v>991</v>
      </c>
      <c r="B264" s="6">
        <f t="shared" si="21"/>
        <v>46108</v>
      </c>
      <c r="C264" s="6">
        <f t="shared" si="21"/>
        <v>46113</v>
      </c>
      <c r="D264" s="18">
        <v>3249</v>
      </c>
      <c r="E264" s="18">
        <v>332</v>
      </c>
      <c r="F264" s="18">
        <v>3</v>
      </c>
      <c r="G264" s="18">
        <v>2</v>
      </c>
      <c r="H264" s="18">
        <v>81735</v>
      </c>
      <c r="I264" s="18" t="s">
        <v>17</v>
      </c>
      <c r="J264" s="18">
        <v>16857217</v>
      </c>
      <c r="K264" s="18" t="s">
        <v>428</v>
      </c>
      <c r="L264" s="18" t="s">
        <v>434</v>
      </c>
      <c r="M264" s="33">
        <v>249900</v>
      </c>
      <c r="N264" s="34">
        <v>0.75</v>
      </c>
      <c r="O264" s="7">
        <f t="shared" si="20"/>
        <v>62475</v>
      </c>
      <c r="P264" s="18" t="s">
        <v>16</v>
      </c>
    </row>
    <row r="265" spans="1:16" x14ac:dyDescent="0.35">
      <c r="A265" s="18" t="s">
        <v>991</v>
      </c>
      <c r="B265" s="6">
        <f t="shared" si="21"/>
        <v>46108</v>
      </c>
      <c r="C265" s="6">
        <f t="shared" si="21"/>
        <v>46113</v>
      </c>
      <c r="D265" s="18">
        <v>3249</v>
      </c>
      <c r="E265" s="18">
        <v>332</v>
      </c>
      <c r="F265" s="18">
        <v>3</v>
      </c>
      <c r="G265" s="18">
        <v>3</v>
      </c>
      <c r="H265" s="18">
        <v>81642</v>
      </c>
      <c r="I265" s="18" t="s">
        <v>17</v>
      </c>
      <c r="J265" s="18">
        <v>16193685</v>
      </c>
      <c r="K265" s="18" t="s">
        <v>435</v>
      </c>
      <c r="L265" s="18" t="s">
        <v>436</v>
      </c>
      <c r="M265" s="33">
        <v>279900</v>
      </c>
      <c r="N265" s="34">
        <v>0.75</v>
      </c>
      <c r="O265" s="7">
        <f t="shared" si="20"/>
        <v>69975</v>
      </c>
      <c r="P265" s="18" t="s">
        <v>16</v>
      </c>
    </row>
    <row r="266" spans="1:16" x14ac:dyDescent="0.35">
      <c r="A266" s="18" t="s">
        <v>991</v>
      </c>
      <c r="B266" s="6">
        <f t="shared" si="21"/>
        <v>46108</v>
      </c>
      <c r="C266" s="6">
        <f t="shared" si="21"/>
        <v>46113</v>
      </c>
      <c r="D266" s="18">
        <v>3249</v>
      </c>
      <c r="E266" s="18">
        <v>332</v>
      </c>
      <c r="F266" s="18">
        <v>3</v>
      </c>
      <c r="G266" s="18">
        <v>3</v>
      </c>
      <c r="H266" s="18">
        <v>81642</v>
      </c>
      <c r="I266" s="18" t="s">
        <v>17</v>
      </c>
      <c r="J266" s="18">
        <v>16193694</v>
      </c>
      <c r="K266" s="18" t="s">
        <v>435</v>
      </c>
      <c r="L266" s="18" t="s">
        <v>437</v>
      </c>
      <c r="M266" s="33">
        <v>279900</v>
      </c>
      <c r="N266" s="34">
        <v>0.75</v>
      </c>
      <c r="O266" s="7">
        <f t="shared" si="20"/>
        <v>69975</v>
      </c>
      <c r="P266" s="18" t="s">
        <v>16</v>
      </c>
    </row>
    <row r="267" spans="1:16" x14ac:dyDescent="0.35">
      <c r="A267" s="18" t="s">
        <v>991</v>
      </c>
      <c r="B267" s="6">
        <f t="shared" si="21"/>
        <v>46108</v>
      </c>
      <c r="C267" s="6">
        <f t="shared" si="21"/>
        <v>46113</v>
      </c>
      <c r="D267" s="18">
        <v>3249</v>
      </c>
      <c r="E267" s="18">
        <v>332</v>
      </c>
      <c r="F267" s="18">
        <v>3</v>
      </c>
      <c r="G267" s="18">
        <v>3</v>
      </c>
      <c r="H267" s="18">
        <v>81642</v>
      </c>
      <c r="I267" s="18" t="s">
        <v>17</v>
      </c>
      <c r="J267" s="18">
        <v>16193701</v>
      </c>
      <c r="K267" s="18" t="s">
        <v>435</v>
      </c>
      <c r="L267" s="18" t="s">
        <v>438</v>
      </c>
      <c r="M267" s="33">
        <v>279900</v>
      </c>
      <c r="N267" s="34">
        <v>0.75</v>
      </c>
      <c r="O267" s="7">
        <f t="shared" si="20"/>
        <v>69975</v>
      </c>
      <c r="P267" s="18" t="s">
        <v>16</v>
      </c>
    </row>
    <row r="268" spans="1:16" x14ac:dyDescent="0.35">
      <c r="A268" s="18" t="s">
        <v>991</v>
      </c>
      <c r="B268" s="6">
        <f t="shared" si="21"/>
        <v>46108</v>
      </c>
      <c r="C268" s="6">
        <f t="shared" si="21"/>
        <v>46113</v>
      </c>
      <c r="D268" s="18">
        <v>3249</v>
      </c>
      <c r="E268" s="18">
        <v>332</v>
      </c>
      <c r="F268" s="18">
        <v>3</v>
      </c>
      <c r="G268" s="18">
        <v>3</v>
      </c>
      <c r="H268" s="18">
        <v>81642</v>
      </c>
      <c r="I268" s="18" t="s">
        <v>17</v>
      </c>
      <c r="J268" s="18">
        <v>16193710</v>
      </c>
      <c r="K268" s="18" t="s">
        <v>435</v>
      </c>
      <c r="L268" s="18" t="s">
        <v>439</v>
      </c>
      <c r="M268" s="33">
        <v>279900</v>
      </c>
      <c r="N268" s="34">
        <v>0.75</v>
      </c>
      <c r="O268" s="7">
        <f t="shared" si="20"/>
        <v>69975</v>
      </c>
      <c r="P268" s="18" t="s">
        <v>16</v>
      </c>
    </row>
    <row r="269" spans="1:16" x14ac:dyDescent="0.35">
      <c r="A269" s="18" t="s">
        <v>991</v>
      </c>
      <c r="B269" s="6">
        <f t="shared" si="21"/>
        <v>46108</v>
      </c>
      <c r="C269" s="6">
        <f t="shared" si="21"/>
        <v>46113</v>
      </c>
      <c r="D269" s="18">
        <v>3249</v>
      </c>
      <c r="E269" s="18">
        <v>332</v>
      </c>
      <c r="F269" s="18">
        <v>3</v>
      </c>
      <c r="G269" s="18">
        <v>3</v>
      </c>
      <c r="H269" s="18">
        <v>81642</v>
      </c>
      <c r="I269" s="18" t="s">
        <v>17</v>
      </c>
      <c r="J269" s="18">
        <v>16193729</v>
      </c>
      <c r="K269" s="18" t="s">
        <v>435</v>
      </c>
      <c r="L269" s="18" t="s">
        <v>440</v>
      </c>
      <c r="M269" s="33">
        <v>279900</v>
      </c>
      <c r="N269" s="34">
        <v>0.75</v>
      </c>
      <c r="O269" s="7">
        <f t="shared" si="20"/>
        <v>69975</v>
      </c>
      <c r="P269" s="18" t="s">
        <v>16</v>
      </c>
    </row>
    <row r="270" spans="1:16" x14ac:dyDescent="0.35">
      <c r="A270" s="18" t="s">
        <v>991</v>
      </c>
      <c r="B270" s="6">
        <f t="shared" si="21"/>
        <v>46108</v>
      </c>
      <c r="C270" s="6">
        <f t="shared" si="21"/>
        <v>46113</v>
      </c>
      <c r="D270" s="18">
        <v>3249</v>
      </c>
      <c r="E270" s="18">
        <v>332</v>
      </c>
      <c r="F270" s="18">
        <v>3</v>
      </c>
      <c r="G270" s="18">
        <v>3</v>
      </c>
      <c r="H270" s="18">
        <v>81642</v>
      </c>
      <c r="I270" s="18" t="s">
        <v>17</v>
      </c>
      <c r="J270" s="18">
        <v>16193738</v>
      </c>
      <c r="K270" s="18" t="s">
        <v>435</v>
      </c>
      <c r="L270" s="18" t="s">
        <v>441</v>
      </c>
      <c r="M270" s="33">
        <v>279900</v>
      </c>
      <c r="N270" s="34">
        <v>0.75</v>
      </c>
      <c r="O270" s="7">
        <f t="shared" si="20"/>
        <v>69975</v>
      </c>
      <c r="P270" s="18" t="s">
        <v>16</v>
      </c>
    </row>
    <row r="271" spans="1:16" x14ac:dyDescent="0.35">
      <c r="A271" s="18" t="s">
        <v>991</v>
      </c>
      <c r="B271" s="6">
        <f t="shared" si="21"/>
        <v>46108</v>
      </c>
      <c r="C271" s="6">
        <f t="shared" si="21"/>
        <v>46113</v>
      </c>
      <c r="D271" s="18">
        <v>3249</v>
      </c>
      <c r="E271" s="18">
        <v>332</v>
      </c>
      <c r="F271" s="18">
        <v>3</v>
      </c>
      <c r="G271" s="18">
        <v>3</v>
      </c>
      <c r="H271" s="18">
        <v>81642</v>
      </c>
      <c r="I271" s="18" t="s">
        <v>17</v>
      </c>
      <c r="J271" s="18">
        <v>16193747</v>
      </c>
      <c r="K271" s="18" t="s">
        <v>435</v>
      </c>
      <c r="L271" s="18" t="s">
        <v>442</v>
      </c>
      <c r="M271" s="33">
        <v>279900</v>
      </c>
      <c r="N271" s="34">
        <v>0.75</v>
      </c>
      <c r="O271" s="7">
        <f t="shared" si="20"/>
        <v>69975</v>
      </c>
      <c r="P271" s="18" t="s">
        <v>16</v>
      </c>
    </row>
    <row r="272" spans="1:16" x14ac:dyDescent="0.35">
      <c r="A272" s="18" t="s">
        <v>991</v>
      </c>
      <c r="B272" s="6">
        <f t="shared" si="21"/>
        <v>46108</v>
      </c>
      <c r="C272" s="6">
        <f t="shared" si="21"/>
        <v>46113</v>
      </c>
      <c r="D272" s="18">
        <v>3249</v>
      </c>
      <c r="E272" s="18">
        <v>332</v>
      </c>
      <c r="F272" s="18">
        <v>3</v>
      </c>
      <c r="G272" s="18">
        <v>3</v>
      </c>
      <c r="H272" s="18">
        <v>81642</v>
      </c>
      <c r="I272" s="18" t="s">
        <v>17</v>
      </c>
      <c r="J272" s="18">
        <v>16193756</v>
      </c>
      <c r="K272" s="18" t="s">
        <v>435</v>
      </c>
      <c r="L272" s="18" t="s">
        <v>443</v>
      </c>
      <c r="M272" s="33">
        <v>279900</v>
      </c>
      <c r="N272" s="34">
        <v>0.75</v>
      </c>
      <c r="O272" s="7">
        <f t="shared" si="20"/>
        <v>69975</v>
      </c>
      <c r="P272" s="18" t="s">
        <v>16</v>
      </c>
    </row>
    <row r="273" spans="1:16" x14ac:dyDescent="0.35">
      <c r="A273" s="18" t="s">
        <v>991</v>
      </c>
      <c r="B273" s="6">
        <f t="shared" si="21"/>
        <v>46108</v>
      </c>
      <c r="C273" s="6">
        <f t="shared" si="21"/>
        <v>46113</v>
      </c>
      <c r="D273" s="18">
        <v>3249</v>
      </c>
      <c r="E273" s="18">
        <v>332</v>
      </c>
      <c r="F273" s="18">
        <v>3</v>
      </c>
      <c r="G273" s="18">
        <v>3</v>
      </c>
      <c r="H273" s="18">
        <v>81642</v>
      </c>
      <c r="I273" s="18" t="s">
        <v>17</v>
      </c>
      <c r="J273" s="18">
        <v>16193765</v>
      </c>
      <c r="K273" s="18" t="s">
        <v>444</v>
      </c>
      <c r="L273" s="18" t="s">
        <v>445</v>
      </c>
      <c r="M273" s="33">
        <v>279900</v>
      </c>
      <c r="N273" s="34">
        <v>0.75</v>
      </c>
      <c r="O273" s="7">
        <f t="shared" si="20"/>
        <v>69975</v>
      </c>
      <c r="P273" s="18" t="s">
        <v>16</v>
      </c>
    </row>
    <row r="274" spans="1:16" x14ac:dyDescent="0.35">
      <c r="A274" s="18" t="s">
        <v>991</v>
      </c>
      <c r="B274" s="6">
        <f t="shared" si="21"/>
        <v>46108</v>
      </c>
      <c r="C274" s="6">
        <f t="shared" si="21"/>
        <v>46113</v>
      </c>
      <c r="D274" s="18">
        <v>3249</v>
      </c>
      <c r="E274" s="18">
        <v>332</v>
      </c>
      <c r="F274" s="18">
        <v>3</v>
      </c>
      <c r="G274" s="18">
        <v>3</v>
      </c>
      <c r="H274" s="18">
        <v>81642</v>
      </c>
      <c r="I274" s="18" t="s">
        <v>17</v>
      </c>
      <c r="J274" s="18">
        <v>16193774</v>
      </c>
      <c r="K274" s="18" t="s">
        <v>444</v>
      </c>
      <c r="L274" s="18" t="s">
        <v>446</v>
      </c>
      <c r="M274" s="33">
        <v>279900</v>
      </c>
      <c r="N274" s="34">
        <v>0.75</v>
      </c>
      <c r="O274" s="7">
        <f t="shared" si="20"/>
        <v>69975</v>
      </c>
      <c r="P274" s="18" t="s">
        <v>16</v>
      </c>
    </row>
    <row r="275" spans="1:16" x14ac:dyDescent="0.35">
      <c r="A275" s="18" t="s">
        <v>991</v>
      </c>
      <c r="B275" s="6">
        <f t="shared" ref="B275:C290" si="22">B274</f>
        <v>46108</v>
      </c>
      <c r="C275" s="6">
        <f t="shared" si="22"/>
        <v>46113</v>
      </c>
      <c r="D275" s="18">
        <v>3249</v>
      </c>
      <c r="E275" s="18">
        <v>332</v>
      </c>
      <c r="F275" s="18">
        <v>3</v>
      </c>
      <c r="G275" s="18">
        <v>3</v>
      </c>
      <c r="H275" s="18">
        <v>81642</v>
      </c>
      <c r="I275" s="18" t="s">
        <v>17</v>
      </c>
      <c r="J275" s="18">
        <v>16193783</v>
      </c>
      <c r="K275" s="18" t="s">
        <v>444</v>
      </c>
      <c r="L275" s="18" t="s">
        <v>447</v>
      </c>
      <c r="M275" s="33">
        <v>279900</v>
      </c>
      <c r="N275" s="34">
        <v>0.75</v>
      </c>
      <c r="O275" s="7">
        <f t="shared" si="20"/>
        <v>69975</v>
      </c>
      <c r="P275" s="18" t="s">
        <v>16</v>
      </c>
    </row>
    <row r="276" spans="1:16" x14ac:dyDescent="0.35">
      <c r="A276" s="18" t="s">
        <v>991</v>
      </c>
      <c r="B276" s="6">
        <f t="shared" si="22"/>
        <v>46108</v>
      </c>
      <c r="C276" s="6">
        <f t="shared" si="22"/>
        <v>46113</v>
      </c>
      <c r="D276" s="18">
        <v>3249</v>
      </c>
      <c r="E276" s="18">
        <v>332</v>
      </c>
      <c r="F276" s="18">
        <v>3</v>
      </c>
      <c r="G276" s="18">
        <v>3</v>
      </c>
      <c r="H276" s="18">
        <v>81642</v>
      </c>
      <c r="I276" s="18" t="s">
        <v>17</v>
      </c>
      <c r="J276" s="18">
        <v>16193792</v>
      </c>
      <c r="K276" s="18" t="s">
        <v>444</v>
      </c>
      <c r="L276" s="18" t="s">
        <v>448</v>
      </c>
      <c r="M276" s="33">
        <v>279900</v>
      </c>
      <c r="N276" s="34">
        <v>0.75</v>
      </c>
      <c r="O276" s="7">
        <f t="shared" si="20"/>
        <v>69975</v>
      </c>
      <c r="P276" s="18" t="s">
        <v>16</v>
      </c>
    </row>
    <row r="277" spans="1:16" x14ac:dyDescent="0.35">
      <c r="A277" s="18" t="s">
        <v>991</v>
      </c>
      <c r="B277" s="6">
        <f t="shared" si="22"/>
        <v>46108</v>
      </c>
      <c r="C277" s="6">
        <f t="shared" si="22"/>
        <v>46113</v>
      </c>
      <c r="D277" s="18">
        <v>3249</v>
      </c>
      <c r="E277" s="18">
        <v>332</v>
      </c>
      <c r="F277" s="18">
        <v>3</v>
      </c>
      <c r="G277" s="18">
        <v>3</v>
      </c>
      <c r="H277" s="18">
        <v>81642</v>
      </c>
      <c r="I277" s="18" t="s">
        <v>17</v>
      </c>
      <c r="J277" s="18">
        <v>16193809</v>
      </c>
      <c r="K277" s="18" t="s">
        <v>444</v>
      </c>
      <c r="L277" s="18" t="s">
        <v>449</v>
      </c>
      <c r="M277" s="33">
        <v>279900</v>
      </c>
      <c r="N277" s="34">
        <v>0.75</v>
      </c>
      <c r="O277" s="7">
        <f t="shared" si="20"/>
        <v>69975</v>
      </c>
      <c r="P277" s="18" t="s">
        <v>16</v>
      </c>
    </row>
    <row r="278" spans="1:16" x14ac:dyDescent="0.35">
      <c r="A278" s="18" t="s">
        <v>991</v>
      </c>
      <c r="B278" s="6">
        <f t="shared" si="22"/>
        <v>46108</v>
      </c>
      <c r="C278" s="6">
        <f t="shared" si="22"/>
        <v>46113</v>
      </c>
      <c r="D278" s="18">
        <v>3249</v>
      </c>
      <c r="E278" s="18">
        <v>332</v>
      </c>
      <c r="F278" s="18">
        <v>3</v>
      </c>
      <c r="G278" s="18">
        <v>3</v>
      </c>
      <c r="H278" s="18">
        <v>81642</v>
      </c>
      <c r="I278" s="18" t="s">
        <v>17</v>
      </c>
      <c r="J278" s="18">
        <v>16193818</v>
      </c>
      <c r="K278" s="18" t="s">
        <v>444</v>
      </c>
      <c r="L278" s="18" t="s">
        <v>450</v>
      </c>
      <c r="M278" s="33">
        <v>279900</v>
      </c>
      <c r="N278" s="34">
        <v>0.75</v>
      </c>
      <c r="O278" s="7">
        <f t="shared" si="20"/>
        <v>69975</v>
      </c>
      <c r="P278" s="18" t="s">
        <v>16</v>
      </c>
    </row>
    <row r="279" spans="1:16" x14ac:dyDescent="0.35">
      <c r="A279" s="18" t="s">
        <v>991</v>
      </c>
      <c r="B279" s="6">
        <f t="shared" si="22"/>
        <v>46108</v>
      </c>
      <c r="C279" s="6">
        <f t="shared" si="22"/>
        <v>46113</v>
      </c>
      <c r="D279" s="18">
        <v>3249</v>
      </c>
      <c r="E279" s="18">
        <v>332</v>
      </c>
      <c r="F279" s="18">
        <v>3</v>
      </c>
      <c r="G279" s="18">
        <v>3</v>
      </c>
      <c r="H279" s="18">
        <v>81642</v>
      </c>
      <c r="I279" s="18" t="s">
        <v>17</v>
      </c>
      <c r="J279" s="18">
        <v>16193827</v>
      </c>
      <c r="K279" s="18" t="s">
        <v>444</v>
      </c>
      <c r="L279" s="18" t="s">
        <v>451</v>
      </c>
      <c r="M279" s="33">
        <v>279900</v>
      </c>
      <c r="N279" s="34">
        <v>0.75</v>
      </c>
      <c r="O279" s="7">
        <f t="shared" si="20"/>
        <v>69975</v>
      </c>
      <c r="P279" s="18" t="s">
        <v>16</v>
      </c>
    </row>
    <row r="280" spans="1:16" x14ac:dyDescent="0.35">
      <c r="A280" s="18" t="s">
        <v>991</v>
      </c>
      <c r="B280" s="6">
        <f t="shared" si="22"/>
        <v>46108</v>
      </c>
      <c r="C280" s="6">
        <f t="shared" si="22"/>
        <v>46113</v>
      </c>
      <c r="D280" s="18">
        <v>3249</v>
      </c>
      <c r="E280" s="18">
        <v>332</v>
      </c>
      <c r="F280" s="18">
        <v>3</v>
      </c>
      <c r="G280" s="18">
        <v>3</v>
      </c>
      <c r="H280" s="18">
        <v>81642</v>
      </c>
      <c r="I280" s="18" t="s">
        <v>17</v>
      </c>
      <c r="J280" s="18">
        <v>16193836</v>
      </c>
      <c r="K280" s="18" t="s">
        <v>444</v>
      </c>
      <c r="L280" s="18" t="s">
        <v>452</v>
      </c>
      <c r="M280" s="33">
        <v>279900</v>
      </c>
      <c r="N280" s="34">
        <v>0.75</v>
      </c>
      <c r="O280" s="7">
        <f t="shared" si="20"/>
        <v>69975</v>
      </c>
      <c r="P280" s="18" t="s">
        <v>16</v>
      </c>
    </row>
    <row r="281" spans="1:16" x14ac:dyDescent="0.35">
      <c r="A281" s="18" t="s">
        <v>991</v>
      </c>
      <c r="B281" s="6">
        <f t="shared" si="22"/>
        <v>46108</v>
      </c>
      <c r="C281" s="6">
        <f t="shared" si="22"/>
        <v>46113</v>
      </c>
      <c r="D281" s="18">
        <v>3249</v>
      </c>
      <c r="E281" s="18">
        <v>332</v>
      </c>
      <c r="F281" s="18">
        <v>3</v>
      </c>
      <c r="G281" s="18">
        <v>3</v>
      </c>
      <c r="H281" s="18">
        <v>81642</v>
      </c>
      <c r="I281" s="18" t="s">
        <v>17</v>
      </c>
      <c r="J281" s="18">
        <v>16193845</v>
      </c>
      <c r="K281" s="18" t="s">
        <v>453</v>
      </c>
      <c r="L281" s="18" t="s">
        <v>454</v>
      </c>
      <c r="M281" s="33">
        <v>279900</v>
      </c>
      <c r="N281" s="34">
        <v>0.75</v>
      </c>
      <c r="O281" s="7">
        <f t="shared" si="20"/>
        <v>69975</v>
      </c>
      <c r="P281" s="18" t="s">
        <v>16</v>
      </c>
    </row>
    <row r="282" spans="1:16" x14ac:dyDescent="0.35">
      <c r="A282" s="18" t="s">
        <v>991</v>
      </c>
      <c r="B282" s="6">
        <f t="shared" si="22"/>
        <v>46108</v>
      </c>
      <c r="C282" s="6">
        <f t="shared" si="22"/>
        <v>46113</v>
      </c>
      <c r="D282" s="18">
        <v>3249</v>
      </c>
      <c r="E282" s="18">
        <v>332</v>
      </c>
      <c r="F282" s="18">
        <v>3</v>
      </c>
      <c r="G282" s="18">
        <v>3</v>
      </c>
      <c r="H282" s="18">
        <v>81642</v>
      </c>
      <c r="I282" s="18" t="s">
        <v>17</v>
      </c>
      <c r="J282" s="18">
        <v>16193854</v>
      </c>
      <c r="K282" s="18" t="s">
        <v>453</v>
      </c>
      <c r="L282" s="18" t="s">
        <v>455</v>
      </c>
      <c r="M282" s="33">
        <v>279900</v>
      </c>
      <c r="N282" s="34">
        <v>0.75</v>
      </c>
      <c r="O282" s="7">
        <f t="shared" si="20"/>
        <v>69975</v>
      </c>
      <c r="P282" s="18" t="s">
        <v>16</v>
      </c>
    </row>
    <row r="283" spans="1:16" x14ac:dyDescent="0.35">
      <c r="A283" s="18" t="s">
        <v>991</v>
      </c>
      <c r="B283" s="6">
        <f t="shared" si="22"/>
        <v>46108</v>
      </c>
      <c r="C283" s="6">
        <f t="shared" si="22"/>
        <v>46113</v>
      </c>
      <c r="D283" s="18">
        <v>3249</v>
      </c>
      <c r="E283" s="18">
        <v>332</v>
      </c>
      <c r="F283" s="18">
        <v>3</v>
      </c>
      <c r="G283" s="18">
        <v>3</v>
      </c>
      <c r="H283" s="18">
        <v>81642</v>
      </c>
      <c r="I283" s="18" t="s">
        <v>17</v>
      </c>
      <c r="J283" s="18">
        <v>16193863</v>
      </c>
      <c r="K283" s="18" t="s">
        <v>453</v>
      </c>
      <c r="L283" s="18" t="s">
        <v>456</v>
      </c>
      <c r="M283" s="33">
        <v>279900</v>
      </c>
      <c r="N283" s="34">
        <v>0.75</v>
      </c>
      <c r="O283" s="7">
        <f t="shared" si="20"/>
        <v>69975</v>
      </c>
      <c r="P283" s="18" t="s">
        <v>16</v>
      </c>
    </row>
    <row r="284" spans="1:16" x14ac:dyDescent="0.35">
      <c r="A284" s="18" t="s">
        <v>991</v>
      </c>
      <c r="B284" s="6">
        <f t="shared" si="22"/>
        <v>46108</v>
      </c>
      <c r="C284" s="6">
        <f t="shared" si="22"/>
        <v>46113</v>
      </c>
      <c r="D284" s="18">
        <v>3249</v>
      </c>
      <c r="E284" s="18">
        <v>332</v>
      </c>
      <c r="F284" s="18">
        <v>3</v>
      </c>
      <c r="G284" s="18">
        <v>3</v>
      </c>
      <c r="H284" s="18">
        <v>81642</v>
      </c>
      <c r="I284" s="18" t="s">
        <v>17</v>
      </c>
      <c r="J284" s="18">
        <v>16193872</v>
      </c>
      <c r="K284" s="18" t="s">
        <v>453</v>
      </c>
      <c r="L284" s="18" t="s">
        <v>457</v>
      </c>
      <c r="M284" s="33">
        <v>279900</v>
      </c>
      <c r="N284" s="34">
        <v>0.75</v>
      </c>
      <c r="O284" s="7">
        <f t="shared" si="20"/>
        <v>69975</v>
      </c>
      <c r="P284" s="18" t="s">
        <v>16</v>
      </c>
    </row>
    <row r="285" spans="1:16" x14ac:dyDescent="0.35">
      <c r="A285" s="18" t="s">
        <v>991</v>
      </c>
      <c r="B285" s="6">
        <f t="shared" si="22"/>
        <v>46108</v>
      </c>
      <c r="C285" s="6">
        <f t="shared" si="22"/>
        <v>46113</v>
      </c>
      <c r="D285" s="18">
        <v>3249</v>
      </c>
      <c r="E285" s="18">
        <v>332</v>
      </c>
      <c r="F285" s="18">
        <v>3</v>
      </c>
      <c r="G285" s="18">
        <v>3</v>
      </c>
      <c r="H285" s="18">
        <v>81642</v>
      </c>
      <c r="I285" s="18" t="s">
        <v>17</v>
      </c>
      <c r="J285" s="18">
        <v>16193881</v>
      </c>
      <c r="K285" s="18" t="s">
        <v>453</v>
      </c>
      <c r="L285" s="18" t="s">
        <v>458</v>
      </c>
      <c r="M285" s="33">
        <v>279900</v>
      </c>
      <c r="N285" s="34">
        <v>0.75</v>
      </c>
      <c r="O285" s="7">
        <f t="shared" si="20"/>
        <v>69975</v>
      </c>
      <c r="P285" s="18" t="s">
        <v>16</v>
      </c>
    </row>
    <row r="286" spans="1:16" x14ac:dyDescent="0.35">
      <c r="A286" s="18" t="s">
        <v>991</v>
      </c>
      <c r="B286" s="6">
        <f t="shared" si="22"/>
        <v>46108</v>
      </c>
      <c r="C286" s="6">
        <f t="shared" si="22"/>
        <v>46113</v>
      </c>
      <c r="D286" s="18">
        <v>3249</v>
      </c>
      <c r="E286" s="18">
        <v>332</v>
      </c>
      <c r="F286" s="18">
        <v>3</v>
      </c>
      <c r="G286" s="18">
        <v>3</v>
      </c>
      <c r="H286" s="18">
        <v>81642</v>
      </c>
      <c r="I286" s="18" t="s">
        <v>17</v>
      </c>
      <c r="J286" s="18">
        <v>16193890</v>
      </c>
      <c r="K286" s="18" t="s">
        <v>453</v>
      </c>
      <c r="L286" s="18" t="s">
        <v>459</v>
      </c>
      <c r="M286" s="33">
        <v>279900</v>
      </c>
      <c r="N286" s="34">
        <v>0.75</v>
      </c>
      <c r="O286" s="7">
        <f t="shared" si="20"/>
        <v>69975</v>
      </c>
      <c r="P286" s="18" t="s">
        <v>16</v>
      </c>
    </row>
    <row r="287" spans="1:16" x14ac:dyDescent="0.35">
      <c r="A287" s="18" t="s">
        <v>991</v>
      </c>
      <c r="B287" s="6">
        <f t="shared" si="22"/>
        <v>46108</v>
      </c>
      <c r="C287" s="6">
        <f t="shared" si="22"/>
        <v>46113</v>
      </c>
      <c r="D287" s="18">
        <v>3249</v>
      </c>
      <c r="E287" s="18">
        <v>332</v>
      </c>
      <c r="F287" s="18">
        <v>3</v>
      </c>
      <c r="G287" s="18">
        <v>3</v>
      </c>
      <c r="H287" s="18">
        <v>81642</v>
      </c>
      <c r="I287" s="18" t="s">
        <v>17</v>
      </c>
      <c r="J287" s="18">
        <v>16193907</v>
      </c>
      <c r="K287" s="18" t="s">
        <v>453</v>
      </c>
      <c r="L287" s="18" t="s">
        <v>460</v>
      </c>
      <c r="M287" s="33">
        <v>279900</v>
      </c>
      <c r="N287" s="34">
        <v>0.75</v>
      </c>
      <c r="O287" s="7">
        <f t="shared" si="20"/>
        <v>69975</v>
      </c>
      <c r="P287" s="18" t="s">
        <v>16</v>
      </c>
    </row>
    <row r="288" spans="1:16" x14ac:dyDescent="0.35">
      <c r="A288" s="18" t="s">
        <v>991</v>
      </c>
      <c r="B288" s="6">
        <f t="shared" si="22"/>
        <v>46108</v>
      </c>
      <c r="C288" s="6">
        <f t="shared" si="22"/>
        <v>46113</v>
      </c>
      <c r="D288" s="18">
        <v>3249</v>
      </c>
      <c r="E288" s="18">
        <v>332</v>
      </c>
      <c r="F288" s="18">
        <v>3</v>
      </c>
      <c r="G288" s="18">
        <v>3</v>
      </c>
      <c r="H288" s="18">
        <v>81642</v>
      </c>
      <c r="I288" s="18" t="s">
        <v>17</v>
      </c>
      <c r="J288" s="18">
        <v>16193916</v>
      </c>
      <c r="K288" s="18" t="s">
        <v>453</v>
      </c>
      <c r="L288" s="18" t="s">
        <v>461</v>
      </c>
      <c r="M288" s="33">
        <v>279900</v>
      </c>
      <c r="N288" s="34">
        <v>0.75</v>
      </c>
      <c r="O288" s="7">
        <f t="shared" si="20"/>
        <v>69975</v>
      </c>
      <c r="P288" s="18" t="s">
        <v>16</v>
      </c>
    </row>
    <row r="289" spans="1:16" x14ac:dyDescent="0.35">
      <c r="A289" s="18" t="s">
        <v>991</v>
      </c>
      <c r="B289" s="6">
        <f t="shared" si="22"/>
        <v>46108</v>
      </c>
      <c r="C289" s="6">
        <f t="shared" si="22"/>
        <v>46113</v>
      </c>
      <c r="D289" s="18">
        <v>3249</v>
      </c>
      <c r="E289" s="18">
        <v>332</v>
      </c>
      <c r="F289" s="18">
        <v>3</v>
      </c>
      <c r="G289" s="18">
        <v>3</v>
      </c>
      <c r="H289" s="18">
        <v>81642</v>
      </c>
      <c r="I289" s="18" t="s">
        <v>17</v>
      </c>
      <c r="J289" s="18">
        <v>16282730</v>
      </c>
      <c r="K289" s="18" t="s">
        <v>462</v>
      </c>
      <c r="L289" s="18" t="s">
        <v>463</v>
      </c>
      <c r="M289" s="33">
        <v>279900</v>
      </c>
      <c r="N289" s="34">
        <v>0.75</v>
      </c>
      <c r="O289" s="7">
        <f t="shared" si="20"/>
        <v>69975</v>
      </c>
      <c r="P289" s="18" t="s">
        <v>16</v>
      </c>
    </row>
    <row r="290" spans="1:16" x14ac:dyDescent="0.35">
      <c r="A290" s="18" t="s">
        <v>991</v>
      </c>
      <c r="B290" s="6">
        <f t="shared" si="22"/>
        <v>46108</v>
      </c>
      <c r="C290" s="6">
        <f t="shared" si="22"/>
        <v>46113</v>
      </c>
      <c r="D290" s="18">
        <v>3249</v>
      </c>
      <c r="E290" s="18">
        <v>332</v>
      </c>
      <c r="F290" s="18">
        <v>3</v>
      </c>
      <c r="G290" s="18">
        <v>3</v>
      </c>
      <c r="H290" s="18">
        <v>81642</v>
      </c>
      <c r="I290" s="18" t="s">
        <v>17</v>
      </c>
      <c r="J290" s="18">
        <v>16282749</v>
      </c>
      <c r="K290" s="18" t="s">
        <v>462</v>
      </c>
      <c r="L290" s="18" t="s">
        <v>464</v>
      </c>
      <c r="M290" s="33">
        <v>279900</v>
      </c>
      <c r="N290" s="34">
        <v>0.75</v>
      </c>
      <c r="O290" s="7">
        <f t="shared" si="20"/>
        <v>69975</v>
      </c>
      <c r="P290" s="18" t="s">
        <v>16</v>
      </c>
    </row>
    <row r="291" spans="1:16" x14ac:dyDescent="0.35">
      <c r="A291" s="18" t="s">
        <v>991</v>
      </c>
      <c r="B291" s="6">
        <f t="shared" ref="B291:C306" si="23">B290</f>
        <v>46108</v>
      </c>
      <c r="C291" s="6">
        <f t="shared" si="23"/>
        <v>46113</v>
      </c>
      <c r="D291" s="18">
        <v>3249</v>
      </c>
      <c r="E291" s="18">
        <v>332</v>
      </c>
      <c r="F291" s="18">
        <v>3</v>
      </c>
      <c r="G291" s="18">
        <v>3</v>
      </c>
      <c r="H291" s="18">
        <v>81642</v>
      </c>
      <c r="I291" s="18" t="s">
        <v>17</v>
      </c>
      <c r="J291" s="18">
        <v>16282758</v>
      </c>
      <c r="K291" s="18" t="s">
        <v>462</v>
      </c>
      <c r="L291" s="18" t="s">
        <v>465</v>
      </c>
      <c r="M291" s="33">
        <v>279900</v>
      </c>
      <c r="N291" s="34">
        <v>0.75</v>
      </c>
      <c r="O291" s="7">
        <f t="shared" si="20"/>
        <v>69975</v>
      </c>
      <c r="P291" s="18" t="s">
        <v>16</v>
      </c>
    </row>
    <row r="292" spans="1:16" x14ac:dyDescent="0.35">
      <c r="A292" s="18" t="s">
        <v>991</v>
      </c>
      <c r="B292" s="6">
        <f t="shared" si="23"/>
        <v>46108</v>
      </c>
      <c r="C292" s="6">
        <f t="shared" si="23"/>
        <v>46113</v>
      </c>
      <c r="D292" s="18">
        <v>3249</v>
      </c>
      <c r="E292" s="18">
        <v>332</v>
      </c>
      <c r="F292" s="18">
        <v>3</v>
      </c>
      <c r="G292" s="18">
        <v>3</v>
      </c>
      <c r="H292" s="18">
        <v>81642</v>
      </c>
      <c r="I292" s="18" t="s">
        <v>17</v>
      </c>
      <c r="J292" s="18">
        <v>16282767</v>
      </c>
      <c r="K292" s="18" t="s">
        <v>462</v>
      </c>
      <c r="L292" s="18" t="s">
        <v>466</v>
      </c>
      <c r="M292" s="33">
        <v>279900</v>
      </c>
      <c r="N292" s="34">
        <v>0.75</v>
      </c>
      <c r="O292" s="7">
        <f t="shared" si="20"/>
        <v>69975</v>
      </c>
      <c r="P292" s="18" t="s">
        <v>16</v>
      </c>
    </row>
    <row r="293" spans="1:16" x14ac:dyDescent="0.35">
      <c r="A293" s="18" t="s">
        <v>991</v>
      </c>
      <c r="B293" s="6">
        <f t="shared" si="23"/>
        <v>46108</v>
      </c>
      <c r="C293" s="6">
        <f t="shared" si="23"/>
        <v>46113</v>
      </c>
      <c r="D293" s="18">
        <v>3249</v>
      </c>
      <c r="E293" s="18">
        <v>332</v>
      </c>
      <c r="F293" s="18">
        <v>3</v>
      </c>
      <c r="G293" s="18">
        <v>3</v>
      </c>
      <c r="H293" s="18">
        <v>81642</v>
      </c>
      <c r="I293" s="18" t="s">
        <v>17</v>
      </c>
      <c r="J293" s="18">
        <v>16282776</v>
      </c>
      <c r="K293" s="18" t="s">
        <v>462</v>
      </c>
      <c r="L293" s="18" t="s">
        <v>467</v>
      </c>
      <c r="M293" s="33">
        <v>279900</v>
      </c>
      <c r="N293" s="34">
        <v>0.75</v>
      </c>
      <c r="O293" s="7">
        <f t="shared" si="20"/>
        <v>69975</v>
      </c>
      <c r="P293" s="18" t="s">
        <v>16</v>
      </c>
    </row>
    <row r="294" spans="1:16" x14ac:dyDescent="0.35">
      <c r="A294" s="18" t="s">
        <v>991</v>
      </c>
      <c r="B294" s="6">
        <f t="shared" si="23"/>
        <v>46108</v>
      </c>
      <c r="C294" s="6">
        <f t="shared" si="23"/>
        <v>46113</v>
      </c>
      <c r="D294" s="18">
        <v>3249</v>
      </c>
      <c r="E294" s="18">
        <v>332</v>
      </c>
      <c r="F294" s="18">
        <v>3</v>
      </c>
      <c r="G294" s="18">
        <v>3</v>
      </c>
      <c r="H294" s="18">
        <v>81642</v>
      </c>
      <c r="I294" s="18" t="s">
        <v>17</v>
      </c>
      <c r="J294" s="18">
        <v>16282785</v>
      </c>
      <c r="K294" s="18" t="s">
        <v>462</v>
      </c>
      <c r="L294" s="18" t="s">
        <v>468</v>
      </c>
      <c r="M294" s="33">
        <v>279900</v>
      </c>
      <c r="N294" s="34">
        <v>0.75</v>
      </c>
      <c r="O294" s="7">
        <f t="shared" si="20"/>
        <v>69975</v>
      </c>
      <c r="P294" s="18" t="s">
        <v>16</v>
      </c>
    </row>
    <row r="295" spans="1:16" x14ac:dyDescent="0.35">
      <c r="A295" s="18" t="s">
        <v>991</v>
      </c>
      <c r="B295" s="6">
        <f t="shared" si="23"/>
        <v>46108</v>
      </c>
      <c r="C295" s="6">
        <f t="shared" si="23"/>
        <v>46113</v>
      </c>
      <c r="D295" s="18">
        <v>3249</v>
      </c>
      <c r="E295" s="18">
        <v>332</v>
      </c>
      <c r="F295" s="18">
        <v>3</v>
      </c>
      <c r="G295" s="18">
        <v>3</v>
      </c>
      <c r="H295" s="18">
        <v>81642</v>
      </c>
      <c r="I295" s="18" t="s">
        <v>17</v>
      </c>
      <c r="J295" s="18">
        <v>16282794</v>
      </c>
      <c r="K295" s="18" t="s">
        <v>462</v>
      </c>
      <c r="L295" s="18" t="s">
        <v>469</v>
      </c>
      <c r="M295" s="33">
        <v>279900</v>
      </c>
      <c r="N295" s="34">
        <v>0.75</v>
      </c>
      <c r="O295" s="7">
        <f t="shared" si="20"/>
        <v>69975</v>
      </c>
      <c r="P295" s="18" t="s">
        <v>16</v>
      </c>
    </row>
    <row r="296" spans="1:16" x14ac:dyDescent="0.35">
      <c r="A296" s="18" t="s">
        <v>991</v>
      </c>
      <c r="B296" s="6">
        <f t="shared" si="23"/>
        <v>46108</v>
      </c>
      <c r="C296" s="6">
        <f t="shared" si="23"/>
        <v>46113</v>
      </c>
      <c r="D296" s="18">
        <v>3249</v>
      </c>
      <c r="E296" s="18">
        <v>332</v>
      </c>
      <c r="F296" s="18">
        <v>3</v>
      </c>
      <c r="G296" s="18">
        <v>3</v>
      </c>
      <c r="H296" s="18">
        <v>81642</v>
      </c>
      <c r="I296" s="18" t="s">
        <v>17</v>
      </c>
      <c r="J296" s="18">
        <v>16282801</v>
      </c>
      <c r="K296" s="18" t="s">
        <v>462</v>
      </c>
      <c r="L296" s="18" t="s">
        <v>470</v>
      </c>
      <c r="M296" s="33">
        <v>279900</v>
      </c>
      <c r="N296" s="34">
        <v>0.75</v>
      </c>
      <c r="O296" s="7">
        <f t="shared" si="20"/>
        <v>69975</v>
      </c>
      <c r="P296" s="18" t="s">
        <v>16</v>
      </c>
    </row>
    <row r="297" spans="1:16" x14ac:dyDescent="0.35">
      <c r="A297" s="18" t="s">
        <v>991</v>
      </c>
      <c r="B297" s="6">
        <f t="shared" si="23"/>
        <v>46108</v>
      </c>
      <c r="C297" s="6">
        <f t="shared" si="23"/>
        <v>46113</v>
      </c>
      <c r="D297" s="18">
        <v>3249</v>
      </c>
      <c r="E297" s="18">
        <v>332</v>
      </c>
      <c r="F297" s="18">
        <v>3</v>
      </c>
      <c r="G297" s="18">
        <v>3</v>
      </c>
      <c r="H297" s="18">
        <v>81642</v>
      </c>
      <c r="I297" s="18" t="s">
        <v>17</v>
      </c>
      <c r="J297" s="18">
        <v>16343478</v>
      </c>
      <c r="K297" s="18" t="s">
        <v>471</v>
      </c>
      <c r="L297" s="18" t="s">
        <v>472</v>
      </c>
      <c r="M297" s="33">
        <v>279900</v>
      </c>
      <c r="N297" s="34">
        <v>0.75</v>
      </c>
      <c r="O297" s="7">
        <f t="shared" si="20"/>
        <v>69975</v>
      </c>
      <c r="P297" s="18" t="s">
        <v>16</v>
      </c>
    </row>
    <row r="298" spans="1:16" x14ac:dyDescent="0.35">
      <c r="A298" s="18" t="s">
        <v>991</v>
      </c>
      <c r="B298" s="6">
        <f t="shared" si="23"/>
        <v>46108</v>
      </c>
      <c r="C298" s="6">
        <f t="shared" si="23"/>
        <v>46113</v>
      </c>
      <c r="D298" s="18">
        <v>3249</v>
      </c>
      <c r="E298" s="18">
        <v>332</v>
      </c>
      <c r="F298" s="18">
        <v>3</v>
      </c>
      <c r="G298" s="18">
        <v>3</v>
      </c>
      <c r="H298" s="18">
        <v>81642</v>
      </c>
      <c r="I298" s="18" t="s">
        <v>17</v>
      </c>
      <c r="J298" s="18">
        <v>16343496</v>
      </c>
      <c r="K298" s="18" t="s">
        <v>471</v>
      </c>
      <c r="L298" s="18" t="s">
        <v>473</v>
      </c>
      <c r="M298" s="33">
        <v>279900</v>
      </c>
      <c r="N298" s="34">
        <v>0.75</v>
      </c>
      <c r="O298" s="7">
        <f t="shared" si="20"/>
        <v>69975</v>
      </c>
      <c r="P298" s="18" t="s">
        <v>16</v>
      </c>
    </row>
    <row r="299" spans="1:16" x14ac:dyDescent="0.35">
      <c r="A299" s="18" t="s">
        <v>991</v>
      </c>
      <c r="B299" s="6">
        <f t="shared" si="23"/>
        <v>46108</v>
      </c>
      <c r="C299" s="6">
        <f t="shared" si="23"/>
        <v>46113</v>
      </c>
      <c r="D299" s="18">
        <v>3249</v>
      </c>
      <c r="E299" s="18">
        <v>332</v>
      </c>
      <c r="F299" s="18">
        <v>3</v>
      </c>
      <c r="G299" s="18">
        <v>3</v>
      </c>
      <c r="H299" s="18">
        <v>81642</v>
      </c>
      <c r="I299" s="18" t="s">
        <v>17</v>
      </c>
      <c r="J299" s="18">
        <v>16343503</v>
      </c>
      <c r="K299" s="18" t="s">
        <v>471</v>
      </c>
      <c r="L299" s="18" t="s">
        <v>474</v>
      </c>
      <c r="M299" s="33">
        <v>279900</v>
      </c>
      <c r="N299" s="34">
        <v>0.75</v>
      </c>
      <c r="O299" s="7">
        <f t="shared" si="20"/>
        <v>69975</v>
      </c>
      <c r="P299" s="18" t="s">
        <v>16</v>
      </c>
    </row>
    <row r="300" spans="1:16" x14ac:dyDescent="0.35">
      <c r="A300" s="18" t="s">
        <v>991</v>
      </c>
      <c r="B300" s="6">
        <f t="shared" si="23"/>
        <v>46108</v>
      </c>
      <c r="C300" s="6">
        <f t="shared" si="23"/>
        <v>46113</v>
      </c>
      <c r="D300" s="18">
        <v>3249</v>
      </c>
      <c r="E300" s="18">
        <v>332</v>
      </c>
      <c r="F300" s="18">
        <v>3</v>
      </c>
      <c r="G300" s="18">
        <v>3</v>
      </c>
      <c r="H300" s="18">
        <v>81642</v>
      </c>
      <c r="I300" s="18" t="s">
        <v>17</v>
      </c>
      <c r="J300" s="18">
        <v>16343512</v>
      </c>
      <c r="K300" s="18" t="s">
        <v>471</v>
      </c>
      <c r="L300" s="18" t="s">
        <v>475</v>
      </c>
      <c r="M300" s="33">
        <v>279900</v>
      </c>
      <c r="N300" s="34">
        <v>0.75</v>
      </c>
      <c r="O300" s="7">
        <f t="shared" si="20"/>
        <v>69975</v>
      </c>
      <c r="P300" s="18" t="s">
        <v>16</v>
      </c>
    </row>
    <row r="301" spans="1:16" x14ac:dyDescent="0.35">
      <c r="A301" s="18" t="s">
        <v>991</v>
      </c>
      <c r="B301" s="6">
        <f t="shared" si="23"/>
        <v>46108</v>
      </c>
      <c r="C301" s="6">
        <f t="shared" si="23"/>
        <v>46113</v>
      </c>
      <c r="D301" s="18">
        <v>3249</v>
      </c>
      <c r="E301" s="18">
        <v>332</v>
      </c>
      <c r="F301" s="18">
        <v>3</v>
      </c>
      <c r="G301" s="18">
        <v>3</v>
      </c>
      <c r="H301" s="18">
        <v>81642</v>
      </c>
      <c r="I301" s="18" t="s">
        <v>17</v>
      </c>
      <c r="J301" s="18">
        <v>16343521</v>
      </c>
      <c r="K301" s="18" t="s">
        <v>471</v>
      </c>
      <c r="L301" s="18" t="s">
        <v>476</v>
      </c>
      <c r="M301" s="33">
        <v>279900</v>
      </c>
      <c r="N301" s="34">
        <v>0.75</v>
      </c>
      <c r="O301" s="7">
        <f t="shared" si="20"/>
        <v>69975</v>
      </c>
      <c r="P301" s="18" t="s">
        <v>16</v>
      </c>
    </row>
    <row r="302" spans="1:16" x14ac:dyDescent="0.35">
      <c r="A302" s="18" t="s">
        <v>991</v>
      </c>
      <c r="B302" s="6">
        <f t="shared" si="23"/>
        <v>46108</v>
      </c>
      <c r="C302" s="6">
        <f t="shared" si="23"/>
        <v>46113</v>
      </c>
      <c r="D302" s="18">
        <v>3249</v>
      </c>
      <c r="E302" s="18">
        <v>332</v>
      </c>
      <c r="F302" s="18">
        <v>3</v>
      </c>
      <c r="G302" s="18">
        <v>3</v>
      </c>
      <c r="H302" s="18">
        <v>81642</v>
      </c>
      <c r="I302" s="18" t="s">
        <v>17</v>
      </c>
      <c r="J302" s="18">
        <v>16343530</v>
      </c>
      <c r="K302" s="18" t="s">
        <v>471</v>
      </c>
      <c r="L302" s="18" t="s">
        <v>477</v>
      </c>
      <c r="M302" s="33">
        <v>279900</v>
      </c>
      <c r="N302" s="34">
        <v>0.75</v>
      </c>
      <c r="O302" s="7">
        <f t="shared" si="20"/>
        <v>69975</v>
      </c>
      <c r="P302" s="18" t="s">
        <v>16</v>
      </c>
    </row>
    <row r="303" spans="1:16" x14ac:dyDescent="0.35">
      <c r="A303" s="18" t="s">
        <v>991</v>
      </c>
      <c r="B303" s="6">
        <f t="shared" si="23"/>
        <v>46108</v>
      </c>
      <c r="C303" s="6">
        <f t="shared" si="23"/>
        <v>46113</v>
      </c>
      <c r="D303" s="18">
        <v>3249</v>
      </c>
      <c r="E303" s="18">
        <v>332</v>
      </c>
      <c r="F303" s="18">
        <v>3</v>
      </c>
      <c r="G303" s="18">
        <v>3</v>
      </c>
      <c r="H303" s="18">
        <v>81642</v>
      </c>
      <c r="I303" s="18" t="s">
        <v>17</v>
      </c>
      <c r="J303" s="18">
        <v>16773978</v>
      </c>
      <c r="K303" s="18" t="s">
        <v>478</v>
      </c>
      <c r="L303" s="18" t="s">
        <v>479</v>
      </c>
      <c r="M303" s="33">
        <v>279900</v>
      </c>
      <c r="N303" s="34">
        <v>0.75</v>
      </c>
      <c r="O303" s="7">
        <f t="shared" si="20"/>
        <v>69975</v>
      </c>
      <c r="P303" s="18" t="s">
        <v>16</v>
      </c>
    </row>
    <row r="304" spans="1:16" x14ac:dyDescent="0.35">
      <c r="A304" s="18" t="s">
        <v>991</v>
      </c>
      <c r="B304" s="6">
        <f t="shared" si="23"/>
        <v>46108</v>
      </c>
      <c r="C304" s="6">
        <f t="shared" si="23"/>
        <v>46113</v>
      </c>
      <c r="D304" s="18">
        <v>3249</v>
      </c>
      <c r="E304" s="18">
        <v>332</v>
      </c>
      <c r="F304" s="18">
        <v>3</v>
      </c>
      <c r="G304" s="18">
        <v>3</v>
      </c>
      <c r="H304" s="18">
        <v>81642</v>
      </c>
      <c r="I304" s="18" t="s">
        <v>17</v>
      </c>
      <c r="J304" s="18">
        <v>16773987</v>
      </c>
      <c r="K304" s="18" t="s">
        <v>478</v>
      </c>
      <c r="L304" s="18" t="s">
        <v>480</v>
      </c>
      <c r="M304" s="33">
        <v>279900</v>
      </c>
      <c r="N304" s="34">
        <v>0.75</v>
      </c>
      <c r="O304" s="7">
        <f t="shared" si="20"/>
        <v>69975</v>
      </c>
      <c r="P304" s="18" t="s">
        <v>16</v>
      </c>
    </row>
    <row r="305" spans="1:16" x14ac:dyDescent="0.35">
      <c r="A305" s="18" t="s">
        <v>991</v>
      </c>
      <c r="B305" s="6">
        <f t="shared" si="23"/>
        <v>46108</v>
      </c>
      <c r="C305" s="6">
        <f t="shared" si="23"/>
        <v>46113</v>
      </c>
      <c r="D305" s="18">
        <v>3249</v>
      </c>
      <c r="E305" s="18">
        <v>332</v>
      </c>
      <c r="F305" s="18">
        <v>3</v>
      </c>
      <c r="G305" s="18">
        <v>3</v>
      </c>
      <c r="H305" s="18">
        <v>81642</v>
      </c>
      <c r="I305" s="18" t="s">
        <v>17</v>
      </c>
      <c r="J305" s="18">
        <v>16773996</v>
      </c>
      <c r="K305" s="18" t="s">
        <v>478</v>
      </c>
      <c r="L305" s="18" t="s">
        <v>481</v>
      </c>
      <c r="M305" s="33">
        <v>279900</v>
      </c>
      <c r="N305" s="34">
        <v>0.75</v>
      </c>
      <c r="O305" s="7">
        <f t="shared" si="20"/>
        <v>69975</v>
      </c>
      <c r="P305" s="18" t="s">
        <v>16</v>
      </c>
    </row>
    <row r="306" spans="1:16" x14ac:dyDescent="0.35">
      <c r="A306" s="18" t="s">
        <v>991</v>
      </c>
      <c r="B306" s="6">
        <f t="shared" si="23"/>
        <v>46108</v>
      </c>
      <c r="C306" s="6">
        <f t="shared" si="23"/>
        <v>46113</v>
      </c>
      <c r="D306" s="18">
        <v>3249</v>
      </c>
      <c r="E306" s="18">
        <v>332</v>
      </c>
      <c r="F306" s="18">
        <v>3</v>
      </c>
      <c r="G306" s="18">
        <v>3</v>
      </c>
      <c r="H306" s="18">
        <v>81642</v>
      </c>
      <c r="I306" s="18" t="s">
        <v>17</v>
      </c>
      <c r="J306" s="18">
        <v>16774002</v>
      </c>
      <c r="K306" s="18" t="s">
        <v>478</v>
      </c>
      <c r="L306" s="18" t="s">
        <v>482</v>
      </c>
      <c r="M306" s="33">
        <v>279900</v>
      </c>
      <c r="N306" s="34">
        <v>0.75</v>
      </c>
      <c r="O306" s="7">
        <f t="shared" si="20"/>
        <v>69975</v>
      </c>
      <c r="P306" s="18" t="s">
        <v>16</v>
      </c>
    </row>
    <row r="307" spans="1:16" x14ac:dyDescent="0.35">
      <c r="A307" s="18" t="s">
        <v>991</v>
      </c>
      <c r="B307" s="6">
        <f t="shared" ref="B307:C322" si="24">B306</f>
        <v>46108</v>
      </c>
      <c r="C307" s="6">
        <f t="shared" si="24"/>
        <v>46113</v>
      </c>
      <c r="D307" s="18">
        <v>3249</v>
      </c>
      <c r="E307" s="18">
        <v>332</v>
      </c>
      <c r="F307" s="18">
        <v>3</v>
      </c>
      <c r="G307" s="18">
        <v>3</v>
      </c>
      <c r="H307" s="18">
        <v>81642</v>
      </c>
      <c r="I307" s="18" t="s">
        <v>17</v>
      </c>
      <c r="J307" s="18">
        <v>16774011</v>
      </c>
      <c r="K307" s="18" t="s">
        <v>478</v>
      </c>
      <c r="L307" s="18" t="s">
        <v>483</v>
      </c>
      <c r="M307" s="33">
        <v>279900</v>
      </c>
      <c r="N307" s="34">
        <v>0.75</v>
      </c>
      <c r="O307" s="7">
        <f t="shared" si="20"/>
        <v>69975</v>
      </c>
      <c r="P307" s="18" t="s">
        <v>16</v>
      </c>
    </row>
    <row r="308" spans="1:16" x14ac:dyDescent="0.35">
      <c r="A308" s="18" t="s">
        <v>991</v>
      </c>
      <c r="B308" s="6">
        <f t="shared" si="24"/>
        <v>46108</v>
      </c>
      <c r="C308" s="6">
        <f t="shared" si="24"/>
        <v>46113</v>
      </c>
      <c r="D308" s="18">
        <v>3249</v>
      </c>
      <c r="E308" s="18">
        <v>332</v>
      </c>
      <c r="F308" s="18">
        <v>3</v>
      </c>
      <c r="G308" s="18">
        <v>3</v>
      </c>
      <c r="H308" s="18">
        <v>81642</v>
      </c>
      <c r="I308" s="18" t="s">
        <v>17</v>
      </c>
      <c r="J308" s="18">
        <v>16774020</v>
      </c>
      <c r="K308" s="18" t="s">
        <v>478</v>
      </c>
      <c r="L308" s="18" t="s">
        <v>484</v>
      </c>
      <c r="M308" s="33">
        <v>279900</v>
      </c>
      <c r="N308" s="34">
        <v>0.75</v>
      </c>
      <c r="O308" s="7">
        <f t="shared" si="20"/>
        <v>69975</v>
      </c>
      <c r="P308" s="18" t="s">
        <v>16</v>
      </c>
    </row>
    <row r="309" spans="1:16" x14ac:dyDescent="0.35">
      <c r="A309" s="18" t="s">
        <v>991</v>
      </c>
      <c r="B309" s="6">
        <f t="shared" si="24"/>
        <v>46108</v>
      </c>
      <c r="C309" s="6">
        <f t="shared" si="24"/>
        <v>46113</v>
      </c>
      <c r="D309" s="18">
        <v>3249</v>
      </c>
      <c r="E309" s="18">
        <v>332</v>
      </c>
      <c r="F309" s="18">
        <v>3</v>
      </c>
      <c r="G309" s="18">
        <v>3</v>
      </c>
      <c r="H309" s="18">
        <v>81642</v>
      </c>
      <c r="I309" s="18" t="s">
        <v>17</v>
      </c>
      <c r="J309" s="18">
        <v>16774039</v>
      </c>
      <c r="K309" s="18" t="s">
        <v>478</v>
      </c>
      <c r="L309" s="18" t="s">
        <v>485</v>
      </c>
      <c r="M309" s="33">
        <v>279900</v>
      </c>
      <c r="N309" s="34">
        <v>0.75</v>
      </c>
      <c r="O309" s="7">
        <f t="shared" si="20"/>
        <v>69975</v>
      </c>
      <c r="P309" s="18" t="s">
        <v>16</v>
      </c>
    </row>
    <row r="310" spans="1:16" x14ac:dyDescent="0.35">
      <c r="A310" s="18" t="s">
        <v>991</v>
      </c>
      <c r="B310" s="6">
        <f t="shared" si="24"/>
        <v>46108</v>
      </c>
      <c r="C310" s="6">
        <f t="shared" si="24"/>
        <v>46113</v>
      </c>
      <c r="D310" s="18">
        <v>3249</v>
      </c>
      <c r="E310" s="18">
        <v>332</v>
      </c>
      <c r="F310" s="18">
        <v>3</v>
      </c>
      <c r="G310" s="18">
        <v>3</v>
      </c>
      <c r="H310" s="18">
        <v>81642</v>
      </c>
      <c r="I310" s="18" t="s">
        <v>17</v>
      </c>
      <c r="J310" s="18">
        <v>16774048</v>
      </c>
      <c r="K310" s="18" t="s">
        <v>478</v>
      </c>
      <c r="L310" s="18" t="s">
        <v>486</v>
      </c>
      <c r="M310" s="33">
        <v>279900</v>
      </c>
      <c r="N310" s="34">
        <v>0.75</v>
      </c>
      <c r="O310" s="7">
        <f t="shared" si="20"/>
        <v>69975</v>
      </c>
      <c r="P310" s="18" t="s">
        <v>16</v>
      </c>
    </row>
    <row r="311" spans="1:16" x14ac:dyDescent="0.35">
      <c r="A311" s="18" t="s">
        <v>991</v>
      </c>
      <c r="B311" s="6">
        <f t="shared" si="24"/>
        <v>46108</v>
      </c>
      <c r="C311" s="6">
        <f t="shared" si="24"/>
        <v>46113</v>
      </c>
      <c r="D311" s="18">
        <v>3249</v>
      </c>
      <c r="E311" s="18">
        <v>332</v>
      </c>
      <c r="F311" s="18">
        <v>3</v>
      </c>
      <c r="G311" s="18">
        <v>3</v>
      </c>
      <c r="H311" s="18">
        <v>81642</v>
      </c>
      <c r="I311" s="18" t="s">
        <v>17</v>
      </c>
      <c r="J311" s="18">
        <v>16851544</v>
      </c>
      <c r="K311" s="18" t="s">
        <v>487</v>
      </c>
      <c r="L311" s="18" t="s">
        <v>488</v>
      </c>
      <c r="M311" s="33">
        <v>279900</v>
      </c>
      <c r="N311" s="34">
        <v>0.75</v>
      </c>
      <c r="O311" s="7">
        <f t="shared" si="20"/>
        <v>69975</v>
      </c>
      <c r="P311" s="18" t="s">
        <v>16</v>
      </c>
    </row>
    <row r="312" spans="1:16" x14ac:dyDescent="0.35">
      <c r="A312" s="18" t="s">
        <v>991</v>
      </c>
      <c r="B312" s="6">
        <f t="shared" si="24"/>
        <v>46108</v>
      </c>
      <c r="C312" s="6">
        <f t="shared" si="24"/>
        <v>46113</v>
      </c>
      <c r="D312" s="18">
        <v>3249</v>
      </c>
      <c r="E312" s="18">
        <v>332</v>
      </c>
      <c r="F312" s="18">
        <v>3</v>
      </c>
      <c r="G312" s="18">
        <v>3</v>
      </c>
      <c r="H312" s="18">
        <v>81642</v>
      </c>
      <c r="I312" s="18" t="s">
        <v>17</v>
      </c>
      <c r="J312" s="18">
        <v>16851553</v>
      </c>
      <c r="K312" s="18" t="s">
        <v>487</v>
      </c>
      <c r="L312" s="18" t="s">
        <v>489</v>
      </c>
      <c r="M312" s="33">
        <v>279900</v>
      </c>
      <c r="N312" s="34">
        <v>0.75</v>
      </c>
      <c r="O312" s="7">
        <f t="shared" si="20"/>
        <v>69975</v>
      </c>
      <c r="P312" s="18" t="s">
        <v>16</v>
      </c>
    </row>
    <row r="313" spans="1:16" x14ac:dyDescent="0.35">
      <c r="A313" s="18" t="s">
        <v>991</v>
      </c>
      <c r="B313" s="6">
        <f t="shared" si="24"/>
        <v>46108</v>
      </c>
      <c r="C313" s="6">
        <f t="shared" si="24"/>
        <v>46113</v>
      </c>
      <c r="D313" s="18">
        <v>3249</v>
      </c>
      <c r="E313" s="18">
        <v>332</v>
      </c>
      <c r="F313" s="18">
        <v>3</v>
      </c>
      <c r="G313" s="18">
        <v>3</v>
      </c>
      <c r="H313" s="18">
        <v>81642</v>
      </c>
      <c r="I313" s="18" t="s">
        <v>17</v>
      </c>
      <c r="J313" s="18">
        <v>16851562</v>
      </c>
      <c r="K313" s="18" t="s">
        <v>487</v>
      </c>
      <c r="L313" s="18" t="s">
        <v>490</v>
      </c>
      <c r="M313" s="33">
        <v>279900</v>
      </c>
      <c r="N313" s="34">
        <v>0.75</v>
      </c>
      <c r="O313" s="7">
        <f t="shared" si="20"/>
        <v>69975</v>
      </c>
      <c r="P313" s="18" t="s">
        <v>16</v>
      </c>
    </row>
    <row r="314" spans="1:16" x14ac:dyDescent="0.35">
      <c r="A314" s="18" t="s">
        <v>991</v>
      </c>
      <c r="B314" s="6">
        <f t="shared" si="24"/>
        <v>46108</v>
      </c>
      <c r="C314" s="6">
        <f t="shared" si="24"/>
        <v>46113</v>
      </c>
      <c r="D314" s="18">
        <v>3249</v>
      </c>
      <c r="E314" s="18">
        <v>332</v>
      </c>
      <c r="F314" s="18">
        <v>3</v>
      </c>
      <c r="G314" s="18">
        <v>3</v>
      </c>
      <c r="H314" s="18">
        <v>81642</v>
      </c>
      <c r="I314" s="18" t="s">
        <v>17</v>
      </c>
      <c r="J314" s="18">
        <v>16851571</v>
      </c>
      <c r="K314" s="18" t="s">
        <v>487</v>
      </c>
      <c r="L314" s="18" t="s">
        <v>491</v>
      </c>
      <c r="M314" s="33">
        <v>279900</v>
      </c>
      <c r="N314" s="34">
        <v>0.75</v>
      </c>
      <c r="O314" s="7">
        <f t="shared" si="20"/>
        <v>69975</v>
      </c>
      <c r="P314" s="18" t="s">
        <v>16</v>
      </c>
    </row>
    <row r="315" spans="1:16" x14ac:dyDescent="0.35">
      <c r="A315" s="18" t="s">
        <v>991</v>
      </c>
      <c r="B315" s="6">
        <f t="shared" si="24"/>
        <v>46108</v>
      </c>
      <c r="C315" s="6">
        <f t="shared" si="24"/>
        <v>46113</v>
      </c>
      <c r="D315" s="18">
        <v>3249</v>
      </c>
      <c r="E315" s="18">
        <v>332</v>
      </c>
      <c r="F315" s="18">
        <v>3</v>
      </c>
      <c r="G315" s="18">
        <v>3</v>
      </c>
      <c r="H315" s="18">
        <v>81642</v>
      </c>
      <c r="I315" s="18" t="s">
        <v>17</v>
      </c>
      <c r="J315" s="18">
        <v>16851580</v>
      </c>
      <c r="K315" s="18" t="s">
        <v>487</v>
      </c>
      <c r="L315" s="18" t="s">
        <v>492</v>
      </c>
      <c r="M315" s="33">
        <v>279900</v>
      </c>
      <c r="N315" s="34">
        <v>0.75</v>
      </c>
      <c r="O315" s="7">
        <f t="shared" si="20"/>
        <v>69975</v>
      </c>
      <c r="P315" s="18" t="s">
        <v>16</v>
      </c>
    </row>
    <row r="316" spans="1:16" x14ac:dyDescent="0.35">
      <c r="A316" s="18" t="s">
        <v>991</v>
      </c>
      <c r="B316" s="6">
        <f t="shared" si="24"/>
        <v>46108</v>
      </c>
      <c r="C316" s="6">
        <f t="shared" si="24"/>
        <v>46113</v>
      </c>
      <c r="D316" s="18">
        <v>3249</v>
      </c>
      <c r="E316" s="18">
        <v>332</v>
      </c>
      <c r="F316" s="18">
        <v>3</v>
      </c>
      <c r="G316" s="18">
        <v>3</v>
      </c>
      <c r="H316" s="18">
        <v>81642</v>
      </c>
      <c r="I316" s="18" t="s">
        <v>17</v>
      </c>
      <c r="J316" s="18">
        <v>16851599</v>
      </c>
      <c r="K316" s="18" t="s">
        <v>487</v>
      </c>
      <c r="L316" s="18" t="s">
        <v>493</v>
      </c>
      <c r="M316" s="33">
        <v>279900</v>
      </c>
      <c r="N316" s="34">
        <v>0.75</v>
      </c>
      <c r="O316" s="7">
        <f t="shared" si="20"/>
        <v>69975</v>
      </c>
      <c r="P316" s="18" t="s">
        <v>16</v>
      </c>
    </row>
    <row r="317" spans="1:16" x14ac:dyDescent="0.35">
      <c r="A317" s="18" t="s">
        <v>991</v>
      </c>
      <c r="B317" s="6">
        <f t="shared" si="24"/>
        <v>46108</v>
      </c>
      <c r="C317" s="6">
        <f t="shared" si="24"/>
        <v>46113</v>
      </c>
      <c r="D317" s="18">
        <v>3249</v>
      </c>
      <c r="E317" s="18">
        <v>332</v>
      </c>
      <c r="F317" s="18">
        <v>3</v>
      </c>
      <c r="G317" s="18">
        <v>3</v>
      </c>
      <c r="H317" s="18">
        <v>81642</v>
      </c>
      <c r="I317" s="18" t="s">
        <v>17</v>
      </c>
      <c r="J317" s="18">
        <v>16851606</v>
      </c>
      <c r="K317" s="18" t="s">
        <v>487</v>
      </c>
      <c r="L317" s="18" t="s">
        <v>494</v>
      </c>
      <c r="M317" s="33">
        <v>279900</v>
      </c>
      <c r="N317" s="34">
        <v>0.75</v>
      </c>
      <c r="O317" s="7">
        <f t="shared" si="20"/>
        <v>69975</v>
      </c>
      <c r="P317" s="18" t="s">
        <v>16</v>
      </c>
    </row>
    <row r="318" spans="1:16" x14ac:dyDescent="0.35">
      <c r="A318" s="18" t="s">
        <v>991</v>
      </c>
      <c r="B318" s="6">
        <f t="shared" si="24"/>
        <v>46108</v>
      </c>
      <c r="C318" s="6">
        <f t="shared" si="24"/>
        <v>46113</v>
      </c>
      <c r="D318" s="18">
        <v>3249</v>
      </c>
      <c r="E318" s="18">
        <v>332</v>
      </c>
      <c r="F318" s="18">
        <v>3</v>
      </c>
      <c r="G318" s="18">
        <v>3</v>
      </c>
      <c r="H318" s="18">
        <v>81642</v>
      </c>
      <c r="I318" s="18" t="s">
        <v>17</v>
      </c>
      <c r="J318" s="18">
        <v>16851615</v>
      </c>
      <c r="K318" s="18" t="s">
        <v>487</v>
      </c>
      <c r="L318" s="18" t="s">
        <v>495</v>
      </c>
      <c r="M318" s="33">
        <v>279900</v>
      </c>
      <c r="N318" s="34">
        <v>0.75</v>
      </c>
      <c r="O318" s="7">
        <f t="shared" si="20"/>
        <v>69975</v>
      </c>
      <c r="P318" s="18" t="s">
        <v>16</v>
      </c>
    </row>
    <row r="319" spans="1:16" x14ac:dyDescent="0.35">
      <c r="A319" s="18" t="s">
        <v>991</v>
      </c>
      <c r="B319" s="6">
        <f t="shared" si="24"/>
        <v>46108</v>
      </c>
      <c r="C319" s="6">
        <f t="shared" si="24"/>
        <v>46113</v>
      </c>
      <c r="D319" s="18">
        <v>3249</v>
      </c>
      <c r="E319" s="18">
        <v>332</v>
      </c>
      <c r="F319" s="18">
        <v>3</v>
      </c>
      <c r="G319" s="18">
        <v>3</v>
      </c>
      <c r="H319" s="18">
        <v>81642</v>
      </c>
      <c r="I319" s="18" t="s">
        <v>17</v>
      </c>
      <c r="J319" s="18">
        <v>16851704</v>
      </c>
      <c r="K319" s="18" t="s">
        <v>496</v>
      </c>
      <c r="L319" s="18" t="s">
        <v>497</v>
      </c>
      <c r="M319" s="33">
        <v>279900</v>
      </c>
      <c r="N319" s="34">
        <v>0.75</v>
      </c>
      <c r="O319" s="7">
        <f t="shared" si="20"/>
        <v>69975</v>
      </c>
      <c r="P319" s="18" t="s">
        <v>16</v>
      </c>
    </row>
    <row r="320" spans="1:16" x14ac:dyDescent="0.35">
      <c r="A320" s="18" t="s">
        <v>991</v>
      </c>
      <c r="B320" s="6">
        <f t="shared" si="24"/>
        <v>46108</v>
      </c>
      <c r="C320" s="6">
        <f t="shared" si="24"/>
        <v>46113</v>
      </c>
      <c r="D320" s="18">
        <v>3249</v>
      </c>
      <c r="E320" s="18">
        <v>332</v>
      </c>
      <c r="F320" s="18">
        <v>3</v>
      </c>
      <c r="G320" s="18">
        <v>3</v>
      </c>
      <c r="H320" s="18">
        <v>81642</v>
      </c>
      <c r="I320" s="18" t="s">
        <v>17</v>
      </c>
      <c r="J320" s="18">
        <v>16851713</v>
      </c>
      <c r="K320" s="18" t="s">
        <v>496</v>
      </c>
      <c r="L320" s="18" t="s">
        <v>498</v>
      </c>
      <c r="M320" s="33">
        <v>279900</v>
      </c>
      <c r="N320" s="34">
        <v>0.75</v>
      </c>
      <c r="O320" s="7">
        <f t="shared" si="20"/>
        <v>69975</v>
      </c>
      <c r="P320" s="18" t="s">
        <v>16</v>
      </c>
    </row>
    <row r="321" spans="1:16" x14ac:dyDescent="0.35">
      <c r="A321" s="18" t="s">
        <v>991</v>
      </c>
      <c r="B321" s="6">
        <f t="shared" si="24"/>
        <v>46108</v>
      </c>
      <c r="C321" s="6">
        <f t="shared" si="24"/>
        <v>46113</v>
      </c>
      <c r="D321" s="18">
        <v>3249</v>
      </c>
      <c r="E321" s="18">
        <v>332</v>
      </c>
      <c r="F321" s="18">
        <v>3</v>
      </c>
      <c r="G321" s="18">
        <v>3</v>
      </c>
      <c r="H321" s="18">
        <v>81642</v>
      </c>
      <c r="I321" s="18" t="s">
        <v>17</v>
      </c>
      <c r="J321" s="18">
        <v>16851722</v>
      </c>
      <c r="K321" s="18" t="s">
        <v>496</v>
      </c>
      <c r="L321" s="18" t="s">
        <v>499</v>
      </c>
      <c r="M321" s="33">
        <v>279900</v>
      </c>
      <c r="N321" s="34">
        <v>0.75</v>
      </c>
      <c r="O321" s="7">
        <f t="shared" si="20"/>
        <v>69975</v>
      </c>
      <c r="P321" s="18" t="s">
        <v>16</v>
      </c>
    </row>
    <row r="322" spans="1:16" x14ac:dyDescent="0.35">
      <c r="A322" s="18" t="s">
        <v>991</v>
      </c>
      <c r="B322" s="6">
        <f t="shared" si="24"/>
        <v>46108</v>
      </c>
      <c r="C322" s="6">
        <f t="shared" si="24"/>
        <v>46113</v>
      </c>
      <c r="D322" s="18">
        <v>3249</v>
      </c>
      <c r="E322" s="18">
        <v>332</v>
      </c>
      <c r="F322" s="18">
        <v>3</v>
      </c>
      <c r="G322" s="18">
        <v>3</v>
      </c>
      <c r="H322" s="18">
        <v>81642</v>
      </c>
      <c r="I322" s="18" t="s">
        <v>17</v>
      </c>
      <c r="J322" s="18">
        <v>16851731</v>
      </c>
      <c r="K322" s="18" t="s">
        <v>496</v>
      </c>
      <c r="L322" s="18" t="s">
        <v>500</v>
      </c>
      <c r="M322" s="33">
        <v>279900</v>
      </c>
      <c r="N322" s="34">
        <v>0.75</v>
      </c>
      <c r="O322" s="7">
        <f t="shared" ref="O322:O385" si="25">M322-(M322*N322)</f>
        <v>69975</v>
      </c>
      <c r="P322" s="18" t="s">
        <v>16</v>
      </c>
    </row>
    <row r="323" spans="1:16" x14ac:dyDescent="0.35">
      <c r="A323" s="18" t="s">
        <v>991</v>
      </c>
      <c r="B323" s="6">
        <f t="shared" ref="B323:C338" si="26">B322</f>
        <v>46108</v>
      </c>
      <c r="C323" s="6">
        <f t="shared" si="26"/>
        <v>46113</v>
      </c>
      <c r="D323" s="18">
        <v>3249</v>
      </c>
      <c r="E323" s="18">
        <v>332</v>
      </c>
      <c r="F323" s="18">
        <v>3</v>
      </c>
      <c r="G323" s="18">
        <v>3</v>
      </c>
      <c r="H323" s="18">
        <v>81642</v>
      </c>
      <c r="I323" s="18" t="s">
        <v>17</v>
      </c>
      <c r="J323" s="18">
        <v>16851740</v>
      </c>
      <c r="K323" s="18" t="s">
        <v>496</v>
      </c>
      <c r="L323" s="18" t="s">
        <v>501</v>
      </c>
      <c r="M323" s="33">
        <v>279900</v>
      </c>
      <c r="N323" s="34">
        <v>0.75</v>
      </c>
      <c r="O323" s="7">
        <f t="shared" si="25"/>
        <v>69975</v>
      </c>
      <c r="P323" s="18" t="s">
        <v>16</v>
      </c>
    </row>
    <row r="324" spans="1:16" x14ac:dyDescent="0.35">
      <c r="A324" s="18" t="s">
        <v>991</v>
      </c>
      <c r="B324" s="6">
        <f t="shared" si="26"/>
        <v>46108</v>
      </c>
      <c r="C324" s="6">
        <f t="shared" si="26"/>
        <v>46113</v>
      </c>
      <c r="D324" s="18">
        <v>3249</v>
      </c>
      <c r="E324" s="18">
        <v>332</v>
      </c>
      <c r="F324" s="18">
        <v>3</v>
      </c>
      <c r="G324" s="18">
        <v>3</v>
      </c>
      <c r="H324" s="18">
        <v>81642</v>
      </c>
      <c r="I324" s="18" t="s">
        <v>17</v>
      </c>
      <c r="J324" s="18">
        <v>16851759</v>
      </c>
      <c r="K324" s="18" t="s">
        <v>496</v>
      </c>
      <c r="L324" s="18" t="s">
        <v>502</v>
      </c>
      <c r="M324" s="33">
        <v>279900</v>
      </c>
      <c r="N324" s="34">
        <v>0.75</v>
      </c>
      <c r="O324" s="7">
        <f t="shared" si="25"/>
        <v>69975</v>
      </c>
      <c r="P324" s="18" t="s">
        <v>16</v>
      </c>
    </row>
    <row r="325" spans="1:16" x14ac:dyDescent="0.35">
      <c r="A325" s="18" t="s">
        <v>991</v>
      </c>
      <c r="B325" s="6">
        <f t="shared" si="26"/>
        <v>46108</v>
      </c>
      <c r="C325" s="6">
        <f t="shared" si="26"/>
        <v>46113</v>
      </c>
      <c r="D325" s="18">
        <v>3249</v>
      </c>
      <c r="E325" s="18">
        <v>332</v>
      </c>
      <c r="F325" s="18">
        <v>3</v>
      </c>
      <c r="G325" s="18">
        <v>3</v>
      </c>
      <c r="H325" s="18">
        <v>81642</v>
      </c>
      <c r="I325" s="18" t="s">
        <v>17</v>
      </c>
      <c r="J325" s="18">
        <v>16851768</v>
      </c>
      <c r="K325" s="18" t="s">
        <v>496</v>
      </c>
      <c r="L325" s="18" t="s">
        <v>503</v>
      </c>
      <c r="M325" s="33">
        <v>279900</v>
      </c>
      <c r="N325" s="34">
        <v>0.75</v>
      </c>
      <c r="O325" s="7">
        <f t="shared" si="25"/>
        <v>69975</v>
      </c>
      <c r="P325" s="18" t="s">
        <v>16</v>
      </c>
    </row>
    <row r="326" spans="1:16" x14ac:dyDescent="0.35">
      <c r="A326" s="18" t="s">
        <v>991</v>
      </c>
      <c r="B326" s="6">
        <f t="shared" si="26"/>
        <v>46108</v>
      </c>
      <c r="C326" s="6">
        <f t="shared" si="26"/>
        <v>46113</v>
      </c>
      <c r="D326" s="18">
        <v>3249</v>
      </c>
      <c r="E326" s="18">
        <v>332</v>
      </c>
      <c r="F326" s="18">
        <v>3</v>
      </c>
      <c r="G326" s="18">
        <v>3</v>
      </c>
      <c r="H326" s="18">
        <v>81642</v>
      </c>
      <c r="I326" s="18" t="s">
        <v>17</v>
      </c>
      <c r="J326" s="18">
        <v>17076863</v>
      </c>
      <c r="K326" s="18" t="s">
        <v>504</v>
      </c>
      <c r="L326" s="18" t="s">
        <v>505</v>
      </c>
      <c r="M326" s="33">
        <v>279900</v>
      </c>
      <c r="N326" s="34">
        <v>0.75</v>
      </c>
      <c r="O326" s="7">
        <f t="shared" si="25"/>
        <v>69975</v>
      </c>
      <c r="P326" s="18" t="s">
        <v>16</v>
      </c>
    </row>
    <row r="327" spans="1:16" x14ac:dyDescent="0.35">
      <c r="A327" s="18" t="s">
        <v>991</v>
      </c>
      <c r="B327" s="6">
        <f t="shared" si="26"/>
        <v>46108</v>
      </c>
      <c r="C327" s="6">
        <f t="shared" si="26"/>
        <v>46113</v>
      </c>
      <c r="D327" s="18">
        <v>3249</v>
      </c>
      <c r="E327" s="18">
        <v>332</v>
      </c>
      <c r="F327" s="18">
        <v>3</v>
      </c>
      <c r="G327" s="18">
        <v>3</v>
      </c>
      <c r="H327" s="18">
        <v>81642</v>
      </c>
      <c r="I327" s="18" t="s">
        <v>17</v>
      </c>
      <c r="J327" s="18">
        <v>17076872</v>
      </c>
      <c r="K327" s="18" t="s">
        <v>504</v>
      </c>
      <c r="L327" s="18" t="s">
        <v>506</v>
      </c>
      <c r="M327" s="33">
        <v>279900</v>
      </c>
      <c r="N327" s="34">
        <v>0.75</v>
      </c>
      <c r="O327" s="7">
        <f t="shared" si="25"/>
        <v>69975</v>
      </c>
      <c r="P327" s="18" t="s">
        <v>16</v>
      </c>
    </row>
    <row r="328" spans="1:16" x14ac:dyDescent="0.35">
      <c r="A328" s="18" t="s">
        <v>991</v>
      </c>
      <c r="B328" s="6">
        <f t="shared" si="26"/>
        <v>46108</v>
      </c>
      <c r="C328" s="6">
        <f t="shared" si="26"/>
        <v>46113</v>
      </c>
      <c r="D328" s="18">
        <v>3249</v>
      </c>
      <c r="E328" s="18">
        <v>332</v>
      </c>
      <c r="F328" s="18">
        <v>3</v>
      </c>
      <c r="G328" s="18">
        <v>3</v>
      </c>
      <c r="H328" s="18">
        <v>81642</v>
      </c>
      <c r="I328" s="18" t="s">
        <v>17</v>
      </c>
      <c r="J328" s="18">
        <v>17076881</v>
      </c>
      <c r="K328" s="18" t="s">
        <v>504</v>
      </c>
      <c r="L328" s="18" t="s">
        <v>507</v>
      </c>
      <c r="M328" s="33">
        <v>279900</v>
      </c>
      <c r="N328" s="34">
        <v>0.75</v>
      </c>
      <c r="O328" s="7">
        <f t="shared" si="25"/>
        <v>69975</v>
      </c>
      <c r="P328" s="18" t="s">
        <v>16</v>
      </c>
    </row>
    <row r="329" spans="1:16" x14ac:dyDescent="0.35">
      <c r="A329" s="18" t="s">
        <v>991</v>
      </c>
      <c r="B329" s="6">
        <f t="shared" si="26"/>
        <v>46108</v>
      </c>
      <c r="C329" s="6">
        <f t="shared" si="26"/>
        <v>46113</v>
      </c>
      <c r="D329" s="18">
        <v>3249</v>
      </c>
      <c r="E329" s="18">
        <v>332</v>
      </c>
      <c r="F329" s="18">
        <v>3</v>
      </c>
      <c r="G329" s="18">
        <v>3</v>
      </c>
      <c r="H329" s="18">
        <v>81642</v>
      </c>
      <c r="I329" s="18" t="s">
        <v>17</v>
      </c>
      <c r="J329" s="18">
        <v>17076890</v>
      </c>
      <c r="K329" s="18" t="s">
        <v>504</v>
      </c>
      <c r="L329" s="18" t="s">
        <v>508</v>
      </c>
      <c r="M329" s="33">
        <v>279900</v>
      </c>
      <c r="N329" s="34">
        <v>0.75</v>
      </c>
      <c r="O329" s="7">
        <f t="shared" si="25"/>
        <v>69975</v>
      </c>
      <c r="P329" s="18" t="s">
        <v>16</v>
      </c>
    </row>
    <row r="330" spans="1:16" x14ac:dyDescent="0.35">
      <c r="A330" s="18" t="s">
        <v>991</v>
      </c>
      <c r="B330" s="6">
        <f t="shared" si="26"/>
        <v>46108</v>
      </c>
      <c r="C330" s="6">
        <f t="shared" si="26"/>
        <v>46113</v>
      </c>
      <c r="D330" s="18">
        <v>3249</v>
      </c>
      <c r="E330" s="18">
        <v>332</v>
      </c>
      <c r="F330" s="18">
        <v>3</v>
      </c>
      <c r="G330" s="18">
        <v>3</v>
      </c>
      <c r="H330" s="18">
        <v>81642</v>
      </c>
      <c r="I330" s="18" t="s">
        <v>17</v>
      </c>
      <c r="J330" s="18">
        <v>17076907</v>
      </c>
      <c r="K330" s="18" t="s">
        <v>504</v>
      </c>
      <c r="L330" s="18" t="s">
        <v>509</v>
      </c>
      <c r="M330" s="33">
        <v>279900</v>
      </c>
      <c r="N330" s="34">
        <v>0.75</v>
      </c>
      <c r="O330" s="7">
        <f t="shared" si="25"/>
        <v>69975</v>
      </c>
      <c r="P330" s="18" t="s">
        <v>16</v>
      </c>
    </row>
    <row r="331" spans="1:16" x14ac:dyDescent="0.35">
      <c r="A331" s="18" t="s">
        <v>991</v>
      </c>
      <c r="B331" s="6">
        <f t="shared" si="26"/>
        <v>46108</v>
      </c>
      <c r="C331" s="6">
        <f t="shared" si="26"/>
        <v>46113</v>
      </c>
      <c r="D331" s="18">
        <v>3249</v>
      </c>
      <c r="E331" s="18">
        <v>332</v>
      </c>
      <c r="F331" s="18">
        <v>3</v>
      </c>
      <c r="G331" s="18">
        <v>3</v>
      </c>
      <c r="H331" s="18">
        <v>81642</v>
      </c>
      <c r="I331" s="18" t="s">
        <v>17</v>
      </c>
      <c r="J331" s="18">
        <v>17076916</v>
      </c>
      <c r="K331" s="18" t="s">
        <v>504</v>
      </c>
      <c r="L331" s="18" t="s">
        <v>510</v>
      </c>
      <c r="M331" s="33">
        <v>279900</v>
      </c>
      <c r="N331" s="34">
        <v>0.75</v>
      </c>
      <c r="O331" s="7">
        <f t="shared" si="25"/>
        <v>69975</v>
      </c>
      <c r="P331" s="18" t="s">
        <v>16</v>
      </c>
    </row>
    <row r="332" spans="1:16" x14ac:dyDescent="0.35">
      <c r="A332" s="18" t="s">
        <v>991</v>
      </c>
      <c r="B332" s="6">
        <f t="shared" si="26"/>
        <v>46108</v>
      </c>
      <c r="C332" s="6">
        <f t="shared" si="26"/>
        <v>46113</v>
      </c>
      <c r="D332" s="18">
        <v>3249</v>
      </c>
      <c r="E332" s="18">
        <v>332</v>
      </c>
      <c r="F332" s="18">
        <v>3</v>
      </c>
      <c r="G332" s="18">
        <v>3</v>
      </c>
      <c r="H332" s="18">
        <v>81642</v>
      </c>
      <c r="I332" s="18" t="s">
        <v>17</v>
      </c>
      <c r="J332" s="18">
        <v>17076925</v>
      </c>
      <c r="K332" s="18" t="s">
        <v>504</v>
      </c>
      <c r="L332" s="18" t="s">
        <v>511</v>
      </c>
      <c r="M332" s="33">
        <v>279900</v>
      </c>
      <c r="N332" s="34">
        <v>0.75</v>
      </c>
      <c r="O332" s="7">
        <f t="shared" si="25"/>
        <v>69975</v>
      </c>
      <c r="P332" s="18" t="s">
        <v>16</v>
      </c>
    </row>
    <row r="333" spans="1:16" x14ac:dyDescent="0.35">
      <c r="A333" s="18" t="s">
        <v>991</v>
      </c>
      <c r="B333" s="6">
        <f t="shared" si="26"/>
        <v>46108</v>
      </c>
      <c r="C333" s="6">
        <f t="shared" si="26"/>
        <v>46113</v>
      </c>
      <c r="D333" s="18">
        <v>3249</v>
      </c>
      <c r="E333" s="18">
        <v>332</v>
      </c>
      <c r="F333" s="18">
        <v>3</v>
      </c>
      <c r="G333" s="18">
        <v>3</v>
      </c>
      <c r="H333" s="18">
        <v>81642</v>
      </c>
      <c r="I333" s="18" t="s">
        <v>17</v>
      </c>
      <c r="J333" s="18">
        <v>17076934</v>
      </c>
      <c r="K333" s="18" t="s">
        <v>504</v>
      </c>
      <c r="L333" s="18" t="s">
        <v>512</v>
      </c>
      <c r="M333" s="33">
        <v>279900</v>
      </c>
      <c r="N333" s="34">
        <v>0.75</v>
      </c>
      <c r="O333" s="7">
        <f t="shared" si="25"/>
        <v>69975</v>
      </c>
      <c r="P333" s="18" t="s">
        <v>16</v>
      </c>
    </row>
    <row r="334" spans="1:16" x14ac:dyDescent="0.35">
      <c r="A334" s="18" t="s">
        <v>991</v>
      </c>
      <c r="B334" s="6">
        <f t="shared" si="26"/>
        <v>46108</v>
      </c>
      <c r="C334" s="6">
        <f t="shared" si="26"/>
        <v>46113</v>
      </c>
      <c r="D334" s="18">
        <v>3249</v>
      </c>
      <c r="E334" s="18">
        <v>332</v>
      </c>
      <c r="F334" s="18">
        <v>3</v>
      </c>
      <c r="G334" s="18">
        <v>3</v>
      </c>
      <c r="H334" s="18">
        <v>81642</v>
      </c>
      <c r="I334" s="18" t="s">
        <v>17</v>
      </c>
      <c r="J334" s="18">
        <v>17076943</v>
      </c>
      <c r="K334" s="18" t="s">
        <v>504</v>
      </c>
      <c r="L334" s="18" t="s">
        <v>513</v>
      </c>
      <c r="M334" s="33">
        <v>279900</v>
      </c>
      <c r="N334" s="34">
        <v>0.75</v>
      </c>
      <c r="O334" s="7">
        <f t="shared" si="25"/>
        <v>69975</v>
      </c>
      <c r="P334" s="18" t="s">
        <v>16</v>
      </c>
    </row>
    <row r="335" spans="1:16" x14ac:dyDescent="0.35">
      <c r="A335" s="18" t="s">
        <v>991</v>
      </c>
      <c r="B335" s="6">
        <f t="shared" si="26"/>
        <v>46108</v>
      </c>
      <c r="C335" s="6">
        <f t="shared" si="26"/>
        <v>46113</v>
      </c>
      <c r="D335" s="18">
        <v>3249</v>
      </c>
      <c r="E335" s="18">
        <v>332</v>
      </c>
      <c r="F335" s="18">
        <v>3</v>
      </c>
      <c r="G335" s="18">
        <v>3</v>
      </c>
      <c r="H335" s="18">
        <v>81642</v>
      </c>
      <c r="I335" s="18" t="s">
        <v>17</v>
      </c>
      <c r="J335" s="18">
        <v>17076952</v>
      </c>
      <c r="K335" s="18" t="s">
        <v>504</v>
      </c>
      <c r="L335" s="18" t="s">
        <v>514</v>
      </c>
      <c r="M335" s="33">
        <v>279900</v>
      </c>
      <c r="N335" s="34">
        <v>0.75</v>
      </c>
      <c r="O335" s="7">
        <f t="shared" si="25"/>
        <v>69975</v>
      </c>
      <c r="P335" s="18" t="s">
        <v>16</v>
      </c>
    </row>
    <row r="336" spans="1:16" x14ac:dyDescent="0.35">
      <c r="A336" s="18" t="s">
        <v>991</v>
      </c>
      <c r="B336" s="6">
        <f t="shared" si="26"/>
        <v>46108</v>
      </c>
      <c r="C336" s="6">
        <f t="shared" si="26"/>
        <v>46113</v>
      </c>
      <c r="D336" s="18">
        <v>3249</v>
      </c>
      <c r="E336" s="18">
        <v>332</v>
      </c>
      <c r="F336" s="18">
        <v>3</v>
      </c>
      <c r="G336" s="18">
        <v>3</v>
      </c>
      <c r="H336" s="18">
        <v>81642</v>
      </c>
      <c r="I336" s="18" t="s">
        <v>17</v>
      </c>
      <c r="J336" s="18">
        <v>18596291</v>
      </c>
      <c r="K336" s="18" t="s">
        <v>515</v>
      </c>
      <c r="L336" s="18" t="s">
        <v>516</v>
      </c>
      <c r="M336" s="33">
        <v>279900</v>
      </c>
      <c r="N336" s="34">
        <v>0.75</v>
      </c>
      <c r="O336" s="7">
        <f t="shared" si="25"/>
        <v>69975</v>
      </c>
      <c r="P336" s="18" t="s">
        <v>16</v>
      </c>
    </row>
    <row r="337" spans="1:16" x14ac:dyDescent="0.35">
      <c r="A337" s="18" t="s">
        <v>991</v>
      </c>
      <c r="B337" s="6">
        <f t="shared" si="26"/>
        <v>46108</v>
      </c>
      <c r="C337" s="6">
        <f t="shared" si="26"/>
        <v>46113</v>
      </c>
      <c r="D337" s="18">
        <v>3249</v>
      </c>
      <c r="E337" s="18">
        <v>332</v>
      </c>
      <c r="F337" s="18">
        <v>3</v>
      </c>
      <c r="G337" s="18">
        <v>3</v>
      </c>
      <c r="H337" s="18">
        <v>81642</v>
      </c>
      <c r="I337" s="18" t="s">
        <v>17</v>
      </c>
      <c r="J337" s="18">
        <v>18596317</v>
      </c>
      <c r="K337" s="18" t="s">
        <v>515</v>
      </c>
      <c r="L337" s="18" t="s">
        <v>517</v>
      </c>
      <c r="M337" s="33">
        <v>279900</v>
      </c>
      <c r="N337" s="34">
        <v>0.75</v>
      </c>
      <c r="O337" s="7">
        <f t="shared" si="25"/>
        <v>69975</v>
      </c>
      <c r="P337" s="18" t="s">
        <v>16</v>
      </c>
    </row>
    <row r="338" spans="1:16" x14ac:dyDescent="0.35">
      <c r="A338" s="18" t="s">
        <v>991</v>
      </c>
      <c r="B338" s="6">
        <f t="shared" si="26"/>
        <v>46108</v>
      </c>
      <c r="C338" s="6">
        <f t="shared" si="26"/>
        <v>46113</v>
      </c>
      <c r="D338" s="18">
        <v>3249</v>
      </c>
      <c r="E338" s="18">
        <v>332</v>
      </c>
      <c r="F338" s="18">
        <v>3</v>
      </c>
      <c r="G338" s="18">
        <v>3</v>
      </c>
      <c r="H338" s="18">
        <v>81642</v>
      </c>
      <c r="I338" s="18" t="s">
        <v>17</v>
      </c>
      <c r="J338" s="18">
        <v>18596326</v>
      </c>
      <c r="K338" s="18" t="s">
        <v>515</v>
      </c>
      <c r="L338" s="18" t="s">
        <v>518</v>
      </c>
      <c r="M338" s="33">
        <v>279900</v>
      </c>
      <c r="N338" s="34">
        <v>0.75</v>
      </c>
      <c r="O338" s="7">
        <f t="shared" si="25"/>
        <v>69975</v>
      </c>
      <c r="P338" s="18" t="s">
        <v>16</v>
      </c>
    </row>
    <row r="339" spans="1:16" x14ac:dyDescent="0.35">
      <c r="A339" s="18" t="s">
        <v>991</v>
      </c>
      <c r="B339" s="6">
        <f t="shared" ref="B339:C354" si="27">B338</f>
        <v>46108</v>
      </c>
      <c r="C339" s="6">
        <f t="shared" si="27"/>
        <v>46113</v>
      </c>
      <c r="D339" s="18">
        <v>3249</v>
      </c>
      <c r="E339" s="18">
        <v>332</v>
      </c>
      <c r="F339" s="18">
        <v>3</v>
      </c>
      <c r="G339" s="18">
        <v>3</v>
      </c>
      <c r="H339" s="18">
        <v>81642</v>
      </c>
      <c r="I339" s="18" t="s">
        <v>17</v>
      </c>
      <c r="J339" s="18">
        <v>18596335</v>
      </c>
      <c r="K339" s="18" t="s">
        <v>515</v>
      </c>
      <c r="L339" s="18" t="s">
        <v>519</v>
      </c>
      <c r="M339" s="33">
        <v>279900</v>
      </c>
      <c r="N339" s="34">
        <v>0.75</v>
      </c>
      <c r="O339" s="7">
        <f t="shared" si="25"/>
        <v>69975</v>
      </c>
      <c r="P339" s="18" t="s">
        <v>16</v>
      </c>
    </row>
    <row r="340" spans="1:16" x14ac:dyDescent="0.35">
      <c r="A340" s="18" t="s">
        <v>991</v>
      </c>
      <c r="B340" s="6">
        <f t="shared" si="27"/>
        <v>46108</v>
      </c>
      <c r="C340" s="6">
        <f t="shared" si="27"/>
        <v>46113</v>
      </c>
      <c r="D340" s="18">
        <v>3249</v>
      </c>
      <c r="E340" s="18">
        <v>332</v>
      </c>
      <c r="F340" s="18">
        <v>3</v>
      </c>
      <c r="G340" s="18">
        <v>3</v>
      </c>
      <c r="H340" s="18">
        <v>81642</v>
      </c>
      <c r="I340" s="18" t="s">
        <v>17</v>
      </c>
      <c r="J340" s="18">
        <v>18596353</v>
      </c>
      <c r="K340" s="18" t="s">
        <v>515</v>
      </c>
      <c r="L340" s="18" t="s">
        <v>520</v>
      </c>
      <c r="M340" s="33">
        <v>279900</v>
      </c>
      <c r="N340" s="34">
        <v>0.75</v>
      </c>
      <c r="O340" s="7">
        <f t="shared" si="25"/>
        <v>69975</v>
      </c>
      <c r="P340" s="18" t="s">
        <v>16</v>
      </c>
    </row>
    <row r="341" spans="1:16" x14ac:dyDescent="0.35">
      <c r="A341" s="18" t="s">
        <v>991</v>
      </c>
      <c r="B341" s="6">
        <f t="shared" si="27"/>
        <v>46108</v>
      </c>
      <c r="C341" s="6">
        <f t="shared" si="27"/>
        <v>46113</v>
      </c>
      <c r="D341" s="18">
        <v>3249</v>
      </c>
      <c r="E341" s="18">
        <v>332</v>
      </c>
      <c r="F341" s="18">
        <v>3</v>
      </c>
      <c r="G341" s="18">
        <v>3</v>
      </c>
      <c r="H341" s="18">
        <v>81642</v>
      </c>
      <c r="I341" s="18" t="s">
        <v>17</v>
      </c>
      <c r="J341" s="18">
        <v>18596362</v>
      </c>
      <c r="K341" s="18" t="s">
        <v>515</v>
      </c>
      <c r="L341" s="18" t="s">
        <v>521</v>
      </c>
      <c r="M341" s="33">
        <v>279900</v>
      </c>
      <c r="N341" s="34">
        <v>0.75</v>
      </c>
      <c r="O341" s="7">
        <f t="shared" si="25"/>
        <v>69975</v>
      </c>
      <c r="P341" s="18" t="s">
        <v>16</v>
      </c>
    </row>
    <row r="342" spans="1:16" x14ac:dyDescent="0.35">
      <c r="A342" s="18" t="s">
        <v>991</v>
      </c>
      <c r="B342" s="6">
        <f t="shared" si="27"/>
        <v>46108</v>
      </c>
      <c r="C342" s="6">
        <f t="shared" si="27"/>
        <v>46113</v>
      </c>
      <c r="D342" s="18">
        <v>3249</v>
      </c>
      <c r="E342" s="18">
        <v>332</v>
      </c>
      <c r="F342" s="18">
        <v>3</v>
      </c>
      <c r="G342" s="18">
        <v>3</v>
      </c>
      <c r="H342" s="18">
        <v>81642</v>
      </c>
      <c r="I342" s="18" t="s">
        <v>17</v>
      </c>
      <c r="J342" s="18">
        <v>18596371</v>
      </c>
      <c r="K342" s="18" t="s">
        <v>515</v>
      </c>
      <c r="L342" s="18" t="s">
        <v>522</v>
      </c>
      <c r="M342" s="33">
        <v>279900</v>
      </c>
      <c r="N342" s="34">
        <v>0.75</v>
      </c>
      <c r="O342" s="7">
        <f t="shared" si="25"/>
        <v>69975</v>
      </c>
      <c r="P342" s="18" t="s">
        <v>16</v>
      </c>
    </row>
    <row r="343" spans="1:16" x14ac:dyDescent="0.35">
      <c r="A343" s="18" t="s">
        <v>991</v>
      </c>
      <c r="B343" s="6">
        <f t="shared" si="27"/>
        <v>46108</v>
      </c>
      <c r="C343" s="6">
        <f t="shared" si="27"/>
        <v>46113</v>
      </c>
      <c r="D343" s="18">
        <v>3249</v>
      </c>
      <c r="E343" s="18">
        <v>332</v>
      </c>
      <c r="F343" s="18">
        <v>3</v>
      </c>
      <c r="G343" s="18">
        <v>3</v>
      </c>
      <c r="H343" s="18">
        <v>81642</v>
      </c>
      <c r="I343" s="18" t="s">
        <v>17</v>
      </c>
      <c r="J343" s="18">
        <v>18596399</v>
      </c>
      <c r="K343" s="18" t="s">
        <v>515</v>
      </c>
      <c r="L343" s="18" t="s">
        <v>523</v>
      </c>
      <c r="M343" s="33">
        <v>279900</v>
      </c>
      <c r="N343" s="34">
        <v>0.75</v>
      </c>
      <c r="O343" s="7">
        <f t="shared" si="25"/>
        <v>69975</v>
      </c>
      <c r="P343" s="18" t="s">
        <v>16</v>
      </c>
    </row>
    <row r="344" spans="1:16" x14ac:dyDescent="0.35">
      <c r="A344" s="18" t="s">
        <v>991</v>
      </c>
      <c r="B344" s="6">
        <f t="shared" si="27"/>
        <v>46108</v>
      </c>
      <c r="C344" s="6">
        <f t="shared" si="27"/>
        <v>46113</v>
      </c>
      <c r="D344" s="18">
        <v>3249</v>
      </c>
      <c r="E344" s="18">
        <v>332</v>
      </c>
      <c r="F344" s="18">
        <v>3</v>
      </c>
      <c r="G344" s="18">
        <v>3</v>
      </c>
      <c r="H344" s="18">
        <v>81642</v>
      </c>
      <c r="I344" s="18" t="s">
        <v>17</v>
      </c>
      <c r="J344" s="18">
        <v>18609517</v>
      </c>
      <c r="K344" s="18" t="s">
        <v>524</v>
      </c>
      <c r="L344" s="18" t="s">
        <v>525</v>
      </c>
      <c r="M344" s="33">
        <v>279900</v>
      </c>
      <c r="N344" s="34">
        <v>0.75</v>
      </c>
      <c r="O344" s="7">
        <f t="shared" si="25"/>
        <v>69975</v>
      </c>
      <c r="P344" s="18" t="s">
        <v>16</v>
      </c>
    </row>
    <row r="345" spans="1:16" x14ac:dyDescent="0.35">
      <c r="A345" s="18" t="s">
        <v>991</v>
      </c>
      <c r="B345" s="6">
        <f t="shared" si="27"/>
        <v>46108</v>
      </c>
      <c r="C345" s="6">
        <f t="shared" si="27"/>
        <v>46113</v>
      </c>
      <c r="D345" s="18">
        <v>3249</v>
      </c>
      <c r="E345" s="18">
        <v>332</v>
      </c>
      <c r="F345" s="18">
        <v>3</v>
      </c>
      <c r="G345" s="18">
        <v>3</v>
      </c>
      <c r="H345" s="18">
        <v>81642</v>
      </c>
      <c r="I345" s="18" t="s">
        <v>17</v>
      </c>
      <c r="J345" s="18">
        <v>18609535</v>
      </c>
      <c r="K345" s="18" t="s">
        <v>524</v>
      </c>
      <c r="L345" s="18" t="s">
        <v>526</v>
      </c>
      <c r="M345" s="33">
        <v>279900</v>
      </c>
      <c r="N345" s="34">
        <v>0.75</v>
      </c>
      <c r="O345" s="7">
        <f t="shared" si="25"/>
        <v>69975</v>
      </c>
      <c r="P345" s="18" t="s">
        <v>16</v>
      </c>
    </row>
    <row r="346" spans="1:16" x14ac:dyDescent="0.35">
      <c r="A346" s="18" t="s">
        <v>991</v>
      </c>
      <c r="B346" s="6">
        <f t="shared" si="27"/>
        <v>46108</v>
      </c>
      <c r="C346" s="6">
        <f t="shared" si="27"/>
        <v>46113</v>
      </c>
      <c r="D346" s="18">
        <v>3249</v>
      </c>
      <c r="E346" s="18">
        <v>332</v>
      </c>
      <c r="F346" s="18">
        <v>3</v>
      </c>
      <c r="G346" s="18">
        <v>3</v>
      </c>
      <c r="H346" s="18">
        <v>81642</v>
      </c>
      <c r="I346" s="18" t="s">
        <v>17</v>
      </c>
      <c r="J346" s="18">
        <v>18609544</v>
      </c>
      <c r="K346" s="18" t="s">
        <v>524</v>
      </c>
      <c r="L346" s="18" t="s">
        <v>527</v>
      </c>
      <c r="M346" s="33">
        <v>279900</v>
      </c>
      <c r="N346" s="34">
        <v>0.75</v>
      </c>
      <c r="O346" s="7">
        <f t="shared" si="25"/>
        <v>69975</v>
      </c>
      <c r="P346" s="18" t="s">
        <v>16</v>
      </c>
    </row>
    <row r="347" spans="1:16" x14ac:dyDescent="0.35">
      <c r="A347" s="18" t="s">
        <v>991</v>
      </c>
      <c r="B347" s="6">
        <f t="shared" si="27"/>
        <v>46108</v>
      </c>
      <c r="C347" s="6">
        <f t="shared" si="27"/>
        <v>46113</v>
      </c>
      <c r="D347" s="18">
        <v>3249</v>
      </c>
      <c r="E347" s="18">
        <v>332</v>
      </c>
      <c r="F347" s="18">
        <v>3</v>
      </c>
      <c r="G347" s="18">
        <v>3</v>
      </c>
      <c r="H347" s="18">
        <v>81642</v>
      </c>
      <c r="I347" s="18" t="s">
        <v>17</v>
      </c>
      <c r="J347" s="18">
        <v>18609562</v>
      </c>
      <c r="K347" s="18" t="s">
        <v>524</v>
      </c>
      <c r="L347" s="18" t="s">
        <v>528</v>
      </c>
      <c r="M347" s="33">
        <v>279900</v>
      </c>
      <c r="N347" s="34">
        <v>0.75</v>
      </c>
      <c r="O347" s="7">
        <f t="shared" si="25"/>
        <v>69975</v>
      </c>
      <c r="P347" s="18" t="s">
        <v>16</v>
      </c>
    </row>
    <row r="348" spans="1:16" x14ac:dyDescent="0.35">
      <c r="A348" s="18" t="s">
        <v>991</v>
      </c>
      <c r="B348" s="6">
        <f t="shared" si="27"/>
        <v>46108</v>
      </c>
      <c r="C348" s="6">
        <f t="shared" si="27"/>
        <v>46113</v>
      </c>
      <c r="D348" s="18">
        <v>3249</v>
      </c>
      <c r="E348" s="18">
        <v>332</v>
      </c>
      <c r="F348" s="18">
        <v>3</v>
      </c>
      <c r="G348" s="18">
        <v>3</v>
      </c>
      <c r="H348" s="18">
        <v>81642</v>
      </c>
      <c r="I348" s="18" t="s">
        <v>17</v>
      </c>
      <c r="J348" s="18">
        <v>18609571</v>
      </c>
      <c r="K348" s="18" t="s">
        <v>524</v>
      </c>
      <c r="L348" s="18" t="s">
        <v>529</v>
      </c>
      <c r="M348" s="33">
        <v>279900</v>
      </c>
      <c r="N348" s="34">
        <v>0.75</v>
      </c>
      <c r="O348" s="7">
        <f t="shared" si="25"/>
        <v>69975</v>
      </c>
      <c r="P348" s="18" t="s">
        <v>16</v>
      </c>
    </row>
    <row r="349" spans="1:16" x14ac:dyDescent="0.35">
      <c r="A349" s="18" t="s">
        <v>991</v>
      </c>
      <c r="B349" s="6">
        <f t="shared" si="27"/>
        <v>46108</v>
      </c>
      <c r="C349" s="6">
        <f t="shared" si="27"/>
        <v>46113</v>
      </c>
      <c r="D349" s="18">
        <v>3249</v>
      </c>
      <c r="E349" s="18">
        <v>332</v>
      </c>
      <c r="F349" s="18">
        <v>3</v>
      </c>
      <c r="G349" s="18">
        <v>3</v>
      </c>
      <c r="H349" s="18">
        <v>81642</v>
      </c>
      <c r="I349" s="18" t="s">
        <v>17</v>
      </c>
      <c r="J349" s="18">
        <v>18609580</v>
      </c>
      <c r="K349" s="18" t="s">
        <v>524</v>
      </c>
      <c r="L349" s="18" t="s">
        <v>530</v>
      </c>
      <c r="M349" s="33">
        <v>279900</v>
      </c>
      <c r="N349" s="34">
        <v>0.75</v>
      </c>
      <c r="O349" s="7">
        <f t="shared" si="25"/>
        <v>69975</v>
      </c>
      <c r="P349" s="18" t="s">
        <v>16</v>
      </c>
    </row>
    <row r="350" spans="1:16" x14ac:dyDescent="0.35">
      <c r="A350" s="18" t="s">
        <v>991</v>
      </c>
      <c r="B350" s="6">
        <f t="shared" si="27"/>
        <v>46108</v>
      </c>
      <c r="C350" s="6">
        <f t="shared" si="27"/>
        <v>46113</v>
      </c>
      <c r="D350" s="18">
        <v>3249</v>
      </c>
      <c r="E350" s="18">
        <v>332</v>
      </c>
      <c r="F350" s="18">
        <v>3</v>
      </c>
      <c r="G350" s="18">
        <v>3</v>
      </c>
      <c r="H350" s="18">
        <v>81642</v>
      </c>
      <c r="I350" s="18" t="s">
        <v>17</v>
      </c>
      <c r="J350" s="18">
        <v>18609599</v>
      </c>
      <c r="K350" s="18" t="s">
        <v>524</v>
      </c>
      <c r="L350" s="18" t="s">
        <v>531</v>
      </c>
      <c r="M350" s="33">
        <v>279900</v>
      </c>
      <c r="N350" s="34">
        <v>0.75</v>
      </c>
      <c r="O350" s="7">
        <f t="shared" si="25"/>
        <v>69975</v>
      </c>
      <c r="P350" s="18" t="s">
        <v>16</v>
      </c>
    </row>
    <row r="351" spans="1:16" x14ac:dyDescent="0.35">
      <c r="A351" s="18" t="s">
        <v>991</v>
      </c>
      <c r="B351" s="6">
        <f t="shared" si="27"/>
        <v>46108</v>
      </c>
      <c r="C351" s="6">
        <f t="shared" si="27"/>
        <v>46113</v>
      </c>
      <c r="D351" s="18">
        <v>3249</v>
      </c>
      <c r="E351" s="18">
        <v>332</v>
      </c>
      <c r="F351" s="18">
        <v>3</v>
      </c>
      <c r="G351" s="18">
        <v>3</v>
      </c>
      <c r="H351" s="18">
        <v>81642</v>
      </c>
      <c r="I351" s="18" t="s">
        <v>17</v>
      </c>
      <c r="J351" s="18">
        <v>18609606</v>
      </c>
      <c r="K351" s="18" t="s">
        <v>524</v>
      </c>
      <c r="L351" s="18" t="s">
        <v>532</v>
      </c>
      <c r="M351" s="33">
        <v>279900</v>
      </c>
      <c r="N351" s="34">
        <v>0.75</v>
      </c>
      <c r="O351" s="7">
        <f t="shared" si="25"/>
        <v>69975</v>
      </c>
      <c r="P351" s="18" t="s">
        <v>16</v>
      </c>
    </row>
    <row r="352" spans="1:16" x14ac:dyDescent="0.35">
      <c r="A352" s="18" t="s">
        <v>991</v>
      </c>
      <c r="B352" s="6">
        <f t="shared" si="27"/>
        <v>46108</v>
      </c>
      <c r="C352" s="6">
        <f t="shared" si="27"/>
        <v>46113</v>
      </c>
      <c r="D352" s="18">
        <v>3249</v>
      </c>
      <c r="E352" s="18">
        <v>332</v>
      </c>
      <c r="F352" s="18">
        <v>3</v>
      </c>
      <c r="G352" s="18">
        <v>3</v>
      </c>
      <c r="H352" s="18">
        <v>81642</v>
      </c>
      <c r="I352" s="18" t="s">
        <v>17</v>
      </c>
      <c r="J352" s="18">
        <v>20181279</v>
      </c>
      <c r="K352" s="18" t="s">
        <v>533</v>
      </c>
      <c r="L352" s="18" t="s">
        <v>534</v>
      </c>
      <c r="M352" s="33">
        <v>99000</v>
      </c>
      <c r="N352" s="34">
        <v>0.75</v>
      </c>
      <c r="O352" s="7">
        <f t="shared" si="25"/>
        <v>24750</v>
      </c>
      <c r="P352" s="18" t="s">
        <v>16</v>
      </c>
    </row>
    <row r="353" spans="1:16" x14ac:dyDescent="0.35">
      <c r="A353" s="18" t="s">
        <v>991</v>
      </c>
      <c r="B353" s="6">
        <f t="shared" si="27"/>
        <v>46108</v>
      </c>
      <c r="C353" s="6">
        <f t="shared" si="27"/>
        <v>46113</v>
      </c>
      <c r="D353" s="18">
        <v>3249</v>
      </c>
      <c r="E353" s="18">
        <v>332</v>
      </c>
      <c r="F353" s="18">
        <v>3</v>
      </c>
      <c r="G353" s="18">
        <v>4</v>
      </c>
      <c r="H353" s="18">
        <v>81642</v>
      </c>
      <c r="I353" s="18" t="s">
        <v>17</v>
      </c>
      <c r="J353" s="18">
        <v>17172688</v>
      </c>
      <c r="K353" s="18" t="s">
        <v>535</v>
      </c>
      <c r="L353" s="18" t="s">
        <v>536</v>
      </c>
      <c r="M353" s="33">
        <v>199900</v>
      </c>
      <c r="N353" s="34">
        <v>0.75</v>
      </c>
      <c r="O353" s="7">
        <f t="shared" si="25"/>
        <v>49975</v>
      </c>
      <c r="P353" s="18" t="s">
        <v>16</v>
      </c>
    </row>
    <row r="354" spans="1:16" x14ac:dyDescent="0.35">
      <c r="A354" s="18" t="s">
        <v>991</v>
      </c>
      <c r="B354" s="6">
        <f t="shared" si="27"/>
        <v>46108</v>
      </c>
      <c r="C354" s="6">
        <f t="shared" si="27"/>
        <v>46113</v>
      </c>
      <c r="D354" s="18">
        <v>3249</v>
      </c>
      <c r="E354" s="18">
        <v>332</v>
      </c>
      <c r="F354" s="18">
        <v>3</v>
      </c>
      <c r="G354" s="18">
        <v>4</v>
      </c>
      <c r="H354" s="18">
        <v>81642</v>
      </c>
      <c r="I354" s="18" t="s">
        <v>17</v>
      </c>
      <c r="J354" s="18">
        <v>17172697</v>
      </c>
      <c r="K354" s="18" t="s">
        <v>535</v>
      </c>
      <c r="L354" s="18" t="s">
        <v>537</v>
      </c>
      <c r="M354" s="33">
        <v>199900</v>
      </c>
      <c r="N354" s="34">
        <v>0.75</v>
      </c>
      <c r="O354" s="7">
        <f t="shared" si="25"/>
        <v>49975</v>
      </c>
      <c r="P354" s="18" t="s">
        <v>16</v>
      </c>
    </row>
    <row r="355" spans="1:16" x14ac:dyDescent="0.35">
      <c r="A355" s="18" t="s">
        <v>991</v>
      </c>
      <c r="B355" s="6">
        <f t="shared" ref="B355:C370" si="28">B354</f>
        <v>46108</v>
      </c>
      <c r="C355" s="6">
        <f t="shared" si="28"/>
        <v>46113</v>
      </c>
      <c r="D355" s="18">
        <v>3249</v>
      </c>
      <c r="E355" s="18">
        <v>332</v>
      </c>
      <c r="F355" s="18">
        <v>3</v>
      </c>
      <c r="G355" s="18">
        <v>4</v>
      </c>
      <c r="H355" s="18">
        <v>81642</v>
      </c>
      <c r="I355" s="18" t="s">
        <v>17</v>
      </c>
      <c r="J355" s="18">
        <v>17172704</v>
      </c>
      <c r="K355" s="18" t="s">
        <v>535</v>
      </c>
      <c r="L355" s="18" t="s">
        <v>538</v>
      </c>
      <c r="M355" s="33">
        <v>199900</v>
      </c>
      <c r="N355" s="34">
        <v>0.75</v>
      </c>
      <c r="O355" s="7">
        <f t="shared" si="25"/>
        <v>49975</v>
      </c>
      <c r="P355" s="18" t="s">
        <v>16</v>
      </c>
    </row>
    <row r="356" spans="1:16" x14ac:dyDescent="0.35">
      <c r="A356" s="18" t="s">
        <v>991</v>
      </c>
      <c r="B356" s="6">
        <f t="shared" si="28"/>
        <v>46108</v>
      </c>
      <c r="C356" s="6">
        <f t="shared" si="28"/>
        <v>46113</v>
      </c>
      <c r="D356" s="18">
        <v>3249</v>
      </c>
      <c r="E356" s="18">
        <v>332</v>
      </c>
      <c r="F356" s="18">
        <v>3</v>
      </c>
      <c r="G356" s="18">
        <v>4</v>
      </c>
      <c r="H356" s="18">
        <v>81642</v>
      </c>
      <c r="I356" s="18" t="s">
        <v>17</v>
      </c>
      <c r="J356" s="18">
        <v>17172713</v>
      </c>
      <c r="K356" s="18" t="s">
        <v>535</v>
      </c>
      <c r="L356" s="18" t="s">
        <v>539</v>
      </c>
      <c r="M356" s="33">
        <v>199900</v>
      </c>
      <c r="N356" s="34">
        <v>0.75</v>
      </c>
      <c r="O356" s="7">
        <f t="shared" si="25"/>
        <v>49975</v>
      </c>
      <c r="P356" s="18" t="s">
        <v>16</v>
      </c>
    </row>
    <row r="357" spans="1:16" x14ac:dyDescent="0.35">
      <c r="A357" s="18" t="s">
        <v>991</v>
      </c>
      <c r="B357" s="6">
        <f t="shared" si="28"/>
        <v>46108</v>
      </c>
      <c r="C357" s="6">
        <f t="shared" si="28"/>
        <v>46113</v>
      </c>
      <c r="D357" s="18">
        <v>3249</v>
      </c>
      <c r="E357" s="18">
        <v>332</v>
      </c>
      <c r="F357" s="18">
        <v>3</v>
      </c>
      <c r="G357" s="18">
        <v>4</v>
      </c>
      <c r="H357" s="18">
        <v>81642</v>
      </c>
      <c r="I357" s="18" t="s">
        <v>17</v>
      </c>
      <c r="J357" s="18">
        <v>17172722</v>
      </c>
      <c r="K357" s="18" t="s">
        <v>535</v>
      </c>
      <c r="L357" s="18" t="s">
        <v>540</v>
      </c>
      <c r="M357" s="33">
        <v>199900</v>
      </c>
      <c r="N357" s="34">
        <v>0.75</v>
      </c>
      <c r="O357" s="7">
        <f t="shared" si="25"/>
        <v>49975</v>
      </c>
      <c r="P357" s="18" t="s">
        <v>16</v>
      </c>
    </row>
    <row r="358" spans="1:16" x14ac:dyDescent="0.35">
      <c r="A358" s="18" t="s">
        <v>991</v>
      </c>
      <c r="B358" s="6">
        <f t="shared" si="28"/>
        <v>46108</v>
      </c>
      <c r="C358" s="6">
        <f t="shared" si="28"/>
        <v>46113</v>
      </c>
      <c r="D358" s="18">
        <v>3249</v>
      </c>
      <c r="E358" s="18">
        <v>332</v>
      </c>
      <c r="F358" s="18">
        <v>3</v>
      </c>
      <c r="G358" s="18">
        <v>4</v>
      </c>
      <c r="H358" s="18">
        <v>81642</v>
      </c>
      <c r="I358" s="18" t="s">
        <v>17</v>
      </c>
      <c r="J358" s="18">
        <v>17172731</v>
      </c>
      <c r="K358" s="18" t="s">
        <v>535</v>
      </c>
      <c r="L358" s="18" t="s">
        <v>541</v>
      </c>
      <c r="M358" s="33">
        <v>199900</v>
      </c>
      <c r="N358" s="34">
        <v>0.75</v>
      </c>
      <c r="O358" s="7">
        <f t="shared" si="25"/>
        <v>49975</v>
      </c>
      <c r="P358" s="18" t="s">
        <v>16</v>
      </c>
    </row>
    <row r="359" spans="1:16" x14ac:dyDescent="0.35">
      <c r="A359" s="18" t="s">
        <v>991</v>
      </c>
      <c r="B359" s="6">
        <f t="shared" si="28"/>
        <v>46108</v>
      </c>
      <c r="C359" s="6">
        <f t="shared" si="28"/>
        <v>46113</v>
      </c>
      <c r="D359" s="18">
        <v>3249</v>
      </c>
      <c r="E359" s="18">
        <v>332</v>
      </c>
      <c r="F359" s="18">
        <v>3</v>
      </c>
      <c r="G359" s="18">
        <v>4</v>
      </c>
      <c r="H359" s="18">
        <v>81642</v>
      </c>
      <c r="I359" s="18" t="s">
        <v>17</v>
      </c>
      <c r="J359" s="18">
        <v>17175827</v>
      </c>
      <c r="K359" s="18" t="s">
        <v>542</v>
      </c>
      <c r="L359" s="18" t="s">
        <v>543</v>
      </c>
      <c r="M359" s="33">
        <v>249900</v>
      </c>
      <c r="N359" s="34">
        <v>0.75</v>
      </c>
      <c r="O359" s="7">
        <f t="shared" si="25"/>
        <v>62475</v>
      </c>
      <c r="P359" s="18" t="s">
        <v>16</v>
      </c>
    </row>
    <row r="360" spans="1:16" x14ac:dyDescent="0.35">
      <c r="A360" s="18" t="s">
        <v>991</v>
      </c>
      <c r="B360" s="6">
        <f t="shared" si="28"/>
        <v>46108</v>
      </c>
      <c r="C360" s="6">
        <f t="shared" si="28"/>
        <v>46113</v>
      </c>
      <c r="D360" s="18">
        <v>3249</v>
      </c>
      <c r="E360" s="18">
        <v>332</v>
      </c>
      <c r="F360" s="18">
        <v>3</v>
      </c>
      <c r="G360" s="18">
        <v>4</v>
      </c>
      <c r="H360" s="18">
        <v>81642</v>
      </c>
      <c r="I360" s="18" t="s">
        <v>17</v>
      </c>
      <c r="J360" s="18">
        <v>17311634</v>
      </c>
      <c r="K360" s="18" t="s">
        <v>544</v>
      </c>
      <c r="L360" s="18" t="s">
        <v>545</v>
      </c>
      <c r="M360" s="33">
        <v>199900</v>
      </c>
      <c r="N360" s="34">
        <v>0.75</v>
      </c>
      <c r="O360" s="7">
        <f t="shared" si="25"/>
        <v>49975</v>
      </c>
      <c r="P360" s="18" t="s">
        <v>16</v>
      </c>
    </row>
    <row r="361" spans="1:16" x14ac:dyDescent="0.35">
      <c r="A361" s="18" t="s">
        <v>991</v>
      </c>
      <c r="B361" s="6">
        <f t="shared" si="28"/>
        <v>46108</v>
      </c>
      <c r="C361" s="6">
        <f t="shared" si="28"/>
        <v>46113</v>
      </c>
      <c r="D361" s="18">
        <v>3249</v>
      </c>
      <c r="E361" s="18">
        <v>332</v>
      </c>
      <c r="F361" s="18">
        <v>3</v>
      </c>
      <c r="G361" s="18">
        <v>4</v>
      </c>
      <c r="H361" s="18">
        <v>81642</v>
      </c>
      <c r="I361" s="18" t="s">
        <v>17</v>
      </c>
      <c r="J361" s="18">
        <v>17311643</v>
      </c>
      <c r="K361" s="18" t="s">
        <v>544</v>
      </c>
      <c r="L361" s="18" t="s">
        <v>546</v>
      </c>
      <c r="M361" s="33">
        <v>199900</v>
      </c>
      <c r="N361" s="34">
        <v>0.75</v>
      </c>
      <c r="O361" s="7">
        <f t="shared" si="25"/>
        <v>49975</v>
      </c>
      <c r="P361" s="18" t="s">
        <v>16</v>
      </c>
    </row>
    <row r="362" spans="1:16" x14ac:dyDescent="0.35">
      <c r="A362" s="18" t="s">
        <v>991</v>
      </c>
      <c r="B362" s="6">
        <f t="shared" si="28"/>
        <v>46108</v>
      </c>
      <c r="C362" s="6">
        <f t="shared" si="28"/>
        <v>46113</v>
      </c>
      <c r="D362" s="18">
        <v>3249</v>
      </c>
      <c r="E362" s="18">
        <v>332</v>
      </c>
      <c r="F362" s="18">
        <v>3</v>
      </c>
      <c r="G362" s="18">
        <v>4</v>
      </c>
      <c r="H362" s="18">
        <v>81642</v>
      </c>
      <c r="I362" s="18" t="s">
        <v>17</v>
      </c>
      <c r="J362" s="18">
        <v>17311652</v>
      </c>
      <c r="K362" s="18" t="s">
        <v>544</v>
      </c>
      <c r="L362" s="18" t="s">
        <v>547</v>
      </c>
      <c r="M362" s="33">
        <v>199900</v>
      </c>
      <c r="N362" s="34">
        <v>0.75</v>
      </c>
      <c r="O362" s="7">
        <f t="shared" si="25"/>
        <v>49975</v>
      </c>
      <c r="P362" s="18" t="s">
        <v>16</v>
      </c>
    </row>
    <row r="363" spans="1:16" x14ac:dyDescent="0.35">
      <c r="A363" s="18" t="s">
        <v>991</v>
      </c>
      <c r="B363" s="6">
        <f t="shared" si="28"/>
        <v>46108</v>
      </c>
      <c r="C363" s="6">
        <f t="shared" si="28"/>
        <v>46113</v>
      </c>
      <c r="D363" s="18">
        <v>3249</v>
      </c>
      <c r="E363" s="18">
        <v>332</v>
      </c>
      <c r="F363" s="18">
        <v>3</v>
      </c>
      <c r="G363" s="18">
        <v>4</v>
      </c>
      <c r="H363" s="18">
        <v>81642</v>
      </c>
      <c r="I363" s="18" t="s">
        <v>17</v>
      </c>
      <c r="J363" s="18">
        <v>17311661</v>
      </c>
      <c r="K363" s="18" t="s">
        <v>544</v>
      </c>
      <c r="L363" s="18" t="s">
        <v>548</v>
      </c>
      <c r="M363" s="33">
        <v>199900</v>
      </c>
      <c r="N363" s="34">
        <v>0.75</v>
      </c>
      <c r="O363" s="7">
        <f t="shared" si="25"/>
        <v>49975</v>
      </c>
      <c r="P363" s="18" t="s">
        <v>16</v>
      </c>
    </row>
    <row r="364" spans="1:16" x14ac:dyDescent="0.35">
      <c r="A364" s="18" t="s">
        <v>991</v>
      </c>
      <c r="B364" s="6">
        <f t="shared" si="28"/>
        <v>46108</v>
      </c>
      <c r="C364" s="6">
        <f t="shared" si="28"/>
        <v>46113</v>
      </c>
      <c r="D364" s="18">
        <v>3249</v>
      </c>
      <c r="E364" s="18">
        <v>332</v>
      </c>
      <c r="F364" s="18">
        <v>3</v>
      </c>
      <c r="G364" s="18">
        <v>4</v>
      </c>
      <c r="H364" s="18">
        <v>81642</v>
      </c>
      <c r="I364" s="18" t="s">
        <v>17</v>
      </c>
      <c r="J364" s="18">
        <v>17311670</v>
      </c>
      <c r="K364" s="18" t="s">
        <v>544</v>
      </c>
      <c r="L364" s="18" t="s">
        <v>549</v>
      </c>
      <c r="M364" s="33">
        <v>199900</v>
      </c>
      <c r="N364" s="34">
        <v>0.75</v>
      </c>
      <c r="O364" s="7">
        <f t="shared" si="25"/>
        <v>49975</v>
      </c>
      <c r="P364" s="18" t="s">
        <v>16</v>
      </c>
    </row>
    <row r="365" spans="1:16" x14ac:dyDescent="0.35">
      <c r="A365" s="18" t="s">
        <v>991</v>
      </c>
      <c r="B365" s="6">
        <f t="shared" si="28"/>
        <v>46108</v>
      </c>
      <c r="C365" s="6">
        <f t="shared" si="28"/>
        <v>46113</v>
      </c>
      <c r="D365" s="18">
        <v>3249</v>
      </c>
      <c r="E365" s="18">
        <v>332</v>
      </c>
      <c r="F365" s="18">
        <v>3</v>
      </c>
      <c r="G365" s="18">
        <v>4</v>
      </c>
      <c r="H365" s="18">
        <v>81642</v>
      </c>
      <c r="I365" s="18" t="s">
        <v>17</v>
      </c>
      <c r="J365" s="18">
        <v>17311689</v>
      </c>
      <c r="K365" s="18" t="s">
        <v>544</v>
      </c>
      <c r="L365" s="18" t="s">
        <v>550</v>
      </c>
      <c r="M365" s="33">
        <v>199900</v>
      </c>
      <c r="N365" s="34">
        <v>0.75</v>
      </c>
      <c r="O365" s="7">
        <f t="shared" si="25"/>
        <v>49975</v>
      </c>
      <c r="P365" s="18" t="s">
        <v>16</v>
      </c>
    </row>
    <row r="366" spans="1:16" x14ac:dyDescent="0.35">
      <c r="A366" s="18" t="s">
        <v>991</v>
      </c>
      <c r="B366" s="6">
        <f t="shared" si="28"/>
        <v>46108</v>
      </c>
      <c r="C366" s="6">
        <f t="shared" si="28"/>
        <v>46113</v>
      </c>
      <c r="D366" s="18">
        <v>3249</v>
      </c>
      <c r="E366" s="18">
        <v>332</v>
      </c>
      <c r="F366" s="18">
        <v>3</v>
      </c>
      <c r="G366" s="18">
        <v>4</v>
      </c>
      <c r="H366" s="18">
        <v>81642</v>
      </c>
      <c r="I366" s="18" t="s">
        <v>17</v>
      </c>
      <c r="J366" s="18">
        <v>33461077</v>
      </c>
      <c r="K366" s="18" t="s">
        <v>535</v>
      </c>
      <c r="L366" s="18" t="s">
        <v>551</v>
      </c>
      <c r="M366" s="33">
        <v>199900</v>
      </c>
      <c r="N366" s="34">
        <v>0.75</v>
      </c>
      <c r="O366" s="7">
        <f t="shared" si="25"/>
        <v>49975</v>
      </c>
      <c r="P366" s="18" t="s">
        <v>16</v>
      </c>
    </row>
    <row r="367" spans="1:16" x14ac:dyDescent="0.35">
      <c r="A367" s="18" t="s">
        <v>991</v>
      </c>
      <c r="B367" s="6">
        <f t="shared" si="28"/>
        <v>46108</v>
      </c>
      <c r="C367" s="6">
        <f t="shared" si="28"/>
        <v>46113</v>
      </c>
      <c r="D367" s="18">
        <v>3249</v>
      </c>
      <c r="E367" s="18">
        <v>332</v>
      </c>
      <c r="F367" s="18">
        <v>3</v>
      </c>
      <c r="G367" s="18">
        <v>4</v>
      </c>
      <c r="H367" s="18">
        <v>81642</v>
      </c>
      <c r="I367" s="18" t="s">
        <v>17</v>
      </c>
      <c r="J367" s="18">
        <v>79675831</v>
      </c>
      <c r="K367" s="18" t="s">
        <v>552</v>
      </c>
      <c r="L367" s="18" t="s">
        <v>553</v>
      </c>
      <c r="M367" s="33">
        <v>179900</v>
      </c>
      <c r="N367" s="34">
        <v>0.75</v>
      </c>
      <c r="O367" s="7">
        <f t="shared" si="25"/>
        <v>44975</v>
      </c>
      <c r="P367" s="18" t="s">
        <v>16</v>
      </c>
    </row>
    <row r="368" spans="1:16" x14ac:dyDescent="0.35">
      <c r="A368" s="18" t="s">
        <v>991</v>
      </c>
      <c r="B368" s="6">
        <f t="shared" si="28"/>
        <v>46108</v>
      </c>
      <c r="C368" s="6">
        <f t="shared" si="28"/>
        <v>46113</v>
      </c>
      <c r="D368" s="18">
        <v>3249</v>
      </c>
      <c r="E368" s="18">
        <v>332</v>
      </c>
      <c r="F368" s="18">
        <v>3</v>
      </c>
      <c r="G368" s="18">
        <v>4</v>
      </c>
      <c r="H368" s="18">
        <v>81642</v>
      </c>
      <c r="I368" s="18" t="s">
        <v>17</v>
      </c>
      <c r="J368" s="18">
        <v>79675840</v>
      </c>
      <c r="K368" s="18" t="s">
        <v>552</v>
      </c>
      <c r="L368" s="18" t="s">
        <v>554</v>
      </c>
      <c r="M368" s="33">
        <v>179900</v>
      </c>
      <c r="N368" s="34">
        <v>0.75</v>
      </c>
      <c r="O368" s="7">
        <f t="shared" si="25"/>
        <v>44975</v>
      </c>
      <c r="P368" s="18" t="s">
        <v>16</v>
      </c>
    </row>
    <row r="369" spans="1:16" x14ac:dyDescent="0.35">
      <c r="A369" s="18" t="s">
        <v>991</v>
      </c>
      <c r="B369" s="6">
        <f t="shared" si="28"/>
        <v>46108</v>
      </c>
      <c r="C369" s="6">
        <f t="shared" si="28"/>
        <v>46113</v>
      </c>
      <c r="D369" s="18">
        <v>3249</v>
      </c>
      <c r="E369" s="18">
        <v>332</v>
      </c>
      <c r="F369" s="18">
        <v>3</v>
      </c>
      <c r="G369" s="18">
        <v>4</v>
      </c>
      <c r="H369" s="18">
        <v>81642</v>
      </c>
      <c r="I369" s="18" t="s">
        <v>17</v>
      </c>
      <c r="J369" s="18">
        <v>79675859</v>
      </c>
      <c r="K369" s="18" t="s">
        <v>552</v>
      </c>
      <c r="L369" s="18" t="s">
        <v>555</v>
      </c>
      <c r="M369" s="33">
        <v>179900</v>
      </c>
      <c r="N369" s="34">
        <v>0.75</v>
      </c>
      <c r="O369" s="7">
        <f t="shared" si="25"/>
        <v>44975</v>
      </c>
      <c r="P369" s="18" t="s">
        <v>16</v>
      </c>
    </row>
    <row r="370" spans="1:16" x14ac:dyDescent="0.35">
      <c r="A370" s="18" t="s">
        <v>991</v>
      </c>
      <c r="B370" s="6">
        <f t="shared" si="28"/>
        <v>46108</v>
      </c>
      <c r="C370" s="6">
        <f t="shared" si="28"/>
        <v>46113</v>
      </c>
      <c r="D370" s="18">
        <v>3249</v>
      </c>
      <c r="E370" s="18">
        <v>332</v>
      </c>
      <c r="F370" s="18">
        <v>3</v>
      </c>
      <c r="G370" s="18">
        <v>4</v>
      </c>
      <c r="H370" s="18">
        <v>81642</v>
      </c>
      <c r="I370" s="18" t="s">
        <v>17</v>
      </c>
      <c r="J370" s="18">
        <v>79675868</v>
      </c>
      <c r="K370" s="18" t="s">
        <v>552</v>
      </c>
      <c r="L370" s="18" t="s">
        <v>556</v>
      </c>
      <c r="M370" s="33">
        <v>179900</v>
      </c>
      <c r="N370" s="34">
        <v>0.75</v>
      </c>
      <c r="O370" s="7">
        <f t="shared" si="25"/>
        <v>44975</v>
      </c>
      <c r="P370" s="18" t="s">
        <v>16</v>
      </c>
    </row>
    <row r="371" spans="1:16" x14ac:dyDescent="0.35">
      <c r="A371" s="18" t="s">
        <v>991</v>
      </c>
      <c r="B371" s="6">
        <f t="shared" ref="B371:C386" si="29">B370</f>
        <v>46108</v>
      </c>
      <c r="C371" s="6">
        <f t="shared" si="29"/>
        <v>46113</v>
      </c>
      <c r="D371" s="18">
        <v>3249</v>
      </c>
      <c r="E371" s="18">
        <v>332</v>
      </c>
      <c r="F371" s="18">
        <v>3</v>
      </c>
      <c r="G371" s="18">
        <v>4</v>
      </c>
      <c r="H371" s="18">
        <v>81642</v>
      </c>
      <c r="I371" s="18" t="s">
        <v>17</v>
      </c>
      <c r="J371" s="18">
        <v>79675877</v>
      </c>
      <c r="K371" s="18" t="s">
        <v>552</v>
      </c>
      <c r="L371" s="18" t="s">
        <v>557</v>
      </c>
      <c r="M371" s="33">
        <v>179900</v>
      </c>
      <c r="N371" s="34">
        <v>0.75</v>
      </c>
      <c r="O371" s="7">
        <f t="shared" si="25"/>
        <v>44975</v>
      </c>
      <c r="P371" s="18" t="s">
        <v>16</v>
      </c>
    </row>
    <row r="372" spans="1:16" x14ac:dyDescent="0.35">
      <c r="A372" s="18" t="s">
        <v>991</v>
      </c>
      <c r="B372" s="6">
        <f t="shared" si="29"/>
        <v>46108</v>
      </c>
      <c r="C372" s="6">
        <f t="shared" si="29"/>
        <v>46113</v>
      </c>
      <c r="D372" s="18">
        <v>3249</v>
      </c>
      <c r="E372" s="18">
        <v>332</v>
      </c>
      <c r="F372" s="18">
        <v>3</v>
      </c>
      <c r="G372" s="18">
        <v>4</v>
      </c>
      <c r="H372" s="18">
        <v>81642</v>
      </c>
      <c r="I372" s="18" t="s">
        <v>17</v>
      </c>
      <c r="J372" s="18">
        <v>79675886</v>
      </c>
      <c r="K372" s="18" t="s">
        <v>552</v>
      </c>
      <c r="L372" s="18" t="s">
        <v>558</v>
      </c>
      <c r="M372" s="33">
        <v>179900</v>
      </c>
      <c r="N372" s="34">
        <v>0.75</v>
      </c>
      <c r="O372" s="7">
        <f t="shared" si="25"/>
        <v>44975</v>
      </c>
      <c r="P372" s="18" t="s">
        <v>16</v>
      </c>
    </row>
    <row r="373" spans="1:16" x14ac:dyDescent="0.35">
      <c r="A373" s="18" t="s">
        <v>991</v>
      </c>
      <c r="B373" s="6">
        <f t="shared" si="29"/>
        <v>46108</v>
      </c>
      <c r="C373" s="6">
        <f t="shared" si="29"/>
        <v>46113</v>
      </c>
      <c r="D373" s="18">
        <v>3249</v>
      </c>
      <c r="E373" s="18">
        <v>332</v>
      </c>
      <c r="F373" s="18">
        <v>3</v>
      </c>
      <c r="G373" s="18">
        <v>4</v>
      </c>
      <c r="H373" s="18">
        <v>81642</v>
      </c>
      <c r="I373" s="18" t="s">
        <v>17</v>
      </c>
      <c r="J373" s="18">
        <v>79675948</v>
      </c>
      <c r="K373" s="18" t="s">
        <v>552</v>
      </c>
      <c r="L373" s="18" t="s">
        <v>559</v>
      </c>
      <c r="M373" s="33">
        <v>179900</v>
      </c>
      <c r="N373" s="34">
        <v>0.75</v>
      </c>
      <c r="O373" s="7">
        <f t="shared" si="25"/>
        <v>44975</v>
      </c>
      <c r="P373" s="18" t="s">
        <v>16</v>
      </c>
    </row>
    <row r="374" spans="1:16" x14ac:dyDescent="0.35">
      <c r="A374" s="18" t="s">
        <v>991</v>
      </c>
      <c r="B374" s="6">
        <f t="shared" si="29"/>
        <v>46108</v>
      </c>
      <c r="C374" s="6">
        <f t="shared" si="29"/>
        <v>46113</v>
      </c>
      <c r="D374" s="18">
        <v>3249</v>
      </c>
      <c r="E374" s="18">
        <v>332</v>
      </c>
      <c r="F374" s="18">
        <v>3</v>
      </c>
      <c r="G374" s="18">
        <v>4</v>
      </c>
      <c r="H374" s="18">
        <v>81642</v>
      </c>
      <c r="I374" s="18" t="s">
        <v>17</v>
      </c>
      <c r="J374" s="18">
        <v>79676009</v>
      </c>
      <c r="K374" s="18" t="s">
        <v>552</v>
      </c>
      <c r="L374" s="18" t="s">
        <v>559</v>
      </c>
      <c r="M374" s="33">
        <v>179900</v>
      </c>
      <c r="N374" s="34">
        <v>0.75</v>
      </c>
      <c r="O374" s="7">
        <f t="shared" si="25"/>
        <v>44975</v>
      </c>
      <c r="P374" s="18" t="s">
        <v>16</v>
      </c>
    </row>
    <row r="375" spans="1:16" x14ac:dyDescent="0.35">
      <c r="A375" s="18" t="s">
        <v>991</v>
      </c>
      <c r="B375" s="6">
        <f t="shared" si="29"/>
        <v>46108</v>
      </c>
      <c r="C375" s="6">
        <f t="shared" si="29"/>
        <v>46113</v>
      </c>
      <c r="D375" s="18">
        <v>3249</v>
      </c>
      <c r="E375" s="18">
        <v>332</v>
      </c>
      <c r="F375" s="18">
        <v>3</v>
      </c>
      <c r="G375" s="18">
        <v>4</v>
      </c>
      <c r="H375" s="18">
        <v>81642</v>
      </c>
      <c r="I375" s="18" t="s">
        <v>17</v>
      </c>
      <c r="J375" s="18">
        <v>79676072</v>
      </c>
      <c r="K375" s="18" t="s">
        <v>560</v>
      </c>
      <c r="L375" s="18" t="s">
        <v>561</v>
      </c>
      <c r="M375" s="33">
        <v>199900</v>
      </c>
      <c r="N375" s="34">
        <v>0.75</v>
      </c>
      <c r="O375" s="7">
        <f t="shared" si="25"/>
        <v>49975</v>
      </c>
      <c r="P375" s="18" t="s">
        <v>16</v>
      </c>
    </row>
    <row r="376" spans="1:16" x14ac:dyDescent="0.35">
      <c r="A376" s="18" t="s">
        <v>991</v>
      </c>
      <c r="B376" s="6">
        <f t="shared" si="29"/>
        <v>46108</v>
      </c>
      <c r="C376" s="6">
        <f t="shared" si="29"/>
        <v>46113</v>
      </c>
      <c r="D376" s="18">
        <v>3249</v>
      </c>
      <c r="E376" s="18">
        <v>332</v>
      </c>
      <c r="F376" s="18">
        <v>3</v>
      </c>
      <c r="G376" s="18">
        <v>4</v>
      </c>
      <c r="H376" s="18">
        <v>81642</v>
      </c>
      <c r="I376" s="18" t="s">
        <v>17</v>
      </c>
      <c r="J376" s="18">
        <v>79676081</v>
      </c>
      <c r="K376" s="18" t="s">
        <v>560</v>
      </c>
      <c r="L376" s="18" t="s">
        <v>562</v>
      </c>
      <c r="M376" s="33">
        <v>199900</v>
      </c>
      <c r="N376" s="34">
        <v>0.75</v>
      </c>
      <c r="O376" s="7">
        <f t="shared" si="25"/>
        <v>49975</v>
      </c>
      <c r="P376" s="18" t="s">
        <v>16</v>
      </c>
    </row>
    <row r="377" spans="1:16" x14ac:dyDescent="0.35">
      <c r="A377" s="18" t="s">
        <v>991</v>
      </c>
      <c r="B377" s="6">
        <f t="shared" si="29"/>
        <v>46108</v>
      </c>
      <c r="C377" s="6">
        <f t="shared" si="29"/>
        <v>46113</v>
      </c>
      <c r="D377" s="18">
        <v>3249</v>
      </c>
      <c r="E377" s="18">
        <v>332</v>
      </c>
      <c r="F377" s="18">
        <v>3</v>
      </c>
      <c r="G377" s="18">
        <v>4</v>
      </c>
      <c r="H377" s="18">
        <v>81642</v>
      </c>
      <c r="I377" s="18" t="s">
        <v>17</v>
      </c>
      <c r="J377" s="18">
        <v>79676090</v>
      </c>
      <c r="K377" s="18" t="s">
        <v>560</v>
      </c>
      <c r="L377" s="18" t="s">
        <v>563</v>
      </c>
      <c r="M377" s="33">
        <v>199900</v>
      </c>
      <c r="N377" s="34">
        <v>0.75</v>
      </c>
      <c r="O377" s="7">
        <f t="shared" si="25"/>
        <v>49975</v>
      </c>
      <c r="P377" s="18" t="s">
        <v>16</v>
      </c>
    </row>
    <row r="378" spans="1:16" x14ac:dyDescent="0.35">
      <c r="A378" s="18" t="s">
        <v>991</v>
      </c>
      <c r="B378" s="6">
        <f t="shared" si="29"/>
        <v>46108</v>
      </c>
      <c r="C378" s="6">
        <f t="shared" si="29"/>
        <v>46113</v>
      </c>
      <c r="D378" s="18">
        <v>3249</v>
      </c>
      <c r="E378" s="18">
        <v>332</v>
      </c>
      <c r="F378" s="18">
        <v>3</v>
      </c>
      <c r="G378" s="18">
        <v>4</v>
      </c>
      <c r="H378" s="18">
        <v>81642</v>
      </c>
      <c r="I378" s="18" t="s">
        <v>17</v>
      </c>
      <c r="J378" s="18">
        <v>79676107</v>
      </c>
      <c r="K378" s="18" t="s">
        <v>560</v>
      </c>
      <c r="L378" s="18" t="s">
        <v>564</v>
      </c>
      <c r="M378" s="33">
        <v>199900</v>
      </c>
      <c r="N378" s="34">
        <v>0.75</v>
      </c>
      <c r="O378" s="7">
        <f t="shared" si="25"/>
        <v>49975</v>
      </c>
      <c r="P378" s="18" t="s">
        <v>16</v>
      </c>
    </row>
    <row r="379" spans="1:16" x14ac:dyDescent="0.35">
      <c r="A379" s="18" t="s">
        <v>991</v>
      </c>
      <c r="B379" s="6">
        <f t="shared" si="29"/>
        <v>46108</v>
      </c>
      <c r="C379" s="6">
        <f t="shared" si="29"/>
        <v>46113</v>
      </c>
      <c r="D379" s="18">
        <v>3249</v>
      </c>
      <c r="E379" s="18">
        <v>332</v>
      </c>
      <c r="F379" s="18">
        <v>3</v>
      </c>
      <c r="G379" s="18">
        <v>4</v>
      </c>
      <c r="H379" s="18">
        <v>81642</v>
      </c>
      <c r="I379" s="18" t="s">
        <v>17</v>
      </c>
      <c r="J379" s="18">
        <v>79676116</v>
      </c>
      <c r="K379" s="18" t="s">
        <v>560</v>
      </c>
      <c r="L379" s="18" t="s">
        <v>565</v>
      </c>
      <c r="M379" s="33">
        <v>199900</v>
      </c>
      <c r="N379" s="34">
        <v>0.75</v>
      </c>
      <c r="O379" s="7">
        <f t="shared" si="25"/>
        <v>49975</v>
      </c>
      <c r="P379" s="18" t="s">
        <v>16</v>
      </c>
    </row>
    <row r="380" spans="1:16" x14ac:dyDescent="0.35">
      <c r="A380" s="18" t="s">
        <v>991</v>
      </c>
      <c r="B380" s="6">
        <f t="shared" si="29"/>
        <v>46108</v>
      </c>
      <c r="C380" s="6">
        <f t="shared" si="29"/>
        <v>46113</v>
      </c>
      <c r="D380" s="18">
        <v>3249</v>
      </c>
      <c r="E380" s="18">
        <v>332</v>
      </c>
      <c r="F380" s="18">
        <v>3</v>
      </c>
      <c r="G380" s="18">
        <v>4</v>
      </c>
      <c r="H380" s="18">
        <v>81642</v>
      </c>
      <c r="I380" s="18" t="s">
        <v>17</v>
      </c>
      <c r="J380" s="18">
        <v>79676125</v>
      </c>
      <c r="K380" s="18" t="s">
        <v>560</v>
      </c>
      <c r="L380" s="18" t="s">
        <v>566</v>
      </c>
      <c r="M380" s="33">
        <v>199900</v>
      </c>
      <c r="N380" s="34">
        <v>0.75</v>
      </c>
      <c r="O380" s="7">
        <f t="shared" si="25"/>
        <v>49975</v>
      </c>
      <c r="P380" s="18" t="s">
        <v>16</v>
      </c>
    </row>
    <row r="381" spans="1:16" x14ac:dyDescent="0.35">
      <c r="A381" s="18" t="s">
        <v>991</v>
      </c>
      <c r="B381" s="6">
        <f t="shared" si="29"/>
        <v>46108</v>
      </c>
      <c r="C381" s="6">
        <f t="shared" si="29"/>
        <v>46113</v>
      </c>
      <c r="D381" s="18">
        <v>3249</v>
      </c>
      <c r="E381" s="18">
        <v>332</v>
      </c>
      <c r="F381" s="18">
        <v>3</v>
      </c>
      <c r="G381" s="18">
        <v>4</v>
      </c>
      <c r="H381" s="18">
        <v>81642</v>
      </c>
      <c r="I381" s="18" t="s">
        <v>17</v>
      </c>
      <c r="J381" s="18">
        <v>79676134</v>
      </c>
      <c r="K381" s="18" t="s">
        <v>560</v>
      </c>
      <c r="L381" s="18" t="s">
        <v>567</v>
      </c>
      <c r="M381" s="33">
        <v>199900</v>
      </c>
      <c r="N381" s="34">
        <v>0.75</v>
      </c>
      <c r="O381" s="7">
        <f t="shared" si="25"/>
        <v>49975</v>
      </c>
      <c r="P381" s="18" t="s">
        <v>16</v>
      </c>
    </row>
    <row r="382" spans="1:16" x14ac:dyDescent="0.35">
      <c r="A382" s="18" t="s">
        <v>991</v>
      </c>
      <c r="B382" s="6">
        <f t="shared" si="29"/>
        <v>46108</v>
      </c>
      <c r="C382" s="6">
        <f t="shared" si="29"/>
        <v>46113</v>
      </c>
      <c r="D382" s="18">
        <v>3249</v>
      </c>
      <c r="E382" s="18">
        <v>332</v>
      </c>
      <c r="F382" s="18">
        <v>3</v>
      </c>
      <c r="G382" s="18">
        <v>4</v>
      </c>
      <c r="H382" s="18">
        <v>81642</v>
      </c>
      <c r="I382" s="18" t="s">
        <v>17</v>
      </c>
      <c r="J382" s="18">
        <v>79676143</v>
      </c>
      <c r="K382" s="18" t="s">
        <v>560</v>
      </c>
      <c r="L382" s="18" t="s">
        <v>568</v>
      </c>
      <c r="M382" s="33">
        <v>199900</v>
      </c>
      <c r="N382" s="34">
        <v>0.75</v>
      </c>
      <c r="O382" s="7">
        <f t="shared" si="25"/>
        <v>49975</v>
      </c>
      <c r="P382" s="18" t="s">
        <v>16</v>
      </c>
    </row>
    <row r="383" spans="1:16" x14ac:dyDescent="0.35">
      <c r="A383" s="18" t="s">
        <v>991</v>
      </c>
      <c r="B383" s="6">
        <f t="shared" si="29"/>
        <v>46108</v>
      </c>
      <c r="C383" s="6">
        <f t="shared" si="29"/>
        <v>46113</v>
      </c>
      <c r="D383" s="18">
        <v>3249</v>
      </c>
      <c r="E383" s="18">
        <v>332</v>
      </c>
      <c r="F383" s="18">
        <v>3</v>
      </c>
      <c r="G383" s="18">
        <v>4</v>
      </c>
      <c r="H383" s="18">
        <v>81642</v>
      </c>
      <c r="I383" s="18" t="s">
        <v>17</v>
      </c>
      <c r="J383" s="18">
        <v>79676152</v>
      </c>
      <c r="K383" s="18" t="s">
        <v>560</v>
      </c>
      <c r="L383" s="18" t="s">
        <v>569</v>
      </c>
      <c r="M383" s="33">
        <v>199900</v>
      </c>
      <c r="N383" s="34">
        <v>0.75</v>
      </c>
      <c r="O383" s="7">
        <f t="shared" si="25"/>
        <v>49975</v>
      </c>
      <c r="P383" s="18" t="s">
        <v>16</v>
      </c>
    </row>
    <row r="384" spans="1:16" x14ac:dyDescent="0.35">
      <c r="A384" s="18" t="s">
        <v>991</v>
      </c>
      <c r="B384" s="6">
        <f t="shared" si="29"/>
        <v>46108</v>
      </c>
      <c r="C384" s="6">
        <f t="shared" si="29"/>
        <v>46113</v>
      </c>
      <c r="D384" s="18">
        <v>3249</v>
      </c>
      <c r="E384" s="18">
        <v>332</v>
      </c>
      <c r="F384" s="18">
        <v>3</v>
      </c>
      <c r="G384" s="18">
        <v>4</v>
      </c>
      <c r="H384" s="18">
        <v>81642</v>
      </c>
      <c r="I384" s="18" t="s">
        <v>17</v>
      </c>
      <c r="J384" s="18">
        <v>79676161</v>
      </c>
      <c r="K384" s="18" t="s">
        <v>560</v>
      </c>
      <c r="L384" s="18" t="s">
        <v>570</v>
      </c>
      <c r="M384" s="33">
        <v>199900</v>
      </c>
      <c r="N384" s="34">
        <v>0.75</v>
      </c>
      <c r="O384" s="7">
        <f t="shared" si="25"/>
        <v>49975</v>
      </c>
      <c r="P384" s="18" t="s">
        <v>16</v>
      </c>
    </row>
    <row r="385" spans="1:16" x14ac:dyDescent="0.35">
      <c r="A385" s="18" t="s">
        <v>991</v>
      </c>
      <c r="B385" s="6">
        <f t="shared" si="29"/>
        <v>46108</v>
      </c>
      <c r="C385" s="6">
        <f t="shared" si="29"/>
        <v>46113</v>
      </c>
      <c r="D385" s="18">
        <v>3249</v>
      </c>
      <c r="E385" s="18">
        <v>332</v>
      </c>
      <c r="F385" s="18">
        <v>3</v>
      </c>
      <c r="G385" s="18">
        <v>4</v>
      </c>
      <c r="H385" s="18">
        <v>81642</v>
      </c>
      <c r="I385" s="18" t="s">
        <v>17</v>
      </c>
      <c r="J385" s="18">
        <v>79676170</v>
      </c>
      <c r="K385" s="18" t="s">
        <v>560</v>
      </c>
      <c r="L385" s="18" t="s">
        <v>571</v>
      </c>
      <c r="M385" s="33">
        <v>199900</v>
      </c>
      <c r="N385" s="34">
        <v>0.75</v>
      </c>
      <c r="O385" s="7">
        <f t="shared" si="25"/>
        <v>49975</v>
      </c>
      <c r="P385" s="18" t="s">
        <v>16</v>
      </c>
    </row>
    <row r="386" spans="1:16" x14ac:dyDescent="0.35">
      <c r="A386" s="18" t="s">
        <v>991</v>
      </c>
      <c r="B386" s="6">
        <f t="shared" si="29"/>
        <v>46108</v>
      </c>
      <c r="C386" s="6">
        <f t="shared" si="29"/>
        <v>46113</v>
      </c>
      <c r="D386" s="18">
        <v>3249</v>
      </c>
      <c r="E386" s="18">
        <v>332</v>
      </c>
      <c r="F386" s="18">
        <v>3</v>
      </c>
      <c r="G386" s="18">
        <v>4</v>
      </c>
      <c r="H386" s="18">
        <v>81642</v>
      </c>
      <c r="I386" s="18" t="s">
        <v>17</v>
      </c>
      <c r="J386" s="18">
        <v>79676189</v>
      </c>
      <c r="K386" s="18" t="s">
        <v>560</v>
      </c>
      <c r="L386" s="18" t="s">
        <v>572</v>
      </c>
      <c r="M386" s="33">
        <v>199900</v>
      </c>
      <c r="N386" s="34">
        <v>0.75</v>
      </c>
      <c r="O386" s="7">
        <f t="shared" ref="O386:O449" si="30">M386-(M386*N386)</f>
        <v>49975</v>
      </c>
      <c r="P386" s="18" t="s">
        <v>16</v>
      </c>
    </row>
    <row r="387" spans="1:16" x14ac:dyDescent="0.35">
      <c r="A387" s="18" t="s">
        <v>991</v>
      </c>
      <c r="B387" s="6">
        <f t="shared" ref="B387:C402" si="31">B386</f>
        <v>46108</v>
      </c>
      <c r="C387" s="6">
        <f t="shared" si="31"/>
        <v>46113</v>
      </c>
      <c r="D387" s="18">
        <v>3249</v>
      </c>
      <c r="E387" s="18">
        <v>332</v>
      </c>
      <c r="F387" s="18">
        <v>3</v>
      </c>
      <c r="G387" s="18">
        <v>5</v>
      </c>
      <c r="H387" s="18">
        <v>81642</v>
      </c>
      <c r="I387" s="18" t="s">
        <v>17</v>
      </c>
      <c r="J387" s="18">
        <v>16570124</v>
      </c>
      <c r="K387" s="18" t="s">
        <v>573</v>
      </c>
      <c r="L387" s="18" t="s">
        <v>574</v>
      </c>
      <c r="M387" s="33">
        <v>249900</v>
      </c>
      <c r="N387" s="34">
        <v>0.75</v>
      </c>
      <c r="O387" s="7">
        <f t="shared" si="30"/>
        <v>62475</v>
      </c>
      <c r="P387" s="18" t="s">
        <v>16</v>
      </c>
    </row>
    <row r="388" spans="1:16" x14ac:dyDescent="0.35">
      <c r="A388" s="18" t="s">
        <v>991</v>
      </c>
      <c r="B388" s="6">
        <f t="shared" si="31"/>
        <v>46108</v>
      </c>
      <c r="C388" s="6">
        <f t="shared" si="31"/>
        <v>46113</v>
      </c>
      <c r="D388" s="18">
        <v>3249</v>
      </c>
      <c r="E388" s="18">
        <v>332</v>
      </c>
      <c r="F388" s="18">
        <v>3</v>
      </c>
      <c r="G388" s="18">
        <v>5</v>
      </c>
      <c r="H388" s="18">
        <v>81642</v>
      </c>
      <c r="I388" s="18" t="s">
        <v>17</v>
      </c>
      <c r="J388" s="18">
        <v>16570133</v>
      </c>
      <c r="K388" s="18" t="s">
        <v>573</v>
      </c>
      <c r="L388" s="18" t="s">
        <v>575</v>
      </c>
      <c r="M388" s="33">
        <v>249900</v>
      </c>
      <c r="N388" s="34">
        <v>0.75</v>
      </c>
      <c r="O388" s="7">
        <f t="shared" si="30"/>
        <v>62475</v>
      </c>
      <c r="P388" s="18" t="s">
        <v>16</v>
      </c>
    </row>
    <row r="389" spans="1:16" x14ac:dyDescent="0.35">
      <c r="A389" s="18" t="s">
        <v>991</v>
      </c>
      <c r="B389" s="6">
        <f t="shared" si="31"/>
        <v>46108</v>
      </c>
      <c r="C389" s="6">
        <f t="shared" si="31"/>
        <v>46113</v>
      </c>
      <c r="D389" s="18">
        <v>3249</v>
      </c>
      <c r="E389" s="18">
        <v>332</v>
      </c>
      <c r="F389" s="18">
        <v>3</v>
      </c>
      <c r="G389" s="18">
        <v>5</v>
      </c>
      <c r="H389" s="18">
        <v>81642</v>
      </c>
      <c r="I389" s="18" t="s">
        <v>17</v>
      </c>
      <c r="J389" s="18">
        <v>16570142</v>
      </c>
      <c r="K389" s="18" t="s">
        <v>573</v>
      </c>
      <c r="L389" s="18" t="s">
        <v>576</v>
      </c>
      <c r="M389" s="33">
        <v>249900</v>
      </c>
      <c r="N389" s="34">
        <v>0.75</v>
      </c>
      <c r="O389" s="7">
        <f t="shared" si="30"/>
        <v>62475</v>
      </c>
      <c r="P389" s="18" t="s">
        <v>16</v>
      </c>
    </row>
    <row r="390" spans="1:16" x14ac:dyDescent="0.35">
      <c r="A390" s="18" t="s">
        <v>991</v>
      </c>
      <c r="B390" s="6">
        <f t="shared" si="31"/>
        <v>46108</v>
      </c>
      <c r="C390" s="6">
        <f t="shared" si="31"/>
        <v>46113</v>
      </c>
      <c r="D390" s="18">
        <v>3249</v>
      </c>
      <c r="E390" s="18">
        <v>332</v>
      </c>
      <c r="F390" s="18">
        <v>3</v>
      </c>
      <c r="G390" s="18">
        <v>5</v>
      </c>
      <c r="H390" s="18">
        <v>81642</v>
      </c>
      <c r="I390" s="18" t="s">
        <v>17</v>
      </c>
      <c r="J390" s="18">
        <v>16570151</v>
      </c>
      <c r="K390" s="18" t="s">
        <v>573</v>
      </c>
      <c r="L390" s="18" t="s">
        <v>577</v>
      </c>
      <c r="M390" s="33">
        <v>249900</v>
      </c>
      <c r="N390" s="34">
        <v>0.75</v>
      </c>
      <c r="O390" s="7">
        <f t="shared" si="30"/>
        <v>62475</v>
      </c>
      <c r="P390" s="18" t="s">
        <v>16</v>
      </c>
    </row>
    <row r="391" spans="1:16" x14ac:dyDescent="0.35">
      <c r="A391" s="18" t="s">
        <v>991</v>
      </c>
      <c r="B391" s="6">
        <f t="shared" si="31"/>
        <v>46108</v>
      </c>
      <c r="C391" s="6">
        <f t="shared" si="31"/>
        <v>46113</v>
      </c>
      <c r="D391" s="18">
        <v>3249</v>
      </c>
      <c r="E391" s="18">
        <v>332</v>
      </c>
      <c r="F391" s="18">
        <v>3</v>
      </c>
      <c r="G391" s="18">
        <v>5</v>
      </c>
      <c r="H391" s="18">
        <v>81642</v>
      </c>
      <c r="I391" s="18" t="s">
        <v>17</v>
      </c>
      <c r="J391" s="18">
        <v>16570160</v>
      </c>
      <c r="K391" s="18" t="s">
        <v>573</v>
      </c>
      <c r="L391" s="18" t="s">
        <v>578</v>
      </c>
      <c r="M391" s="33">
        <v>249900</v>
      </c>
      <c r="N391" s="34">
        <v>0.75</v>
      </c>
      <c r="O391" s="7">
        <f t="shared" si="30"/>
        <v>62475</v>
      </c>
      <c r="P391" s="18" t="s">
        <v>16</v>
      </c>
    </row>
    <row r="392" spans="1:16" x14ac:dyDescent="0.35">
      <c r="A392" s="18" t="s">
        <v>991</v>
      </c>
      <c r="B392" s="6">
        <f t="shared" si="31"/>
        <v>46108</v>
      </c>
      <c r="C392" s="6">
        <f t="shared" si="31"/>
        <v>46113</v>
      </c>
      <c r="D392" s="18">
        <v>3249</v>
      </c>
      <c r="E392" s="18">
        <v>332</v>
      </c>
      <c r="F392" s="18">
        <v>3</v>
      </c>
      <c r="G392" s="18">
        <v>5</v>
      </c>
      <c r="H392" s="18">
        <v>81642</v>
      </c>
      <c r="I392" s="18" t="s">
        <v>17</v>
      </c>
      <c r="J392" s="18">
        <v>16570179</v>
      </c>
      <c r="K392" s="18" t="s">
        <v>573</v>
      </c>
      <c r="L392" s="18" t="s">
        <v>579</v>
      </c>
      <c r="M392" s="33">
        <v>249900</v>
      </c>
      <c r="N392" s="34">
        <v>0.75</v>
      </c>
      <c r="O392" s="7">
        <f t="shared" si="30"/>
        <v>62475</v>
      </c>
      <c r="P392" s="18" t="s">
        <v>16</v>
      </c>
    </row>
    <row r="393" spans="1:16" x14ac:dyDescent="0.35">
      <c r="A393" s="18" t="s">
        <v>991</v>
      </c>
      <c r="B393" s="6">
        <f t="shared" si="31"/>
        <v>46108</v>
      </c>
      <c r="C393" s="6">
        <f t="shared" si="31"/>
        <v>46113</v>
      </c>
      <c r="D393" s="18">
        <v>3249</v>
      </c>
      <c r="E393" s="18">
        <v>332</v>
      </c>
      <c r="F393" s="18">
        <v>3</v>
      </c>
      <c r="G393" s="18">
        <v>5</v>
      </c>
      <c r="H393" s="18">
        <v>81642</v>
      </c>
      <c r="I393" s="18" t="s">
        <v>17</v>
      </c>
      <c r="J393" s="18">
        <v>16570188</v>
      </c>
      <c r="K393" s="18" t="s">
        <v>573</v>
      </c>
      <c r="L393" s="18" t="s">
        <v>580</v>
      </c>
      <c r="M393" s="33">
        <v>249900</v>
      </c>
      <c r="N393" s="34">
        <v>0.75</v>
      </c>
      <c r="O393" s="7">
        <f t="shared" si="30"/>
        <v>62475</v>
      </c>
      <c r="P393" s="18" t="s">
        <v>16</v>
      </c>
    </row>
    <row r="394" spans="1:16" x14ac:dyDescent="0.35">
      <c r="A394" s="18" t="s">
        <v>991</v>
      </c>
      <c r="B394" s="6">
        <f t="shared" si="31"/>
        <v>46108</v>
      </c>
      <c r="C394" s="6">
        <f t="shared" si="31"/>
        <v>46113</v>
      </c>
      <c r="D394" s="18">
        <v>3249</v>
      </c>
      <c r="E394" s="18">
        <v>332</v>
      </c>
      <c r="F394" s="18">
        <v>3</v>
      </c>
      <c r="G394" s="18">
        <v>5</v>
      </c>
      <c r="H394" s="18">
        <v>81642</v>
      </c>
      <c r="I394" s="18" t="s">
        <v>17</v>
      </c>
      <c r="J394" s="18">
        <v>16570197</v>
      </c>
      <c r="K394" s="18" t="s">
        <v>573</v>
      </c>
      <c r="L394" s="18" t="s">
        <v>581</v>
      </c>
      <c r="M394" s="33">
        <v>249900</v>
      </c>
      <c r="N394" s="34">
        <v>0.75</v>
      </c>
      <c r="O394" s="7">
        <f t="shared" si="30"/>
        <v>62475</v>
      </c>
      <c r="P394" s="18" t="s">
        <v>16</v>
      </c>
    </row>
    <row r="395" spans="1:16" x14ac:dyDescent="0.35">
      <c r="A395" s="18" t="s">
        <v>991</v>
      </c>
      <c r="B395" s="6">
        <f t="shared" si="31"/>
        <v>46108</v>
      </c>
      <c r="C395" s="6">
        <f t="shared" si="31"/>
        <v>46113</v>
      </c>
      <c r="D395" s="18">
        <v>3249</v>
      </c>
      <c r="E395" s="18">
        <v>332</v>
      </c>
      <c r="F395" s="18">
        <v>3</v>
      </c>
      <c r="G395" s="18">
        <v>5</v>
      </c>
      <c r="H395" s="18">
        <v>81642</v>
      </c>
      <c r="I395" s="18" t="s">
        <v>17</v>
      </c>
      <c r="J395" s="18">
        <v>16570204</v>
      </c>
      <c r="K395" s="18" t="s">
        <v>573</v>
      </c>
      <c r="L395" s="18" t="s">
        <v>582</v>
      </c>
      <c r="M395" s="33">
        <v>249900</v>
      </c>
      <c r="N395" s="34">
        <v>0.75</v>
      </c>
      <c r="O395" s="7">
        <f t="shared" si="30"/>
        <v>62475</v>
      </c>
      <c r="P395" s="18" t="s">
        <v>16</v>
      </c>
    </row>
    <row r="396" spans="1:16" x14ac:dyDescent="0.35">
      <c r="A396" s="18" t="s">
        <v>991</v>
      </c>
      <c r="B396" s="6">
        <f t="shared" si="31"/>
        <v>46108</v>
      </c>
      <c r="C396" s="6">
        <f t="shared" si="31"/>
        <v>46113</v>
      </c>
      <c r="D396" s="18">
        <v>3249</v>
      </c>
      <c r="E396" s="18">
        <v>332</v>
      </c>
      <c r="F396" s="18">
        <v>3</v>
      </c>
      <c r="G396" s="18">
        <v>5</v>
      </c>
      <c r="H396" s="18">
        <v>81642</v>
      </c>
      <c r="I396" s="18" t="s">
        <v>17</v>
      </c>
      <c r="J396" s="18">
        <v>16570213</v>
      </c>
      <c r="K396" s="18" t="s">
        <v>573</v>
      </c>
      <c r="L396" s="18" t="s">
        <v>583</v>
      </c>
      <c r="M396" s="33">
        <v>249900</v>
      </c>
      <c r="N396" s="34">
        <v>0.75</v>
      </c>
      <c r="O396" s="7">
        <f t="shared" si="30"/>
        <v>62475</v>
      </c>
      <c r="P396" s="18" t="s">
        <v>16</v>
      </c>
    </row>
    <row r="397" spans="1:16" x14ac:dyDescent="0.35">
      <c r="A397" s="18" t="s">
        <v>991</v>
      </c>
      <c r="B397" s="6">
        <f t="shared" si="31"/>
        <v>46108</v>
      </c>
      <c r="C397" s="6">
        <f t="shared" si="31"/>
        <v>46113</v>
      </c>
      <c r="D397" s="18">
        <v>3249</v>
      </c>
      <c r="E397" s="18">
        <v>332</v>
      </c>
      <c r="F397" s="18">
        <v>3</v>
      </c>
      <c r="G397" s="18">
        <v>5</v>
      </c>
      <c r="H397" s="18">
        <v>81642</v>
      </c>
      <c r="I397" s="18" t="s">
        <v>17</v>
      </c>
      <c r="J397" s="18">
        <v>28036180</v>
      </c>
      <c r="K397" s="18" t="s">
        <v>573</v>
      </c>
      <c r="L397" s="18" t="s">
        <v>584</v>
      </c>
      <c r="M397" s="33">
        <v>249900</v>
      </c>
      <c r="N397" s="34">
        <v>0.75</v>
      </c>
      <c r="O397" s="7">
        <f t="shared" si="30"/>
        <v>62475</v>
      </c>
      <c r="P397" s="18" t="s">
        <v>16</v>
      </c>
    </row>
    <row r="398" spans="1:16" x14ac:dyDescent="0.35">
      <c r="A398" s="18" t="s">
        <v>991</v>
      </c>
      <c r="B398" s="6">
        <f t="shared" si="31"/>
        <v>46108</v>
      </c>
      <c r="C398" s="6">
        <f t="shared" si="31"/>
        <v>46113</v>
      </c>
      <c r="D398" s="18">
        <v>3249</v>
      </c>
      <c r="E398" s="18">
        <v>332</v>
      </c>
      <c r="F398" s="18">
        <v>3</v>
      </c>
      <c r="G398" s="18">
        <v>5</v>
      </c>
      <c r="H398" s="18">
        <v>81642</v>
      </c>
      <c r="I398" s="18" t="s">
        <v>17</v>
      </c>
      <c r="J398" s="18">
        <v>28036199</v>
      </c>
      <c r="K398" s="18" t="s">
        <v>573</v>
      </c>
      <c r="L398" s="18" t="s">
        <v>585</v>
      </c>
      <c r="M398" s="33">
        <v>249900</v>
      </c>
      <c r="N398" s="34">
        <v>0.75</v>
      </c>
      <c r="O398" s="7">
        <f t="shared" si="30"/>
        <v>62475</v>
      </c>
      <c r="P398" s="18" t="s">
        <v>16</v>
      </c>
    </row>
    <row r="399" spans="1:16" x14ac:dyDescent="0.35">
      <c r="A399" s="18" t="s">
        <v>991</v>
      </c>
      <c r="B399" s="6">
        <f t="shared" si="31"/>
        <v>46108</v>
      </c>
      <c r="C399" s="6">
        <f t="shared" si="31"/>
        <v>46113</v>
      </c>
      <c r="D399" s="18">
        <v>3249</v>
      </c>
      <c r="E399" s="18">
        <v>332</v>
      </c>
      <c r="F399" s="18">
        <v>3</v>
      </c>
      <c r="G399" s="18">
        <v>5</v>
      </c>
      <c r="H399" s="18">
        <v>81642</v>
      </c>
      <c r="I399" s="18" t="s">
        <v>17</v>
      </c>
      <c r="J399" s="18">
        <v>28036206</v>
      </c>
      <c r="K399" s="18" t="s">
        <v>573</v>
      </c>
      <c r="L399" s="18" t="s">
        <v>586</v>
      </c>
      <c r="M399" s="33">
        <v>249900</v>
      </c>
      <c r="N399" s="34">
        <v>0.75</v>
      </c>
      <c r="O399" s="7">
        <f t="shared" si="30"/>
        <v>62475</v>
      </c>
      <c r="P399" s="18" t="s">
        <v>16</v>
      </c>
    </row>
    <row r="400" spans="1:16" x14ac:dyDescent="0.35">
      <c r="A400" s="18" t="s">
        <v>991</v>
      </c>
      <c r="B400" s="6">
        <f t="shared" si="31"/>
        <v>46108</v>
      </c>
      <c r="C400" s="6">
        <f t="shared" si="31"/>
        <v>46113</v>
      </c>
      <c r="D400" s="18">
        <v>3249</v>
      </c>
      <c r="E400" s="18">
        <v>332</v>
      </c>
      <c r="F400" s="18">
        <v>3</v>
      </c>
      <c r="G400" s="18">
        <v>5</v>
      </c>
      <c r="H400" s="18">
        <v>81642</v>
      </c>
      <c r="I400" s="18" t="s">
        <v>17</v>
      </c>
      <c r="J400" s="18">
        <v>28036215</v>
      </c>
      <c r="K400" s="18" t="s">
        <v>573</v>
      </c>
      <c r="L400" s="18" t="s">
        <v>587</v>
      </c>
      <c r="M400" s="33">
        <v>249900</v>
      </c>
      <c r="N400" s="34">
        <v>0.75</v>
      </c>
      <c r="O400" s="7">
        <f t="shared" si="30"/>
        <v>62475</v>
      </c>
      <c r="P400" s="18" t="s">
        <v>16</v>
      </c>
    </row>
    <row r="401" spans="1:16" x14ac:dyDescent="0.35">
      <c r="A401" s="18" t="s">
        <v>991</v>
      </c>
      <c r="B401" s="6">
        <f t="shared" si="31"/>
        <v>46108</v>
      </c>
      <c r="C401" s="6">
        <f t="shared" si="31"/>
        <v>46113</v>
      </c>
      <c r="D401" s="18">
        <v>3249</v>
      </c>
      <c r="E401" s="18">
        <v>332</v>
      </c>
      <c r="F401" s="18">
        <v>3</v>
      </c>
      <c r="G401" s="18">
        <v>5</v>
      </c>
      <c r="H401" s="18">
        <v>81642</v>
      </c>
      <c r="I401" s="18" t="s">
        <v>17</v>
      </c>
      <c r="J401" s="18">
        <v>28036224</v>
      </c>
      <c r="K401" s="18" t="s">
        <v>573</v>
      </c>
      <c r="L401" s="18" t="s">
        <v>588</v>
      </c>
      <c r="M401" s="33">
        <v>249900</v>
      </c>
      <c r="N401" s="34">
        <v>0.75</v>
      </c>
      <c r="O401" s="7">
        <f t="shared" si="30"/>
        <v>62475</v>
      </c>
      <c r="P401" s="18" t="s">
        <v>16</v>
      </c>
    </row>
    <row r="402" spans="1:16" x14ac:dyDescent="0.35">
      <c r="A402" s="18" t="s">
        <v>991</v>
      </c>
      <c r="B402" s="6">
        <f t="shared" si="31"/>
        <v>46108</v>
      </c>
      <c r="C402" s="6">
        <f t="shared" si="31"/>
        <v>46113</v>
      </c>
      <c r="D402" s="18">
        <v>3249</v>
      </c>
      <c r="E402" s="18">
        <v>332</v>
      </c>
      <c r="F402" s="18">
        <v>3</v>
      </c>
      <c r="G402" s="18">
        <v>5</v>
      </c>
      <c r="H402" s="18">
        <v>81642</v>
      </c>
      <c r="I402" s="18" t="s">
        <v>17</v>
      </c>
      <c r="J402" s="18">
        <v>28036233</v>
      </c>
      <c r="K402" s="18" t="s">
        <v>573</v>
      </c>
      <c r="L402" s="18" t="s">
        <v>589</v>
      </c>
      <c r="M402" s="33">
        <v>249900</v>
      </c>
      <c r="N402" s="34">
        <v>0.75</v>
      </c>
      <c r="O402" s="7">
        <f t="shared" si="30"/>
        <v>62475</v>
      </c>
      <c r="P402" s="18" t="s">
        <v>16</v>
      </c>
    </row>
    <row r="403" spans="1:16" x14ac:dyDescent="0.35">
      <c r="A403" s="18" t="s">
        <v>991</v>
      </c>
      <c r="B403" s="6">
        <f t="shared" ref="B403:C418" si="32">B402</f>
        <v>46108</v>
      </c>
      <c r="C403" s="6">
        <f t="shared" si="32"/>
        <v>46113</v>
      </c>
      <c r="D403" s="18">
        <v>3249</v>
      </c>
      <c r="E403" s="18">
        <v>332</v>
      </c>
      <c r="F403" s="18">
        <v>3</v>
      </c>
      <c r="G403" s="18">
        <v>5</v>
      </c>
      <c r="H403" s="18">
        <v>81642</v>
      </c>
      <c r="I403" s="18" t="s">
        <v>17</v>
      </c>
      <c r="J403" s="18">
        <v>28036242</v>
      </c>
      <c r="K403" s="18" t="s">
        <v>573</v>
      </c>
      <c r="L403" s="18" t="s">
        <v>590</v>
      </c>
      <c r="M403" s="33">
        <v>249900</v>
      </c>
      <c r="N403" s="34">
        <v>0.75</v>
      </c>
      <c r="O403" s="7">
        <f t="shared" si="30"/>
        <v>62475</v>
      </c>
      <c r="P403" s="18" t="s">
        <v>16</v>
      </c>
    </row>
    <row r="404" spans="1:16" x14ac:dyDescent="0.35">
      <c r="A404" s="18" t="s">
        <v>991</v>
      </c>
      <c r="B404" s="6">
        <f t="shared" si="32"/>
        <v>46108</v>
      </c>
      <c r="C404" s="6">
        <f t="shared" si="32"/>
        <v>46113</v>
      </c>
      <c r="D404" s="18">
        <v>3249</v>
      </c>
      <c r="E404" s="18">
        <v>332</v>
      </c>
      <c r="F404" s="18">
        <v>3</v>
      </c>
      <c r="G404" s="18">
        <v>5</v>
      </c>
      <c r="H404" s="18">
        <v>81642</v>
      </c>
      <c r="I404" s="18" t="s">
        <v>17</v>
      </c>
      <c r="J404" s="18">
        <v>28036251</v>
      </c>
      <c r="K404" s="18" t="s">
        <v>573</v>
      </c>
      <c r="L404" s="18" t="s">
        <v>591</v>
      </c>
      <c r="M404" s="33">
        <v>249900</v>
      </c>
      <c r="N404" s="34">
        <v>0.75</v>
      </c>
      <c r="O404" s="7">
        <f t="shared" si="30"/>
        <v>62475</v>
      </c>
      <c r="P404" s="18" t="s">
        <v>16</v>
      </c>
    </row>
    <row r="405" spans="1:16" x14ac:dyDescent="0.35">
      <c r="A405" s="18" t="s">
        <v>991</v>
      </c>
      <c r="B405" s="6">
        <f t="shared" si="32"/>
        <v>46108</v>
      </c>
      <c r="C405" s="6">
        <f t="shared" si="32"/>
        <v>46113</v>
      </c>
      <c r="D405" s="18">
        <v>3249</v>
      </c>
      <c r="E405" s="18">
        <v>332</v>
      </c>
      <c r="F405" s="18">
        <v>3</v>
      </c>
      <c r="G405" s="18">
        <v>5</v>
      </c>
      <c r="H405" s="18">
        <v>81642</v>
      </c>
      <c r="I405" s="18" t="s">
        <v>17</v>
      </c>
      <c r="J405" s="18">
        <v>28036260</v>
      </c>
      <c r="K405" s="18" t="s">
        <v>573</v>
      </c>
      <c r="L405" s="18" t="s">
        <v>592</v>
      </c>
      <c r="M405" s="33">
        <v>249900</v>
      </c>
      <c r="N405" s="34">
        <v>0.75</v>
      </c>
      <c r="O405" s="7">
        <f t="shared" si="30"/>
        <v>62475</v>
      </c>
      <c r="P405" s="18" t="s">
        <v>16</v>
      </c>
    </row>
    <row r="406" spans="1:16" x14ac:dyDescent="0.35">
      <c r="A406" s="18" t="s">
        <v>991</v>
      </c>
      <c r="B406" s="6">
        <f t="shared" si="32"/>
        <v>46108</v>
      </c>
      <c r="C406" s="6">
        <f t="shared" si="32"/>
        <v>46113</v>
      </c>
      <c r="D406" s="18">
        <v>3249</v>
      </c>
      <c r="E406" s="18">
        <v>332</v>
      </c>
      <c r="F406" s="18">
        <v>3</v>
      </c>
      <c r="G406" s="18">
        <v>5</v>
      </c>
      <c r="H406" s="18">
        <v>81642</v>
      </c>
      <c r="I406" s="18" t="s">
        <v>17</v>
      </c>
      <c r="J406" s="18">
        <v>28036279</v>
      </c>
      <c r="K406" s="18" t="s">
        <v>573</v>
      </c>
      <c r="L406" s="18" t="s">
        <v>593</v>
      </c>
      <c r="M406" s="33">
        <v>249900</v>
      </c>
      <c r="N406" s="34">
        <v>0.75</v>
      </c>
      <c r="O406" s="7">
        <f t="shared" si="30"/>
        <v>62475</v>
      </c>
      <c r="P406" s="18" t="s">
        <v>16</v>
      </c>
    </row>
    <row r="407" spans="1:16" x14ac:dyDescent="0.35">
      <c r="A407" s="18" t="s">
        <v>991</v>
      </c>
      <c r="B407" s="6">
        <f t="shared" si="32"/>
        <v>46108</v>
      </c>
      <c r="C407" s="6">
        <f t="shared" si="32"/>
        <v>46113</v>
      </c>
      <c r="D407" s="18">
        <v>3249</v>
      </c>
      <c r="E407" s="18">
        <v>332</v>
      </c>
      <c r="F407" s="18">
        <v>3</v>
      </c>
      <c r="G407" s="18">
        <v>5</v>
      </c>
      <c r="H407" s="18">
        <v>81642</v>
      </c>
      <c r="I407" s="18" t="s">
        <v>17</v>
      </c>
      <c r="J407" s="18">
        <v>28036288</v>
      </c>
      <c r="K407" s="18" t="s">
        <v>573</v>
      </c>
      <c r="L407" s="18" t="s">
        <v>594</v>
      </c>
      <c r="M407" s="33">
        <v>249900</v>
      </c>
      <c r="N407" s="34">
        <v>0.75</v>
      </c>
      <c r="O407" s="7">
        <f t="shared" si="30"/>
        <v>62475</v>
      </c>
      <c r="P407" s="18" t="s">
        <v>16</v>
      </c>
    </row>
    <row r="408" spans="1:16" x14ac:dyDescent="0.35">
      <c r="A408" s="18" t="s">
        <v>991</v>
      </c>
      <c r="B408" s="6">
        <f t="shared" si="32"/>
        <v>46108</v>
      </c>
      <c r="C408" s="6">
        <f t="shared" si="32"/>
        <v>46113</v>
      </c>
      <c r="D408" s="18">
        <v>3249</v>
      </c>
      <c r="E408" s="18">
        <v>332</v>
      </c>
      <c r="F408" s="18">
        <v>3</v>
      </c>
      <c r="G408" s="18">
        <v>5</v>
      </c>
      <c r="H408" s="18">
        <v>81642</v>
      </c>
      <c r="I408" s="18" t="s">
        <v>17</v>
      </c>
      <c r="J408" s="18">
        <v>28036297</v>
      </c>
      <c r="K408" s="18" t="s">
        <v>573</v>
      </c>
      <c r="L408" s="18" t="s">
        <v>595</v>
      </c>
      <c r="M408" s="33">
        <v>249900</v>
      </c>
      <c r="N408" s="34">
        <v>0.75</v>
      </c>
      <c r="O408" s="7">
        <f t="shared" si="30"/>
        <v>62475</v>
      </c>
      <c r="P408" s="18" t="s">
        <v>16</v>
      </c>
    </row>
    <row r="409" spans="1:16" x14ac:dyDescent="0.35">
      <c r="A409" s="18" t="s">
        <v>991</v>
      </c>
      <c r="B409" s="6">
        <f t="shared" si="32"/>
        <v>46108</v>
      </c>
      <c r="C409" s="6">
        <f t="shared" si="32"/>
        <v>46113</v>
      </c>
      <c r="D409" s="18">
        <v>3249</v>
      </c>
      <c r="E409" s="18">
        <v>332</v>
      </c>
      <c r="F409" s="18">
        <v>3</v>
      </c>
      <c r="G409" s="18">
        <v>5</v>
      </c>
      <c r="H409" s="18">
        <v>81642</v>
      </c>
      <c r="I409" s="18" t="s">
        <v>17</v>
      </c>
      <c r="J409" s="18">
        <v>28036304</v>
      </c>
      <c r="K409" s="18" t="s">
        <v>573</v>
      </c>
      <c r="L409" s="18" t="s">
        <v>596</v>
      </c>
      <c r="M409" s="33">
        <v>249900</v>
      </c>
      <c r="N409" s="34">
        <v>0.75</v>
      </c>
      <c r="O409" s="7">
        <f t="shared" si="30"/>
        <v>62475</v>
      </c>
      <c r="P409" s="18" t="s">
        <v>16</v>
      </c>
    </row>
    <row r="410" spans="1:16" x14ac:dyDescent="0.35">
      <c r="A410" s="18" t="s">
        <v>991</v>
      </c>
      <c r="B410" s="6">
        <f t="shared" si="32"/>
        <v>46108</v>
      </c>
      <c r="C410" s="6">
        <f t="shared" si="32"/>
        <v>46113</v>
      </c>
      <c r="D410" s="18">
        <v>3249</v>
      </c>
      <c r="E410" s="18">
        <v>332</v>
      </c>
      <c r="F410" s="18">
        <v>3</v>
      </c>
      <c r="G410" s="18">
        <v>5</v>
      </c>
      <c r="H410" s="18">
        <v>81642</v>
      </c>
      <c r="I410" s="18" t="s">
        <v>17</v>
      </c>
      <c r="J410" s="18">
        <v>28036313</v>
      </c>
      <c r="K410" s="18" t="s">
        <v>573</v>
      </c>
      <c r="L410" s="18" t="s">
        <v>597</v>
      </c>
      <c r="M410" s="33">
        <v>249900</v>
      </c>
      <c r="N410" s="34">
        <v>0.75</v>
      </c>
      <c r="O410" s="7">
        <f t="shared" si="30"/>
        <v>62475</v>
      </c>
      <c r="P410" s="18" t="s">
        <v>16</v>
      </c>
    </row>
    <row r="411" spans="1:16" x14ac:dyDescent="0.35">
      <c r="A411" s="18" t="s">
        <v>991</v>
      </c>
      <c r="B411" s="6">
        <f t="shared" si="32"/>
        <v>46108</v>
      </c>
      <c r="C411" s="6">
        <f t="shared" si="32"/>
        <v>46113</v>
      </c>
      <c r="D411" s="18">
        <v>3249</v>
      </c>
      <c r="E411" s="18">
        <v>332</v>
      </c>
      <c r="F411" s="18">
        <v>3</v>
      </c>
      <c r="G411" s="18">
        <v>5</v>
      </c>
      <c r="H411" s="18">
        <v>81642</v>
      </c>
      <c r="I411" s="18" t="s">
        <v>17</v>
      </c>
      <c r="J411" s="18">
        <v>28036322</v>
      </c>
      <c r="K411" s="18" t="s">
        <v>573</v>
      </c>
      <c r="L411" s="18" t="s">
        <v>598</v>
      </c>
      <c r="M411" s="33">
        <v>249900</v>
      </c>
      <c r="N411" s="34">
        <v>0.75</v>
      </c>
      <c r="O411" s="7">
        <f t="shared" si="30"/>
        <v>62475</v>
      </c>
      <c r="P411" s="18" t="s">
        <v>16</v>
      </c>
    </row>
    <row r="412" spans="1:16" x14ac:dyDescent="0.35">
      <c r="A412" s="18" t="s">
        <v>991</v>
      </c>
      <c r="B412" s="6">
        <f t="shared" si="32"/>
        <v>46108</v>
      </c>
      <c r="C412" s="6">
        <f t="shared" si="32"/>
        <v>46113</v>
      </c>
      <c r="D412" s="18">
        <v>3249</v>
      </c>
      <c r="E412" s="18">
        <v>332</v>
      </c>
      <c r="F412" s="18">
        <v>3</v>
      </c>
      <c r="G412" s="18">
        <v>5</v>
      </c>
      <c r="H412" s="18">
        <v>81642</v>
      </c>
      <c r="I412" s="18" t="s">
        <v>17</v>
      </c>
      <c r="J412" s="18">
        <v>28036331</v>
      </c>
      <c r="K412" s="18" t="s">
        <v>573</v>
      </c>
      <c r="L412" s="18" t="s">
        <v>599</v>
      </c>
      <c r="M412" s="33">
        <v>249900</v>
      </c>
      <c r="N412" s="34">
        <v>0.75</v>
      </c>
      <c r="O412" s="7">
        <f t="shared" si="30"/>
        <v>62475</v>
      </c>
      <c r="P412" s="18" t="s">
        <v>16</v>
      </c>
    </row>
    <row r="413" spans="1:16" x14ac:dyDescent="0.35">
      <c r="A413" s="18" t="s">
        <v>991</v>
      </c>
      <c r="B413" s="6">
        <f t="shared" si="32"/>
        <v>46108</v>
      </c>
      <c r="C413" s="6">
        <f t="shared" si="32"/>
        <v>46113</v>
      </c>
      <c r="D413" s="18">
        <v>3249</v>
      </c>
      <c r="E413" s="18">
        <v>332</v>
      </c>
      <c r="F413" s="18">
        <v>3</v>
      </c>
      <c r="G413" s="18">
        <v>5</v>
      </c>
      <c r="H413" s="18">
        <v>81642</v>
      </c>
      <c r="I413" s="18" t="s">
        <v>17</v>
      </c>
      <c r="J413" s="18">
        <v>28036340</v>
      </c>
      <c r="K413" s="18" t="s">
        <v>573</v>
      </c>
      <c r="L413" s="18" t="s">
        <v>600</v>
      </c>
      <c r="M413" s="33">
        <v>249900</v>
      </c>
      <c r="N413" s="34">
        <v>0.75</v>
      </c>
      <c r="O413" s="7">
        <f t="shared" si="30"/>
        <v>62475</v>
      </c>
      <c r="P413" s="18" t="s">
        <v>16</v>
      </c>
    </row>
    <row r="414" spans="1:16" x14ac:dyDescent="0.35">
      <c r="A414" s="18" t="s">
        <v>991</v>
      </c>
      <c r="B414" s="6">
        <f t="shared" si="32"/>
        <v>46108</v>
      </c>
      <c r="C414" s="6">
        <f t="shared" si="32"/>
        <v>46113</v>
      </c>
      <c r="D414" s="18">
        <v>3249</v>
      </c>
      <c r="E414" s="18">
        <v>332</v>
      </c>
      <c r="F414" s="18">
        <v>3</v>
      </c>
      <c r="G414" s="18">
        <v>5</v>
      </c>
      <c r="H414" s="18">
        <v>81642</v>
      </c>
      <c r="I414" s="18" t="s">
        <v>17</v>
      </c>
      <c r="J414" s="18">
        <v>28036359</v>
      </c>
      <c r="K414" s="18" t="s">
        <v>573</v>
      </c>
      <c r="L414" s="18" t="s">
        <v>601</v>
      </c>
      <c r="M414" s="33">
        <v>249900</v>
      </c>
      <c r="N414" s="34">
        <v>0.75</v>
      </c>
      <c r="O414" s="7">
        <f t="shared" si="30"/>
        <v>62475</v>
      </c>
      <c r="P414" s="18" t="s">
        <v>16</v>
      </c>
    </row>
    <row r="415" spans="1:16" x14ac:dyDescent="0.35">
      <c r="A415" s="18" t="s">
        <v>991</v>
      </c>
      <c r="B415" s="6">
        <f t="shared" si="32"/>
        <v>46108</v>
      </c>
      <c r="C415" s="6">
        <f t="shared" si="32"/>
        <v>46113</v>
      </c>
      <c r="D415" s="18">
        <v>3249</v>
      </c>
      <c r="E415" s="18">
        <v>332</v>
      </c>
      <c r="F415" s="18">
        <v>3</v>
      </c>
      <c r="G415" s="18">
        <v>5</v>
      </c>
      <c r="H415" s="18">
        <v>81642</v>
      </c>
      <c r="I415" s="18" t="s">
        <v>17</v>
      </c>
      <c r="J415" s="18">
        <v>28036368</v>
      </c>
      <c r="K415" s="18" t="s">
        <v>573</v>
      </c>
      <c r="L415" s="18" t="s">
        <v>602</v>
      </c>
      <c r="M415" s="33">
        <v>249900</v>
      </c>
      <c r="N415" s="34">
        <v>0.75</v>
      </c>
      <c r="O415" s="7">
        <f t="shared" si="30"/>
        <v>62475</v>
      </c>
      <c r="P415" s="18" t="s">
        <v>16</v>
      </c>
    </row>
    <row r="416" spans="1:16" x14ac:dyDescent="0.35">
      <c r="A416" s="18" t="s">
        <v>991</v>
      </c>
      <c r="B416" s="6">
        <f t="shared" si="32"/>
        <v>46108</v>
      </c>
      <c r="C416" s="6">
        <f t="shared" si="32"/>
        <v>46113</v>
      </c>
      <c r="D416" s="18">
        <v>3249</v>
      </c>
      <c r="E416" s="18">
        <v>332</v>
      </c>
      <c r="F416" s="18">
        <v>3</v>
      </c>
      <c r="G416" s="18">
        <v>5</v>
      </c>
      <c r="H416" s="18">
        <v>81642</v>
      </c>
      <c r="I416" s="18" t="s">
        <v>17</v>
      </c>
      <c r="J416" s="18">
        <v>28036377</v>
      </c>
      <c r="K416" s="18" t="s">
        <v>573</v>
      </c>
      <c r="L416" s="18" t="s">
        <v>603</v>
      </c>
      <c r="M416" s="33">
        <v>249900</v>
      </c>
      <c r="N416" s="34">
        <v>0.75</v>
      </c>
      <c r="O416" s="7">
        <f t="shared" si="30"/>
        <v>62475</v>
      </c>
      <c r="P416" s="18" t="s">
        <v>16</v>
      </c>
    </row>
    <row r="417" spans="1:16" x14ac:dyDescent="0.35">
      <c r="A417" s="18" t="s">
        <v>991</v>
      </c>
      <c r="B417" s="6">
        <f t="shared" si="32"/>
        <v>46108</v>
      </c>
      <c r="C417" s="6">
        <f t="shared" si="32"/>
        <v>46113</v>
      </c>
      <c r="D417" s="18">
        <v>3249</v>
      </c>
      <c r="E417" s="18">
        <v>332</v>
      </c>
      <c r="F417" s="18">
        <v>3</v>
      </c>
      <c r="G417" s="18">
        <v>5</v>
      </c>
      <c r="H417" s="18">
        <v>81447</v>
      </c>
      <c r="I417" s="18" t="s">
        <v>17</v>
      </c>
      <c r="J417" s="18">
        <v>18433484</v>
      </c>
      <c r="K417" s="18" t="s">
        <v>604</v>
      </c>
      <c r="L417" s="18" t="s">
        <v>605</v>
      </c>
      <c r="M417" s="33">
        <v>219900</v>
      </c>
      <c r="N417" s="34">
        <v>0.75</v>
      </c>
      <c r="O417" s="7">
        <f t="shared" si="30"/>
        <v>54975</v>
      </c>
      <c r="P417" s="18" t="s">
        <v>16</v>
      </c>
    </row>
    <row r="418" spans="1:16" x14ac:dyDescent="0.35">
      <c r="A418" s="18" t="s">
        <v>991</v>
      </c>
      <c r="B418" s="6">
        <f t="shared" si="32"/>
        <v>46108</v>
      </c>
      <c r="C418" s="6">
        <f t="shared" si="32"/>
        <v>46113</v>
      </c>
      <c r="D418" s="18">
        <v>3249</v>
      </c>
      <c r="E418" s="18">
        <v>332</v>
      </c>
      <c r="F418" s="18">
        <v>3</v>
      </c>
      <c r="G418" s="18">
        <v>5</v>
      </c>
      <c r="H418" s="18">
        <v>81447</v>
      </c>
      <c r="I418" s="18" t="s">
        <v>17</v>
      </c>
      <c r="J418" s="18">
        <v>18433493</v>
      </c>
      <c r="K418" s="18" t="s">
        <v>604</v>
      </c>
      <c r="L418" s="18" t="s">
        <v>606</v>
      </c>
      <c r="M418" s="33">
        <v>219900</v>
      </c>
      <c r="N418" s="34">
        <v>0.75</v>
      </c>
      <c r="O418" s="7">
        <f t="shared" si="30"/>
        <v>54975</v>
      </c>
      <c r="P418" s="18" t="s">
        <v>16</v>
      </c>
    </row>
    <row r="419" spans="1:16" x14ac:dyDescent="0.35">
      <c r="A419" s="18" t="s">
        <v>991</v>
      </c>
      <c r="B419" s="6">
        <f t="shared" ref="B419:C434" si="33">B418</f>
        <v>46108</v>
      </c>
      <c r="C419" s="6">
        <f t="shared" si="33"/>
        <v>46113</v>
      </c>
      <c r="D419" s="18">
        <v>3249</v>
      </c>
      <c r="E419" s="18">
        <v>332</v>
      </c>
      <c r="F419" s="18">
        <v>3</v>
      </c>
      <c r="G419" s="18">
        <v>5</v>
      </c>
      <c r="H419" s="18">
        <v>81447</v>
      </c>
      <c r="I419" s="18" t="s">
        <v>17</v>
      </c>
      <c r="J419" s="18">
        <v>18433500</v>
      </c>
      <c r="K419" s="18" t="s">
        <v>604</v>
      </c>
      <c r="L419" s="18" t="s">
        <v>607</v>
      </c>
      <c r="M419" s="33">
        <v>219900</v>
      </c>
      <c r="N419" s="34">
        <v>0.75</v>
      </c>
      <c r="O419" s="7">
        <f t="shared" si="30"/>
        <v>54975</v>
      </c>
      <c r="P419" s="18" t="s">
        <v>16</v>
      </c>
    </row>
    <row r="420" spans="1:16" x14ac:dyDescent="0.35">
      <c r="A420" s="18" t="s">
        <v>991</v>
      </c>
      <c r="B420" s="6">
        <f t="shared" si="33"/>
        <v>46108</v>
      </c>
      <c r="C420" s="6">
        <f t="shared" si="33"/>
        <v>46113</v>
      </c>
      <c r="D420" s="18">
        <v>3249</v>
      </c>
      <c r="E420" s="18">
        <v>332</v>
      </c>
      <c r="F420" s="18">
        <v>3</v>
      </c>
      <c r="G420" s="18">
        <v>5</v>
      </c>
      <c r="H420" s="18">
        <v>81447</v>
      </c>
      <c r="I420" s="18" t="s">
        <v>17</v>
      </c>
      <c r="J420" s="18">
        <v>18433519</v>
      </c>
      <c r="K420" s="18" t="s">
        <v>604</v>
      </c>
      <c r="L420" s="18" t="s">
        <v>608</v>
      </c>
      <c r="M420" s="33">
        <v>219900</v>
      </c>
      <c r="N420" s="34">
        <v>0.75</v>
      </c>
      <c r="O420" s="7">
        <f t="shared" si="30"/>
        <v>54975</v>
      </c>
      <c r="P420" s="18" t="s">
        <v>16</v>
      </c>
    </row>
    <row r="421" spans="1:16" x14ac:dyDescent="0.35">
      <c r="A421" s="18" t="s">
        <v>991</v>
      </c>
      <c r="B421" s="6">
        <f t="shared" si="33"/>
        <v>46108</v>
      </c>
      <c r="C421" s="6">
        <f t="shared" si="33"/>
        <v>46113</v>
      </c>
      <c r="D421" s="18">
        <v>3249</v>
      </c>
      <c r="E421" s="18">
        <v>332</v>
      </c>
      <c r="F421" s="18">
        <v>3</v>
      </c>
      <c r="G421" s="18">
        <v>5</v>
      </c>
      <c r="H421" s="18">
        <v>81447</v>
      </c>
      <c r="I421" s="18" t="s">
        <v>17</v>
      </c>
      <c r="J421" s="18">
        <v>18433528</v>
      </c>
      <c r="K421" s="18" t="s">
        <v>604</v>
      </c>
      <c r="L421" s="18" t="s">
        <v>609</v>
      </c>
      <c r="M421" s="33">
        <v>219900</v>
      </c>
      <c r="N421" s="34">
        <v>0.75</v>
      </c>
      <c r="O421" s="7">
        <f t="shared" si="30"/>
        <v>54975</v>
      </c>
      <c r="P421" s="18" t="s">
        <v>16</v>
      </c>
    </row>
    <row r="422" spans="1:16" x14ac:dyDescent="0.35">
      <c r="A422" s="18" t="s">
        <v>991</v>
      </c>
      <c r="B422" s="6">
        <f t="shared" si="33"/>
        <v>46108</v>
      </c>
      <c r="C422" s="6">
        <f t="shared" si="33"/>
        <v>46113</v>
      </c>
      <c r="D422" s="18">
        <v>3249</v>
      </c>
      <c r="E422" s="18">
        <v>332</v>
      </c>
      <c r="F422" s="18">
        <v>3</v>
      </c>
      <c r="G422" s="18">
        <v>5</v>
      </c>
      <c r="H422" s="18">
        <v>81447</v>
      </c>
      <c r="I422" s="18" t="s">
        <v>17</v>
      </c>
      <c r="J422" s="18">
        <v>18433537</v>
      </c>
      <c r="K422" s="18" t="s">
        <v>604</v>
      </c>
      <c r="L422" s="18" t="s">
        <v>610</v>
      </c>
      <c r="M422" s="33">
        <v>219900</v>
      </c>
      <c r="N422" s="34">
        <v>0.75</v>
      </c>
      <c r="O422" s="7">
        <f t="shared" si="30"/>
        <v>54975</v>
      </c>
      <c r="P422" s="18" t="s">
        <v>16</v>
      </c>
    </row>
    <row r="423" spans="1:16" x14ac:dyDescent="0.35">
      <c r="A423" s="18" t="s">
        <v>991</v>
      </c>
      <c r="B423" s="6">
        <f t="shared" si="33"/>
        <v>46108</v>
      </c>
      <c r="C423" s="6">
        <f t="shared" si="33"/>
        <v>46113</v>
      </c>
      <c r="D423" s="18">
        <v>3249</v>
      </c>
      <c r="E423" s="18">
        <v>332</v>
      </c>
      <c r="F423" s="18">
        <v>3</v>
      </c>
      <c r="G423" s="18">
        <v>5</v>
      </c>
      <c r="H423" s="18">
        <v>81447</v>
      </c>
      <c r="I423" s="18" t="s">
        <v>17</v>
      </c>
      <c r="J423" s="18">
        <v>18433546</v>
      </c>
      <c r="K423" s="18" t="s">
        <v>604</v>
      </c>
      <c r="L423" s="18" t="s">
        <v>611</v>
      </c>
      <c r="M423" s="33">
        <v>219900</v>
      </c>
      <c r="N423" s="34">
        <v>0.75</v>
      </c>
      <c r="O423" s="7">
        <f t="shared" si="30"/>
        <v>54975</v>
      </c>
      <c r="P423" s="18" t="s">
        <v>16</v>
      </c>
    </row>
    <row r="424" spans="1:16" x14ac:dyDescent="0.35">
      <c r="A424" s="18" t="s">
        <v>991</v>
      </c>
      <c r="B424" s="6">
        <f t="shared" si="33"/>
        <v>46108</v>
      </c>
      <c r="C424" s="6">
        <f t="shared" si="33"/>
        <v>46113</v>
      </c>
      <c r="D424" s="18">
        <v>3249</v>
      </c>
      <c r="E424" s="18">
        <v>332</v>
      </c>
      <c r="F424" s="18">
        <v>3</v>
      </c>
      <c r="G424" s="18">
        <v>5</v>
      </c>
      <c r="H424" s="18">
        <v>81447</v>
      </c>
      <c r="I424" s="18" t="s">
        <v>17</v>
      </c>
      <c r="J424" s="18">
        <v>18433555</v>
      </c>
      <c r="K424" s="18" t="s">
        <v>604</v>
      </c>
      <c r="L424" s="18" t="s">
        <v>612</v>
      </c>
      <c r="M424" s="33">
        <v>219900</v>
      </c>
      <c r="N424" s="34">
        <v>0.75</v>
      </c>
      <c r="O424" s="7">
        <f t="shared" si="30"/>
        <v>54975</v>
      </c>
      <c r="P424" s="18" t="s">
        <v>16</v>
      </c>
    </row>
    <row r="425" spans="1:16" x14ac:dyDescent="0.35">
      <c r="A425" s="18" t="s">
        <v>991</v>
      </c>
      <c r="B425" s="6">
        <f t="shared" si="33"/>
        <v>46108</v>
      </c>
      <c r="C425" s="6">
        <f t="shared" si="33"/>
        <v>46113</v>
      </c>
      <c r="D425" s="18">
        <v>3249</v>
      </c>
      <c r="E425" s="18">
        <v>332</v>
      </c>
      <c r="F425" s="18">
        <v>3</v>
      </c>
      <c r="G425" s="18">
        <v>5</v>
      </c>
      <c r="H425" s="18">
        <v>81447</v>
      </c>
      <c r="I425" s="18" t="s">
        <v>17</v>
      </c>
      <c r="J425" s="18">
        <v>18433564</v>
      </c>
      <c r="K425" s="18" t="s">
        <v>604</v>
      </c>
      <c r="L425" s="18" t="s">
        <v>613</v>
      </c>
      <c r="M425" s="33">
        <v>219900</v>
      </c>
      <c r="N425" s="34">
        <v>0.75</v>
      </c>
      <c r="O425" s="7">
        <f t="shared" si="30"/>
        <v>54975</v>
      </c>
      <c r="P425" s="18" t="s">
        <v>16</v>
      </c>
    </row>
    <row r="426" spans="1:16" x14ac:dyDescent="0.35">
      <c r="A426" s="18" t="s">
        <v>991</v>
      </c>
      <c r="B426" s="6">
        <f t="shared" si="33"/>
        <v>46108</v>
      </c>
      <c r="C426" s="6">
        <f t="shared" si="33"/>
        <v>46113</v>
      </c>
      <c r="D426" s="18">
        <v>3249</v>
      </c>
      <c r="E426" s="18">
        <v>332</v>
      </c>
      <c r="F426" s="18">
        <v>3</v>
      </c>
      <c r="G426" s="18">
        <v>5</v>
      </c>
      <c r="H426" s="18">
        <v>81447</v>
      </c>
      <c r="I426" s="18" t="s">
        <v>17</v>
      </c>
      <c r="J426" s="18">
        <v>18433591</v>
      </c>
      <c r="K426" s="18" t="s">
        <v>604</v>
      </c>
      <c r="L426" s="18" t="s">
        <v>614</v>
      </c>
      <c r="M426" s="33">
        <v>219900</v>
      </c>
      <c r="N426" s="34">
        <v>0.75</v>
      </c>
      <c r="O426" s="7">
        <f t="shared" si="30"/>
        <v>54975</v>
      </c>
      <c r="P426" s="18" t="s">
        <v>16</v>
      </c>
    </row>
    <row r="427" spans="1:16" x14ac:dyDescent="0.35">
      <c r="A427" s="18" t="s">
        <v>991</v>
      </c>
      <c r="B427" s="6">
        <f t="shared" si="33"/>
        <v>46108</v>
      </c>
      <c r="C427" s="6">
        <f t="shared" si="33"/>
        <v>46113</v>
      </c>
      <c r="D427" s="18">
        <v>3249</v>
      </c>
      <c r="E427" s="18">
        <v>332</v>
      </c>
      <c r="F427" s="18">
        <v>3</v>
      </c>
      <c r="G427" s="18">
        <v>5</v>
      </c>
      <c r="H427" s="18">
        <v>81447</v>
      </c>
      <c r="I427" s="18" t="s">
        <v>17</v>
      </c>
      <c r="J427" s="18">
        <v>79676278</v>
      </c>
      <c r="K427" s="18" t="s">
        <v>615</v>
      </c>
      <c r="L427" s="18" t="s">
        <v>616</v>
      </c>
      <c r="M427" s="33">
        <v>219900</v>
      </c>
      <c r="N427" s="34">
        <v>0.75</v>
      </c>
      <c r="O427" s="7">
        <f t="shared" si="30"/>
        <v>54975</v>
      </c>
      <c r="P427" s="18" t="s">
        <v>16</v>
      </c>
    </row>
    <row r="428" spans="1:16" x14ac:dyDescent="0.35">
      <c r="A428" s="18" t="s">
        <v>991</v>
      </c>
      <c r="B428" s="6">
        <f t="shared" si="33"/>
        <v>46108</v>
      </c>
      <c r="C428" s="6">
        <f t="shared" si="33"/>
        <v>46113</v>
      </c>
      <c r="D428" s="18">
        <v>3249</v>
      </c>
      <c r="E428" s="18">
        <v>332</v>
      </c>
      <c r="F428" s="18">
        <v>3</v>
      </c>
      <c r="G428" s="18">
        <v>5</v>
      </c>
      <c r="H428" s="18">
        <v>81447</v>
      </c>
      <c r="I428" s="18" t="s">
        <v>17</v>
      </c>
      <c r="J428" s="18">
        <v>79676287</v>
      </c>
      <c r="K428" s="18" t="s">
        <v>615</v>
      </c>
      <c r="L428" s="18" t="s">
        <v>617</v>
      </c>
      <c r="M428" s="33">
        <v>219900</v>
      </c>
      <c r="N428" s="34">
        <v>0.75</v>
      </c>
      <c r="O428" s="7">
        <f t="shared" si="30"/>
        <v>54975</v>
      </c>
      <c r="P428" s="18" t="s">
        <v>16</v>
      </c>
    </row>
    <row r="429" spans="1:16" x14ac:dyDescent="0.35">
      <c r="A429" s="18" t="s">
        <v>991</v>
      </c>
      <c r="B429" s="6">
        <f t="shared" si="33"/>
        <v>46108</v>
      </c>
      <c r="C429" s="6">
        <f t="shared" si="33"/>
        <v>46113</v>
      </c>
      <c r="D429" s="18">
        <v>3249</v>
      </c>
      <c r="E429" s="18">
        <v>332</v>
      </c>
      <c r="F429" s="18">
        <v>3</v>
      </c>
      <c r="G429" s="18">
        <v>5</v>
      </c>
      <c r="H429" s="18">
        <v>81447</v>
      </c>
      <c r="I429" s="18" t="s">
        <v>17</v>
      </c>
      <c r="J429" s="18">
        <v>79676296</v>
      </c>
      <c r="K429" s="18" t="s">
        <v>615</v>
      </c>
      <c r="L429" s="18" t="s">
        <v>618</v>
      </c>
      <c r="M429" s="33">
        <v>219900</v>
      </c>
      <c r="N429" s="34">
        <v>0.75</v>
      </c>
      <c r="O429" s="7">
        <f t="shared" si="30"/>
        <v>54975</v>
      </c>
      <c r="P429" s="18" t="s">
        <v>16</v>
      </c>
    </row>
    <row r="430" spans="1:16" x14ac:dyDescent="0.35">
      <c r="A430" s="18" t="s">
        <v>991</v>
      </c>
      <c r="B430" s="6">
        <f t="shared" si="33"/>
        <v>46108</v>
      </c>
      <c r="C430" s="6">
        <f t="shared" si="33"/>
        <v>46113</v>
      </c>
      <c r="D430" s="18">
        <v>3249</v>
      </c>
      <c r="E430" s="18">
        <v>332</v>
      </c>
      <c r="F430" s="18">
        <v>3</v>
      </c>
      <c r="G430" s="18">
        <v>5</v>
      </c>
      <c r="H430" s="18">
        <v>81447</v>
      </c>
      <c r="I430" s="18" t="s">
        <v>17</v>
      </c>
      <c r="J430" s="18">
        <v>79676303</v>
      </c>
      <c r="K430" s="18" t="s">
        <v>615</v>
      </c>
      <c r="L430" s="18" t="s">
        <v>619</v>
      </c>
      <c r="M430" s="33">
        <v>219900</v>
      </c>
      <c r="N430" s="34">
        <v>0.75</v>
      </c>
      <c r="O430" s="7">
        <f t="shared" si="30"/>
        <v>54975</v>
      </c>
      <c r="P430" s="18" t="s">
        <v>16</v>
      </c>
    </row>
    <row r="431" spans="1:16" x14ac:dyDescent="0.35">
      <c r="A431" s="18" t="s">
        <v>991</v>
      </c>
      <c r="B431" s="6">
        <f t="shared" si="33"/>
        <v>46108</v>
      </c>
      <c r="C431" s="6">
        <f t="shared" si="33"/>
        <v>46113</v>
      </c>
      <c r="D431" s="18">
        <v>3249</v>
      </c>
      <c r="E431" s="18">
        <v>332</v>
      </c>
      <c r="F431" s="18">
        <v>3</v>
      </c>
      <c r="G431" s="18">
        <v>5</v>
      </c>
      <c r="H431" s="18">
        <v>81447</v>
      </c>
      <c r="I431" s="18" t="s">
        <v>17</v>
      </c>
      <c r="J431" s="18">
        <v>79676312</v>
      </c>
      <c r="K431" s="18" t="s">
        <v>615</v>
      </c>
      <c r="L431" s="18" t="s">
        <v>620</v>
      </c>
      <c r="M431" s="33">
        <v>219900</v>
      </c>
      <c r="N431" s="34">
        <v>0.75</v>
      </c>
      <c r="O431" s="7">
        <f t="shared" si="30"/>
        <v>54975</v>
      </c>
      <c r="P431" s="18" t="s">
        <v>16</v>
      </c>
    </row>
    <row r="432" spans="1:16" x14ac:dyDescent="0.35">
      <c r="A432" s="18" t="s">
        <v>991</v>
      </c>
      <c r="B432" s="6">
        <f t="shared" si="33"/>
        <v>46108</v>
      </c>
      <c r="C432" s="6">
        <f t="shared" si="33"/>
        <v>46113</v>
      </c>
      <c r="D432" s="18">
        <v>3249</v>
      </c>
      <c r="E432" s="18">
        <v>332</v>
      </c>
      <c r="F432" s="18">
        <v>3</v>
      </c>
      <c r="G432" s="18">
        <v>5</v>
      </c>
      <c r="H432" s="18">
        <v>81447</v>
      </c>
      <c r="I432" s="18" t="s">
        <v>17</v>
      </c>
      <c r="J432" s="18">
        <v>79676321</v>
      </c>
      <c r="K432" s="18" t="s">
        <v>615</v>
      </c>
      <c r="L432" s="18" t="s">
        <v>621</v>
      </c>
      <c r="M432" s="33">
        <v>219900</v>
      </c>
      <c r="N432" s="34">
        <v>0.75</v>
      </c>
      <c r="O432" s="7">
        <f t="shared" si="30"/>
        <v>54975</v>
      </c>
      <c r="P432" s="18" t="s">
        <v>16</v>
      </c>
    </row>
    <row r="433" spans="1:16" x14ac:dyDescent="0.35">
      <c r="A433" s="18" t="s">
        <v>991</v>
      </c>
      <c r="B433" s="6">
        <f t="shared" si="33"/>
        <v>46108</v>
      </c>
      <c r="C433" s="6">
        <f t="shared" si="33"/>
        <v>46113</v>
      </c>
      <c r="D433" s="18">
        <v>3249</v>
      </c>
      <c r="E433" s="18">
        <v>332</v>
      </c>
      <c r="F433" s="18">
        <v>3</v>
      </c>
      <c r="G433" s="18">
        <v>5</v>
      </c>
      <c r="H433" s="18">
        <v>81447</v>
      </c>
      <c r="I433" s="18" t="s">
        <v>17</v>
      </c>
      <c r="J433" s="18">
        <v>79676330</v>
      </c>
      <c r="K433" s="18" t="s">
        <v>615</v>
      </c>
      <c r="L433" s="18" t="s">
        <v>622</v>
      </c>
      <c r="M433" s="33">
        <v>219900</v>
      </c>
      <c r="N433" s="34">
        <v>0.75</v>
      </c>
      <c r="O433" s="7">
        <f t="shared" si="30"/>
        <v>54975</v>
      </c>
      <c r="P433" s="18" t="s">
        <v>16</v>
      </c>
    </row>
    <row r="434" spans="1:16" x14ac:dyDescent="0.35">
      <c r="A434" s="18" t="s">
        <v>991</v>
      </c>
      <c r="B434" s="6">
        <f t="shared" si="33"/>
        <v>46108</v>
      </c>
      <c r="C434" s="6">
        <f t="shared" si="33"/>
        <v>46113</v>
      </c>
      <c r="D434" s="18">
        <v>3249</v>
      </c>
      <c r="E434" s="18">
        <v>332</v>
      </c>
      <c r="F434" s="18">
        <v>3</v>
      </c>
      <c r="G434" s="18">
        <v>5</v>
      </c>
      <c r="H434" s="18">
        <v>81447</v>
      </c>
      <c r="I434" s="18" t="s">
        <v>17</v>
      </c>
      <c r="J434" s="18">
        <v>79676349</v>
      </c>
      <c r="K434" s="18" t="s">
        <v>615</v>
      </c>
      <c r="L434" s="18" t="s">
        <v>623</v>
      </c>
      <c r="M434" s="33">
        <v>219900</v>
      </c>
      <c r="N434" s="34">
        <v>0.75</v>
      </c>
      <c r="O434" s="7">
        <f t="shared" si="30"/>
        <v>54975</v>
      </c>
      <c r="P434" s="18" t="s">
        <v>16</v>
      </c>
    </row>
    <row r="435" spans="1:16" x14ac:dyDescent="0.35">
      <c r="A435" s="18" t="s">
        <v>991</v>
      </c>
      <c r="B435" s="6">
        <f t="shared" ref="B435:C450" si="34">B434</f>
        <v>46108</v>
      </c>
      <c r="C435" s="6">
        <f t="shared" si="34"/>
        <v>46113</v>
      </c>
      <c r="D435" s="18">
        <v>3249</v>
      </c>
      <c r="E435" s="18">
        <v>332</v>
      </c>
      <c r="F435" s="18">
        <v>3</v>
      </c>
      <c r="G435" s="18">
        <v>5</v>
      </c>
      <c r="H435" s="18">
        <v>81447</v>
      </c>
      <c r="I435" s="18" t="s">
        <v>17</v>
      </c>
      <c r="J435" s="18">
        <v>79676358</v>
      </c>
      <c r="K435" s="18" t="s">
        <v>615</v>
      </c>
      <c r="L435" s="18" t="s">
        <v>624</v>
      </c>
      <c r="M435" s="33">
        <v>219900</v>
      </c>
      <c r="N435" s="34">
        <v>0.75</v>
      </c>
      <c r="O435" s="7">
        <f t="shared" si="30"/>
        <v>54975</v>
      </c>
      <c r="P435" s="18" t="s">
        <v>16</v>
      </c>
    </row>
    <row r="436" spans="1:16" x14ac:dyDescent="0.35">
      <c r="A436" s="18" t="s">
        <v>991</v>
      </c>
      <c r="B436" s="6">
        <f t="shared" si="34"/>
        <v>46108</v>
      </c>
      <c r="C436" s="6">
        <f t="shared" si="34"/>
        <v>46113</v>
      </c>
      <c r="D436" s="18">
        <v>3249</v>
      </c>
      <c r="E436" s="18">
        <v>332</v>
      </c>
      <c r="F436" s="18">
        <v>3</v>
      </c>
      <c r="G436" s="18">
        <v>5</v>
      </c>
      <c r="H436" s="18">
        <v>81447</v>
      </c>
      <c r="I436" s="18" t="s">
        <v>17</v>
      </c>
      <c r="J436" s="18">
        <v>79676367</v>
      </c>
      <c r="K436" s="18" t="s">
        <v>615</v>
      </c>
      <c r="L436" s="18" t="s">
        <v>625</v>
      </c>
      <c r="M436" s="33">
        <v>219900</v>
      </c>
      <c r="N436" s="34">
        <v>0.75</v>
      </c>
      <c r="O436" s="7">
        <f t="shared" si="30"/>
        <v>54975</v>
      </c>
      <c r="P436" s="18" t="s">
        <v>16</v>
      </c>
    </row>
    <row r="437" spans="1:16" x14ac:dyDescent="0.35">
      <c r="A437" s="18" t="s">
        <v>991</v>
      </c>
      <c r="B437" s="6">
        <f t="shared" si="34"/>
        <v>46108</v>
      </c>
      <c r="C437" s="6">
        <f t="shared" si="34"/>
        <v>46113</v>
      </c>
      <c r="D437" s="18">
        <v>3249</v>
      </c>
      <c r="E437" s="18">
        <v>332</v>
      </c>
      <c r="F437" s="18">
        <v>3</v>
      </c>
      <c r="G437" s="18">
        <v>5</v>
      </c>
      <c r="H437" s="18">
        <v>81447</v>
      </c>
      <c r="I437" s="18" t="s">
        <v>17</v>
      </c>
      <c r="J437" s="18">
        <v>79676376</v>
      </c>
      <c r="K437" s="18" t="s">
        <v>615</v>
      </c>
      <c r="L437" s="18" t="s">
        <v>626</v>
      </c>
      <c r="M437" s="33">
        <v>219900</v>
      </c>
      <c r="N437" s="34">
        <v>0.75</v>
      </c>
      <c r="O437" s="7">
        <f t="shared" si="30"/>
        <v>54975</v>
      </c>
      <c r="P437" s="18" t="s">
        <v>16</v>
      </c>
    </row>
    <row r="438" spans="1:16" x14ac:dyDescent="0.35">
      <c r="A438" s="18" t="s">
        <v>991</v>
      </c>
      <c r="B438" s="6">
        <f t="shared" si="34"/>
        <v>46108</v>
      </c>
      <c r="C438" s="6">
        <f t="shared" si="34"/>
        <v>46113</v>
      </c>
      <c r="D438" s="18">
        <v>3249</v>
      </c>
      <c r="E438" s="18">
        <v>332</v>
      </c>
      <c r="F438" s="18">
        <v>3</v>
      </c>
      <c r="G438" s="18">
        <v>5</v>
      </c>
      <c r="H438" s="18">
        <v>81447</v>
      </c>
      <c r="I438" s="18" t="s">
        <v>17</v>
      </c>
      <c r="J438" s="18">
        <v>79676385</v>
      </c>
      <c r="K438" s="18" t="s">
        <v>615</v>
      </c>
      <c r="L438" s="18" t="s">
        <v>627</v>
      </c>
      <c r="M438" s="33">
        <v>219900</v>
      </c>
      <c r="N438" s="34">
        <v>0.75</v>
      </c>
      <c r="O438" s="7">
        <f t="shared" si="30"/>
        <v>54975</v>
      </c>
      <c r="P438" s="18" t="s">
        <v>16</v>
      </c>
    </row>
    <row r="439" spans="1:16" x14ac:dyDescent="0.35">
      <c r="A439" s="18" t="s">
        <v>991</v>
      </c>
      <c r="B439" s="6">
        <f t="shared" si="34"/>
        <v>46108</v>
      </c>
      <c r="C439" s="6">
        <f t="shared" si="34"/>
        <v>46113</v>
      </c>
      <c r="D439" s="18">
        <v>3249</v>
      </c>
      <c r="E439" s="18">
        <v>332</v>
      </c>
      <c r="F439" s="18">
        <v>3</v>
      </c>
      <c r="G439" s="18">
        <v>5</v>
      </c>
      <c r="H439" s="18">
        <v>81447</v>
      </c>
      <c r="I439" s="18" t="s">
        <v>17</v>
      </c>
      <c r="J439" s="18">
        <v>79676394</v>
      </c>
      <c r="K439" s="18" t="s">
        <v>615</v>
      </c>
      <c r="L439" s="18" t="s">
        <v>628</v>
      </c>
      <c r="M439" s="33">
        <v>219900</v>
      </c>
      <c r="N439" s="34">
        <v>0.75</v>
      </c>
      <c r="O439" s="7">
        <f t="shared" si="30"/>
        <v>54975</v>
      </c>
      <c r="P439" s="18" t="s">
        <v>16</v>
      </c>
    </row>
    <row r="440" spans="1:16" x14ac:dyDescent="0.35">
      <c r="A440" s="18" t="s">
        <v>991</v>
      </c>
      <c r="B440" s="6">
        <f t="shared" si="34"/>
        <v>46108</v>
      </c>
      <c r="C440" s="6">
        <f t="shared" si="34"/>
        <v>46113</v>
      </c>
      <c r="D440" s="18">
        <v>3249</v>
      </c>
      <c r="E440" s="18">
        <v>332</v>
      </c>
      <c r="F440" s="18">
        <v>3</v>
      </c>
      <c r="G440" s="18">
        <v>5</v>
      </c>
      <c r="H440" s="18">
        <v>81447</v>
      </c>
      <c r="I440" s="18" t="s">
        <v>17</v>
      </c>
      <c r="J440" s="18">
        <v>79676401</v>
      </c>
      <c r="K440" s="18" t="s">
        <v>615</v>
      </c>
      <c r="L440" s="18" t="s">
        <v>629</v>
      </c>
      <c r="M440" s="33">
        <v>219900</v>
      </c>
      <c r="N440" s="34">
        <v>0.75</v>
      </c>
      <c r="O440" s="7">
        <f t="shared" si="30"/>
        <v>54975</v>
      </c>
      <c r="P440" s="18" t="s">
        <v>16</v>
      </c>
    </row>
    <row r="441" spans="1:16" x14ac:dyDescent="0.35">
      <c r="A441" s="18" t="s">
        <v>991</v>
      </c>
      <c r="B441" s="6">
        <f t="shared" si="34"/>
        <v>46108</v>
      </c>
      <c r="C441" s="6">
        <f t="shared" si="34"/>
        <v>46113</v>
      </c>
      <c r="D441" s="18">
        <v>3249</v>
      </c>
      <c r="E441" s="18">
        <v>332</v>
      </c>
      <c r="F441" s="18">
        <v>3</v>
      </c>
      <c r="G441" s="18">
        <v>5</v>
      </c>
      <c r="H441" s="18">
        <v>81447</v>
      </c>
      <c r="I441" s="18" t="s">
        <v>17</v>
      </c>
      <c r="J441" s="18">
        <v>79676410</v>
      </c>
      <c r="K441" s="18" t="s">
        <v>615</v>
      </c>
      <c r="L441" s="18" t="s">
        <v>630</v>
      </c>
      <c r="M441" s="33">
        <v>219900</v>
      </c>
      <c r="N441" s="34">
        <v>0.75</v>
      </c>
      <c r="O441" s="7">
        <f t="shared" si="30"/>
        <v>54975</v>
      </c>
      <c r="P441" s="18" t="s">
        <v>16</v>
      </c>
    </row>
    <row r="442" spans="1:16" x14ac:dyDescent="0.35">
      <c r="A442" s="18" t="s">
        <v>991</v>
      </c>
      <c r="B442" s="6">
        <f t="shared" si="34"/>
        <v>46108</v>
      </c>
      <c r="C442" s="6">
        <f t="shared" si="34"/>
        <v>46113</v>
      </c>
      <c r="D442" s="18">
        <v>3249</v>
      </c>
      <c r="E442" s="18">
        <v>332</v>
      </c>
      <c r="F442" s="18">
        <v>3</v>
      </c>
      <c r="G442" s="18">
        <v>5</v>
      </c>
      <c r="H442" s="18">
        <v>81447</v>
      </c>
      <c r="I442" s="18" t="s">
        <v>17</v>
      </c>
      <c r="J442" s="18">
        <v>79676429</v>
      </c>
      <c r="K442" s="18" t="s">
        <v>615</v>
      </c>
      <c r="L442" s="18" t="s">
        <v>631</v>
      </c>
      <c r="M442" s="33">
        <v>219900</v>
      </c>
      <c r="N442" s="34">
        <v>0.75</v>
      </c>
      <c r="O442" s="7">
        <f t="shared" si="30"/>
        <v>54975</v>
      </c>
      <c r="P442" s="18" t="s">
        <v>16</v>
      </c>
    </row>
    <row r="443" spans="1:16" x14ac:dyDescent="0.35">
      <c r="A443" s="18" t="s">
        <v>991</v>
      </c>
      <c r="B443" s="6">
        <f t="shared" si="34"/>
        <v>46108</v>
      </c>
      <c r="C443" s="6">
        <f t="shared" si="34"/>
        <v>46113</v>
      </c>
      <c r="D443" s="18">
        <v>3249</v>
      </c>
      <c r="E443" s="18">
        <v>332</v>
      </c>
      <c r="F443" s="18">
        <v>3</v>
      </c>
      <c r="G443" s="18">
        <v>5</v>
      </c>
      <c r="H443" s="18">
        <v>81447</v>
      </c>
      <c r="I443" s="18" t="s">
        <v>17</v>
      </c>
      <c r="J443" s="18">
        <v>79831573</v>
      </c>
      <c r="K443" s="18" t="s">
        <v>615</v>
      </c>
      <c r="L443" s="18" t="s">
        <v>632</v>
      </c>
      <c r="M443" s="33">
        <v>219900</v>
      </c>
      <c r="N443" s="34">
        <v>0.75</v>
      </c>
      <c r="O443" s="7">
        <f t="shared" si="30"/>
        <v>54975</v>
      </c>
      <c r="P443" s="18" t="s">
        <v>16</v>
      </c>
    </row>
    <row r="444" spans="1:16" x14ac:dyDescent="0.35">
      <c r="A444" s="18" t="s">
        <v>991</v>
      </c>
      <c r="B444" s="6">
        <f t="shared" si="34"/>
        <v>46108</v>
      </c>
      <c r="C444" s="6">
        <f t="shared" si="34"/>
        <v>46113</v>
      </c>
      <c r="D444" s="18">
        <v>3249</v>
      </c>
      <c r="E444" s="18">
        <v>332</v>
      </c>
      <c r="F444" s="18">
        <v>3</v>
      </c>
      <c r="G444" s="18">
        <v>5</v>
      </c>
      <c r="H444" s="18">
        <v>81447</v>
      </c>
      <c r="I444" s="18" t="s">
        <v>17</v>
      </c>
      <c r="J444" s="18">
        <v>79831582</v>
      </c>
      <c r="K444" s="18" t="s">
        <v>615</v>
      </c>
      <c r="L444" s="18" t="s">
        <v>633</v>
      </c>
      <c r="M444" s="33">
        <v>219900</v>
      </c>
      <c r="N444" s="34">
        <v>0.75</v>
      </c>
      <c r="O444" s="7">
        <f t="shared" si="30"/>
        <v>54975</v>
      </c>
      <c r="P444" s="18" t="s">
        <v>16</v>
      </c>
    </row>
    <row r="445" spans="1:16" x14ac:dyDescent="0.35">
      <c r="A445" s="18" t="s">
        <v>991</v>
      </c>
      <c r="B445" s="6">
        <f t="shared" si="34"/>
        <v>46108</v>
      </c>
      <c r="C445" s="6">
        <f t="shared" si="34"/>
        <v>46113</v>
      </c>
      <c r="D445" s="18">
        <v>3249</v>
      </c>
      <c r="E445" s="18">
        <v>332</v>
      </c>
      <c r="F445" s="18">
        <v>3</v>
      </c>
      <c r="G445" s="18">
        <v>5</v>
      </c>
      <c r="H445" s="18">
        <v>81447</v>
      </c>
      <c r="I445" s="18" t="s">
        <v>17</v>
      </c>
      <c r="J445" s="18">
        <v>79844201</v>
      </c>
      <c r="K445" s="18" t="s">
        <v>615</v>
      </c>
      <c r="L445" s="18" t="s">
        <v>634</v>
      </c>
      <c r="M445" s="33">
        <v>219900</v>
      </c>
      <c r="N445" s="34">
        <v>0.75</v>
      </c>
      <c r="O445" s="7">
        <f t="shared" si="30"/>
        <v>54975</v>
      </c>
      <c r="P445" s="18" t="s">
        <v>16</v>
      </c>
    </row>
    <row r="446" spans="1:16" x14ac:dyDescent="0.35">
      <c r="A446" s="18" t="s">
        <v>991</v>
      </c>
      <c r="B446" s="6">
        <f t="shared" si="34"/>
        <v>46108</v>
      </c>
      <c r="C446" s="6">
        <f t="shared" si="34"/>
        <v>46113</v>
      </c>
      <c r="D446" s="18">
        <v>3249</v>
      </c>
      <c r="E446" s="18">
        <v>332</v>
      </c>
      <c r="F446" s="18">
        <v>3</v>
      </c>
      <c r="G446" s="18">
        <v>5</v>
      </c>
      <c r="H446" s="18">
        <v>81447</v>
      </c>
      <c r="I446" s="18" t="s">
        <v>17</v>
      </c>
      <c r="J446" s="18">
        <v>79844210</v>
      </c>
      <c r="K446" s="18" t="s">
        <v>615</v>
      </c>
      <c r="L446" s="18" t="s">
        <v>635</v>
      </c>
      <c r="M446" s="33">
        <v>219900</v>
      </c>
      <c r="N446" s="34">
        <v>0.75</v>
      </c>
      <c r="O446" s="7">
        <f t="shared" si="30"/>
        <v>54975</v>
      </c>
      <c r="P446" s="18" t="s">
        <v>16</v>
      </c>
    </row>
    <row r="447" spans="1:16" x14ac:dyDescent="0.35">
      <c r="A447" s="18" t="s">
        <v>991</v>
      </c>
      <c r="B447" s="6">
        <f t="shared" si="34"/>
        <v>46108</v>
      </c>
      <c r="C447" s="6">
        <f t="shared" si="34"/>
        <v>46113</v>
      </c>
      <c r="D447" s="18">
        <v>3249</v>
      </c>
      <c r="E447" s="18">
        <v>332</v>
      </c>
      <c r="F447" s="18">
        <v>3</v>
      </c>
      <c r="G447" s="18">
        <v>6</v>
      </c>
      <c r="H447" s="18">
        <v>81735</v>
      </c>
      <c r="I447" s="18" t="s">
        <v>17</v>
      </c>
      <c r="J447" s="18">
        <v>16775056</v>
      </c>
      <c r="K447" s="18" t="s">
        <v>636</v>
      </c>
      <c r="L447" s="18" t="s">
        <v>637</v>
      </c>
      <c r="M447" s="33">
        <v>599900</v>
      </c>
      <c r="N447" s="34">
        <v>0.75</v>
      </c>
      <c r="O447" s="7">
        <f t="shared" si="30"/>
        <v>149975</v>
      </c>
      <c r="P447" s="18" t="s">
        <v>16</v>
      </c>
    </row>
    <row r="448" spans="1:16" x14ac:dyDescent="0.35">
      <c r="A448" s="18" t="s">
        <v>991</v>
      </c>
      <c r="B448" s="6">
        <f t="shared" si="34"/>
        <v>46108</v>
      </c>
      <c r="C448" s="6">
        <f t="shared" si="34"/>
        <v>46113</v>
      </c>
      <c r="D448" s="18">
        <v>3249</v>
      </c>
      <c r="E448" s="18">
        <v>332</v>
      </c>
      <c r="F448" s="18">
        <v>3</v>
      </c>
      <c r="G448" s="18">
        <v>6</v>
      </c>
      <c r="H448" s="18">
        <v>81735</v>
      </c>
      <c r="I448" s="18" t="s">
        <v>17</v>
      </c>
      <c r="J448" s="18">
        <v>16775065</v>
      </c>
      <c r="K448" s="18" t="s">
        <v>636</v>
      </c>
      <c r="L448" s="18" t="s">
        <v>638</v>
      </c>
      <c r="M448" s="33">
        <v>599900</v>
      </c>
      <c r="N448" s="34">
        <v>0.75</v>
      </c>
      <c r="O448" s="7">
        <f t="shared" si="30"/>
        <v>149975</v>
      </c>
      <c r="P448" s="18" t="s">
        <v>16</v>
      </c>
    </row>
    <row r="449" spans="1:16" x14ac:dyDescent="0.35">
      <c r="A449" s="18" t="s">
        <v>991</v>
      </c>
      <c r="B449" s="6">
        <f t="shared" si="34"/>
        <v>46108</v>
      </c>
      <c r="C449" s="6">
        <f t="shared" si="34"/>
        <v>46113</v>
      </c>
      <c r="D449" s="18">
        <v>3249</v>
      </c>
      <c r="E449" s="18">
        <v>332</v>
      </c>
      <c r="F449" s="18">
        <v>3</v>
      </c>
      <c r="G449" s="18">
        <v>6</v>
      </c>
      <c r="H449" s="18">
        <v>81735</v>
      </c>
      <c r="I449" s="18" t="s">
        <v>17</v>
      </c>
      <c r="J449" s="18">
        <v>16775074</v>
      </c>
      <c r="K449" s="18" t="s">
        <v>636</v>
      </c>
      <c r="L449" s="18" t="s">
        <v>639</v>
      </c>
      <c r="M449" s="33">
        <v>599900</v>
      </c>
      <c r="N449" s="34">
        <v>0.75</v>
      </c>
      <c r="O449" s="7">
        <f t="shared" si="30"/>
        <v>149975</v>
      </c>
      <c r="P449" s="18" t="s">
        <v>16</v>
      </c>
    </row>
    <row r="450" spans="1:16" x14ac:dyDescent="0.35">
      <c r="A450" s="18" t="s">
        <v>991</v>
      </c>
      <c r="B450" s="6">
        <f t="shared" si="34"/>
        <v>46108</v>
      </c>
      <c r="C450" s="6">
        <f t="shared" si="34"/>
        <v>46113</v>
      </c>
      <c r="D450" s="18">
        <v>3249</v>
      </c>
      <c r="E450" s="18">
        <v>332</v>
      </c>
      <c r="F450" s="18">
        <v>3</v>
      </c>
      <c r="G450" s="18">
        <v>6</v>
      </c>
      <c r="H450" s="18">
        <v>81735</v>
      </c>
      <c r="I450" s="18" t="s">
        <v>17</v>
      </c>
      <c r="J450" s="18">
        <v>16775083</v>
      </c>
      <c r="K450" s="18" t="s">
        <v>636</v>
      </c>
      <c r="L450" s="18" t="s">
        <v>640</v>
      </c>
      <c r="M450" s="33">
        <v>599900</v>
      </c>
      <c r="N450" s="34">
        <v>0.75</v>
      </c>
      <c r="O450" s="7">
        <f t="shared" ref="O450:O451" si="35">M450-(M450*N450)</f>
        <v>149975</v>
      </c>
      <c r="P450" s="18" t="s">
        <v>16</v>
      </c>
    </row>
    <row r="451" spans="1:16" x14ac:dyDescent="0.35">
      <c r="A451" s="18" t="s">
        <v>991</v>
      </c>
      <c r="B451" s="6">
        <f t="shared" ref="B451:C451" si="36">B450</f>
        <v>46108</v>
      </c>
      <c r="C451" s="6">
        <f t="shared" si="36"/>
        <v>46113</v>
      </c>
      <c r="D451" s="18">
        <v>3249</v>
      </c>
      <c r="E451" s="18">
        <v>332</v>
      </c>
      <c r="F451" s="18">
        <v>3</v>
      </c>
      <c r="G451" s="18">
        <v>6</v>
      </c>
      <c r="H451" s="18"/>
      <c r="I451" s="18" t="s">
        <v>17</v>
      </c>
      <c r="J451" s="18">
        <v>16851777</v>
      </c>
      <c r="K451" s="18" t="s">
        <v>496</v>
      </c>
      <c r="L451" s="18" t="s">
        <v>641</v>
      </c>
      <c r="M451" s="26">
        <v>279900</v>
      </c>
      <c r="N451" s="34">
        <v>0.75</v>
      </c>
      <c r="O451" s="7">
        <f t="shared" si="35"/>
        <v>69975</v>
      </c>
      <c r="P451" s="18" t="s">
        <v>16</v>
      </c>
    </row>
  </sheetData>
  <conditionalFormatting sqref="J1:J450">
    <cfRule type="duplicateValues" dxfId="371" priority="1"/>
  </conditionalFormatting>
  <conditionalFormatting sqref="J1:J451">
    <cfRule type="duplicateValues" dxfId="370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0001-FE56-4EA6-87D0-A7650B04121F}">
  <sheetPr>
    <tabColor rgb="FFFFFF00"/>
  </sheetPr>
  <dimension ref="A1:P5"/>
  <sheetViews>
    <sheetView zoomScale="80" workbookViewId="0">
      <selection activeCell="P33" sqref="P33"/>
    </sheetView>
  </sheetViews>
  <sheetFormatPr defaultRowHeight="14.5" x14ac:dyDescent="0.35"/>
  <cols>
    <col min="1" max="1" width="23.36328125" style="32" bestFit="1" customWidth="1"/>
    <col min="2" max="2" width="10.81640625" style="37" bestFit="1" customWidth="1"/>
    <col min="3" max="3" width="14.54296875" style="37" customWidth="1"/>
    <col min="4" max="4" width="5.1796875" style="32" bestFit="1" customWidth="1"/>
    <col min="5" max="5" width="7.1796875" style="32" bestFit="1" customWidth="1"/>
    <col min="6" max="6" width="8.453125" style="32" bestFit="1" customWidth="1"/>
    <col min="7" max="7" width="5.7265625" style="32" bestFit="1" customWidth="1"/>
    <col min="8" max="8" width="8.6328125" style="32" bestFit="1" customWidth="1"/>
    <col min="9" max="9" width="6.7265625" style="32" bestFit="1" customWidth="1"/>
    <col min="10" max="10" width="8.81640625" style="32" bestFit="1" customWidth="1"/>
    <col min="11" max="11" width="9.26953125" style="38" bestFit="1" customWidth="1"/>
    <col min="12" max="12" width="53.54296875" style="38" bestFit="1" customWidth="1"/>
    <col min="13" max="13" width="14.81640625" style="39" bestFit="1" customWidth="1"/>
    <col min="14" max="14" width="7.26953125" style="40" bestFit="1" customWidth="1"/>
    <col min="15" max="15" width="14" style="39" bestFit="1" customWidth="1"/>
    <col min="16" max="16" width="14.17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s="10" customFormat="1" x14ac:dyDescent="0.35">
      <c r="A2" s="5" t="s">
        <v>992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3">
        <v>6</v>
      </c>
      <c r="H2" s="18"/>
      <c r="I2" s="5" t="s">
        <v>17</v>
      </c>
      <c r="J2" s="18">
        <v>25742127</v>
      </c>
      <c r="K2" s="18" t="s">
        <v>642</v>
      </c>
      <c r="L2" s="18" t="s">
        <v>643</v>
      </c>
      <c r="M2" s="35">
        <v>399900</v>
      </c>
      <c r="N2" s="36">
        <v>0.75</v>
      </c>
      <c r="O2" s="7">
        <f>M2-(M2*N2)</f>
        <v>99975</v>
      </c>
      <c r="P2" s="5" t="s">
        <v>16</v>
      </c>
    </row>
    <row r="3" spans="1:16" s="10" customFormat="1" x14ac:dyDescent="0.35">
      <c r="A3" s="5" t="s">
        <v>992</v>
      </c>
      <c r="B3" s="6">
        <f t="shared" ref="B3:C3" si="0">B2</f>
        <v>46108</v>
      </c>
      <c r="C3" s="6">
        <f t="shared" si="0"/>
        <v>46113</v>
      </c>
      <c r="D3" s="5">
        <v>3249</v>
      </c>
      <c r="E3" s="5">
        <v>332</v>
      </c>
      <c r="F3" s="5">
        <v>3</v>
      </c>
      <c r="G3" s="13">
        <v>6</v>
      </c>
      <c r="H3" s="18"/>
      <c r="I3" s="5" t="s">
        <v>17</v>
      </c>
      <c r="J3" s="18">
        <v>25742136</v>
      </c>
      <c r="K3" s="18" t="s">
        <v>642</v>
      </c>
      <c r="L3" s="18" t="s">
        <v>644</v>
      </c>
      <c r="M3" s="35">
        <v>399900</v>
      </c>
      <c r="N3" s="36">
        <v>0.75</v>
      </c>
      <c r="O3" s="7">
        <f t="shared" ref="O3:O5" si="1">M3-(M3*N3)</f>
        <v>99975</v>
      </c>
      <c r="P3" s="5" t="s">
        <v>16</v>
      </c>
    </row>
    <row r="4" spans="1:16" s="10" customFormat="1" x14ac:dyDescent="0.35">
      <c r="A4" s="5" t="s">
        <v>992</v>
      </c>
      <c r="B4" s="6">
        <f t="shared" ref="B4:C5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3">
        <v>6</v>
      </c>
      <c r="H4" s="18"/>
      <c r="I4" s="5" t="s">
        <v>17</v>
      </c>
      <c r="J4" s="18">
        <v>25742145</v>
      </c>
      <c r="K4" s="18" t="s">
        <v>642</v>
      </c>
      <c r="L4" s="18" t="s">
        <v>645</v>
      </c>
      <c r="M4" s="35">
        <v>399900</v>
      </c>
      <c r="N4" s="36">
        <v>0.75</v>
      </c>
      <c r="O4" s="7">
        <f t="shared" si="1"/>
        <v>99975</v>
      </c>
      <c r="P4" s="5" t="s">
        <v>16</v>
      </c>
    </row>
    <row r="5" spans="1:16" s="10" customFormat="1" x14ac:dyDescent="0.35">
      <c r="A5" s="5" t="s">
        <v>992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3">
        <v>6</v>
      </c>
      <c r="H5" s="18"/>
      <c r="I5" s="5" t="s">
        <v>17</v>
      </c>
      <c r="J5" s="18">
        <v>25742154</v>
      </c>
      <c r="K5" s="18" t="s">
        <v>642</v>
      </c>
      <c r="L5" s="18" t="s">
        <v>646</v>
      </c>
      <c r="M5" s="35">
        <v>399900</v>
      </c>
      <c r="N5" s="36">
        <v>0.75</v>
      </c>
      <c r="O5" s="7">
        <f t="shared" si="1"/>
        <v>99975</v>
      </c>
      <c r="P5" s="5" t="s">
        <v>16</v>
      </c>
    </row>
  </sheetData>
  <autoFilter ref="A1:P1" xr:uid="{00000000-0009-0000-0000-000007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964-D4F0-4CA6-B554-6CF5A6D26C9F}">
  <sheetPr>
    <tabColor rgb="FFFFFF00"/>
  </sheetPr>
  <dimension ref="A1:P40"/>
  <sheetViews>
    <sheetView zoomScale="70" workbookViewId="0">
      <selection activeCell="P33" sqref="P33"/>
    </sheetView>
  </sheetViews>
  <sheetFormatPr defaultColWidth="8.7265625" defaultRowHeight="14.5" x14ac:dyDescent="0.35"/>
  <cols>
    <col min="1" max="1" width="25.26953125" style="10" bestFit="1" customWidth="1"/>
    <col min="2" max="2" width="10.81640625" style="10" bestFit="1" customWidth="1"/>
    <col min="3" max="3" width="10.08984375" style="10" bestFit="1" customWidth="1"/>
    <col min="4" max="4" width="5.1796875" style="15" bestFit="1" customWidth="1"/>
    <col min="5" max="5" width="7.1796875" style="15" bestFit="1" customWidth="1"/>
    <col min="6" max="6" width="8.453125" style="15" bestFit="1" customWidth="1"/>
    <col min="7" max="7" width="5.7265625" style="15" bestFit="1" customWidth="1"/>
    <col min="8" max="8" width="8.6328125" style="10" bestFit="1" customWidth="1"/>
    <col min="9" max="9" width="6.7265625" style="10" bestFit="1" customWidth="1"/>
    <col min="10" max="11" width="8.81640625" style="10" bestFit="1" customWidth="1"/>
    <col min="12" max="12" width="73.6328125" style="10" bestFit="1" customWidth="1"/>
    <col min="13" max="13" width="16.08984375" style="46" bestFit="1" customWidth="1"/>
    <col min="14" max="14" width="7.26953125" style="10" bestFit="1" customWidth="1"/>
    <col min="15" max="15" width="14" style="15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993</v>
      </c>
      <c r="B2" s="6">
        <v>46108</v>
      </c>
      <c r="C2" s="6">
        <v>46113</v>
      </c>
      <c r="D2" s="13">
        <v>3249</v>
      </c>
      <c r="E2" s="13">
        <v>332</v>
      </c>
      <c r="F2" s="13">
        <v>3</v>
      </c>
      <c r="G2" s="18">
        <v>3</v>
      </c>
      <c r="H2" s="18">
        <v>81642</v>
      </c>
      <c r="I2" s="18" t="s">
        <v>17</v>
      </c>
      <c r="J2" s="18">
        <v>19676603</v>
      </c>
      <c r="K2" s="18" t="s">
        <v>647</v>
      </c>
      <c r="L2" s="18" t="s">
        <v>648</v>
      </c>
      <c r="M2" s="41">
        <v>279900</v>
      </c>
      <c r="N2" s="34">
        <v>0.75</v>
      </c>
      <c r="O2" s="7">
        <f t="shared" ref="O2:O40" si="0">M2-(M2*N2)</f>
        <v>69975</v>
      </c>
      <c r="P2" s="18" t="s">
        <v>16</v>
      </c>
    </row>
    <row r="3" spans="1:16" x14ac:dyDescent="0.35">
      <c r="A3" s="18" t="s">
        <v>993</v>
      </c>
      <c r="B3" s="6">
        <f t="shared" ref="B3:C3" si="1">B2</f>
        <v>46108</v>
      </c>
      <c r="C3" s="6">
        <f t="shared" si="1"/>
        <v>46113</v>
      </c>
      <c r="D3" s="13">
        <v>3249</v>
      </c>
      <c r="E3" s="13">
        <v>332</v>
      </c>
      <c r="F3" s="13">
        <v>3</v>
      </c>
      <c r="G3" s="18">
        <v>3</v>
      </c>
      <c r="H3" s="18">
        <v>81642</v>
      </c>
      <c r="I3" s="18" t="s">
        <v>17</v>
      </c>
      <c r="J3" s="18">
        <v>19676612</v>
      </c>
      <c r="K3" s="18" t="s">
        <v>647</v>
      </c>
      <c r="L3" s="18" t="s">
        <v>649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993</v>
      </c>
      <c r="B4" s="6">
        <f t="shared" ref="B4:C19" si="2">B3</f>
        <v>46108</v>
      </c>
      <c r="C4" s="6">
        <f t="shared" si="2"/>
        <v>46113</v>
      </c>
      <c r="D4" s="13">
        <v>3249</v>
      </c>
      <c r="E4" s="13">
        <v>332</v>
      </c>
      <c r="F4" s="13">
        <v>3</v>
      </c>
      <c r="G4" s="18">
        <v>3</v>
      </c>
      <c r="H4" s="18">
        <v>81642</v>
      </c>
      <c r="I4" s="18" t="s">
        <v>17</v>
      </c>
      <c r="J4" s="18">
        <v>19676621</v>
      </c>
      <c r="K4" s="18" t="s">
        <v>647</v>
      </c>
      <c r="L4" s="18" t="s">
        <v>650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993</v>
      </c>
      <c r="B5" s="6">
        <f t="shared" si="2"/>
        <v>46108</v>
      </c>
      <c r="C5" s="6">
        <f t="shared" si="2"/>
        <v>46113</v>
      </c>
      <c r="D5" s="13">
        <v>3249</v>
      </c>
      <c r="E5" s="13">
        <v>332</v>
      </c>
      <c r="F5" s="13">
        <v>3</v>
      </c>
      <c r="G5" s="18">
        <v>3</v>
      </c>
      <c r="H5" s="18">
        <v>81642</v>
      </c>
      <c r="I5" s="18" t="s">
        <v>17</v>
      </c>
      <c r="J5" s="18">
        <v>19676676</v>
      </c>
      <c r="K5" s="18" t="s">
        <v>647</v>
      </c>
      <c r="L5" s="18" t="s">
        <v>651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993</v>
      </c>
      <c r="B6" s="6">
        <f t="shared" si="2"/>
        <v>46108</v>
      </c>
      <c r="C6" s="6">
        <f t="shared" si="2"/>
        <v>46113</v>
      </c>
      <c r="D6" s="13">
        <v>3249</v>
      </c>
      <c r="E6" s="13">
        <v>332</v>
      </c>
      <c r="F6" s="13">
        <v>3</v>
      </c>
      <c r="G6" s="18">
        <v>3</v>
      </c>
      <c r="H6" s="18">
        <v>81642</v>
      </c>
      <c r="I6" s="18" t="s">
        <v>17</v>
      </c>
      <c r="J6" s="18">
        <v>19676685</v>
      </c>
      <c r="K6" s="18" t="s">
        <v>647</v>
      </c>
      <c r="L6" s="18" t="s">
        <v>652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993</v>
      </c>
      <c r="B7" s="6">
        <f t="shared" si="2"/>
        <v>46108</v>
      </c>
      <c r="C7" s="6">
        <f t="shared" si="2"/>
        <v>46113</v>
      </c>
      <c r="D7" s="13">
        <v>3249</v>
      </c>
      <c r="E7" s="13">
        <v>332</v>
      </c>
      <c r="F7" s="13">
        <v>3</v>
      </c>
      <c r="G7" s="18">
        <v>3</v>
      </c>
      <c r="H7" s="18">
        <v>81642</v>
      </c>
      <c r="I7" s="18" t="s">
        <v>17</v>
      </c>
      <c r="J7" s="18">
        <v>19676694</v>
      </c>
      <c r="K7" s="18" t="s">
        <v>647</v>
      </c>
      <c r="L7" s="18" t="s">
        <v>653</v>
      </c>
      <c r="M7" s="41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993</v>
      </c>
      <c r="B8" s="6">
        <f t="shared" si="2"/>
        <v>46108</v>
      </c>
      <c r="C8" s="6">
        <f t="shared" si="2"/>
        <v>46113</v>
      </c>
      <c r="D8" s="13">
        <v>3249</v>
      </c>
      <c r="E8" s="13">
        <v>332</v>
      </c>
      <c r="F8" s="13">
        <v>3</v>
      </c>
      <c r="G8" s="18">
        <v>3</v>
      </c>
      <c r="H8" s="18">
        <v>81642</v>
      </c>
      <c r="I8" s="18" t="s">
        <v>17</v>
      </c>
      <c r="J8" s="18">
        <v>19676701</v>
      </c>
      <c r="K8" s="18" t="s">
        <v>647</v>
      </c>
      <c r="L8" s="18" t="s">
        <v>654</v>
      </c>
      <c r="M8" s="41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993</v>
      </c>
      <c r="B9" s="6">
        <f t="shared" si="2"/>
        <v>46108</v>
      </c>
      <c r="C9" s="6">
        <f t="shared" si="2"/>
        <v>46113</v>
      </c>
      <c r="D9" s="13">
        <v>3249</v>
      </c>
      <c r="E9" s="13">
        <v>332</v>
      </c>
      <c r="F9" s="13">
        <v>3</v>
      </c>
      <c r="G9" s="18">
        <v>3</v>
      </c>
      <c r="H9" s="18">
        <v>81642</v>
      </c>
      <c r="I9" s="18" t="s">
        <v>17</v>
      </c>
      <c r="J9" s="18">
        <v>19676710</v>
      </c>
      <c r="K9" s="18" t="s">
        <v>647</v>
      </c>
      <c r="L9" s="18" t="s">
        <v>655</v>
      </c>
      <c r="M9" s="41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993</v>
      </c>
      <c r="B10" s="6">
        <f t="shared" si="2"/>
        <v>46108</v>
      </c>
      <c r="C10" s="6">
        <f t="shared" si="2"/>
        <v>46113</v>
      </c>
      <c r="D10" s="13">
        <v>3249</v>
      </c>
      <c r="E10" s="13">
        <v>332</v>
      </c>
      <c r="F10" s="13">
        <v>3</v>
      </c>
      <c r="G10" s="18">
        <v>3</v>
      </c>
      <c r="H10" s="18">
        <v>81642</v>
      </c>
      <c r="I10" s="18" t="s">
        <v>17</v>
      </c>
      <c r="J10" s="18">
        <v>19676729</v>
      </c>
      <c r="K10" s="18" t="s">
        <v>656</v>
      </c>
      <c r="L10" s="18" t="s">
        <v>657</v>
      </c>
      <c r="M10" s="41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993</v>
      </c>
      <c r="B11" s="6">
        <f t="shared" si="2"/>
        <v>46108</v>
      </c>
      <c r="C11" s="6">
        <f t="shared" si="2"/>
        <v>46113</v>
      </c>
      <c r="D11" s="13">
        <v>3249</v>
      </c>
      <c r="E11" s="13">
        <v>332</v>
      </c>
      <c r="F11" s="13">
        <v>3</v>
      </c>
      <c r="G11" s="18">
        <v>3</v>
      </c>
      <c r="H11" s="18">
        <v>81642</v>
      </c>
      <c r="I11" s="18" t="s">
        <v>17</v>
      </c>
      <c r="J11" s="18">
        <v>19676783</v>
      </c>
      <c r="K11" s="18" t="s">
        <v>656</v>
      </c>
      <c r="L11" s="18" t="s">
        <v>658</v>
      </c>
      <c r="M11" s="41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993</v>
      </c>
      <c r="B12" s="6">
        <f t="shared" si="2"/>
        <v>46108</v>
      </c>
      <c r="C12" s="6">
        <f t="shared" si="2"/>
        <v>46113</v>
      </c>
      <c r="D12" s="13">
        <v>3249</v>
      </c>
      <c r="E12" s="13">
        <v>332</v>
      </c>
      <c r="F12" s="13">
        <v>3</v>
      </c>
      <c r="G12" s="18">
        <v>3</v>
      </c>
      <c r="H12" s="18">
        <v>81642</v>
      </c>
      <c r="I12" s="18" t="s">
        <v>17</v>
      </c>
      <c r="J12" s="18">
        <v>19676809</v>
      </c>
      <c r="K12" s="18" t="s">
        <v>656</v>
      </c>
      <c r="L12" s="18" t="s">
        <v>659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993</v>
      </c>
      <c r="B13" s="6">
        <f t="shared" si="2"/>
        <v>46108</v>
      </c>
      <c r="C13" s="6">
        <f t="shared" si="2"/>
        <v>46113</v>
      </c>
      <c r="D13" s="13">
        <v>3249</v>
      </c>
      <c r="E13" s="13">
        <v>332</v>
      </c>
      <c r="F13" s="13">
        <v>3</v>
      </c>
      <c r="G13" s="18">
        <v>3</v>
      </c>
      <c r="H13" s="18">
        <v>81642</v>
      </c>
      <c r="I13" s="18" t="s">
        <v>17</v>
      </c>
      <c r="J13" s="18">
        <v>19676818</v>
      </c>
      <c r="K13" s="18" t="s">
        <v>656</v>
      </c>
      <c r="L13" s="18" t="s">
        <v>660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993</v>
      </c>
      <c r="B14" s="6">
        <f t="shared" si="2"/>
        <v>46108</v>
      </c>
      <c r="C14" s="6">
        <f t="shared" si="2"/>
        <v>46113</v>
      </c>
      <c r="D14" s="13">
        <v>3249</v>
      </c>
      <c r="E14" s="13">
        <v>332</v>
      </c>
      <c r="F14" s="13">
        <v>3</v>
      </c>
      <c r="G14" s="18">
        <v>3</v>
      </c>
      <c r="H14" s="18">
        <v>81642</v>
      </c>
      <c r="I14" s="18" t="s">
        <v>17</v>
      </c>
      <c r="J14" s="18">
        <v>19676827</v>
      </c>
      <c r="K14" s="18" t="s">
        <v>656</v>
      </c>
      <c r="L14" s="18" t="s">
        <v>661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993</v>
      </c>
      <c r="B15" s="6">
        <f t="shared" si="2"/>
        <v>46108</v>
      </c>
      <c r="C15" s="6">
        <f t="shared" si="2"/>
        <v>46113</v>
      </c>
      <c r="D15" s="13">
        <v>3249</v>
      </c>
      <c r="E15" s="13">
        <v>332</v>
      </c>
      <c r="F15" s="13">
        <v>3</v>
      </c>
      <c r="G15" s="18">
        <v>3</v>
      </c>
      <c r="H15" s="18">
        <v>81642</v>
      </c>
      <c r="I15" s="18" t="s">
        <v>17</v>
      </c>
      <c r="J15" s="18">
        <v>19676836</v>
      </c>
      <c r="K15" s="18" t="s">
        <v>656</v>
      </c>
      <c r="L15" s="18" t="s">
        <v>662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993</v>
      </c>
      <c r="B16" s="6">
        <f t="shared" si="2"/>
        <v>46108</v>
      </c>
      <c r="C16" s="6">
        <f t="shared" si="2"/>
        <v>46113</v>
      </c>
      <c r="D16" s="13">
        <v>3249</v>
      </c>
      <c r="E16" s="13">
        <v>332</v>
      </c>
      <c r="F16" s="13">
        <v>3</v>
      </c>
      <c r="G16" s="18">
        <v>3</v>
      </c>
      <c r="H16" s="18">
        <v>81642</v>
      </c>
      <c r="I16" s="18" t="s">
        <v>17</v>
      </c>
      <c r="J16" s="18">
        <v>19676845</v>
      </c>
      <c r="K16" s="18" t="s">
        <v>656</v>
      </c>
      <c r="L16" s="18" t="s">
        <v>663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993</v>
      </c>
      <c r="B17" s="6">
        <f t="shared" si="2"/>
        <v>46108</v>
      </c>
      <c r="C17" s="6">
        <f t="shared" si="2"/>
        <v>46113</v>
      </c>
      <c r="D17" s="13">
        <v>3249</v>
      </c>
      <c r="E17" s="13">
        <v>332</v>
      </c>
      <c r="F17" s="13">
        <v>3</v>
      </c>
      <c r="G17" s="18">
        <v>3</v>
      </c>
      <c r="H17" s="18">
        <v>81642</v>
      </c>
      <c r="I17" s="18" t="s">
        <v>17</v>
      </c>
      <c r="J17" s="18">
        <v>19676854</v>
      </c>
      <c r="K17" s="18" t="s">
        <v>656</v>
      </c>
      <c r="L17" s="18" t="s">
        <v>664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993</v>
      </c>
      <c r="B18" s="6">
        <f t="shared" si="2"/>
        <v>46108</v>
      </c>
      <c r="C18" s="6">
        <f t="shared" si="2"/>
        <v>46113</v>
      </c>
      <c r="D18" s="13">
        <v>3249</v>
      </c>
      <c r="E18" s="13">
        <v>332</v>
      </c>
      <c r="F18" s="13">
        <v>3</v>
      </c>
      <c r="G18" s="18">
        <v>3</v>
      </c>
      <c r="H18" s="18">
        <v>81642</v>
      </c>
      <c r="I18" s="18" t="s">
        <v>17</v>
      </c>
      <c r="J18" s="18">
        <v>19676863</v>
      </c>
      <c r="K18" s="18" t="s">
        <v>656</v>
      </c>
      <c r="L18" s="18" t="s">
        <v>665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993</v>
      </c>
      <c r="B19" s="6">
        <f t="shared" si="2"/>
        <v>46108</v>
      </c>
      <c r="C19" s="6">
        <f t="shared" si="2"/>
        <v>46113</v>
      </c>
      <c r="D19" s="13">
        <v>3249</v>
      </c>
      <c r="E19" s="13">
        <v>332</v>
      </c>
      <c r="F19" s="13">
        <v>3</v>
      </c>
      <c r="G19" s="18">
        <v>3</v>
      </c>
      <c r="H19" s="18">
        <v>81642</v>
      </c>
      <c r="I19" s="18" t="s">
        <v>17</v>
      </c>
      <c r="J19" s="18">
        <v>19688127</v>
      </c>
      <c r="K19" s="18" t="s">
        <v>656</v>
      </c>
      <c r="L19" s="18" t="s">
        <v>666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993</v>
      </c>
      <c r="B20" s="6">
        <f t="shared" ref="B20:C35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42">
        <v>3</v>
      </c>
      <c r="H20" s="42">
        <v>81642</v>
      </c>
      <c r="I20" s="42" t="s">
        <v>17</v>
      </c>
      <c r="J20" s="42">
        <v>25741995</v>
      </c>
      <c r="K20" s="42" t="s">
        <v>667</v>
      </c>
      <c r="L20" s="43" t="s">
        <v>668</v>
      </c>
      <c r="M20" s="44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993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42">
        <v>3</v>
      </c>
      <c r="H21" s="42">
        <v>81642</v>
      </c>
      <c r="I21" s="42" t="s">
        <v>17</v>
      </c>
      <c r="J21" s="42">
        <v>25742001</v>
      </c>
      <c r="K21" s="42" t="s">
        <v>667</v>
      </c>
      <c r="L21" s="43" t="s">
        <v>669</v>
      </c>
      <c r="M21" s="44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993</v>
      </c>
      <c r="B22" s="6">
        <f t="shared" si="3"/>
        <v>46108</v>
      </c>
      <c r="C22" s="6">
        <f t="shared" si="3"/>
        <v>46113</v>
      </c>
      <c r="D22" s="5">
        <v>3249</v>
      </c>
      <c r="E22" s="5">
        <v>332</v>
      </c>
      <c r="F22" s="5">
        <v>3</v>
      </c>
      <c r="G22" s="42">
        <v>3</v>
      </c>
      <c r="H22" s="42">
        <v>81642</v>
      </c>
      <c r="I22" s="42" t="s">
        <v>17</v>
      </c>
      <c r="J22" s="42">
        <v>25742010</v>
      </c>
      <c r="K22" s="42" t="s">
        <v>667</v>
      </c>
      <c r="L22" s="43" t="s">
        <v>670</v>
      </c>
      <c r="M22" s="44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993</v>
      </c>
      <c r="B23" s="6">
        <f t="shared" si="3"/>
        <v>46108</v>
      </c>
      <c r="C23" s="6">
        <f t="shared" si="3"/>
        <v>46113</v>
      </c>
      <c r="D23" s="5">
        <v>3249</v>
      </c>
      <c r="E23" s="5">
        <v>332</v>
      </c>
      <c r="F23" s="5">
        <v>3</v>
      </c>
      <c r="G23" s="42">
        <v>3</v>
      </c>
      <c r="H23" s="42">
        <v>81642</v>
      </c>
      <c r="I23" s="42" t="s">
        <v>17</v>
      </c>
      <c r="J23" s="42">
        <v>25742038</v>
      </c>
      <c r="K23" s="42" t="s">
        <v>667</v>
      </c>
      <c r="L23" s="43" t="s">
        <v>671</v>
      </c>
      <c r="M23" s="44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993</v>
      </c>
      <c r="B24" s="6">
        <f t="shared" si="3"/>
        <v>46108</v>
      </c>
      <c r="C24" s="6">
        <f t="shared" si="3"/>
        <v>46113</v>
      </c>
      <c r="D24" s="5">
        <v>3249</v>
      </c>
      <c r="E24" s="5">
        <v>332</v>
      </c>
      <c r="F24" s="5">
        <v>3</v>
      </c>
      <c r="G24" s="42">
        <v>3</v>
      </c>
      <c r="H24" s="42">
        <v>81642</v>
      </c>
      <c r="I24" s="42" t="s">
        <v>17</v>
      </c>
      <c r="J24" s="42">
        <v>25742047</v>
      </c>
      <c r="K24" s="42" t="s">
        <v>667</v>
      </c>
      <c r="L24" s="43" t="s">
        <v>672</v>
      </c>
      <c r="M24" s="44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993</v>
      </c>
      <c r="B25" s="6">
        <f t="shared" si="3"/>
        <v>46108</v>
      </c>
      <c r="C25" s="6">
        <f t="shared" si="3"/>
        <v>46113</v>
      </c>
      <c r="D25" s="5">
        <v>3249</v>
      </c>
      <c r="E25" s="5">
        <v>332</v>
      </c>
      <c r="F25" s="5">
        <v>3</v>
      </c>
      <c r="G25" s="42">
        <v>3</v>
      </c>
      <c r="H25" s="42">
        <v>81642</v>
      </c>
      <c r="I25" s="42" t="s">
        <v>17</v>
      </c>
      <c r="J25" s="42">
        <v>25742065</v>
      </c>
      <c r="K25" s="42" t="s">
        <v>673</v>
      </c>
      <c r="L25" s="43" t="s">
        <v>674</v>
      </c>
      <c r="M25" s="44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993</v>
      </c>
      <c r="B26" s="6">
        <f t="shared" si="3"/>
        <v>46108</v>
      </c>
      <c r="C26" s="6">
        <f t="shared" si="3"/>
        <v>46113</v>
      </c>
      <c r="D26" s="5">
        <v>3249</v>
      </c>
      <c r="E26" s="5">
        <v>332</v>
      </c>
      <c r="F26" s="5">
        <v>3</v>
      </c>
      <c r="G26" s="42">
        <v>3</v>
      </c>
      <c r="H26" s="42">
        <v>81642</v>
      </c>
      <c r="I26" s="42" t="s">
        <v>17</v>
      </c>
      <c r="J26" s="42">
        <v>25742074</v>
      </c>
      <c r="K26" s="42" t="s">
        <v>673</v>
      </c>
      <c r="L26" s="43" t="s">
        <v>675</v>
      </c>
      <c r="M26" s="44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993</v>
      </c>
      <c r="B27" s="6">
        <f t="shared" si="3"/>
        <v>46108</v>
      </c>
      <c r="C27" s="6">
        <f t="shared" si="3"/>
        <v>46113</v>
      </c>
      <c r="D27" s="5">
        <v>3249</v>
      </c>
      <c r="E27" s="5">
        <v>332</v>
      </c>
      <c r="F27" s="5">
        <v>3</v>
      </c>
      <c r="G27" s="42">
        <v>3</v>
      </c>
      <c r="H27" s="42">
        <v>81642</v>
      </c>
      <c r="I27" s="42" t="s">
        <v>17</v>
      </c>
      <c r="J27" s="42">
        <v>25742083</v>
      </c>
      <c r="K27" s="42" t="s">
        <v>673</v>
      </c>
      <c r="L27" s="43" t="s">
        <v>676</v>
      </c>
      <c r="M27" s="44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993</v>
      </c>
      <c r="B28" s="6">
        <f t="shared" si="3"/>
        <v>46108</v>
      </c>
      <c r="C28" s="6">
        <f t="shared" si="3"/>
        <v>46113</v>
      </c>
      <c r="D28" s="5">
        <v>3249</v>
      </c>
      <c r="E28" s="5">
        <v>332</v>
      </c>
      <c r="F28" s="5">
        <v>3</v>
      </c>
      <c r="G28" s="42">
        <v>3</v>
      </c>
      <c r="H28" s="42">
        <v>81642</v>
      </c>
      <c r="I28" s="42" t="s">
        <v>17</v>
      </c>
      <c r="J28" s="42">
        <v>25742109</v>
      </c>
      <c r="K28" s="42" t="s">
        <v>673</v>
      </c>
      <c r="L28" s="43" t="s">
        <v>677</v>
      </c>
      <c r="M28" s="44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993</v>
      </c>
      <c r="B29" s="6">
        <f t="shared" si="3"/>
        <v>46108</v>
      </c>
      <c r="C29" s="6">
        <f t="shared" si="3"/>
        <v>46113</v>
      </c>
      <c r="D29" s="5">
        <v>3249</v>
      </c>
      <c r="E29" s="5">
        <v>332</v>
      </c>
      <c r="F29" s="5">
        <v>3</v>
      </c>
      <c r="G29" s="42">
        <v>3</v>
      </c>
      <c r="H29" s="42">
        <v>81642</v>
      </c>
      <c r="I29" s="42" t="s">
        <v>17</v>
      </c>
      <c r="J29" s="42">
        <v>25742118</v>
      </c>
      <c r="K29" s="42" t="s">
        <v>673</v>
      </c>
      <c r="L29" s="43" t="s">
        <v>678</v>
      </c>
      <c r="M29" s="44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993</v>
      </c>
      <c r="B30" s="6">
        <f t="shared" si="3"/>
        <v>46108</v>
      </c>
      <c r="C30" s="6">
        <f t="shared" si="3"/>
        <v>46113</v>
      </c>
      <c r="D30" s="5">
        <v>3249</v>
      </c>
      <c r="E30" s="5">
        <v>332</v>
      </c>
      <c r="F30" s="5">
        <v>3</v>
      </c>
      <c r="G30" s="42">
        <v>3</v>
      </c>
      <c r="H30" s="42">
        <v>81642</v>
      </c>
      <c r="I30" s="42" t="s">
        <v>17</v>
      </c>
      <c r="J30" s="42">
        <v>26763406</v>
      </c>
      <c r="K30" s="42" t="s">
        <v>679</v>
      </c>
      <c r="L30" s="43" t="s">
        <v>680</v>
      </c>
      <c r="M30" s="44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993</v>
      </c>
      <c r="B31" s="6">
        <f t="shared" si="3"/>
        <v>46108</v>
      </c>
      <c r="C31" s="6">
        <f t="shared" si="3"/>
        <v>46113</v>
      </c>
      <c r="D31" s="5">
        <v>3249</v>
      </c>
      <c r="E31" s="5">
        <v>332</v>
      </c>
      <c r="F31" s="5">
        <v>3</v>
      </c>
      <c r="G31" s="42">
        <v>3</v>
      </c>
      <c r="H31" s="42">
        <v>81642</v>
      </c>
      <c r="I31" s="42" t="s">
        <v>17</v>
      </c>
      <c r="J31" s="42">
        <v>26763415</v>
      </c>
      <c r="K31" s="42" t="s">
        <v>679</v>
      </c>
      <c r="L31" s="43" t="s">
        <v>681</v>
      </c>
      <c r="M31" s="44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993</v>
      </c>
      <c r="B32" s="6">
        <f t="shared" si="3"/>
        <v>46108</v>
      </c>
      <c r="C32" s="6">
        <f t="shared" si="3"/>
        <v>46113</v>
      </c>
      <c r="D32" s="5">
        <v>3249</v>
      </c>
      <c r="E32" s="5">
        <v>332</v>
      </c>
      <c r="F32" s="5">
        <v>3</v>
      </c>
      <c r="G32" s="42">
        <v>3</v>
      </c>
      <c r="H32" s="42">
        <v>81642</v>
      </c>
      <c r="I32" s="42" t="s">
        <v>17</v>
      </c>
      <c r="J32" s="42">
        <v>26763424</v>
      </c>
      <c r="K32" s="42" t="s">
        <v>679</v>
      </c>
      <c r="L32" s="43" t="s">
        <v>682</v>
      </c>
      <c r="M32" s="44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993</v>
      </c>
      <c r="B33" s="6">
        <f t="shared" si="3"/>
        <v>46108</v>
      </c>
      <c r="C33" s="6">
        <f t="shared" si="3"/>
        <v>46113</v>
      </c>
      <c r="D33" s="5">
        <v>3249</v>
      </c>
      <c r="E33" s="5">
        <v>332</v>
      </c>
      <c r="F33" s="5">
        <v>3</v>
      </c>
      <c r="G33" s="42">
        <v>3</v>
      </c>
      <c r="H33" s="42">
        <v>81642</v>
      </c>
      <c r="I33" s="42" t="s">
        <v>17</v>
      </c>
      <c r="J33" s="42">
        <v>26763442</v>
      </c>
      <c r="K33" s="42" t="s">
        <v>679</v>
      </c>
      <c r="L33" s="43" t="s">
        <v>683</v>
      </c>
      <c r="M33" s="44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993</v>
      </c>
      <c r="B34" s="6">
        <f t="shared" si="3"/>
        <v>46108</v>
      </c>
      <c r="C34" s="6">
        <f t="shared" si="3"/>
        <v>46113</v>
      </c>
      <c r="D34" s="5">
        <v>3249</v>
      </c>
      <c r="E34" s="5">
        <v>332</v>
      </c>
      <c r="F34" s="5">
        <v>3</v>
      </c>
      <c r="G34" s="42">
        <v>3</v>
      </c>
      <c r="H34" s="42">
        <v>81642</v>
      </c>
      <c r="I34" s="42" t="s">
        <v>17</v>
      </c>
      <c r="J34" s="42">
        <v>26763451</v>
      </c>
      <c r="K34" s="42" t="s">
        <v>679</v>
      </c>
      <c r="L34" s="43" t="s">
        <v>684</v>
      </c>
      <c r="M34" s="44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993</v>
      </c>
      <c r="B35" s="6">
        <f t="shared" si="3"/>
        <v>46108</v>
      </c>
      <c r="C35" s="6">
        <f t="shared" si="3"/>
        <v>46113</v>
      </c>
      <c r="D35" s="5">
        <v>3249</v>
      </c>
      <c r="E35" s="5">
        <v>332</v>
      </c>
      <c r="F35" s="5">
        <v>3</v>
      </c>
      <c r="G35" s="18">
        <v>3</v>
      </c>
      <c r="H35" s="18"/>
      <c r="I35" s="5" t="s">
        <v>17</v>
      </c>
      <c r="J35" s="18">
        <v>51198024</v>
      </c>
      <c r="K35" s="45" t="s">
        <v>20</v>
      </c>
      <c r="L35" s="18" t="s">
        <v>685</v>
      </c>
      <c r="M35" s="26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18" t="s">
        <v>993</v>
      </c>
      <c r="B36" s="6">
        <f t="shared" ref="B36:C40" si="4">B35</f>
        <v>46108</v>
      </c>
      <c r="C36" s="6">
        <f t="shared" si="4"/>
        <v>46113</v>
      </c>
      <c r="D36" s="5">
        <v>3249</v>
      </c>
      <c r="E36" s="5">
        <v>332</v>
      </c>
      <c r="F36" s="5">
        <v>3</v>
      </c>
      <c r="G36" s="18">
        <v>3</v>
      </c>
      <c r="H36" s="18"/>
      <c r="I36" s="5" t="s">
        <v>17</v>
      </c>
      <c r="J36" s="18">
        <v>51197874</v>
      </c>
      <c r="K36" s="18" t="s">
        <v>23</v>
      </c>
      <c r="L36" s="18" t="s">
        <v>686</v>
      </c>
      <c r="M36" s="26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18" t="s">
        <v>993</v>
      </c>
      <c r="B37" s="6">
        <f t="shared" si="4"/>
        <v>46108</v>
      </c>
      <c r="C37" s="6">
        <f t="shared" si="4"/>
        <v>46113</v>
      </c>
      <c r="D37" s="5">
        <v>3249</v>
      </c>
      <c r="E37" s="5">
        <v>332</v>
      </c>
      <c r="F37" s="5">
        <v>3</v>
      </c>
      <c r="G37" s="18">
        <v>3</v>
      </c>
      <c r="H37" s="18"/>
      <c r="I37" s="5" t="s">
        <v>17</v>
      </c>
      <c r="J37" s="18">
        <v>51197936</v>
      </c>
      <c r="K37" s="18" t="s">
        <v>23</v>
      </c>
      <c r="L37" s="18" t="s">
        <v>687</v>
      </c>
      <c r="M37" s="26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18" t="s">
        <v>993</v>
      </c>
      <c r="B38" s="6">
        <f t="shared" si="4"/>
        <v>46108</v>
      </c>
      <c r="C38" s="6">
        <f t="shared" si="4"/>
        <v>46113</v>
      </c>
      <c r="D38" s="5">
        <v>3249</v>
      </c>
      <c r="E38" s="5">
        <v>332</v>
      </c>
      <c r="F38" s="5">
        <v>3</v>
      </c>
      <c r="G38" s="18">
        <v>3</v>
      </c>
      <c r="H38" s="18"/>
      <c r="I38" s="5" t="s">
        <v>17</v>
      </c>
      <c r="J38" s="18">
        <v>51833159</v>
      </c>
      <c r="K38" s="18" t="s">
        <v>23</v>
      </c>
      <c r="L38" s="18" t="s">
        <v>688</v>
      </c>
      <c r="M38" s="26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993</v>
      </c>
      <c r="B39" s="6">
        <f t="shared" si="4"/>
        <v>46108</v>
      </c>
      <c r="C39" s="6">
        <f t="shared" si="4"/>
        <v>46113</v>
      </c>
      <c r="D39" s="5">
        <v>3249</v>
      </c>
      <c r="E39" s="5">
        <v>332</v>
      </c>
      <c r="F39" s="5">
        <v>3</v>
      </c>
      <c r="G39" s="18">
        <v>3</v>
      </c>
      <c r="H39" s="18"/>
      <c r="I39" s="5" t="s">
        <v>17</v>
      </c>
      <c r="J39" s="18">
        <v>51198088</v>
      </c>
      <c r="K39" s="18" t="s">
        <v>20</v>
      </c>
      <c r="L39" s="18" t="s">
        <v>689</v>
      </c>
      <c r="M39" s="26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993</v>
      </c>
      <c r="B40" s="6">
        <f t="shared" si="4"/>
        <v>46108</v>
      </c>
      <c r="C40" s="6">
        <f t="shared" si="4"/>
        <v>46113</v>
      </c>
      <c r="D40" s="5">
        <v>3249</v>
      </c>
      <c r="E40" s="5">
        <v>332</v>
      </c>
      <c r="F40" s="5">
        <v>3</v>
      </c>
      <c r="G40" s="5">
        <v>3</v>
      </c>
      <c r="H40" s="18"/>
      <c r="I40" s="5" t="s">
        <v>17</v>
      </c>
      <c r="J40" s="18">
        <v>51459055</v>
      </c>
      <c r="K40" s="18" t="s">
        <v>18</v>
      </c>
      <c r="L40" s="18" t="s">
        <v>690</v>
      </c>
      <c r="M40" s="26">
        <v>249900</v>
      </c>
      <c r="N40" s="34">
        <v>0.75</v>
      </c>
      <c r="O40" s="7">
        <f t="shared" si="0"/>
        <v>62475</v>
      </c>
      <c r="P40" s="18" t="s">
        <v>16</v>
      </c>
    </row>
  </sheetData>
  <autoFilter ref="A1:P34" xr:uid="{00000000-0009-0000-0000-000008000000}"/>
  <conditionalFormatting sqref="J1:J19">
    <cfRule type="duplicateValues" dxfId="369" priority="16"/>
  </conditionalFormatting>
  <conditionalFormatting sqref="J1:J34 J41:J1048576">
    <cfRule type="duplicateValues" dxfId="368" priority="14"/>
  </conditionalFormatting>
  <conditionalFormatting sqref="J20:J34">
    <cfRule type="duplicateValues" dxfId="367" priority="15"/>
  </conditionalFormatting>
  <conditionalFormatting sqref="J35">
    <cfRule type="duplicateValues" dxfId="366" priority="12"/>
    <cfRule type="duplicateValues" dxfId="365" priority="13"/>
  </conditionalFormatting>
  <conditionalFormatting sqref="J35:J39">
    <cfRule type="duplicateValues" dxfId="364" priority="8"/>
  </conditionalFormatting>
  <conditionalFormatting sqref="J35:J40">
    <cfRule type="duplicateValues" dxfId="363" priority="1"/>
    <cfRule type="duplicateValues" dxfId="362" priority="2"/>
    <cfRule type="duplicateValues" dxfId="361" priority="3"/>
    <cfRule type="duplicateValues" dxfId="360" priority="4"/>
    <cfRule type="duplicateValues" dxfId="359" priority="5"/>
  </conditionalFormatting>
  <conditionalFormatting sqref="J36:J37">
    <cfRule type="duplicateValues" dxfId="358" priority="11"/>
  </conditionalFormatting>
  <conditionalFormatting sqref="J38">
    <cfRule type="duplicateValues" dxfId="357" priority="10"/>
  </conditionalFormatting>
  <conditionalFormatting sqref="J39">
    <cfRule type="duplicateValues" dxfId="356" priority="9"/>
  </conditionalFormatting>
  <conditionalFormatting sqref="J40">
    <cfRule type="duplicateValues" dxfId="355" priority="6"/>
    <cfRule type="duplicateValues" dxfId="354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9C1A-11F1-4B04-8E06-531E48459200}">
  <sheetPr>
    <tabColor rgb="FFFFFF00"/>
  </sheetPr>
  <dimension ref="A1:P96"/>
  <sheetViews>
    <sheetView zoomScale="58" workbookViewId="0">
      <selection activeCell="P33" sqref="P33"/>
    </sheetView>
  </sheetViews>
  <sheetFormatPr defaultColWidth="8.7265625" defaultRowHeight="14.5" x14ac:dyDescent="0.35"/>
  <cols>
    <col min="1" max="1" width="25.6328125" style="10" bestFit="1" customWidth="1"/>
    <col min="2" max="2" width="10.81640625" style="10" bestFit="1" customWidth="1"/>
    <col min="3" max="3" width="11.6328125" style="10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13.08984375" style="10" bestFit="1" customWidth="1"/>
    <col min="10" max="10" width="8.81640625" style="10" bestFit="1" customWidth="1"/>
    <col min="11" max="11" width="12.90625" style="10" bestFit="1" customWidth="1"/>
    <col min="12" max="12" width="71.1796875" style="10" bestFit="1" customWidth="1"/>
    <col min="13" max="13" width="16.0898437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994</v>
      </c>
      <c r="B2" s="6">
        <v>46108</v>
      </c>
      <c r="C2" s="6">
        <v>46113</v>
      </c>
      <c r="D2" s="13">
        <v>3249</v>
      </c>
      <c r="E2" s="13">
        <v>332</v>
      </c>
      <c r="F2" s="13">
        <v>3</v>
      </c>
      <c r="G2" s="18">
        <v>1</v>
      </c>
      <c r="H2" s="18">
        <v>81642</v>
      </c>
      <c r="I2" s="18" t="s">
        <v>17</v>
      </c>
      <c r="J2" s="18">
        <v>19676041</v>
      </c>
      <c r="K2" s="18" t="s">
        <v>691</v>
      </c>
      <c r="L2" s="18" t="s">
        <v>692</v>
      </c>
      <c r="M2" s="41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994</v>
      </c>
      <c r="B3" s="6">
        <f t="shared" ref="B3:C3" si="1">B2</f>
        <v>46108</v>
      </c>
      <c r="C3" s="6">
        <f t="shared" si="1"/>
        <v>46113</v>
      </c>
      <c r="D3" s="13">
        <v>3249</v>
      </c>
      <c r="E3" s="13">
        <v>332</v>
      </c>
      <c r="F3" s="13">
        <v>3</v>
      </c>
      <c r="G3" s="18">
        <v>1</v>
      </c>
      <c r="H3" s="18">
        <v>81642</v>
      </c>
      <c r="I3" s="18" t="s">
        <v>17</v>
      </c>
      <c r="J3" s="18">
        <v>19676050</v>
      </c>
      <c r="K3" s="18" t="s">
        <v>691</v>
      </c>
      <c r="L3" s="18" t="s">
        <v>692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994</v>
      </c>
      <c r="B4" s="6">
        <f t="shared" ref="B4:C19" si="2">B3</f>
        <v>46108</v>
      </c>
      <c r="C4" s="6">
        <f t="shared" si="2"/>
        <v>46113</v>
      </c>
      <c r="D4" s="13">
        <v>3249</v>
      </c>
      <c r="E4" s="13">
        <v>332</v>
      </c>
      <c r="F4" s="13">
        <v>3</v>
      </c>
      <c r="G4" s="18">
        <v>1</v>
      </c>
      <c r="H4" s="18">
        <v>81642</v>
      </c>
      <c r="I4" s="18" t="s">
        <v>17</v>
      </c>
      <c r="J4" s="18">
        <v>19676069</v>
      </c>
      <c r="K4" s="18" t="s">
        <v>691</v>
      </c>
      <c r="L4" s="18" t="s">
        <v>692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994</v>
      </c>
      <c r="B5" s="6">
        <f t="shared" si="2"/>
        <v>46108</v>
      </c>
      <c r="C5" s="6">
        <f t="shared" si="2"/>
        <v>46113</v>
      </c>
      <c r="D5" s="13">
        <v>3249</v>
      </c>
      <c r="E5" s="13">
        <v>332</v>
      </c>
      <c r="F5" s="13">
        <v>3</v>
      </c>
      <c r="G5" s="18">
        <v>1</v>
      </c>
      <c r="H5" s="18">
        <v>81642</v>
      </c>
      <c r="I5" s="18" t="s">
        <v>17</v>
      </c>
      <c r="J5" s="18">
        <v>19676078</v>
      </c>
      <c r="K5" s="18" t="s">
        <v>691</v>
      </c>
      <c r="L5" s="18" t="s">
        <v>692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994</v>
      </c>
      <c r="B6" s="6">
        <f t="shared" si="2"/>
        <v>46108</v>
      </c>
      <c r="C6" s="6">
        <f t="shared" si="2"/>
        <v>46113</v>
      </c>
      <c r="D6" s="13">
        <v>3249</v>
      </c>
      <c r="E6" s="13">
        <v>332</v>
      </c>
      <c r="F6" s="13">
        <v>3</v>
      </c>
      <c r="G6" s="18">
        <v>1</v>
      </c>
      <c r="H6" s="18">
        <v>81642</v>
      </c>
      <c r="I6" s="18" t="s">
        <v>17</v>
      </c>
      <c r="J6" s="18">
        <v>19676087</v>
      </c>
      <c r="K6" s="18" t="s">
        <v>691</v>
      </c>
      <c r="L6" s="18" t="s">
        <v>692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994</v>
      </c>
      <c r="B7" s="6">
        <f t="shared" si="2"/>
        <v>46108</v>
      </c>
      <c r="C7" s="6">
        <f t="shared" si="2"/>
        <v>46113</v>
      </c>
      <c r="D7" s="13">
        <v>3249</v>
      </c>
      <c r="E7" s="13">
        <v>332</v>
      </c>
      <c r="F7" s="13">
        <v>3</v>
      </c>
      <c r="G7" s="18">
        <v>1</v>
      </c>
      <c r="H7" s="18">
        <v>81642</v>
      </c>
      <c r="I7" s="18" t="s">
        <v>17</v>
      </c>
      <c r="J7" s="18">
        <v>19676096</v>
      </c>
      <c r="K7" s="18" t="s">
        <v>693</v>
      </c>
      <c r="L7" s="18" t="s">
        <v>694</v>
      </c>
      <c r="M7" s="41">
        <v>179900</v>
      </c>
      <c r="N7" s="34">
        <v>0.75</v>
      </c>
      <c r="O7" s="7">
        <f t="shared" si="0"/>
        <v>44975</v>
      </c>
      <c r="P7" s="18" t="s">
        <v>16</v>
      </c>
    </row>
    <row r="8" spans="1:16" x14ac:dyDescent="0.35">
      <c r="A8" s="18" t="s">
        <v>994</v>
      </c>
      <c r="B8" s="6">
        <f t="shared" si="2"/>
        <v>46108</v>
      </c>
      <c r="C8" s="6">
        <f t="shared" si="2"/>
        <v>46113</v>
      </c>
      <c r="D8" s="13">
        <v>3249</v>
      </c>
      <c r="E8" s="13">
        <v>332</v>
      </c>
      <c r="F8" s="13">
        <v>3</v>
      </c>
      <c r="G8" s="18">
        <v>1</v>
      </c>
      <c r="H8" s="18">
        <v>81642</v>
      </c>
      <c r="I8" s="18" t="s">
        <v>17</v>
      </c>
      <c r="J8" s="18">
        <v>19676103</v>
      </c>
      <c r="K8" s="18" t="s">
        <v>693</v>
      </c>
      <c r="L8" s="18" t="s">
        <v>694</v>
      </c>
      <c r="M8" s="41">
        <v>179900</v>
      </c>
      <c r="N8" s="34">
        <v>0.75</v>
      </c>
      <c r="O8" s="7">
        <f t="shared" si="0"/>
        <v>44975</v>
      </c>
      <c r="P8" s="18" t="s">
        <v>16</v>
      </c>
    </row>
    <row r="9" spans="1:16" x14ac:dyDescent="0.35">
      <c r="A9" s="18" t="s">
        <v>994</v>
      </c>
      <c r="B9" s="6">
        <f t="shared" si="2"/>
        <v>46108</v>
      </c>
      <c r="C9" s="6">
        <f t="shared" si="2"/>
        <v>46113</v>
      </c>
      <c r="D9" s="13">
        <v>3249</v>
      </c>
      <c r="E9" s="13">
        <v>332</v>
      </c>
      <c r="F9" s="13">
        <v>3</v>
      </c>
      <c r="G9" s="18">
        <v>1</v>
      </c>
      <c r="H9" s="18">
        <v>81642</v>
      </c>
      <c r="I9" s="18" t="s">
        <v>17</v>
      </c>
      <c r="J9" s="18">
        <v>19676112</v>
      </c>
      <c r="K9" s="18" t="s">
        <v>693</v>
      </c>
      <c r="L9" s="18" t="s">
        <v>694</v>
      </c>
      <c r="M9" s="41">
        <v>179900</v>
      </c>
      <c r="N9" s="34">
        <v>0.75</v>
      </c>
      <c r="O9" s="7">
        <f t="shared" si="0"/>
        <v>44975</v>
      </c>
      <c r="P9" s="18" t="s">
        <v>16</v>
      </c>
    </row>
    <row r="10" spans="1:16" x14ac:dyDescent="0.35">
      <c r="A10" s="18" t="s">
        <v>994</v>
      </c>
      <c r="B10" s="6">
        <f t="shared" si="2"/>
        <v>46108</v>
      </c>
      <c r="C10" s="6">
        <f t="shared" si="2"/>
        <v>46113</v>
      </c>
      <c r="D10" s="13">
        <v>3249</v>
      </c>
      <c r="E10" s="13">
        <v>332</v>
      </c>
      <c r="F10" s="13">
        <v>3</v>
      </c>
      <c r="G10" s="18">
        <v>1</v>
      </c>
      <c r="H10" s="18">
        <v>81642</v>
      </c>
      <c r="I10" s="18" t="s">
        <v>17</v>
      </c>
      <c r="J10" s="18">
        <v>19676121</v>
      </c>
      <c r="K10" s="18" t="s">
        <v>693</v>
      </c>
      <c r="L10" s="18" t="s">
        <v>694</v>
      </c>
      <c r="M10" s="41">
        <v>179900</v>
      </c>
      <c r="N10" s="34">
        <v>0.75</v>
      </c>
      <c r="O10" s="7">
        <f t="shared" si="0"/>
        <v>44975</v>
      </c>
      <c r="P10" s="18" t="s">
        <v>16</v>
      </c>
    </row>
    <row r="11" spans="1:16" x14ac:dyDescent="0.35">
      <c r="A11" s="18" t="s">
        <v>994</v>
      </c>
      <c r="B11" s="6">
        <f t="shared" si="2"/>
        <v>46108</v>
      </c>
      <c r="C11" s="6">
        <f t="shared" si="2"/>
        <v>46113</v>
      </c>
      <c r="D11" s="13">
        <v>3249</v>
      </c>
      <c r="E11" s="13">
        <v>332</v>
      </c>
      <c r="F11" s="13">
        <v>3</v>
      </c>
      <c r="G11" s="18">
        <v>1</v>
      </c>
      <c r="H11" s="18">
        <v>81642</v>
      </c>
      <c r="I11" s="18" t="s">
        <v>17</v>
      </c>
      <c r="J11" s="18">
        <v>19676130</v>
      </c>
      <c r="K11" s="18" t="s">
        <v>693</v>
      </c>
      <c r="L11" s="18" t="s">
        <v>694</v>
      </c>
      <c r="M11" s="41">
        <v>179900</v>
      </c>
      <c r="N11" s="34">
        <v>0.75</v>
      </c>
      <c r="O11" s="7">
        <f t="shared" si="0"/>
        <v>44975</v>
      </c>
      <c r="P11" s="18" t="s">
        <v>16</v>
      </c>
    </row>
    <row r="12" spans="1:16" x14ac:dyDescent="0.35">
      <c r="A12" s="18" t="s">
        <v>994</v>
      </c>
      <c r="B12" s="6">
        <f t="shared" si="2"/>
        <v>46108</v>
      </c>
      <c r="C12" s="6">
        <f t="shared" si="2"/>
        <v>46113</v>
      </c>
      <c r="D12" s="13">
        <v>3249</v>
      </c>
      <c r="E12" s="13">
        <v>332</v>
      </c>
      <c r="F12" s="13">
        <v>3</v>
      </c>
      <c r="G12" s="18">
        <v>2</v>
      </c>
      <c r="H12" s="18">
        <v>81642</v>
      </c>
      <c r="I12" s="18" t="s">
        <v>17</v>
      </c>
      <c r="J12" s="18">
        <v>15520091</v>
      </c>
      <c r="K12" s="18" t="s">
        <v>695</v>
      </c>
      <c r="L12" s="18" t="s">
        <v>696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994</v>
      </c>
      <c r="B13" s="6">
        <f t="shared" si="2"/>
        <v>46108</v>
      </c>
      <c r="C13" s="6">
        <f t="shared" si="2"/>
        <v>46113</v>
      </c>
      <c r="D13" s="13">
        <v>3249</v>
      </c>
      <c r="E13" s="13">
        <v>332</v>
      </c>
      <c r="F13" s="13">
        <v>3</v>
      </c>
      <c r="G13" s="18">
        <v>2</v>
      </c>
      <c r="H13" s="18">
        <v>81642</v>
      </c>
      <c r="I13" s="18" t="s">
        <v>17</v>
      </c>
      <c r="J13" s="18">
        <v>15520108</v>
      </c>
      <c r="K13" s="18" t="s">
        <v>695</v>
      </c>
      <c r="L13" s="18" t="s">
        <v>696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994</v>
      </c>
      <c r="B14" s="6">
        <f t="shared" si="2"/>
        <v>46108</v>
      </c>
      <c r="C14" s="6">
        <f t="shared" si="2"/>
        <v>46113</v>
      </c>
      <c r="D14" s="13">
        <v>3249</v>
      </c>
      <c r="E14" s="13">
        <v>332</v>
      </c>
      <c r="F14" s="13">
        <v>3</v>
      </c>
      <c r="G14" s="18">
        <v>2</v>
      </c>
      <c r="H14" s="18">
        <v>81642</v>
      </c>
      <c r="I14" s="18" t="s">
        <v>17</v>
      </c>
      <c r="J14" s="18">
        <v>15520117</v>
      </c>
      <c r="K14" s="18" t="s">
        <v>695</v>
      </c>
      <c r="L14" s="18" t="s">
        <v>696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994</v>
      </c>
      <c r="B15" s="6">
        <f t="shared" si="2"/>
        <v>46108</v>
      </c>
      <c r="C15" s="6">
        <f t="shared" si="2"/>
        <v>46113</v>
      </c>
      <c r="D15" s="13">
        <v>3249</v>
      </c>
      <c r="E15" s="13">
        <v>332</v>
      </c>
      <c r="F15" s="13">
        <v>3</v>
      </c>
      <c r="G15" s="18">
        <v>2</v>
      </c>
      <c r="H15" s="18">
        <v>81642</v>
      </c>
      <c r="I15" s="18" t="s">
        <v>17</v>
      </c>
      <c r="J15" s="18">
        <v>15520126</v>
      </c>
      <c r="K15" s="18" t="s">
        <v>695</v>
      </c>
      <c r="L15" s="18" t="s">
        <v>696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994</v>
      </c>
      <c r="B16" s="6">
        <f t="shared" si="2"/>
        <v>46108</v>
      </c>
      <c r="C16" s="6">
        <f t="shared" si="2"/>
        <v>46113</v>
      </c>
      <c r="D16" s="13">
        <v>3249</v>
      </c>
      <c r="E16" s="13">
        <v>332</v>
      </c>
      <c r="F16" s="13">
        <v>3</v>
      </c>
      <c r="G16" s="18">
        <v>2</v>
      </c>
      <c r="H16" s="18">
        <v>81642</v>
      </c>
      <c r="I16" s="18" t="s">
        <v>17</v>
      </c>
      <c r="J16" s="18">
        <v>15520135</v>
      </c>
      <c r="K16" s="18" t="s">
        <v>695</v>
      </c>
      <c r="L16" s="18" t="s">
        <v>696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994</v>
      </c>
      <c r="B17" s="6">
        <f t="shared" si="2"/>
        <v>46108</v>
      </c>
      <c r="C17" s="6">
        <f t="shared" si="2"/>
        <v>46113</v>
      </c>
      <c r="D17" s="13">
        <v>3249</v>
      </c>
      <c r="E17" s="13">
        <v>332</v>
      </c>
      <c r="F17" s="13">
        <v>3</v>
      </c>
      <c r="G17" s="18">
        <v>2</v>
      </c>
      <c r="H17" s="18">
        <v>81642</v>
      </c>
      <c r="I17" s="18" t="s">
        <v>17</v>
      </c>
      <c r="J17" s="18">
        <v>15520144</v>
      </c>
      <c r="K17" s="18" t="s">
        <v>695</v>
      </c>
      <c r="L17" s="18" t="s">
        <v>696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994</v>
      </c>
      <c r="B18" s="6">
        <f t="shared" si="2"/>
        <v>46108</v>
      </c>
      <c r="C18" s="6">
        <f t="shared" si="2"/>
        <v>46113</v>
      </c>
      <c r="D18" s="13">
        <v>3249</v>
      </c>
      <c r="E18" s="13">
        <v>332</v>
      </c>
      <c r="F18" s="13">
        <v>3</v>
      </c>
      <c r="G18" s="18">
        <v>2</v>
      </c>
      <c r="H18" s="18">
        <v>81642</v>
      </c>
      <c r="I18" s="18" t="s">
        <v>17</v>
      </c>
      <c r="J18" s="18">
        <v>19676158</v>
      </c>
      <c r="K18" s="18" t="s">
        <v>697</v>
      </c>
      <c r="L18" s="18" t="s">
        <v>698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994</v>
      </c>
      <c r="B19" s="6">
        <f t="shared" si="2"/>
        <v>46108</v>
      </c>
      <c r="C19" s="6">
        <f t="shared" si="2"/>
        <v>46113</v>
      </c>
      <c r="D19" s="13">
        <v>3249</v>
      </c>
      <c r="E19" s="13">
        <v>332</v>
      </c>
      <c r="F19" s="13">
        <v>3</v>
      </c>
      <c r="G19" s="18">
        <v>2</v>
      </c>
      <c r="H19" s="18">
        <v>81642</v>
      </c>
      <c r="I19" s="18" t="s">
        <v>17</v>
      </c>
      <c r="J19" s="18">
        <v>19676167</v>
      </c>
      <c r="K19" s="18" t="s">
        <v>697</v>
      </c>
      <c r="L19" s="18" t="s">
        <v>698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994</v>
      </c>
      <c r="B20" s="6">
        <f t="shared" ref="B20:C35" si="3">B19</f>
        <v>46108</v>
      </c>
      <c r="C20" s="6">
        <f t="shared" si="3"/>
        <v>46113</v>
      </c>
      <c r="D20" s="13">
        <v>3249</v>
      </c>
      <c r="E20" s="13">
        <v>332</v>
      </c>
      <c r="F20" s="13">
        <v>3</v>
      </c>
      <c r="G20" s="18">
        <v>2</v>
      </c>
      <c r="H20" s="18">
        <v>81642</v>
      </c>
      <c r="I20" s="18" t="s">
        <v>17</v>
      </c>
      <c r="J20" s="18">
        <v>19676176</v>
      </c>
      <c r="K20" s="18" t="s">
        <v>697</v>
      </c>
      <c r="L20" s="18" t="s">
        <v>698</v>
      </c>
      <c r="M20" s="41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994</v>
      </c>
      <c r="B21" s="6">
        <f t="shared" si="3"/>
        <v>46108</v>
      </c>
      <c r="C21" s="6">
        <f t="shared" si="3"/>
        <v>46113</v>
      </c>
      <c r="D21" s="13">
        <v>3249</v>
      </c>
      <c r="E21" s="13">
        <v>332</v>
      </c>
      <c r="F21" s="13">
        <v>3</v>
      </c>
      <c r="G21" s="18">
        <v>2</v>
      </c>
      <c r="H21" s="18">
        <v>81642</v>
      </c>
      <c r="I21" s="18" t="s">
        <v>17</v>
      </c>
      <c r="J21" s="18">
        <v>19676185</v>
      </c>
      <c r="K21" s="18" t="s">
        <v>697</v>
      </c>
      <c r="L21" s="18" t="s">
        <v>698</v>
      </c>
      <c r="M21" s="41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994</v>
      </c>
      <c r="B22" s="6">
        <f t="shared" si="3"/>
        <v>46108</v>
      </c>
      <c r="C22" s="6">
        <f t="shared" si="3"/>
        <v>46113</v>
      </c>
      <c r="D22" s="13">
        <v>3249</v>
      </c>
      <c r="E22" s="13">
        <v>332</v>
      </c>
      <c r="F22" s="13">
        <v>3</v>
      </c>
      <c r="G22" s="18">
        <v>2</v>
      </c>
      <c r="H22" s="18">
        <v>81642</v>
      </c>
      <c r="I22" s="18" t="s">
        <v>17</v>
      </c>
      <c r="J22" s="18">
        <v>19676194</v>
      </c>
      <c r="K22" s="18" t="s">
        <v>697</v>
      </c>
      <c r="L22" s="18" t="s">
        <v>698</v>
      </c>
      <c r="M22" s="41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994</v>
      </c>
      <c r="B23" s="6">
        <f t="shared" si="3"/>
        <v>46108</v>
      </c>
      <c r="C23" s="6">
        <f t="shared" si="3"/>
        <v>46113</v>
      </c>
      <c r="D23" s="13">
        <v>3249</v>
      </c>
      <c r="E23" s="13">
        <v>332</v>
      </c>
      <c r="F23" s="13">
        <v>3</v>
      </c>
      <c r="G23" s="18">
        <v>2</v>
      </c>
      <c r="H23" s="18">
        <v>81642</v>
      </c>
      <c r="I23" s="18" t="s">
        <v>17</v>
      </c>
      <c r="J23" s="18">
        <v>19676201</v>
      </c>
      <c r="K23" s="18" t="s">
        <v>699</v>
      </c>
      <c r="L23" s="18" t="s">
        <v>698</v>
      </c>
      <c r="M23" s="41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994</v>
      </c>
      <c r="B24" s="6">
        <f t="shared" si="3"/>
        <v>46108</v>
      </c>
      <c r="C24" s="6">
        <f t="shared" si="3"/>
        <v>46113</v>
      </c>
      <c r="D24" s="13">
        <v>3249</v>
      </c>
      <c r="E24" s="13">
        <v>332</v>
      </c>
      <c r="F24" s="13">
        <v>3</v>
      </c>
      <c r="G24" s="18">
        <v>2</v>
      </c>
      <c r="H24" s="18">
        <v>81642</v>
      </c>
      <c r="I24" s="18" t="s">
        <v>17</v>
      </c>
      <c r="J24" s="18">
        <v>19676210</v>
      </c>
      <c r="K24" s="18" t="s">
        <v>699</v>
      </c>
      <c r="L24" s="18" t="s">
        <v>698</v>
      </c>
      <c r="M24" s="41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994</v>
      </c>
      <c r="B25" s="6">
        <f t="shared" si="3"/>
        <v>46108</v>
      </c>
      <c r="C25" s="6">
        <f t="shared" si="3"/>
        <v>46113</v>
      </c>
      <c r="D25" s="13">
        <v>3249</v>
      </c>
      <c r="E25" s="13">
        <v>332</v>
      </c>
      <c r="F25" s="13">
        <v>3</v>
      </c>
      <c r="G25" s="18">
        <v>2</v>
      </c>
      <c r="H25" s="18">
        <v>81642</v>
      </c>
      <c r="I25" s="18" t="s">
        <v>17</v>
      </c>
      <c r="J25" s="18">
        <v>19676229</v>
      </c>
      <c r="K25" s="18" t="s">
        <v>699</v>
      </c>
      <c r="L25" s="18" t="s">
        <v>698</v>
      </c>
      <c r="M25" s="41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994</v>
      </c>
      <c r="B26" s="6">
        <f t="shared" si="3"/>
        <v>46108</v>
      </c>
      <c r="C26" s="6">
        <f t="shared" si="3"/>
        <v>46113</v>
      </c>
      <c r="D26" s="13">
        <v>3249</v>
      </c>
      <c r="E26" s="13">
        <v>332</v>
      </c>
      <c r="F26" s="13">
        <v>3</v>
      </c>
      <c r="G26" s="18">
        <v>2</v>
      </c>
      <c r="H26" s="18">
        <v>81642</v>
      </c>
      <c r="I26" s="18" t="s">
        <v>17</v>
      </c>
      <c r="J26" s="18">
        <v>19676283</v>
      </c>
      <c r="K26" s="18" t="s">
        <v>699</v>
      </c>
      <c r="L26" s="18" t="s">
        <v>698</v>
      </c>
      <c r="M26" s="41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994</v>
      </c>
      <c r="B27" s="6">
        <f t="shared" si="3"/>
        <v>46108</v>
      </c>
      <c r="C27" s="6">
        <f t="shared" si="3"/>
        <v>46113</v>
      </c>
      <c r="D27" s="13">
        <v>3249</v>
      </c>
      <c r="E27" s="13">
        <v>332</v>
      </c>
      <c r="F27" s="13">
        <v>3</v>
      </c>
      <c r="G27" s="18">
        <v>2</v>
      </c>
      <c r="H27" s="18">
        <v>81642</v>
      </c>
      <c r="I27" s="18" t="s">
        <v>17</v>
      </c>
      <c r="J27" s="18">
        <v>19676318</v>
      </c>
      <c r="K27" s="18" t="s">
        <v>699</v>
      </c>
      <c r="L27" s="18" t="s">
        <v>698</v>
      </c>
      <c r="M27" s="41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994</v>
      </c>
      <c r="B28" s="6">
        <f t="shared" si="3"/>
        <v>46108</v>
      </c>
      <c r="C28" s="6">
        <f t="shared" si="3"/>
        <v>46113</v>
      </c>
      <c r="D28" s="13">
        <v>3249</v>
      </c>
      <c r="E28" s="13">
        <v>332</v>
      </c>
      <c r="F28" s="13">
        <v>3</v>
      </c>
      <c r="G28" s="18">
        <v>2</v>
      </c>
      <c r="H28" s="18">
        <v>81642</v>
      </c>
      <c r="I28" s="18" t="s">
        <v>17</v>
      </c>
      <c r="J28" s="18">
        <v>19676327</v>
      </c>
      <c r="K28" s="18" t="s">
        <v>699</v>
      </c>
      <c r="L28" s="18" t="s">
        <v>698</v>
      </c>
      <c r="M28" s="41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994</v>
      </c>
      <c r="B29" s="6">
        <f t="shared" si="3"/>
        <v>46108</v>
      </c>
      <c r="C29" s="6">
        <f t="shared" si="3"/>
        <v>46113</v>
      </c>
      <c r="D29" s="13">
        <v>3249</v>
      </c>
      <c r="E29" s="13">
        <v>332</v>
      </c>
      <c r="F29" s="13">
        <v>3</v>
      </c>
      <c r="G29" s="18">
        <v>2</v>
      </c>
      <c r="H29" s="18">
        <v>81642</v>
      </c>
      <c r="I29" s="18" t="s">
        <v>17</v>
      </c>
      <c r="J29" s="18">
        <v>20820515</v>
      </c>
      <c r="K29" s="18" t="s">
        <v>700</v>
      </c>
      <c r="L29" s="18" t="s">
        <v>696</v>
      </c>
      <c r="M29" s="41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994</v>
      </c>
      <c r="B30" s="6">
        <f t="shared" si="3"/>
        <v>46108</v>
      </c>
      <c r="C30" s="6">
        <f t="shared" si="3"/>
        <v>46113</v>
      </c>
      <c r="D30" s="13">
        <v>3249</v>
      </c>
      <c r="E30" s="13">
        <v>332</v>
      </c>
      <c r="F30" s="13">
        <v>3</v>
      </c>
      <c r="G30" s="18">
        <v>2</v>
      </c>
      <c r="H30" s="18">
        <v>81642</v>
      </c>
      <c r="I30" s="18" t="s">
        <v>17</v>
      </c>
      <c r="J30" s="18">
        <v>20820524</v>
      </c>
      <c r="K30" s="18" t="s">
        <v>700</v>
      </c>
      <c r="L30" s="18" t="s">
        <v>696</v>
      </c>
      <c r="M30" s="41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994</v>
      </c>
      <c r="B31" s="6">
        <f t="shared" si="3"/>
        <v>46108</v>
      </c>
      <c r="C31" s="6">
        <f t="shared" si="3"/>
        <v>46113</v>
      </c>
      <c r="D31" s="13">
        <v>3249</v>
      </c>
      <c r="E31" s="13">
        <v>332</v>
      </c>
      <c r="F31" s="13">
        <v>3</v>
      </c>
      <c r="G31" s="18">
        <v>2</v>
      </c>
      <c r="H31" s="18">
        <v>81642</v>
      </c>
      <c r="I31" s="18" t="s">
        <v>17</v>
      </c>
      <c r="J31" s="18">
        <v>20820748</v>
      </c>
      <c r="K31" s="18" t="s">
        <v>700</v>
      </c>
      <c r="L31" s="18" t="s">
        <v>696</v>
      </c>
      <c r="M31" s="41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994</v>
      </c>
      <c r="B32" s="6">
        <f t="shared" si="3"/>
        <v>46108</v>
      </c>
      <c r="C32" s="6">
        <f t="shared" si="3"/>
        <v>46113</v>
      </c>
      <c r="D32" s="13">
        <v>3249</v>
      </c>
      <c r="E32" s="13">
        <v>332</v>
      </c>
      <c r="F32" s="13">
        <v>3</v>
      </c>
      <c r="G32" s="18">
        <v>2</v>
      </c>
      <c r="H32" s="18">
        <v>81642</v>
      </c>
      <c r="I32" s="18" t="s">
        <v>17</v>
      </c>
      <c r="J32" s="18">
        <v>20820757</v>
      </c>
      <c r="K32" s="18" t="s">
        <v>700</v>
      </c>
      <c r="L32" s="18" t="s">
        <v>696</v>
      </c>
      <c r="M32" s="41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994</v>
      </c>
      <c r="B33" s="6">
        <f t="shared" si="3"/>
        <v>46108</v>
      </c>
      <c r="C33" s="6">
        <f t="shared" si="3"/>
        <v>46113</v>
      </c>
      <c r="D33" s="13">
        <v>3249</v>
      </c>
      <c r="E33" s="13">
        <v>332</v>
      </c>
      <c r="F33" s="13">
        <v>3</v>
      </c>
      <c r="G33" s="18">
        <v>2</v>
      </c>
      <c r="H33" s="18">
        <v>81642</v>
      </c>
      <c r="I33" s="18" t="s">
        <v>17</v>
      </c>
      <c r="J33" s="18">
        <v>20820819</v>
      </c>
      <c r="K33" s="18" t="s">
        <v>700</v>
      </c>
      <c r="L33" s="18" t="s">
        <v>696</v>
      </c>
      <c r="M33" s="41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994</v>
      </c>
      <c r="B34" s="6">
        <f t="shared" si="3"/>
        <v>46108</v>
      </c>
      <c r="C34" s="6">
        <f t="shared" si="3"/>
        <v>46113</v>
      </c>
      <c r="D34" s="13">
        <v>3249</v>
      </c>
      <c r="E34" s="13">
        <v>332</v>
      </c>
      <c r="F34" s="13">
        <v>3</v>
      </c>
      <c r="G34" s="18">
        <v>2</v>
      </c>
      <c r="H34" s="18">
        <v>81642</v>
      </c>
      <c r="I34" s="18" t="s">
        <v>17</v>
      </c>
      <c r="J34" s="18">
        <v>23107406</v>
      </c>
      <c r="K34" s="18" t="s">
        <v>697</v>
      </c>
      <c r="L34" s="18" t="s">
        <v>698</v>
      </c>
      <c r="M34" s="41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994</v>
      </c>
      <c r="B35" s="6">
        <f t="shared" si="3"/>
        <v>46108</v>
      </c>
      <c r="C35" s="6">
        <f t="shared" si="3"/>
        <v>46113</v>
      </c>
      <c r="D35" s="13">
        <v>3249</v>
      </c>
      <c r="E35" s="13">
        <v>332</v>
      </c>
      <c r="F35" s="13">
        <v>3</v>
      </c>
      <c r="G35" s="18">
        <v>2</v>
      </c>
      <c r="H35" s="18">
        <v>81642</v>
      </c>
      <c r="I35" s="18" t="s">
        <v>17</v>
      </c>
      <c r="J35" s="18">
        <v>45344047</v>
      </c>
      <c r="K35" s="18" t="s">
        <v>701</v>
      </c>
      <c r="L35" s="18" t="s">
        <v>702</v>
      </c>
      <c r="M35" s="41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18" t="s">
        <v>994</v>
      </c>
      <c r="B36" s="6">
        <f t="shared" ref="B36:C51" si="4">B35</f>
        <v>46108</v>
      </c>
      <c r="C36" s="6">
        <f t="shared" si="4"/>
        <v>46113</v>
      </c>
      <c r="D36" s="13">
        <v>3249</v>
      </c>
      <c r="E36" s="13">
        <v>332</v>
      </c>
      <c r="F36" s="13">
        <v>3</v>
      </c>
      <c r="G36" s="18">
        <v>2</v>
      </c>
      <c r="H36" s="18">
        <v>81642</v>
      </c>
      <c r="I36" s="18" t="s">
        <v>17</v>
      </c>
      <c r="J36" s="18">
        <v>45344056</v>
      </c>
      <c r="K36" s="18" t="s">
        <v>701</v>
      </c>
      <c r="L36" s="18" t="s">
        <v>702</v>
      </c>
      <c r="M36" s="41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18" t="s">
        <v>994</v>
      </c>
      <c r="B37" s="6">
        <f t="shared" si="4"/>
        <v>46108</v>
      </c>
      <c r="C37" s="6">
        <f t="shared" si="4"/>
        <v>46113</v>
      </c>
      <c r="D37" s="13">
        <v>3249</v>
      </c>
      <c r="E37" s="13">
        <v>332</v>
      </c>
      <c r="F37" s="13">
        <v>3</v>
      </c>
      <c r="G37" s="18">
        <v>2</v>
      </c>
      <c r="H37" s="18">
        <v>81642</v>
      </c>
      <c r="I37" s="18" t="s">
        <v>17</v>
      </c>
      <c r="J37" s="18">
        <v>45344065</v>
      </c>
      <c r="K37" s="18" t="s">
        <v>701</v>
      </c>
      <c r="L37" s="18" t="s">
        <v>702</v>
      </c>
      <c r="M37" s="41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18" t="s">
        <v>994</v>
      </c>
      <c r="B38" s="6">
        <f t="shared" si="4"/>
        <v>46108</v>
      </c>
      <c r="C38" s="6">
        <f t="shared" si="4"/>
        <v>46113</v>
      </c>
      <c r="D38" s="13">
        <v>3249</v>
      </c>
      <c r="E38" s="13">
        <v>332</v>
      </c>
      <c r="F38" s="13">
        <v>3</v>
      </c>
      <c r="G38" s="18">
        <v>2</v>
      </c>
      <c r="H38" s="18">
        <v>81642</v>
      </c>
      <c r="I38" s="18" t="s">
        <v>17</v>
      </c>
      <c r="J38" s="18">
        <v>45344074</v>
      </c>
      <c r="K38" s="18" t="s">
        <v>701</v>
      </c>
      <c r="L38" s="18" t="s">
        <v>702</v>
      </c>
      <c r="M38" s="41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18" t="s">
        <v>994</v>
      </c>
      <c r="B39" s="6">
        <f t="shared" si="4"/>
        <v>46108</v>
      </c>
      <c r="C39" s="6">
        <f t="shared" si="4"/>
        <v>46113</v>
      </c>
      <c r="D39" s="13">
        <v>3249</v>
      </c>
      <c r="E39" s="13">
        <v>332</v>
      </c>
      <c r="F39" s="13">
        <v>3</v>
      </c>
      <c r="G39" s="18">
        <v>2</v>
      </c>
      <c r="H39" s="18">
        <v>81642</v>
      </c>
      <c r="I39" s="18" t="s">
        <v>17</v>
      </c>
      <c r="J39" s="18">
        <v>45344083</v>
      </c>
      <c r="K39" s="18" t="s">
        <v>701</v>
      </c>
      <c r="L39" s="18" t="s">
        <v>702</v>
      </c>
      <c r="M39" s="41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18" t="s">
        <v>994</v>
      </c>
      <c r="B40" s="6">
        <f t="shared" si="4"/>
        <v>46108</v>
      </c>
      <c r="C40" s="6">
        <f t="shared" si="4"/>
        <v>46113</v>
      </c>
      <c r="D40" s="13">
        <v>3249</v>
      </c>
      <c r="E40" s="13">
        <v>332</v>
      </c>
      <c r="F40" s="13">
        <v>3</v>
      </c>
      <c r="G40" s="18">
        <v>2</v>
      </c>
      <c r="H40" s="18">
        <v>81642</v>
      </c>
      <c r="I40" s="18" t="s">
        <v>17</v>
      </c>
      <c r="J40" s="18">
        <v>45344092</v>
      </c>
      <c r="K40" s="18" t="s">
        <v>701</v>
      </c>
      <c r="L40" s="18" t="s">
        <v>702</v>
      </c>
      <c r="M40" s="41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18" t="s">
        <v>994</v>
      </c>
      <c r="B41" s="6">
        <f t="shared" si="4"/>
        <v>46108</v>
      </c>
      <c r="C41" s="6">
        <f t="shared" si="4"/>
        <v>46113</v>
      </c>
      <c r="D41" s="13">
        <v>3249</v>
      </c>
      <c r="E41" s="13">
        <v>332</v>
      </c>
      <c r="F41" s="13">
        <v>3</v>
      </c>
      <c r="G41" s="18">
        <v>2</v>
      </c>
      <c r="H41" s="18">
        <v>81642</v>
      </c>
      <c r="I41" s="18" t="s">
        <v>17</v>
      </c>
      <c r="J41" s="18">
        <v>45344109</v>
      </c>
      <c r="K41" s="18" t="s">
        <v>703</v>
      </c>
      <c r="L41" s="18" t="s">
        <v>704</v>
      </c>
      <c r="M41" s="41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18" t="s">
        <v>994</v>
      </c>
      <c r="B42" s="6">
        <f t="shared" si="4"/>
        <v>46108</v>
      </c>
      <c r="C42" s="6">
        <f t="shared" si="4"/>
        <v>46113</v>
      </c>
      <c r="D42" s="13">
        <v>3249</v>
      </c>
      <c r="E42" s="13">
        <v>332</v>
      </c>
      <c r="F42" s="13">
        <v>3</v>
      </c>
      <c r="G42" s="18">
        <v>2</v>
      </c>
      <c r="H42" s="18">
        <v>81642</v>
      </c>
      <c r="I42" s="18" t="s">
        <v>17</v>
      </c>
      <c r="J42" s="18">
        <v>45344118</v>
      </c>
      <c r="K42" s="18" t="s">
        <v>703</v>
      </c>
      <c r="L42" s="18" t="s">
        <v>704</v>
      </c>
      <c r="M42" s="41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18" t="s">
        <v>994</v>
      </c>
      <c r="B43" s="6">
        <f t="shared" si="4"/>
        <v>46108</v>
      </c>
      <c r="C43" s="6">
        <f t="shared" si="4"/>
        <v>46113</v>
      </c>
      <c r="D43" s="13">
        <v>3249</v>
      </c>
      <c r="E43" s="13">
        <v>332</v>
      </c>
      <c r="F43" s="13">
        <v>3</v>
      </c>
      <c r="G43" s="18">
        <v>2</v>
      </c>
      <c r="H43" s="18">
        <v>81642</v>
      </c>
      <c r="I43" s="18" t="s">
        <v>17</v>
      </c>
      <c r="J43" s="18">
        <v>45344127</v>
      </c>
      <c r="K43" s="18" t="s">
        <v>703</v>
      </c>
      <c r="L43" s="18" t="s">
        <v>704</v>
      </c>
      <c r="M43" s="41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18" t="s">
        <v>994</v>
      </c>
      <c r="B44" s="6">
        <f t="shared" si="4"/>
        <v>46108</v>
      </c>
      <c r="C44" s="6">
        <f t="shared" si="4"/>
        <v>46113</v>
      </c>
      <c r="D44" s="13">
        <v>3249</v>
      </c>
      <c r="E44" s="13">
        <v>332</v>
      </c>
      <c r="F44" s="13">
        <v>3</v>
      </c>
      <c r="G44" s="18">
        <v>2</v>
      </c>
      <c r="H44" s="18">
        <v>81642</v>
      </c>
      <c r="I44" s="18" t="s">
        <v>17</v>
      </c>
      <c r="J44" s="18">
        <v>45344136</v>
      </c>
      <c r="K44" s="18" t="s">
        <v>703</v>
      </c>
      <c r="L44" s="18" t="s">
        <v>704</v>
      </c>
      <c r="M44" s="41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18" t="s">
        <v>994</v>
      </c>
      <c r="B45" s="6">
        <f t="shared" si="4"/>
        <v>46108</v>
      </c>
      <c r="C45" s="6">
        <f t="shared" si="4"/>
        <v>46113</v>
      </c>
      <c r="D45" s="13">
        <v>3249</v>
      </c>
      <c r="E45" s="13">
        <v>332</v>
      </c>
      <c r="F45" s="13">
        <v>3</v>
      </c>
      <c r="G45" s="18">
        <v>2</v>
      </c>
      <c r="H45" s="18">
        <v>81642</v>
      </c>
      <c r="I45" s="18" t="s">
        <v>17</v>
      </c>
      <c r="J45" s="18">
        <v>45344145</v>
      </c>
      <c r="K45" s="18" t="s">
        <v>703</v>
      </c>
      <c r="L45" s="18" t="s">
        <v>704</v>
      </c>
      <c r="M45" s="41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18" t="s">
        <v>994</v>
      </c>
      <c r="B46" s="6">
        <f t="shared" si="4"/>
        <v>46108</v>
      </c>
      <c r="C46" s="6">
        <f t="shared" si="4"/>
        <v>46113</v>
      </c>
      <c r="D46" s="13">
        <v>3249</v>
      </c>
      <c r="E46" s="13">
        <v>332</v>
      </c>
      <c r="F46" s="13">
        <v>3</v>
      </c>
      <c r="G46" s="18">
        <v>2</v>
      </c>
      <c r="H46" s="18">
        <v>81642</v>
      </c>
      <c r="I46" s="18" t="s">
        <v>17</v>
      </c>
      <c r="J46" s="18">
        <v>45344154</v>
      </c>
      <c r="K46" s="18" t="s">
        <v>703</v>
      </c>
      <c r="L46" s="18" t="s">
        <v>704</v>
      </c>
      <c r="M46" s="41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18" t="s">
        <v>994</v>
      </c>
      <c r="B47" s="6">
        <f t="shared" si="4"/>
        <v>46108</v>
      </c>
      <c r="C47" s="6">
        <f t="shared" si="4"/>
        <v>46113</v>
      </c>
      <c r="D47" s="13">
        <v>3249</v>
      </c>
      <c r="E47" s="13">
        <v>332</v>
      </c>
      <c r="F47" s="13">
        <v>3</v>
      </c>
      <c r="G47" s="18">
        <v>4</v>
      </c>
      <c r="H47" s="18">
        <v>81642</v>
      </c>
      <c r="I47" s="18" t="s">
        <v>17</v>
      </c>
      <c r="J47" s="18">
        <v>79675895</v>
      </c>
      <c r="K47" s="18" t="s">
        <v>552</v>
      </c>
      <c r="L47" s="18" t="s">
        <v>705</v>
      </c>
      <c r="M47" s="26">
        <v>179900</v>
      </c>
      <c r="N47" s="34">
        <v>0.75</v>
      </c>
      <c r="O47" s="7">
        <f t="shared" si="0"/>
        <v>44975</v>
      </c>
      <c r="P47" s="18" t="s">
        <v>16</v>
      </c>
    </row>
    <row r="48" spans="1:16" x14ac:dyDescent="0.35">
      <c r="A48" s="18" t="s">
        <v>994</v>
      </c>
      <c r="B48" s="6">
        <f t="shared" si="4"/>
        <v>46108</v>
      </c>
      <c r="C48" s="6">
        <f t="shared" si="4"/>
        <v>46113</v>
      </c>
      <c r="D48" s="13">
        <v>3249</v>
      </c>
      <c r="E48" s="13">
        <v>332</v>
      </c>
      <c r="F48" s="13">
        <v>3</v>
      </c>
      <c r="G48" s="18">
        <v>4</v>
      </c>
      <c r="H48" s="18">
        <v>81642</v>
      </c>
      <c r="I48" s="18" t="s">
        <v>17</v>
      </c>
      <c r="J48" s="18">
        <v>79675902</v>
      </c>
      <c r="K48" s="18" t="s">
        <v>552</v>
      </c>
      <c r="L48" s="18" t="s">
        <v>706</v>
      </c>
      <c r="M48" s="26">
        <v>179900</v>
      </c>
      <c r="N48" s="34">
        <v>0.75</v>
      </c>
      <c r="O48" s="7">
        <f t="shared" si="0"/>
        <v>44975</v>
      </c>
      <c r="P48" s="18" t="s">
        <v>16</v>
      </c>
    </row>
    <row r="49" spans="1:16" x14ac:dyDescent="0.35">
      <c r="A49" s="18" t="s">
        <v>994</v>
      </c>
      <c r="B49" s="6">
        <f t="shared" si="4"/>
        <v>46108</v>
      </c>
      <c r="C49" s="6">
        <f t="shared" si="4"/>
        <v>46113</v>
      </c>
      <c r="D49" s="13">
        <v>3249</v>
      </c>
      <c r="E49" s="13">
        <v>332</v>
      </c>
      <c r="F49" s="13">
        <v>3</v>
      </c>
      <c r="G49" s="18">
        <v>4</v>
      </c>
      <c r="H49" s="18">
        <v>81642</v>
      </c>
      <c r="I49" s="18" t="s">
        <v>17</v>
      </c>
      <c r="J49" s="18">
        <v>79675911</v>
      </c>
      <c r="K49" s="18" t="s">
        <v>552</v>
      </c>
      <c r="L49" s="18" t="s">
        <v>707</v>
      </c>
      <c r="M49" s="26">
        <v>179900</v>
      </c>
      <c r="N49" s="34">
        <v>0.75</v>
      </c>
      <c r="O49" s="7">
        <f t="shared" si="0"/>
        <v>44975</v>
      </c>
      <c r="P49" s="18" t="s">
        <v>16</v>
      </c>
    </row>
    <row r="50" spans="1:16" x14ac:dyDescent="0.35">
      <c r="A50" s="18" t="s">
        <v>994</v>
      </c>
      <c r="B50" s="6">
        <f t="shared" si="4"/>
        <v>46108</v>
      </c>
      <c r="C50" s="6">
        <f t="shared" si="4"/>
        <v>46113</v>
      </c>
      <c r="D50" s="13">
        <v>3249</v>
      </c>
      <c r="E50" s="13">
        <v>332</v>
      </c>
      <c r="F50" s="13">
        <v>3</v>
      </c>
      <c r="G50" s="18">
        <v>4</v>
      </c>
      <c r="H50" s="18">
        <v>81642</v>
      </c>
      <c r="I50" s="18" t="s">
        <v>17</v>
      </c>
      <c r="J50" s="18">
        <v>79675920</v>
      </c>
      <c r="K50" s="18" t="s">
        <v>552</v>
      </c>
      <c r="L50" s="18" t="s">
        <v>708</v>
      </c>
      <c r="M50" s="26">
        <v>179900</v>
      </c>
      <c r="N50" s="34">
        <v>0.75</v>
      </c>
      <c r="O50" s="7">
        <f t="shared" si="0"/>
        <v>44975</v>
      </c>
      <c r="P50" s="18" t="s">
        <v>16</v>
      </c>
    </row>
    <row r="51" spans="1:16" x14ac:dyDescent="0.35">
      <c r="A51" s="18" t="s">
        <v>994</v>
      </c>
      <c r="B51" s="6">
        <f t="shared" si="4"/>
        <v>46108</v>
      </c>
      <c r="C51" s="6">
        <f t="shared" si="4"/>
        <v>46113</v>
      </c>
      <c r="D51" s="13">
        <v>3249</v>
      </c>
      <c r="E51" s="13">
        <v>332</v>
      </c>
      <c r="F51" s="13">
        <v>3</v>
      </c>
      <c r="G51" s="18">
        <v>4</v>
      </c>
      <c r="H51" s="18">
        <v>81642</v>
      </c>
      <c r="I51" s="18" t="s">
        <v>17</v>
      </c>
      <c r="J51" s="18">
        <v>79675939</v>
      </c>
      <c r="K51" s="18" t="s">
        <v>552</v>
      </c>
      <c r="L51" s="18" t="s">
        <v>709</v>
      </c>
      <c r="M51" s="26">
        <v>179900</v>
      </c>
      <c r="N51" s="34">
        <v>0.75</v>
      </c>
      <c r="O51" s="7">
        <f t="shared" si="0"/>
        <v>44975</v>
      </c>
      <c r="P51" s="18" t="s">
        <v>16</v>
      </c>
    </row>
    <row r="52" spans="1:16" x14ac:dyDescent="0.35">
      <c r="A52" s="18" t="s">
        <v>994</v>
      </c>
      <c r="B52" s="6">
        <f t="shared" ref="B52:C67" si="5">B51</f>
        <v>46108</v>
      </c>
      <c r="C52" s="6">
        <f t="shared" si="5"/>
        <v>46113</v>
      </c>
      <c r="D52" s="13">
        <v>3249</v>
      </c>
      <c r="E52" s="13">
        <v>332</v>
      </c>
      <c r="F52" s="13">
        <v>3</v>
      </c>
      <c r="G52" s="18">
        <v>4</v>
      </c>
      <c r="H52" s="18">
        <v>81642</v>
      </c>
      <c r="I52" s="18" t="s">
        <v>17</v>
      </c>
      <c r="J52" s="18">
        <v>79675957</v>
      </c>
      <c r="K52" s="18" t="s">
        <v>552</v>
      </c>
      <c r="L52" s="18" t="s">
        <v>710</v>
      </c>
      <c r="M52" s="26">
        <v>179900</v>
      </c>
      <c r="N52" s="34">
        <v>0.75</v>
      </c>
      <c r="O52" s="7">
        <f t="shared" si="0"/>
        <v>44975</v>
      </c>
      <c r="P52" s="18" t="s">
        <v>16</v>
      </c>
    </row>
    <row r="53" spans="1:16" x14ac:dyDescent="0.35">
      <c r="A53" s="18" t="s">
        <v>994</v>
      </c>
      <c r="B53" s="6">
        <f t="shared" si="5"/>
        <v>46108</v>
      </c>
      <c r="C53" s="6">
        <f t="shared" si="5"/>
        <v>46113</v>
      </c>
      <c r="D53" s="13">
        <v>3249</v>
      </c>
      <c r="E53" s="13">
        <v>332</v>
      </c>
      <c r="F53" s="13">
        <v>3</v>
      </c>
      <c r="G53" s="18">
        <v>4</v>
      </c>
      <c r="H53" s="18">
        <v>81642</v>
      </c>
      <c r="I53" s="18" t="s">
        <v>17</v>
      </c>
      <c r="J53" s="18">
        <v>79675966</v>
      </c>
      <c r="K53" s="18" t="s">
        <v>552</v>
      </c>
      <c r="L53" s="18" t="s">
        <v>711</v>
      </c>
      <c r="M53" s="26">
        <v>179900</v>
      </c>
      <c r="N53" s="34">
        <v>0.75</v>
      </c>
      <c r="O53" s="7">
        <f t="shared" si="0"/>
        <v>44975</v>
      </c>
      <c r="P53" s="18" t="s">
        <v>16</v>
      </c>
    </row>
    <row r="54" spans="1:16" x14ac:dyDescent="0.35">
      <c r="A54" s="18" t="s">
        <v>994</v>
      </c>
      <c r="B54" s="6">
        <f t="shared" si="5"/>
        <v>46108</v>
      </c>
      <c r="C54" s="6">
        <f t="shared" si="5"/>
        <v>46113</v>
      </c>
      <c r="D54" s="13">
        <v>3249</v>
      </c>
      <c r="E54" s="13">
        <v>332</v>
      </c>
      <c r="F54" s="13">
        <v>3</v>
      </c>
      <c r="G54" s="18">
        <v>4</v>
      </c>
      <c r="H54" s="18">
        <v>81642</v>
      </c>
      <c r="I54" s="18" t="s">
        <v>17</v>
      </c>
      <c r="J54" s="18">
        <v>79675975</v>
      </c>
      <c r="K54" s="18" t="s">
        <v>552</v>
      </c>
      <c r="L54" s="18" t="s">
        <v>712</v>
      </c>
      <c r="M54" s="26">
        <v>179900</v>
      </c>
      <c r="N54" s="34">
        <v>0.75</v>
      </c>
      <c r="O54" s="7">
        <f t="shared" si="0"/>
        <v>44975</v>
      </c>
      <c r="P54" s="18" t="s">
        <v>16</v>
      </c>
    </row>
    <row r="55" spans="1:16" x14ac:dyDescent="0.35">
      <c r="A55" s="18" t="s">
        <v>994</v>
      </c>
      <c r="B55" s="6">
        <f t="shared" si="5"/>
        <v>46108</v>
      </c>
      <c r="C55" s="6">
        <f t="shared" si="5"/>
        <v>46113</v>
      </c>
      <c r="D55" s="13">
        <v>3249</v>
      </c>
      <c r="E55" s="13">
        <v>332</v>
      </c>
      <c r="F55" s="13">
        <v>3</v>
      </c>
      <c r="G55" s="18">
        <v>4</v>
      </c>
      <c r="H55" s="18">
        <v>81642</v>
      </c>
      <c r="I55" s="18" t="s">
        <v>17</v>
      </c>
      <c r="J55" s="18">
        <v>79675984</v>
      </c>
      <c r="K55" s="18" t="s">
        <v>552</v>
      </c>
      <c r="L55" s="18" t="s">
        <v>713</v>
      </c>
      <c r="M55" s="26">
        <v>179900</v>
      </c>
      <c r="N55" s="34">
        <v>0.75</v>
      </c>
      <c r="O55" s="7">
        <f t="shared" si="0"/>
        <v>44975</v>
      </c>
      <c r="P55" s="18" t="s">
        <v>16</v>
      </c>
    </row>
    <row r="56" spans="1:16" x14ac:dyDescent="0.35">
      <c r="A56" s="18" t="s">
        <v>994</v>
      </c>
      <c r="B56" s="6">
        <f t="shared" si="5"/>
        <v>46108</v>
      </c>
      <c r="C56" s="6">
        <f t="shared" si="5"/>
        <v>46113</v>
      </c>
      <c r="D56" s="13">
        <v>3249</v>
      </c>
      <c r="E56" s="13">
        <v>332</v>
      </c>
      <c r="F56" s="13">
        <v>3</v>
      </c>
      <c r="G56" s="18">
        <v>4</v>
      </c>
      <c r="H56" s="18">
        <v>81642</v>
      </c>
      <c r="I56" s="18" t="s">
        <v>17</v>
      </c>
      <c r="J56" s="18">
        <v>79675993</v>
      </c>
      <c r="K56" s="18" t="s">
        <v>552</v>
      </c>
      <c r="L56" s="18" t="s">
        <v>714</v>
      </c>
      <c r="M56" s="26">
        <v>179900</v>
      </c>
      <c r="N56" s="34">
        <v>0.75</v>
      </c>
      <c r="O56" s="7">
        <f t="shared" si="0"/>
        <v>44975</v>
      </c>
      <c r="P56" s="18" t="s">
        <v>16</v>
      </c>
    </row>
    <row r="57" spans="1:16" s="50" customFormat="1" x14ac:dyDescent="0.35">
      <c r="A57" s="18" t="s">
        <v>994</v>
      </c>
      <c r="B57" s="6">
        <f t="shared" si="5"/>
        <v>46108</v>
      </c>
      <c r="C57" s="6">
        <f t="shared" si="5"/>
        <v>46113</v>
      </c>
      <c r="D57" s="13">
        <v>3249</v>
      </c>
      <c r="E57" s="13">
        <v>332</v>
      </c>
      <c r="F57" s="13">
        <v>3</v>
      </c>
      <c r="G57" s="47">
        <v>1</v>
      </c>
      <c r="H57" s="47">
        <v>81642</v>
      </c>
      <c r="I57" s="18" t="s">
        <v>17</v>
      </c>
      <c r="J57" s="47">
        <v>25741584</v>
      </c>
      <c r="K57" s="47" t="s">
        <v>715</v>
      </c>
      <c r="L57" s="48" t="s">
        <v>716</v>
      </c>
      <c r="M57" s="49">
        <v>249900</v>
      </c>
      <c r="N57" s="34">
        <v>0.75</v>
      </c>
      <c r="O57" s="7">
        <f t="shared" si="0"/>
        <v>62475</v>
      </c>
      <c r="P57" s="18" t="s">
        <v>16</v>
      </c>
    </row>
    <row r="58" spans="1:16" s="50" customFormat="1" x14ac:dyDescent="0.35">
      <c r="A58" s="18" t="s">
        <v>994</v>
      </c>
      <c r="B58" s="6">
        <f t="shared" si="5"/>
        <v>46108</v>
      </c>
      <c r="C58" s="6">
        <f t="shared" si="5"/>
        <v>46113</v>
      </c>
      <c r="D58" s="13">
        <v>3249</v>
      </c>
      <c r="E58" s="13">
        <v>332</v>
      </c>
      <c r="F58" s="13">
        <v>3</v>
      </c>
      <c r="G58" s="47">
        <v>1</v>
      </c>
      <c r="H58" s="47">
        <v>81642</v>
      </c>
      <c r="I58" s="18" t="s">
        <v>17</v>
      </c>
      <c r="J58" s="47">
        <v>25741593</v>
      </c>
      <c r="K58" s="47" t="s">
        <v>715</v>
      </c>
      <c r="L58" s="48" t="s">
        <v>717</v>
      </c>
      <c r="M58" s="49">
        <v>249900</v>
      </c>
      <c r="N58" s="34">
        <v>0.75</v>
      </c>
      <c r="O58" s="7">
        <f t="shared" si="0"/>
        <v>62475</v>
      </c>
      <c r="P58" s="18" t="s">
        <v>16</v>
      </c>
    </row>
    <row r="59" spans="1:16" s="50" customFormat="1" x14ac:dyDescent="0.35">
      <c r="A59" s="18" t="s">
        <v>994</v>
      </c>
      <c r="B59" s="6">
        <f t="shared" si="5"/>
        <v>46108</v>
      </c>
      <c r="C59" s="6">
        <f t="shared" si="5"/>
        <v>46113</v>
      </c>
      <c r="D59" s="13">
        <v>3249</v>
      </c>
      <c r="E59" s="13">
        <v>332</v>
      </c>
      <c r="F59" s="13">
        <v>3</v>
      </c>
      <c r="G59" s="47">
        <v>1</v>
      </c>
      <c r="H59" s="47">
        <v>81642</v>
      </c>
      <c r="I59" s="18" t="s">
        <v>17</v>
      </c>
      <c r="J59" s="47">
        <v>25741600</v>
      </c>
      <c r="K59" s="47" t="s">
        <v>715</v>
      </c>
      <c r="L59" s="48" t="s">
        <v>718</v>
      </c>
      <c r="M59" s="49">
        <v>249900</v>
      </c>
      <c r="N59" s="34">
        <v>0.75</v>
      </c>
      <c r="O59" s="7">
        <f t="shared" si="0"/>
        <v>62475</v>
      </c>
      <c r="P59" s="18" t="s">
        <v>16</v>
      </c>
    </row>
    <row r="60" spans="1:16" s="50" customFormat="1" x14ac:dyDescent="0.35">
      <c r="A60" s="18" t="s">
        <v>994</v>
      </c>
      <c r="B60" s="6">
        <f t="shared" si="5"/>
        <v>46108</v>
      </c>
      <c r="C60" s="6">
        <f t="shared" si="5"/>
        <v>46113</v>
      </c>
      <c r="D60" s="13">
        <v>3249</v>
      </c>
      <c r="E60" s="13">
        <v>332</v>
      </c>
      <c r="F60" s="13">
        <v>3</v>
      </c>
      <c r="G60" s="47">
        <v>1</v>
      </c>
      <c r="H60" s="47">
        <v>81642</v>
      </c>
      <c r="I60" s="18" t="s">
        <v>17</v>
      </c>
      <c r="J60" s="47">
        <v>25741619</v>
      </c>
      <c r="K60" s="47" t="s">
        <v>715</v>
      </c>
      <c r="L60" s="48" t="s">
        <v>719</v>
      </c>
      <c r="M60" s="49">
        <v>249900</v>
      </c>
      <c r="N60" s="34">
        <v>0.75</v>
      </c>
      <c r="O60" s="7">
        <f t="shared" si="0"/>
        <v>62475</v>
      </c>
      <c r="P60" s="18" t="s">
        <v>16</v>
      </c>
    </row>
    <row r="61" spans="1:16" s="50" customFormat="1" x14ac:dyDescent="0.35">
      <c r="A61" s="18" t="s">
        <v>994</v>
      </c>
      <c r="B61" s="6">
        <f t="shared" si="5"/>
        <v>46108</v>
      </c>
      <c r="C61" s="6">
        <f t="shared" si="5"/>
        <v>46113</v>
      </c>
      <c r="D61" s="13">
        <v>3249</v>
      </c>
      <c r="E61" s="13">
        <v>332</v>
      </c>
      <c r="F61" s="13">
        <v>3</v>
      </c>
      <c r="G61" s="47">
        <v>1</v>
      </c>
      <c r="H61" s="47">
        <v>81642</v>
      </c>
      <c r="I61" s="18" t="s">
        <v>17</v>
      </c>
      <c r="J61" s="47">
        <v>25741628</v>
      </c>
      <c r="K61" s="47" t="s">
        <v>715</v>
      </c>
      <c r="L61" s="48" t="s">
        <v>720</v>
      </c>
      <c r="M61" s="49">
        <v>249900</v>
      </c>
      <c r="N61" s="34">
        <v>0.75</v>
      </c>
      <c r="O61" s="7">
        <f t="shared" si="0"/>
        <v>62475</v>
      </c>
      <c r="P61" s="18" t="s">
        <v>16</v>
      </c>
    </row>
    <row r="62" spans="1:16" s="50" customFormat="1" x14ac:dyDescent="0.35">
      <c r="A62" s="18" t="s">
        <v>994</v>
      </c>
      <c r="B62" s="6">
        <f t="shared" si="5"/>
        <v>46108</v>
      </c>
      <c r="C62" s="6">
        <f t="shared" si="5"/>
        <v>46113</v>
      </c>
      <c r="D62" s="13">
        <v>3249</v>
      </c>
      <c r="E62" s="13">
        <v>332</v>
      </c>
      <c r="F62" s="13">
        <v>3</v>
      </c>
      <c r="G62" s="47">
        <v>2</v>
      </c>
      <c r="H62" s="47">
        <v>81642</v>
      </c>
      <c r="I62" s="18" t="s">
        <v>17</v>
      </c>
      <c r="J62" s="47">
        <v>45493216</v>
      </c>
      <c r="K62" s="47" t="s">
        <v>721</v>
      </c>
      <c r="L62" s="48" t="s">
        <v>722</v>
      </c>
      <c r="M62" s="49">
        <v>279900</v>
      </c>
      <c r="N62" s="34">
        <v>0.75</v>
      </c>
      <c r="O62" s="7">
        <f t="shared" si="0"/>
        <v>69975</v>
      </c>
      <c r="P62" s="18" t="s">
        <v>16</v>
      </c>
    </row>
    <row r="63" spans="1:16" s="50" customFormat="1" x14ac:dyDescent="0.35">
      <c r="A63" s="18" t="s">
        <v>994</v>
      </c>
      <c r="B63" s="6">
        <f t="shared" si="5"/>
        <v>46108</v>
      </c>
      <c r="C63" s="6">
        <f t="shared" si="5"/>
        <v>46113</v>
      </c>
      <c r="D63" s="13">
        <v>3249</v>
      </c>
      <c r="E63" s="13">
        <v>332</v>
      </c>
      <c r="F63" s="13">
        <v>3</v>
      </c>
      <c r="G63" s="47">
        <v>2</v>
      </c>
      <c r="H63" s="47">
        <v>81642</v>
      </c>
      <c r="I63" s="18" t="s">
        <v>17</v>
      </c>
      <c r="J63" s="47">
        <v>45493225</v>
      </c>
      <c r="K63" s="47" t="s">
        <v>721</v>
      </c>
      <c r="L63" s="48" t="s">
        <v>723</v>
      </c>
      <c r="M63" s="49">
        <v>279900</v>
      </c>
      <c r="N63" s="34">
        <v>0.75</v>
      </c>
      <c r="O63" s="7">
        <f t="shared" si="0"/>
        <v>69975</v>
      </c>
      <c r="P63" s="18" t="s">
        <v>16</v>
      </c>
    </row>
    <row r="64" spans="1:16" s="50" customFormat="1" x14ac:dyDescent="0.35">
      <c r="A64" s="18" t="s">
        <v>994</v>
      </c>
      <c r="B64" s="6">
        <f t="shared" si="5"/>
        <v>46108</v>
      </c>
      <c r="C64" s="6">
        <f t="shared" si="5"/>
        <v>46113</v>
      </c>
      <c r="D64" s="13">
        <v>3249</v>
      </c>
      <c r="E64" s="13">
        <v>332</v>
      </c>
      <c r="F64" s="13">
        <v>3</v>
      </c>
      <c r="G64" s="47">
        <v>2</v>
      </c>
      <c r="H64" s="47">
        <v>81642</v>
      </c>
      <c r="I64" s="18" t="s">
        <v>17</v>
      </c>
      <c r="J64" s="47">
        <v>45493234</v>
      </c>
      <c r="K64" s="47" t="s">
        <v>721</v>
      </c>
      <c r="L64" s="48" t="s">
        <v>724</v>
      </c>
      <c r="M64" s="49">
        <v>279900</v>
      </c>
      <c r="N64" s="34">
        <v>0.75</v>
      </c>
      <c r="O64" s="7">
        <f t="shared" si="0"/>
        <v>69975</v>
      </c>
      <c r="P64" s="18" t="s">
        <v>16</v>
      </c>
    </row>
    <row r="65" spans="1:16" s="50" customFormat="1" x14ac:dyDescent="0.35">
      <c r="A65" s="18" t="s">
        <v>994</v>
      </c>
      <c r="B65" s="6">
        <f t="shared" si="5"/>
        <v>46108</v>
      </c>
      <c r="C65" s="6">
        <f t="shared" si="5"/>
        <v>46113</v>
      </c>
      <c r="D65" s="13">
        <v>3249</v>
      </c>
      <c r="E65" s="13">
        <v>332</v>
      </c>
      <c r="F65" s="13">
        <v>3</v>
      </c>
      <c r="G65" s="47">
        <v>2</v>
      </c>
      <c r="H65" s="47">
        <v>81642</v>
      </c>
      <c r="I65" s="18" t="s">
        <v>17</v>
      </c>
      <c r="J65" s="47">
        <v>45493243</v>
      </c>
      <c r="K65" s="47" t="s">
        <v>721</v>
      </c>
      <c r="L65" s="48" t="s">
        <v>725</v>
      </c>
      <c r="M65" s="49">
        <v>279900</v>
      </c>
      <c r="N65" s="34">
        <v>0.75</v>
      </c>
      <c r="O65" s="7">
        <f t="shared" si="0"/>
        <v>69975</v>
      </c>
      <c r="P65" s="18" t="s">
        <v>16</v>
      </c>
    </row>
    <row r="66" spans="1:16" s="50" customFormat="1" x14ac:dyDescent="0.35">
      <c r="A66" s="18" t="s">
        <v>994</v>
      </c>
      <c r="B66" s="6">
        <f t="shared" si="5"/>
        <v>46108</v>
      </c>
      <c r="C66" s="6">
        <f t="shared" si="5"/>
        <v>46113</v>
      </c>
      <c r="D66" s="13">
        <v>3249</v>
      </c>
      <c r="E66" s="13">
        <v>332</v>
      </c>
      <c r="F66" s="13">
        <v>3</v>
      </c>
      <c r="G66" s="47">
        <v>2</v>
      </c>
      <c r="H66" s="47">
        <v>81642</v>
      </c>
      <c r="I66" s="18" t="s">
        <v>17</v>
      </c>
      <c r="J66" s="47">
        <v>45493252</v>
      </c>
      <c r="K66" s="47" t="s">
        <v>721</v>
      </c>
      <c r="L66" s="48" t="s">
        <v>726</v>
      </c>
      <c r="M66" s="49">
        <v>279900</v>
      </c>
      <c r="N66" s="34">
        <v>0.75</v>
      </c>
      <c r="O66" s="7">
        <f t="shared" ref="O66:O96" si="6">M66-(M66*N66)</f>
        <v>69975</v>
      </c>
      <c r="P66" s="18" t="s">
        <v>16</v>
      </c>
    </row>
    <row r="67" spans="1:16" s="50" customFormat="1" x14ac:dyDescent="0.35">
      <c r="A67" s="18" t="s">
        <v>994</v>
      </c>
      <c r="B67" s="6">
        <f t="shared" si="5"/>
        <v>46108</v>
      </c>
      <c r="C67" s="6">
        <f t="shared" si="5"/>
        <v>46113</v>
      </c>
      <c r="D67" s="13">
        <v>3249</v>
      </c>
      <c r="E67" s="13">
        <v>332</v>
      </c>
      <c r="F67" s="13">
        <v>3</v>
      </c>
      <c r="G67" s="47">
        <v>2</v>
      </c>
      <c r="H67" s="47">
        <v>81642</v>
      </c>
      <c r="I67" s="18" t="s">
        <v>17</v>
      </c>
      <c r="J67" s="47">
        <v>45493261</v>
      </c>
      <c r="K67" s="47" t="s">
        <v>721</v>
      </c>
      <c r="L67" s="48" t="s">
        <v>727</v>
      </c>
      <c r="M67" s="49">
        <v>279900</v>
      </c>
      <c r="N67" s="34">
        <v>0.75</v>
      </c>
      <c r="O67" s="7">
        <f t="shared" si="6"/>
        <v>69975</v>
      </c>
      <c r="P67" s="18" t="s">
        <v>16</v>
      </c>
    </row>
    <row r="68" spans="1:16" s="50" customFormat="1" x14ac:dyDescent="0.35">
      <c r="A68" s="18" t="s">
        <v>994</v>
      </c>
      <c r="B68" s="6">
        <f t="shared" ref="B68:C83" si="7">B67</f>
        <v>46108</v>
      </c>
      <c r="C68" s="6">
        <f t="shared" si="7"/>
        <v>46113</v>
      </c>
      <c r="D68" s="13">
        <v>3249</v>
      </c>
      <c r="E68" s="13">
        <v>332</v>
      </c>
      <c r="F68" s="13">
        <v>3</v>
      </c>
      <c r="G68" s="47">
        <v>2</v>
      </c>
      <c r="H68" s="47">
        <v>81642</v>
      </c>
      <c r="I68" s="18" t="s">
        <v>17</v>
      </c>
      <c r="J68" s="47">
        <v>45493270</v>
      </c>
      <c r="K68" s="47" t="s">
        <v>721</v>
      </c>
      <c r="L68" s="48" t="s">
        <v>728</v>
      </c>
      <c r="M68" s="49">
        <v>279900</v>
      </c>
      <c r="N68" s="34">
        <v>0.75</v>
      </c>
      <c r="O68" s="7">
        <f t="shared" si="6"/>
        <v>69975</v>
      </c>
      <c r="P68" s="18" t="s">
        <v>16</v>
      </c>
    </row>
    <row r="69" spans="1:16" s="50" customFormat="1" x14ac:dyDescent="0.35">
      <c r="A69" s="18" t="s">
        <v>994</v>
      </c>
      <c r="B69" s="6">
        <f t="shared" si="7"/>
        <v>46108</v>
      </c>
      <c r="C69" s="6">
        <f t="shared" si="7"/>
        <v>46113</v>
      </c>
      <c r="D69" s="13">
        <v>3249</v>
      </c>
      <c r="E69" s="13">
        <v>332</v>
      </c>
      <c r="F69" s="13">
        <v>3</v>
      </c>
      <c r="G69" s="47">
        <v>2</v>
      </c>
      <c r="H69" s="47">
        <v>81642</v>
      </c>
      <c r="I69" s="18" t="s">
        <v>17</v>
      </c>
      <c r="J69" s="47">
        <v>45493289</v>
      </c>
      <c r="K69" s="47" t="s">
        <v>721</v>
      </c>
      <c r="L69" s="48" t="s">
        <v>729</v>
      </c>
      <c r="M69" s="49">
        <v>279900</v>
      </c>
      <c r="N69" s="34">
        <v>0.75</v>
      </c>
      <c r="O69" s="7">
        <f t="shared" si="6"/>
        <v>69975</v>
      </c>
      <c r="P69" s="18" t="s">
        <v>16</v>
      </c>
    </row>
    <row r="70" spans="1:16" s="50" customFormat="1" x14ac:dyDescent="0.35">
      <c r="A70" s="18" t="s">
        <v>994</v>
      </c>
      <c r="B70" s="6">
        <f t="shared" si="7"/>
        <v>46108</v>
      </c>
      <c r="C70" s="6">
        <f t="shared" si="7"/>
        <v>46113</v>
      </c>
      <c r="D70" s="13">
        <v>3249</v>
      </c>
      <c r="E70" s="13">
        <v>332</v>
      </c>
      <c r="F70" s="13">
        <v>3</v>
      </c>
      <c r="G70" s="47">
        <v>2</v>
      </c>
      <c r="H70" s="47">
        <v>81642</v>
      </c>
      <c r="I70" s="18" t="s">
        <v>17</v>
      </c>
      <c r="J70" s="47">
        <v>45493298</v>
      </c>
      <c r="K70" s="47" t="s">
        <v>721</v>
      </c>
      <c r="L70" s="48" t="s">
        <v>730</v>
      </c>
      <c r="M70" s="49">
        <v>279900</v>
      </c>
      <c r="N70" s="34">
        <v>0.75</v>
      </c>
      <c r="O70" s="7">
        <f t="shared" si="6"/>
        <v>69975</v>
      </c>
      <c r="P70" s="18" t="s">
        <v>16</v>
      </c>
    </row>
    <row r="71" spans="1:16" s="50" customFormat="1" x14ac:dyDescent="0.35">
      <c r="A71" s="18" t="s">
        <v>994</v>
      </c>
      <c r="B71" s="6">
        <f t="shared" si="7"/>
        <v>46108</v>
      </c>
      <c r="C71" s="6">
        <f t="shared" si="7"/>
        <v>46113</v>
      </c>
      <c r="D71" s="13">
        <v>3249</v>
      </c>
      <c r="E71" s="13">
        <v>332</v>
      </c>
      <c r="F71" s="13">
        <v>3</v>
      </c>
      <c r="G71" s="47">
        <v>2</v>
      </c>
      <c r="H71" s="47">
        <v>81642</v>
      </c>
      <c r="I71" s="18" t="s">
        <v>17</v>
      </c>
      <c r="J71" s="47">
        <v>45493305</v>
      </c>
      <c r="K71" s="47" t="s">
        <v>721</v>
      </c>
      <c r="L71" s="48" t="s">
        <v>731</v>
      </c>
      <c r="M71" s="49">
        <v>279900</v>
      </c>
      <c r="N71" s="34">
        <v>0.75</v>
      </c>
      <c r="O71" s="7">
        <f t="shared" si="6"/>
        <v>69975</v>
      </c>
      <c r="P71" s="18" t="s">
        <v>16</v>
      </c>
    </row>
    <row r="72" spans="1:16" s="50" customFormat="1" x14ac:dyDescent="0.35">
      <c r="A72" s="18" t="s">
        <v>994</v>
      </c>
      <c r="B72" s="6">
        <f t="shared" si="7"/>
        <v>46108</v>
      </c>
      <c r="C72" s="6">
        <f t="shared" si="7"/>
        <v>46113</v>
      </c>
      <c r="D72" s="13">
        <v>3249</v>
      </c>
      <c r="E72" s="13">
        <v>332</v>
      </c>
      <c r="F72" s="13">
        <v>3</v>
      </c>
      <c r="G72" s="47">
        <v>2</v>
      </c>
      <c r="H72" s="47">
        <v>81642</v>
      </c>
      <c r="I72" s="18" t="s">
        <v>17</v>
      </c>
      <c r="J72" s="47">
        <v>45493314</v>
      </c>
      <c r="K72" s="47" t="s">
        <v>721</v>
      </c>
      <c r="L72" s="48" t="s">
        <v>732</v>
      </c>
      <c r="M72" s="49">
        <v>279900</v>
      </c>
      <c r="N72" s="34">
        <v>0.75</v>
      </c>
      <c r="O72" s="7">
        <f t="shared" si="6"/>
        <v>69975</v>
      </c>
      <c r="P72" s="18" t="s">
        <v>16</v>
      </c>
    </row>
    <row r="73" spans="1:16" s="50" customFormat="1" x14ac:dyDescent="0.35">
      <c r="A73" s="18" t="s">
        <v>994</v>
      </c>
      <c r="B73" s="6">
        <f t="shared" si="7"/>
        <v>46108</v>
      </c>
      <c r="C73" s="6">
        <f t="shared" si="7"/>
        <v>46113</v>
      </c>
      <c r="D73" s="13">
        <v>3249</v>
      </c>
      <c r="E73" s="13">
        <v>332</v>
      </c>
      <c r="F73" s="13">
        <v>3</v>
      </c>
      <c r="G73" s="47">
        <v>2</v>
      </c>
      <c r="H73" s="47">
        <v>81642</v>
      </c>
      <c r="I73" s="18" t="s">
        <v>17</v>
      </c>
      <c r="J73" s="47">
        <v>45493323</v>
      </c>
      <c r="K73" s="47" t="s">
        <v>721</v>
      </c>
      <c r="L73" s="48" t="s">
        <v>733</v>
      </c>
      <c r="M73" s="49">
        <v>279900</v>
      </c>
      <c r="N73" s="34">
        <v>0.75</v>
      </c>
      <c r="O73" s="7">
        <f t="shared" si="6"/>
        <v>69975</v>
      </c>
      <c r="P73" s="18" t="s">
        <v>16</v>
      </c>
    </row>
    <row r="74" spans="1:16" s="50" customFormat="1" x14ac:dyDescent="0.35">
      <c r="A74" s="18" t="s">
        <v>994</v>
      </c>
      <c r="B74" s="6">
        <f t="shared" si="7"/>
        <v>46108</v>
      </c>
      <c r="C74" s="6">
        <f t="shared" si="7"/>
        <v>46113</v>
      </c>
      <c r="D74" s="13">
        <v>3249</v>
      </c>
      <c r="E74" s="13">
        <v>332</v>
      </c>
      <c r="F74" s="13">
        <v>3</v>
      </c>
      <c r="G74" s="47">
        <v>2</v>
      </c>
      <c r="H74" s="47">
        <v>81642</v>
      </c>
      <c r="I74" s="18" t="s">
        <v>17</v>
      </c>
      <c r="J74" s="47">
        <v>45493332</v>
      </c>
      <c r="K74" s="47" t="s">
        <v>734</v>
      </c>
      <c r="L74" s="48" t="s">
        <v>735</v>
      </c>
      <c r="M74" s="49">
        <v>249900</v>
      </c>
      <c r="N74" s="34">
        <v>0.75</v>
      </c>
      <c r="O74" s="7">
        <f t="shared" si="6"/>
        <v>62475</v>
      </c>
      <c r="P74" s="18" t="s">
        <v>16</v>
      </c>
    </row>
    <row r="75" spans="1:16" s="50" customFormat="1" x14ac:dyDescent="0.35">
      <c r="A75" s="18" t="s">
        <v>994</v>
      </c>
      <c r="B75" s="6">
        <f t="shared" si="7"/>
        <v>46108</v>
      </c>
      <c r="C75" s="6">
        <f t="shared" si="7"/>
        <v>46113</v>
      </c>
      <c r="D75" s="13">
        <v>3249</v>
      </c>
      <c r="E75" s="13">
        <v>332</v>
      </c>
      <c r="F75" s="13">
        <v>3</v>
      </c>
      <c r="G75" s="47">
        <v>2</v>
      </c>
      <c r="H75" s="47">
        <v>81642</v>
      </c>
      <c r="I75" s="18" t="s">
        <v>17</v>
      </c>
      <c r="J75" s="47">
        <v>45493341</v>
      </c>
      <c r="K75" s="47" t="s">
        <v>734</v>
      </c>
      <c r="L75" s="48" t="s">
        <v>736</v>
      </c>
      <c r="M75" s="49">
        <v>249900</v>
      </c>
      <c r="N75" s="34">
        <v>0.75</v>
      </c>
      <c r="O75" s="7">
        <f t="shared" si="6"/>
        <v>62475</v>
      </c>
      <c r="P75" s="18" t="s">
        <v>16</v>
      </c>
    </row>
    <row r="76" spans="1:16" s="50" customFormat="1" x14ac:dyDescent="0.35">
      <c r="A76" s="18" t="s">
        <v>994</v>
      </c>
      <c r="B76" s="6">
        <f t="shared" si="7"/>
        <v>46108</v>
      </c>
      <c r="C76" s="6">
        <f t="shared" si="7"/>
        <v>46113</v>
      </c>
      <c r="D76" s="13">
        <v>3249</v>
      </c>
      <c r="E76" s="13">
        <v>332</v>
      </c>
      <c r="F76" s="13">
        <v>3</v>
      </c>
      <c r="G76" s="47">
        <v>2</v>
      </c>
      <c r="H76" s="47">
        <v>81642</v>
      </c>
      <c r="I76" s="18" t="s">
        <v>17</v>
      </c>
      <c r="J76" s="47">
        <v>45493350</v>
      </c>
      <c r="K76" s="47" t="s">
        <v>734</v>
      </c>
      <c r="L76" s="48" t="s">
        <v>737</v>
      </c>
      <c r="M76" s="49">
        <v>249900</v>
      </c>
      <c r="N76" s="34">
        <v>0.75</v>
      </c>
      <c r="O76" s="7">
        <f t="shared" si="6"/>
        <v>62475</v>
      </c>
      <c r="P76" s="18" t="s">
        <v>16</v>
      </c>
    </row>
    <row r="77" spans="1:16" s="50" customFormat="1" x14ac:dyDescent="0.35">
      <c r="A77" s="18" t="s">
        <v>994</v>
      </c>
      <c r="B77" s="6">
        <f t="shared" si="7"/>
        <v>46108</v>
      </c>
      <c r="C77" s="6">
        <f t="shared" si="7"/>
        <v>46113</v>
      </c>
      <c r="D77" s="13">
        <v>3249</v>
      </c>
      <c r="E77" s="13">
        <v>332</v>
      </c>
      <c r="F77" s="13">
        <v>3</v>
      </c>
      <c r="G77" s="47">
        <v>2</v>
      </c>
      <c r="H77" s="47">
        <v>81642</v>
      </c>
      <c r="I77" s="18" t="s">
        <v>17</v>
      </c>
      <c r="J77" s="47">
        <v>45493369</v>
      </c>
      <c r="K77" s="47" t="s">
        <v>734</v>
      </c>
      <c r="L77" s="48" t="s">
        <v>738</v>
      </c>
      <c r="M77" s="49">
        <v>249900</v>
      </c>
      <c r="N77" s="34">
        <v>0.75</v>
      </c>
      <c r="O77" s="7">
        <f t="shared" si="6"/>
        <v>62475</v>
      </c>
      <c r="P77" s="18" t="s">
        <v>16</v>
      </c>
    </row>
    <row r="78" spans="1:16" s="50" customFormat="1" x14ac:dyDescent="0.35">
      <c r="A78" s="18" t="s">
        <v>994</v>
      </c>
      <c r="B78" s="6">
        <f t="shared" si="7"/>
        <v>46108</v>
      </c>
      <c r="C78" s="6">
        <f t="shared" si="7"/>
        <v>46113</v>
      </c>
      <c r="D78" s="13">
        <v>3249</v>
      </c>
      <c r="E78" s="13">
        <v>332</v>
      </c>
      <c r="F78" s="13">
        <v>3</v>
      </c>
      <c r="G78" s="47">
        <v>2</v>
      </c>
      <c r="H78" s="47">
        <v>81642</v>
      </c>
      <c r="I78" s="18" t="s">
        <v>17</v>
      </c>
      <c r="J78" s="47">
        <v>45493378</v>
      </c>
      <c r="K78" s="47" t="s">
        <v>734</v>
      </c>
      <c r="L78" s="48" t="s">
        <v>739</v>
      </c>
      <c r="M78" s="49">
        <v>249900</v>
      </c>
      <c r="N78" s="34">
        <v>0.75</v>
      </c>
      <c r="O78" s="7">
        <f t="shared" si="6"/>
        <v>62475</v>
      </c>
      <c r="P78" s="18" t="s">
        <v>16</v>
      </c>
    </row>
    <row r="79" spans="1:16" s="50" customFormat="1" x14ac:dyDescent="0.35">
      <c r="A79" s="18" t="s">
        <v>994</v>
      </c>
      <c r="B79" s="6">
        <f t="shared" si="7"/>
        <v>46108</v>
      </c>
      <c r="C79" s="6">
        <f t="shared" si="7"/>
        <v>46113</v>
      </c>
      <c r="D79" s="13">
        <v>3249</v>
      </c>
      <c r="E79" s="13">
        <v>332</v>
      </c>
      <c r="F79" s="13">
        <v>3</v>
      </c>
      <c r="G79" s="47">
        <v>2</v>
      </c>
      <c r="H79" s="47">
        <v>81642</v>
      </c>
      <c r="I79" s="18" t="s">
        <v>17</v>
      </c>
      <c r="J79" s="47">
        <v>45493387</v>
      </c>
      <c r="K79" s="47" t="s">
        <v>734</v>
      </c>
      <c r="L79" s="48" t="s">
        <v>740</v>
      </c>
      <c r="M79" s="49">
        <v>249900</v>
      </c>
      <c r="N79" s="34">
        <v>0.75</v>
      </c>
      <c r="O79" s="7">
        <f t="shared" si="6"/>
        <v>62475</v>
      </c>
      <c r="P79" s="18" t="s">
        <v>16</v>
      </c>
    </row>
    <row r="80" spans="1:16" s="50" customFormat="1" x14ac:dyDescent="0.35">
      <c r="A80" s="18" t="s">
        <v>994</v>
      </c>
      <c r="B80" s="6">
        <f t="shared" si="7"/>
        <v>46108</v>
      </c>
      <c r="C80" s="6">
        <f t="shared" si="7"/>
        <v>46113</v>
      </c>
      <c r="D80" s="13">
        <v>3249</v>
      </c>
      <c r="E80" s="13">
        <v>332</v>
      </c>
      <c r="F80" s="13">
        <v>3</v>
      </c>
      <c r="G80" s="47">
        <v>2</v>
      </c>
      <c r="H80" s="47">
        <v>81642</v>
      </c>
      <c r="I80" s="18" t="s">
        <v>17</v>
      </c>
      <c r="J80" s="47">
        <v>45493396</v>
      </c>
      <c r="K80" s="47" t="s">
        <v>734</v>
      </c>
      <c r="L80" s="48" t="s">
        <v>741</v>
      </c>
      <c r="M80" s="49">
        <v>249900</v>
      </c>
      <c r="N80" s="34">
        <v>0.75</v>
      </c>
      <c r="O80" s="7">
        <f t="shared" si="6"/>
        <v>62475</v>
      </c>
      <c r="P80" s="18" t="s">
        <v>16</v>
      </c>
    </row>
    <row r="81" spans="1:16" s="50" customFormat="1" x14ac:dyDescent="0.35">
      <c r="A81" s="18" t="s">
        <v>994</v>
      </c>
      <c r="B81" s="6">
        <f t="shared" si="7"/>
        <v>46108</v>
      </c>
      <c r="C81" s="6">
        <f t="shared" si="7"/>
        <v>46113</v>
      </c>
      <c r="D81" s="13">
        <v>3249</v>
      </c>
      <c r="E81" s="13">
        <v>332</v>
      </c>
      <c r="F81" s="13">
        <v>3</v>
      </c>
      <c r="G81" s="47">
        <v>2</v>
      </c>
      <c r="H81" s="47">
        <v>81642</v>
      </c>
      <c r="I81" s="18" t="s">
        <v>17</v>
      </c>
      <c r="J81" s="47">
        <v>45493403</v>
      </c>
      <c r="K81" s="47" t="s">
        <v>734</v>
      </c>
      <c r="L81" s="48" t="s">
        <v>742</v>
      </c>
      <c r="M81" s="49">
        <v>249900</v>
      </c>
      <c r="N81" s="34">
        <v>0.75</v>
      </c>
      <c r="O81" s="7">
        <f t="shared" si="6"/>
        <v>62475</v>
      </c>
      <c r="P81" s="18" t="s">
        <v>16</v>
      </c>
    </row>
    <row r="82" spans="1:16" s="50" customFormat="1" x14ac:dyDescent="0.35">
      <c r="A82" s="18" t="s">
        <v>994</v>
      </c>
      <c r="B82" s="6">
        <f t="shared" si="7"/>
        <v>46108</v>
      </c>
      <c r="C82" s="6">
        <f t="shared" si="7"/>
        <v>46113</v>
      </c>
      <c r="D82" s="13">
        <v>3249</v>
      </c>
      <c r="E82" s="13">
        <v>332</v>
      </c>
      <c r="F82" s="13">
        <v>3</v>
      </c>
      <c r="G82" s="47">
        <v>2</v>
      </c>
      <c r="H82" s="47">
        <v>81642</v>
      </c>
      <c r="I82" s="18" t="s">
        <v>17</v>
      </c>
      <c r="J82" s="47">
        <v>45493412</v>
      </c>
      <c r="K82" s="47" t="s">
        <v>734</v>
      </c>
      <c r="L82" s="48" t="s">
        <v>743</v>
      </c>
      <c r="M82" s="49">
        <v>249900</v>
      </c>
      <c r="N82" s="34">
        <v>0.75</v>
      </c>
      <c r="O82" s="7">
        <f t="shared" si="6"/>
        <v>62475</v>
      </c>
      <c r="P82" s="18" t="s">
        <v>16</v>
      </c>
    </row>
    <row r="83" spans="1:16" s="50" customFormat="1" x14ac:dyDescent="0.35">
      <c r="A83" s="18" t="s">
        <v>994</v>
      </c>
      <c r="B83" s="6">
        <f t="shared" si="7"/>
        <v>46108</v>
      </c>
      <c r="C83" s="6">
        <f t="shared" si="7"/>
        <v>46113</v>
      </c>
      <c r="D83" s="13">
        <v>3249</v>
      </c>
      <c r="E83" s="13">
        <v>332</v>
      </c>
      <c r="F83" s="13">
        <v>3</v>
      </c>
      <c r="G83" s="47">
        <v>2</v>
      </c>
      <c r="H83" s="47">
        <v>81642</v>
      </c>
      <c r="I83" s="18" t="s">
        <v>17</v>
      </c>
      <c r="J83" s="47">
        <v>45493421</v>
      </c>
      <c r="K83" s="47" t="s">
        <v>734</v>
      </c>
      <c r="L83" s="48" t="s">
        <v>744</v>
      </c>
      <c r="M83" s="49">
        <v>249900</v>
      </c>
      <c r="N83" s="34">
        <v>0.75</v>
      </c>
      <c r="O83" s="7">
        <f t="shared" si="6"/>
        <v>62475</v>
      </c>
      <c r="P83" s="18" t="s">
        <v>16</v>
      </c>
    </row>
    <row r="84" spans="1:16" s="50" customFormat="1" x14ac:dyDescent="0.35">
      <c r="A84" s="18" t="s">
        <v>994</v>
      </c>
      <c r="B84" s="6">
        <f t="shared" ref="B84:C96" si="8">B83</f>
        <v>46108</v>
      </c>
      <c r="C84" s="6">
        <f t="shared" si="8"/>
        <v>46113</v>
      </c>
      <c r="D84" s="13">
        <v>3249</v>
      </c>
      <c r="E84" s="13">
        <v>332</v>
      </c>
      <c r="F84" s="13">
        <v>3</v>
      </c>
      <c r="G84" s="47">
        <v>2</v>
      </c>
      <c r="H84" s="47">
        <v>81642</v>
      </c>
      <c r="I84" s="18" t="s">
        <v>17</v>
      </c>
      <c r="J84" s="47">
        <v>45493430</v>
      </c>
      <c r="K84" s="47" t="s">
        <v>734</v>
      </c>
      <c r="L84" s="48" t="s">
        <v>745</v>
      </c>
      <c r="M84" s="49">
        <v>249900</v>
      </c>
      <c r="N84" s="34">
        <v>0.75</v>
      </c>
      <c r="O84" s="7">
        <f t="shared" si="6"/>
        <v>62475</v>
      </c>
      <c r="P84" s="18" t="s">
        <v>16</v>
      </c>
    </row>
    <row r="85" spans="1:16" s="50" customFormat="1" x14ac:dyDescent="0.35">
      <c r="A85" s="18" t="s">
        <v>994</v>
      </c>
      <c r="B85" s="6">
        <f t="shared" si="8"/>
        <v>46108</v>
      </c>
      <c r="C85" s="6">
        <f t="shared" si="8"/>
        <v>46113</v>
      </c>
      <c r="D85" s="13">
        <v>3249</v>
      </c>
      <c r="E85" s="13">
        <v>332</v>
      </c>
      <c r="F85" s="13">
        <v>3</v>
      </c>
      <c r="G85" s="47">
        <v>2</v>
      </c>
      <c r="H85" s="47">
        <v>81642</v>
      </c>
      <c r="I85" s="18" t="s">
        <v>17</v>
      </c>
      <c r="J85" s="47">
        <v>45493449</v>
      </c>
      <c r="K85" s="47" t="s">
        <v>734</v>
      </c>
      <c r="L85" s="48" t="s">
        <v>746</v>
      </c>
      <c r="M85" s="49">
        <v>249900</v>
      </c>
      <c r="N85" s="34">
        <v>0.75</v>
      </c>
      <c r="O85" s="7">
        <f t="shared" si="6"/>
        <v>62475</v>
      </c>
      <c r="P85" s="18" t="s">
        <v>16</v>
      </c>
    </row>
    <row r="86" spans="1:16" s="50" customFormat="1" x14ac:dyDescent="0.35">
      <c r="A86" s="18" t="s">
        <v>994</v>
      </c>
      <c r="B86" s="6">
        <f t="shared" si="8"/>
        <v>46108</v>
      </c>
      <c r="C86" s="6">
        <f t="shared" si="8"/>
        <v>46113</v>
      </c>
      <c r="D86" s="5">
        <v>3249</v>
      </c>
      <c r="E86" s="5">
        <v>332</v>
      </c>
      <c r="F86" s="5">
        <v>3</v>
      </c>
      <c r="G86" s="42">
        <v>4</v>
      </c>
      <c r="H86" s="47">
        <v>81642</v>
      </c>
      <c r="I86" s="18" t="s">
        <v>17</v>
      </c>
      <c r="J86" s="47">
        <v>17175836</v>
      </c>
      <c r="K86" s="47" t="s">
        <v>542</v>
      </c>
      <c r="L86" s="48" t="s">
        <v>747</v>
      </c>
      <c r="M86" s="51">
        <v>249900</v>
      </c>
      <c r="N86" s="34">
        <v>0.75</v>
      </c>
      <c r="O86" s="7">
        <f t="shared" si="6"/>
        <v>62475</v>
      </c>
      <c r="P86" s="18" t="s">
        <v>16</v>
      </c>
    </row>
    <row r="87" spans="1:16" s="50" customFormat="1" x14ac:dyDescent="0.35">
      <c r="A87" s="18" t="s">
        <v>994</v>
      </c>
      <c r="B87" s="6">
        <f t="shared" si="8"/>
        <v>46108</v>
      </c>
      <c r="C87" s="6">
        <f t="shared" si="8"/>
        <v>46113</v>
      </c>
      <c r="D87" s="5">
        <v>3249</v>
      </c>
      <c r="E87" s="5">
        <v>332</v>
      </c>
      <c r="F87" s="5">
        <v>3</v>
      </c>
      <c r="G87" s="42">
        <v>4</v>
      </c>
      <c r="H87" s="47">
        <v>81642</v>
      </c>
      <c r="I87" s="18" t="s">
        <v>17</v>
      </c>
      <c r="J87" s="47">
        <v>17175845</v>
      </c>
      <c r="K87" s="47" t="s">
        <v>542</v>
      </c>
      <c r="L87" s="48" t="s">
        <v>748</v>
      </c>
      <c r="M87" s="51">
        <v>249900</v>
      </c>
      <c r="N87" s="34">
        <v>0.75</v>
      </c>
      <c r="O87" s="7">
        <f t="shared" si="6"/>
        <v>62475</v>
      </c>
      <c r="P87" s="18" t="s">
        <v>16</v>
      </c>
    </row>
    <row r="88" spans="1:16" s="50" customFormat="1" x14ac:dyDescent="0.35">
      <c r="A88" s="18" t="s">
        <v>994</v>
      </c>
      <c r="B88" s="6">
        <f t="shared" si="8"/>
        <v>46108</v>
      </c>
      <c r="C88" s="6">
        <f t="shared" si="8"/>
        <v>46113</v>
      </c>
      <c r="D88" s="5">
        <v>3249</v>
      </c>
      <c r="E88" s="5">
        <v>332</v>
      </c>
      <c r="F88" s="5">
        <v>3</v>
      </c>
      <c r="G88" s="42">
        <v>4</v>
      </c>
      <c r="H88" s="47">
        <v>81642</v>
      </c>
      <c r="I88" s="18" t="s">
        <v>17</v>
      </c>
      <c r="J88" s="47">
        <v>17175854</v>
      </c>
      <c r="K88" s="47" t="s">
        <v>542</v>
      </c>
      <c r="L88" s="48" t="s">
        <v>749</v>
      </c>
      <c r="M88" s="51">
        <v>249900</v>
      </c>
      <c r="N88" s="34">
        <v>0.75</v>
      </c>
      <c r="O88" s="7">
        <f t="shared" si="6"/>
        <v>62475</v>
      </c>
      <c r="P88" s="18" t="s">
        <v>16</v>
      </c>
    </row>
    <row r="89" spans="1:16" s="50" customFormat="1" x14ac:dyDescent="0.35">
      <c r="A89" s="18" t="s">
        <v>994</v>
      </c>
      <c r="B89" s="6">
        <f t="shared" si="8"/>
        <v>46108</v>
      </c>
      <c r="C89" s="6">
        <f t="shared" si="8"/>
        <v>46113</v>
      </c>
      <c r="D89" s="5">
        <v>3249</v>
      </c>
      <c r="E89" s="5">
        <v>332</v>
      </c>
      <c r="F89" s="5">
        <v>3</v>
      </c>
      <c r="G89" s="42">
        <v>4</v>
      </c>
      <c r="H89" s="47">
        <v>81642</v>
      </c>
      <c r="I89" s="18" t="s">
        <v>17</v>
      </c>
      <c r="J89" s="47">
        <v>17175863</v>
      </c>
      <c r="K89" s="47" t="s">
        <v>542</v>
      </c>
      <c r="L89" s="48" t="s">
        <v>750</v>
      </c>
      <c r="M89" s="51">
        <v>249900</v>
      </c>
      <c r="N89" s="34">
        <v>0.75</v>
      </c>
      <c r="O89" s="7">
        <f t="shared" si="6"/>
        <v>62475</v>
      </c>
      <c r="P89" s="18" t="s">
        <v>16</v>
      </c>
    </row>
    <row r="90" spans="1:16" s="50" customFormat="1" x14ac:dyDescent="0.35">
      <c r="A90" s="18" t="s">
        <v>994</v>
      </c>
      <c r="B90" s="6">
        <f t="shared" si="8"/>
        <v>46108</v>
      </c>
      <c r="C90" s="6">
        <f t="shared" si="8"/>
        <v>46113</v>
      </c>
      <c r="D90" s="5">
        <v>3249</v>
      </c>
      <c r="E90" s="5">
        <v>332</v>
      </c>
      <c r="F90" s="5">
        <v>3</v>
      </c>
      <c r="G90" s="42">
        <v>4</v>
      </c>
      <c r="H90" s="47">
        <v>81642</v>
      </c>
      <c r="I90" s="18" t="s">
        <v>17</v>
      </c>
      <c r="J90" s="47">
        <v>17175872</v>
      </c>
      <c r="K90" s="47" t="s">
        <v>542</v>
      </c>
      <c r="L90" s="48" t="s">
        <v>751</v>
      </c>
      <c r="M90" s="51">
        <v>249900</v>
      </c>
      <c r="N90" s="34">
        <v>0.75</v>
      </c>
      <c r="O90" s="7">
        <f t="shared" si="6"/>
        <v>62475</v>
      </c>
      <c r="P90" s="18" t="s">
        <v>16</v>
      </c>
    </row>
    <row r="91" spans="1:16" s="50" customFormat="1" x14ac:dyDescent="0.35">
      <c r="A91" s="18" t="s">
        <v>994</v>
      </c>
      <c r="B91" s="6">
        <f t="shared" si="8"/>
        <v>46108</v>
      </c>
      <c r="C91" s="6">
        <f t="shared" si="8"/>
        <v>46113</v>
      </c>
      <c r="D91" s="5">
        <v>3249</v>
      </c>
      <c r="E91" s="5">
        <v>332</v>
      </c>
      <c r="F91" s="5">
        <v>3</v>
      </c>
      <c r="G91" s="42">
        <v>4</v>
      </c>
      <c r="H91" s="47">
        <v>81642</v>
      </c>
      <c r="I91" s="18" t="s">
        <v>17</v>
      </c>
      <c r="J91" s="47">
        <v>33461068</v>
      </c>
      <c r="K91" s="47" t="s">
        <v>542</v>
      </c>
      <c r="L91" s="48" t="s">
        <v>752</v>
      </c>
      <c r="M91" s="51">
        <v>249900</v>
      </c>
      <c r="N91" s="34">
        <v>0.75</v>
      </c>
      <c r="O91" s="7">
        <f t="shared" si="6"/>
        <v>62475</v>
      </c>
      <c r="P91" s="18" t="s">
        <v>16</v>
      </c>
    </row>
    <row r="92" spans="1:16" s="50" customFormat="1" x14ac:dyDescent="0.35">
      <c r="A92" s="18" t="s">
        <v>994</v>
      </c>
      <c r="B92" s="6">
        <f t="shared" si="8"/>
        <v>46108</v>
      </c>
      <c r="C92" s="6">
        <f t="shared" si="8"/>
        <v>46113</v>
      </c>
      <c r="D92" s="5">
        <v>3249</v>
      </c>
      <c r="E92" s="5">
        <v>332</v>
      </c>
      <c r="F92" s="5">
        <v>3</v>
      </c>
      <c r="G92" s="42">
        <v>4</v>
      </c>
      <c r="H92" s="47">
        <v>81642</v>
      </c>
      <c r="I92" s="18" t="s">
        <v>17</v>
      </c>
      <c r="J92" s="47">
        <v>45206197</v>
      </c>
      <c r="K92" s="47" t="s">
        <v>552</v>
      </c>
      <c r="L92" s="48" t="s">
        <v>753</v>
      </c>
      <c r="M92" s="51">
        <v>179900</v>
      </c>
      <c r="N92" s="34">
        <v>0.75</v>
      </c>
      <c r="O92" s="7">
        <f t="shared" si="6"/>
        <v>44975</v>
      </c>
      <c r="P92" s="18" t="s">
        <v>16</v>
      </c>
    </row>
    <row r="93" spans="1:16" s="50" customFormat="1" x14ac:dyDescent="0.35">
      <c r="A93" s="18" t="s">
        <v>994</v>
      </c>
      <c r="B93" s="6">
        <f t="shared" si="8"/>
        <v>46108</v>
      </c>
      <c r="C93" s="6">
        <f t="shared" si="8"/>
        <v>46113</v>
      </c>
      <c r="D93" s="5">
        <v>3249</v>
      </c>
      <c r="E93" s="5">
        <v>332</v>
      </c>
      <c r="F93" s="5">
        <v>3</v>
      </c>
      <c r="G93" s="42">
        <v>4</v>
      </c>
      <c r="H93" s="47">
        <v>81642</v>
      </c>
      <c r="I93" s="18" t="s">
        <v>17</v>
      </c>
      <c r="J93" s="47">
        <v>45206204</v>
      </c>
      <c r="K93" s="47" t="s">
        <v>552</v>
      </c>
      <c r="L93" s="48" t="s">
        <v>754</v>
      </c>
      <c r="M93" s="51">
        <v>179900</v>
      </c>
      <c r="N93" s="34">
        <v>0.75</v>
      </c>
      <c r="O93" s="7">
        <f t="shared" si="6"/>
        <v>44975</v>
      </c>
      <c r="P93" s="18" t="s">
        <v>16</v>
      </c>
    </row>
    <row r="94" spans="1:16" s="50" customFormat="1" x14ac:dyDescent="0.35">
      <c r="A94" s="18" t="s">
        <v>994</v>
      </c>
      <c r="B94" s="6">
        <f t="shared" si="8"/>
        <v>46108</v>
      </c>
      <c r="C94" s="6">
        <f t="shared" si="8"/>
        <v>46113</v>
      </c>
      <c r="D94" s="5">
        <v>3249</v>
      </c>
      <c r="E94" s="5">
        <v>332</v>
      </c>
      <c r="F94" s="5">
        <v>3</v>
      </c>
      <c r="G94" s="42">
        <v>4</v>
      </c>
      <c r="H94" s="47">
        <v>81642</v>
      </c>
      <c r="I94" s="18" t="s">
        <v>17</v>
      </c>
      <c r="J94" s="47">
        <v>45206213</v>
      </c>
      <c r="K94" s="47" t="s">
        <v>552</v>
      </c>
      <c r="L94" s="48" t="s">
        <v>755</v>
      </c>
      <c r="M94" s="51">
        <v>179900</v>
      </c>
      <c r="N94" s="34">
        <v>0.75</v>
      </c>
      <c r="O94" s="7">
        <f t="shared" si="6"/>
        <v>44975</v>
      </c>
      <c r="P94" s="18" t="s">
        <v>16</v>
      </c>
    </row>
    <row r="95" spans="1:16" s="50" customFormat="1" x14ac:dyDescent="0.35">
      <c r="A95" s="18" t="s">
        <v>994</v>
      </c>
      <c r="B95" s="6">
        <f t="shared" si="8"/>
        <v>46108</v>
      </c>
      <c r="C95" s="6">
        <f t="shared" si="8"/>
        <v>46113</v>
      </c>
      <c r="D95" s="5">
        <v>3249</v>
      </c>
      <c r="E95" s="5">
        <v>332</v>
      </c>
      <c r="F95" s="5">
        <v>3</v>
      </c>
      <c r="G95" s="42">
        <v>4</v>
      </c>
      <c r="H95" s="47">
        <v>81642</v>
      </c>
      <c r="I95" s="18" t="s">
        <v>17</v>
      </c>
      <c r="J95" s="47">
        <v>45206222</v>
      </c>
      <c r="K95" s="47" t="s">
        <v>552</v>
      </c>
      <c r="L95" s="48" t="s">
        <v>756</v>
      </c>
      <c r="M95" s="51">
        <v>179900</v>
      </c>
      <c r="N95" s="34">
        <v>0.75</v>
      </c>
      <c r="O95" s="7">
        <f t="shared" si="6"/>
        <v>44975</v>
      </c>
      <c r="P95" s="18" t="s">
        <v>16</v>
      </c>
    </row>
    <row r="96" spans="1:16" s="50" customFormat="1" x14ac:dyDescent="0.35">
      <c r="A96" s="18" t="s">
        <v>994</v>
      </c>
      <c r="B96" s="6">
        <f t="shared" si="8"/>
        <v>46108</v>
      </c>
      <c r="C96" s="6">
        <f t="shared" si="8"/>
        <v>46113</v>
      </c>
      <c r="D96" s="5">
        <v>3249</v>
      </c>
      <c r="E96" s="5">
        <v>332</v>
      </c>
      <c r="F96" s="5">
        <v>3</v>
      </c>
      <c r="G96" s="42">
        <v>4</v>
      </c>
      <c r="H96" s="47">
        <v>81642</v>
      </c>
      <c r="I96" s="18" t="s">
        <v>17</v>
      </c>
      <c r="J96" s="47">
        <v>45206231</v>
      </c>
      <c r="K96" s="47" t="s">
        <v>552</v>
      </c>
      <c r="L96" s="48" t="s">
        <v>757</v>
      </c>
      <c r="M96" s="51">
        <v>179900</v>
      </c>
      <c r="N96" s="34">
        <v>0.75</v>
      </c>
      <c r="O96" s="7">
        <f t="shared" si="6"/>
        <v>44975</v>
      </c>
      <c r="P96" s="18" t="s">
        <v>16</v>
      </c>
    </row>
  </sheetData>
  <autoFilter ref="A1:P1" xr:uid="{00000000-0009-0000-0000-000009000000}"/>
  <conditionalFormatting sqref="J1:J56">
    <cfRule type="duplicateValues" dxfId="353" priority="3"/>
  </conditionalFormatting>
  <conditionalFormatting sqref="J1:J96">
    <cfRule type="duplicateValues" dxfId="352" priority="4"/>
  </conditionalFormatting>
  <conditionalFormatting sqref="J1:J1048576">
    <cfRule type="duplicateValues" dxfId="351" priority="1"/>
  </conditionalFormatting>
  <conditionalFormatting sqref="J57:J96">
    <cfRule type="duplicateValues" dxfId="350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78B8-264D-49F3-82CC-0F519C9DBC4C}">
  <sheetPr>
    <tabColor rgb="FFFFFF00"/>
  </sheetPr>
  <dimension ref="A1:P108"/>
  <sheetViews>
    <sheetView zoomScale="55" workbookViewId="0">
      <selection activeCell="P33" sqref="P33"/>
    </sheetView>
  </sheetViews>
  <sheetFormatPr defaultColWidth="8.7265625" defaultRowHeight="14.5" x14ac:dyDescent="0.35"/>
  <cols>
    <col min="1" max="1" width="48.0898437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08984375" style="10" bestFit="1" customWidth="1"/>
    <col min="12" max="12" width="77.6328125" style="10" bestFit="1" customWidth="1"/>
    <col min="13" max="13" width="16.08984375" style="10" bestFit="1" customWidth="1"/>
    <col min="14" max="14" width="11.08984375" style="10" bestFit="1" customWidth="1"/>
    <col min="15" max="15" width="24.17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995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5">
        <v>1</v>
      </c>
      <c r="H2" s="5">
        <v>81642</v>
      </c>
      <c r="I2" s="5" t="s">
        <v>17</v>
      </c>
      <c r="J2" s="5">
        <v>25741637</v>
      </c>
      <c r="K2" s="5" t="s">
        <v>758</v>
      </c>
      <c r="L2" s="5" t="s">
        <v>759</v>
      </c>
      <c r="M2" s="52">
        <v>249900</v>
      </c>
      <c r="N2" s="34">
        <v>0.75</v>
      </c>
      <c r="O2" s="7">
        <f t="shared" ref="O2:O65" si="0">M2-(M2*N2)</f>
        <v>62475</v>
      </c>
      <c r="P2" s="18" t="s">
        <v>16</v>
      </c>
    </row>
    <row r="3" spans="1:16" x14ac:dyDescent="0.35">
      <c r="A3" s="5" t="s">
        <v>995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5">
        <v>1</v>
      </c>
      <c r="H3" s="5">
        <v>81642</v>
      </c>
      <c r="I3" s="5" t="s">
        <v>17</v>
      </c>
      <c r="J3" s="5">
        <v>25741646</v>
      </c>
      <c r="K3" s="5" t="s">
        <v>758</v>
      </c>
      <c r="L3" s="5" t="s">
        <v>760</v>
      </c>
      <c r="M3" s="52">
        <v>249900</v>
      </c>
      <c r="N3" s="34">
        <v>0.75</v>
      </c>
      <c r="O3" s="7">
        <f t="shared" si="0"/>
        <v>62475</v>
      </c>
      <c r="P3" s="18" t="s">
        <v>16</v>
      </c>
    </row>
    <row r="4" spans="1:16" x14ac:dyDescent="0.35">
      <c r="A4" s="5" t="s">
        <v>995</v>
      </c>
      <c r="B4" s="6">
        <f t="shared" ref="B4:C19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5">
        <v>1</v>
      </c>
      <c r="H4" s="5">
        <v>81642</v>
      </c>
      <c r="I4" s="5" t="s">
        <v>17</v>
      </c>
      <c r="J4" s="5">
        <v>25741655</v>
      </c>
      <c r="K4" s="5" t="s">
        <v>758</v>
      </c>
      <c r="L4" s="5" t="s">
        <v>761</v>
      </c>
      <c r="M4" s="52">
        <v>249900</v>
      </c>
      <c r="N4" s="34">
        <v>0.75</v>
      </c>
      <c r="O4" s="7">
        <f t="shared" si="0"/>
        <v>62475</v>
      </c>
      <c r="P4" s="18" t="s">
        <v>16</v>
      </c>
    </row>
    <row r="5" spans="1:16" x14ac:dyDescent="0.35">
      <c r="A5" s="5" t="s">
        <v>995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5">
        <v>1</v>
      </c>
      <c r="H5" s="5">
        <v>81642</v>
      </c>
      <c r="I5" s="5" t="s">
        <v>17</v>
      </c>
      <c r="J5" s="5">
        <v>25741664</v>
      </c>
      <c r="K5" s="5" t="s">
        <v>758</v>
      </c>
      <c r="L5" s="5" t="s">
        <v>762</v>
      </c>
      <c r="M5" s="52">
        <v>249900</v>
      </c>
      <c r="N5" s="34">
        <v>0.75</v>
      </c>
      <c r="O5" s="7">
        <f t="shared" si="0"/>
        <v>62475</v>
      </c>
      <c r="P5" s="18" t="s">
        <v>16</v>
      </c>
    </row>
    <row r="6" spans="1:16" x14ac:dyDescent="0.35">
      <c r="A6" s="5" t="s">
        <v>995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5">
        <v>1</v>
      </c>
      <c r="H6" s="5">
        <v>81642</v>
      </c>
      <c r="I6" s="5" t="s">
        <v>17</v>
      </c>
      <c r="J6" s="5">
        <v>25741673</v>
      </c>
      <c r="K6" s="5" t="s">
        <v>758</v>
      </c>
      <c r="L6" s="5" t="s">
        <v>763</v>
      </c>
      <c r="M6" s="52">
        <v>249900</v>
      </c>
      <c r="N6" s="34">
        <v>0.75</v>
      </c>
      <c r="O6" s="7">
        <f t="shared" si="0"/>
        <v>62475</v>
      </c>
      <c r="P6" s="18" t="s">
        <v>16</v>
      </c>
    </row>
    <row r="7" spans="1:16" x14ac:dyDescent="0.35">
      <c r="A7" s="5" t="s">
        <v>995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5">
        <v>1</v>
      </c>
      <c r="H7" s="5">
        <v>81642</v>
      </c>
      <c r="I7" s="5" t="s">
        <v>17</v>
      </c>
      <c r="J7" s="5">
        <v>51197392</v>
      </c>
      <c r="K7" s="5" t="s">
        <v>764</v>
      </c>
      <c r="L7" s="5" t="s">
        <v>765</v>
      </c>
      <c r="M7" s="52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5" t="s">
        <v>995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5">
        <v>1</v>
      </c>
      <c r="H8" s="5">
        <v>81642</v>
      </c>
      <c r="I8" s="5" t="s">
        <v>17</v>
      </c>
      <c r="J8" s="5">
        <v>51197409</v>
      </c>
      <c r="K8" s="5" t="s">
        <v>764</v>
      </c>
      <c r="L8" s="5" t="s">
        <v>766</v>
      </c>
      <c r="M8" s="52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5" t="s">
        <v>995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5">
        <v>1</v>
      </c>
      <c r="H9" s="5">
        <v>81642</v>
      </c>
      <c r="I9" s="5" t="s">
        <v>17</v>
      </c>
      <c r="J9" s="5">
        <v>51197418</v>
      </c>
      <c r="K9" s="5" t="s">
        <v>764</v>
      </c>
      <c r="L9" s="5" t="s">
        <v>767</v>
      </c>
      <c r="M9" s="52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5" t="s">
        <v>995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5">
        <v>1</v>
      </c>
      <c r="H10" s="5">
        <v>81642</v>
      </c>
      <c r="I10" s="5" t="s">
        <v>17</v>
      </c>
      <c r="J10" s="5">
        <v>51197427</v>
      </c>
      <c r="K10" s="5" t="s">
        <v>764</v>
      </c>
      <c r="L10" s="5" t="s">
        <v>768</v>
      </c>
      <c r="M10" s="52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5" t="s">
        <v>995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5">
        <v>1</v>
      </c>
      <c r="H11" s="5">
        <v>81642</v>
      </c>
      <c r="I11" s="5" t="s">
        <v>17</v>
      </c>
      <c r="J11" s="5">
        <v>51197436</v>
      </c>
      <c r="K11" s="5" t="s">
        <v>764</v>
      </c>
      <c r="L11" s="5" t="s">
        <v>769</v>
      </c>
      <c r="M11" s="52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5" t="s">
        <v>995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5">
        <v>1</v>
      </c>
      <c r="H12" s="5">
        <v>81642</v>
      </c>
      <c r="I12" s="5" t="s">
        <v>17</v>
      </c>
      <c r="J12" s="5">
        <v>51197445</v>
      </c>
      <c r="K12" s="5" t="s">
        <v>764</v>
      </c>
      <c r="L12" s="5" t="s">
        <v>770</v>
      </c>
      <c r="M12" s="52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5" t="s">
        <v>995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5">
        <v>1</v>
      </c>
      <c r="H13" s="5">
        <v>81642</v>
      </c>
      <c r="I13" s="5" t="s">
        <v>17</v>
      </c>
      <c r="J13" s="5">
        <v>51197454</v>
      </c>
      <c r="K13" s="5" t="s">
        <v>764</v>
      </c>
      <c r="L13" s="5" t="s">
        <v>771</v>
      </c>
      <c r="M13" s="52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5" t="s">
        <v>995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5">
        <v>1</v>
      </c>
      <c r="H14" s="5">
        <v>81642</v>
      </c>
      <c r="I14" s="5" t="s">
        <v>17</v>
      </c>
      <c r="J14" s="5">
        <v>51197463</v>
      </c>
      <c r="K14" s="5" t="s">
        <v>764</v>
      </c>
      <c r="L14" s="5" t="s">
        <v>772</v>
      </c>
      <c r="M14" s="52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5" t="s">
        <v>995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5">
        <v>1</v>
      </c>
      <c r="H15" s="5">
        <v>81642</v>
      </c>
      <c r="I15" s="5" t="s">
        <v>17</v>
      </c>
      <c r="J15" s="5">
        <v>51197472</v>
      </c>
      <c r="K15" s="5" t="s">
        <v>764</v>
      </c>
      <c r="L15" s="5" t="s">
        <v>773</v>
      </c>
      <c r="M15" s="52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5" t="s">
        <v>995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5">
        <v>1</v>
      </c>
      <c r="H16" s="5">
        <v>81642</v>
      </c>
      <c r="I16" s="5" t="s">
        <v>17</v>
      </c>
      <c r="J16" s="5">
        <v>51197481</v>
      </c>
      <c r="K16" s="5" t="s">
        <v>764</v>
      </c>
      <c r="L16" s="5" t="s">
        <v>774</v>
      </c>
      <c r="M16" s="52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5" t="s">
        <v>995</v>
      </c>
      <c r="B17" s="6">
        <f t="shared" si="2"/>
        <v>46108</v>
      </c>
      <c r="C17" s="6">
        <f t="shared" si="2"/>
        <v>46113</v>
      </c>
      <c r="D17" s="5">
        <v>3249</v>
      </c>
      <c r="E17" s="5">
        <v>332</v>
      </c>
      <c r="F17" s="5">
        <v>3</v>
      </c>
      <c r="G17" s="5">
        <v>1</v>
      </c>
      <c r="H17" s="5">
        <v>81642</v>
      </c>
      <c r="I17" s="5" t="s">
        <v>17</v>
      </c>
      <c r="J17" s="5">
        <v>51197516</v>
      </c>
      <c r="K17" s="5" t="s">
        <v>775</v>
      </c>
      <c r="L17" s="5" t="s">
        <v>776</v>
      </c>
      <c r="M17" s="52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995</v>
      </c>
      <c r="B18" s="6">
        <f t="shared" si="2"/>
        <v>46108</v>
      </c>
      <c r="C18" s="6">
        <f t="shared" si="2"/>
        <v>46113</v>
      </c>
      <c r="D18" s="5">
        <v>3249</v>
      </c>
      <c r="E18" s="5">
        <v>332</v>
      </c>
      <c r="F18" s="5">
        <v>3</v>
      </c>
      <c r="G18" s="5">
        <v>1</v>
      </c>
      <c r="H18" s="5">
        <v>81642</v>
      </c>
      <c r="I18" s="5" t="s">
        <v>17</v>
      </c>
      <c r="J18" s="5">
        <v>51943156</v>
      </c>
      <c r="K18" s="5" t="s">
        <v>777</v>
      </c>
      <c r="L18" s="5" t="s">
        <v>778</v>
      </c>
      <c r="M18" s="52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995</v>
      </c>
      <c r="B19" s="6">
        <f t="shared" si="2"/>
        <v>46108</v>
      </c>
      <c r="C19" s="6">
        <f t="shared" si="2"/>
        <v>46113</v>
      </c>
      <c r="D19" s="5">
        <v>3249</v>
      </c>
      <c r="E19" s="5">
        <v>332</v>
      </c>
      <c r="F19" s="5">
        <v>3</v>
      </c>
      <c r="G19" s="5">
        <v>1</v>
      </c>
      <c r="H19" s="5">
        <v>81642</v>
      </c>
      <c r="I19" s="5" t="s">
        <v>17</v>
      </c>
      <c r="J19" s="5">
        <v>51943165</v>
      </c>
      <c r="K19" s="5" t="s">
        <v>777</v>
      </c>
      <c r="L19" s="5" t="s">
        <v>779</v>
      </c>
      <c r="M19" s="52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995</v>
      </c>
      <c r="B20" s="6">
        <f t="shared" ref="B20:C35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5">
        <v>1</v>
      </c>
      <c r="H20" s="5">
        <v>81642</v>
      </c>
      <c r="I20" s="5" t="s">
        <v>17</v>
      </c>
      <c r="J20" s="5">
        <v>51943174</v>
      </c>
      <c r="K20" s="5" t="s">
        <v>777</v>
      </c>
      <c r="L20" s="5" t="s">
        <v>780</v>
      </c>
      <c r="M20" s="52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995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5">
        <v>1</v>
      </c>
      <c r="H21" s="5">
        <v>81642</v>
      </c>
      <c r="I21" s="5" t="s">
        <v>17</v>
      </c>
      <c r="J21" s="5">
        <v>51943183</v>
      </c>
      <c r="K21" s="5" t="s">
        <v>777</v>
      </c>
      <c r="L21" s="5" t="s">
        <v>781</v>
      </c>
      <c r="M21" s="52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995</v>
      </c>
      <c r="B22" s="6">
        <f t="shared" si="3"/>
        <v>46108</v>
      </c>
      <c r="C22" s="6">
        <f t="shared" si="3"/>
        <v>46113</v>
      </c>
      <c r="D22" s="5">
        <v>3249</v>
      </c>
      <c r="E22" s="5">
        <v>332</v>
      </c>
      <c r="F22" s="5">
        <v>3</v>
      </c>
      <c r="G22" s="5">
        <v>1</v>
      </c>
      <c r="H22" s="5">
        <v>81642</v>
      </c>
      <c r="I22" s="5" t="s">
        <v>17</v>
      </c>
      <c r="J22" s="5">
        <v>51943192</v>
      </c>
      <c r="K22" s="5" t="s">
        <v>777</v>
      </c>
      <c r="L22" s="5" t="s">
        <v>782</v>
      </c>
      <c r="M22" s="52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995</v>
      </c>
      <c r="B23" s="6">
        <f t="shared" si="3"/>
        <v>46108</v>
      </c>
      <c r="C23" s="6">
        <f t="shared" si="3"/>
        <v>46113</v>
      </c>
      <c r="D23" s="5">
        <v>3249</v>
      </c>
      <c r="E23" s="5">
        <v>332</v>
      </c>
      <c r="F23" s="5">
        <v>3</v>
      </c>
      <c r="G23" s="5">
        <v>1</v>
      </c>
      <c r="H23" s="5">
        <v>81642</v>
      </c>
      <c r="I23" s="5" t="s">
        <v>17</v>
      </c>
      <c r="J23" s="5">
        <v>51943209</v>
      </c>
      <c r="K23" s="5" t="s">
        <v>783</v>
      </c>
      <c r="L23" s="5" t="s">
        <v>784</v>
      </c>
      <c r="M23" s="52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995</v>
      </c>
      <c r="B24" s="6">
        <f t="shared" si="3"/>
        <v>46108</v>
      </c>
      <c r="C24" s="6">
        <f t="shared" si="3"/>
        <v>46113</v>
      </c>
      <c r="D24" s="5">
        <v>3249</v>
      </c>
      <c r="E24" s="5">
        <v>332</v>
      </c>
      <c r="F24" s="5">
        <v>3</v>
      </c>
      <c r="G24" s="5">
        <v>1</v>
      </c>
      <c r="H24" s="5">
        <v>81642</v>
      </c>
      <c r="I24" s="5" t="s">
        <v>17</v>
      </c>
      <c r="J24" s="5">
        <v>51943218</v>
      </c>
      <c r="K24" s="5" t="s">
        <v>783</v>
      </c>
      <c r="L24" s="5" t="s">
        <v>785</v>
      </c>
      <c r="M24" s="52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995</v>
      </c>
      <c r="B25" s="6">
        <f t="shared" si="3"/>
        <v>46108</v>
      </c>
      <c r="C25" s="6">
        <f t="shared" si="3"/>
        <v>46113</v>
      </c>
      <c r="D25" s="5">
        <v>3249</v>
      </c>
      <c r="E25" s="5">
        <v>332</v>
      </c>
      <c r="F25" s="5">
        <v>3</v>
      </c>
      <c r="G25" s="5">
        <v>1</v>
      </c>
      <c r="H25" s="5">
        <v>81642</v>
      </c>
      <c r="I25" s="5" t="s">
        <v>17</v>
      </c>
      <c r="J25" s="5">
        <v>51943227</v>
      </c>
      <c r="K25" s="5" t="s">
        <v>783</v>
      </c>
      <c r="L25" s="5" t="s">
        <v>786</v>
      </c>
      <c r="M25" s="52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995</v>
      </c>
      <c r="B26" s="6">
        <f t="shared" si="3"/>
        <v>46108</v>
      </c>
      <c r="C26" s="6">
        <f t="shared" si="3"/>
        <v>46113</v>
      </c>
      <c r="D26" s="5">
        <v>3249</v>
      </c>
      <c r="E26" s="5">
        <v>332</v>
      </c>
      <c r="F26" s="5">
        <v>3</v>
      </c>
      <c r="G26" s="5">
        <v>1</v>
      </c>
      <c r="H26" s="5">
        <v>81642</v>
      </c>
      <c r="I26" s="5" t="s">
        <v>17</v>
      </c>
      <c r="J26" s="5">
        <v>51943236</v>
      </c>
      <c r="K26" s="5" t="s">
        <v>783</v>
      </c>
      <c r="L26" s="5" t="s">
        <v>787</v>
      </c>
      <c r="M26" s="52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995</v>
      </c>
      <c r="B27" s="6">
        <f t="shared" si="3"/>
        <v>46108</v>
      </c>
      <c r="C27" s="6">
        <f t="shared" si="3"/>
        <v>46113</v>
      </c>
      <c r="D27" s="5">
        <v>3249</v>
      </c>
      <c r="E27" s="5">
        <v>332</v>
      </c>
      <c r="F27" s="5">
        <v>3</v>
      </c>
      <c r="G27" s="5">
        <v>1</v>
      </c>
      <c r="H27" s="5">
        <v>81642</v>
      </c>
      <c r="I27" s="5" t="s">
        <v>17</v>
      </c>
      <c r="J27" s="5">
        <v>51943245</v>
      </c>
      <c r="K27" s="5" t="s">
        <v>783</v>
      </c>
      <c r="L27" s="5" t="s">
        <v>788</v>
      </c>
      <c r="M27" s="52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995</v>
      </c>
      <c r="B28" s="6">
        <f t="shared" si="3"/>
        <v>46108</v>
      </c>
      <c r="C28" s="6">
        <f t="shared" si="3"/>
        <v>46113</v>
      </c>
      <c r="D28" s="5">
        <v>3249</v>
      </c>
      <c r="E28" s="5">
        <v>332</v>
      </c>
      <c r="F28" s="5">
        <v>3</v>
      </c>
      <c r="G28" s="5">
        <v>1</v>
      </c>
      <c r="H28" s="5">
        <v>81642</v>
      </c>
      <c r="I28" s="5" t="s">
        <v>17</v>
      </c>
      <c r="J28" s="5">
        <v>52178384</v>
      </c>
      <c r="K28" s="5" t="s">
        <v>789</v>
      </c>
      <c r="L28" s="5" t="s">
        <v>790</v>
      </c>
      <c r="M28" s="52">
        <v>249900</v>
      </c>
      <c r="N28" s="34">
        <v>0.75</v>
      </c>
      <c r="O28" s="7">
        <f t="shared" si="0"/>
        <v>62475</v>
      </c>
      <c r="P28" s="18" t="s">
        <v>16</v>
      </c>
    </row>
    <row r="29" spans="1:16" x14ac:dyDescent="0.35">
      <c r="A29" s="5" t="s">
        <v>995</v>
      </c>
      <c r="B29" s="6">
        <f t="shared" si="3"/>
        <v>46108</v>
      </c>
      <c r="C29" s="6">
        <f t="shared" si="3"/>
        <v>46113</v>
      </c>
      <c r="D29" s="5">
        <v>3249</v>
      </c>
      <c r="E29" s="5">
        <v>332</v>
      </c>
      <c r="F29" s="5">
        <v>3</v>
      </c>
      <c r="G29" s="5">
        <v>1</v>
      </c>
      <c r="H29" s="5">
        <v>81642</v>
      </c>
      <c r="I29" s="5" t="s">
        <v>17</v>
      </c>
      <c r="J29" s="5">
        <v>52178393</v>
      </c>
      <c r="K29" s="5" t="s">
        <v>789</v>
      </c>
      <c r="L29" s="5" t="s">
        <v>791</v>
      </c>
      <c r="M29" s="52">
        <v>249900</v>
      </c>
      <c r="N29" s="34">
        <v>0.75</v>
      </c>
      <c r="O29" s="7">
        <f t="shared" si="0"/>
        <v>62475</v>
      </c>
      <c r="P29" s="18" t="s">
        <v>16</v>
      </c>
    </row>
    <row r="30" spans="1:16" x14ac:dyDescent="0.35">
      <c r="A30" s="5" t="s">
        <v>995</v>
      </c>
      <c r="B30" s="6">
        <f t="shared" si="3"/>
        <v>46108</v>
      </c>
      <c r="C30" s="6">
        <f t="shared" si="3"/>
        <v>46113</v>
      </c>
      <c r="D30" s="5">
        <v>3249</v>
      </c>
      <c r="E30" s="5">
        <v>332</v>
      </c>
      <c r="F30" s="5">
        <v>3</v>
      </c>
      <c r="G30" s="5">
        <v>1</v>
      </c>
      <c r="H30" s="5">
        <v>81642</v>
      </c>
      <c r="I30" s="5" t="s">
        <v>17</v>
      </c>
      <c r="J30" s="5">
        <v>52178400</v>
      </c>
      <c r="K30" s="5" t="s">
        <v>789</v>
      </c>
      <c r="L30" s="5" t="s">
        <v>792</v>
      </c>
      <c r="M30" s="52">
        <v>249900</v>
      </c>
      <c r="N30" s="34">
        <v>0.75</v>
      </c>
      <c r="O30" s="7">
        <f t="shared" si="0"/>
        <v>62475</v>
      </c>
      <c r="P30" s="18" t="s">
        <v>16</v>
      </c>
    </row>
    <row r="31" spans="1:16" x14ac:dyDescent="0.35">
      <c r="A31" s="5" t="s">
        <v>995</v>
      </c>
      <c r="B31" s="6">
        <f t="shared" si="3"/>
        <v>46108</v>
      </c>
      <c r="C31" s="6">
        <f t="shared" si="3"/>
        <v>46113</v>
      </c>
      <c r="D31" s="5">
        <v>3249</v>
      </c>
      <c r="E31" s="5">
        <v>332</v>
      </c>
      <c r="F31" s="5">
        <v>3</v>
      </c>
      <c r="G31" s="5">
        <v>1</v>
      </c>
      <c r="H31" s="5">
        <v>81642</v>
      </c>
      <c r="I31" s="5" t="s">
        <v>17</v>
      </c>
      <c r="J31" s="5">
        <v>52178419</v>
      </c>
      <c r="K31" s="5" t="s">
        <v>789</v>
      </c>
      <c r="L31" s="5" t="s">
        <v>793</v>
      </c>
      <c r="M31" s="52">
        <v>249900</v>
      </c>
      <c r="N31" s="34">
        <v>0.75</v>
      </c>
      <c r="O31" s="7">
        <f t="shared" si="0"/>
        <v>62475</v>
      </c>
      <c r="P31" s="18" t="s">
        <v>16</v>
      </c>
    </row>
    <row r="32" spans="1:16" x14ac:dyDescent="0.35">
      <c r="A32" s="5" t="s">
        <v>995</v>
      </c>
      <c r="B32" s="6">
        <f t="shared" si="3"/>
        <v>46108</v>
      </c>
      <c r="C32" s="6">
        <f t="shared" si="3"/>
        <v>46113</v>
      </c>
      <c r="D32" s="5">
        <v>3249</v>
      </c>
      <c r="E32" s="5">
        <v>332</v>
      </c>
      <c r="F32" s="5">
        <v>3</v>
      </c>
      <c r="G32" s="5">
        <v>1</v>
      </c>
      <c r="H32" s="5">
        <v>81642</v>
      </c>
      <c r="I32" s="5" t="s">
        <v>17</v>
      </c>
      <c r="J32" s="5">
        <v>52178428</v>
      </c>
      <c r="K32" s="5" t="s">
        <v>789</v>
      </c>
      <c r="L32" s="5" t="s">
        <v>794</v>
      </c>
      <c r="M32" s="52">
        <v>249900</v>
      </c>
      <c r="N32" s="34">
        <v>0.75</v>
      </c>
      <c r="O32" s="7">
        <f t="shared" si="0"/>
        <v>62475</v>
      </c>
      <c r="P32" s="18" t="s">
        <v>16</v>
      </c>
    </row>
    <row r="33" spans="1:16" x14ac:dyDescent="0.35">
      <c r="A33" s="5" t="s">
        <v>995</v>
      </c>
      <c r="B33" s="6">
        <f t="shared" si="3"/>
        <v>46108</v>
      </c>
      <c r="C33" s="6">
        <f t="shared" si="3"/>
        <v>46113</v>
      </c>
      <c r="D33" s="5">
        <v>3249</v>
      </c>
      <c r="E33" s="5">
        <v>332</v>
      </c>
      <c r="F33" s="5">
        <v>3</v>
      </c>
      <c r="G33" s="5">
        <v>1</v>
      </c>
      <c r="H33" s="5">
        <v>81642</v>
      </c>
      <c r="I33" s="5" t="s">
        <v>17</v>
      </c>
      <c r="J33" s="5">
        <v>52178437</v>
      </c>
      <c r="K33" s="5" t="s">
        <v>795</v>
      </c>
      <c r="L33" s="5" t="s">
        <v>796</v>
      </c>
      <c r="M33" s="52">
        <v>249900</v>
      </c>
      <c r="N33" s="34">
        <v>0.75</v>
      </c>
      <c r="O33" s="7">
        <f t="shared" si="0"/>
        <v>62475</v>
      </c>
      <c r="P33" s="18" t="s">
        <v>16</v>
      </c>
    </row>
    <row r="34" spans="1:16" x14ac:dyDescent="0.35">
      <c r="A34" s="5" t="s">
        <v>995</v>
      </c>
      <c r="B34" s="6">
        <f t="shared" si="3"/>
        <v>46108</v>
      </c>
      <c r="C34" s="6">
        <f t="shared" si="3"/>
        <v>46113</v>
      </c>
      <c r="D34" s="5">
        <v>3249</v>
      </c>
      <c r="E34" s="5">
        <v>332</v>
      </c>
      <c r="F34" s="5">
        <v>3</v>
      </c>
      <c r="G34" s="5">
        <v>1</v>
      </c>
      <c r="H34" s="5">
        <v>81642</v>
      </c>
      <c r="I34" s="5" t="s">
        <v>17</v>
      </c>
      <c r="J34" s="5">
        <v>52178446</v>
      </c>
      <c r="K34" s="5" t="s">
        <v>795</v>
      </c>
      <c r="L34" s="5" t="s">
        <v>797</v>
      </c>
      <c r="M34" s="52">
        <v>249900</v>
      </c>
      <c r="N34" s="34">
        <v>0.75</v>
      </c>
      <c r="O34" s="7">
        <f t="shared" si="0"/>
        <v>62475</v>
      </c>
      <c r="P34" s="18" t="s">
        <v>16</v>
      </c>
    </row>
    <row r="35" spans="1:16" x14ac:dyDescent="0.35">
      <c r="A35" s="5" t="s">
        <v>995</v>
      </c>
      <c r="B35" s="6">
        <f t="shared" si="3"/>
        <v>46108</v>
      </c>
      <c r="C35" s="6">
        <f t="shared" si="3"/>
        <v>46113</v>
      </c>
      <c r="D35" s="5">
        <v>3249</v>
      </c>
      <c r="E35" s="5">
        <v>332</v>
      </c>
      <c r="F35" s="5">
        <v>3</v>
      </c>
      <c r="G35" s="5">
        <v>1</v>
      </c>
      <c r="H35" s="5">
        <v>81642</v>
      </c>
      <c r="I35" s="5" t="s">
        <v>17</v>
      </c>
      <c r="J35" s="5">
        <v>52178455</v>
      </c>
      <c r="K35" s="5" t="s">
        <v>795</v>
      </c>
      <c r="L35" s="5" t="s">
        <v>798</v>
      </c>
      <c r="M35" s="52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5" t="s">
        <v>995</v>
      </c>
      <c r="B36" s="6">
        <f t="shared" ref="B36:C51" si="4">B35</f>
        <v>46108</v>
      </c>
      <c r="C36" s="6">
        <f t="shared" si="4"/>
        <v>46113</v>
      </c>
      <c r="D36" s="5">
        <v>3249</v>
      </c>
      <c r="E36" s="5">
        <v>332</v>
      </c>
      <c r="F36" s="5">
        <v>3</v>
      </c>
      <c r="G36" s="5">
        <v>1</v>
      </c>
      <c r="H36" s="5">
        <v>81642</v>
      </c>
      <c r="I36" s="5" t="s">
        <v>17</v>
      </c>
      <c r="J36" s="5">
        <v>52178464</v>
      </c>
      <c r="K36" s="5" t="s">
        <v>795</v>
      </c>
      <c r="L36" s="5" t="s">
        <v>799</v>
      </c>
      <c r="M36" s="52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5" t="s">
        <v>995</v>
      </c>
      <c r="B37" s="6">
        <f t="shared" si="4"/>
        <v>46108</v>
      </c>
      <c r="C37" s="6">
        <f t="shared" si="4"/>
        <v>46113</v>
      </c>
      <c r="D37" s="5">
        <v>3249</v>
      </c>
      <c r="E37" s="5">
        <v>332</v>
      </c>
      <c r="F37" s="5">
        <v>3</v>
      </c>
      <c r="G37" s="5">
        <v>1</v>
      </c>
      <c r="H37" s="5">
        <v>81642</v>
      </c>
      <c r="I37" s="5" t="s">
        <v>17</v>
      </c>
      <c r="J37" s="5">
        <v>52178473</v>
      </c>
      <c r="K37" s="5" t="s">
        <v>795</v>
      </c>
      <c r="L37" s="5" t="s">
        <v>800</v>
      </c>
      <c r="M37" s="52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5" t="s">
        <v>995</v>
      </c>
      <c r="B38" s="6">
        <f t="shared" si="4"/>
        <v>46108</v>
      </c>
      <c r="C38" s="6">
        <f t="shared" si="4"/>
        <v>46113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17</v>
      </c>
      <c r="J38" s="5">
        <v>25741780</v>
      </c>
      <c r="K38" s="5" t="s">
        <v>801</v>
      </c>
      <c r="L38" s="5" t="s">
        <v>802</v>
      </c>
      <c r="M38" s="52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995</v>
      </c>
      <c r="B39" s="6">
        <f t="shared" si="4"/>
        <v>46108</v>
      </c>
      <c r="C39" s="6">
        <f t="shared" si="4"/>
        <v>46113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17</v>
      </c>
      <c r="J39" s="5">
        <v>25741799</v>
      </c>
      <c r="K39" s="5" t="s">
        <v>801</v>
      </c>
      <c r="L39" s="5" t="s">
        <v>803</v>
      </c>
      <c r="M39" s="52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995</v>
      </c>
      <c r="B40" s="6">
        <f t="shared" si="4"/>
        <v>46108</v>
      </c>
      <c r="C40" s="6">
        <f t="shared" si="4"/>
        <v>46113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17</v>
      </c>
      <c r="J40" s="5">
        <v>25741806</v>
      </c>
      <c r="K40" s="5" t="s">
        <v>801</v>
      </c>
      <c r="L40" s="5" t="s">
        <v>804</v>
      </c>
      <c r="M40" s="52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995</v>
      </c>
      <c r="B41" s="6">
        <f t="shared" si="4"/>
        <v>46108</v>
      </c>
      <c r="C41" s="6">
        <f t="shared" si="4"/>
        <v>46113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17</v>
      </c>
      <c r="J41" s="5">
        <v>25741815</v>
      </c>
      <c r="K41" s="5" t="s">
        <v>801</v>
      </c>
      <c r="L41" s="5" t="s">
        <v>805</v>
      </c>
      <c r="M41" s="52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5" t="s">
        <v>995</v>
      </c>
      <c r="B42" s="6">
        <f t="shared" si="4"/>
        <v>46108</v>
      </c>
      <c r="C42" s="6">
        <f t="shared" si="4"/>
        <v>46113</v>
      </c>
      <c r="D42" s="5">
        <v>3249</v>
      </c>
      <c r="E42" s="5">
        <v>332</v>
      </c>
      <c r="F42" s="5">
        <v>3</v>
      </c>
      <c r="G42" s="5">
        <v>2</v>
      </c>
      <c r="H42" s="5">
        <v>81642</v>
      </c>
      <c r="I42" s="5" t="s">
        <v>17</v>
      </c>
      <c r="J42" s="5">
        <v>25741824</v>
      </c>
      <c r="K42" s="5" t="s">
        <v>801</v>
      </c>
      <c r="L42" s="5" t="s">
        <v>806</v>
      </c>
      <c r="M42" s="52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5" t="s">
        <v>995</v>
      </c>
      <c r="B43" s="6">
        <f t="shared" si="4"/>
        <v>46108</v>
      </c>
      <c r="C43" s="6">
        <f t="shared" si="4"/>
        <v>46113</v>
      </c>
      <c r="D43" s="5">
        <v>3249</v>
      </c>
      <c r="E43" s="5">
        <v>332</v>
      </c>
      <c r="F43" s="5">
        <v>3</v>
      </c>
      <c r="G43" s="5">
        <v>2</v>
      </c>
      <c r="H43" s="5">
        <v>81642</v>
      </c>
      <c r="I43" s="5" t="s">
        <v>17</v>
      </c>
      <c r="J43" s="5">
        <v>25741833</v>
      </c>
      <c r="K43" s="5" t="s">
        <v>807</v>
      </c>
      <c r="L43" s="5" t="s">
        <v>808</v>
      </c>
      <c r="M43" s="52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5" t="s">
        <v>995</v>
      </c>
      <c r="B44" s="6">
        <f t="shared" si="4"/>
        <v>46108</v>
      </c>
      <c r="C44" s="6">
        <f t="shared" si="4"/>
        <v>46113</v>
      </c>
      <c r="D44" s="5">
        <v>3249</v>
      </c>
      <c r="E44" s="5">
        <v>332</v>
      </c>
      <c r="F44" s="5">
        <v>3</v>
      </c>
      <c r="G44" s="5">
        <v>2</v>
      </c>
      <c r="H44" s="5">
        <v>81642</v>
      </c>
      <c r="I44" s="5" t="s">
        <v>17</v>
      </c>
      <c r="J44" s="5">
        <v>25741842</v>
      </c>
      <c r="K44" s="5" t="s">
        <v>807</v>
      </c>
      <c r="L44" s="5" t="s">
        <v>809</v>
      </c>
      <c r="M44" s="52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5" t="s">
        <v>995</v>
      </c>
      <c r="B45" s="6">
        <f t="shared" si="4"/>
        <v>46108</v>
      </c>
      <c r="C45" s="6">
        <f t="shared" si="4"/>
        <v>46113</v>
      </c>
      <c r="D45" s="5">
        <v>3249</v>
      </c>
      <c r="E45" s="5">
        <v>332</v>
      </c>
      <c r="F45" s="5">
        <v>3</v>
      </c>
      <c r="G45" s="5">
        <v>2</v>
      </c>
      <c r="H45" s="5">
        <v>81642</v>
      </c>
      <c r="I45" s="5" t="s">
        <v>17</v>
      </c>
      <c r="J45" s="5">
        <v>25741851</v>
      </c>
      <c r="K45" s="5" t="s">
        <v>807</v>
      </c>
      <c r="L45" s="5" t="s">
        <v>810</v>
      </c>
      <c r="M45" s="52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5" t="s">
        <v>995</v>
      </c>
      <c r="B46" s="6">
        <f t="shared" si="4"/>
        <v>46108</v>
      </c>
      <c r="C46" s="6">
        <f t="shared" si="4"/>
        <v>46113</v>
      </c>
      <c r="D46" s="5">
        <v>3249</v>
      </c>
      <c r="E46" s="5">
        <v>332</v>
      </c>
      <c r="F46" s="5">
        <v>3</v>
      </c>
      <c r="G46" s="5">
        <v>2</v>
      </c>
      <c r="H46" s="5">
        <v>81642</v>
      </c>
      <c r="I46" s="5" t="s">
        <v>17</v>
      </c>
      <c r="J46" s="5">
        <v>25741860</v>
      </c>
      <c r="K46" s="5" t="s">
        <v>807</v>
      </c>
      <c r="L46" s="5" t="s">
        <v>811</v>
      </c>
      <c r="M46" s="52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5" t="s">
        <v>995</v>
      </c>
      <c r="B47" s="6">
        <f t="shared" si="4"/>
        <v>46108</v>
      </c>
      <c r="C47" s="6">
        <f t="shared" si="4"/>
        <v>46113</v>
      </c>
      <c r="D47" s="5">
        <v>3249</v>
      </c>
      <c r="E47" s="5">
        <v>332</v>
      </c>
      <c r="F47" s="5">
        <v>3</v>
      </c>
      <c r="G47" s="5">
        <v>2</v>
      </c>
      <c r="H47" s="5">
        <v>81642</v>
      </c>
      <c r="I47" s="5" t="s">
        <v>17</v>
      </c>
      <c r="J47" s="5">
        <v>25741879</v>
      </c>
      <c r="K47" s="5" t="s">
        <v>807</v>
      </c>
      <c r="L47" s="5" t="s">
        <v>812</v>
      </c>
      <c r="M47" s="52">
        <v>279900</v>
      </c>
      <c r="N47" s="34">
        <v>0.75</v>
      </c>
      <c r="O47" s="7">
        <f t="shared" si="0"/>
        <v>69975</v>
      </c>
      <c r="P47" s="18" t="s">
        <v>16</v>
      </c>
    </row>
    <row r="48" spans="1:16" x14ac:dyDescent="0.35">
      <c r="A48" s="5" t="s">
        <v>995</v>
      </c>
      <c r="B48" s="6">
        <f t="shared" si="4"/>
        <v>46108</v>
      </c>
      <c r="C48" s="6">
        <f t="shared" si="4"/>
        <v>46113</v>
      </c>
      <c r="D48" s="5">
        <v>3249</v>
      </c>
      <c r="E48" s="5">
        <v>332</v>
      </c>
      <c r="F48" s="5">
        <v>3</v>
      </c>
      <c r="G48" s="5">
        <v>2</v>
      </c>
      <c r="H48" s="5">
        <v>81642</v>
      </c>
      <c r="I48" s="5" t="s">
        <v>17</v>
      </c>
      <c r="J48" s="5">
        <v>51197543</v>
      </c>
      <c r="K48" s="5" t="s">
        <v>813</v>
      </c>
      <c r="L48" s="5" t="s">
        <v>814</v>
      </c>
      <c r="M48" s="52">
        <v>299900</v>
      </c>
      <c r="N48" s="34">
        <v>0.75</v>
      </c>
      <c r="O48" s="7">
        <f t="shared" si="0"/>
        <v>74975</v>
      </c>
      <c r="P48" s="18" t="s">
        <v>16</v>
      </c>
    </row>
    <row r="49" spans="1:16" x14ac:dyDescent="0.35">
      <c r="A49" s="5" t="s">
        <v>995</v>
      </c>
      <c r="B49" s="6">
        <f t="shared" si="4"/>
        <v>46108</v>
      </c>
      <c r="C49" s="6">
        <f t="shared" si="4"/>
        <v>46113</v>
      </c>
      <c r="D49" s="5">
        <v>3249</v>
      </c>
      <c r="E49" s="5">
        <v>332</v>
      </c>
      <c r="F49" s="5">
        <v>3</v>
      </c>
      <c r="G49" s="5">
        <v>2</v>
      </c>
      <c r="H49" s="5">
        <v>81642</v>
      </c>
      <c r="I49" s="5" t="s">
        <v>17</v>
      </c>
      <c r="J49" s="5">
        <v>51197552</v>
      </c>
      <c r="K49" s="5" t="s">
        <v>813</v>
      </c>
      <c r="L49" s="5" t="s">
        <v>815</v>
      </c>
      <c r="M49" s="52">
        <v>299900</v>
      </c>
      <c r="N49" s="34">
        <v>0.75</v>
      </c>
      <c r="O49" s="7">
        <f t="shared" si="0"/>
        <v>74975</v>
      </c>
      <c r="P49" s="18" t="s">
        <v>16</v>
      </c>
    </row>
    <row r="50" spans="1:16" x14ac:dyDescent="0.35">
      <c r="A50" s="5" t="s">
        <v>995</v>
      </c>
      <c r="B50" s="6">
        <f t="shared" si="4"/>
        <v>46108</v>
      </c>
      <c r="C50" s="6">
        <f t="shared" si="4"/>
        <v>46113</v>
      </c>
      <c r="D50" s="5">
        <v>3249</v>
      </c>
      <c r="E50" s="5">
        <v>332</v>
      </c>
      <c r="F50" s="5">
        <v>3</v>
      </c>
      <c r="G50" s="5">
        <v>2</v>
      </c>
      <c r="H50" s="5">
        <v>81642</v>
      </c>
      <c r="I50" s="5" t="s">
        <v>17</v>
      </c>
      <c r="J50" s="5">
        <v>51197561</v>
      </c>
      <c r="K50" s="5" t="s">
        <v>813</v>
      </c>
      <c r="L50" s="5" t="s">
        <v>816</v>
      </c>
      <c r="M50" s="52">
        <v>299900</v>
      </c>
      <c r="N50" s="34">
        <v>0.75</v>
      </c>
      <c r="O50" s="7">
        <f t="shared" si="0"/>
        <v>74975</v>
      </c>
      <c r="P50" s="18" t="s">
        <v>16</v>
      </c>
    </row>
    <row r="51" spans="1:16" x14ac:dyDescent="0.35">
      <c r="A51" s="5" t="s">
        <v>995</v>
      </c>
      <c r="B51" s="6">
        <f t="shared" si="4"/>
        <v>46108</v>
      </c>
      <c r="C51" s="6">
        <f t="shared" si="4"/>
        <v>46113</v>
      </c>
      <c r="D51" s="5">
        <v>3249</v>
      </c>
      <c r="E51" s="5">
        <v>332</v>
      </c>
      <c r="F51" s="5">
        <v>3</v>
      </c>
      <c r="G51" s="5">
        <v>2</v>
      </c>
      <c r="H51" s="5">
        <v>81642</v>
      </c>
      <c r="I51" s="5" t="s">
        <v>17</v>
      </c>
      <c r="J51" s="5">
        <v>51197570</v>
      </c>
      <c r="K51" s="5" t="s">
        <v>813</v>
      </c>
      <c r="L51" s="5" t="s">
        <v>817</v>
      </c>
      <c r="M51" s="52">
        <v>299900</v>
      </c>
      <c r="N51" s="34">
        <v>0.75</v>
      </c>
      <c r="O51" s="7">
        <f t="shared" si="0"/>
        <v>74975</v>
      </c>
      <c r="P51" s="18" t="s">
        <v>16</v>
      </c>
    </row>
    <row r="52" spans="1:16" x14ac:dyDescent="0.35">
      <c r="A52" s="5" t="s">
        <v>995</v>
      </c>
      <c r="B52" s="6">
        <f t="shared" ref="B52:C67" si="5">B51</f>
        <v>46108</v>
      </c>
      <c r="C52" s="6">
        <f t="shared" si="5"/>
        <v>46113</v>
      </c>
      <c r="D52" s="5">
        <v>3249</v>
      </c>
      <c r="E52" s="5">
        <v>332</v>
      </c>
      <c r="F52" s="5">
        <v>3</v>
      </c>
      <c r="G52" s="5">
        <v>2</v>
      </c>
      <c r="H52" s="5">
        <v>81642</v>
      </c>
      <c r="I52" s="5" t="s">
        <v>17</v>
      </c>
      <c r="J52" s="5">
        <v>51197589</v>
      </c>
      <c r="K52" s="5" t="s">
        <v>813</v>
      </c>
      <c r="L52" s="5" t="s">
        <v>818</v>
      </c>
      <c r="M52" s="52">
        <v>299900</v>
      </c>
      <c r="N52" s="34">
        <v>0.75</v>
      </c>
      <c r="O52" s="7">
        <f t="shared" si="0"/>
        <v>74975</v>
      </c>
      <c r="P52" s="18" t="s">
        <v>16</v>
      </c>
    </row>
    <row r="53" spans="1:16" x14ac:dyDescent="0.35">
      <c r="A53" s="5" t="s">
        <v>995</v>
      </c>
      <c r="B53" s="6">
        <f t="shared" si="5"/>
        <v>46108</v>
      </c>
      <c r="C53" s="6">
        <f t="shared" si="5"/>
        <v>46113</v>
      </c>
      <c r="D53" s="5">
        <v>3249</v>
      </c>
      <c r="E53" s="5">
        <v>332</v>
      </c>
      <c r="F53" s="5">
        <v>3</v>
      </c>
      <c r="G53" s="5">
        <v>2</v>
      </c>
      <c r="H53" s="5">
        <v>81642</v>
      </c>
      <c r="I53" s="5" t="s">
        <v>17</v>
      </c>
      <c r="J53" s="5">
        <v>51197598</v>
      </c>
      <c r="K53" s="5" t="s">
        <v>813</v>
      </c>
      <c r="L53" s="5" t="s">
        <v>819</v>
      </c>
      <c r="M53" s="52">
        <v>299900</v>
      </c>
      <c r="N53" s="34">
        <v>0.75</v>
      </c>
      <c r="O53" s="7">
        <f t="shared" si="0"/>
        <v>74975</v>
      </c>
      <c r="P53" s="18" t="s">
        <v>16</v>
      </c>
    </row>
    <row r="54" spans="1:16" x14ac:dyDescent="0.35">
      <c r="A54" s="5" t="s">
        <v>995</v>
      </c>
      <c r="B54" s="6">
        <f t="shared" si="5"/>
        <v>46108</v>
      </c>
      <c r="C54" s="6">
        <f t="shared" si="5"/>
        <v>46113</v>
      </c>
      <c r="D54" s="5">
        <v>3249</v>
      </c>
      <c r="E54" s="5">
        <v>332</v>
      </c>
      <c r="F54" s="5">
        <v>3</v>
      </c>
      <c r="G54" s="5">
        <v>2</v>
      </c>
      <c r="H54" s="5">
        <v>81642</v>
      </c>
      <c r="I54" s="5" t="s">
        <v>17</v>
      </c>
      <c r="J54" s="5">
        <v>51197605</v>
      </c>
      <c r="K54" s="5" t="s">
        <v>813</v>
      </c>
      <c r="L54" s="5" t="s">
        <v>820</v>
      </c>
      <c r="M54" s="52">
        <v>299900</v>
      </c>
      <c r="N54" s="34">
        <v>0.75</v>
      </c>
      <c r="O54" s="7">
        <f t="shared" si="0"/>
        <v>74975</v>
      </c>
      <c r="P54" s="18" t="s">
        <v>16</v>
      </c>
    </row>
    <row r="55" spans="1:16" x14ac:dyDescent="0.35">
      <c r="A55" s="5" t="s">
        <v>995</v>
      </c>
      <c r="B55" s="6">
        <f t="shared" si="5"/>
        <v>46108</v>
      </c>
      <c r="C55" s="6">
        <f t="shared" si="5"/>
        <v>46113</v>
      </c>
      <c r="D55" s="5">
        <v>3249</v>
      </c>
      <c r="E55" s="5">
        <v>332</v>
      </c>
      <c r="F55" s="5">
        <v>3</v>
      </c>
      <c r="G55" s="5">
        <v>2</v>
      </c>
      <c r="H55" s="5">
        <v>81642</v>
      </c>
      <c r="I55" s="5" t="s">
        <v>17</v>
      </c>
      <c r="J55" s="5">
        <v>51197614</v>
      </c>
      <c r="K55" s="5" t="s">
        <v>813</v>
      </c>
      <c r="L55" s="5" t="s">
        <v>821</v>
      </c>
      <c r="M55" s="52">
        <v>299900</v>
      </c>
      <c r="N55" s="34">
        <v>0.75</v>
      </c>
      <c r="O55" s="7">
        <f t="shared" si="0"/>
        <v>74975</v>
      </c>
      <c r="P55" s="18" t="s">
        <v>16</v>
      </c>
    </row>
    <row r="56" spans="1:16" x14ac:dyDescent="0.35">
      <c r="A56" s="5" t="s">
        <v>995</v>
      </c>
      <c r="B56" s="6">
        <f t="shared" si="5"/>
        <v>46108</v>
      </c>
      <c r="C56" s="6">
        <f t="shared" si="5"/>
        <v>46113</v>
      </c>
      <c r="D56" s="5">
        <v>3249</v>
      </c>
      <c r="E56" s="5">
        <v>332</v>
      </c>
      <c r="F56" s="5">
        <v>3</v>
      </c>
      <c r="G56" s="5">
        <v>2</v>
      </c>
      <c r="H56" s="5">
        <v>81642</v>
      </c>
      <c r="I56" s="5" t="s">
        <v>17</v>
      </c>
      <c r="J56" s="5">
        <v>51197623</v>
      </c>
      <c r="K56" s="5" t="s">
        <v>813</v>
      </c>
      <c r="L56" s="5" t="s">
        <v>822</v>
      </c>
      <c r="M56" s="52">
        <v>299900</v>
      </c>
      <c r="N56" s="34">
        <v>0.75</v>
      </c>
      <c r="O56" s="7">
        <f t="shared" si="0"/>
        <v>74975</v>
      </c>
      <c r="P56" s="18" t="s">
        <v>16</v>
      </c>
    </row>
    <row r="57" spans="1:16" x14ac:dyDescent="0.35">
      <c r="A57" s="5" t="s">
        <v>995</v>
      </c>
      <c r="B57" s="6">
        <f t="shared" si="5"/>
        <v>46108</v>
      </c>
      <c r="C57" s="6">
        <f t="shared" si="5"/>
        <v>46113</v>
      </c>
      <c r="D57" s="5">
        <v>3249</v>
      </c>
      <c r="E57" s="5">
        <v>332</v>
      </c>
      <c r="F57" s="5">
        <v>3</v>
      </c>
      <c r="G57" s="5">
        <v>2</v>
      </c>
      <c r="H57" s="5">
        <v>81642</v>
      </c>
      <c r="I57" s="5" t="s">
        <v>17</v>
      </c>
      <c r="J57" s="5">
        <v>51197632</v>
      </c>
      <c r="K57" s="5" t="s">
        <v>813</v>
      </c>
      <c r="L57" s="5" t="s">
        <v>823</v>
      </c>
      <c r="M57" s="52">
        <v>299900</v>
      </c>
      <c r="N57" s="34">
        <v>0.75</v>
      </c>
      <c r="O57" s="7">
        <f t="shared" si="0"/>
        <v>74975</v>
      </c>
      <c r="P57" s="18" t="s">
        <v>16</v>
      </c>
    </row>
    <row r="58" spans="1:16" x14ac:dyDescent="0.35">
      <c r="A58" s="5" t="s">
        <v>995</v>
      </c>
      <c r="B58" s="6">
        <f t="shared" si="5"/>
        <v>46108</v>
      </c>
      <c r="C58" s="6">
        <f t="shared" si="5"/>
        <v>46113</v>
      </c>
      <c r="D58" s="5">
        <v>3249</v>
      </c>
      <c r="E58" s="5">
        <v>332</v>
      </c>
      <c r="F58" s="5">
        <v>3</v>
      </c>
      <c r="G58" s="5">
        <v>2</v>
      </c>
      <c r="H58" s="5">
        <v>81642</v>
      </c>
      <c r="I58" s="5" t="s">
        <v>17</v>
      </c>
      <c r="J58" s="5">
        <v>51197641</v>
      </c>
      <c r="K58" s="5" t="s">
        <v>824</v>
      </c>
      <c r="L58" s="5" t="s">
        <v>825</v>
      </c>
      <c r="M58" s="52">
        <v>279900</v>
      </c>
      <c r="N58" s="34">
        <v>0.75</v>
      </c>
      <c r="O58" s="7">
        <f t="shared" si="0"/>
        <v>69975</v>
      </c>
      <c r="P58" s="18" t="s">
        <v>16</v>
      </c>
    </row>
    <row r="59" spans="1:16" x14ac:dyDescent="0.35">
      <c r="A59" s="5" t="s">
        <v>995</v>
      </c>
      <c r="B59" s="6">
        <f t="shared" si="5"/>
        <v>46108</v>
      </c>
      <c r="C59" s="6">
        <f t="shared" si="5"/>
        <v>46113</v>
      </c>
      <c r="D59" s="5">
        <v>3249</v>
      </c>
      <c r="E59" s="5">
        <v>332</v>
      </c>
      <c r="F59" s="5">
        <v>3</v>
      </c>
      <c r="G59" s="5">
        <v>2</v>
      </c>
      <c r="H59" s="5">
        <v>81642</v>
      </c>
      <c r="I59" s="5" t="s">
        <v>17</v>
      </c>
      <c r="J59" s="5">
        <v>51197650</v>
      </c>
      <c r="K59" s="5" t="s">
        <v>824</v>
      </c>
      <c r="L59" s="5" t="s">
        <v>826</v>
      </c>
      <c r="M59" s="52">
        <v>279900</v>
      </c>
      <c r="N59" s="34">
        <v>0.75</v>
      </c>
      <c r="O59" s="7">
        <f t="shared" si="0"/>
        <v>69975</v>
      </c>
      <c r="P59" s="18" t="s">
        <v>16</v>
      </c>
    </row>
    <row r="60" spans="1:16" x14ac:dyDescent="0.35">
      <c r="A60" s="5" t="s">
        <v>995</v>
      </c>
      <c r="B60" s="6">
        <f t="shared" si="5"/>
        <v>46108</v>
      </c>
      <c r="C60" s="6">
        <f t="shared" si="5"/>
        <v>46113</v>
      </c>
      <c r="D60" s="5">
        <v>3249</v>
      </c>
      <c r="E60" s="5">
        <v>332</v>
      </c>
      <c r="F60" s="5">
        <v>3</v>
      </c>
      <c r="G60" s="5">
        <v>2</v>
      </c>
      <c r="H60" s="5">
        <v>81642</v>
      </c>
      <c r="I60" s="5" t="s">
        <v>17</v>
      </c>
      <c r="J60" s="5">
        <v>51197669</v>
      </c>
      <c r="K60" s="5" t="s">
        <v>824</v>
      </c>
      <c r="L60" s="5" t="s">
        <v>827</v>
      </c>
      <c r="M60" s="52">
        <v>279900</v>
      </c>
      <c r="N60" s="34">
        <v>0.75</v>
      </c>
      <c r="O60" s="7">
        <f t="shared" si="0"/>
        <v>69975</v>
      </c>
      <c r="P60" s="18" t="s">
        <v>16</v>
      </c>
    </row>
    <row r="61" spans="1:16" x14ac:dyDescent="0.35">
      <c r="A61" s="5" t="s">
        <v>995</v>
      </c>
      <c r="B61" s="6">
        <f t="shared" si="5"/>
        <v>46108</v>
      </c>
      <c r="C61" s="6">
        <f t="shared" si="5"/>
        <v>46113</v>
      </c>
      <c r="D61" s="5">
        <v>3249</v>
      </c>
      <c r="E61" s="5">
        <v>332</v>
      </c>
      <c r="F61" s="5">
        <v>3</v>
      </c>
      <c r="G61" s="5">
        <v>2</v>
      </c>
      <c r="H61" s="5">
        <v>81642</v>
      </c>
      <c r="I61" s="5" t="s">
        <v>17</v>
      </c>
      <c r="J61" s="5">
        <v>51197678</v>
      </c>
      <c r="K61" s="5" t="s">
        <v>824</v>
      </c>
      <c r="L61" s="5" t="s">
        <v>828</v>
      </c>
      <c r="M61" s="52">
        <v>279900</v>
      </c>
      <c r="N61" s="34">
        <v>0.75</v>
      </c>
      <c r="O61" s="7">
        <f t="shared" si="0"/>
        <v>69975</v>
      </c>
      <c r="P61" s="18" t="s">
        <v>16</v>
      </c>
    </row>
    <row r="62" spans="1:16" x14ac:dyDescent="0.35">
      <c r="A62" s="5" t="s">
        <v>995</v>
      </c>
      <c r="B62" s="6">
        <f t="shared" si="5"/>
        <v>46108</v>
      </c>
      <c r="C62" s="6">
        <f t="shared" si="5"/>
        <v>46113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17</v>
      </c>
      <c r="J62" s="5">
        <v>51197687</v>
      </c>
      <c r="K62" s="5" t="s">
        <v>824</v>
      </c>
      <c r="L62" s="5" t="s">
        <v>829</v>
      </c>
      <c r="M62" s="52">
        <v>279900</v>
      </c>
      <c r="N62" s="34">
        <v>0.75</v>
      </c>
      <c r="O62" s="7">
        <f t="shared" si="0"/>
        <v>69975</v>
      </c>
      <c r="P62" s="18" t="s">
        <v>16</v>
      </c>
    </row>
    <row r="63" spans="1:16" x14ac:dyDescent="0.35">
      <c r="A63" s="5" t="s">
        <v>995</v>
      </c>
      <c r="B63" s="6">
        <f t="shared" si="5"/>
        <v>46108</v>
      </c>
      <c r="C63" s="6">
        <f t="shared" si="5"/>
        <v>46113</v>
      </c>
      <c r="D63" s="5">
        <v>3249</v>
      </c>
      <c r="E63" s="5">
        <v>332</v>
      </c>
      <c r="F63" s="5">
        <v>3</v>
      </c>
      <c r="G63" s="5">
        <v>2</v>
      </c>
      <c r="H63" s="5">
        <v>81642</v>
      </c>
      <c r="I63" s="5" t="s">
        <v>17</v>
      </c>
      <c r="J63" s="5">
        <v>51197696</v>
      </c>
      <c r="K63" s="5" t="s">
        <v>824</v>
      </c>
      <c r="L63" s="5" t="s">
        <v>830</v>
      </c>
      <c r="M63" s="52">
        <v>279900</v>
      </c>
      <c r="N63" s="34">
        <v>0.75</v>
      </c>
      <c r="O63" s="7">
        <f t="shared" si="0"/>
        <v>69975</v>
      </c>
      <c r="P63" s="18" t="s">
        <v>16</v>
      </c>
    </row>
    <row r="64" spans="1:16" x14ac:dyDescent="0.35">
      <c r="A64" s="5" t="s">
        <v>995</v>
      </c>
      <c r="B64" s="6">
        <f t="shared" si="5"/>
        <v>46108</v>
      </c>
      <c r="C64" s="6">
        <f t="shared" si="5"/>
        <v>46113</v>
      </c>
      <c r="D64" s="5">
        <v>3249</v>
      </c>
      <c r="E64" s="5">
        <v>332</v>
      </c>
      <c r="F64" s="5">
        <v>3</v>
      </c>
      <c r="G64" s="5">
        <v>2</v>
      </c>
      <c r="H64" s="5">
        <v>81642</v>
      </c>
      <c r="I64" s="5" t="s">
        <v>17</v>
      </c>
      <c r="J64" s="5">
        <v>51197703</v>
      </c>
      <c r="K64" s="5" t="s">
        <v>824</v>
      </c>
      <c r="L64" s="5" t="s">
        <v>831</v>
      </c>
      <c r="M64" s="52">
        <v>279900</v>
      </c>
      <c r="N64" s="34">
        <v>0.75</v>
      </c>
      <c r="O64" s="7">
        <f t="shared" si="0"/>
        <v>69975</v>
      </c>
      <c r="P64" s="18" t="s">
        <v>16</v>
      </c>
    </row>
    <row r="65" spans="1:16" x14ac:dyDescent="0.35">
      <c r="A65" s="5" t="s">
        <v>995</v>
      </c>
      <c r="B65" s="6">
        <f t="shared" si="5"/>
        <v>46108</v>
      </c>
      <c r="C65" s="6">
        <f t="shared" si="5"/>
        <v>46113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17</v>
      </c>
      <c r="J65" s="5">
        <v>51197712</v>
      </c>
      <c r="K65" s="5" t="s">
        <v>824</v>
      </c>
      <c r="L65" s="5" t="s">
        <v>832</v>
      </c>
      <c r="M65" s="52">
        <v>279900</v>
      </c>
      <c r="N65" s="34">
        <v>0.75</v>
      </c>
      <c r="O65" s="7">
        <f t="shared" si="0"/>
        <v>69975</v>
      </c>
      <c r="P65" s="18" t="s">
        <v>16</v>
      </c>
    </row>
    <row r="66" spans="1:16" x14ac:dyDescent="0.35">
      <c r="A66" s="5" t="s">
        <v>995</v>
      </c>
      <c r="B66" s="6">
        <f t="shared" si="5"/>
        <v>46108</v>
      </c>
      <c r="C66" s="6">
        <f t="shared" si="5"/>
        <v>46113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17</v>
      </c>
      <c r="J66" s="5">
        <v>51197721</v>
      </c>
      <c r="K66" s="5" t="s">
        <v>824</v>
      </c>
      <c r="L66" s="5" t="s">
        <v>833</v>
      </c>
      <c r="M66" s="52">
        <v>279900</v>
      </c>
      <c r="N66" s="34">
        <v>0.75</v>
      </c>
      <c r="O66" s="7">
        <f t="shared" ref="O66:O108" si="6">M66-(M66*N66)</f>
        <v>69975</v>
      </c>
      <c r="P66" s="18" t="s">
        <v>16</v>
      </c>
    </row>
    <row r="67" spans="1:16" x14ac:dyDescent="0.35">
      <c r="A67" s="5" t="s">
        <v>995</v>
      </c>
      <c r="B67" s="6">
        <f t="shared" si="5"/>
        <v>46108</v>
      </c>
      <c r="C67" s="6">
        <f t="shared" si="5"/>
        <v>46113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17</v>
      </c>
      <c r="J67" s="5">
        <v>51197730</v>
      </c>
      <c r="K67" s="5" t="s">
        <v>824</v>
      </c>
      <c r="L67" s="5" t="s">
        <v>834</v>
      </c>
      <c r="M67" s="52">
        <v>279900</v>
      </c>
      <c r="N67" s="34">
        <v>0.75</v>
      </c>
      <c r="O67" s="7">
        <f t="shared" si="6"/>
        <v>69975</v>
      </c>
      <c r="P67" s="18" t="s">
        <v>16</v>
      </c>
    </row>
    <row r="68" spans="1:16" x14ac:dyDescent="0.35">
      <c r="A68" s="5" t="s">
        <v>995</v>
      </c>
      <c r="B68" s="6">
        <f t="shared" ref="B68:C83" si="7">B67</f>
        <v>46108</v>
      </c>
      <c r="C68" s="6">
        <f t="shared" si="7"/>
        <v>46113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17</v>
      </c>
      <c r="J68" s="5">
        <v>51197749</v>
      </c>
      <c r="K68" s="5" t="s">
        <v>835</v>
      </c>
      <c r="L68" s="5" t="s">
        <v>836</v>
      </c>
      <c r="M68" s="52">
        <v>279900</v>
      </c>
      <c r="N68" s="34">
        <v>0.75</v>
      </c>
      <c r="O68" s="7">
        <f t="shared" si="6"/>
        <v>69975</v>
      </c>
      <c r="P68" s="18" t="s">
        <v>16</v>
      </c>
    </row>
    <row r="69" spans="1:16" x14ac:dyDescent="0.35">
      <c r="A69" s="5" t="s">
        <v>995</v>
      </c>
      <c r="B69" s="6">
        <f t="shared" si="7"/>
        <v>46108</v>
      </c>
      <c r="C69" s="6">
        <f t="shared" si="7"/>
        <v>46113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17</v>
      </c>
      <c r="J69" s="5">
        <v>51197758</v>
      </c>
      <c r="K69" s="5" t="s">
        <v>835</v>
      </c>
      <c r="L69" s="5" t="s">
        <v>837</v>
      </c>
      <c r="M69" s="52">
        <v>279900</v>
      </c>
      <c r="N69" s="34">
        <v>0.75</v>
      </c>
      <c r="O69" s="7">
        <f t="shared" si="6"/>
        <v>69975</v>
      </c>
      <c r="P69" s="18" t="s">
        <v>16</v>
      </c>
    </row>
    <row r="70" spans="1:16" x14ac:dyDescent="0.35">
      <c r="A70" s="5" t="s">
        <v>995</v>
      </c>
      <c r="B70" s="6">
        <f t="shared" si="7"/>
        <v>46108</v>
      </c>
      <c r="C70" s="6">
        <f t="shared" si="7"/>
        <v>46113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17</v>
      </c>
      <c r="J70" s="5">
        <v>51197767</v>
      </c>
      <c r="K70" s="5" t="s">
        <v>835</v>
      </c>
      <c r="L70" s="5" t="s">
        <v>838</v>
      </c>
      <c r="M70" s="52">
        <v>279900</v>
      </c>
      <c r="N70" s="34">
        <v>0.75</v>
      </c>
      <c r="O70" s="7">
        <f t="shared" si="6"/>
        <v>69975</v>
      </c>
      <c r="P70" s="18" t="s">
        <v>16</v>
      </c>
    </row>
    <row r="71" spans="1:16" x14ac:dyDescent="0.35">
      <c r="A71" s="5" t="s">
        <v>995</v>
      </c>
      <c r="B71" s="6">
        <f t="shared" si="7"/>
        <v>46108</v>
      </c>
      <c r="C71" s="6">
        <f t="shared" si="7"/>
        <v>46113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17</v>
      </c>
      <c r="J71" s="5">
        <v>51197776</v>
      </c>
      <c r="K71" s="5" t="s">
        <v>835</v>
      </c>
      <c r="L71" s="5" t="s">
        <v>839</v>
      </c>
      <c r="M71" s="52">
        <v>279900</v>
      </c>
      <c r="N71" s="34">
        <v>0.75</v>
      </c>
      <c r="O71" s="7">
        <f t="shared" si="6"/>
        <v>69975</v>
      </c>
      <c r="P71" s="18" t="s">
        <v>16</v>
      </c>
    </row>
    <row r="72" spans="1:16" x14ac:dyDescent="0.35">
      <c r="A72" s="5" t="s">
        <v>995</v>
      </c>
      <c r="B72" s="6">
        <f t="shared" si="7"/>
        <v>46108</v>
      </c>
      <c r="C72" s="6">
        <f t="shared" si="7"/>
        <v>46113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17</v>
      </c>
      <c r="J72" s="5">
        <v>51197785</v>
      </c>
      <c r="K72" s="5" t="s">
        <v>835</v>
      </c>
      <c r="L72" s="5" t="s">
        <v>840</v>
      </c>
      <c r="M72" s="52">
        <v>279900</v>
      </c>
      <c r="N72" s="34">
        <v>0.75</v>
      </c>
      <c r="O72" s="7">
        <f t="shared" si="6"/>
        <v>69975</v>
      </c>
      <c r="P72" s="18" t="s">
        <v>16</v>
      </c>
    </row>
    <row r="73" spans="1:16" x14ac:dyDescent="0.35">
      <c r="A73" s="5" t="s">
        <v>995</v>
      </c>
      <c r="B73" s="6">
        <f t="shared" si="7"/>
        <v>46108</v>
      </c>
      <c r="C73" s="6">
        <f t="shared" si="7"/>
        <v>46113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17</v>
      </c>
      <c r="J73" s="5">
        <v>51197794</v>
      </c>
      <c r="K73" s="5" t="s">
        <v>835</v>
      </c>
      <c r="L73" s="5" t="s">
        <v>841</v>
      </c>
      <c r="M73" s="52">
        <v>279900</v>
      </c>
      <c r="N73" s="34">
        <v>0.75</v>
      </c>
      <c r="O73" s="7">
        <f t="shared" si="6"/>
        <v>69975</v>
      </c>
      <c r="P73" s="18" t="s">
        <v>16</v>
      </c>
    </row>
    <row r="74" spans="1:16" x14ac:dyDescent="0.35">
      <c r="A74" s="5" t="s">
        <v>995</v>
      </c>
      <c r="B74" s="6">
        <f t="shared" si="7"/>
        <v>46108</v>
      </c>
      <c r="C74" s="6">
        <f t="shared" si="7"/>
        <v>46113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17</v>
      </c>
      <c r="J74" s="5">
        <v>51197801</v>
      </c>
      <c r="K74" s="5" t="s">
        <v>835</v>
      </c>
      <c r="L74" s="5" t="s">
        <v>842</v>
      </c>
      <c r="M74" s="52">
        <v>279900</v>
      </c>
      <c r="N74" s="34">
        <v>0.75</v>
      </c>
      <c r="O74" s="7">
        <f t="shared" si="6"/>
        <v>69975</v>
      </c>
      <c r="P74" s="18" t="s">
        <v>16</v>
      </c>
    </row>
    <row r="75" spans="1:16" x14ac:dyDescent="0.35">
      <c r="A75" s="5" t="s">
        <v>995</v>
      </c>
      <c r="B75" s="6">
        <f t="shared" si="7"/>
        <v>46108</v>
      </c>
      <c r="C75" s="6">
        <f t="shared" si="7"/>
        <v>46113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17</v>
      </c>
      <c r="J75" s="5">
        <v>51197810</v>
      </c>
      <c r="K75" s="5" t="s">
        <v>835</v>
      </c>
      <c r="L75" s="5" t="s">
        <v>843</v>
      </c>
      <c r="M75" s="52">
        <v>279900</v>
      </c>
      <c r="N75" s="34">
        <v>0.75</v>
      </c>
      <c r="O75" s="7">
        <f t="shared" si="6"/>
        <v>69975</v>
      </c>
      <c r="P75" s="18" t="s">
        <v>16</v>
      </c>
    </row>
    <row r="76" spans="1:16" x14ac:dyDescent="0.35">
      <c r="A76" s="5" t="s">
        <v>995</v>
      </c>
      <c r="B76" s="6">
        <f t="shared" si="7"/>
        <v>46108</v>
      </c>
      <c r="C76" s="6">
        <f t="shared" si="7"/>
        <v>46113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17</v>
      </c>
      <c r="J76" s="5">
        <v>51197829</v>
      </c>
      <c r="K76" s="5" t="s">
        <v>835</v>
      </c>
      <c r="L76" s="5" t="s">
        <v>844</v>
      </c>
      <c r="M76" s="52">
        <v>279900</v>
      </c>
      <c r="N76" s="34">
        <v>0.75</v>
      </c>
      <c r="O76" s="7">
        <f t="shared" si="6"/>
        <v>69975</v>
      </c>
      <c r="P76" s="18" t="s">
        <v>16</v>
      </c>
    </row>
    <row r="77" spans="1:16" x14ac:dyDescent="0.35">
      <c r="A77" s="5" t="s">
        <v>995</v>
      </c>
      <c r="B77" s="6">
        <f t="shared" si="7"/>
        <v>46108</v>
      </c>
      <c r="C77" s="6">
        <f t="shared" si="7"/>
        <v>46113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17</v>
      </c>
      <c r="J77" s="5">
        <v>51197838</v>
      </c>
      <c r="K77" s="5" t="s">
        <v>835</v>
      </c>
      <c r="L77" s="5" t="s">
        <v>845</v>
      </c>
      <c r="M77" s="52">
        <v>279900</v>
      </c>
      <c r="N77" s="34">
        <v>0.75</v>
      </c>
      <c r="O77" s="7">
        <f t="shared" si="6"/>
        <v>69975</v>
      </c>
      <c r="P77" s="18" t="s">
        <v>16</v>
      </c>
    </row>
    <row r="78" spans="1:16" x14ac:dyDescent="0.35">
      <c r="A78" s="5" t="s">
        <v>995</v>
      </c>
      <c r="B78" s="6">
        <f t="shared" si="7"/>
        <v>46108</v>
      </c>
      <c r="C78" s="6">
        <f t="shared" si="7"/>
        <v>46113</v>
      </c>
      <c r="D78" s="5">
        <v>3249</v>
      </c>
      <c r="E78" s="5">
        <v>332</v>
      </c>
      <c r="F78" s="5">
        <v>3</v>
      </c>
      <c r="G78" s="5">
        <v>2</v>
      </c>
      <c r="H78" s="5">
        <v>81822</v>
      </c>
      <c r="I78" s="5" t="s">
        <v>17</v>
      </c>
      <c r="J78" s="5">
        <v>51205819</v>
      </c>
      <c r="K78" s="5" t="s">
        <v>846</v>
      </c>
      <c r="L78" s="5" t="s">
        <v>847</v>
      </c>
      <c r="M78" s="52">
        <v>249900</v>
      </c>
      <c r="N78" s="34">
        <v>0.75</v>
      </c>
      <c r="O78" s="7">
        <f t="shared" si="6"/>
        <v>62475</v>
      </c>
      <c r="P78" s="18" t="s">
        <v>16</v>
      </c>
    </row>
    <row r="79" spans="1:16" x14ac:dyDescent="0.35">
      <c r="A79" s="5" t="s">
        <v>995</v>
      </c>
      <c r="B79" s="6">
        <f t="shared" si="7"/>
        <v>46108</v>
      </c>
      <c r="C79" s="6">
        <f t="shared" si="7"/>
        <v>46113</v>
      </c>
      <c r="D79" s="5">
        <v>3249</v>
      </c>
      <c r="E79" s="5">
        <v>332</v>
      </c>
      <c r="F79" s="5">
        <v>3</v>
      </c>
      <c r="G79" s="5">
        <v>2</v>
      </c>
      <c r="H79" s="5">
        <v>81822</v>
      </c>
      <c r="I79" s="5" t="s">
        <v>17</v>
      </c>
      <c r="J79" s="5">
        <v>51205828</v>
      </c>
      <c r="K79" s="5" t="s">
        <v>846</v>
      </c>
      <c r="L79" s="5" t="s">
        <v>848</v>
      </c>
      <c r="M79" s="52">
        <v>249900</v>
      </c>
      <c r="N79" s="34">
        <v>0.75</v>
      </c>
      <c r="O79" s="7">
        <f t="shared" si="6"/>
        <v>62475</v>
      </c>
      <c r="P79" s="18" t="s">
        <v>16</v>
      </c>
    </row>
    <row r="80" spans="1:16" x14ac:dyDescent="0.35">
      <c r="A80" s="5" t="s">
        <v>995</v>
      </c>
      <c r="B80" s="6">
        <f t="shared" si="7"/>
        <v>46108</v>
      </c>
      <c r="C80" s="6">
        <f t="shared" si="7"/>
        <v>46113</v>
      </c>
      <c r="D80" s="5">
        <v>3249</v>
      </c>
      <c r="E80" s="5">
        <v>332</v>
      </c>
      <c r="F80" s="5">
        <v>3</v>
      </c>
      <c r="G80" s="5">
        <v>2</v>
      </c>
      <c r="H80" s="5">
        <v>81822</v>
      </c>
      <c r="I80" s="5" t="s">
        <v>17</v>
      </c>
      <c r="J80" s="5">
        <v>51205837</v>
      </c>
      <c r="K80" s="5" t="s">
        <v>846</v>
      </c>
      <c r="L80" s="5" t="s">
        <v>849</v>
      </c>
      <c r="M80" s="52">
        <v>249900</v>
      </c>
      <c r="N80" s="34">
        <v>0.75</v>
      </c>
      <c r="O80" s="7">
        <f t="shared" si="6"/>
        <v>62475</v>
      </c>
      <c r="P80" s="18" t="s">
        <v>16</v>
      </c>
    </row>
    <row r="81" spans="1:16" x14ac:dyDescent="0.35">
      <c r="A81" s="5" t="s">
        <v>995</v>
      </c>
      <c r="B81" s="6">
        <f t="shared" si="7"/>
        <v>46108</v>
      </c>
      <c r="C81" s="6">
        <f t="shared" si="7"/>
        <v>46113</v>
      </c>
      <c r="D81" s="5">
        <v>3249</v>
      </c>
      <c r="E81" s="5">
        <v>332</v>
      </c>
      <c r="F81" s="5">
        <v>3</v>
      </c>
      <c r="G81" s="5">
        <v>2</v>
      </c>
      <c r="H81" s="5">
        <v>81822</v>
      </c>
      <c r="I81" s="5" t="s">
        <v>17</v>
      </c>
      <c r="J81" s="5">
        <v>51205846</v>
      </c>
      <c r="K81" s="5" t="s">
        <v>846</v>
      </c>
      <c r="L81" s="5" t="s">
        <v>850</v>
      </c>
      <c r="M81" s="52">
        <v>249900</v>
      </c>
      <c r="N81" s="34">
        <v>0.75</v>
      </c>
      <c r="O81" s="7">
        <f t="shared" si="6"/>
        <v>62475</v>
      </c>
      <c r="P81" s="18" t="s">
        <v>16</v>
      </c>
    </row>
    <row r="82" spans="1:16" x14ac:dyDescent="0.35">
      <c r="A82" s="5" t="s">
        <v>995</v>
      </c>
      <c r="B82" s="6">
        <f t="shared" si="7"/>
        <v>46108</v>
      </c>
      <c r="C82" s="6">
        <f t="shared" si="7"/>
        <v>46113</v>
      </c>
      <c r="D82" s="5">
        <v>3249</v>
      </c>
      <c r="E82" s="5">
        <v>332</v>
      </c>
      <c r="F82" s="5">
        <v>3</v>
      </c>
      <c r="G82" s="5">
        <v>2</v>
      </c>
      <c r="H82" s="5">
        <v>81822</v>
      </c>
      <c r="I82" s="5" t="s">
        <v>17</v>
      </c>
      <c r="J82" s="5">
        <v>51205855</v>
      </c>
      <c r="K82" s="5" t="s">
        <v>846</v>
      </c>
      <c r="L82" s="5" t="s">
        <v>851</v>
      </c>
      <c r="M82" s="52">
        <v>249900</v>
      </c>
      <c r="N82" s="34">
        <v>0.75</v>
      </c>
      <c r="O82" s="7">
        <f t="shared" si="6"/>
        <v>62475</v>
      </c>
      <c r="P82" s="18" t="s">
        <v>16</v>
      </c>
    </row>
    <row r="83" spans="1:16" x14ac:dyDescent="0.35">
      <c r="A83" s="5" t="s">
        <v>995</v>
      </c>
      <c r="B83" s="6">
        <f t="shared" si="7"/>
        <v>46108</v>
      </c>
      <c r="C83" s="6">
        <f t="shared" si="7"/>
        <v>46113</v>
      </c>
      <c r="D83" s="5">
        <v>3249</v>
      </c>
      <c r="E83" s="5">
        <v>332</v>
      </c>
      <c r="F83" s="5">
        <v>3</v>
      </c>
      <c r="G83" s="5">
        <v>2</v>
      </c>
      <c r="H83" s="5">
        <v>81822</v>
      </c>
      <c r="I83" s="5" t="s">
        <v>17</v>
      </c>
      <c r="J83" s="5">
        <v>51205864</v>
      </c>
      <c r="K83" s="5" t="s">
        <v>846</v>
      </c>
      <c r="L83" s="5" t="s">
        <v>852</v>
      </c>
      <c r="M83" s="52">
        <v>249900</v>
      </c>
      <c r="N83" s="34">
        <v>0.75</v>
      </c>
      <c r="O83" s="7">
        <f t="shared" si="6"/>
        <v>62475</v>
      </c>
      <c r="P83" s="18" t="s">
        <v>16</v>
      </c>
    </row>
    <row r="84" spans="1:16" x14ac:dyDescent="0.35">
      <c r="A84" s="5" t="s">
        <v>995</v>
      </c>
      <c r="B84" s="6">
        <f t="shared" ref="B84:C99" si="8">B83</f>
        <v>46108</v>
      </c>
      <c r="C84" s="6">
        <f t="shared" si="8"/>
        <v>46113</v>
      </c>
      <c r="D84" s="5">
        <v>3249</v>
      </c>
      <c r="E84" s="5">
        <v>332</v>
      </c>
      <c r="F84" s="5">
        <v>3</v>
      </c>
      <c r="G84" s="5">
        <v>2</v>
      </c>
      <c r="H84" s="5">
        <v>81822</v>
      </c>
      <c r="I84" s="5" t="s">
        <v>17</v>
      </c>
      <c r="J84" s="5">
        <v>51205873</v>
      </c>
      <c r="K84" s="5" t="s">
        <v>846</v>
      </c>
      <c r="L84" s="5" t="s">
        <v>853</v>
      </c>
      <c r="M84" s="52">
        <v>249900</v>
      </c>
      <c r="N84" s="34">
        <v>0.75</v>
      </c>
      <c r="O84" s="7">
        <f t="shared" si="6"/>
        <v>62475</v>
      </c>
      <c r="P84" s="18" t="s">
        <v>16</v>
      </c>
    </row>
    <row r="85" spans="1:16" x14ac:dyDescent="0.35">
      <c r="A85" s="5" t="s">
        <v>995</v>
      </c>
      <c r="B85" s="6">
        <f t="shared" si="8"/>
        <v>46108</v>
      </c>
      <c r="C85" s="6">
        <f t="shared" si="8"/>
        <v>46113</v>
      </c>
      <c r="D85" s="5">
        <v>3249</v>
      </c>
      <c r="E85" s="5">
        <v>332</v>
      </c>
      <c r="F85" s="5">
        <v>3</v>
      </c>
      <c r="G85" s="5">
        <v>2</v>
      </c>
      <c r="H85" s="5">
        <v>81822</v>
      </c>
      <c r="I85" s="5" t="s">
        <v>17</v>
      </c>
      <c r="J85" s="5">
        <v>51205882</v>
      </c>
      <c r="K85" s="5" t="s">
        <v>846</v>
      </c>
      <c r="L85" s="5" t="s">
        <v>854</v>
      </c>
      <c r="M85" s="52">
        <v>249900</v>
      </c>
      <c r="N85" s="34">
        <v>0.75</v>
      </c>
      <c r="O85" s="7">
        <f t="shared" si="6"/>
        <v>62475</v>
      </c>
      <c r="P85" s="18" t="s">
        <v>16</v>
      </c>
    </row>
    <row r="86" spans="1:16" x14ac:dyDescent="0.35">
      <c r="A86" s="5" t="s">
        <v>995</v>
      </c>
      <c r="B86" s="6">
        <f t="shared" si="8"/>
        <v>46108</v>
      </c>
      <c r="C86" s="6">
        <f t="shared" si="8"/>
        <v>46113</v>
      </c>
      <c r="D86" s="5">
        <v>3249</v>
      </c>
      <c r="E86" s="5">
        <v>332</v>
      </c>
      <c r="F86" s="5">
        <v>3</v>
      </c>
      <c r="G86" s="5">
        <v>2</v>
      </c>
      <c r="H86" s="5">
        <v>81822</v>
      </c>
      <c r="I86" s="5" t="s">
        <v>17</v>
      </c>
      <c r="J86" s="5">
        <v>51205891</v>
      </c>
      <c r="K86" s="5" t="s">
        <v>846</v>
      </c>
      <c r="L86" s="5" t="s">
        <v>855</v>
      </c>
      <c r="M86" s="52">
        <v>249900</v>
      </c>
      <c r="N86" s="34">
        <v>0.75</v>
      </c>
      <c r="O86" s="7">
        <f t="shared" si="6"/>
        <v>62475</v>
      </c>
      <c r="P86" s="18" t="s">
        <v>16</v>
      </c>
    </row>
    <row r="87" spans="1:16" x14ac:dyDescent="0.35">
      <c r="A87" s="5" t="s">
        <v>995</v>
      </c>
      <c r="B87" s="6">
        <f t="shared" si="8"/>
        <v>46108</v>
      </c>
      <c r="C87" s="6">
        <f t="shared" si="8"/>
        <v>46113</v>
      </c>
      <c r="D87" s="5">
        <v>3249</v>
      </c>
      <c r="E87" s="5">
        <v>332</v>
      </c>
      <c r="F87" s="5">
        <v>3</v>
      </c>
      <c r="G87" s="5">
        <v>2</v>
      </c>
      <c r="H87" s="5">
        <v>81822</v>
      </c>
      <c r="I87" s="5" t="s">
        <v>17</v>
      </c>
      <c r="J87" s="5">
        <v>51205917</v>
      </c>
      <c r="K87" s="5" t="s">
        <v>856</v>
      </c>
      <c r="L87" s="5" t="s">
        <v>857</v>
      </c>
      <c r="M87" s="52">
        <v>279900</v>
      </c>
      <c r="N87" s="34">
        <v>0.75</v>
      </c>
      <c r="O87" s="7">
        <f t="shared" si="6"/>
        <v>69975</v>
      </c>
      <c r="P87" s="18" t="s">
        <v>16</v>
      </c>
    </row>
    <row r="88" spans="1:16" x14ac:dyDescent="0.35">
      <c r="A88" s="5" t="s">
        <v>995</v>
      </c>
      <c r="B88" s="6">
        <f t="shared" si="8"/>
        <v>46108</v>
      </c>
      <c r="C88" s="6">
        <f t="shared" si="8"/>
        <v>46113</v>
      </c>
      <c r="D88" s="5">
        <v>3249</v>
      </c>
      <c r="E88" s="5">
        <v>332</v>
      </c>
      <c r="F88" s="5">
        <v>3</v>
      </c>
      <c r="G88" s="5">
        <v>2</v>
      </c>
      <c r="H88" s="5">
        <v>81822</v>
      </c>
      <c r="I88" s="5" t="s">
        <v>17</v>
      </c>
      <c r="J88" s="5">
        <v>51205926</v>
      </c>
      <c r="K88" s="5" t="s">
        <v>856</v>
      </c>
      <c r="L88" s="5" t="s">
        <v>858</v>
      </c>
      <c r="M88" s="52">
        <v>279900</v>
      </c>
      <c r="N88" s="34">
        <v>0.75</v>
      </c>
      <c r="O88" s="7">
        <f t="shared" si="6"/>
        <v>69975</v>
      </c>
      <c r="P88" s="18" t="s">
        <v>16</v>
      </c>
    </row>
    <row r="89" spans="1:16" x14ac:dyDescent="0.35">
      <c r="A89" s="5" t="s">
        <v>995</v>
      </c>
      <c r="B89" s="6">
        <f t="shared" si="8"/>
        <v>46108</v>
      </c>
      <c r="C89" s="6">
        <f t="shared" si="8"/>
        <v>46113</v>
      </c>
      <c r="D89" s="5">
        <v>3249</v>
      </c>
      <c r="E89" s="5">
        <v>332</v>
      </c>
      <c r="F89" s="5">
        <v>3</v>
      </c>
      <c r="G89" s="5">
        <v>2</v>
      </c>
      <c r="H89" s="5">
        <v>81822</v>
      </c>
      <c r="I89" s="5" t="s">
        <v>17</v>
      </c>
      <c r="J89" s="5">
        <v>51205935</v>
      </c>
      <c r="K89" s="5" t="s">
        <v>856</v>
      </c>
      <c r="L89" s="5" t="s">
        <v>859</v>
      </c>
      <c r="M89" s="52">
        <v>279900</v>
      </c>
      <c r="N89" s="34">
        <v>0.75</v>
      </c>
      <c r="O89" s="7">
        <f t="shared" si="6"/>
        <v>69975</v>
      </c>
      <c r="P89" s="18" t="s">
        <v>16</v>
      </c>
    </row>
    <row r="90" spans="1:16" x14ac:dyDescent="0.35">
      <c r="A90" s="5" t="s">
        <v>995</v>
      </c>
      <c r="B90" s="6">
        <f t="shared" si="8"/>
        <v>46108</v>
      </c>
      <c r="C90" s="6">
        <f t="shared" si="8"/>
        <v>46113</v>
      </c>
      <c r="D90" s="5">
        <v>3249</v>
      </c>
      <c r="E90" s="5">
        <v>332</v>
      </c>
      <c r="F90" s="5">
        <v>3</v>
      </c>
      <c r="G90" s="5">
        <v>2</v>
      </c>
      <c r="H90" s="5">
        <v>81822</v>
      </c>
      <c r="I90" s="5" t="s">
        <v>17</v>
      </c>
      <c r="J90" s="5">
        <v>51205944</v>
      </c>
      <c r="K90" s="5" t="s">
        <v>856</v>
      </c>
      <c r="L90" s="5" t="s">
        <v>860</v>
      </c>
      <c r="M90" s="52">
        <v>279900</v>
      </c>
      <c r="N90" s="34">
        <v>0.75</v>
      </c>
      <c r="O90" s="7">
        <f t="shared" si="6"/>
        <v>69975</v>
      </c>
      <c r="P90" s="18" t="s">
        <v>16</v>
      </c>
    </row>
    <row r="91" spans="1:16" x14ac:dyDescent="0.35">
      <c r="A91" s="5" t="s">
        <v>995</v>
      </c>
      <c r="B91" s="6">
        <f t="shared" si="8"/>
        <v>46108</v>
      </c>
      <c r="C91" s="6">
        <f t="shared" si="8"/>
        <v>46113</v>
      </c>
      <c r="D91" s="5">
        <v>3249</v>
      </c>
      <c r="E91" s="5">
        <v>332</v>
      </c>
      <c r="F91" s="5">
        <v>3</v>
      </c>
      <c r="G91" s="5">
        <v>2</v>
      </c>
      <c r="H91" s="5">
        <v>81822</v>
      </c>
      <c r="I91" s="5" t="s">
        <v>17</v>
      </c>
      <c r="J91" s="5">
        <v>51205953</v>
      </c>
      <c r="K91" s="5" t="s">
        <v>856</v>
      </c>
      <c r="L91" s="5" t="s">
        <v>861</v>
      </c>
      <c r="M91" s="52">
        <v>279900</v>
      </c>
      <c r="N91" s="34">
        <v>0.75</v>
      </c>
      <c r="O91" s="7">
        <f t="shared" si="6"/>
        <v>69975</v>
      </c>
      <c r="P91" s="18" t="s">
        <v>16</v>
      </c>
    </row>
    <row r="92" spans="1:16" x14ac:dyDescent="0.35">
      <c r="A92" s="5" t="s">
        <v>995</v>
      </c>
      <c r="B92" s="6">
        <f t="shared" si="8"/>
        <v>46108</v>
      </c>
      <c r="C92" s="6">
        <f t="shared" si="8"/>
        <v>46113</v>
      </c>
      <c r="D92" s="5">
        <v>3249</v>
      </c>
      <c r="E92" s="5">
        <v>332</v>
      </c>
      <c r="F92" s="5">
        <v>3</v>
      </c>
      <c r="G92" s="5">
        <v>2</v>
      </c>
      <c r="H92" s="5">
        <v>81822</v>
      </c>
      <c r="I92" s="5" t="s">
        <v>17</v>
      </c>
      <c r="J92" s="5">
        <v>51212490</v>
      </c>
      <c r="K92" s="5" t="s">
        <v>846</v>
      </c>
      <c r="L92" s="5" t="s">
        <v>862</v>
      </c>
      <c r="M92" s="52">
        <v>249900</v>
      </c>
      <c r="N92" s="34">
        <v>0.75</v>
      </c>
      <c r="O92" s="7">
        <f t="shared" si="6"/>
        <v>62475</v>
      </c>
      <c r="P92" s="18" t="s">
        <v>16</v>
      </c>
    </row>
    <row r="93" spans="1:16" x14ac:dyDescent="0.35">
      <c r="A93" s="5" t="s">
        <v>995</v>
      </c>
      <c r="B93" s="6">
        <f t="shared" si="8"/>
        <v>46108</v>
      </c>
      <c r="C93" s="6">
        <f t="shared" si="8"/>
        <v>46113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17</v>
      </c>
      <c r="J93" s="5">
        <v>52178482</v>
      </c>
      <c r="K93" s="5" t="s">
        <v>863</v>
      </c>
      <c r="L93" s="5" t="s">
        <v>864</v>
      </c>
      <c r="M93" s="52">
        <v>279900</v>
      </c>
      <c r="N93" s="34">
        <v>0.75</v>
      </c>
      <c r="O93" s="7">
        <f t="shared" si="6"/>
        <v>69975</v>
      </c>
      <c r="P93" s="18" t="s">
        <v>16</v>
      </c>
    </row>
    <row r="94" spans="1:16" x14ac:dyDescent="0.35">
      <c r="A94" s="5" t="s">
        <v>995</v>
      </c>
      <c r="B94" s="6">
        <f t="shared" si="8"/>
        <v>46108</v>
      </c>
      <c r="C94" s="6">
        <f t="shared" si="8"/>
        <v>46113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17</v>
      </c>
      <c r="J94" s="5">
        <v>52178491</v>
      </c>
      <c r="K94" s="5" t="s">
        <v>863</v>
      </c>
      <c r="L94" s="5" t="s">
        <v>865</v>
      </c>
      <c r="M94" s="52">
        <v>279900</v>
      </c>
      <c r="N94" s="34">
        <v>0.75</v>
      </c>
      <c r="O94" s="7">
        <f t="shared" si="6"/>
        <v>69975</v>
      </c>
      <c r="P94" s="18" t="s">
        <v>16</v>
      </c>
    </row>
    <row r="95" spans="1:16" x14ac:dyDescent="0.35">
      <c r="A95" s="5" t="s">
        <v>995</v>
      </c>
      <c r="B95" s="6">
        <f t="shared" si="8"/>
        <v>46108</v>
      </c>
      <c r="C95" s="6">
        <f t="shared" si="8"/>
        <v>46113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17</v>
      </c>
      <c r="J95" s="5">
        <v>52178508</v>
      </c>
      <c r="K95" s="5" t="s">
        <v>863</v>
      </c>
      <c r="L95" s="5" t="s">
        <v>866</v>
      </c>
      <c r="M95" s="52">
        <v>279900</v>
      </c>
      <c r="N95" s="34">
        <v>0.75</v>
      </c>
      <c r="O95" s="7">
        <f t="shared" si="6"/>
        <v>69975</v>
      </c>
      <c r="P95" s="18" t="s">
        <v>16</v>
      </c>
    </row>
    <row r="96" spans="1:16" x14ac:dyDescent="0.35">
      <c r="A96" s="5" t="s">
        <v>995</v>
      </c>
      <c r="B96" s="6">
        <f t="shared" si="8"/>
        <v>46108</v>
      </c>
      <c r="C96" s="6">
        <f t="shared" si="8"/>
        <v>46113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17</v>
      </c>
      <c r="J96" s="5">
        <v>52178517</v>
      </c>
      <c r="K96" s="5" t="s">
        <v>863</v>
      </c>
      <c r="L96" s="5" t="s">
        <v>867</v>
      </c>
      <c r="M96" s="52">
        <v>279900</v>
      </c>
      <c r="N96" s="34">
        <v>0.75</v>
      </c>
      <c r="O96" s="7">
        <f t="shared" si="6"/>
        <v>69975</v>
      </c>
      <c r="P96" s="18" t="s">
        <v>16</v>
      </c>
    </row>
    <row r="97" spans="1:16" x14ac:dyDescent="0.35">
      <c r="A97" s="5" t="s">
        <v>995</v>
      </c>
      <c r="B97" s="6">
        <f t="shared" si="8"/>
        <v>46108</v>
      </c>
      <c r="C97" s="6">
        <f t="shared" si="8"/>
        <v>46113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17</v>
      </c>
      <c r="J97" s="5">
        <v>52178526</v>
      </c>
      <c r="K97" s="5" t="s">
        <v>863</v>
      </c>
      <c r="L97" s="5" t="s">
        <v>868</v>
      </c>
      <c r="M97" s="52">
        <v>279900</v>
      </c>
      <c r="N97" s="34">
        <v>0.75</v>
      </c>
      <c r="O97" s="7">
        <f t="shared" si="6"/>
        <v>69975</v>
      </c>
      <c r="P97" s="18" t="s">
        <v>16</v>
      </c>
    </row>
    <row r="98" spans="1:16" x14ac:dyDescent="0.35">
      <c r="A98" s="5" t="s">
        <v>995</v>
      </c>
      <c r="B98" s="6">
        <f t="shared" si="8"/>
        <v>46108</v>
      </c>
      <c r="C98" s="6">
        <f t="shared" si="8"/>
        <v>46113</v>
      </c>
      <c r="D98" s="5">
        <v>3249</v>
      </c>
      <c r="E98" s="5">
        <v>332</v>
      </c>
      <c r="F98" s="5">
        <v>3</v>
      </c>
      <c r="G98" s="5">
        <v>2</v>
      </c>
      <c r="H98" s="18"/>
      <c r="I98" s="5" t="s">
        <v>17</v>
      </c>
      <c r="J98" s="18">
        <v>52690696</v>
      </c>
      <c r="K98" s="18" t="s">
        <v>807</v>
      </c>
      <c r="L98" s="18" t="s">
        <v>869</v>
      </c>
      <c r="M98" s="52">
        <v>279900</v>
      </c>
      <c r="N98" s="34">
        <v>0.75</v>
      </c>
      <c r="O98" s="7">
        <f t="shared" si="6"/>
        <v>69975</v>
      </c>
      <c r="P98" s="18" t="s">
        <v>16</v>
      </c>
    </row>
    <row r="99" spans="1:16" x14ac:dyDescent="0.35">
      <c r="A99" s="5" t="s">
        <v>995</v>
      </c>
      <c r="B99" s="6">
        <f t="shared" si="8"/>
        <v>46108</v>
      </c>
      <c r="C99" s="6">
        <f t="shared" si="8"/>
        <v>46113</v>
      </c>
      <c r="D99" s="5">
        <v>3249</v>
      </c>
      <c r="E99" s="5">
        <v>332</v>
      </c>
      <c r="F99" s="5">
        <v>3</v>
      </c>
      <c r="G99" s="18"/>
      <c r="H99" s="18"/>
      <c r="I99" s="5" t="s">
        <v>17</v>
      </c>
      <c r="J99" s="18">
        <v>51197294</v>
      </c>
      <c r="K99" s="18" t="s">
        <v>870</v>
      </c>
      <c r="L99" s="18" t="s">
        <v>871</v>
      </c>
      <c r="M99" s="26">
        <v>229900</v>
      </c>
      <c r="N99" s="34">
        <v>0.75</v>
      </c>
      <c r="O99" s="7">
        <f t="shared" si="6"/>
        <v>57475</v>
      </c>
      <c r="P99" s="18" t="s">
        <v>16</v>
      </c>
    </row>
    <row r="100" spans="1:16" x14ac:dyDescent="0.35">
      <c r="A100" s="5" t="s">
        <v>995</v>
      </c>
      <c r="B100" s="6">
        <f t="shared" ref="B100:C108" si="9">B99</f>
        <v>46108</v>
      </c>
      <c r="C100" s="6">
        <f t="shared" si="9"/>
        <v>46113</v>
      </c>
      <c r="D100" s="5">
        <v>3249</v>
      </c>
      <c r="E100" s="5">
        <v>332</v>
      </c>
      <c r="F100" s="5">
        <v>3</v>
      </c>
      <c r="G100" s="18"/>
      <c r="H100" s="18"/>
      <c r="I100" s="5" t="s">
        <v>17</v>
      </c>
      <c r="J100" s="18">
        <v>51197301</v>
      </c>
      <c r="K100" s="18" t="s">
        <v>870</v>
      </c>
      <c r="L100" s="18" t="s">
        <v>872</v>
      </c>
      <c r="M100" s="26">
        <v>229900</v>
      </c>
      <c r="N100" s="34">
        <v>0.75</v>
      </c>
      <c r="O100" s="7">
        <f t="shared" si="6"/>
        <v>57475</v>
      </c>
      <c r="P100" s="18" t="s">
        <v>16</v>
      </c>
    </row>
    <row r="101" spans="1:16" x14ac:dyDescent="0.35">
      <c r="A101" s="5" t="s">
        <v>995</v>
      </c>
      <c r="B101" s="6">
        <f t="shared" si="9"/>
        <v>46108</v>
      </c>
      <c r="C101" s="6">
        <f t="shared" si="9"/>
        <v>46113</v>
      </c>
      <c r="D101" s="5">
        <v>3249</v>
      </c>
      <c r="E101" s="5">
        <v>332</v>
      </c>
      <c r="F101" s="5">
        <v>3</v>
      </c>
      <c r="G101" s="18"/>
      <c r="H101" s="18"/>
      <c r="I101" s="5" t="s">
        <v>17</v>
      </c>
      <c r="J101" s="18">
        <v>51197310</v>
      </c>
      <c r="K101" s="18" t="s">
        <v>870</v>
      </c>
      <c r="L101" s="18" t="s">
        <v>873</v>
      </c>
      <c r="M101" s="26">
        <v>229900</v>
      </c>
      <c r="N101" s="34">
        <v>0.75</v>
      </c>
      <c r="O101" s="7">
        <f t="shared" si="6"/>
        <v>57475</v>
      </c>
      <c r="P101" s="18" t="s">
        <v>16</v>
      </c>
    </row>
    <row r="102" spans="1:16" x14ac:dyDescent="0.35">
      <c r="A102" s="5" t="s">
        <v>995</v>
      </c>
      <c r="B102" s="6">
        <f t="shared" si="9"/>
        <v>46108</v>
      </c>
      <c r="C102" s="6">
        <f t="shared" si="9"/>
        <v>46113</v>
      </c>
      <c r="D102" s="5">
        <v>3249</v>
      </c>
      <c r="E102" s="5">
        <v>332</v>
      </c>
      <c r="F102" s="5">
        <v>3</v>
      </c>
      <c r="G102" s="18"/>
      <c r="H102" s="18"/>
      <c r="I102" s="5" t="s">
        <v>17</v>
      </c>
      <c r="J102" s="18">
        <v>51197329</v>
      </c>
      <c r="K102" s="18" t="s">
        <v>870</v>
      </c>
      <c r="L102" s="18" t="s">
        <v>874</v>
      </c>
      <c r="M102" s="26">
        <v>229900</v>
      </c>
      <c r="N102" s="34">
        <v>0.75</v>
      </c>
      <c r="O102" s="7">
        <f t="shared" si="6"/>
        <v>57475</v>
      </c>
      <c r="P102" s="18" t="s">
        <v>16</v>
      </c>
    </row>
    <row r="103" spans="1:16" x14ac:dyDescent="0.35">
      <c r="A103" s="5" t="s">
        <v>995</v>
      </c>
      <c r="B103" s="6">
        <f t="shared" si="9"/>
        <v>46108</v>
      </c>
      <c r="C103" s="6">
        <f t="shared" si="9"/>
        <v>46113</v>
      </c>
      <c r="D103" s="5">
        <v>3249</v>
      </c>
      <c r="E103" s="5">
        <v>332</v>
      </c>
      <c r="F103" s="5">
        <v>3</v>
      </c>
      <c r="G103" s="18"/>
      <c r="H103" s="18"/>
      <c r="I103" s="5" t="s">
        <v>17</v>
      </c>
      <c r="J103" s="18">
        <v>51197374</v>
      </c>
      <c r="K103" s="18" t="s">
        <v>870</v>
      </c>
      <c r="L103" s="18" t="s">
        <v>875</v>
      </c>
      <c r="M103" s="26">
        <v>229900</v>
      </c>
      <c r="N103" s="34">
        <v>0.75</v>
      </c>
      <c r="O103" s="7">
        <f t="shared" si="6"/>
        <v>57475</v>
      </c>
      <c r="P103" s="18" t="s">
        <v>16</v>
      </c>
    </row>
    <row r="104" spans="1:16" x14ac:dyDescent="0.35">
      <c r="A104" s="5" t="s">
        <v>995</v>
      </c>
      <c r="B104" s="6">
        <f t="shared" si="9"/>
        <v>46108</v>
      </c>
      <c r="C104" s="6">
        <f t="shared" si="9"/>
        <v>46113</v>
      </c>
      <c r="D104" s="5">
        <v>3249</v>
      </c>
      <c r="E104" s="5">
        <v>332</v>
      </c>
      <c r="F104" s="5">
        <v>3</v>
      </c>
      <c r="G104" s="18"/>
      <c r="H104" s="18"/>
      <c r="I104" s="5" t="s">
        <v>17</v>
      </c>
      <c r="J104" s="18">
        <v>51197383</v>
      </c>
      <c r="K104" s="18" t="s">
        <v>870</v>
      </c>
      <c r="L104" s="18" t="s">
        <v>876</v>
      </c>
      <c r="M104" s="26">
        <v>229900</v>
      </c>
      <c r="N104" s="34">
        <v>0.75</v>
      </c>
      <c r="O104" s="7">
        <f t="shared" si="6"/>
        <v>57475</v>
      </c>
      <c r="P104" s="18" t="s">
        <v>16</v>
      </c>
    </row>
    <row r="105" spans="1:16" x14ac:dyDescent="0.35">
      <c r="A105" s="5" t="s">
        <v>995</v>
      </c>
      <c r="B105" s="6">
        <f t="shared" si="9"/>
        <v>46108</v>
      </c>
      <c r="C105" s="6">
        <f t="shared" si="9"/>
        <v>46113</v>
      </c>
      <c r="D105" s="5">
        <v>3249</v>
      </c>
      <c r="E105" s="5">
        <v>332</v>
      </c>
      <c r="F105" s="5">
        <v>3</v>
      </c>
      <c r="G105" s="18"/>
      <c r="H105" s="18"/>
      <c r="I105" s="5" t="s">
        <v>17</v>
      </c>
      <c r="J105" s="18">
        <v>51197338</v>
      </c>
      <c r="K105" s="18" t="s">
        <v>870</v>
      </c>
      <c r="L105" s="18" t="s">
        <v>877</v>
      </c>
      <c r="M105" s="26">
        <v>229900</v>
      </c>
      <c r="N105" s="34">
        <v>0.75</v>
      </c>
      <c r="O105" s="7">
        <f t="shared" si="6"/>
        <v>57475</v>
      </c>
      <c r="P105" s="18" t="s">
        <v>16</v>
      </c>
    </row>
    <row r="106" spans="1:16" x14ac:dyDescent="0.35">
      <c r="A106" s="5" t="s">
        <v>995</v>
      </c>
      <c r="B106" s="6">
        <f t="shared" si="9"/>
        <v>46108</v>
      </c>
      <c r="C106" s="6">
        <f t="shared" si="9"/>
        <v>46113</v>
      </c>
      <c r="D106" s="5">
        <v>3249</v>
      </c>
      <c r="E106" s="5">
        <v>332</v>
      </c>
      <c r="F106" s="5">
        <v>3</v>
      </c>
      <c r="G106" s="18"/>
      <c r="H106" s="18"/>
      <c r="I106" s="5" t="s">
        <v>17</v>
      </c>
      <c r="J106" s="18">
        <v>51197347</v>
      </c>
      <c r="K106" s="18" t="s">
        <v>870</v>
      </c>
      <c r="L106" s="18" t="s">
        <v>878</v>
      </c>
      <c r="M106" s="26">
        <v>229900</v>
      </c>
      <c r="N106" s="34">
        <v>0.75</v>
      </c>
      <c r="O106" s="7">
        <f t="shared" si="6"/>
        <v>57475</v>
      </c>
      <c r="P106" s="18" t="s">
        <v>16</v>
      </c>
    </row>
    <row r="107" spans="1:16" x14ac:dyDescent="0.35">
      <c r="A107" s="5" t="s">
        <v>995</v>
      </c>
      <c r="B107" s="6">
        <f t="shared" si="9"/>
        <v>46108</v>
      </c>
      <c r="C107" s="6">
        <f t="shared" si="9"/>
        <v>46113</v>
      </c>
      <c r="D107" s="5">
        <v>3249</v>
      </c>
      <c r="E107" s="5">
        <v>332</v>
      </c>
      <c r="F107" s="5">
        <v>3</v>
      </c>
      <c r="G107" s="18"/>
      <c r="H107" s="18"/>
      <c r="I107" s="5" t="s">
        <v>17</v>
      </c>
      <c r="J107" s="18">
        <v>51197356</v>
      </c>
      <c r="K107" s="18" t="s">
        <v>870</v>
      </c>
      <c r="L107" s="18" t="s">
        <v>879</v>
      </c>
      <c r="M107" s="26">
        <v>229900</v>
      </c>
      <c r="N107" s="34">
        <v>0.75</v>
      </c>
      <c r="O107" s="7">
        <f t="shared" si="6"/>
        <v>57475</v>
      </c>
      <c r="P107" s="18" t="s">
        <v>16</v>
      </c>
    </row>
    <row r="108" spans="1:16" x14ac:dyDescent="0.35">
      <c r="A108" s="5" t="s">
        <v>995</v>
      </c>
      <c r="B108" s="6">
        <f t="shared" si="9"/>
        <v>46108</v>
      </c>
      <c r="C108" s="6">
        <f t="shared" si="9"/>
        <v>46113</v>
      </c>
      <c r="D108" s="5">
        <v>3249</v>
      </c>
      <c r="E108" s="5">
        <v>332</v>
      </c>
      <c r="F108" s="5">
        <v>3</v>
      </c>
      <c r="G108" s="18"/>
      <c r="H108" s="18"/>
      <c r="I108" s="5" t="s">
        <v>17</v>
      </c>
      <c r="J108" s="18">
        <v>51197365</v>
      </c>
      <c r="K108" s="18" t="s">
        <v>870</v>
      </c>
      <c r="L108" s="18" t="s">
        <v>880</v>
      </c>
      <c r="M108" s="26">
        <v>229900</v>
      </c>
      <c r="N108" s="34">
        <v>0.75</v>
      </c>
      <c r="O108" s="7">
        <f t="shared" si="6"/>
        <v>57475</v>
      </c>
      <c r="P108" s="18" t="s">
        <v>16</v>
      </c>
    </row>
  </sheetData>
  <autoFilter ref="A1:P108" xr:uid="{00000000-0009-0000-0000-00000C000000}"/>
  <conditionalFormatting sqref="J1:J97">
    <cfRule type="duplicateValues" dxfId="349" priority="1"/>
    <cfRule type="duplicateValues" dxfId="348" priority="2"/>
    <cfRule type="duplicateValues" dxfId="347" priority="3"/>
    <cfRule type="duplicateValues" dxfId="346" priority="4"/>
  </conditionalFormatting>
  <conditionalFormatting sqref="J1:J1048576">
    <cfRule type="duplicateValues" dxfId="345" priority="5"/>
    <cfRule type="duplicateValues" dxfId="344" priority="6"/>
    <cfRule type="duplicateValues" dxfId="343" priority="7"/>
    <cfRule type="duplicateValues" dxfId="342" priority="8"/>
    <cfRule type="duplicateValues" dxfId="341" priority="9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FCB4-008A-41E3-A9DA-101F6B30FED7}">
  <sheetPr>
    <tabColor rgb="FFFFFF00"/>
  </sheetPr>
  <dimension ref="A1:P41"/>
  <sheetViews>
    <sheetView zoomScale="58" workbookViewId="0">
      <selection activeCell="P33" sqref="P3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996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1</v>
      </c>
      <c r="H2" s="27"/>
      <c r="I2" s="18"/>
      <c r="J2" s="18">
        <v>53744475</v>
      </c>
      <c r="K2" s="18" t="s">
        <v>881</v>
      </c>
      <c r="L2" s="18" t="s">
        <v>882</v>
      </c>
      <c r="M2" s="26">
        <v>299000</v>
      </c>
      <c r="N2" s="34">
        <v>0.75</v>
      </c>
      <c r="O2" s="7">
        <f t="shared" ref="O2:O41" si="0">M2-(M2*N2)</f>
        <v>74750</v>
      </c>
      <c r="P2" s="18" t="s">
        <v>16</v>
      </c>
    </row>
    <row r="3" spans="1:16" x14ac:dyDescent="0.35">
      <c r="A3" s="5" t="s">
        <v>996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18">
        <v>1</v>
      </c>
      <c r="H3" s="27"/>
      <c r="I3" s="18"/>
      <c r="J3" s="18">
        <v>53744484</v>
      </c>
      <c r="K3" s="18" t="s">
        <v>881</v>
      </c>
      <c r="L3" s="18" t="s">
        <v>883</v>
      </c>
      <c r="M3" s="26">
        <v>299000</v>
      </c>
      <c r="N3" s="34">
        <v>0.75</v>
      </c>
      <c r="O3" s="7">
        <f t="shared" si="0"/>
        <v>74750</v>
      </c>
      <c r="P3" s="18" t="s">
        <v>16</v>
      </c>
    </row>
    <row r="4" spans="1:16" x14ac:dyDescent="0.35">
      <c r="A4" s="5" t="s">
        <v>996</v>
      </c>
      <c r="B4" s="6">
        <f t="shared" ref="B4:C19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8">
        <v>1</v>
      </c>
      <c r="H4" s="27"/>
      <c r="I4" s="18"/>
      <c r="J4" s="18">
        <v>53744493</v>
      </c>
      <c r="K4" s="18" t="s">
        <v>881</v>
      </c>
      <c r="L4" s="18" t="s">
        <v>884</v>
      </c>
      <c r="M4" s="26">
        <v>299000</v>
      </c>
      <c r="N4" s="34">
        <v>0.75</v>
      </c>
      <c r="O4" s="7">
        <f t="shared" si="0"/>
        <v>74750</v>
      </c>
      <c r="P4" s="18" t="s">
        <v>16</v>
      </c>
    </row>
    <row r="5" spans="1:16" x14ac:dyDescent="0.35">
      <c r="A5" s="5" t="s">
        <v>996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8">
        <v>1</v>
      </c>
      <c r="H5" s="27"/>
      <c r="I5" s="18"/>
      <c r="J5" s="18">
        <v>53744500</v>
      </c>
      <c r="K5" s="18" t="s">
        <v>881</v>
      </c>
      <c r="L5" s="18" t="s">
        <v>885</v>
      </c>
      <c r="M5" s="26">
        <v>299000</v>
      </c>
      <c r="N5" s="34">
        <v>0.75</v>
      </c>
      <c r="O5" s="7">
        <f t="shared" si="0"/>
        <v>74750</v>
      </c>
      <c r="P5" s="18" t="s">
        <v>16</v>
      </c>
    </row>
    <row r="6" spans="1:16" x14ac:dyDescent="0.35">
      <c r="A6" s="5" t="s">
        <v>996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18">
        <v>1</v>
      </c>
      <c r="H6" s="27"/>
      <c r="I6" s="18"/>
      <c r="J6" s="18">
        <v>53744519</v>
      </c>
      <c r="K6" s="18" t="s">
        <v>881</v>
      </c>
      <c r="L6" s="18" t="s">
        <v>886</v>
      </c>
      <c r="M6" s="26">
        <v>299000</v>
      </c>
      <c r="N6" s="34">
        <v>0.75</v>
      </c>
      <c r="O6" s="7">
        <f t="shared" si="0"/>
        <v>74750</v>
      </c>
      <c r="P6" s="18" t="s">
        <v>16</v>
      </c>
    </row>
    <row r="7" spans="1:16" x14ac:dyDescent="0.35">
      <c r="A7" s="5" t="s">
        <v>996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18">
        <v>1</v>
      </c>
      <c r="H7" s="27"/>
      <c r="I7" s="18"/>
      <c r="J7" s="18">
        <v>53744420</v>
      </c>
      <c r="K7" s="18" t="s">
        <v>881</v>
      </c>
      <c r="L7" s="18" t="s">
        <v>887</v>
      </c>
      <c r="M7" s="26">
        <v>299000</v>
      </c>
      <c r="N7" s="34">
        <v>0.75</v>
      </c>
      <c r="O7" s="7">
        <f t="shared" si="0"/>
        <v>74750</v>
      </c>
      <c r="P7" s="18" t="s">
        <v>16</v>
      </c>
    </row>
    <row r="8" spans="1:16" x14ac:dyDescent="0.35">
      <c r="A8" s="5" t="s">
        <v>996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18">
        <v>1</v>
      </c>
      <c r="H8" s="27"/>
      <c r="I8" s="18"/>
      <c r="J8" s="18">
        <v>53744439</v>
      </c>
      <c r="K8" s="18" t="s">
        <v>881</v>
      </c>
      <c r="L8" s="18" t="s">
        <v>888</v>
      </c>
      <c r="M8" s="26">
        <v>299000</v>
      </c>
      <c r="N8" s="34">
        <v>0.75</v>
      </c>
      <c r="O8" s="7">
        <f t="shared" si="0"/>
        <v>74750</v>
      </c>
      <c r="P8" s="18" t="s">
        <v>16</v>
      </c>
    </row>
    <row r="9" spans="1:16" x14ac:dyDescent="0.35">
      <c r="A9" s="5" t="s">
        <v>996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18">
        <v>1</v>
      </c>
      <c r="H9" s="27"/>
      <c r="I9" s="18"/>
      <c r="J9" s="18">
        <v>53744448</v>
      </c>
      <c r="K9" s="18" t="s">
        <v>881</v>
      </c>
      <c r="L9" s="18" t="s">
        <v>889</v>
      </c>
      <c r="M9" s="26">
        <v>299000</v>
      </c>
      <c r="N9" s="34">
        <v>0.75</v>
      </c>
      <c r="O9" s="7">
        <f t="shared" si="0"/>
        <v>74750</v>
      </c>
      <c r="P9" s="18" t="s">
        <v>16</v>
      </c>
    </row>
    <row r="10" spans="1:16" x14ac:dyDescent="0.35">
      <c r="A10" s="5" t="s">
        <v>996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18">
        <v>1</v>
      </c>
      <c r="H10" s="27"/>
      <c r="I10" s="18"/>
      <c r="J10" s="18">
        <v>53744457</v>
      </c>
      <c r="K10" s="18" t="s">
        <v>881</v>
      </c>
      <c r="L10" s="18" t="s">
        <v>890</v>
      </c>
      <c r="M10" s="26">
        <v>299000</v>
      </c>
      <c r="N10" s="34">
        <v>0.75</v>
      </c>
      <c r="O10" s="7">
        <f t="shared" si="0"/>
        <v>74750</v>
      </c>
      <c r="P10" s="18" t="s">
        <v>16</v>
      </c>
    </row>
    <row r="11" spans="1:16" x14ac:dyDescent="0.35">
      <c r="A11" s="5" t="s">
        <v>996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18">
        <v>1</v>
      </c>
      <c r="H11" s="27"/>
      <c r="I11" s="18"/>
      <c r="J11" s="18">
        <v>53744466</v>
      </c>
      <c r="K11" s="18" t="s">
        <v>881</v>
      </c>
      <c r="L11" s="18" t="s">
        <v>891</v>
      </c>
      <c r="M11" s="26">
        <v>299000</v>
      </c>
      <c r="N11" s="34">
        <v>0.75</v>
      </c>
      <c r="O11" s="7">
        <f t="shared" si="0"/>
        <v>74750</v>
      </c>
      <c r="P11" s="18" t="s">
        <v>16</v>
      </c>
    </row>
    <row r="12" spans="1:16" x14ac:dyDescent="0.35">
      <c r="A12" s="5" t="s">
        <v>996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18">
        <v>1</v>
      </c>
      <c r="H12" s="27"/>
      <c r="I12" s="18"/>
      <c r="J12" s="18">
        <v>54698907</v>
      </c>
      <c r="K12" s="18" t="s">
        <v>892</v>
      </c>
      <c r="L12" s="18" t="s">
        <v>893</v>
      </c>
      <c r="M12" s="26">
        <v>299900</v>
      </c>
      <c r="N12" s="34">
        <v>0.75</v>
      </c>
      <c r="O12" s="7">
        <f t="shared" si="0"/>
        <v>74975</v>
      </c>
      <c r="P12" s="18" t="s">
        <v>16</v>
      </c>
    </row>
    <row r="13" spans="1:16" x14ac:dyDescent="0.35">
      <c r="A13" s="5" t="s">
        <v>996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18">
        <v>1</v>
      </c>
      <c r="H13" s="27"/>
      <c r="I13" s="18"/>
      <c r="J13" s="18">
        <v>54698916</v>
      </c>
      <c r="K13" s="18" t="s">
        <v>892</v>
      </c>
      <c r="L13" s="18" t="s">
        <v>894</v>
      </c>
      <c r="M13" s="26">
        <v>299900</v>
      </c>
      <c r="N13" s="34">
        <v>0.75</v>
      </c>
      <c r="O13" s="7">
        <f t="shared" si="0"/>
        <v>74975</v>
      </c>
      <c r="P13" s="18" t="s">
        <v>16</v>
      </c>
    </row>
    <row r="14" spans="1:16" x14ac:dyDescent="0.35">
      <c r="A14" s="5" t="s">
        <v>996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18">
        <v>1</v>
      </c>
      <c r="H14" s="27"/>
      <c r="I14" s="18"/>
      <c r="J14" s="18">
        <v>54698925</v>
      </c>
      <c r="K14" s="18" t="s">
        <v>892</v>
      </c>
      <c r="L14" s="18" t="s">
        <v>895</v>
      </c>
      <c r="M14" s="26">
        <v>299900</v>
      </c>
      <c r="N14" s="34">
        <v>0.75</v>
      </c>
      <c r="O14" s="7">
        <f t="shared" si="0"/>
        <v>74975</v>
      </c>
      <c r="P14" s="18" t="s">
        <v>16</v>
      </c>
    </row>
    <row r="15" spans="1:16" x14ac:dyDescent="0.35">
      <c r="A15" s="5" t="s">
        <v>996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18">
        <v>1</v>
      </c>
      <c r="H15" s="27"/>
      <c r="I15" s="18"/>
      <c r="J15" s="18">
        <v>54698934</v>
      </c>
      <c r="K15" s="18" t="s">
        <v>892</v>
      </c>
      <c r="L15" s="18" t="s">
        <v>896</v>
      </c>
      <c r="M15" s="26">
        <v>299900</v>
      </c>
      <c r="N15" s="34">
        <v>0.75</v>
      </c>
      <c r="O15" s="7">
        <f t="shared" si="0"/>
        <v>74975</v>
      </c>
      <c r="P15" s="18" t="s">
        <v>16</v>
      </c>
    </row>
    <row r="16" spans="1:16" x14ac:dyDescent="0.35">
      <c r="A16" s="5" t="s">
        <v>996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18">
        <v>1</v>
      </c>
      <c r="H16" s="27"/>
      <c r="I16" s="18"/>
      <c r="J16" s="18">
        <v>54698943</v>
      </c>
      <c r="K16" s="18" t="s">
        <v>892</v>
      </c>
      <c r="L16" s="18" t="s">
        <v>897</v>
      </c>
      <c r="M16" s="26">
        <v>299900</v>
      </c>
      <c r="N16" s="34">
        <v>0.75</v>
      </c>
      <c r="O16" s="7">
        <f t="shared" si="0"/>
        <v>74975</v>
      </c>
      <c r="P16" s="18" t="s">
        <v>16</v>
      </c>
    </row>
    <row r="17" spans="1:16" x14ac:dyDescent="0.35">
      <c r="A17" s="5" t="s">
        <v>996</v>
      </c>
      <c r="B17" s="6">
        <f t="shared" si="2"/>
        <v>46108</v>
      </c>
      <c r="C17" s="6">
        <f t="shared" si="2"/>
        <v>46113</v>
      </c>
      <c r="D17" s="5">
        <v>3249</v>
      </c>
      <c r="E17" s="5">
        <v>332</v>
      </c>
      <c r="F17" s="5">
        <v>3</v>
      </c>
      <c r="G17" s="18">
        <v>1</v>
      </c>
      <c r="H17" s="27"/>
      <c r="I17" s="18"/>
      <c r="J17" s="18">
        <v>54698854</v>
      </c>
      <c r="K17" s="18" t="s">
        <v>892</v>
      </c>
      <c r="L17" s="18" t="s">
        <v>898</v>
      </c>
      <c r="M17" s="26">
        <v>299900</v>
      </c>
      <c r="N17" s="34">
        <v>0.75</v>
      </c>
      <c r="O17" s="7">
        <f t="shared" si="0"/>
        <v>74975</v>
      </c>
      <c r="P17" s="18" t="s">
        <v>16</v>
      </c>
    </row>
    <row r="18" spans="1:16" x14ac:dyDescent="0.35">
      <c r="A18" s="5" t="s">
        <v>996</v>
      </c>
      <c r="B18" s="6">
        <f t="shared" si="2"/>
        <v>46108</v>
      </c>
      <c r="C18" s="6">
        <f t="shared" si="2"/>
        <v>46113</v>
      </c>
      <c r="D18" s="5">
        <v>3249</v>
      </c>
      <c r="E18" s="5">
        <v>332</v>
      </c>
      <c r="F18" s="5">
        <v>3</v>
      </c>
      <c r="G18" s="18">
        <v>1</v>
      </c>
      <c r="H18" s="27"/>
      <c r="I18" s="18"/>
      <c r="J18" s="18">
        <v>54698863</v>
      </c>
      <c r="K18" s="18" t="s">
        <v>892</v>
      </c>
      <c r="L18" s="18" t="s">
        <v>899</v>
      </c>
      <c r="M18" s="26">
        <v>299900</v>
      </c>
      <c r="N18" s="34">
        <v>0.75</v>
      </c>
      <c r="O18" s="7">
        <f t="shared" si="0"/>
        <v>74975</v>
      </c>
      <c r="P18" s="18" t="s">
        <v>16</v>
      </c>
    </row>
    <row r="19" spans="1:16" x14ac:dyDescent="0.35">
      <c r="A19" s="5" t="s">
        <v>996</v>
      </c>
      <c r="B19" s="6">
        <f t="shared" si="2"/>
        <v>46108</v>
      </c>
      <c r="C19" s="6">
        <f t="shared" si="2"/>
        <v>46113</v>
      </c>
      <c r="D19" s="5">
        <v>3249</v>
      </c>
      <c r="E19" s="5">
        <v>332</v>
      </c>
      <c r="F19" s="5">
        <v>3</v>
      </c>
      <c r="G19" s="18">
        <v>1</v>
      </c>
      <c r="H19" s="27"/>
      <c r="I19" s="18"/>
      <c r="J19" s="18">
        <v>54698872</v>
      </c>
      <c r="K19" s="18" t="s">
        <v>892</v>
      </c>
      <c r="L19" s="18" t="s">
        <v>900</v>
      </c>
      <c r="M19" s="26">
        <v>299900</v>
      </c>
      <c r="N19" s="34">
        <v>0.75</v>
      </c>
      <c r="O19" s="7">
        <f t="shared" si="0"/>
        <v>74975</v>
      </c>
      <c r="P19" s="18" t="s">
        <v>16</v>
      </c>
    </row>
    <row r="20" spans="1:16" x14ac:dyDescent="0.35">
      <c r="A20" s="5" t="s">
        <v>996</v>
      </c>
      <c r="B20" s="6">
        <f t="shared" ref="B20:C35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18">
        <v>1</v>
      </c>
      <c r="H20" s="27"/>
      <c r="I20" s="18"/>
      <c r="J20" s="18">
        <v>54698881</v>
      </c>
      <c r="K20" s="18" t="s">
        <v>892</v>
      </c>
      <c r="L20" s="18" t="s">
        <v>901</v>
      </c>
      <c r="M20" s="26">
        <v>299900</v>
      </c>
      <c r="N20" s="34">
        <v>0.75</v>
      </c>
      <c r="O20" s="7">
        <f t="shared" si="0"/>
        <v>74975</v>
      </c>
      <c r="P20" s="18" t="s">
        <v>16</v>
      </c>
    </row>
    <row r="21" spans="1:16" x14ac:dyDescent="0.35">
      <c r="A21" s="5" t="s">
        <v>996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18">
        <v>1</v>
      </c>
      <c r="H21" s="27"/>
      <c r="I21" s="18"/>
      <c r="J21" s="18">
        <v>54698890</v>
      </c>
      <c r="K21" s="18" t="s">
        <v>892</v>
      </c>
      <c r="L21" s="18" t="s">
        <v>902</v>
      </c>
      <c r="M21" s="26">
        <v>299900</v>
      </c>
      <c r="N21" s="34">
        <v>0.75</v>
      </c>
      <c r="O21" s="7">
        <f t="shared" si="0"/>
        <v>74975</v>
      </c>
      <c r="P21" s="18" t="s">
        <v>16</v>
      </c>
    </row>
    <row r="22" spans="1:16" x14ac:dyDescent="0.35">
      <c r="A22" s="5" t="s">
        <v>996</v>
      </c>
      <c r="B22" s="6">
        <f t="shared" si="3"/>
        <v>46108</v>
      </c>
      <c r="C22" s="6">
        <f t="shared" si="3"/>
        <v>46113</v>
      </c>
      <c r="D22" s="5">
        <v>3249</v>
      </c>
      <c r="E22" s="5">
        <v>332</v>
      </c>
      <c r="F22" s="5">
        <v>3</v>
      </c>
      <c r="G22" s="18">
        <v>1</v>
      </c>
      <c r="H22" s="27"/>
      <c r="I22" s="18"/>
      <c r="J22" s="18">
        <v>54698809</v>
      </c>
      <c r="K22" s="18" t="s">
        <v>892</v>
      </c>
      <c r="L22" s="18" t="s">
        <v>903</v>
      </c>
      <c r="M22" s="26">
        <v>299900</v>
      </c>
      <c r="N22" s="34">
        <v>0.75</v>
      </c>
      <c r="O22" s="7">
        <f t="shared" si="0"/>
        <v>74975</v>
      </c>
      <c r="P22" s="18" t="s">
        <v>16</v>
      </c>
    </row>
    <row r="23" spans="1:16" x14ac:dyDescent="0.35">
      <c r="A23" s="5" t="s">
        <v>996</v>
      </c>
      <c r="B23" s="6">
        <f t="shared" si="3"/>
        <v>46108</v>
      </c>
      <c r="C23" s="6">
        <f t="shared" si="3"/>
        <v>46113</v>
      </c>
      <c r="D23" s="5">
        <v>3249</v>
      </c>
      <c r="E23" s="5">
        <v>332</v>
      </c>
      <c r="F23" s="5">
        <v>3</v>
      </c>
      <c r="G23" s="18">
        <v>1</v>
      </c>
      <c r="H23" s="27"/>
      <c r="I23" s="18"/>
      <c r="J23" s="18">
        <v>54698818</v>
      </c>
      <c r="K23" s="18" t="s">
        <v>892</v>
      </c>
      <c r="L23" s="18" t="s">
        <v>904</v>
      </c>
      <c r="M23" s="26">
        <v>299900</v>
      </c>
      <c r="N23" s="34">
        <v>0.75</v>
      </c>
      <c r="O23" s="7">
        <f t="shared" si="0"/>
        <v>74975</v>
      </c>
      <c r="P23" s="18" t="s">
        <v>16</v>
      </c>
    </row>
    <row r="24" spans="1:16" x14ac:dyDescent="0.35">
      <c r="A24" s="5" t="s">
        <v>996</v>
      </c>
      <c r="B24" s="6">
        <f t="shared" si="3"/>
        <v>46108</v>
      </c>
      <c r="C24" s="6">
        <f t="shared" si="3"/>
        <v>46113</v>
      </c>
      <c r="D24" s="5">
        <v>3249</v>
      </c>
      <c r="E24" s="5">
        <v>332</v>
      </c>
      <c r="F24" s="5">
        <v>3</v>
      </c>
      <c r="G24" s="18">
        <v>1</v>
      </c>
      <c r="H24" s="27"/>
      <c r="I24" s="18"/>
      <c r="J24" s="18">
        <v>54698827</v>
      </c>
      <c r="K24" s="18" t="s">
        <v>892</v>
      </c>
      <c r="L24" s="18" t="s">
        <v>905</v>
      </c>
      <c r="M24" s="26">
        <v>299900</v>
      </c>
      <c r="N24" s="34">
        <v>0.75</v>
      </c>
      <c r="O24" s="7">
        <f t="shared" si="0"/>
        <v>74975</v>
      </c>
      <c r="P24" s="18" t="s">
        <v>16</v>
      </c>
    </row>
    <row r="25" spans="1:16" x14ac:dyDescent="0.35">
      <c r="A25" s="5" t="s">
        <v>996</v>
      </c>
      <c r="B25" s="6">
        <f t="shared" si="3"/>
        <v>46108</v>
      </c>
      <c r="C25" s="6">
        <f t="shared" si="3"/>
        <v>46113</v>
      </c>
      <c r="D25" s="5">
        <v>3249</v>
      </c>
      <c r="E25" s="5">
        <v>332</v>
      </c>
      <c r="F25" s="5">
        <v>3</v>
      </c>
      <c r="G25" s="18">
        <v>1</v>
      </c>
      <c r="H25" s="27"/>
      <c r="I25" s="18"/>
      <c r="J25" s="18">
        <v>54698836</v>
      </c>
      <c r="K25" s="18" t="s">
        <v>892</v>
      </c>
      <c r="L25" s="18" t="s">
        <v>906</v>
      </c>
      <c r="M25" s="26">
        <v>299900</v>
      </c>
      <c r="N25" s="34">
        <v>0.75</v>
      </c>
      <c r="O25" s="7">
        <f t="shared" si="0"/>
        <v>74975</v>
      </c>
      <c r="P25" s="18" t="s">
        <v>16</v>
      </c>
    </row>
    <row r="26" spans="1:16" x14ac:dyDescent="0.35">
      <c r="A26" s="5" t="s">
        <v>996</v>
      </c>
      <c r="B26" s="6">
        <f t="shared" si="3"/>
        <v>46108</v>
      </c>
      <c r="C26" s="6">
        <f t="shared" si="3"/>
        <v>46113</v>
      </c>
      <c r="D26" s="5">
        <v>3249</v>
      </c>
      <c r="E26" s="5">
        <v>332</v>
      </c>
      <c r="F26" s="5">
        <v>3</v>
      </c>
      <c r="G26" s="18">
        <v>1</v>
      </c>
      <c r="H26" s="27"/>
      <c r="I26" s="18"/>
      <c r="J26" s="18">
        <v>54698845</v>
      </c>
      <c r="K26" s="18" t="s">
        <v>892</v>
      </c>
      <c r="L26" s="18" t="s">
        <v>907</v>
      </c>
      <c r="M26" s="26">
        <v>299900</v>
      </c>
      <c r="N26" s="34">
        <v>0.75</v>
      </c>
      <c r="O26" s="7">
        <f t="shared" si="0"/>
        <v>74975</v>
      </c>
      <c r="P26" s="18" t="s">
        <v>16</v>
      </c>
    </row>
    <row r="27" spans="1:16" x14ac:dyDescent="0.35">
      <c r="A27" s="5" t="s">
        <v>996</v>
      </c>
      <c r="B27" s="6">
        <f t="shared" si="3"/>
        <v>46108</v>
      </c>
      <c r="C27" s="6">
        <f t="shared" si="3"/>
        <v>46113</v>
      </c>
      <c r="D27" s="5">
        <v>3249</v>
      </c>
      <c r="E27" s="5">
        <v>332</v>
      </c>
      <c r="F27" s="5">
        <v>3</v>
      </c>
      <c r="G27" s="18">
        <v>1</v>
      </c>
      <c r="H27" s="27"/>
      <c r="I27" s="18"/>
      <c r="J27" s="18">
        <v>53744724</v>
      </c>
      <c r="K27" s="18" t="s">
        <v>908</v>
      </c>
      <c r="L27" s="18" t="s">
        <v>909</v>
      </c>
      <c r="M27" s="26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5" t="s">
        <v>996</v>
      </c>
      <c r="B28" s="6">
        <f t="shared" si="3"/>
        <v>46108</v>
      </c>
      <c r="C28" s="6">
        <f t="shared" si="3"/>
        <v>46113</v>
      </c>
      <c r="D28" s="5">
        <v>3249</v>
      </c>
      <c r="E28" s="5">
        <v>332</v>
      </c>
      <c r="F28" s="5">
        <v>3</v>
      </c>
      <c r="G28" s="18">
        <v>2</v>
      </c>
      <c r="H28" s="27"/>
      <c r="I28" s="18"/>
      <c r="J28" s="18">
        <v>53744733</v>
      </c>
      <c r="K28" s="18" t="s">
        <v>908</v>
      </c>
      <c r="L28" s="18" t="s">
        <v>910</v>
      </c>
      <c r="M28" s="26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5" t="s">
        <v>996</v>
      </c>
      <c r="B29" s="6">
        <f t="shared" si="3"/>
        <v>46108</v>
      </c>
      <c r="C29" s="6">
        <f t="shared" si="3"/>
        <v>46113</v>
      </c>
      <c r="D29" s="5">
        <v>3249</v>
      </c>
      <c r="E29" s="5">
        <v>332</v>
      </c>
      <c r="F29" s="5">
        <v>3</v>
      </c>
      <c r="G29" s="18">
        <v>2</v>
      </c>
      <c r="H29" s="27"/>
      <c r="I29" s="18"/>
      <c r="J29" s="18">
        <v>53744742</v>
      </c>
      <c r="K29" s="18" t="s">
        <v>908</v>
      </c>
      <c r="L29" s="18" t="s">
        <v>911</v>
      </c>
      <c r="M29" s="26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5" t="s">
        <v>996</v>
      </c>
      <c r="B30" s="6">
        <f t="shared" si="3"/>
        <v>46108</v>
      </c>
      <c r="C30" s="6">
        <f t="shared" si="3"/>
        <v>46113</v>
      </c>
      <c r="D30" s="5">
        <v>3249</v>
      </c>
      <c r="E30" s="5">
        <v>332</v>
      </c>
      <c r="F30" s="5">
        <v>3</v>
      </c>
      <c r="G30" s="18">
        <v>2</v>
      </c>
      <c r="H30" s="27"/>
      <c r="I30" s="18"/>
      <c r="J30" s="18">
        <v>53744751</v>
      </c>
      <c r="K30" s="18" t="s">
        <v>908</v>
      </c>
      <c r="L30" s="18" t="s">
        <v>912</v>
      </c>
      <c r="M30" s="26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5" t="s">
        <v>996</v>
      </c>
      <c r="B31" s="6">
        <f t="shared" si="3"/>
        <v>46108</v>
      </c>
      <c r="C31" s="6">
        <f t="shared" si="3"/>
        <v>46113</v>
      </c>
      <c r="D31" s="5">
        <v>3249</v>
      </c>
      <c r="E31" s="5">
        <v>332</v>
      </c>
      <c r="F31" s="5">
        <v>3</v>
      </c>
      <c r="G31" s="18">
        <v>2</v>
      </c>
      <c r="H31" s="27"/>
      <c r="I31" s="18"/>
      <c r="J31" s="18">
        <v>53744760</v>
      </c>
      <c r="K31" s="18" t="s">
        <v>908</v>
      </c>
      <c r="L31" s="18" t="s">
        <v>913</v>
      </c>
      <c r="M31" s="26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5" t="s">
        <v>996</v>
      </c>
      <c r="B32" s="6">
        <f t="shared" si="3"/>
        <v>46108</v>
      </c>
      <c r="C32" s="6">
        <f t="shared" si="3"/>
        <v>46113</v>
      </c>
      <c r="D32" s="5">
        <v>3249</v>
      </c>
      <c r="E32" s="5">
        <v>332</v>
      </c>
      <c r="F32" s="5">
        <v>3</v>
      </c>
      <c r="G32" s="18">
        <v>2</v>
      </c>
      <c r="H32" s="27"/>
      <c r="I32" s="18"/>
      <c r="J32" s="18">
        <v>53744671</v>
      </c>
      <c r="K32" s="18" t="s">
        <v>908</v>
      </c>
      <c r="L32" s="18" t="s">
        <v>914</v>
      </c>
      <c r="M32" s="26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5" t="s">
        <v>996</v>
      </c>
      <c r="B33" s="6">
        <f t="shared" si="3"/>
        <v>46108</v>
      </c>
      <c r="C33" s="6">
        <f t="shared" si="3"/>
        <v>46113</v>
      </c>
      <c r="D33" s="5">
        <v>3249</v>
      </c>
      <c r="E33" s="5">
        <v>332</v>
      </c>
      <c r="F33" s="5">
        <v>3</v>
      </c>
      <c r="G33" s="18">
        <v>2</v>
      </c>
      <c r="H33" s="27"/>
      <c r="I33" s="18"/>
      <c r="J33" s="18">
        <v>53744680</v>
      </c>
      <c r="K33" s="18" t="s">
        <v>908</v>
      </c>
      <c r="L33" s="18" t="s">
        <v>915</v>
      </c>
      <c r="M33" s="26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5" t="s">
        <v>996</v>
      </c>
      <c r="B34" s="6">
        <f t="shared" si="3"/>
        <v>46108</v>
      </c>
      <c r="C34" s="6">
        <f t="shared" si="3"/>
        <v>46113</v>
      </c>
      <c r="D34" s="5">
        <v>3249</v>
      </c>
      <c r="E34" s="5">
        <v>332</v>
      </c>
      <c r="F34" s="5">
        <v>3</v>
      </c>
      <c r="G34" s="18">
        <v>2</v>
      </c>
      <c r="H34" s="27"/>
      <c r="I34" s="18"/>
      <c r="J34" s="18">
        <v>53744699</v>
      </c>
      <c r="K34" s="18" t="s">
        <v>908</v>
      </c>
      <c r="L34" s="18" t="s">
        <v>916</v>
      </c>
      <c r="M34" s="26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5" t="s">
        <v>996</v>
      </c>
      <c r="B35" s="6">
        <f t="shared" si="3"/>
        <v>46108</v>
      </c>
      <c r="C35" s="6">
        <f t="shared" si="3"/>
        <v>46113</v>
      </c>
      <c r="D35" s="5">
        <v>3249</v>
      </c>
      <c r="E35" s="5">
        <v>332</v>
      </c>
      <c r="F35" s="5">
        <v>3</v>
      </c>
      <c r="G35" s="18">
        <v>2</v>
      </c>
      <c r="H35" s="27"/>
      <c r="I35" s="18"/>
      <c r="J35" s="18">
        <v>53744706</v>
      </c>
      <c r="K35" s="18" t="s">
        <v>908</v>
      </c>
      <c r="L35" s="18" t="s">
        <v>917</v>
      </c>
      <c r="M35" s="26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5" t="s">
        <v>996</v>
      </c>
      <c r="B36" s="6">
        <f t="shared" ref="B36:C41" si="4">B35</f>
        <v>46108</v>
      </c>
      <c r="C36" s="6">
        <f t="shared" si="4"/>
        <v>46113</v>
      </c>
      <c r="D36" s="5">
        <v>3249</v>
      </c>
      <c r="E36" s="5">
        <v>332</v>
      </c>
      <c r="F36" s="5">
        <v>3</v>
      </c>
      <c r="G36" s="18">
        <v>2</v>
      </c>
      <c r="H36" s="27"/>
      <c r="I36" s="18"/>
      <c r="J36" s="18">
        <v>53744715</v>
      </c>
      <c r="K36" s="18" t="s">
        <v>908</v>
      </c>
      <c r="L36" s="18" t="s">
        <v>918</v>
      </c>
      <c r="M36" s="26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5" t="s">
        <v>996</v>
      </c>
      <c r="B37" s="6">
        <f t="shared" si="4"/>
        <v>46108</v>
      </c>
      <c r="C37" s="6">
        <f t="shared" si="4"/>
        <v>46113</v>
      </c>
      <c r="D37" s="5">
        <v>3249</v>
      </c>
      <c r="E37" s="5">
        <v>332</v>
      </c>
      <c r="F37" s="5">
        <v>3</v>
      </c>
      <c r="G37" s="18">
        <v>2</v>
      </c>
      <c r="H37" s="27"/>
      <c r="I37" s="18"/>
      <c r="J37" s="18">
        <v>53744779</v>
      </c>
      <c r="K37" s="18" t="s">
        <v>908</v>
      </c>
      <c r="L37" s="18" t="s">
        <v>919</v>
      </c>
      <c r="M37" s="26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5" t="s">
        <v>996</v>
      </c>
      <c r="B38" s="6">
        <f t="shared" si="4"/>
        <v>46108</v>
      </c>
      <c r="C38" s="6">
        <f t="shared" si="4"/>
        <v>46113</v>
      </c>
      <c r="D38" s="5">
        <v>3249</v>
      </c>
      <c r="E38" s="5">
        <v>332</v>
      </c>
      <c r="F38" s="5">
        <v>3</v>
      </c>
      <c r="G38" s="18">
        <v>2</v>
      </c>
      <c r="H38" s="27"/>
      <c r="I38" s="18"/>
      <c r="J38" s="18">
        <v>53744788</v>
      </c>
      <c r="K38" s="18" t="s">
        <v>908</v>
      </c>
      <c r="L38" s="18" t="s">
        <v>920</v>
      </c>
      <c r="M38" s="26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996</v>
      </c>
      <c r="B39" s="6">
        <f t="shared" si="4"/>
        <v>46108</v>
      </c>
      <c r="C39" s="6">
        <f t="shared" si="4"/>
        <v>46113</v>
      </c>
      <c r="D39" s="5">
        <v>3249</v>
      </c>
      <c r="E39" s="5">
        <v>332</v>
      </c>
      <c r="F39" s="5">
        <v>3</v>
      </c>
      <c r="G39" s="18">
        <v>2</v>
      </c>
      <c r="H39" s="27"/>
      <c r="I39" s="18"/>
      <c r="J39" s="18">
        <v>53744797</v>
      </c>
      <c r="K39" s="18" t="s">
        <v>908</v>
      </c>
      <c r="L39" s="18" t="s">
        <v>921</v>
      </c>
      <c r="M39" s="26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996</v>
      </c>
      <c r="B40" s="6">
        <f t="shared" si="4"/>
        <v>46108</v>
      </c>
      <c r="C40" s="6">
        <f t="shared" si="4"/>
        <v>46113</v>
      </c>
      <c r="D40" s="5">
        <v>3249</v>
      </c>
      <c r="E40" s="5">
        <v>332</v>
      </c>
      <c r="F40" s="5">
        <v>3</v>
      </c>
      <c r="G40" s="18">
        <v>2</v>
      </c>
      <c r="H40" s="27"/>
      <c r="I40" s="18"/>
      <c r="J40" s="18">
        <v>53744804</v>
      </c>
      <c r="K40" s="18" t="s">
        <v>908</v>
      </c>
      <c r="L40" s="18" t="s">
        <v>922</v>
      </c>
      <c r="M40" s="26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996</v>
      </c>
      <c r="B41" s="6">
        <f t="shared" si="4"/>
        <v>46108</v>
      </c>
      <c r="C41" s="6">
        <f t="shared" si="4"/>
        <v>46113</v>
      </c>
      <c r="D41" s="5">
        <v>3249</v>
      </c>
      <c r="E41" s="5">
        <v>332</v>
      </c>
      <c r="F41" s="5">
        <v>3</v>
      </c>
      <c r="G41" s="18">
        <v>2</v>
      </c>
      <c r="H41" s="27"/>
      <c r="I41" s="18"/>
      <c r="J41" s="18">
        <v>53744813</v>
      </c>
      <c r="K41" s="18" t="s">
        <v>908</v>
      </c>
      <c r="L41" s="18" t="s">
        <v>923</v>
      </c>
      <c r="M41" s="26">
        <v>279900</v>
      </c>
      <c r="N41" s="34">
        <v>0.75</v>
      </c>
      <c r="O41" s="7">
        <f t="shared" si="0"/>
        <v>69975</v>
      </c>
      <c r="P41" s="18" t="s">
        <v>16</v>
      </c>
    </row>
  </sheetData>
  <autoFilter ref="A1:P1" xr:uid="{00000000-0009-0000-0000-00000D000000}"/>
  <conditionalFormatting sqref="J1">
    <cfRule type="duplicateValues" dxfId="340" priority="5"/>
    <cfRule type="duplicateValues" dxfId="339" priority="6"/>
    <cfRule type="duplicateValues" dxfId="338" priority="7"/>
    <cfRule type="duplicateValues" dxfId="337" priority="8"/>
    <cfRule type="duplicateValues" dxfId="336" priority="9"/>
    <cfRule type="duplicateValues" dxfId="335" priority="10"/>
    <cfRule type="duplicateValues" dxfId="334" priority="11"/>
    <cfRule type="duplicateValues" dxfId="333" priority="12"/>
    <cfRule type="duplicateValues" dxfId="332" priority="13"/>
    <cfRule type="duplicateValues" dxfId="331" priority="14"/>
    <cfRule type="duplicateValues" dxfId="330" priority="15"/>
    <cfRule type="duplicateValues" dxfId="329" priority="16"/>
    <cfRule type="duplicateValues" dxfId="328" priority="17"/>
  </conditionalFormatting>
  <conditionalFormatting sqref="J1:J1048576">
    <cfRule type="duplicateValues" dxfId="327" priority="1"/>
    <cfRule type="duplicateValues" dxfId="326" priority="2"/>
    <cfRule type="duplicateValues" dxfId="325" priority="3"/>
    <cfRule type="duplicateValues" dxfId="324" priority="4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D6B4-4FE5-4061-913B-F89CE7D88962}">
  <sheetPr>
    <tabColor rgb="FFFFFF00"/>
  </sheetPr>
  <dimension ref="A1:P28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997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3</v>
      </c>
      <c r="H2" s="18">
        <v>81738</v>
      </c>
      <c r="I2" s="18"/>
      <c r="J2" s="18">
        <v>54544199</v>
      </c>
      <c r="K2" s="18" t="s">
        <v>924</v>
      </c>
      <c r="L2" s="18" t="s">
        <v>925</v>
      </c>
      <c r="M2" s="26">
        <v>299900</v>
      </c>
      <c r="N2" s="34">
        <v>0.75</v>
      </c>
      <c r="O2" s="7">
        <f t="shared" ref="O2:O28" si="0">M2-(M2*N2)</f>
        <v>74975</v>
      </c>
      <c r="P2" s="18" t="s">
        <v>16</v>
      </c>
    </row>
    <row r="3" spans="1:16" x14ac:dyDescent="0.35">
      <c r="A3" s="5" t="s">
        <v>997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18">
        <v>3</v>
      </c>
      <c r="H3" s="18">
        <v>81738</v>
      </c>
      <c r="I3" s="18"/>
      <c r="J3" s="18">
        <v>54544206</v>
      </c>
      <c r="K3" s="18" t="s">
        <v>924</v>
      </c>
      <c r="L3" s="18" t="s">
        <v>926</v>
      </c>
      <c r="M3" s="26">
        <v>299900</v>
      </c>
      <c r="N3" s="34">
        <v>0.75</v>
      </c>
      <c r="O3" s="7">
        <f t="shared" si="0"/>
        <v>74975</v>
      </c>
      <c r="P3" s="18" t="s">
        <v>16</v>
      </c>
    </row>
    <row r="4" spans="1:16" x14ac:dyDescent="0.35">
      <c r="A4" s="5" t="s">
        <v>997</v>
      </c>
      <c r="B4" s="6">
        <f t="shared" ref="B4:C19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8">
        <v>3</v>
      </c>
      <c r="H4" s="18">
        <v>81738</v>
      </c>
      <c r="I4" s="18"/>
      <c r="J4" s="18">
        <v>54544215</v>
      </c>
      <c r="K4" s="18" t="s">
        <v>924</v>
      </c>
      <c r="L4" s="18" t="s">
        <v>927</v>
      </c>
      <c r="M4" s="26">
        <v>299900</v>
      </c>
      <c r="N4" s="34">
        <v>0.75</v>
      </c>
      <c r="O4" s="7">
        <f t="shared" si="0"/>
        <v>74975</v>
      </c>
      <c r="P4" s="18" t="s">
        <v>16</v>
      </c>
    </row>
    <row r="5" spans="1:16" x14ac:dyDescent="0.35">
      <c r="A5" s="5" t="s">
        <v>997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8">
        <v>3</v>
      </c>
      <c r="H5" s="18">
        <v>81738</v>
      </c>
      <c r="I5" s="18"/>
      <c r="J5" s="18">
        <v>54544224</v>
      </c>
      <c r="K5" s="18" t="s">
        <v>924</v>
      </c>
      <c r="L5" s="18" t="s">
        <v>928</v>
      </c>
      <c r="M5" s="26">
        <v>299900</v>
      </c>
      <c r="N5" s="34">
        <v>0.75</v>
      </c>
      <c r="O5" s="7">
        <f t="shared" si="0"/>
        <v>74975</v>
      </c>
      <c r="P5" s="18" t="s">
        <v>16</v>
      </c>
    </row>
    <row r="6" spans="1:16" x14ac:dyDescent="0.35">
      <c r="A6" s="5" t="s">
        <v>997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18">
        <v>3</v>
      </c>
      <c r="H6" s="18">
        <v>81738</v>
      </c>
      <c r="I6" s="18"/>
      <c r="J6" s="18">
        <v>54544233</v>
      </c>
      <c r="K6" s="18" t="s">
        <v>924</v>
      </c>
      <c r="L6" s="18" t="s">
        <v>929</v>
      </c>
      <c r="M6" s="26">
        <v>299900</v>
      </c>
      <c r="N6" s="34">
        <v>0.75</v>
      </c>
      <c r="O6" s="7">
        <f t="shared" si="0"/>
        <v>74975</v>
      </c>
      <c r="P6" s="18" t="s">
        <v>16</v>
      </c>
    </row>
    <row r="7" spans="1:16" x14ac:dyDescent="0.35">
      <c r="A7" s="5" t="s">
        <v>997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18">
        <v>3</v>
      </c>
      <c r="H7" s="27"/>
      <c r="I7" s="18"/>
      <c r="J7" s="18">
        <v>53744886</v>
      </c>
      <c r="K7" s="18" t="s">
        <v>18</v>
      </c>
      <c r="L7" s="18" t="s">
        <v>930</v>
      </c>
      <c r="M7" s="33">
        <v>249900</v>
      </c>
      <c r="N7" s="34">
        <v>0.75</v>
      </c>
      <c r="O7" s="7">
        <f t="shared" si="0"/>
        <v>62475</v>
      </c>
      <c r="P7" s="18" t="s">
        <v>16</v>
      </c>
    </row>
    <row r="8" spans="1:16" x14ac:dyDescent="0.35">
      <c r="A8" s="5" t="s">
        <v>997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18">
        <v>3</v>
      </c>
      <c r="H8" s="27"/>
      <c r="I8" s="18"/>
      <c r="J8" s="18">
        <v>53744902</v>
      </c>
      <c r="K8" s="18" t="s">
        <v>18</v>
      </c>
      <c r="L8" s="18" t="s">
        <v>931</v>
      </c>
      <c r="M8" s="33">
        <v>249900</v>
      </c>
      <c r="N8" s="34">
        <v>0.75</v>
      </c>
      <c r="O8" s="7">
        <f t="shared" si="0"/>
        <v>62475</v>
      </c>
      <c r="P8" s="18" t="s">
        <v>16</v>
      </c>
    </row>
    <row r="9" spans="1:16" x14ac:dyDescent="0.35">
      <c r="A9" s="5" t="s">
        <v>997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18">
        <v>3</v>
      </c>
      <c r="H9" s="27"/>
      <c r="I9" s="18"/>
      <c r="J9" s="18">
        <v>53744911</v>
      </c>
      <c r="K9" s="18" t="s">
        <v>18</v>
      </c>
      <c r="L9" s="18" t="s">
        <v>932</v>
      </c>
      <c r="M9" s="33">
        <v>249900</v>
      </c>
      <c r="N9" s="34">
        <v>0.75</v>
      </c>
      <c r="O9" s="7">
        <f t="shared" si="0"/>
        <v>62475</v>
      </c>
      <c r="P9" s="18" t="s">
        <v>16</v>
      </c>
    </row>
    <row r="10" spans="1:16" x14ac:dyDescent="0.35">
      <c r="A10" s="5" t="s">
        <v>997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18">
        <v>3</v>
      </c>
      <c r="H10" s="27"/>
      <c r="I10" s="18"/>
      <c r="J10" s="18">
        <v>53784100</v>
      </c>
      <c r="K10" s="18" t="s">
        <v>18</v>
      </c>
      <c r="L10" s="18" t="s">
        <v>933</v>
      </c>
      <c r="M10" s="33">
        <v>249900</v>
      </c>
      <c r="N10" s="34">
        <v>0.75</v>
      </c>
      <c r="O10" s="7">
        <f t="shared" si="0"/>
        <v>62475</v>
      </c>
      <c r="P10" s="18" t="s">
        <v>16</v>
      </c>
    </row>
    <row r="11" spans="1:16" x14ac:dyDescent="0.35">
      <c r="A11" s="5" t="s">
        <v>997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18">
        <v>3</v>
      </c>
      <c r="H11" s="27"/>
      <c r="I11" s="18"/>
      <c r="J11" s="18">
        <v>53784119</v>
      </c>
      <c r="K11" s="18" t="s">
        <v>18</v>
      </c>
      <c r="L11" s="18" t="s">
        <v>934</v>
      </c>
      <c r="M11" s="33">
        <v>249900</v>
      </c>
      <c r="N11" s="34">
        <v>0.75</v>
      </c>
      <c r="O11" s="7">
        <f t="shared" si="0"/>
        <v>62475</v>
      </c>
      <c r="P11" s="18" t="s">
        <v>16</v>
      </c>
    </row>
    <row r="12" spans="1:16" x14ac:dyDescent="0.35">
      <c r="A12" s="5" t="s">
        <v>997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18">
        <v>3</v>
      </c>
      <c r="H12" s="27"/>
      <c r="I12" s="18"/>
      <c r="J12" s="18">
        <v>53784128</v>
      </c>
      <c r="K12" s="18" t="s">
        <v>18</v>
      </c>
      <c r="L12" s="18" t="s">
        <v>935</v>
      </c>
      <c r="M12" s="33">
        <v>249900</v>
      </c>
      <c r="N12" s="34">
        <v>0.75</v>
      </c>
      <c r="O12" s="7">
        <f t="shared" si="0"/>
        <v>62475</v>
      </c>
      <c r="P12" s="18" t="s">
        <v>16</v>
      </c>
    </row>
    <row r="13" spans="1:16" x14ac:dyDescent="0.35">
      <c r="A13" s="5" t="s">
        <v>997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18">
        <v>3</v>
      </c>
      <c r="H13" s="27"/>
      <c r="I13" s="18"/>
      <c r="J13" s="18">
        <v>53865264</v>
      </c>
      <c r="K13" s="18" t="s">
        <v>18</v>
      </c>
      <c r="L13" s="18" t="s">
        <v>936</v>
      </c>
      <c r="M13" s="33">
        <v>249900</v>
      </c>
      <c r="N13" s="34">
        <v>0.75</v>
      </c>
      <c r="O13" s="7">
        <f t="shared" si="0"/>
        <v>62475</v>
      </c>
      <c r="P13" s="18" t="s">
        <v>16</v>
      </c>
    </row>
    <row r="14" spans="1:16" x14ac:dyDescent="0.35">
      <c r="A14" s="5" t="s">
        <v>997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18">
        <v>3</v>
      </c>
      <c r="H14" s="27"/>
      <c r="I14" s="18"/>
      <c r="J14" s="18">
        <v>53865273</v>
      </c>
      <c r="K14" s="18" t="s">
        <v>18</v>
      </c>
      <c r="L14" s="18" t="s">
        <v>937</v>
      </c>
      <c r="M14" s="33">
        <v>249900</v>
      </c>
      <c r="N14" s="34">
        <v>0.75</v>
      </c>
      <c r="O14" s="7">
        <f t="shared" si="0"/>
        <v>62475</v>
      </c>
      <c r="P14" s="18" t="s">
        <v>16</v>
      </c>
    </row>
    <row r="15" spans="1:16" x14ac:dyDescent="0.35">
      <c r="A15" s="5" t="s">
        <v>997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18">
        <v>3</v>
      </c>
      <c r="H15" s="27"/>
      <c r="I15" s="18"/>
      <c r="J15" s="53">
        <v>51198122</v>
      </c>
      <c r="K15" s="18" t="s">
        <v>18</v>
      </c>
      <c r="L15" s="18" t="s">
        <v>938</v>
      </c>
      <c r="M15" s="26">
        <v>249900</v>
      </c>
      <c r="N15" s="34">
        <v>0.75</v>
      </c>
      <c r="O15" s="7">
        <f t="shared" si="0"/>
        <v>62475</v>
      </c>
      <c r="P15" s="18" t="s">
        <v>16</v>
      </c>
    </row>
    <row r="16" spans="1:16" x14ac:dyDescent="0.35">
      <c r="A16" s="5" t="s">
        <v>997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18">
        <v>3</v>
      </c>
      <c r="H16" s="27"/>
      <c r="I16" s="18"/>
      <c r="J16" s="53">
        <v>51198186</v>
      </c>
      <c r="K16" s="18" t="s">
        <v>18</v>
      </c>
      <c r="L16" s="18" t="s">
        <v>939</v>
      </c>
      <c r="M16" s="26">
        <v>249900</v>
      </c>
      <c r="N16" s="34">
        <v>0.75</v>
      </c>
      <c r="O16" s="7">
        <f t="shared" si="0"/>
        <v>62475</v>
      </c>
      <c r="P16" s="18" t="s">
        <v>16</v>
      </c>
    </row>
    <row r="17" spans="1:16" x14ac:dyDescent="0.35">
      <c r="A17" s="5" t="s">
        <v>997</v>
      </c>
      <c r="B17" s="6">
        <f t="shared" si="2"/>
        <v>46108</v>
      </c>
      <c r="C17" s="6">
        <f t="shared" si="2"/>
        <v>46113</v>
      </c>
      <c r="D17" s="5">
        <v>3249</v>
      </c>
      <c r="E17" s="5">
        <v>332</v>
      </c>
      <c r="F17" s="5">
        <v>3</v>
      </c>
      <c r="G17" s="18">
        <v>3</v>
      </c>
      <c r="H17" s="27"/>
      <c r="I17" s="18"/>
      <c r="J17" s="53">
        <v>53744822</v>
      </c>
      <c r="K17" s="18" t="s">
        <v>23</v>
      </c>
      <c r="L17" s="18" t="s">
        <v>940</v>
      </c>
      <c r="M17" s="26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997</v>
      </c>
      <c r="B18" s="6">
        <f t="shared" si="2"/>
        <v>46108</v>
      </c>
      <c r="C18" s="6">
        <f t="shared" si="2"/>
        <v>46113</v>
      </c>
      <c r="D18" s="5">
        <v>3249</v>
      </c>
      <c r="E18" s="5">
        <v>332</v>
      </c>
      <c r="F18" s="5">
        <v>3</v>
      </c>
      <c r="G18" s="18">
        <v>3</v>
      </c>
      <c r="H18" s="27"/>
      <c r="I18" s="18"/>
      <c r="J18" s="53">
        <v>53744831</v>
      </c>
      <c r="K18" s="18" t="s">
        <v>23</v>
      </c>
      <c r="L18" s="18" t="s">
        <v>941</v>
      </c>
      <c r="M18" s="26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997</v>
      </c>
      <c r="B19" s="6">
        <f t="shared" si="2"/>
        <v>46108</v>
      </c>
      <c r="C19" s="6">
        <f t="shared" si="2"/>
        <v>46113</v>
      </c>
      <c r="D19" s="5">
        <v>3249</v>
      </c>
      <c r="E19" s="5">
        <v>332</v>
      </c>
      <c r="F19" s="5">
        <v>3</v>
      </c>
      <c r="G19" s="18">
        <v>3</v>
      </c>
      <c r="H19" s="27"/>
      <c r="I19" s="18"/>
      <c r="J19" s="53">
        <v>53744840</v>
      </c>
      <c r="K19" s="18" t="s">
        <v>23</v>
      </c>
      <c r="L19" s="18" t="s">
        <v>942</v>
      </c>
      <c r="M19" s="26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997</v>
      </c>
      <c r="B20" s="6">
        <f t="shared" ref="B20:C28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18">
        <v>3</v>
      </c>
      <c r="H20" s="27"/>
      <c r="I20" s="18"/>
      <c r="J20" s="53">
        <v>53744859</v>
      </c>
      <c r="K20" s="18" t="s">
        <v>23</v>
      </c>
      <c r="L20" s="18" t="s">
        <v>943</v>
      </c>
      <c r="M20" s="26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997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18">
        <v>3</v>
      </c>
      <c r="H21" s="27"/>
      <c r="I21" s="18"/>
      <c r="J21" s="53">
        <v>53744868</v>
      </c>
      <c r="K21" s="18" t="s">
        <v>23</v>
      </c>
      <c r="L21" s="18" t="s">
        <v>944</v>
      </c>
      <c r="M21" s="26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997</v>
      </c>
      <c r="B22" s="6">
        <f t="shared" si="3"/>
        <v>46108</v>
      </c>
      <c r="C22" s="6">
        <f t="shared" si="3"/>
        <v>46113</v>
      </c>
      <c r="D22" s="5">
        <v>3249</v>
      </c>
      <c r="E22" s="5">
        <v>332</v>
      </c>
      <c r="F22" s="5">
        <v>3</v>
      </c>
      <c r="G22" s="18">
        <v>3</v>
      </c>
      <c r="H22" s="27"/>
      <c r="I22" s="18"/>
      <c r="J22" s="10">
        <v>53746008</v>
      </c>
      <c r="K22" s="18" t="s">
        <v>23</v>
      </c>
      <c r="L22" s="18" t="s">
        <v>945</v>
      </c>
      <c r="M22" s="26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997</v>
      </c>
      <c r="B23" s="6">
        <f t="shared" si="3"/>
        <v>46108</v>
      </c>
      <c r="C23" s="6">
        <f t="shared" si="3"/>
        <v>46113</v>
      </c>
      <c r="D23" s="5">
        <v>3249</v>
      </c>
      <c r="E23" s="5">
        <v>332</v>
      </c>
      <c r="F23" s="5">
        <v>3</v>
      </c>
      <c r="G23" s="18">
        <v>3</v>
      </c>
      <c r="H23" s="27"/>
      <c r="I23" s="18"/>
      <c r="J23" s="18">
        <v>53865282</v>
      </c>
      <c r="K23" s="18" t="s">
        <v>23</v>
      </c>
      <c r="L23" s="18" t="s">
        <v>946</v>
      </c>
      <c r="M23" s="26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997</v>
      </c>
      <c r="B24" s="6">
        <f t="shared" si="3"/>
        <v>46108</v>
      </c>
      <c r="C24" s="6">
        <f t="shared" si="3"/>
        <v>46113</v>
      </c>
      <c r="D24" s="5">
        <v>3249</v>
      </c>
      <c r="E24" s="5">
        <v>332</v>
      </c>
      <c r="F24" s="5">
        <v>3</v>
      </c>
      <c r="G24" s="18">
        <v>3</v>
      </c>
      <c r="H24" s="27"/>
      <c r="I24" s="18"/>
      <c r="J24" s="17">
        <v>53744939</v>
      </c>
      <c r="K24" s="18" t="s">
        <v>20</v>
      </c>
      <c r="L24" s="18" t="s">
        <v>947</v>
      </c>
      <c r="M24" s="26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997</v>
      </c>
      <c r="B25" s="6">
        <f t="shared" si="3"/>
        <v>46108</v>
      </c>
      <c r="C25" s="6">
        <f t="shared" si="3"/>
        <v>46113</v>
      </c>
      <c r="D25" s="5">
        <v>3249</v>
      </c>
      <c r="E25" s="5">
        <v>332</v>
      </c>
      <c r="F25" s="5">
        <v>3</v>
      </c>
      <c r="G25" s="18">
        <v>3</v>
      </c>
      <c r="H25" s="27"/>
      <c r="I25" s="18"/>
      <c r="J25" s="17">
        <v>53744948</v>
      </c>
      <c r="K25" s="18" t="s">
        <v>20</v>
      </c>
      <c r="L25" s="18" t="s">
        <v>948</v>
      </c>
      <c r="M25" s="26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997</v>
      </c>
      <c r="B26" s="6">
        <f t="shared" si="3"/>
        <v>46108</v>
      </c>
      <c r="C26" s="6">
        <f t="shared" si="3"/>
        <v>46113</v>
      </c>
      <c r="D26" s="5">
        <v>3249</v>
      </c>
      <c r="E26" s="5">
        <v>332</v>
      </c>
      <c r="F26" s="5">
        <v>3</v>
      </c>
      <c r="G26" s="18">
        <v>3</v>
      </c>
      <c r="H26" s="27"/>
      <c r="I26" s="18"/>
      <c r="J26" s="17">
        <v>53744957</v>
      </c>
      <c r="K26" s="18" t="s">
        <v>20</v>
      </c>
      <c r="L26" s="18" t="s">
        <v>949</v>
      </c>
      <c r="M26" s="26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997</v>
      </c>
      <c r="B27" s="6">
        <f t="shared" si="3"/>
        <v>46108</v>
      </c>
      <c r="C27" s="6">
        <f t="shared" si="3"/>
        <v>46113</v>
      </c>
      <c r="D27" s="5">
        <v>3249</v>
      </c>
      <c r="E27" s="5">
        <v>332</v>
      </c>
      <c r="F27" s="5">
        <v>3</v>
      </c>
      <c r="G27" s="18">
        <v>3</v>
      </c>
      <c r="H27" s="27"/>
      <c r="I27" s="18"/>
      <c r="J27" s="17">
        <v>53744966</v>
      </c>
      <c r="K27" s="18" t="s">
        <v>20</v>
      </c>
      <c r="L27" s="18" t="s">
        <v>950</v>
      </c>
      <c r="M27" s="26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997</v>
      </c>
      <c r="B28" s="6">
        <f t="shared" si="3"/>
        <v>46108</v>
      </c>
      <c r="C28" s="6">
        <f t="shared" si="3"/>
        <v>46113</v>
      </c>
      <c r="D28" s="5">
        <v>3249</v>
      </c>
      <c r="E28" s="5">
        <v>332</v>
      </c>
      <c r="F28" s="5">
        <v>3</v>
      </c>
      <c r="G28" s="18">
        <v>3</v>
      </c>
      <c r="H28" s="27"/>
      <c r="I28" s="18"/>
      <c r="J28" s="18">
        <v>54453322</v>
      </c>
      <c r="K28" s="18" t="s">
        <v>20</v>
      </c>
      <c r="L28" s="18" t="s">
        <v>951</v>
      </c>
      <c r="M28" s="26">
        <v>249900</v>
      </c>
      <c r="N28" s="34">
        <v>0.75</v>
      </c>
      <c r="O28" s="7">
        <f t="shared" si="0"/>
        <v>62475</v>
      </c>
      <c r="P28" s="18" t="s">
        <v>16</v>
      </c>
    </row>
  </sheetData>
  <conditionalFormatting sqref="J1">
    <cfRule type="duplicateValues" dxfId="323" priority="62"/>
    <cfRule type="duplicateValues" dxfId="322" priority="63"/>
    <cfRule type="duplicateValues" dxfId="321" priority="64"/>
    <cfRule type="duplicateValues" dxfId="320" priority="65"/>
    <cfRule type="duplicateValues" dxfId="319" priority="66"/>
    <cfRule type="duplicateValues" dxfId="318" priority="67"/>
    <cfRule type="duplicateValues" dxfId="317" priority="68"/>
    <cfRule type="duplicateValues" dxfId="316" priority="69"/>
    <cfRule type="duplicateValues" dxfId="315" priority="70"/>
    <cfRule type="duplicateValues" dxfId="314" priority="71"/>
    <cfRule type="duplicateValues" dxfId="313" priority="72"/>
    <cfRule type="duplicateValues" dxfId="312" priority="73"/>
  </conditionalFormatting>
  <conditionalFormatting sqref="J1:J6">
    <cfRule type="duplicateValues" dxfId="311" priority="74"/>
    <cfRule type="duplicateValues" dxfId="310" priority="75"/>
    <cfRule type="duplicateValues" dxfId="309" priority="76"/>
    <cfRule type="duplicateValues" dxfId="308" priority="77"/>
    <cfRule type="duplicateValues" dxfId="307" priority="78"/>
    <cfRule type="duplicateValues" dxfId="306" priority="79"/>
    <cfRule type="duplicateValues" dxfId="305" priority="80"/>
  </conditionalFormatting>
  <conditionalFormatting sqref="J7:J14">
    <cfRule type="duplicateValues" dxfId="304" priority="60"/>
    <cfRule type="duplicateValues" dxfId="303" priority="61"/>
  </conditionalFormatting>
  <conditionalFormatting sqref="J15:J16">
    <cfRule type="duplicateValues" dxfId="302" priority="42"/>
    <cfRule type="duplicateValues" dxfId="301" priority="47"/>
    <cfRule type="duplicateValues" dxfId="300" priority="48"/>
    <cfRule type="duplicateValues" dxfId="299" priority="49"/>
    <cfRule type="duplicateValues" dxfId="298" priority="50"/>
    <cfRule type="duplicateValues" dxfId="297" priority="51"/>
    <cfRule type="duplicateValues" dxfId="296" priority="52"/>
    <cfRule type="duplicateValues" dxfId="295" priority="53"/>
    <cfRule type="duplicateValues" dxfId="294" priority="54"/>
    <cfRule type="duplicateValues" dxfId="293" priority="55"/>
    <cfRule type="duplicateValues" dxfId="292" priority="56"/>
    <cfRule type="duplicateValues" dxfId="291" priority="57"/>
    <cfRule type="duplicateValues" dxfId="290" priority="58"/>
    <cfRule type="duplicateValues" dxfId="289" priority="59"/>
  </conditionalFormatting>
  <conditionalFormatting sqref="J17:J21">
    <cfRule type="duplicateValues" dxfId="288" priority="24"/>
    <cfRule type="duplicateValues" dxfId="287" priority="29"/>
    <cfRule type="duplicateValues" dxfId="286" priority="30"/>
    <cfRule type="duplicateValues" dxfId="285" priority="31"/>
    <cfRule type="duplicateValues" dxfId="284" priority="32"/>
    <cfRule type="duplicateValues" dxfId="283" priority="33"/>
    <cfRule type="duplicateValues" dxfId="282" priority="34"/>
    <cfRule type="duplicateValues" dxfId="281" priority="35"/>
    <cfRule type="duplicateValues" dxfId="280" priority="36"/>
    <cfRule type="duplicateValues" dxfId="279" priority="37"/>
    <cfRule type="duplicateValues" dxfId="278" priority="38"/>
    <cfRule type="duplicateValues" dxfId="277" priority="39"/>
    <cfRule type="duplicateValues" dxfId="276" priority="40"/>
    <cfRule type="duplicateValues" dxfId="275" priority="41"/>
  </conditionalFormatting>
  <conditionalFormatting sqref="J23">
    <cfRule type="duplicateValues" dxfId="274" priority="15"/>
    <cfRule type="duplicateValues" dxfId="273" priority="16"/>
    <cfRule type="duplicateValues" dxfId="272" priority="17"/>
    <cfRule type="duplicateValues" dxfId="271" priority="18"/>
    <cfRule type="duplicateValues" dxfId="270" priority="19"/>
    <cfRule type="duplicateValues" dxfId="269" priority="20"/>
    <cfRule type="duplicateValues" dxfId="268" priority="21"/>
    <cfRule type="duplicateValues" dxfId="267" priority="22"/>
    <cfRule type="duplicateValues" dxfId="266" priority="23"/>
  </conditionalFormatting>
  <conditionalFormatting sqref="J24:J27">
    <cfRule type="duplicateValues" dxfId="265" priority="10"/>
    <cfRule type="duplicateValues" dxfId="264" priority="11"/>
    <cfRule type="duplicateValues" dxfId="263" priority="12"/>
    <cfRule type="duplicateValues" dxfId="262" priority="13"/>
    <cfRule type="duplicateValues" dxfId="261" priority="14"/>
  </conditionalFormatting>
  <conditionalFormatting sqref="J24:J28">
    <cfRule type="duplicateValues" dxfId="260" priority="1"/>
    <cfRule type="duplicateValues" dxfId="259" priority="2"/>
    <cfRule type="duplicateValues" dxfId="258" priority="3"/>
    <cfRule type="duplicateValues" dxfId="257" priority="4"/>
    <cfRule type="duplicateValues" dxfId="256" priority="5"/>
    <cfRule type="duplicateValues" dxfId="255" priority="6"/>
    <cfRule type="duplicateValues" dxfId="254" priority="7"/>
    <cfRule type="duplicateValues" dxfId="253" priority="8"/>
    <cfRule type="duplicateValues" dxfId="252" priority="9"/>
  </conditionalFormatting>
  <conditionalFormatting sqref="L15:L16">
    <cfRule type="duplicateValues" dxfId="251" priority="43"/>
    <cfRule type="duplicateValues" dxfId="250" priority="44"/>
    <cfRule type="duplicateValues" dxfId="249" priority="45"/>
    <cfRule type="duplicateValues" dxfId="248" priority="46"/>
  </conditionalFormatting>
  <conditionalFormatting sqref="L17:L21">
    <cfRule type="duplicateValues" dxfId="247" priority="25"/>
    <cfRule type="duplicateValues" dxfId="246" priority="26"/>
    <cfRule type="duplicateValues" dxfId="245" priority="27"/>
    <cfRule type="duplicateValues" dxfId="244" priority="28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EAFD-C80F-4278-8CA2-A75264479A4B}">
  <sheetPr>
    <tabColor rgb="FFFFFF00"/>
  </sheetPr>
  <dimension ref="A1:P18"/>
  <sheetViews>
    <sheetView zoomScale="58" workbookViewId="0">
      <selection activeCell="L32" sqref="L32"/>
    </sheetView>
  </sheetViews>
  <sheetFormatPr defaultColWidth="8.7265625" defaultRowHeight="14.5" x14ac:dyDescent="0.35"/>
  <cols>
    <col min="1" max="1" width="51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9.26953125" style="10" bestFit="1" customWidth="1"/>
    <col min="16" max="16" width="14.542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998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5</v>
      </c>
      <c r="H2" s="25"/>
      <c r="I2" s="18"/>
      <c r="J2" s="18">
        <v>20728321</v>
      </c>
      <c r="K2" s="18" t="s">
        <v>952</v>
      </c>
      <c r="L2" s="18" t="s">
        <v>953</v>
      </c>
      <c r="M2" s="54">
        <v>199900</v>
      </c>
      <c r="N2" s="34">
        <v>0.75</v>
      </c>
      <c r="O2" s="7">
        <f t="shared" ref="O2" si="0">M2-(M2*N2)</f>
        <v>49975</v>
      </c>
      <c r="P2" s="18" t="s">
        <v>16</v>
      </c>
    </row>
    <row r="3" spans="1:16" x14ac:dyDescent="0.35">
      <c r="A3" s="5" t="s">
        <v>998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18">
        <v>5</v>
      </c>
      <c r="H3" s="25"/>
      <c r="I3" s="18"/>
      <c r="J3" s="18">
        <v>20728349</v>
      </c>
      <c r="K3" s="18" t="s">
        <v>952</v>
      </c>
      <c r="L3" s="18" t="s">
        <v>954</v>
      </c>
      <c r="M3" s="54">
        <v>199900</v>
      </c>
      <c r="N3" s="34">
        <v>0.75</v>
      </c>
      <c r="O3" s="7">
        <f t="shared" ref="O3:O18" si="2">M3-(M3*N3)</f>
        <v>49975</v>
      </c>
      <c r="P3" s="18" t="s">
        <v>16</v>
      </c>
    </row>
    <row r="4" spans="1:16" x14ac:dyDescent="0.35">
      <c r="A4" s="5" t="s">
        <v>998</v>
      </c>
      <c r="B4" s="6">
        <f t="shared" ref="B4:C18" si="3">B3</f>
        <v>46108</v>
      </c>
      <c r="C4" s="6">
        <f t="shared" si="3"/>
        <v>46113</v>
      </c>
      <c r="D4" s="5">
        <v>3249</v>
      </c>
      <c r="E4" s="5">
        <v>332</v>
      </c>
      <c r="F4" s="5">
        <v>3</v>
      </c>
      <c r="G4" s="18">
        <v>5</v>
      </c>
      <c r="H4" s="25"/>
      <c r="I4" s="18"/>
      <c r="J4" s="18">
        <v>20728358</v>
      </c>
      <c r="K4" s="18" t="s">
        <v>952</v>
      </c>
      <c r="L4" s="18" t="s">
        <v>955</v>
      </c>
      <c r="M4" s="54">
        <v>199900</v>
      </c>
      <c r="N4" s="34">
        <v>0.75</v>
      </c>
      <c r="O4" s="7">
        <f t="shared" si="2"/>
        <v>49975</v>
      </c>
      <c r="P4" s="18" t="s">
        <v>16</v>
      </c>
    </row>
    <row r="5" spans="1:16" x14ac:dyDescent="0.35">
      <c r="A5" s="5" t="s">
        <v>998</v>
      </c>
      <c r="B5" s="6">
        <f t="shared" si="3"/>
        <v>46108</v>
      </c>
      <c r="C5" s="6">
        <f t="shared" si="3"/>
        <v>46113</v>
      </c>
      <c r="D5" s="5">
        <v>3249</v>
      </c>
      <c r="E5" s="5">
        <v>332</v>
      </c>
      <c r="F5" s="5">
        <v>3</v>
      </c>
      <c r="G5" s="18">
        <v>5</v>
      </c>
      <c r="H5" s="25"/>
      <c r="I5" s="18"/>
      <c r="J5" s="18">
        <v>20728376</v>
      </c>
      <c r="K5" s="18" t="s">
        <v>952</v>
      </c>
      <c r="L5" s="18" t="s">
        <v>956</v>
      </c>
      <c r="M5" s="54">
        <v>199900</v>
      </c>
      <c r="N5" s="34">
        <v>0.75</v>
      </c>
      <c r="O5" s="7">
        <f t="shared" si="2"/>
        <v>49975</v>
      </c>
      <c r="P5" s="18" t="s">
        <v>16</v>
      </c>
    </row>
    <row r="6" spans="1:16" x14ac:dyDescent="0.35">
      <c r="A6" s="5" t="s">
        <v>998</v>
      </c>
      <c r="B6" s="6">
        <f t="shared" si="3"/>
        <v>46108</v>
      </c>
      <c r="C6" s="6">
        <f t="shared" si="3"/>
        <v>46113</v>
      </c>
      <c r="D6" s="5">
        <v>3249</v>
      </c>
      <c r="E6" s="5">
        <v>332</v>
      </c>
      <c r="F6" s="5">
        <v>3</v>
      </c>
      <c r="G6" s="18">
        <v>5</v>
      </c>
      <c r="H6" s="25"/>
      <c r="I6" s="18"/>
      <c r="J6" s="18">
        <v>20728385</v>
      </c>
      <c r="K6" s="18" t="s">
        <v>952</v>
      </c>
      <c r="L6" s="18" t="s">
        <v>957</v>
      </c>
      <c r="M6" s="54">
        <v>199900</v>
      </c>
      <c r="N6" s="34">
        <v>0.75</v>
      </c>
      <c r="O6" s="7">
        <f t="shared" si="2"/>
        <v>49975</v>
      </c>
      <c r="P6" s="18" t="s">
        <v>16</v>
      </c>
    </row>
    <row r="7" spans="1:16" x14ac:dyDescent="0.35">
      <c r="A7" s="5" t="s">
        <v>998</v>
      </c>
      <c r="B7" s="6">
        <f t="shared" si="3"/>
        <v>46108</v>
      </c>
      <c r="C7" s="6">
        <f t="shared" si="3"/>
        <v>46113</v>
      </c>
      <c r="D7" s="5">
        <v>3249</v>
      </c>
      <c r="E7" s="5">
        <v>332</v>
      </c>
      <c r="F7" s="5">
        <v>3</v>
      </c>
      <c r="G7" s="18">
        <v>5</v>
      </c>
      <c r="H7" s="27"/>
      <c r="I7" s="18"/>
      <c r="J7" s="18">
        <v>20728394</v>
      </c>
      <c r="K7" s="18" t="s">
        <v>952</v>
      </c>
      <c r="L7" s="18" t="s">
        <v>958</v>
      </c>
      <c r="M7" s="54">
        <v>199900</v>
      </c>
      <c r="N7" s="34">
        <v>0.75</v>
      </c>
      <c r="O7" s="7">
        <f t="shared" si="2"/>
        <v>49975</v>
      </c>
      <c r="P7" s="18" t="s">
        <v>16</v>
      </c>
    </row>
    <row r="8" spans="1:16" x14ac:dyDescent="0.35">
      <c r="A8" s="5" t="s">
        <v>998</v>
      </c>
      <c r="B8" s="6">
        <f t="shared" si="3"/>
        <v>46108</v>
      </c>
      <c r="C8" s="6">
        <f t="shared" si="3"/>
        <v>46113</v>
      </c>
      <c r="D8" s="5">
        <v>3249</v>
      </c>
      <c r="E8" s="5">
        <v>332</v>
      </c>
      <c r="F8" s="5">
        <v>3</v>
      </c>
      <c r="G8" s="18">
        <v>5</v>
      </c>
      <c r="H8" s="27"/>
      <c r="I8" s="18"/>
      <c r="J8" s="18">
        <v>20728429</v>
      </c>
      <c r="K8" s="18" t="s">
        <v>952</v>
      </c>
      <c r="L8" s="18" t="s">
        <v>959</v>
      </c>
      <c r="M8" s="54">
        <v>199900</v>
      </c>
      <c r="N8" s="34">
        <v>0.75</v>
      </c>
      <c r="O8" s="7">
        <f t="shared" si="2"/>
        <v>49975</v>
      </c>
      <c r="P8" s="18" t="s">
        <v>16</v>
      </c>
    </row>
    <row r="9" spans="1:16" x14ac:dyDescent="0.35">
      <c r="A9" s="5" t="s">
        <v>998</v>
      </c>
      <c r="B9" s="6">
        <f t="shared" si="3"/>
        <v>46108</v>
      </c>
      <c r="C9" s="6">
        <f t="shared" si="3"/>
        <v>46113</v>
      </c>
      <c r="D9" s="5">
        <v>3249</v>
      </c>
      <c r="E9" s="5">
        <v>332</v>
      </c>
      <c r="F9" s="5">
        <v>3</v>
      </c>
      <c r="G9" s="18">
        <v>5</v>
      </c>
      <c r="H9" s="27"/>
      <c r="I9" s="18"/>
      <c r="J9" s="18">
        <v>20728447</v>
      </c>
      <c r="K9" s="18" t="s">
        <v>952</v>
      </c>
      <c r="L9" s="18" t="s">
        <v>960</v>
      </c>
      <c r="M9" s="54">
        <v>199900</v>
      </c>
      <c r="N9" s="34">
        <v>0.75</v>
      </c>
      <c r="O9" s="7">
        <f t="shared" si="2"/>
        <v>49975</v>
      </c>
      <c r="P9" s="18" t="s">
        <v>16</v>
      </c>
    </row>
    <row r="10" spans="1:16" x14ac:dyDescent="0.35">
      <c r="A10" s="5" t="s">
        <v>998</v>
      </c>
      <c r="B10" s="6">
        <f t="shared" si="3"/>
        <v>46108</v>
      </c>
      <c r="C10" s="6">
        <f t="shared" si="3"/>
        <v>46113</v>
      </c>
      <c r="D10" s="5">
        <v>3249</v>
      </c>
      <c r="E10" s="5">
        <v>332</v>
      </c>
      <c r="F10" s="5">
        <v>3</v>
      </c>
      <c r="G10" s="18">
        <v>5</v>
      </c>
      <c r="H10" s="27"/>
      <c r="I10" s="18"/>
      <c r="J10" s="18">
        <v>20728456</v>
      </c>
      <c r="K10" s="18" t="s">
        <v>952</v>
      </c>
      <c r="L10" s="18" t="s">
        <v>961</v>
      </c>
      <c r="M10" s="54">
        <v>199900</v>
      </c>
      <c r="N10" s="34">
        <v>0.75</v>
      </c>
      <c r="O10" s="7">
        <f t="shared" si="2"/>
        <v>49975</v>
      </c>
      <c r="P10" s="18" t="s">
        <v>16</v>
      </c>
    </row>
    <row r="11" spans="1:16" x14ac:dyDescent="0.35">
      <c r="A11" s="5" t="s">
        <v>998</v>
      </c>
      <c r="B11" s="6">
        <f t="shared" si="3"/>
        <v>46108</v>
      </c>
      <c r="C11" s="6">
        <f t="shared" si="3"/>
        <v>46113</v>
      </c>
      <c r="D11" s="5">
        <v>3249</v>
      </c>
      <c r="E11" s="5">
        <v>332</v>
      </c>
      <c r="F11" s="5">
        <v>3</v>
      </c>
      <c r="G11" s="18">
        <v>5</v>
      </c>
      <c r="H11" s="27"/>
      <c r="I11" s="18"/>
      <c r="J11" s="18">
        <v>20728474</v>
      </c>
      <c r="K11" s="18" t="s">
        <v>952</v>
      </c>
      <c r="L11" s="18" t="s">
        <v>962</v>
      </c>
      <c r="M11" s="54">
        <v>199900</v>
      </c>
      <c r="N11" s="34">
        <v>0.75</v>
      </c>
      <c r="O11" s="7">
        <f t="shared" si="2"/>
        <v>49975</v>
      </c>
      <c r="P11" s="18" t="s">
        <v>16</v>
      </c>
    </row>
    <row r="12" spans="1:16" x14ac:dyDescent="0.35">
      <c r="A12" s="5" t="s">
        <v>998</v>
      </c>
      <c r="B12" s="6">
        <f t="shared" si="3"/>
        <v>46108</v>
      </c>
      <c r="C12" s="6">
        <f t="shared" si="3"/>
        <v>46113</v>
      </c>
      <c r="D12" s="5">
        <v>3249</v>
      </c>
      <c r="E12" s="5">
        <v>332</v>
      </c>
      <c r="F12" s="5">
        <v>3</v>
      </c>
      <c r="G12" s="18">
        <v>5</v>
      </c>
      <c r="H12" s="27"/>
      <c r="I12" s="18"/>
      <c r="J12" s="18">
        <v>20728492</v>
      </c>
      <c r="K12" s="18" t="s">
        <v>952</v>
      </c>
      <c r="L12" s="18" t="s">
        <v>963</v>
      </c>
      <c r="M12" s="54">
        <v>199900</v>
      </c>
      <c r="N12" s="34">
        <v>0.75</v>
      </c>
      <c r="O12" s="7">
        <f t="shared" si="2"/>
        <v>49975</v>
      </c>
      <c r="P12" s="18" t="s">
        <v>16</v>
      </c>
    </row>
    <row r="13" spans="1:16" x14ac:dyDescent="0.35">
      <c r="A13" s="5" t="s">
        <v>998</v>
      </c>
      <c r="B13" s="6">
        <f t="shared" si="3"/>
        <v>46108</v>
      </c>
      <c r="C13" s="6">
        <f t="shared" si="3"/>
        <v>46113</v>
      </c>
      <c r="D13" s="5">
        <v>3249</v>
      </c>
      <c r="E13" s="5">
        <v>332</v>
      </c>
      <c r="F13" s="5">
        <v>3</v>
      </c>
      <c r="G13" s="18">
        <v>5</v>
      </c>
      <c r="H13" s="27"/>
      <c r="I13" s="18"/>
      <c r="J13" s="18">
        <v>20728509</v>
      </c>
      <c r="K13" s="18" t="s">
        <v>952</v>
      </c>
      <c r="L13" s="18" t="s">
        <v>964</v>
      </c>
      <c r="M13" s="54">
        <v>199900</v>
      </c>
      <c r="N13" s="34">
        <v>0.75</v>
      </c>
      <c r="O13" s="7">
        <f t="shared" si="2"/>
        <v>49975</v>
      </c>
      <c r="P13" s="18" t="s">
        <v>16</v>
      </c>
    </row>
    <row r="14" spans="1:16" x14ac:dyDescent="0.35">
      <c r="A14" s="5" t="s">
        <v>998</v>
      </c>
      <c r="B14" s="6">
        <f t="shared" si="3"/>
        <v>46108</v>
      </c>
      <c r="C14" s="6">
        <f t="shared" si="3"/>
        <v>46113</v>
      </c>
      <c r="D14" s="5">
        <v>3249</v>
      </c>
      <c r="E14" s="5">
        <v>332</v>
      </c>
      <c r="F14" s="5">
        <v>3</v>
      </c>
      <c r="G14" s="18">
        <v>5</v>
      </c>
      <c r="H14" s="18">
        <v>81738</v>
      </c>
      <c r="I14" s="18"/>
      <c r="J14" s="18">
        <v>20160532</v>
      </c>
      <c r="K14" s="18" t="s">
        <v>46</v>
      </c>
      <c r="L14" s="18" t="s">
        <v>965</v>
      </c>
      <c r="M14" s="54">
        <v>199900</v>
      </c>
      <c r="N14" s="34">
        <v>0.75</v>
      </c>
      <c r="O14" s="7">
        <f t="shared" si="2"/>
        <v>49975</v>
      </c>
      <c r="P14" s="18" t="s">
        <v>16</v>
      </c>
    </row>
    <row r="15" spans="1:16" x14ac:dyDescent="0.35">
      <c r="A15" s="5" t="s">
        <v>998</v>
      </c>
      <c r="B15" s="6">
        <f t="shared" si="3"/>
        <v>46108</v>
      </c>
      <c r="C15" s="6">
        <f t="shared" si="3"/>
        <v>46113</v>
      </c>
      <c r="D15" s="5">
        <v>3249</v>
      </c>
      <c r="E15" s="5">
        <v>332</v>
      </c>
      <c r="F15" s="5">
        <v>3</v>
      </c>
      <c r="G15" s="18">
        <v>5</v>
      </c>
      <c r="H15" s="18">
        <v>81738</v>
      </c>
      <c r="I15" s="18"/>
      <c r="J15" s="18">
        <v>20160541</v>
      </c>
      <c r="K15" s="18" t="s">
        <v>46</v>
      </c>
      <c r="L15" s="18" t="s">
        <v>966</v>
      </c>
      <c r="M15" s="54">
        <v>199900</v>
      </c>
      <c r="N15" s="34">
        <v>0.75</v>
      </c>
      <c r="O15" s="7">
        <f t="shared" si="2"/>
        <v>49975</v>
      </c>
      <c r="P15" s="18" t="s">
        <v>16</v>
      </c>
    </row>
    <row r="16" spans="1:16" x14ac:dyDescent="0.35">
      <c r="A16" s="5" t="s">
        <v>998</v>
      </c>
      <c r="B16" s="6">
        <f t="shared" si="3"/>
        <v>46108</v>
      </c>
      <c r="C16" s="6">
        <f t="shared" si="3"/>
        <v>46113</v>
      </c>
      <c r="D16" s="5">
        <v>3249</v>
      </c>
      <c r="E16" s="5">
        <v>332</v>
      </c>
      <c r="F16" s="5">
        <v>3</v>
      </c>
      <c r="G16" s="18">
        <v>5</v>
      </c>
      <c r="H16" s="18">
        <v>81738</v>
      </c>
      <c r="I16" s="18"/>
      <c r="J16" s="18">
        <v>20160587</v>
      </c>
      <c r="K16" s="18" t="s">
        <v>46</v>
      </c>
      <c r="L16" s="18" t="s">
        <v>967</v>
      </c>
      <c r="M16" s="54">
        <v>199900</v>
      </c>
      <c r="N16" s="34">
        <v>0.75</v>
      </c>
      <c r="O16" s="7">
        <f t="shared" si="2"/>
        <v>49975</v>
      </c>
      <c r="P16" s="18" t="s">
        <v>16</v>
      </c>
    </row>
    <row r="17" spans="1:16" x14ac:dyDescent="0.35">
      <c r="A17" s="5" t="s">
        <v>998</v>
      </c>
      <c r="B17" s="6">
        <f t="shared" si="3"/>
        <v>46108</v>
      </c>
      <c r="C17" s="6">
        <f t="shared" si="3"/>
        <v>46113</v>
      </c>
      <c r="D17" s="5">
        <v>3249</v>
      </c>
      <c r="E17" s="5">
        <v>332</v>
      </c>
      <c r="F17" s="5">
        <v>3</v>
      </c>
      <c r="G17" s="18">
        <v>5</v>
      </c>
      <c r="H17" s="18">
        <v>81738</v>
      </c>
      <c r="I17" s="18"/>
      <c r="J17" s="18">
        <v>20160621</v>
      </c>
      <c r="K17" s="18" t="s">
        <v>46</v>
      </c>
      <c r="L17" s="18" t="s">
        <v>968</v>
      </c>
      <c r="M17" s="54">
        <v>199900</v>
      </c>
      <c r="N17" s="34">
        <v>0.75</v>
      </c>
      <c r="O17" s="7">
        <f t="shared" si="2"/>
        <v>49975</v>
      </c>
      <c r="P17" s="18" t="s">
        <v>16</v>
      </c>
    </row>
    <row r="18" spans="1:16" x14ac:dyDescent="0.35">
      <c r="A18" s="5" t="s">
        <v>998</v>
      </c>
      <c r="B18" s="6">
        <f t="shared" si="3"/>
        <v>46108</v>
      </c>
      <c r="C18" s="6">
        <f t="shared" si="3"/>
        <v>46113</v>
      </c>
      <c r="D18" s="5">
        <v>3249</v>
      </c>
      <c r="E18" s="5">
        <v>332</v>
      </c>
      <c r="F18" s="5">
        <v>3</v>
      </c>
      <c r="G18" s="18">
        <v>5</v>
      </c>
      <c r="H18" s="18">
        <v>81738</v>
      </c>
      <c r="I18" s="18"/>
      <c r="J18" s="18">
        <v>20160630</v>
      </c>
      <c r="K18" s="18" t="s">
        <v>46</v>
      </c>
      <c r="L18" s="18" t="s">
        <v>969</v>
      </c>
      <c r="M18" s="54">
        <v>199900</v>
      </c>
      <c r="N18" s="34">
        <v>0.75</v>
      </c>
      <c r="O18" s="7">
        <f t="shared" si="2"/>
        <v>49975</v>
      </c>
      <c r="P18" s="18" t="s">
        <v>16</v>
      </c>
    </row>
  </sheetData>
  <conditionalFormatting sqref="J1">
    <cfRule type="duplicateValues" dxfId="243" priority="25"/>
    <cfRule type="duplicateValues" dxfId="242" priority="26"/>
    <cfRule type="duplicateValues" dxfId="241" priority="27"/>
    <cfRule type="duplicateValues" dxfId="240" priority="28"/>
    <cfRule type="duplicateValues" dxfId="239" priority="29"/>
    <cfRule type="duplicateValues" dxfId="238" priority="30"/>
    <cfRule type="duplicateValues" dxfId="237" priority="31"/>
    <cfRule type="duplicateValues" dxfId="236" priority="32"/>
    <cfRule type="duplicateValues" dxfId="235" priority="33"/>
    <cfRule type="duplicateValues" dxfId="234" priority="34"/>
    <cfRule type="duplicateValues" dxfId="233" priority="35"/>
    <cfRule type="duplicateValues" dxfId="232" priority="36"/>
    <cfRule type="duplicateValues" dxfId="231" priority="37"/>
    <cfRule type="duplicateValues" dxfId="230" priority="38"/>
    <cfRule type="duplicateValues" dxfId="229" priority="39"/>
  </conditionalFormatting>
  <conditionalFormatting sqref="J1:J13">
    <cfRule type="duplicateValues" dxfId="228" priority="40"/>
  </conditionalFormatting>
  <conditionalFormatting sqref="J1:J1048576">
    <cfRule type="duplicateValues" dxfId="227" priority="1"/>
  </conditionalFormatting>
  <conditionalFormatting sqref="J2:J13">
    <cfRule type="duplicateValues" dxfId="226" priority="14"/>
    <cfRule type="duplicateValues" dxfId="225" priority="15"/>
    <cfRule type="duplicateValues" dxfId="224" priority="16"/>
    <cfRule type="duplicateValues" dxfId="223" priority="17"/>
    <cfRule type="duplicateValues" dxfId="222" priority="18"/>
    <cfRule type="duplicateValues" dxfId="221" priority="19"/>
    <cfRule type="duplicateValues" dxfId="220" priority="20"/>
    <cfRule type="duplicateValues" dxfId="219" priority="21"/>
    <cfRule type="duplicateValues" dxfId="218" priority="22"/>
    <cfRule type="duplicateValues" dxfId="217" priority="23"/>
    <cfRule type="duplicateValues" dxfId="216" priority="24"/>
  </conditionalFormatting>
  <conditionalFormatting sqref="J14:J18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  <cfRule type="duplicateValues" dxfId="207" priority="10"/>
    <cfRule type="duplicateValues" dxfId="206" priority="11"/>
    <cfRule type="duplicateValues" dxfId="205" priority="12"/>
    <cfRule type="duplicateValues" dxfId="204" priority="13"/>
    <cfRule type="duplicateValues" dxfId="203" priority="41"/>
    <cfRule type="duplicateValues" dxfId="202" priority="4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F473-BA41-4545-91BF-C6958FD4D0B2}">
  <sheetPr>
    <tabColor rgb="FFFFFF00"/>
  </sheetPr>
  <dimension ref="A1:P6"/>
  <sheetViews>
    <sheetView zoomScale="58" workbookViewId="0">
      <selection activeCell="L32" sqref="L32"/>
    </sheetView>
  </sheetViews>
  <sheetFormatPr defaultColWidth="8.7265625" defaultRowHeight="14.5" x14ac:dyDescent="0.35"/>
  <cols>
    <col min="1" max="1" width="50.363281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999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17">
        <v>20160327</v>
      </c>
      <c r="K2" s="18" t="s">
        <v>552</v>
      </c>
      <c r="L2" s="18" t="s">
        <v>970</v>
      </c>
      <c r="M2" s="26">
        <v>149900</v>
      </c>
      <c r="N2" s="34">
        <v>0.75</v>
      </c>
      <c r="O2" s="7">
        <f t="shared" ref="O2" si="0">M2-(M2*N2)</f>
        <v>37475</v>
      </c>
      <c r="P2" s="18" t="s">
        <v>16</v>
      </c>
    </row>
    <row r="3" spans="1:16" x14ac:dyDescent="0.35">
      <c r="A3" s="5" t="s">
        <v>999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17">
        <v>20160354</v>
      </c>
      <c r="K3" s="18" t="s">
        <v>552</v>
      </c>
      <c r="L3" s="18" t="s">
        <v>971</v>
      </c>
      <c r="M3" s="26">
        <v>149900</v>
      </c>
      <c r="N3" s="34">
        <v>0.75</v>
      </c>
      <c r="O3" s="7">
        <f t="shared" ref="O3:O6" si="2">M3-(M3*N3)</f>
        <v>37475</v>
      </c>
      <c r="P3" s="18" t="s">
        <v>16</v>
      </c>
    </row>
    <row r="4" spans="1:16" x14ac:dyDescent="0.35">
      <c r="A4" s="5" t="s">
        <v>999</v>
      </c>
      <c r="B4" s="6">
        <f t="shared" ref="B4:C6" si="3">B3</f>
        <v>46108</v>
      </c>
      <c r="C4" s="6">
        <f t="shared" si="3"/>
        <v>46113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17">
        <v>20160363</v>
      </c>
      <c r="K4" s="18" t="s">
        <v>552</v>
      </c>
      <c r="L4" s="18" t="s">
        <v>972</v>
      </c>
      <c r="M4" s="26">
        <v>149900</v>
      </c>
      <c r="N4" s="34">
        <v>0.75</v>
      </c>
      <c r="O4" s="7">
        <f t="shared" si="2"/>
        <v>37475</v>
      </c>
      <c r="P4" s="18" t="s">
        <v>16</v>
      </c>
    </row>
    <row r="5" spans="1:16" x14ac:dyDescent="0.35">
      <c r="A5" s="5" t="s">
        <v>999</v>
      </c>
      <c r="B5" s="6">
        <f t="shared" si="3"/>
        <v>46108</v>
      </c>
      <c r="C5" s="6">
        <f t="shared" si="3"/>
        <v>46113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17">
        <v>20160381</v>
      </c>
      <c r="K5" s="18" t="s">
        <v>552</v>
      </c>
      <c r="L5" s="18" t="s">
        <v>973</v>
      </c>
      <c r="M5" s="26">
        <v>149900</v>
      </c>
      <c r="N5" s="34">
        <v>0.75</v>
      </c>
      <c r="O5" s="7">
        <f t="shared" si="2"/>
        <v>37475</v>
      </c>
      <c r="P5" s="18" t="s">
        <v>16</v>
      </c>
    </row>
    <row r="6" spans="1:16" x14ac:dyDescent="0.35">
      <c r="A6" s="5" t="s">
        <v>999</v>
      </c>
      <c r="B6" s="6">
        <f t="shared" si="3"/>
        <v>46108</v>
      </c>
      <c r="C6" s="6">
        <f t="shared" si="3"/>
        <v>46113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17">
        <v>20160390</v>
      </c>
      <c r="K6" s="18" t="s">
        <v>552</v>
      </c>
      <c r="L6" s="18" t="s">
        <v>974</v>
      </c>
      <c r="M6" s="26">
        <v>149900</v>
      </c>
      <c r="N6" s="34">
        <v>0.75</v>
      </c>
      <c r="O6" s="7">
        <f t="shared" si="2"/>
        <v>37475</v>
      </c>
      <c r="P6" s="18" t="s">
        <v>16</v>
      </c>
    </row>
  </sheetData>
  <conditionalFormatting sqref="J1">
    <cfRule type="duplicateValues" dxfId="201" priority="5"/>
    <cfRule type="duplicateValues" dxfId="200" priority="6"/>
    <cfRule type="duplicateValues" dxfId="199" priority="7"/>
    <cfRule type="duplicateValues" dxfId="198" priority="8"/>
    <cfRule type="duplicateValues" dxfId="197" priority="9"/>
    <cfRule type="duplicateValues" dxfId="196" priority="10"/>
    <cfRule type="duplicateValues" dxfId="195" priority="11"/>
    <cfRule type="duplicateValues" dxfId="194" priority="12"/>
  </conditionalFormatting>
  <conditionalFormatting sqref="J1:J6">
    <cfRule type="duplicateValues" dxfId="193" priority="13"/>
    <cfRule type="duplicateValues" dxfId="192" priority="14"/>
    <cfRule type="duplicateValues" dxfId="191" priority="15"/>
    <cfRule type="duplicateValues" dxfId="190" priority="16"/>
    <cfRule type="duplicateValues" dxfId="189" priority="17"/>
    <cfRule type="duplicateValues" dxfId="188" priority="18"/>
    <cfRule type="duplicateValues" dxfId="187" priority="19"/>
  </conditionalFormatting>
  <conditionalFormatting sqref="J1:J7">
    <cfRule type="duplicateValues" dxfId="186" priority="3519"/>
    <cfRule type="duplicateValues" dxfId="185" priority="3520"/>
    <cfRule type="duplicateValues" dxfId="184" priority="3521"/>
    <cfRule type="duplicateValues" dxfId="183" priority="352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109C-6B23-4B73-BC73-47BFF2E1AF81}">
  <sheetPr>
    <tabColor rgb="FFFFFF00"/>
  </sheetPr>
  <dimension ref="A1:P16"/>
  <sheetViews>
    <sheetView zoomScale="58" workbookViewId="0">
      <selection activeCell="L31" sqref="L31"/>
    </sheetView>
  </sheetViews>
  <sheetFormatPr defaultColWidth="8.7265625" defaultRowHeight="14.5" x14ac:dyDescent="0.35"/>
  <cols>
    <col min="1" max="1" width="34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1000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55">
        <v>19712822</v>
      </c>
      <c r="K2" s="18" t="s">
        <v>975</v>
      </c>
      <c r="L2" s="18" t="s">
        <v>980</v>
      </c>
      <c r="M2" s="26">
        <v>179900</v>
      </c>
      <c r="N2" s="34">
        <v>0.5</v>
      </c>
      <c r="O2" s="7">
        <f t="shared" ref="O2" si="0">M2-(M2*N2)</f>
        <v>89950</v>
      </c>
      <c r="P2" s="18" t="s">
        <v>16</v>
      </c>
    </row>
    <row r="3" spans="1:16" x14ac:dyDescent="0.35">
      <c r="A3" s="5" t="s">
        <v>1000</v>
      </c>
      <c r="B3" s="6">
        <f t="shared" ref="B3:C3" si="1">B2</f>
        <v>46108</v>
      </c>
      <c r="C3" s="6">
        <f t="shared" si="1"/>
        <v>46113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55">
        <v>19712804</v>
      </c>
      <c r="K3" s="18" t="s">
        <v>975</v>
      </c>
      <c r="L3" s="18" t="s">
        <v>979</v>
      </c>
      <c r="M3" s="26">
        <v>179900</v>
      </c>
      <c r="N3" s="34">
        <v>0.5</v>
      </c>
      <c r="O3" s="7">
        <f t="shared" ref="O3:O16" si="2">M3-(M3*N3)</f>
        <v>89950</v>
      </c>
      <c r="P3" s="18" t="s">
        <v>16</v>
      </c>
    </row>
    <row r="4" spans="1:16" x14ac:dyDescent="0.35">
      <c r="A4" s="5" t="s">
        <v>1000</v>
      </c>
      <c r="B4" s="6">
        <f t="shared" ref="B4:C16" si="3">B3</f>
        <v>46108</v>
      </c>
      <c r="C4" s="6">
        <f t="shared" si="3"/>
        <v>46113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55">
        <v>19712779</v>
      </c>
      <c r="K4" s="18" t="s">
        <v>975</v>
      </c>
      <c r="L4" s="18" t="s">
        <v>976</v>
      </c>
      <c r="M4" s="26">
        <v>179900</v>
      </c>
      <c r="N4" s="34">
        <v>0.5</v>
      </c>
      <c r="O4" s="7">
        <f t="shared" si="2"/>
        <v>89950</v>
      </c>
      <c r="P4" s="18" t="s">
        <v>16</v>
      </c>
    </row>
    <row r="5" spans="1:16" x14ac:dyDescent="0.35">
      <c r="A5" s="5" t="s">
        <v>1000</v>
      </c>
      <c r="B5" s="6">
        <f t="shared" si="3"/>
        <v>46108</v>
      </c>
      <c r="C5" s="6">
        <f t="shared" si="3"/>
        <v>46113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55">
        <v>19712788</v>
      </c>
      <c r="K5" s="18" t="s">
        <v>975</v>
      </c>
      <c r="L5" s="18" t="s">
        <v>977</v>
      </c>
      <c r="M5" s="26">
        <v>179900</v>
      </c>
      <c r="N5" s="34">
        <v>0.5</v>
      </c>
      <c r="O5" s="7">
        <f t="shared" si="2"/>
        <v>89950</v>
      </c>
      <c r="P5" s="18" t="s">
        <v>16</v>
      </c>
    </row>
    <row r="6" spans="1:16" x14ac:dyDescent="0.35">
      <c r="A6" s="5" t="s">
        <v>1000</v>
      </c>
      <c r="B6" s="6">
        <f t="shared" si="3"/>
        <v>46108</v>
      </c>
      <c r="C6" s="6">
        <f t="shared" si="3"/>
        <v>46113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55">
        <v>19712797</v>
      </c>
      <c r="K6" s="18" t="s">
        <v>975</v>
      </c>
      <c r="L6" s="18" t="s">
        <v>978</v>
      </c>
      <c r="M6" s="26">
        <v>179900</v>
      </c>
      <c r="N6" s="34">
        <v>0.5</v>
      </c>
      <c r="O6" s="7">
        <f t="shared" si="2"/>
        <v>89950</v>
      </c>
      <c r="P6" s="18" t="s">
        <v>16</v>
      </c>
    </row>
    <row r="7" spans="1:16" x14ac:dyDescent="0.35">
      <c r="A7" s="5" t="s">
        <v>1000</v>
      </c>
      <c r="B7" s="6">
        <f t="shared" si="3"/>
        <v>46108</v>
      </c>
      <c r="C7" s="6">
        <f t="shared" si="3"/>
        <v>46113</v>
      </c>
      <c r="D7" s="5">
        <v>3249</v>
      </c>
      <c r="E7" s="5">
        <v>332</v>
      </c>
      <c r="F7" s="5">
        <v>3</v>
      </c>
      <c r="G7" s="18">
        <v>4</v>
      </c>
      <c r="H7" s="18">
        <v>81642</v>
      </c>
      <c r="I7" s="18"/>
      <c r="J7" s="18">
        <v>20160194</v>
      </c>
      <c r="K7" s="18" t="s">
        <v>552</v>
      </c>
      <c r="L7" s="18" t="s">
        <v>981</v>
      </c>
      <c r="M7" s="35">
        <v>149900</v>
      </c>
      <c r="N7" s="34">
        <v>0.5</v>
      </c>
      <c r="O7" s="7">
        <f t="shared" si="2"/>
        <v>74950</v>
      </c>
      <c r="P7" s="18" t="s">
        <v>16</v>
      </c>
    </row>
    <row r="8" spans="1:16" x14ac:dyDescent="0.35">
      <c r="A8" s="5" t="s">
        <v>1000</v>
      </c>
      <c r="B8" s="6">
        <f t="shared" si="3"/>
        <v>46108</v>
      </c>
      <c r="C8" s="6">
        <f t="shared" si="3"/>
        <v>46113</v>
      </c>
      <c r="D8" s="5">
        <v>3249</v>
      </c>
      <c r="E8" s="5">
        <v>332</v>
      </c>
      <c r="F8" s="5">
        <v>3</v>
      </c>
      <c r="G8" s="18">
        <v>4</v>
      </c>
      <c r="H8" s="18">
        <v>81642</v>
      </c>
      <c r="I8" s="18"/>
      <c r="J8" s="18">
        <v>20160201</v>
      </c>
      <c r="K8" s="18" t="s">
        <v>552</v>
      </c>
      <c r="L8" s="18" t="s">
        <v>982</v>
      </c>
      <c r="M8" s="35">
        <v>149900</v>
      </c>
      <c r="N8" s="34">
        <v>0.5</v>
      </c>
      <c r="O8" s="7">
        <f t="shared" si="2"/>
        <v>74950</v>
      </c>
      <c r="P8" s="18" t="s">
        <v>16</v>
      </c>
    </row>
    <row r="9" spans="1:16" x14ac:dyDescent="0.35">
      <c r="A9" s="5" t="s">
        <v>1000</v>
      </c>
      <c r="B9" s="6">
        <f t="shared" si="3"/>
        <v>46108</v>
      </c>
      <c r="C9" s="6">
        <f t="shared" si="3"/>
        <v>46113</v>
      </c>
      <c r="D9" s="5">
        <v>3249</v>
      </c>
      <c r="E9" s="5">
        <v>332</v>
      </c>
      <c r="F9" s="5">
        <v>3</v>
      </c>
      <c r="G9" s="18">
        <v>4</v>
      </c>
      <c r="H9" s="18">
        <v>81642</v>
      </c>
      <c r="I9" s="18"/>
      <c r="J9" s="18">
        <v>20160210</v>
      </c>
      <c r="K9" s="18" t="s">
        <v>552</v>
      </c>
      <c r="L9" s="18" t="s">
        <v>983</v>
      </c>
      <c r="M9" s="35">
        <v>149900</v>
      </c>
      <c r="N9" s="34">
        <v>0.5</v>
      </c>
      <c r="O9" s="7">
        <f t="shared" si="2"/>
        <v>74950</v>
      </c>
      <c r="P9" s="18" t="s">
        <v>16</v>
      </c>
    </row>
    <row r="10" spans="1:16" x14ac:dyDescent="0.35">
      <c r="A10" s="5" t="s">
        <v>1000</v>
      </c>
      <c r="B10" s="6">
        <f t="shared" si="3"/>
        <v>46108</v>
      </c>
      <c r="C10" s="6">
        <f t="shared" si="3"/>
        <v>46113</v>
      </c>
      <c r="D10" s="5">
        <v>3249</v>
      </c>
      <c r="E10" s="5">
        <v>332</v>
      </c>
      <c r="F10" s="5">
        <v>3</v>
      </c>
      <c r="G10" s="18">
        <v>4</v>
      </c>
      <c r="H10" s="18">
        <v>81642</v>
      </c>
      <c r="I10" s="18"/>
      <c r="J10" s="18">
        <v>20160229</v>
      </c>
      <c r="K10" s="18" t="s">
        <v>552</v>
      </c>
      <c r="L10" s="18" t="s">
        <v>984</v>
      </c>
      <c r="M10" s="35">
        <v>149900</v>
      </c>
      <c r="N10" s="34">
        <v>0.5</v>
      </c>
      <c r="O10" s="7">
        <f t="shared" si="2"/>
        <v>74950</v>
      </c>
      <c r="P10" s="18" t="s">
        <v>16</v>
      </c>
    </row>
    <row r="11" spans="1:16" x14ac:dyDescent="0.35">
      <c r="A11" s="5" t="s">
        <v>1000</v>
      </c>
      <c r="B11" s="6">
        <f t="shared" si="3"/>
        <v>46108</v>
      </c>
      <c r="C11" s="6">
        <f t="shared" si="3"/>
        <v>46113</v>
      </c>
      <c r="D11" s="5">
        <v>3249</v>
      </c>
      <c r="E11" s="5">
        <v>332</v>
      </c>
      <c r="F11" s="5">
        <v>3</v>
      </c>
      <c r="G11" s="18">
        <v>4</v>
      </c>
      <c r="H11" s="18">
        <v>81642</v>
      </c>
      <c r="I11" s="18"/>
      <c r="J11" s="18">
        <v>20160247</v>
      </c>
      <c r="K11" s="18" t="s">
        <v>552</v>
      </c>
      <c r="L11" s="18" t="s">
        <v>985</v>
      </c>
      <c r="M11" s="35">
        <v>149900</v>
      </c>
      <c r="N11" s="34">
        <v>0.5</v>
      </c>
      <c r="O11" s="7">
        <f t="shared" si="2"/>
        <v>74950</v>
      </c>
      <c r="P11" s="18" t="s">
        <v>16</v>
      </c>
    </row>
    <row r="12" spans="1:16" x14ac:dyDescent="0.35">
      <c r="A12" s="5" t="s">
        <v>1000</v>
      </c>
      <c r="B12" s="6">
        <f t="shared" si="3"/>
        <v>46108</v>
      </c>
      <c r="C12" s="6">
        <f t="shared" si="3"/>
        <v>46113</v>
      </c>
      <c r="D12" s="5">
        <v>3249</v>
      </c>
      <c r="E12" s="5">
        <v>332</v>
      </c>
      <c r="F12" s="5">
        <v>3</v>
      </c>
      <c r="G12" s="18">
        <v>4</v>
      </c>
      <c r="H12" s="18">
        <v>81642</v>
      </c>
      <c r="I12" s="18"/>
      <c r="J12" s="18">
        <v>20160265</v>
      </c>
      <c r="K12" s="18" t="s">
        <v>552</v>
      </c>
      <c r="L12" s="18" t="s">
        <v>986</v>
      </c>
      <c r="M12" s="35">
        <v>149900</v>
      </c>
      <c r="N12" s="34">
        <v>0.5</v>
      </c>
      <c r="O12" s="7">
        <f t="shared" si="2"/>
        <v>74950</v>
      </c>
      <c r="P12" s="18" t="s">
        <v>16</v>
      </c>
    </row>
    <row r="13" spans="1:16" x14ac:dyDescent="0.35">
      <c r="A13" s="5" t="s">
        <v>1000</v>
      </c>
      <c r="B13" s="6">
        <f t="shared" si="3"/>
        <v>46108</v>
      </c>
      <c r="C13" s="6">
        <f t="shared" si="3"/>
        <v>46113</v>
      </c>
      <c r="D13" s="5">
        <v>3249</v>
      </c>
      <c r="E13" s="5">
        <v>332</v>
      </c>
      <c r="F13" s="5">
        <v>3</v>
      </c>
      <c r="G13" s="18">
        <v>4</v>
      </c>
      <c r="H13" s="18">
        <v>81642</v>
      </c>
      <c r="I13" s="18"/>
      <c r="J13" s="18">
        <v>20160274</v>
      </c>
      <c r="K13" s="18" t="s">
        <v>552</v>
      </c>
      <c r="L13" s="18" t="s">
        <v>987</v>
      </c>
      <c r="M13" s="35">
        <v>149900</v>
      </c>
      <c r="N13" s="34">
        <v>0.5</v>
      </c>
      <c r="O13" s="7">
        <f t="shared" si="2"/>
        <v>74950</v>
      </c>
      <c r="P13" s="18" t="s">
        <v>16</v>
      </c>
    </row>
    <row r="14" spans="1:16" x14ac:dyDescent="0.35">
      <c r="A14" s="5" t="s">
        <v>1000</v>
      </c>
      <c r="B14" s="6">
        <f t="shared" si="3"/>
        <v>46108</v>
      </c>
      <c r="C14" s="6">
        <f t="shared" si="3"/>
        <v>46113</v>
      </c>
      <c r="D14" s="5">
        <v>3249</v>
      </c>
      <c r="E14" s="5">
        <v>332</v>
      </c>
      <c r="F14" s="5">
        <v>3</v>
      </c>
      <c r="G14" s="18">
        <v>4</v>
      </c>
      <c r="H14" s="18">
        <v>81642</v>
      </c>
      <c r="I14" s="18"/>
      <c r="J14" s="18">
        <v>20160283</v>
      </c>
      <c r="K14" s="18" t="s">
        <v>552</v>
      </c>
      <c r="L14" s="18" t="s">
        <v>988</v>
      </c>
      <c r="M14" s="35">
        <v>149900</v>
      </c>
      <c r="N14" s="34">
        <v>0.5</v>
      </c>
      <c r="O14" s="7">
        <f t="shared" si="2"/>
        <v>74950</v>
      </c>
      <c r="P14" s="18" t="s">
        <v>16</v>
      </c>
    </row>
    <row r="15" spans="1:16" x14ac:dyDescent="0.35">
      <c r="A15" s="5" t="s">
        <v>1000</v>
      </c>
      <c r="B15" s="6">
        <f t="shared" si="3"/>
        <v>46108</v>
      </c>
      <c r="C15" s="6">
        <f t="shared" si="3"/>
        <v>46113</v>
      </c>
      <c r="D15" s="5">
        <v>3249</v>
      </c>
      <c r="E15" s="5">
        <v>332</v>
      </c>
      <c r="F15" s="5">
        <v>3</v>
      </c>
      <c r="G15" s="18">
        <v>4</v>
      </c>
      <c r="H15" s="18">
        <v>81642</v>
      </c>
      <c r="I15" s="18"/>
      <c r="J15" s="18">
        <v>20160292</v>
      </c>
      <c r="K15" s="18" t="s">
        <v>552</v>
      </c>
      <c r="L15" s="18" t="s">
        <v>989</v>
      </c>
      <c r="M15" s="35">
        <v>149900</v>
      </c>
      <c r="N15" s="34">
        <v>0.5</v>
      </c>
      <c r="O15" s="7">
        <f t="shared" si="2"/>
        <v>74950</v>
      </c>
      <c r="P15" s="18" t="s">
        <v>16</v>
      </c>
    </row>
    <row r="16" spans="1:16" x14ac:dyDescent="0.35">
      <c r="A16" s="5" t="s">
        <v>1000</v>
      </c>
      <c r="B16" s="6">
        <f t="shared" si="3"/>
        <v>46108</v>
      </c>
      <c r="C16" s="6">
        <f t="shared" si="3"/>
        <v>46113</v>
      </c>
      <c r="D16" s="5">
        <v>3249</v>
      </c>
      <c r="E16" s="5">
        <v>332</v>
      </c>
      <c r="F16" s="5">
        <v>3</v>
      </c>
      <c r="G16" s="18">
        <v>4</v>
      </c>
      <c r="H16" s="18">
        <v>81642</v>
      </c>
      <c r="I16" s="18"/>
      <c r="J16" s="18">
        <v>20160309</v>
      </c>
      <c r="K16" s="18" t="s">
        <v>552</v>
      </c>
      <c r="L16" s="18" t="s">
        <v>990</v>
      </c>
      <c r="M16" s="35">
        <v>149900</v>
      </c>
      <c r="N16" s="34">
        <v>0.5</v>
      </c>
      <c r="O16" s="7">
        <f t="shared" si="2"/>
        <v>74950</v>
      </c>
      <c r="P16" s="18" t="s">
        <v>16</v>
      </c>
    </row>
  </sheetData>
  <conditionalFormatting sqref="J1">
    <cfRule type="duplicateValues" dxfId="182" priority="51"/>
    <cfRule type="duplicateValues" dxfId="181" priority="52"/>
    <cfRule type="duplicateValues" dxfId="180" priority="53"/>
    <cfRule type="duplicateValues" dxfId="179" priority="54"/>
    <cfRule type="duplicateValues" dxfId="178" priority="55"/>
    <cfRule type="duplicateValues" dxfId="177" priority="56"/>
    <cfRule type="duplicateValues" dxfId="176" priority="57"/>
    <cfRule type="duplicateValues" dxfId="175" priority="58"/>
    <cfRule type="duplicateValues" dxfId="174" priority="59"/>
    <cfRule type="duplicateValues" dxfId="173" priority="60"/>
    <cfRule type="duplicateValues" dxfId="172" priority="61"/>
    <cfRule type="duplicateValues" dxfId="171" priority="62"/>
    <cfRule type="duplicateValues" dxfId="170" priority="63"/>
    <cfRule type="duplicateValues" dxfId="169" priority="64"/>
    <cfRule type="duplicateValues" dxfId="168" priority="65"/>
  </conditionalFormatting>
  <conditionalFormatting sqref="J2:J6">
    <cfRule type="duplicateValues" dxfId="167" priority="28"/>
    <cfRule type="duplicateValues" dxfId="166" priority="29"/>
    <cfRule type="duplicateValues" dxfId="165" priority="30"/>
    <cfRule type="duplicateValues" dxfId="164" priority="31"/>
    <cfRule type="duplicateValues" dxfId="163" priority="32"/>
    <cfRule type="duplicateValues" dxfId="162" priority="33"/>
    <cfRule type="duplicateValues" dxfId="161" priority="34"/>
    <cfRule type="duplicateValues" dxfId="160" priority="35"/>
    <cfRule type="duplicateValues" dxfId="159" priority="36"/>
    <cfRule type="duplicateValues" dxfId="158" priority="37"/>
    <cfRule type="duplicateValues" dxfId="157" priority="38"/>
    <cfRule type="duplicateValues" dxfId="156" priority="39"/>
    <cfRule type="duplicateValues" dxfId="155" priority="40"/>
    <cfRule type="duplicateValues" dxfId="154" priority="41"/>
    <cfRule type="duplicateValues" dxfId="153" priority="42"/>
    <cfRule type="duplicateValues" dxfId="152" priority="43"/>
    <cfRule type="duplicateValues" dxfId="151" priority="44"/>
    <cfRule type="duplicateValues" dxfId="150" priority="45"/>
    <cfRule type="duplicateValues" dxfId="149" priority="46"/>
    <cfRule type="duplicateValues" dxfId="148" priority="47"/>
    <cfRule type="duplicateValues" dxfId="147" priority="48"/>
    <cfRule type="duplicateValues" dxfId="146" priority="49"/>
    <cfRule type="duplicateValues" dxfId="145" priority="50"/>
  </conditionalFormatting>
  <conditionalFormatting sqref="J7:J16">
    <cfRule type="duplicateValues" dxfId="144" priority="9"/>
    <cfRule type="duplicateValues" dxfId="143" priority="10"/>
    <cfRule type="duplicateValues" dxfId="142" priority="11"/>
    <cfRule type="duplicateValues" dxfId="141" priority="12"/>
    <cfRule type="duplicateValues" dxfId="140" priority="13"/>
    <cfRule type="duplicateValues" dxfId="139" priority="14"/>
    <cfRule type="duplicateValues" dxfId="138" priority="15"/>
    <cfRule type="duplicateValues" dxfId="137" priority="16"/>
    <cfRule type="duplicateValues" dxfId="136" priority="17"/>
    <cfRule type="duplicateValues" dxfId="135" priority="18"/>
    <cfRule type="duplicateValues" dxfId="134" priority="19"/>
    <cfRule type="duplicateValues" dxfId="133" priority="20"/>
    <cfRule type="duplicateValues" dxfId="132" priority="21"/>
    <cfRule type="duplicateValues" dxfId="131" priority="22"/>
    <cfRule type="duplicateValues" dxfId="130" priority="23"/>
    <cfRule type="duplicateValues" dxfId="129" priority="24"/>
    <cfRule type="duplicateValues" dxfId="128" priority="25"/>
    <cfRule type="duplicateValues" dxfId="127" priority="26"/>
    <cfRule type="duplicateValues" dxfId="126" priority="27"/>
  </conditionalFormatting>
  <conditionalFormatting sqref="J1:J1048576">
    <cfRule type="duplicateValues" dxfId="125" priority="1"/>
  </conditionalFormatting>
  <conditionalFormatting sqref="J1:J17">
    <cfRule type="duplicateValues" dxfId="124" priority="3523"/>
    <cfRule type="duplicateValues" dxfId="123" priority="3524"/>
    <cfRule type="duplicateValues" dxfId="122" priority="352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sheetPr>
    <tabColor rgb="FFFFFF00"/>
  </sheetPr>
  <dimension ref="A1:P11"/>
  <sheetViews>
    <sheetView tabSelected="1" topLeftCell="J1" zoomScale="55" workbookViewId="0">
      <selection activeCell="L21" sqref="L21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11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8" t="s">
        <v>14</v>
      </c>
      <c r="N1" s="9" t="s">
        <v>8</v>
      </c>
      <c r="O1" s="4" t="s">
        <v>9</v>
      </c>
      <c r="P1" s="1" t="s">
        <v>10</v>
      </c>
    </row>
    <row r="2" spans="1:16" x14ac:dyDescent="0.35">
      <c r="A2" s="13" t="s">
        <v>124</v>
      </c>
      <c r="B2" s="6">
        <v>46108</v>
      </c>
      <c r="C2" s="6">
        <v>46113</v>
      </c>
      <c r="D2" s="5">
        <v>3249</v>
      </c>
      <c r="E2" s="16">
        <v>332</v>
      </c>
      <c r="F2" s="16">
        <v>3</v>
      </c>
      <c r="G2" s="13"/>
      <c r="H2" s="13"/>
      <c r="I2" s="13" t="s">
        <v>17</v>
      </c>
      <c r="J2" s="13">
        <v>20160738</v>
      </c>
      <c r="K2" s="13" t="s">
        <v>46</v>
      </c>
      <c r="L2" s="21" t="s">
        <v>37</v>
      </c>
      <c r="M2" s="14">
        <v>199900</v>
      </c>
      <c r="N2" s="12">
        <v>0.5</v>
      </c>
      <c r="O2" s="7">
        <f t="shared" ref="O2" si="0">M2-(M2*N2)</f>
        <v>99950</v>
      </c>
      <c r="P2" s="5" t="s">
        <v>16</v>
      </c>
    </row>
    <row r="3" spans="1:16" x14ac:dyDescent="0.35">
      <c r="A3" s="13" t="s">
        <v>124</v>
      </c>
      <c r="B3" s="6">
        <f>B2</f>
        <v>46108</v>
      </c>
      <c r="C3" s="6">
        <f>C2</f>
        <v>46113</v>
      </c>
      <c r="D3" s="5">
        <v>3249</v>
      </c>
      <c r="E3" s="16">
        <v>332</v>
      </c>
      <c r="F3" s="16">
        <v>3</v>
      </c>
      <c r="G3" s="13"/>
      <c r="H3" s="13"/>
      <c r="I3" s="13" t="s">
        <v>17</v>
      </c>
      <c r="J3" s="13">
        <v>20160756</v>
      </c>
      <c r="K3" s="13" t="s">
        <v>46</v>
      </c>
      <c r="L3" s="21" t="s">
        <v>38</v>
      </c>
      <c r="M3" s="14">
        <v>199900</v>
      </c>
      <c r="N3" s="12">
        <v>0.5</v>
      </c>
      <c r="O3" s="7">
        <f t="shared" ref="O3:O11" si="1">M3-(M3*N3)</f>
        <v>99950</v>
      </c>
      <c r="P3" s="5" t="s">
        <v>16</v>
      </c>
    </row>
    <row r="4" spans="1:16" x14ac:dyDescent="0.35">
      <c r="A4" s="13" t="s">
        <v>124</v>
      </c>
      <c r="B4" s="6">
        <f t="shared" ref="B4:B11" si="2">B3</f>
        <v>46108</v>
      </c>
      <c r="C4" s="6">
        <f t="shared" ref="C4:C11" si="3">C3</f>
        <v>46113</v>
      </c>
      <c r="D4" s="5">
        <v>3249</v>
      </c>
      <c r="E4" s="16">
        <v>332</v>
      </c>
      <c r="F4" s="16">
        <v>3</v>
      </c>
      <c r="G4" s="13"/>
      <c r="H4" s="13"/>
      <c r="I4" s="13" t="s">
        <v>17</v>
      </c>
      <c r="J4" s="13">
        <v>20160774</v>
      </c>
      <c r="K4" s="13" t="s">
        <v>46</v>
      </c>
      <c r="L4" s="21" t="s">
        <v>39</v>
      </c>
      <c r="M4" s="14">
        <v>199900</v>
      </c>
      <c r="N4" s="12">
        <v>0.5</v>
      </c>
      <c r="O4" s="7">
        <f t="shared" si="1"/>
        <v>99950</v>
      </c>
      <c r="P4" s="5" t="s">
        <v>16</v>
      </c>
    </row>
    <row r="5" spans="1:16" x14ac:dyDescent="0.35">
      <c r="A5" s="13" t="s">
        <v>124</v>
      </c>
      <c r="B5" s="6">
        <f t="shared" si="2"/>
        <v>46108</v>
      </c>
      <c r="C5" s="6">
        <f t="shared" si="3"/>
        <v>46113</v>
      </c>
      <c r="D5" s="5">
        <v>3249</v>
      </c>
      <c r="E5" s="16">
        <v>332</v>
      </c>
      <c r="F5" s="16">
        <v>3</v>
      </c>
      <c r="G5" s="13"/>
      <c r="H5" s="13"/>
      <c r="I5" s="13" t="s">
        <v>17</v>
      </c>
      <c r="J5" s="13">
        <v>20160783</v>
      </c>
      <c r="K5" s="13" t="s">
        <v>46</v>
      </c>
      <c r="L5" s="21" t="s">
        <v>40</v>
      </c>
      <c r="M5" s="14">
        <v>199900</v>
      </c>
      <c r="N5" s="12">
        <v>0.5</v>
      </c>
      <c r="O5" s="7">
        <f t="shared" si="1"/>
        <v>99950</v>
      </c>
      <c r="P5" s="5" t="s">
        <v>16</v>
      </c>
    </row>
    <row r="6" spans="1:16" x14ac:dyDescent="0.35">
      <c r="A6" s="13" t="s">
        <v>124</v>
      </c>
      <c r="B6" s="6">
        <f t="shared" si="2"/>
        <v>46108</v>
      </c>
      <c r="C6" s="6">
        <f t="shared" si="3"/>
        <v>46113</v>
      </c>
      <c r="D6" s="5">
        <v>3249</v>
      </c>
      <c r="E6" s="16">
        <v>332</v>
      </c>
      <c r="F6" s="16">
        <v>3</v>
      </c>
      <c r="G6" s="13"/>
      <c r="H6" s="13"/>
      <c r="I6" s="13" t="s">
        <v>17</v>
      </c>
      <c r="J6" s="13">
        <v>53744975</v>
      </c>
      <c r="K6" s="13" t="s">
        <v>46</v>
      </c>
      <c r="L6" s="21" t="s">
        <v>41</v>
      </c>
      <c r="M6" s="14">
        <v>199900</v>
      </c>
      <c r="N6" s="12">
        <v>0.5</v>
      </c>
      <c r="O6" s="7">
        <f t="shared" si="1"/>
        <v>99950</v>
      </c>
      <c r="P6" s="5" t="s">
        <v>16</v>
      </c>
    </row>
    <row r="7" spans="1:16" x14ac:dyDescent="0.35">
      <c r="A7" s="13" t="s">
        <v>124</v>
      </c>
      <c r="B7" s="6">
        <f t="shared" si="2"/>
        <v>46108</v>
      </c>
      <c r="C7" s="6">
        <f t="shared" si="3"/>
        <v>46113</v>
      </c>
      <c r="D7" s="5">
        <v>3249</v>
      </c>
      <c r="E7" s="16">
        <v>332</v>
      </c>
      <c r="F7" s="16">
        <v>3</v>
      </c>
      <c r="G7" s="13"/>
      <c r="H7" s="13"/>
      <c r="I7" s="13" t="s">
        <v>17</v>
      </c>
      <c r="J7" s="13">
        <v>53744984</v>
      </c>
      <c r="K7" s="13" t="s">
        <v>46</v>
      </c>
      <c r="L7" s="21" t="s">
        <v>42</v>
      </c>
      <c r="M7" s="14">
        <v>199900</v>
      </c>
      <c r="N7" s="12">
        <v>0.5</v>
      </c>
      <c r="O7" s="7">
        <f t="shared" si="1"/>
        <v>99950</v>
      </c>
      <c r="P7" s="5" t="s">
        <v>16</v>
      </c>
    </row>
    <row r="8" spans="1:16" x14ac:dyDescent="0.35">
      <c r="A8" s="13" t="s">
        <v>124</v>
      </c>
      <c r="B8" s="6">
        <f t="shared" si="2"/>
        <v>46108</v>
      </c>
      <c r="C8" s="6">
        <f t="shared" si="3"/>
        <v>46113</v>
      </c>
      <c r="D8" s="5">
        <v>3249</v>
      </c>
      <c r="E8" s="16">
        <v>332</v>
      </c>
      <c r="F8" s="16">
        <v>3</v>
      </c>
      <c r="G8" s="13"/>
      <c r="H8" s="13"/>
      <c r="I8" s="13" t="s">
        <v>17</v>
      </c>
      <c r="J8" s="13">
        <v>53744993</v>
      </c>
      <c r="K8" s="13" t="s">
        <v>46</v>
      </c>
      <c r="L8" s="13" t="s">
        <v>43</v>
      </c>
      <c r="M8" s="14">
        <v>199900</v>
      </c>
      <c r="N8" s="12">
        <v>0.5</v>
      </c>
      <c r="O8" s="7">
        <f t="shared" si="1"/>
        <v>99950</v>
      </c>
      <c r="P8" s="5" t="s">
        <v>16</v>
      </c>
    </row>
    <row r="9" spans="1:16" x14ac:dyDescent="0.35">
      <c r="A9" s="13" t="s">
        <v>124</v>
      </c>
      <c r="B9" s="6">
        <f t="shared" si="2"/>
        <v>46108</v>
      </c>
      <c r="C9" s="6">
        <f t="shared" si="3"/>
        <v>46113</v>
      </c>
      <c r="D9" s="5">
        <v>3249</v>
      </c>
      <c r="E9" s="16">
        <v>332</v>
      </c>
      <c r="F9" s="16">
        <v>3</v>
      </c>
      <c r="G9" s="13"/>
      <c r="H9" s="13"/>
      <c r="I9" s="13" t="s">
        <v>17</v>
      </c>
      <c r="J9" s="13">
        <v>53745009</v>
      </c>
      <c r="K9" s="13" t="s">
        <v>46</v>
      </c>
      <c r="L9" s="13" t="s">
        <v>44</v>
      </c>
      <c r="M9" s="14">
        <v>199900</v>
      </c>
      <c r="N9" s="12">
        <v>0.5</v>
      </c>
      <c r="O9" s="7">
        <f t="shared" si="1"/>
        <v>99950</v>
      </c>
      <c r="P9" s="5" t="s">
        <v>16</v>
      </c>
    </row>
    <row r="10" spans="1:16" x14ac:dyDescent="0.35">
      <c r="A10" s="13" t="s">
        <v>124</v>
      </c>
      <c r="B10" s="6">
        <f t="shared" si="2"/>
        <v>46108</v>
      </c>
      <c r="C10" s="6">
        <f t="shared" si="3"/>
        <v>46113</v>
      </c>
      <c r="D10" s="5">
        <v>3249</v>
      </c>
      <c r="E10" s="16">
        <v>332</v>
      </c>
      <c r="F10" s="16">
        <v>3</v>
      </c>
      <c r="G10" s="13"/>
      <c r="H10" s="13"/>
      <c r="I10" s="13" t="s">
        <v>17</v>
      </c>
      <c r="J10" s="13">
        <v>53745018</v>
      </c>
      <c r="K10" s="13" t="s">
        <v>46</v>
      </c>
      <c r="L10" s="13" t="s">
        <v>45</v>
      </c>
      <c r="M10" s="14">
        <v>199900</v>
      </c>
      <c r="N10" s="12">
        <v>0.5</v>
      </c>
      <c r="O10" s="7">
        <f t="shared" si="1"/>
        <v>99950</v>
      </c>
      <c r="P10" s="5" t="s">
        <v>16</v>
      </c>
    </row>
    <row r="11" spans="1:16" x14ac:dyDescent="0.35">
      <c r="A11" s="13" t="s">
        <v>124</v>
      </c>
      <c r="B11" s="6">
        <f t="shared" si="2"/>
        <v>46108</v>
      </c>
      <c r="C11" s="6">
        <f t="shared" si="3"/>
        <v>46113</v>
      </c>
      <c r="D11" s="5">
        <v>3249</v>
      </c>
      <c r="E11" s="16">
        <v>332</v>
      </c>
      <c r="F11" s="16">
        <v>3</v>
      </c>
      <c r="G11" s="13"/>
      <c r="H11" s="13"/>
      <c r="I11" s="13" t="s">
        <v>17</v>
      </c>
      <c r="J11" s="13">
        <v>20160729</v>
      </c>
      <c r="K11" s="13" t="s">
        <v>46</v>
      </c>
      <c r="L11" s="13" t="s">
        <v>123</v>
      </c>
      <c r="M11" s="20">
        <v>199900</v>
      </c>
      <c r="N11" s="12">
        <v>0.5</v>
      </c>
      <c r="O11" s="7">
        <f t="shared" si="1"/>
        <v>99950</v>
      </c>
      <c r="P11" s="5" t="s">
        <v>16</v>
      </c>
    </row>
  </sheetData>
  <autoFilter ref="A1:P1" xr:uid="{00000000-0009-0000-0000-00001A000000}"/>
  <conditionalFormatting sqref="H12:J1048576 H1:J1 H2:H11">
    <cfRule type="duplicateValues" dxfId="121" priority="3490"/>
  </conditionalFormatting>
  <conditionalFormatting sqref="J1">
    <cfRule type="duplicateValues" dxfId="120" priority="137"/>
    <cfRule type="duplicateValues" dxfId="119" priority="138"/>
    <cfRule type="duplicateValues" dxfId="118" priority="139"/>
  </conditionalFormatting>
  <conditionalFormatting sqref="J1:J1048576">
    <cfRule type="duplicateValues" dxfId="117" priority="3486"/>
    <cfRule type="duplicateValues" dxfId="116" priority="3487"/>
    <cfRule type="duplicateValues" dxfId="115" priority="3488"/>
  </conditionalFormatting>
  <conditionalFormatting sqref="J12:J1048576 J1">
    <cfRule type="duplicateValues" dxfId="114" priority="3494"/>
    <cfRule type="duplicateValues" dxfId="113" priority="3495"/>
    <cfRule type="duplicateValues" dxfId="112" priority="3496"/>
    <cfRule type="duplicateValues" dxfId="111" priority="3497"/>
    <cfRule type="duplicateValues" dxfId="110" priority="3498"/>
    <cfRule type="duplicateValues" dxfId="109" priority="3499"/>
    <cfRule type="duplicateValues" dxfId="108" priority="3500"/>
    <cfRule type="duplicateValues" dxfId="107" priority="3501"/>
    <cfRule type="duplicateValues" dxfId="106" priority="3502"/>
    <cfRule type="duplicateValues" dxfId="105" priority="3503"/>
    <cfRule type="duplicateValues" dxfId="104" priority="3504"/>
    <cfRule type="duplicateValues" dxfId="103" priority="3505"/>
    <cfRule type="duplicateValues" dxfId="102" priority="3506"/>
    <cfRule type="duplicateValues" dxfId="101" priority="3507"/>
    <cfRule type="duplicateValues" dxfId="100" priority="3508"/>
    <cfRule type="duplicateValues" dxfId="99" priority="3509"/>
    <cfRule type="duplicateValues" dxfId="98" priority="3510"/>
    <cfRule type="duplicateValues" dxfId="97" priority="3511"/>
    <cfRule type="duplicateValues" dxfId="96" priority="3512"/>
    <cfRule type="duplicateValues" dxfId="95" priority="3513"/>
    <cfRule type="duplicateValues" dxfId="94" priority="3514"/>
    <cfRule type="duplicateValues" dxfId="93" priority="3515"/>
    <cfRule type="duplicateValues" dxfId="92" priority="3516"/>
    <cfRule type="duplicateValues" dxfId="91" priority="3517"/>
    <cfRule type="duplicateValues" dxfId="90" priority="3518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C7F0-A834-4D9F-9266-156F35F2ED71}">
  <sheetPr>
    <tabColor rgb="FFFFFF00"/>
  </sheetPr>
  <dimension ref="A1:P51"/>
  <sheetViews>
    <sheetView zoomScale="58" workbookViewId="0">
      <selection activeCell="A3" sqref="A3:A51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125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1</v>
      </c>
      <c r="H2" s="25"/>
      <c r="I2" s="5" t="s">
        <v>17</v>
      </c>
      <c r="J2" s="17">
        <v>57853000</v>
      </c>
      <c r="K2" s="18" t="s">
        <v>66</v>
      </c>
      <c r="L2" s="18" t="s">
        <v>67</v>
      </c>
      <c r="M2" s="26">
        <v>199900</v>
      </c>
      <c r="N2" s="12">
        <v>0.3</v>
      </c>
      <c r="O2" s="7">
        <f t="shared" ref="O2" si="0">M2-(M2*N2)</f>
        <v>139930</v>
      </c>
      <c r="P2" s="5" t="s">
        <v>16</v>
      </c>
    </row>
    <row r="3" spans="1:16" x14ac:dyDescent="0.35">
      <c r="A3" s="5" t="s">
        <v>125</v>
      </c>
      <c r="B3" s="6">
        <f>B2</f>
        <v>46108</v>
      </c>
      <c r="C3" s="6">
        <f>C2</f>
        <v>46113</v>
      </c>
      <c r="D3" s="5">
        <v>3249</v>
      </c>
      <c r="E3" s="5">
        <v>332</v>
      </c>
      <c r="F3" s="5">
        <v>3</v>
      </c>
      <c r="G3" s="18">
        <v>1</v>
      </c>
      <c r="H3" s="25"/>
      <c r="I3" s="5" t="s">
        <v>17</v>
      </c>
      <c r="J3" s="17">
        <v>57853019</v>
      </c>
      <c r="K3" s="18" t="s">
        <v>66</v>
      </c>
      <c r="L3" s="18" t="s">
        <v>68</v>
      </c>
      <c r="M3" s="26">
        <v>199900</v>
      </c>
      <c r="N3" s="12">
        <v>0.3</v>
      </c>
      <c r="O3" s="7">
        <f t="shared" ref="O3:O51" si="1">M3-(M3*N3)</f>
        <v>139930</v>
      </c>
      <c r="P3" s="5" t="s">
        <v>16</v>
      </c>
    </row>
    <row r="4" spans="1:16" x14ac:dyDescent="0.35">
      <c r="A4" s="5" t="s">
        <v>125</v>
      </c>
      <c r="B4" s="6">
        <f t="shared" ref="B4:C19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8">
        <v>1</v>
      </c>
      <c r="H4" s="25"/>
      <c r="I4" s="5" t="s">
        <v>17</v>
      </c>
      <c r="J4" s="17">
        <v>57853028</v>
      </c>
      <c r="K4" s="18" t="s">
        <v>66</v>
      </c>
      <c r="L4" s="18" t="s">
        <v>69</v>
      </c>
      <c r="M4" s="26">
        <v>199900</v>
      </c>
      <c r="N4" s="12">
        <v>0.3</v>
      </c>
      <c r="O4" s="7">
        <f t="shared" si="1"/>
        <v>139930</v>
      </c>
      <c r="P4" s="5" t="s">
        <v>16</v>
      </c>
    </row>
    <row r="5" spans="1:16" x14ac:dyDescent="0.35">
      <c r="A5" s="5" t="s">
        <v>125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8">
        <v>1</v>
      </c>
      <c r="H5" s="25"/>
      <c r="I5" s="5" t="s">
        <v>17</v>
      </c>
      <c r="J5" s="17">
        <v>57853037</v>
      </c>
      <c r="K5" s="18" t="s">
        <v>66</v>
      </c>
      <c r="L5" s="18" t="s">
        <v>70</v>
      </c>
      <c r="M5" s="26">
        <v>199900</v>
      </c>
      <c r="N5" s="12">
        <v>0.3</v>
      </c>
      <c r="O5" s="7">
        <f t="shared" si="1"/>
        <v>139930</v>
      </c>
      <c r="P5" s="5" t="s">
        <v>16</v>
      </c>
    </row>
    <row r="6" spans="1:16" x14ac:dyDescent="0.35">
      <c r="A6" s="5" t="s">
        <v>125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18">
        <v>1</v>
      </c>
      <c r="H6" s="25"/>
      <c r="I6" s="5" t="s">
        <v>17</v>
      </c>
      <c r="J6" s="17">
        <v>57853046</v>
      </c>
      <c r="K6" s="18" t="s">
        <v>66</v>
      </c>
      <c r="L6" s="18" t="s">
        <v>71</v>
      </c>
      <c r="M6" s="26">
        <v>199900</v>
      </c>
      <c r="N6" s="12">
        <v>0.3</v>
      </c>
      <c r="O6" s="7">
        <f t="shared" si="1"/>
        <v>139930</v>
      </c>
      <c r="P6" s="5" t="s">
        <v>16</v>
      </c>
    </row>
    <row r="7" spans="1:16" x14ac:dyDescent="0.35">
      <c r="A7" s="5" t="s">
        <v>125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18">
        <v>1</v>
      </c>
      <c r="H7" s="25"/>
      <c r="I7" s="5" t="s">
        <v>17</v>
      </c>
      <c r="J7" s="17">
        <v>57852903</v>
      </c>
      <c r="K7" s="18" t="s">
        <v>72</v>
      </c>
      <c r="L7" s="18" t="s">
        <v>73</v>
      </c>
      <c r="M7" s="26">
        <v>229900</v>
      </c>
      <c r="N7" s="12">
        <v>0.3</v>
      </c>
      <c r="O7" s="7">
        <f t="shared" si="1"/>
        <v>160930</v>
      </c>
      <c r="P7" s="5" t="s">
        <v>16</v>
      </c>
    </row>
    <row r="8" spans="1:16" x14ac:dyDescent="0.35">
      <c r="A8" s="5" t="s">
        <v>125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18">
        <v>1</v>
      </c>
      <c r="H8" s="25"/>
      <c r="I8" s="5" t="s">
        <v>17</v>
      </c>
      <c r="J8" s="17">
        <v>57852912</v>
      </c>
      <c r="K8" s="18" t="s">
        <v>72</v>
      </c>
      <c r="L8" s="18" t="s">
        <v>74</v>
      </c>
      <c r="M8" s="26">
        <v>229900</v>
      </c>
      <c r="N8" s="12">
        <v>0.3</v>
      </c>
      <c r="O8" s="7">
        <f t="shared" si="1"/>
        <v>160930</v>
      </c>
      <c r="P8" s="5" t="s">
        <v>16</v>
      </c>
    </row>
    <row r="9" spans="1:16" x14ac:dyDescent="0.35">
      <c r="A9" s="5" t="s">
        <v>125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18">
        <v>1</v>
      </c>
      <c r="H9" s="25"/>
      <c r="I9" s="5" t="s">
        <v>17</v>
      </c>
      <c r="J9" s="17">
        <v>57852921</v>
      </c>
      <c r="K9" s="18" t="s">
        <v>72</v>
      </c>
      <c r="L9" s="18" t="s">
        <v>75</v>
      </c>
      <c r="M9" s="26">
        <v>229900</v>
      </c>
      <c r="N9" s="12">
        <v>0.3</v>
      </c>
      <c r="O9" s="7">
        <f t="shared" si="1"/>
        <v>160930</v>
      </c>
      <c r="P9" s="5" t="s">
        <v>16</v>
      </c>
    </row>
    <row r="10" spans="1:16" x14ac:dyDescent="0.35">
      <c r="A10" s="5" t="s">
        <v>125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18">
        <v>1</v>
      </c>
      <c r="H10" s="25"/>
      <c r="I10" s="5" t="s">
        <v>17</v>
      </c>
      <c r="J10" s="17">
        <v>57852930</v>
      </c>
      <c r="K10" s="18" t="s">
        <v>72</v>
      </c>
      <c r="L10" s="18" t="s">
        <v>76</v>
      </c>
      <c r="M10" s="26">
        <v>229900</v>
      </c>
      <c r="N10" s="12">
        <v>0.3</v>
      </c>
      <c r="O10" s="7">
        <f t="shared" si="1"/>
        <v>160930</v>
      </c>
      <c r="P10" s="5" t="s">
        <v>16</v>
      </c>
    </row>
    <row r="11" spans="1:16" x14ac:dyDescent="0.35">
      <c r="A11" s="5" t="s">
        <v>125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18">
        <v>1</v>
      </c>
      <c r="H11" s="25"/>
      <c r="I11" s="5" t="s">
        <v>17</v>
      </c>
      <c r="J11" s="17">
        <v>57852949</v>
      </c>
      <c r="K11" s="18" t="s">
        <v>72</v>
      </c>
      <c r="L11" s="18" t="s">
        <v>77</v>
      </c>
      <c r="M11" s="26">
        <v>229900</v>
      </c>
      <c r="N11" s="12">
        <v>0.3</v>
      </c>
      <c r="O11" s="7">
        <f t="shared" si="1"/>
        <v>160930</v>
      </c>
      <c r="P11" s="5" t="s">
        <v>16</v>
      </c>
    </row>
    <row r="12" spans="1:16" x14ac:dyDescent="0.35">
      <c r="A12" s="5" t="s">
        <v>125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18">
        <v>1</v>
      </c>
      <c r="H12" s="25"/>
      <c r="I12" s="5" t="s">
        <v>17</v>
      </c>
      <c r="J12" s="17">
        <v>57852958</v>
      </c>
      <c r="K12" s="18" t="s">
        <v>72</v>
      </c>
      <c r="L12" s="18" t="s">
        <v>78</v>
      </c>
      <c r="M12" s="26">
        <v>229900</v>
      </c>
      <c r="N12" s="12">
        <v>0.3</v>
      </c>
      <c r="O12" s="7">
        <f t="shared" si="1"/>
        <v>160930</v>
      </c>
      <c r="P12" s="5" t="s">
        <v>16</v>
      </c>
    </row>
    <row r="13" spans="1:16" x14ac:dyDescent="0.35">
      <c r="A13" s="5" t="s">
        <v>125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18">
        <v>1</v>
      </c>
      <c r="H13" s="25"/>
      <c r="I13" s="5" t="s">
        <v>17</v>
      </c>
      <c r="J13" s="17">
        <v>57852967</v>
      </c>
      <c r="K13" s="18" t="s">
        <v>72</v>
      </c>
      <c r="L13" s="18" t="s">
        <v>79</v>
      </c>
      <c r="M13" s="26">
        <v>229900</v>
      </c>
      <c r="N13" s="12">
        <v>0.3</v>
      </c>
      <c r="O13" s="7">
        <f t="shared" si="1"/>
        <v>160930</v>
      </c>
      <c r="P13" s="5" t="s">
        <v>16</v>
      </c>
    </row>
    <row r="14" spans="1:16" x14ac:dyDescent="0.35">
      <c r="A14" s="5" t="s">
        <v>125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18">
        <v>1</v>
      </c>
      <c r="H14" s="25"/>
      <c r="I14" s="5" t="s">
        <v>17</v>
      </c>
      <c r="J14" s="17">
        <v>57852976</v>
      </c>
      <c r="K14" s="18" t="s">
        <v>72</v>
      </c>
      <c r="L14" s="18" t="s">
        <v>80</v>
      </c>
      <c r="M14" s="26">
        <v>229900</v>
      </c>
      <c r="N14" s="12">
        <v>0.3</v>
      </c>
      <c r="O14" s="7">
        <f t="shared" si="1"/>
        <v>160930</v>
      </c>
      <c r="P14" s="5" t="s">
        <v>16</v>
      </c>
    </row>
    <row r="15" spans="1:16" x14ac:dyDescent="0.35">
      <c r="A15" s="5" t="s">
        <v>125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18">
        <v>1</v>
      </c>
      <c r="H15" s="25"/>
      <c r="I15" s="5" t="s">
        <v>17</v>
      </c>
      <c r="J15" s="17">
        <v>57852985</v>
      </c>
      <c r="K15" s="18" t="s">
        <v>72</v>
      </c>
      <c r="L15" s="18" t="s">
        <v>81</v>
      </c>
      <c r="M15" s="26">
        <v>229900</v>
      </c>
      <c r="N15" s="12">
        <v>0.3</v>
      </c>
      <c r="O15" s="7">
        <f t="shared" si="1"/>
        <v>160930</v>
      </c>
      <c r="P15" s="5" t="s">
        <v>16</v>
      </c>
    </row>
    <row r="16" spans="1:16" x14ac:dyDescent="0.35">
      <c r="A16" s="5" t="s">
        <v>125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18">
        <v>1</v>
      </c>
      <c r="H16" s="25"/>
      <c r="I16" s="5" t="s">
        <v>17</v>
      </c>
      <c r="J16" s="17">
        <v>57852994</v>
      </c>
      <c r="K16" s="18" t="s">
        <v>72</v>
      </c>
      <c r="L16" s="18" t="s">
        <v>82</v>
      </c>
      <c r="M16" s="26">
        <v>229900</v>
      </c>
      <c r="N16" s="12">
        <v>0.3</v>
      </c>
      <c r="O16" s="7">
        <f t="shared" si="1"/>
        <v>160930</v>
      </c>
      <c r="P16" s="5" t="s">
        <v>16</v>
      </c>
    </row>
    <row r="17" spans="1:16" x14ac:dyDescent="0.35">
      <c r="A17" s="5" t="s">
        <v>125</v>
      </c>
      <c r="B17" s="6">
        <f t="shared" si="2"/>
        <v>46108</v>
      </c>
      <c r="C17" s="6">
        <f t="shared" si="2"/>
        <v>46113</v>
      </c>
      <c r="D17" s="5">
        <v>3249</v>
      </c>
      <c r="E17" s="5">
        <v>332</v>
      </c>
      <c r="F17" s="5">
        <v>3</v>
      </c>
      <c r="G17" s="18">
        <v>2</v>
      </c>
      <c r="H17" s="27"/>
      <c r="I17" s="5" t="s">
        <v>17</v>
      </c>
      <c r="J17" s="18">
        <v>57853055</v>
      </c>
      <c r="K17" s="18" t="s">
        <v>83</v>
      </c>
      <c r="L17" s="18" t="s">
        <v>85</v>
      </c>
      <c r="M17" s="26">
        <v>229900</v>
      </c>
      <c r="N17" s="12">
        <v>0.3</v>
      </c>
      <c r="O17" s="7">
        <f t="shared" si="1"/>
        <v>160930</v>
      </c>
      <c r="P17" s="5" t="s">
        <v>16</v>
      </c>
    </row>
    <row r="18" spans="1:16" x14ac:dyDescent="0.35">
      <c r="A18" s="5" t="s">
        <v>125</v>
      </c>
      <c r="B18" s="6">
        <f t="shared" si="2"/>
        <v>46108</v>
      </c>
      <c r="C18" s="6">
        <f t="shared" si="2"/>
        <v>46113</v>
      </c>
      <c r="D18" s="5">
        <v>3249</v>
      </c>
      <c r="E18" s="5">
        <v>332</v>
      </c>
      <c r="F18" s="5">
        <v>3</v>
      </c>
      <c r="G18" s="18">
        <v>2</v>
      </c>
      <c r="H18" s="27"/>
      <c r="I18" s="5" t="s">
        <v>17</v>
      </c>
      <c r="J18" s="18">
        <v>57853064</v>
      </c>
      <c r="K18" s="18" t="s">
        <v>83</v>
      </c>
      <c r="L18" s="18" t="s">
        <v>86</v>
      </c>
      <c r="M18" s="26">
        <v>229900</v>
      </c>
      <c r="N18" s="12">
        <v>0.3</v>
      </c>
      <c r="O18" s="7">
        <f t="shared" si="1"/>
        <v>160930</v>
      </c>
      <c r="P18" s="5" t="s">
        <v>16</v>
      </c>
    </row>
    <row r="19" spans="1:16" x14ac:dyDescent="0.35">
      <c r="A19" s="5" t="s">
        <v>125</v>
      </c>
      <c r="B19" s="6">
        <f t="shared" si="2"/>
        <v>46108</v>
      </c>
      <c r="C19" s="6">
        <f t="shared" si="2"/>
        <v>46113</v>
      </c>
      <c r="D19" s="5">
        <v>3249</v>
      </c>
      <c r="E19" s="5">
        <v>332</v>
      </c>
      <c r="F19" s="5">
        <v>3</v>
      </c>
      <c r="G19" s="18">
        <v>2</v>
      </c>
      <c r="H19" s="27"/>
      <c r="I19" s="5" t="s">
        <v>17</v>
      </c>
      <c r="J19" s="18">
        <v>57853073</v>
      </c>
      <c r="K19" s="18" t="s">
        <v>83</v>
      </c>
      <c r="L19" s="18" t="s">
        <v>87</v>
      </c>
      <c r="M19" s="26">
        <v>229900</v>
      </c>
      <c r="N19" s="12">
        <v>0.3</v>
      </c>
      <c r="O19" s="7">
        <f t="shared" si="1"/>
        <v>160930</v>
      </c>
      <c r="P19" s="5" t="s">
        <v>16</v>
      </c>
    </row>
    <row r="20" spans="1:16" x14ac:dyDescent="0.35">
      <c r="A20" s="5" t="s">
        <v>125</v>
      </c>
      <c r="B20" s="6">
        <f t="shared" ref="B20:C35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18">
        <v>2</v>
      </c>
      <c r="H20" s="27"/>
      <c r="I20" s="5" t="s">
        <v>17</v>
      </c>
      <c r="J20" s="18">
        <v>57853082</v>
      </c>
      <c r="K20" s="18" t="s">
        <v>83</v>
      </c>
      <c r="L20" s="18" t="s">
        <v>88</v>
      </c>
      <c r="M20" s="26">
        <v>229900</v>
      </c>
      <c r="N20" s="12">
        <v>0.3</v>
      </c>
      <c r="O20" s="7">
        <f t="shared" si="1"/>
        <v>160930</v>
      </c>
      <c r="P20" s="5" t="s">
        <v>16</v>
      </c>
    </row>
    <row r="21" spans="1:16" x14ac:dyDescent="0.35">
      <c r="A21" s="5" t="s">
        <v>125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18">
        <v>2</v>
      </c>
      <c r="H21" s="27"/>
      <c r="I21" s="5" t="s">
        <v>17</v>
      </c>
      <c r="J21" s="18">
        <v>57853091</v>
      </c>
      <c r="K21" s="18" t="s">
        <v>83</v>
      </c>
      <c r="L21" s="18" t="s">
        <v>89</v>
      </c>
      <c r="M21" s="26">
        <v>229900</v>
      </c>
      <c r="N21" s="12">
        <v>0.3</v>
      </c>
      <c r="O21" s="7">
        <f t="shared" si="1"/>
        <v>160930</v>
      </c>
      <c r="P21" s="5" t="s">
        <v>16</v>
      </c>
    </row>
    <row r="22" spans="1:16" x14ac:dyDescent="0.35">
      <c r="A22" s="5" t="s">
        <v>125</v>
      </c>
      <c r="B22" s="6">
        <f t="shared" si="3"/>
        <v>46108</v>
      </c>
      <c r="C22" s="6">
        <f t="shared" si="3"/>
        <v>46113</v>
      </c>
      <c r="D22" s="5">
        <v>3249</v>
      </c>
      <c r="E22" s="5">
        <v>332</v>
      </c>
      <c r="F22" s="5">
        <v>3</v>
      </c>
      <c r="G22" s="18">
        <v>2</v>
      </c>
      <c r="H22" s="27"/>
      <c r="I22" s="5" t="s">
        <v>17</v>
      </c>
      <c r="J22" s="18">
        <v>57853108</v>
      </c>
      <c r="K22" s="18" t="s">
        <v>83</v>
      </c>
      <c r="L22" s="18" t="s">
        <v>90</v>
      </c>
      <c r="M22" s="26">
        <v>229900</v>
      </c>
      <c r="N22" s="12">
        <v>0.3</v>
      </c>
      <c r="O22" s="7">
        <f t="shared" si="1"/>
        <v>160930</v>
      </c>
      <c r="P22" s="5" t="s">
        <v>16</v>
      </c>
    </row>
    <row r="23" spans="1:16" x14ac:dyDescent="0.35">
      <c r="A23" s="5" t="s">
        <v>125</v>
      </c>
      <c r="B23" s="6">
        <f t="shared" si="3"/>
        <v>46108</v>
      </c>
      <c r="C23" s="6">
        <f t="shared" si="3"/>
        <v>46113</v>
      </c>
      <c r="D23" s="5">
        <v>3249</v>
      </c>
      <c r="E23" s="5">
        <v>332</v>
      </c>
      <c r="F23" s="5">
        <v>3</v>
      </c>
      <c r="G23" s="18">
        <v>2</v>
      </c>
      <c r="H23" s="27"/>
      <c r="I23" s="5" t="s">
        <v>17</v>
      </c>
      <c r="J23" s="18">
        <v>57853117</v>
      </c>
      <c r="K23" s="18" t="s">
        <v>83</v>
      </c>
      <c r="L23" s="18" t="s">
        <v>91</v>
      </c>
      <c r="M23" s="26">
        <v>229900</v>
      </c>
      <c r="N23" s="12">
        <v>0.3</v>
      </c>
      <c r="O23" s="7">
        <f t="shared" si="1"/>
        <v>160930</v>
      </c>
      <c r="P23" s="5" t="s">
        <v>16</v>
      </c>
    </row>
    <row r="24" spans="1:16" x14ac:dyDescent="0.35">
      <c r="A24" s="5" t="s">
        <v>125</v>
      </c>
      <c r="B24" s="6">
        <f t="shared" si="3"/>
        <v>46108</v>
      </c>
      <c r="C24" s="6">
        <f t="shared" si="3"/>
        <v>46113</v>
      </c>
      <c r="D24" s="5">
        <v>3249</v>
      </c>
      <c r="E24" s="5">
        <v>332</v>
      </c>
      <c r="F24" s="5">
        <v>3</v>
      </c>
      <c r="G24" s="18">
        <v>2</v>
      </c>
      <c r="H24" s="27"/>
      <c r="I24" s="5" t="s">
        <v>17</v>
      </c>
      <c r="J24" s="18">
        <v>57853126</v>
      </c>
      <c r="K24" s="18" t="s">
        <v>83</v>
      </c>
      <c r="L24" s="18" t="s">
        <v>92</v>
      </c>
      <c r="M24" s="26">
        <v>229900</v>
      </c>
      <c r="N24" s="12">
        <v>0.3</v>
      </c>
      <c r="O24" s="7">
        <f t="shared" si="1"/>
        <v>160930</v>
      </c>
      <c r="P24" s="5" t="s">
        <v>16</v>
      </c>
    </row>
    <row r="25" spans="1:16" x14ac:dyDescent="0.35">
      <c r="A25" s="5" t="s">
        <v>125</v>
      </c>
      <c r="B25" s="6">
        <f t="shared" si="3"/>
        <v>46108</v>
      </c>
      <c r="C25" s="6">
        <f t="shared" si="3"/>
        <v>46113</v>
      </c>
      <c r="D25" s="5">
        <v>3249</v>
      </c>
      <c r="E25" s="5">
        <v>332</v>
      </c>
      <c r="F25" s="5">
        <v>3</v>
      </c>
      <c r="G25" s="18">
        <v>2</v>
      </c>
      <c r="H25" s="27"/>
      <c r="I25" s="5" t="s">
        <v>17</v>
      </c>
      <c r="J25" s="18">
        <v>57853135</v>
      </c>
      <c r="K25" s="18" t="s">
        <v>83</v>
      </c>
      <c r="L25" s="18" t="s">
        <v>93</v>
      </c>
      <c r="M25" s="26">
        <v>229900</v>
      </c>
      <c r="N25" s="12">
        <v>0.3</v>
      </c>
      <c r="O25" s="7">
        <f t="shared" si="1"/>
        <v>160930</v>
      </c>
      <c r="P25" s="5" t="s">
        <v>16</v>
      </c>
    </row>
    <row r="26" spans="1:16" x14ac:dyDescent="0.35">
      <c r="A26" s="5" t="s">
        <v>125</v>
      </c>
      <c r="B26" s="6">
        <f t="shared" si="3"/>
        <v>46108</v>
      </c>
      <c r="C26" s="6">
        <f t="shared" si="3"/>
        <v>46113</v>
      </c>
      <c r="D26" s="5">
        <v>3249</v>
      </c>
      <c r="E26" s="5">
        <v>332</v>
      </c>
      <c r="F26" s="5">
        <v>3</v>
      </c>
      <c r="G26" s="18">
        <v>2</v>
      </c>
      <c r="H26" s="27"/>
      <c r="I26" s="5" t="s">
        <v>17</v>
      </c>
      <c r="J26" s="18">
        <v>57853144</v>
      </c>
      <c r="K26" s="18" t="s">
        <v>83</v>
      </c>
      <c r="L26" s="18" t="s">
        <v>94</v>
      </c>
      <c r="M26" s="26">
        <v>229900</v>
      </c>
      <c r="N26" s="12">
        <v>0.3</v>
      </c>
      <c r="O26" s="7">
        <f t="shared" si="1"/>
        <v>160930</v>
      </c>
      <c r="P26" s="5" t="s">
        <v>16</v>
      </c>
    </row>
    <row r="27" spans="1:16" x14ac:dyDescent="0.35">
      <c r="A27" s="5" t="s">
        <v>125</v>
      </c>
      <c r="B27" s="6">
        <f t="shared" si="3"/>
        <v>46108</v>
      </c>
      <c r="C27" s="6">
        <f t="shared" si="3"/>
        <v>46113</v>
      </c>
      <c r="D27" s="5">
        <v>3249</v>
      </c>
      <c r="E27" s="5">
        <v>332</v>
      </c>
      <c r="F27" s="5">
        <v>3</v>
      </c>
      <c r="G27" s="18">
        <v>2</v>
      </c>
      <c r="H27" s="27"/>
      <c r="I27" s="5" t="s">
        <v>17</v>
      </c>
      <c r="J27" s="18">
        <v>57853162</v>
      </c>
      <c r="K27" s="18" t="s">
        <v>84</v>
      </c>
      <c r="L27" s="18" t="s">
        <v>95</v>
      </c>
      <c r="M27" s="26">
        <v>229900</v>
      </c>
      <c r="N27" s="12">
        <v>0.3</v>
      </c>
      <c r="O27" s="7">
        <f t="shared" si="1"/>
        <v>160930</v>
      </c>
      <c r="P27" s="5" t="s">
        <v>16</v>
      </c>
    </row>
    <row r="28" spans="1:16" x14ac:dyDescent="0.35">
      <c r="A28" s="5" t="s">
        <v>125</v>
      </c>
      <c r="B28" s="6">
        <f t="shared" si="3"/>
        <v>46108</v>
      </c>
      <c r="C28" s="6">
        <f t="shared" si="3"/>
        <v>46113</v>
      </c>
      <c r="D28" s="5">
        <v>3249</v>
      </c>
      <c r="E28" s="5">
        <v>332</v>
      </c>
      <c r="F28" s="5">
        <v>3</v>
      </c>
      <c r="G28" s="18">
        <v>2</v>
      </c>
      <c r="H28" s="27"/>
      <c r="I28" s="5" t="s">
        <v>17</v>
      </c>
      <c r="J28" s="18">
        <v>57853199</v>
      </c>
      <c r="K28" s="18" t="s">
        <v>84</v>
      </c>
      <c r="L28" s="18" t="s">
        <v>96</v>
      </c>
      <c r="M28" s="26">
        <v>229900</v>
      </c>
      <c r="N28" s="12">
        <v>0.3</v>
      </c>
      <c r="O28" s="7">
        <f t="shared" si="1"/>
        <v>160930</v>
      </c>
      <c r="P28" s="5" t="s">
        <v>16</v>
      </c>
    </row>
    <row r="29" spans="1:16" x14ac:dyDescent="0.35">
      <c r="A29" s="5" t="s">
        <v>125</v>
      </c>
      <c r="B29" s="6">
        <f t="shared" si="3"/>
        <v>46108</v>
      </c>
      <c r="C29" s="6">
        <f t="shared" si="3"/>
        <v>46113</v>
      </c>
      <c r="D29" s="5">
        <v>3249</v>
      </c>
      <c r="E29" s="5">
        <v>332</v>
      </c>
      <c r="F29" s="5">
        <v>3</v>
      </c>
      <c r="G29" s="18">
        <v>2</v>
      </c>
      <c r="H29" s="27"/>
      <c r="I29" s="5" t="s">
        <v>17</v>
      </c>
      <c r="J29" s="18">
        <v>57853153</v>
      </c>
      <c r="K29" s="18" t="s">
        <v>84</v>
      </c>
      <c r="L29" s="18" t="s">
        <v>97</v>
      </c>
      <c r="M29" s="26">
        <v>229900</v>
      </c>
      <c r="N29" s="12">
        <v>0.3</v>
      </c>
      <c r="O29" s="7">
        <f t="shared" si="1"/>
        <v>160930</v>
      </c>
      <c r="P29" s="5" t="s">
        <v>16</v>
      </c>
    </row>
    <row r="30" spans="1:16" x14ac:dyDescent="0.35">
      <c r="A30" s="5" t="s">
        <v>125</v>
      </c>
      <c r="B30" s="6">
        <f t="shared" si="3"/>
        <v>46108</v>
      </c>
      <c r="C30" s="6">
        <f t="shared" si="3"/>
        <v>46113</v>
      </c>
      <c r="D30" s="5">
        <v>3249</v>
      </c>
      <c r="E30" s="5">
        <v>332</v>
      </c>
      <c r="F30" s="5">
        <v>3</v>
      </c>
      <c r="G30" s="18">
        <v>2</v>
      </c>
      <c r="H30" s="27"/>
      <c r="I30" s="5" t="s">
        <v>17</v>
      </c>
      <c r="J30" s="18">
        <v>57853171</v>
      </c>
      <c r="K30" s="18" t="s">
        <v>84</v>
      </c>
      <c r="L30" s="18" t="s">
        <v>98</v>
      </c>
      <c r="M30" s="26">
        <v>229900</v>
      </c>
      <c r="N30" s="12">
        <v>0.3</v>
      </c>
      <c r="O30" s="7">
        <f t="shared" si="1"/>
        <v>160930</v>
      </c>
      <c r="P30" s="5" t="s">
        <v>16</v>
      </c>
    </row>
    <row r="31" spans="1:16" x14ac:dyDescent="0.35">
      <c r="A31" s="5" t="s">
        <v>125</v>
      </c>
      <c r="B31" s="6">
        <f t="shared" si="3"/>
        <v>46108</v>
      </c>
      <c r="C31" s="6">
        <f t="shared" si="3"/>
        <v>46113</v>
      </c>
      <c r="D31" s="5">
        <v>3249</v>
      </c>
      <c r="E31" s="5">
        <v>332</v>
      </c>
      <c r="F31" s="5">
        <v>3</v>
      </c>
      <c r="G31" s="18">
        <v>2</v>
      </c>
      <c r="H31" s="27"/>
      <c r="I31" s="5" t="s">
        <v>17</v>
      </c>
      <c r="J31" s="18">
        <v>57853180</v>
      </c>
      <c r="K31" s="18" t="s">
        <v>84</v>
      </c>
      <c r="L31" s="18" t="s">
        <v>99</v>
      </c>
      <c r="M31" s="26">
        <v>229900</v>
      </c>
      <c r="N31" s="12">
        <v>0.3</v>
      </c>
      <c r="O31" s="7">
        <f t="shared" si="1"/>
        <v>160930</v>
      </c>
      <c r="P31" s="5" t="s">
        <v>16</v>
      </c>
    </row>
    <row r="32" spans="1:16" x14ac:dyDescent="0.35">
      <c r="A32" s="5" t="s">
        <v>125</v>
      </c>
      <c r="B32" s="6">
        <f t="shared" si="3"/>
        <v>46108</v>
      </c>
      <c r="C32" s="6">
        <f t="shared" si="3"/>
        <v>46113</v>
      </c>
      <c r="D32" s="5">
        <v>3249</v>
      </c>
      <c r="E32" s="5">
        <v>332</v>
      </c>
      <c r="F32" s="5">
        <v>3</v>
      </c>
      <c r="G32" s="18"/>
      <c r="H32" s="27"/>
      <c r="I32" s="5" t="s">
        <v>17</v>
      </c>
      <c r="J32" s="18">
        <v>57853206</v>
      </c>
      <c r="K32" s="18" t="s">
        <v>66</v>
      </c>
      <c r="L32" s="18" t="s">
        <v>100</v>
      </c>
      <c r="M32" s="26">
        <v>199900</v>
      </c>
      <c r="N32" s="12">
        <v>0.3</v>
      </c>
      <c r="O32" s="7">
        <f t="shared" si="1"/>
        <v>139930</v>
      </c>
      <c r="P32" s="5" t="s">
        <v>16</v>
      </c>
    </row>
    <row r="33" spans="1:16" x14ac:dyDescent="0.35">
      <c r="A33" s="5" t="s">
        <v>125</v>
      </c>
      <c r="B33" s="6">
        <f t="shared" si="3"/>
        <v>46108</v>
      </c>
      <c r="C33" s="6">
        <f t="shared" si="3"/>
        <v>46113</v>
      </c>
      <c r="D33" s="5">
        <v>3249</v>
      </c>
      <c r="E33" s="5">
        <v>332</v>
      </c>
      <c r="F33" s="5">
        <v>3</v>
      </c>
      <c r="G33" s="18"/>
      <c r="H33" s="27"/>
      <c r="I33" s="5" t="s">
        <v>17</v>
      </c>
      <c r="J33" s="18">
        <v>57853215</v>
      </c>
      <c r="K33" s="18" t="s">
        <v>66</v>
      </c>
      <c r="L33" s="18" t="s">
        <v>101</v>
      </c>
      <c r="M33" s="26">
        <v>199900</v>
      </c>
      <c r="N33" s="12">
        <v>0.3</v>
      </c>
      <c r="O33" s="7">
        <f t="shared" si="1"/>
        <v>139930</v>
      </c>
      <c r="P33" s="5" t="s">
        <v>16</v>
      </c>
    </row>
    <row r="34" spans="1:16" x14ac:dyDescent="0.35">
      <c r="A34" s="5" t="s">
        <v>125</v>
      </c>
      <c r="B34" s="6">
        <f t="shared" si="3"/>
        <v>46108</v>
      </c>
      <c r="C34" s="6">
        <f t="shared" si="3"/>
        <v>46113</v>
      </c>
      <c r="D34" s="5">
        <v>3249</v>
      </c>
      <c r="E34" s="5">
        <v>332</v>
      </c>
      <c r="F34" s="5">
        <v>3</v>
      </c>
      <c r="G34" s="18"/>
      <c r="H34" s="27"/>
      <c r="I34" s="5" t="s">
        <v>17</v>
      </c>
      <c r="J34" s="18">
        <v>57853224</v>
      </c>
      <c r="K34" s="18" t="s">
        <v>66</v>
      </c>
      <c r="L34" s="18" t="s">
        <v>102</v>
      </c>
      <c r="M34" s="26">
        <v>199900</v>
      </c>
      <c r="N34" s="12">
        <v>0.3</v>
      </c>
      <c r="O34" s="7">
        <f t="shared" si="1"/>
        <v>139930</v>
      </c>
      <c r="P34" s="5" t="s">
        <v>16</v>
      </c>
    </row>
    <row r="35" spans="1:16" x14ac:dyDescent="0.35">
      <c r="A35" s="5" t="s">
        <v>125</v>
      </c>
      <c r="B35" s="6">
        <f t="shared" si="3"/>
        <v>46108</v>
      </c>
      <c r="C35" s="6">
        <f t="shared" si="3"/>
        <v>46113</v>
      </c>
      <c r="D35" s="5">
        <v>3249</v>
      </c>
      <c r="E35" s="5">
        <v>332</v>
      </c>
      <c r="F35" s="5">
        <v>3</v>
      </c>
      <c r="G35" s="18"/>
      <c r="H35" s="27"/>
      <c r="I35" s="5" t="s">
        <v>17</v>
      </c>
      <c r="J35" s="18">
        <v>57853233</v>
      </c>
      <c r="K35" s="18" t="s">
        <v>66</v>
      </c>
      <c r="L35" s="18" t="s">
        <v>103</v>
      </c>
      <c r="M35" s="26">
        <v>199900</v>
      </c>
      <c r="N35" s="12">
        <v>0.3</v>
      </c>
      <c r="O35" s="7">
        <f t="shared" si="1"/>
        <v>139930</v>
      </c>
      <c r="P35" s="5" t="s">
        <v>16</v>
      </c>
    </row>
    <row r="36" spans="1:16" x14ac:dyDescent="0.35">
      <c r="A36" s="5" t="s">
        <v>125</v>
      </c>
      <c r="B36" s="6">
        <f t="shared" ref="B36:C51" si="4">B35</f>
        <v>46108</v>
      </c>
      <c r="C36" s="6">
        <f t="shared" si="4"/>
        <v>46113</v>
      </c>
      <c r="D36" s="5">
        <v>3249</v>
      </c>
      <c r="E36" s="5">
        <v>332</v>
      </c>
      <c r="F36" s="5">
        <v>3</v>
      </c>
      <c r="G36" s="18"/>
      <c r="H36" s="27"/>
      <c r="I36" s="5" t="s">
        <v>17</v>
      </c>
      <c r="J36" s="18">
        <v>57853242</v>
      </c>
      <c r="K36" s="18" t="s">
        <v>66</v>
      </c>
      <c r="L36" s="18" t="s">
        <v>104</v>
      </c>
      <c r="M36" s="26">
        <v>199900</v>
      </c>
      <c r="N36" s="12">
        <v>0.3</v>
      </c>
      <c r="O36" s="7">
        <f t="shared" si="1"/>
        <v>139930</v>
      </c>
      <c r="P36" s="5" t="s">
        <v>16</v>
      </c>
    </row>
    <row r="37" spans="1:16" x14ac:dyDescent="0.35">
      <c r="A37" s="5" t="s">
        <v>125</v>
      </c>
      <c r="B37" s="6">
        <f t="shared" si="4"/>
        <v>46108</v>
      </c>
      <c r="C37" s="6">
        <f t="shared" si="4"/>
        <v>46113</v>
      </c>
      <c r="D37" s="5">
        <v>3249</v>
      </c>
      <c r="E37" s="5">
        <v>332</v>
      </c>
      <c r="F37" s="5">
        <v>3</v>
      </c>
      <c r="G37" s="18"/>
      <c r="H37" s="27"/>
      <c r="I37" s="5" t="s">
        <v>17</v>
      </c>
      <c r="J37" s="18">
        <v>57853251</v>
      </c>
      <c r="K37" s="18" t="s">
        <v>66</v>
      </c>
      <c r="L37" s="18" t="s">
        <v>105</v>
      </c>
      <c r="M37" s="26">
        <v>199900</v>
      </c>
      <c r="N37" s="12">
        <v>0.3</v>
      </c>
      <c r="O37" s="7">
        <f t="shared" si="1"/>
        <v>139930</v>
      </c>
      <c r="P37" s="5" t="s">
        <v>16</v>
      </c>
    </row>
    <row r="38" spans="1:16" x14ac:dyDescent="0.35">
      <c r="A38" s="5" t="s">
        <v>125</v>
      </c>
      <c r="B38" s="6">
        <f t="shared" si="4"/>
        <v>46108</v>
      </c>
      <c r="C38" s="6">
        <f t="shared" si="4"/>
        <v>46113</v>
      </c>
      <c r="D38" s="5">
        <v>3249</v>
      </c>
      <c r="E38" s="5">
        <v>332</v>
      </c>
      <c r="F38" s="5">
        <v>3</v>
      </c>
      <c r="G38" s="18"/>
      <c r="H38" s="27"/>
      <c r="I38" s="5" t="s">
        <v>17</v>
      </c>
      <c r="J38" s="18">
        <v>57853260</v>
      </c>
      <c r="K38" s="18" t="s">
        <v>66</v>
      </c>
      <c r="L38" s="18" t="s">
        <v>106</v>
      </c>
      <c r="M38" s="26">
        <v>199900</v>
      </c>
      <c r="N38" s="12">
        <v>0.3</v>
      </c>
      <c r="O38" s="7">
        <f t="shared" si="1"/>
        <v>139930</v>
      </c>
      <c r="P38" s="5" t="s">
        <v>16</v>
      </c>
    </row>
    <row r="39" spans="1:16" x14ac:dyDescent="0.35">
      <c r="A39" s="5" t="s">
        <v>125</v>
      </c>
      <c r="B39" s="6">
        <f t="shared" si="4"/>
        <v>46108</v>
      </c>
      <c r="C39" s="6">
        <f t="shared" si="4"/>
        <v>46113</v>
      </c>
      <c r="D39" s="5">
        <v>3249</v>
      </c>
      <c r="E39" s="5">
        <v>332</v>
      </c>
      <c r="F39" s="5">
        <v>3</v>
      </c>
      <c r="G39" s="18"/>
      <c r="H39" s="27"/>
      <c r="I39" s="5" t="s">
        <v>17</v>
      </c>
      <c r="J39" s="18">
        <v>57853279</v>
      </c>
      <c r="K39" s="18" t="s">
        <v>66</v>
      </c>
      <c r="L39" s="18" t="s">
        <v>107</v>
      </c>
      <c r="M39" s="26">
        <v>199900</v>
      </c>
      <c r="N39" s="12">
        <v>0.3</v>
      </c>
      <c r="O39" s="7">
        <f t="shared" si="1"/>
        <v>139930</v>
      </c>
      <c r="P39" s="5" t="s">
        <v>16</v>
      </c>
    </row>
    <row r="40" spans="1:16" x14ac:dyDescent="0.35">
      <c r="A40" s="5" t="s">
        <v>125</v>
      </c>
      <c r="B40" s="6">
        <f t="shared" si="4"/>
        <v>46108</v>
      </c>
      <c r="C40" s="6">
        <f t="shared" si="4"/>
        <v>46113</v>
      </c>
      <c r="D40" s="5">
        <v>3249</v>
      </c>
      <c r="E40" s="5">
        <v>332</v>
      </c>
      <c r="F40" s="5">
        <v>3</v>
      </c>
      <c r="G40" s="18"/>
      <c r="H40" s="27"/>
      <c r="I40" s="5" t="s">
        <v>17</v>
      </c>
      <c r="J40" s="18">
        <v>57853288</v>
      </c>
      <c r="K40" s="18" t="s">
        <v>66</v>
      </c>
      <c r="L40" s="18" t="s">
        <v>108</v>
      </c>
      <c r="M40" s="26">
        <v>199900</v>
      </c>
      <c r="N40" s="12">
        <v>0.3</v>
      </c>
      <c r="O40" s="7">
        <f t="shared" si="1"/>
        <v>139930</v>
      </c>
      <c r="P40" s="5" t="s">
        <v>16</v>
      </c>
    </row>
    <row r="41" spans="1:16" x14ac:dyDescent="0.35">
      <c r="A41" s="5" t="s">
        <v>125</v>
      </c>
      <c r="B41" s="6">
        <f t="shared" si="4"/>
        <v>46108</v>
      </c>
      <c r="C41" s="6">
        <f t="shared" si="4"/>
        <v>46113</v>
      </c>
      <c r="D41" s="5">
        <v>3249</v>
      </c>
      <c r="E41" s="5">
        <v>332</v>
      </c>
      <c r="F41" s="5">
        <v>3</v>
      </c>
      <c r="G41" s="18"/>
      <c r="H41" s="27"/>
      <c r="I41" s="5" t="s">
        <v>17</v>
      </c>
      <c r="J41" s="18">
        <v>57853297</v>
      </c>
      <c r="K41" s="18" t="s">
        <v>66</v>
      </c>
      <c r="L41" s="18" t="s">
        <v>109</v>
      </c>
      <c r="M41" s="26">
        <v>199900</v>
      </c>
      <c r="N41" s="12">
        <v>0.3</v>
      </c>
      <c r="O41" s="7">
        <f t="shared" si="1"/>
        <v>139930</v>
      </c>
      <c r="P41" s="5" t="s">
        <v>16</v>
      </c>
    </row>
    <row r="42" spans="1:16" x14ac:dyDescent="0.35">
      <c r="A42" s="5" t="s">
        <v>125</v>
      </c>
      <c r="B42" s="6">
        <f t="shared" si="4"/>
        <v>46108</v>
      </c>
      <c r="C42" s="6">
        <f t="shared" si="4"/>
        <v>46113</v>
      </c>
      <c r="D42" s="5">
        <v>3249</v>
      </c>
      <c r="E42" s="5">
        <v>332</v>
      </c>
      <c r="F42" s="5">
        <v>3</v>
      </c>
      <c r="G42" s="18"/>
      <c r="H42" s="27"/>
      <c r="I42" s="5" t="s">
        <v>17</v>
      </c>
      <c r="J42" s="18">
        <v>61941639</v>
      </c>
      <c r="K42" s="18" t="s">
        <v>110</v>
      </c>
      <c r="L42" s="18" t="s">
        <v>111</v>
      </c>
      <c r="M42" s="26">
        <v>229900</v>
      </c>
      <c r="N42" s="12">
        <v>0.3</v>
      </c>
      <c r="O42" s="7">
        <f t="shared" si="1"/>
        <v>160930</v>
      </c>
      <c r="P42" s="5" t="s">
        <v>16</v>
      </c>
    </row>
    <row r="43" spans="1:16" x14ac:dyDescent="0.35">
      <c r="A43" s="5" t="s">
        <v>125</v>
      </c>
      <c r="B43" s="6">
        <f t="shared" si="4"/>
        <v>46108</v>
      </c>
      <c r="C43" s="6">
        <f t="shared" si="4"/>
        <v>46113</v>
      </c>
      <c r="D43" s="5">
        <v>3249</v>
      </c>
      <c r="E43" s="5">
        <v>332</v>
      </c>
      <c r="F43" s="5">
        <v>3</v>
      </c>
      <c r="G43" s="18"/>
      <c r="H43" s="27"/>
      <c r="I43" s="5" t="s">
        <v>17</v>
      </c>
      <c r="J43" s="18">
        <v>61941648</v>
      </c>
      <c r="K43" s="18" t="s">
        <v>110</v>
      </c>
      <c r="L43" s="18" t="s">
        <v>112</v>
      </c>
      <c r="M43" s="26">
        <v>229900</v>
      </c>
      <c r="N43" s="12">
        <v>0.3</v>
      </c>
      <c r="O43" s="7">
        <f t="shared" si="1"/>
        <v>160930</v>
      </c>
      <c r="P43" s="5" t="s">
        <v>16</v>
      </c>
    </row>
    <row r="44" spans="1:16" x14ac:dyDescent="0.35">
      <c r="A44" s="5" t="s">
        <v>125</v>
      </c>
      <c r="B44" s="6">
        <f t="shared" si="4"/>
        <v>46108</v>
      </c>
      <c r="C44" s="6">
        <f t="shared" si="4"/>
        <v>46113</v>
      </c>
      <c r="D44" s="5">
        <v>3249</v>
      </c>
      <c r="E44" s="5">
        <v>332</v>
      </c>
      <c r="F44" s="5">
        <v>3</v>
      </c>
      <c r="G44" s="18"/>
      <c r="H44" s="27"/>
      <c r="I44" s="5" t="s">
        <v>17</v>
      </c>
      <c r="J44" s="18">
        <v>61941657</v>
      </c>
      <c r="K44" s="18" t="s">
        <v>110</v>
      </c>
      <c r="L44" s="18" t="s">
        <v>113</v>
      </c>
      <c r="M44" s="26">
        <v>229900</v>
      </c>
      <c r="N44" s="12">
        <v>0.3</v>
      </c>
      <c r="O44" s="7">
        <f t="shared" si="1"/>
        <v>160930</v>
      </c>
      <c r="P44" s="5" t="s">
        <v>16</v>
      </c>
    </row>
    <row r="45" spans="1:16" x14ac:dyDescent="0.35">
      <c r="A45" s="5" t="s">
        <v>125</v>
      </c>
      <c r="B45" s="6">
        <f t="shared" si="4"/>
        <v>46108</v>
      </c>
      <c r="C45" s="6">
        <f t="shared" si="4"/>
        <v>46113</v>
      </c>
      <c r="D45" s="5">
        <v>3249</v>
      </c>
      <c r="E45" s="5">
        <v>332</v>
      </c>
      <c r="F45" s="5">
        <v>3</v>
      </c>
      <c r="G45" s="18"/>
      <c r="H45" s="27"/>
      <c r="I45" s="5" t="s">
        <v>17</v>
      </c>
      <c r="J45" s="18">
        <v>61941666</v>
      </c>
      <c r="K45" s="18" t="s">
        <v>110</v>
      </c>
      <c r="L45" s="18" t="s">
        <v>114</v>
      </c>
      <c r="M45" s="26">
        <v>229900</v>
      </c>
      <c r="N45" s="12">
        <v>0.3</v>
      </c>
      <c r="O45" s="7">
        <f t="shared" si="1"/>
        <v>160930</v>
      </c>
      <c r="P45" s="5" t="s">
        <v>16</v>
      </c>
    </row>
    <row r="46" spans="1:16" x14ac:dyDescent="0.35">
      <c r="A46" s="5" t="s">
        <v>125</v>
      </c>
      <c r="B46" s="6">
        <f t="shared" si="4"/>
        <v>46108</v>
      </c>
      <c r="C46" s="6">
        <f t="shared" si="4"/>
        <v>46113</v>
      </c>
      <c r="D46" s="5">
        <v>3249</v>
      </c>
      <c r="E46" s="5">
        <v>332</v>
      </c>
      <c r="F46" s="5">
        <v>3</v>
      </c>
      <c r="G46" s="18"/>
      <c r="H46" s="27"/>
      <c r="I46" s="5" t="s">
        <v>17</v>
      </c>
      <c r="J46" s="18">
        <v>61941675</v>
      </c>
      <c r="K46" s="18" t="s">
        <v>110</v>
      </c>
      <c r="L46" s="18" t="s">
        <v>115</v>
      </c>
      <c r="M46" s="26">
        <v>229900</v>
      </c>
      <c r="N46" s="12">
        <v>0.3</v>
      </c>
      <c r="O46" s="7">
        <f t="shared" si="1"/>
        <v>160930</v>
      </c>
      <c r="P46" s="5" t="s">
        <v>16</v>
      </c>
    </row>
    <row r="47" spans="1:16" x14ac:dyDescent="0.35">
      <c r="A47" s="5" t="s">
        <v>125</v>
      </c>
      <c r="B47" s="6">
        <f t="shared" si="4"/>
        <v>46108</v>
      </c>
      <c r="C47" s="6">
        <f t="shared" si="4"/>
        <v>46113</v>
      </c>
      <c r="D47" s="5">
        <v>3249</v>
      </c>
      <c r="E47" s="5">
        <v>332</v>
      </c>
      <c r="F47" s="5">
        <v>3</v>
      </c>
      <c r="G47" s="18"/>
      <c r="H47" s="27"/>
      <c r="I47" s="5" t="s">
        <v>17</v>
      </c>
      <c r="J47" s="18">
        <v>57854698</v>
      </c>
      <c r="K47" s="18" t="s">
        <v>116</v>
      </c>
      <c r="L47" s="18" t="s">
        <v>117</v>
      </c>
      <c r="M47" s="26">
        <v>229900</v>
      </c>
      <c r="N47" s="12">
        <v>0.3</v>
      </c>
      <c r="O47" s="7">
        <f t="shared" si="1"/>
        <v>160930</v>
      </c>
      <c r="P47" s="5" t="s">
        <v>16</v>
      </c>
    </row>
    <row r="48" spans="1:16" x14ac:dyDescent="0.35">
      <c r="A48" s="5" t="s">
        <v>125</v>
      </c>
      <c r="B48" s="6">
        <f t="shared" si="4"/>
        <v>46108</v>
      </c>
      <c r="C48" s="6">
        <f t="shared" si="4"/>
        <v>46113</v>
      </c>
      <c r="D48" s="5">
        <v>3249</v>
      </c>
      <c r="E48" s="5">
        <v>332</v>
      </c>
      <c r="F48" s="5">
        <v>3</v>
      </c>
      <c r="G48" s="18"/>
      <c r="H48" s="27"/>
      <c r="I48" s="5" t="s">
        <v>17</v>
      </c>
      <c r="J48" s="18">
        <v>57854705</v>
      </c>
      <c r="K48" s="18" t="s">
        <v>116</v>
      </c>
      <c r="L48" s="18" t="s">
        <v>118</v>
      </c>
      <c r="M48" s="26">
        <v>229900</v>
      </c>
      <c r="N48" s="12">
        <v>0.3</v>
      </c>
      <c r="O48" s="7">
        <f t="shared" si="1"/>
        <v>160930</v>
      </c>
      <c r="P48" s="5" t="s">
        <v>16</v>
      </c>
    </row>
    <row r="49" spans="1:16" x14ac:dyDescent="0.35">
      <c r="A49" s="5" t="s">
        <v>125</v>
      </c>
      <c r="B49" s="6">
        <f t="shared" si="4"/>
        <v>46108</v>
      </c>
      <c r="C49" s="6">
        <f t="shared" si="4"/>
        <v>46113</v>
      </c>
      <c r="D49" s="5">
        <v>3249</v>
      </c>
      <c r="E49" s="5">
        <v>332</v>
      </c>
      <c r="F49" s="5">
        <v>3</v>
      </c>
      <c r="G49" s="18"/>
      <c r="H49" s="27"/>
      <c r="I49" s="5" t="s">
        <v>17</v>
      </c>
      <c r="J49" s="18">
        <v>57854714</v>
      </c>
      <c r="K49" s="18" t="s">
        <v>116</v>
      </c>
      <c r="L49" s="18" t="s">
        <v>119</v>
      </c>
      <c r="M49" s="26">
        <v>229900</v>
      </c>
      <c r="N49" s="12">
        <v>0.3</v>
      </c>
      <c r="O49" s="7">
        <f t="shared" si="1"/>
        <v>160930</v>
      </c>
      <c r="P49" s="5" t="s">
        <v>16</v>
      </c>
    </row>
    <row r="50" spans="1:16" x14ac:dyDescent="0.35">
      <c r="A50" s="5" t="s">
        <v>125</v>
      </c>
      <c r="B50" s="6">
        <f t="shared" si="4"/>
        <v>46108</v>
      </c>
      <c r="C50" s="6">
        <f t="shared" si="4"/>
        <v>46113</v>
      </c>
      <c r="D50" s="5">
        <v>3249</v>
      </c>
      <c r="E50" s="5">
        <v>332</v>
      </c>
      <c r="F50" s="5">
        <v>3</v>
      </c>
      <c r="G50" s="18"/>
      <c r="H50" s="27"/>
      <c r="I50" s="5" t="s">
        <v>17</v>
      </c>
      <c r="J50" s="18">
        <v>57854723</v>
      </c>
      <c r="K50" s="18" t="s">
        <v>116</v>
      </c>
      <c r="L50" s="18" t="s">
        <v>120</v>
      </c>
      <c r="M50" s="26">
        <v>229900</v>
      </c>
      <c r="N50" s="12">
        <v>0.3</v>
      </c>
      <c r="O50" s="7">
        <f t="shared" si="1"/>
        <v>160930</v>
      </c>
      <c r="P50" s="5" t="s">
        <v>16</v>
      </c>
    </row>
    <row r="51" spans="1:16" x14ac:dyDescent="0.35">
      <c r="A51" s="5" t="s">
        <v>125</v>
      </c>
      <c r="B51" s="6">
        <f t="shared" si="4"/>
        <v>46108</v>
      </c>
      <c r="C51" s="6">
        <f t="shared" si="4"/>
        <v>46113</v>
      </c>
      <c r="D51" s="5">
        <v>3249</v>
      </c>
      <c r="E51" s="5">
        <v>332</v>
      </c>
      <c r="F51" s="5">
        <v>3</v>
      </c>
      <c r="G51" s="18"/>
      <c r="H51" s="27"/>
      <c r="I51" s="5" t="s">
        <v>17</v>
      </c>
      <c r="J51" s="18">
        <v>57854732</v>
      </c>
      <c r="K51" s="18" t="s">
        <v>116</v>
      </c>
      <c r="L51" s="18" t="s">
        <v>121</v>
      </c>
      <c r="M51" s="26">
        <v>229900</v>
      </c>
      <c r="N51" s="12">
        <v>0.3</v>
      </c>
      <c r="O51" s="7">
        <f t="shared" si="1"/>
        <v>160930</v>
      </c>
      <c r="P51" s="5" t="s">
        <v>16</v>
      </c>
    </row>
  </sheetData>
  <autoFilter ref="A1:P1" xr:uid="{00000000-0009-0000-0000-000013000000}"/>
  <conditionalFormatting sqref="J1"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  <cfRule type="duplicateValues" dxfId="83" priority="11"/>
    <cfRule type="duplicateValues" dxfId="82" priority="12"/>
  </conditionalFormatting>
  <conditionalFormatting sqref="J1:J16">
    <cfRule type="duplicateValues" dxfId="81" priority="13"/>
    <cfRule type="duplicateValues" dxfId="80" priority="14"/>
    <cfRule type="duplicateValues" dxfId="79" priority="15"/>
    <cfRule type="duplicateValues" dxfId="78" priority="16"/>
    <cfRule type="duplicateValues" dxfId="77" priority="17"/>
  </conditionalFormatting>
  <conditionalFormatting sqref="J1:J1048576">
    <cfRule type="duplicateValues" dxfId="76" priority="1"/>
    <cfRule type="duplicateValues" dxfId="75" priority="2"/>
    <cfRule type="duplicateValues" dxfId="74" priority="3"/>
    <cfRule type="duplicateValues" dxfId="73" priority="4"/>
    <cfRule type="duplicateValues" dxfId="72" priority="18"/>
    <cfRule type="duplicateValues" dxfId="71" priority="19"/>
    <cfRule type="duplicateValues" dxfId="70" priority="20"/>
    <cfRule type="duplicateValues" dxfId="69" priority="21"/>
    <cfRule type="duplicateValues" dxfId="68" priority="22"/>
    <cfRule type="duplicateValues" dxfId="67" priority="23"/>
    <cfRule type="duplicateValues" dxfId="66" priority="24"/>
    <cfRule type="duplicateValues" dxfId="65" priority="25"/>
    <cfRule type="duplicateValues" dxfId="64" priority="26"/>
    <cfRule type="duplicateValues" dxfId="63" priority="27"/>
    <cfRule type="duplicateValues" dxfId="62" priority="28"/>
  </conditionalFormatting>
  <conditionalFormatting sqref="J17:J1048576">
    <cfRule type="duplicateValues" dxfId="61" priority="29"/>
    <cfRule type="duplicateValues" dxfId="60" priority="30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61D3-C51E-4A0D-B204-4601995E608E}">
  <sheetPr>
    <tabColor rgb="FFFFFF00"/>
  </sheetPr>
  <dimension ref="A1:P21"/>
  <sheetViews>
    <sheetView zoomScale="70" workbookViewId="0">
      <selection activeCell="K25" sqref="K25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126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3</v>
      </c>
      <c r="H2" s="25"/>
      <c r="I2" s="5" t="s">
        <v>17</v>
      </c>
      <c r="J2" s="30">
        <v>51198113</v>
      </c>
      <c r="K2" s="31" t="s">
        <v>18</v>
      </c>
      <c r="L2" s="31" t="s">
        <v>25</v>
      </c>
      <c r="M2" s="26">
        <v>249900</v>
      </c>
      <c r="N2" s="12">
        <v>0.3</v>
      </c>
      <c r="O2" s="7">
        <f t="shared" ref="O2" si="0">M2-(M2*N2)</f>
        <v>174930</v>
      </c>
      <c r="P2" s="5" t="s">
        <v>16</v>
      </c>
    </row>
    <row r="3" spans="1:16" x14ac:dyDescent="0.35">
      <c r="A3" s="5" t="s">
        <v>126</v>
      </c>
      <c r="B3" s="6">
        <f>B2</f>
        <v>46108</v>
      </c>
      <c r="C3" s="6">
        <f>C2</f>
        <v>46113</v>
      </c>
      <c r="D3" s="5">
        <v>3249</v>
      </c>
      <c r="E3" s="5">
        <v>332</v>
      </c>
      <c r="F3" s="5">
        <v>3</v>
      </c>
      <c r="G3" s="18">
        <v>3</v>
      </c>
      <c r="H3" s="25"/>
      <c r="I3" s="5" t="s">
        <v>17</v>
      </c>
      <c r="J3" s="30">
        <v>51198131</v>
      </c>
      <c r="K3" s="31" t="s">
        <v>18</v>
      </c>
      <c r="L3" s="31" t="s">
        <v>49</v>
      </c>
      <c r="M3" s="26">
        <v>249900</v>
      </c>
      <c r="N3" s="12">
        <v>0.3</v>
      </c>
      <c r="O3" s="7">
        <f t="shared" ref="O3:O21" si="1">M3-(M3*N3)</f>
        <v>174930</v>
      </c>
      <c r="P3" s="5" t="s">
        <v>16</v>
      </c>
    </row>
    <row r="4" spans="1:16" x14ac:dyDescent="0.35">
      <c r="A4" s="5" t="s">
        <v>126</v>
      </c>
      <c r="B4" s="6">
        <f t="shared" ref="B4:C19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8">
        <v>3</v>
      </c>
      <c r="H4" s="25"/>
      <c r="I4" s="5" t="s">
        <v>17</v>
      </c>
      <c r="J4" s="30">
        <v>51198140</v>
      </c>
      <c r="K4" s="31" t="s">
        <v>18</v>
      </c>
      <c r="L4" s="31" t="s">
        <v>50</v>
      </c>
      <c r="M4" s="26">
        <v>249900</v>
      </c>
      <c r="N4" s="12">
        <v>0.3</v>
      </c>
      <c r="O4" s="7">
        <f t="shared" si="1"/>
        <v>174930</v>
      </c>
      <c r="P4" s="5" t="s">
        <v>16</v>
      </c>
    </row>
    <row r="5" spans="1:16" x14ac:dyDescent="0.35">
      <c r="A5" s="5" t="s">
        <v>126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8">
        <v>3</v>
      </c>
      <c r="H5" s="25"/>
      <c r="I5" s="5" t="s">
        <v>17</v>
      </c>
      <c r="J5" s="30">
        <v>51198097</v>
      </c>
      <c r="K5" s="31" t="s">
        <v>18</v>
      </c>
      <c r="L5" s="31" t="s">
        <v>47</v>
      </c>
      <c r="M5" s="26">
        <v>249900</v>
      </c>
      <c r="N5" s="12">
        <v>0.3</v>
      </c>
      <c r="O5" s="7">
        <f t="shared" si="1"/>
        <v>174930</v>
      </c>
      <c r="P5" s="5" t="s">
        <v>16</v>
      </c>
    </row>
    <row r="6" spans="1:16" x14ac:dyDescent="0.35">
      <c r="A6" s="5" t="s">
        <v>126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18">
        <v>3</v>
      </c>
      <c r="H6" s="25"/>
      <c r="I6" s="5" t="s">
        <v>17</v>
      </c>
      <c r="J6" s="30">
        <v>51198104</v>
      </c>
      <c r="K6" s="31" t="s">
        <v>18</v>
      </c>
      <c r="L6" s="31" t="s">
        <v>48</v>
      </c>
      <c r="M6" s="26">
        <v>249900</v>
      </c>
      <c r="N6" s="12">
        <v>0.3</v>
      </c>
      <c r="O6" s="7">
        <f t="shared" si="1"/>
        <v>174930</v>
      </c>
      <c r="P6" s="5" t="s">
        <v>16</v>
      </c>
    </row>
    <row r="7" spans="1:16" x14ac:dyDescent="0.35">
      <c r="A7" s="5" t="s">
        <v>126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18">
        <v>3</v>
      </c>
      <c r="H7" s="27"/>
      <c r="I7" s="5" t="s">
        <v>17</v>
      </c>
      <c r="J7" s="18">
        <v>51833168</v>
      </c>
      <c r="K7" s="18" t="s">
        <v>23</v>
      </c>
      <c r="L7" s="18" t="s">
        <v>24</v>
      </c>
      <c r="M7" s="26">
        <v>249900</v>
      </c>
      <c r="N7" s="12">
        <v>0.3</v>
      </c>
      <c r="O7" s="7">
        <f t="shared" si="1"/>
        <v>174930</v>
      </c>
      <c r="P7" s="5" t="s">
        <v>16</v>
      </c>
    </row>
    <row r="8" spans="1:16" x14ac:dyDescent="0.35">
      <c r="A8" s="5" t="s">
        <v>126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18">
        <v>3</v>
      </c>
      <c r="H8" s="27"/>
      <c r="I8" s="5" t="s">
        <v>17</v>
      </c>
      <c r="J8" s="18">
        <v>51198079</v>
      </c>
      <c r="K8" s="18" t="s">
        <v>20</v>
      </c>
      <c r="L8" s="18" t="s">
        <v>26</v>
      </c>
      <c r="M8" s="26">
        <v>249900</v>
      </c>
      <c r="N8" s="12">
        <v>0.3</v>
      </c>
      <c r="O8" s="7">
        <f t="shared" si="1"/>
        <v>174930</v>
      </c>
      <c r="P8" s="5" t="s">
        <v>16</v>
      </c>
    </row>
    <row r="9" spans="1:16" x14ac:dyDescent="0.35">
      <c r="A9" s="5" t="s">
        <v>126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18">
        <v>3</v>
      </c>
      <c r="H9" s="27"/>
      <c r="I9" s="5" t="s">
        <v>17</v>
      </c>
      <c r="J9" s="18">
        <v>51198060</v>
      </c>
      <c r="K9" s="18" t="s">
        <v>20</v>
      </c>
      <c r="L9" s="18" t="s">
        <v>27</v>
      </c>
      <c r="M9" s="26">
        <v>249900</v>
      </c>
      <c r="N9" s="12">
        <v>0.3</v>
      </c>
      <c r="O9" s="7">
        <f t="shared" si="1"/>
        <v>174930</v>
      </c>
      <c r="P9" s="5" t="s">
        <v>16</v>
      </c>
    </row>
    <row r="10" spans="1:16" x14ac:dyDescent="0.35">
      <c r="A10" s="5" t="s">
        <v>126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18">
        <v>3</v>
      </c>
      <c r="H10" s="27"/>
      <c r="I10" s="5" t="s">
        <v>17</v>
      </c>
      <c r="J10" s="18">
        <v>51198042</v>
      </c>
      <c r="K10" s="18" t="s">
        <v>20</v>
      </c>
      <c r="L10" s="18" t="s">
        <v>29</v>
      </c>
      <c r="M10" s="26">
        <v>249900</v>
      </c>
      <c r="N10" s="12">
        <v>0.3</v>
      </c>
      <c r="O10" s="7">
        <f t="shared" si="1"/>
        <v>174930</v>
      </c>
      <c r="P10" s="5" t="s">
        <v>16</v>
      </c>
    </row>
    <row r="11" spans="1:16" x14ac:dyDescent="0.35">
      <c r="A11" s="5" t="s">
        <v>126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18">
        <v>3</v>
      </c>
      <c r="H11" s="27"/>
      <c r="I11" s="5" t="s">
        <v>17</v>
      </c>
      <c r="J11" s="18">
        <v>51198051</v>
      </c>
      <c r="K11" s="18" t="s">
        <v>20</v>
      </c>
      <c r="L11" s="18" t="s">
        <v>28</v>
      </c>
      <c r="M11" s="26">
        <v>249900</v>
      </c>
      <c r="N11" s="12">
        <v>0.3</v>
      </c>
      <c r="O11" s="7">
        <f t="shared" si="1"/>
        <v>174930</v>
      </c>
      <c r="P11" s="5" t="s">
        <v>16</v>
      </c>
    </row>
    <row r="12" spans="1:16" x14ac:dyDescent="0.35">
      <c r="A12" s="5" t="s">
        <v>126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18">
        <v>3</v>
      </c>
      <c r="H12" s="27"/>
      <c r="I12" s="5" t="s">
        <v>17</v>
      </c>
      <c r="J12" s="18">
        <v>51198033</v>
      </c>
      <c r="K12" s="18" t="s">
        <v>20</v>
      </c>
      <c r="L12" s="18" t="s">
        <v>30</v>
      </c>
      <c r="M12" s="26">
        <v>249900</v>
      </c>
      <c r="N12" s="12">
        <v>0.3</v>
      </c>
      <c r="O12" s="7">
        <f t="shared" si="1"/>
        <v>174930</v>
      </c>
      <c r="P12" s="5" t="s">
        <v>16</v>
      </c>
    </row>
    <row r="13" spans="1:16" x14ac:dyDescent="0.35">
      <c r="A13" s="5" t="s">
        <v>126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18">
        <v>3</v>
      </c>
      <c r="H13" s="27"/>
      <c r="I13" s="5" t="s">
        <v>17</v>
      </c>
      <c r="J13" s="18">
        <v>51198015</v>
      </c>
      <c r="K13" s="18" t="s">
        <v>20</v>
      </c>
      <c r="L13" s="18" t="s">
        <v>31</v>
      </c>
      <c r="M13" s="26">
        <v>249900</v>
      </c>
      <c r="N13" s="12">
        <v>0.3</v>
      </c>
      <c r="O13" s="7">
        <f t="shared" si="1"/>
        <v>174930</v>
      </c>
      <c r="P13" s="5" t="s">
        <v>16</v>
      </c>
    </row>
    <row r="14" spans="1:16" x14ac:dyDescent="0.35">
      <c r="A14" s="5" t="s">
        <v>126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18">
        <v>3</v>
      </c>
      <c r="H14" s="27"/>
      <c r="I14" s="5" t="s">
        <v>17</v>
      </c>
      <c r="J14" s="18">
        <v>51197990</v>
      </c>
      <c r="K14" s="18" t="s">
        <v>20</v>
      </c>
      <c r="L14" s="18" t="s">
        <v>33</v>
      </c>
      <c r="M14" s="26">
        <v>249900</v>
      </c>
      <c r="N14" s="12">
        <v>0.3</v>
      </c>
      <c r="O14" s="7">
        <f t="shared" si="1"/>
        <v>174930</v>
      </c>
      <c r="P14" s="5" t="s">
        <v>16</v>
      </c>
    </row>
    <row r="15" spans="1:16" x14ac:dyDescent="0.35">
      <c r="A15" s="5" t="s">
        <v>126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18">
        <v>3</v>
      </c>
      <c r="H15" s="27"/>
      <c r="I15" s="5" t="s">
        <v>17</v>
      </c>
      <c r="J15" s="18">
        <v>51198006</v>
      </c>
      <c r="K15" s="18" t="s">
        <v>20</v>
      </c>
      <c r="L15" s="18" t="s">
        <v>32</v>
      </c>
      <c r="M15" s="26">
        <v>249900</v>
      </c>
      <c r="N15" s="12">
        <v>0.3</v>
      </c>
      <c r="O15" s="7">
        <f t="shared" si="1"/>
        <v>174930</v>
      </c>
      <c r="P15" s="5" t="s">
        <v>16</v>
      </c>
    </row>
    <row r="16" spans="1:16" x14ac:dyDescent="0.35">
      <c r="A16" s="5" t="s">
        <v>126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18">
        <v>3</v>
      </c>
      <c r="H16" s="27"/>
      <c r="I16" s="5" t="s">
        <v>17</v>
      </c>
      <c r="J16" s="18">
        <v>51197981</v>
      </c>
      <c r="K16" s="18" t="s">
        <v>23</v>
      </c>
      <c r="L16" s="18" t="s">
        <v>34</v>
      </c>
      <c r="M16" s="26">
        <v>249900</v>
      </c>
      <c r="N16" s="12">
        <v>0.3</v>
      </c>
      <c r="O16" s="7">
        <f t="shared" si="1"/>
        <v>174930</v>
      </c>
      <c r="P16" s="5" t="s">
        <v>16</v>
      </c>
    </row>
    <row r="17" spans="1:16" x14ac:dyDescent="0.35">
      <c r="A17" s="5" t="s">
        <v>126</v>
      </c>
      <c r="B17" s="6">
        <f t="shared" si="2"/>
        <v>46108</v>
      </c>
      <c r="C17" s="6">
        <f t="shared" si="2"/>
        <v>46113</v>
      </c>
      <c r="D17" s="5">
        <v>3249</v>
      </c>
      <c r="E17" s="5">
        <v>332</v>
      </c>
      <c r="F17" s="5">
        <v>3</v>
      </c>
      <c r="G17" s="18">
        <v>3</v>
      </c>
      <c r="H17" s="27"/>
      <c r="I17" s="5" t="s">
        <v>17</v>
      </c>
      <c r="J17" s="18">
        <v>51197963</v>
      </c>
      <c r="K17" s="18" t="s">
        <v>23</v>
      </c>
      <c r="L17" s="18" t="s">
        <v>36</v>
      </c>
      <c r="M17" s="26">
        <v>249900</v>
      </c>
      <c r="N17" s="12">
        <v>0.3</v>
      </c>
      <c r="O17" s="7">
        <f t="shared" si="1"/>
        <v>174930</v>
      </c>
      <c r="P17" s="5" t="s">
        <v>16</v>
      </c>
    </row>
    <row r="18" spans="1:16" x14ac:dyDescent="0.35">
      <c r="A18" s="5" t="s">
        <v>126</v>
      </c>
      <c r="B18" s="6">
        <f t="shared" si="2"/>
        <v>46108</v>
      </c>
      <c r="C18" s="6">
        <f t="shared" si="2"/>
        <v>46113</v>
      </c>
      <c r="D18" s="5">
        <v>3249</v>
      </c>
      <c r="E18" s="5">
        <v>332</v>
      </c>
      <c r="F18" s="5">
        <v>3</v>
      </c>
      <c r="G18" s="18">
        <v>3</v>
      </c>
      <c r="H18" s="27"/>
      <c r="I18" s="5" t="s">
        <v>17</v>
      </c>
      <c r="J18" s="18">
        <v>51197972</v>
      </c>
      <c r="K18" s="18" t="s">
        <v>23</v>
      </c>
      <c r="L18" s="18" t="s">
        <v>35</v>
      </c>
      <c r="M18" s="26">
        <v>249900</v>
      </c>
      <c r="N18" s="12">
        <v>0.3</v>
      </c>
      <c r="O18" s="7">
        <f t="shared" si="1"/>
        <v>174930</v>
      </c>
      <c r="P18" s="5" t="s">
        <v>16</v>
      </c>
    </row>
    <row r="19" spans="1:16" x14ac:dyDescent="0.35">
      <c r="A19" s="5" t="s">
        <v>126</v>
      </c>
      <c r="B19" s="6">
        <f t="shared" si="2"/>
        <v>46108</v>
      </c>
      <c r="C19" s="6">
        <f t="shared" si="2"/>
        <v>46113</v>
      </c>
      <c r="D19" s="5">
        <v>3249</v>
      </c>
      <c r="E19" s="5">
        <v>332</v>
      </c>
      <c r="F19" s="5">
        <v>3</v>
      </c>
      <c r="G19" s="18">
        <v>3</v>
      </c>
      <c r="H19" s="27"/>
      <c r="I19" s="5" t="s">
        <v>17</v>
      </c>
      <c r="J19" s="18">
        <v>51833177</v>
      </c>
      <c r="K19" s="18" t="s">
        <v>23</v>
      </c>
      <c r="L19" s="18" t="s">
        <v>22</v>
      </c>
      <c r="M19" s="26">
        <v>249900</v>
      </c>
      <c r="N19" s="12">
        <v>0.3</v>
      </c>
      <c r="O19" s="7">
        <f t="shared" si="1"/>
        <v>174930</v>
      </c>
      <c r="P19" s="5" t="s">
        <v>16</v>
      </c>
    </row>
    <row r="20" spans="1:16" x14ac:dyDescent="0.35">
      <c r="A20" s="5" t="s">
        <v>126</v>
      </c>
      <c r="B20" s="6">
        <f t="shared" ref="B20:C21" si="3">B19</f>
        <v>46108</v>
      </c>
      <c r="C20" s="6">
        <f t="shared" si="3"/>
        <v>46113</v>
      </c>
      <c r="D20" s="5">
        <v>3249</v>
      </c>
      <c r="E20" s="5">
        <v>332</v>
      </c>
      <c r="F20" s="5">
        <v>3</v>
      </c>
      <c r="G20" s="18">
        <v>3</v>
      </c>
      <c r="H20" s="27"/>
      <c r="I20" s="5" t="s">
        <v>17</v>
      </c>
      <c r="J20" s="18">
        <v>51833186</v>
      </c>
      <c r="K20" s="18" t="s">
        <v>20</v>
      </c>
      <c r="L20" s="18" t="s">
        <v>21</v>
      </c>
      <c r="M20" s="26">
        <v>249900</v>
      </c>
      <c r="N20" s="12">
        <v>0.3</v>
      </c>
      <c r="O20" s="7">
        <f t="shared" si="1"/>
        <v>174930</v>
      </c>
      <c r="P20" s="5" t="s">
        <v>16</v>
      </c>
    </row>
    <row r="21" spans="1:16" x14ac:dyDescent="0.35">
      <c r="A21" s="5" t="s">
        <v>126</v>
      </c>
      <c r="B21" s="6">
        <f t="shared" si="3"/>
        <v>46108</v>
      </c>
      <c r="C21" s="6">
        <f t="shared" si="3"/>
        <v>46113</v>
      </c>
      <c r="D21" s="5">
        <v>3249</v>
      </c>
      <c r="E21" s="5">
        <v>332</v>
      </c>
      <c r="F21" s="5">
        <v>3</v>
      </c>
      <c r="G21" s="18">
        <v>3</v>
      </c>
      <c r="H21" s="27"/>
      <c r="I21" s="5" t="s">
        <v>17</v>
      </c>
      <c r="J21" s="18">
        <v>51833195</v>
      </c>
      <c r="K21" s="18" t="s">
        <v>20</v>
      </c>
      <c r="L21" s="18" t="s">
        <v>19</v>
      </c>
      <c r="M21" s="26">
        <v>249900</v>
      </c>
      <c r="N21" s="12">
        <v>0.3</v>
      </c>
      <c r="O21" s="7">
        <f t="shared" si="1"/>
        <v>174930</v>
      </c>
      <c r="P21" s="5" t="s">
        <v>16</v>
      </c>
    </row>
  </sheetData>
  <autoFilter ref="A1:P1" xr:uid="{00000000-0009-0000-0000-000014000000}"/>
  <conditionalFormatting sqref="J1">
    <cfRule type="duplicateValues" dxfId="59" priority="3"/>
    <cfRule type="duplicateValues" dxfId="58" priority="4"/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  <cfRule type="duplicateValues" dxfId="52" priority="10"/>
  </conditionalFormatting>
  <conditionalFormatting sqref="J1:J6"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</conditionalFormatting>
  <conditionalFormatting sqref="J1:J21"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  <cfRule type="duplicateValues" dxfId="41" priority="22"/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  <cfRule type="duplicateValues" dxfId="29" priority="34"/>
    <cfRule type="duplicateValues" dxfId="28" priority="35"/>
    <cfRule type="duplicateValues" dxfId="27" priority="36"/>
    <cfRule type="duplicateValues" dxfId="26" priority="37"/>
    <cfRule type="duplicateValues" dxfId="25" priority="38"/>
    <cfRule type="duplicateValues" dxfId="24" priority="39"/>
    <cfRule type="duplicateValues" dxfId="23" priority="40"/>
    <cfRule type="duplicateValues" dxfId="22" priority="41"/>
  </conditionalFormatting>
  <conditionalFormatting sqref="J1:J1048576">
    <cfRule type="duplicateValues" dxfId="21" priority="1"/>
    <cfRule type="duplicateValues" dxfId="20" priority="2"/>
    <cfRule type="duplicateValues" dxfId="19" priority="16"/>
  </conditionalFormatting>
  <conditionalFormatting sqref="J7:J21">
    <cfRule type="duplicateValues" dxfId="18" priority="42"/>
    <cfRule type="duplicateValues" dxfId="17" priority="4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EC0-25BE-44B4-BC57-BBC5062A7A5D}">
  <sheetPr>
    <tabColor rgb="FFFFFF00"/>
  </sheetPr>
  <dimension ref="A1:P16"/>
  <sheetViews>
    <sheetView zoomScale="58" workbookViewId="0">
      <selection activeCell="L35" sqref="L35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127</v>
      </c>
      <c r="B2" s="6">
        <v>46108</v>
      </c>
      <c r="C2" s="6">
        <v>46113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61617883</v>
      </c>
      <c r="K2" s="18" t="s">
        <v>122</v>
      </c>
      <c r="L2" s="18" t="s">
        <v>53</v>
      </c>
      <c r="M2" s="26">
        <v>299900</v>
      </c>
      <c r="N2" s="12">
        <v>0.3</v>
      </c>
      <c r="O2" s="7">
        <f t="shared" ref="O2" si="0">M2-(M2*N2)</f>
        <v>209930</v>
      </c>
      <c r="P2" s="5" t="s">
        <v>16</v>
      </c>
    </row>
    <row r="3" spans="1:16" x14ac:dyDescent="0.35">
      <c r="A3" s="5" t="s">
        <v>127</v>
      </c>
      <c r="B3" s="6">
        <f>B2</f>
        <v>46108</v>
      </c>
      <c r="C3" s="6">
        <f>C2</f>
        <v>46113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61617892</v>
      </c>
      <c r="K3" s="18" t="s">
        <v>122</v>
      </c>
      <c r="L3" s="18" t="s">
        <v>54</v>
      </c>
      <c r="M3" s="26">
        <v>299900</v>
      </c>
      <c r="N3" s="12">
        <v>0.3</v>
      </c>
      <c r="O3" s="7">
        <f t="shared" ref="O3:O16" si="1">M3-(M3*N3)</f>
        <v>209930</v>
      </c>
      <c r="P3" s="5" t="s">
        <v>16</v>
      </c>
    </row>
    <row r="4" spans="1:16" x14ac:dyDescent="0.35">
      <c r="A4" s="5" t="s">
        <v>127</v>
      </c>
      <c r="B4" s="6">
        <f t="shared" ref="B4:C16" si="2">B3</f>
        <v>46108</v>
      </c>
      <c r="C4" s="6">
        <f t="shared" si="2"/>
        <v>46113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61617927</v>
      </c>
      <c r="K4" s="18" t="s">
        <v>122</v>
      </c>
      <c r="L4" s="18" t="s">
        <v>55</v>
      </c>
      <c r="M4" s="26">
        <v>299900</v>
      </c>
      <c r="N4" s="12">
        <v>0.3</v>
      </c>
      <c r="O4" s="7">
        <f t="shared" si="1"/>
        <v>209930</v>
      </c>
      <c r="P4" s="5" t="s">
        <v>16</v>
      </c>
    </row>
    <row r="5" spans="1:16" x14ac:dyDescent="0.35">
      <c r="A5" s="5" t="s">
        <v>127</v>
      </c>
      <c r="B5" s="6">
        <f t="shared" si="2"/>
        <v>46108</v>
      </c>
      <c r="C5" s="6">
        <f t="shared" si="2"/>
        <v>46113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61617945</v>
      </c>
      <c r="K5" s="18" t="s">
        <v>122</v>
      </c>
      <c r="L5" s="18" t="s">
        <v>56</v>
      </c>
      <c r="M5" s="26">
        <v>299900</v>
      </c>
      <c r="N5" s="12">
        <v>0.3</v>
      </c>
      <c r="O5" s="7">
        <f t="shared" si="1"/>
        <v>209930</v>
      </c>
      <c r="P5" s="5" t="s">
        <v>16</v>
      </c>
    </row>
    <row r="6" spans="1:16" x14ac:dyDescent="0.35">
      <c r="A6" s="5" t="s">
        <v>127</v>
      </c>
      <c r="B6" s="6">
        <f t="shared" si="2"/>
        <v>46108</v>
      </c>
      <c r="C6" s="6">
        <f t="shared" si="2"/>
        <v>46113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61617981</v>
      </c>
      <c r="K6" s="18" t="s">
        <v>122</v>
      </c>
      <c r="L6" s="18" t="s">
        <v>57</v>
      </c>
      <c r="M6" s="26">
        <v>299900</v>
      </c>
      <c r="N6" s="12">
        <v>0.3</v>
      </c>
      <c r="O6" s="7">
        <f t="shared" si="1"/>
        <v>209930</v>
      </c>
      <c r="P6" s="5" t="s">
        <v>16</v>
      </c>
    </row>
    <row r="7" spans="1:16" x14ac:dyDescent="0.35">
      <c r="A7" s="5" t="s">
        <v>127</v>
      </c>
      <c r="B7" s="6">
        <f t="shared" si="2"/>
        <v>46108</v>
      </c>
      <c r="C7" s="6">
        <f t="shared" si="2"/>
        <v>46113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61617990</v>
      </c>
      <c r="K7" s="18" t="s">
        <v>122</v>
      </c>
      <c r="L7" s="18" t="s">
        <v>63</v>
      </c>
      <c r="M7" s="26">
        <v>299900</v>
      </c>
      <c r="N7" s="12">
        <v>0.3</v>
      </c>
      <c r="O7" s="7">
        <f t="shared" si="1"/>
        <v>209930</v>
      </c>
      <c r="P7" s="5" t="s">
        <v>16</v>
      </c>
    </row>
    <row r="8" spans="1:16" x14ac:dyDescent="0.35">
      <c r="A8" s="5" t="s">
        <v>127</v>
      </c>
      <c r="B8" s="6">
        <f t="shared" si="2"/>
        <v>46108</v>
      </c>
      <c r="C8" s="6">
        <f t="shared" si="2"/>
        <v>46113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61618015</v>
      </c>
      <c r="K8" s="18" t="s">
        <v>122</v>
      </c>
      <c r="L8" s="18" t="s">
        <v>64</v>
      </c>
      <c r="M8" s="26">
        <v>299900</v>
      </c>
      <c r="N8" s="12">
        <v>0.3</v>
      </c>
      <c r="O8" s="7">
        <f t="shared" si="1"/>
        <v>209930</v>
      </c>
      <c r="P8" s="5" t="s">
        <v>16</v>
      </c>
    </row>
    <row r="9" spans="1:16" x14ac:dyDescent="0.35">
      <c r="A9" s="5" t="s">
        <v>127</v>
      </c>
      <c r="B9" s="6">
        <f t="shared" si="2"/>
        <v>46108</v>
      </c>
      <c r="C9" s="6">
        <f t="shared" si="2"/>
        <v>46113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61617874</v>
      </c>
      <c r="K9" s="18" t="s">
        <v>122</v>
      </c>
      <c r="L9" s="18" t="s">
        <v>65</v>
      </c>
      <c r="M9" s="26">
        <v>299900</v>
      </c>
      <c r="N9" s="12">
        <v>0.3</v>
      </c>
      <c r="O9" s="7">
        <f t="shared" si="1"/>
        <v>209930</v>
      </c>
      <c r="P9" s="5" t="s">
        <v>16</v>
      </c>
    </row>
    <row r="10" spans="1:16" x14ac:dyDescent="0.35">
      <c r="A10" s="5" t="s">
        <v>127</v>
      </c>
      <c r="B10" s="6">
        <f t="shared" si="2"/>
        <v>46108</v>
      </c>
      <c r="C10" s="6">
        <f t="shared" si="2"/>
        <v>46113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61617909</v>
      </c>
      <c r="K10" s="18" t="s">
        <v>122</v>
      </c>
      <c r="L10" s="18" t="s">
        <v>51</v>
      </c>
      <c r="M10" s="26">
        <v>299900</v>
      </c>
      <c r="N10" s="12">
        <v>0.3</v>
      </c>
      <c r="O10" s="7">
        <f t="shared" si="1"/>
        <v>209930</v>
      </c>
      <c r="P10" s="5" t="s">
        <v>16</v>
      </c>
    </row>
    <row r="11" spans="1:16" x14ac:dyDescent="0.35">
      <c r="A11" s="5" t="s">
        <v>127</v>
      </c>
      <c r="B11" s="6">
        <f t="shared" si="2"/>
        <v>46108</v>
      </c>
      <c r="C11" s="6">
        <f t="shared" si="2"/>
        <v>46113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61617918</v>
      </c>
      <c r="K11" s="18" t="s">
        <v>122</v>
      </c>
      <c r="L11" s="18" t="s">
        <v>52</v>
      </c>
      <c r="M11" s="26">
        <v>299900</v>
      </c>
      <c r="N11" s="12">
        <v>0.3</v>
      </c>
      <c r="O11" s="7">
        <f t="shared" si="1"/>
        <v>209930</v>
      </c>
      <c r="P11" s="5" t="s">
        <v>16</v>
      </c>
    </row>
    <row r="12" spans="1:16" x14ac:dyDescent="0.35">
      <c r="A12" s="5" t="s">
        <v>127</v>
      </c>
      <c r="B12" s="6">
        <f t="shared" si="2"/>
        <v>46108</v>
      </c>
      <c r="C12" s="6">
        <f t="shared" si="2"/>
        <v>46113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61617936</v>
      </c>
      <c r="K12" s="18" t="s">
        <v>122</v>
      </c>
      <c r="L12" s="18" t="s">
        <v>58</v>
      </c>
      <c r="M12" s="26">
        <v>299900</v>
      </c>
      <c r="N12" s="12">
        <v>0.3</v>
      </c>
      <c r="O12" s="7">
        <f t="shared" si="1"/>
        <v>209930</v>
      </c>
      <c r="P12" s="5" t="s">
        <v>16</v>
      </c>
    </row>
    <row r="13" spans="1:16" x14ac:dyDescent="0.35">
      <c r="A13" s="5" t="s">
        <v>127</v>
      </c>
      <c r="B13" s="6">
        <f t="shared" si="2"/>
        <v>46108</v>
      </c>
      <c r="C13" s="6">
        <f t="shared" si="2"/>
        <v>46113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61617954</v>
      </c>
      <c r="K13" s="18" t="s">
        <v>122</v>
      </c>
      <c r="L13" s="18" t="s">
        <v>59</v>
      </c>
      <c r="M13" s="26">
        <v>299900</v>
      </c>
      <c r="N13" s="12">
        <v>0.3</v>
      </c>
      <c r="O13" s="7">
        <f t="shared" si="1"/>
        <v>209930</v>
      </c>
      <c r="P13" s="5" t="s">
        <v>16</v>
      </c>
    </row>
    <row r="14" spans="1:16" x14ac:dyDescent="0.35">
      <c r="A14" s="5" t="s">
        <v>127</v>
      </c>
      <c r="B14" s="6">
        <f t="shared" si="2"/>
        <v>46108</v>
      </c>
      <c r="C14" s="6">
        <f t="shared" si="2"/>
        <v>46113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61617963</v>
      </c>
      <c r="K14" s="18" t="s">
        <v>122</v>
      </c>
      <c r="L14" s="18" t="s">
        <v>60</v>
      </c>
      <c r="M14" s="26">
        <v>299900</v>
      </c>
      <c r="N14" s="12">
        <v>0.3</v>
      </c>
      <c r="O14" s="7">
        <f t="shared" si="1"/>
        <v>209930</v>
      </c>
      <c r="P14" s="5" t="s">
        <v>16</v>
      </c>
    </row>
    <row r="15" spans="1:16" x14ac:dyDescent="0.35">
      <c r="A15" s="5" t="s">
        <v>127</v>
      </c>
      <c r="B15" s="6">
        <f t="shared" si="2"/>
        <v>46108</v>
      </c>
      <c r="C15" s="6">
        <f t="shared" si="2"/>
        <v>46113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61617972</v>
      </c>
      <c r="K15" s="18" t="s">
        <v>122</v>
      </c>
      <c r="L15" s="18" t="s">
        <v>61</v>
      </c>
      <c r="M15" s="26">
        <v>299900</v>
      </c>
      <c r="N15" s="12">
        <v>0.3</v>
      </c>
      <c r="O15" s="7">
        <f t="shared" si="1"/>
        <v>209930</v>
      </c>
      <c r="P15" s="5" t="s">
        <v>16</v>
      </c>
    </row>
    <row r="16" spans="1:16" x14ac:dyDescent="0.35">
      <c r="A16" s="5" t="s">
        <v>127</v>
      </c>
      <c r="B16" s="6">
        <f t="shared" si="2"/>
        <v>46108</v>
      </c>
      <c r="C16" s="6">
        <f t="shared" si="2"/>
        <v>46113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61618006</v>
      </c>
      <c r="K16" s="18" t="s">
        <v>122</v>
      </c>
      <c r="L16" s="18" t="s">
        <v>62</v>
      </c>
      <c r="M16" s="26">
        <v>299900</v>
      </c>
      <c r="N16" s="12">
        <v>0.3</v>
      </c>
      <c r="O16" s="7">
        <f t="shared" si="1"/>
        <v>209930</v>
      </c>
      <c r="P16" s="5" t="s">
        <v>16</v>
      </c>
    </row>
  </sheetData>
  <conditionalFormatting sqref="J1"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  <cfRule type="duplicateValues" dxfId="6" priority="15"/>
    <cfRule type="duplicateValues" dxfId="5" priority="16"/>
  </conditionalFormatting>
  <conditionalFormatting sqref="J1:J104857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 2024 H1 D75</vt:lpstr>
      <vt:lpstr>2024 H2 OUTERWEAR D75</vt:lpstr>
      <vt:lpstr> 2024 H2 FORMAL PANT D75</vt:lpstr>
      <vt:lpstr>2024 H2 FORMAL SHIRT D75</vt:lpstr>
      <vt:lpstr>2025 Q1 WORKWEARSHIRT D75</vt:lpstr>
      <vt:lpstr>2025 Q2 WORKWEARSHIRT D75</vt:lpstr>
      <vt:lpstr>2025 Q2 WORKWEARPANT D75</vt:lpstr>
      <vt:lpstr>25 Q1 KI WORKWEAR PANTS D75</vt:lpstr>
      <vt:lpstr>25 Q1 KI WWSHIRT D75</vt:lpstr>
      <vt:lpstr>25 Q3 KI WWSHIRT D50</vt:lpstr>
      <vt:lpstr>KI PANTS SELECTED D50</vt:lpstr>
      <vt:lpstr>25Q4 WWSHIRT D30</vt:lpstr>
      <vt:lpstr>25Q4 WWPANT D30</vt:lpstr>
      <vt:lpstr> 2025 Q4 OUTERWEAR D30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2026-03-26T04:19:18Z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