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5870" tabRatio="907" firstSheet="4" activeTab="7"/>
  </bookViews>
  <sheets>
    <sheet name="2016 ALL D90" sheetId="23" r:id="rId1"/>
    <sheet name="2021 LITTLE M D90" sheetId="24" r:id="rId2"/>
    <sheet name="2021 ALL D90" sheetId="3" r:id="rId3"/>
    <sheet name="2022 ALL D90" sheetId="10" r:id="rId4"/>
    <sheet name="2023 H1 D90" sheetId="19" r:id="rId5"/>
    <sheet name="2023 H2 D90" sheetId="20" r:id="rId6"/>
    <sheet name="2023 XMS D90" sheetId="13" r:id="rId7"/>
    <sheet name="2024 H1 B1D75" sheetId="16" r:id="rId8"/>
    <sheet name="2024 H2 B1D75" sheetId="22" r:id="rId9"/>
    <sheet name="2025 H1 B1D20 B2G1" sheetId="25" r:id="rId10"/>
    <sheet name="2025 XMAS B1D70" sheetId="26" r:id="rId11"/>
    <sheet name="2026 H1 B1D20 B2G1" sheetId="27" r:id="rId12"/>
  </sheets>
  <definedNames>
    <definedName name="_xlnm._FilterDatabase" localSheetId="0" hidden="1">'2016 ALL D90'!$A$1:$P$2</definedName>
    <definedName name="_xlnm._FilterDatabase" localSheetId="1" hidden="1">'2021 LITTLE M D90'!$A$1:$P$3</definedName>
    <definedName name="_xlnm._FilterDatabase" localSheetId="2" hidden="1">'2021 ALL D90'!$A$1:$P$12</definedName>
    <definedName name="_xlnm._FilterDatabase" localSheetId="3" hidden="1">'2022 ALL D90'!$A$1:$P$85</definedName>
    <definedName name="_xlnm._FilterDatabase" localSheetId="4" hidden="1">'2023 H1 D90'!$A$1:$P$72</definedName>
    <definedName name="_xlnm._FilterDatabase" localSheetId="5" hidden="1">'2023 H2 D90'!$A$1:$P$35</definedName>
    <definedName name="_xlnm._FilterDatabase" localSheetId="6" hidden="1">'2023 XMS D90'!$A$1:$P$9</definedName>
    <definedName name="_xlnm._FilterDatabase" localSheetId="8" hidden="1">'2024 H2 B1D75'!$A$1:$P$27</definedName>
    <definedName name="_xlnm._FilterDatabase" localSheetId="9" hidden="1">'2025 H1 B1D20 B2G1'!$A$1:$P$11</definedName>
    <definedName name="_xlnm._FilterDatabase" localSheetId="10" hidden="1">'2025 XMAS B1D70'!$A$1:$P$8</definedName>
    <definedName name="_xlnm._FilterDatabase" localSheetId="11" hidden="1">'2026 H1 B1D20 B2G1'!$A$1:$P$10</definedName>
    <definedName name="_xlnm._FilterDatabase" localSheetId="7" hidden="1">'2024 H1 B1D75'!$A$1:$P$50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<sst xmlns="http://schemas.openxmlformats.org/spreadsheetml/2006/main" count="1800" uniqueCount="656">
  <si>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</si>
  <si>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</si>
  <si>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</si>
  <si>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</si>
  <si>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</si>
  <si>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</si>
  <si>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</si>
  <si>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</si>
  <si>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</si>
  <si>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</si>
  <si>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</si>
  <si>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</si>
  <si>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</si>
  <si>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</si>
  <si>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</si>
  <si>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</si>
  <si>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2016 ALL D90</t>
  </si>
  <si>
    <t>MY LEVY</t>
  </si>
  <si>
    <t>LV9-1470A</t>
  </si>
  <si>
    <t>ANIMAL PLUSH QUEEN CRAB P37624:PASTEL PINK:F:SOLID:ANIMAL PLUSH</t>
  </si>
  <si>
    <t>PERCENTAGE</t>
  </si>
  <si>
    <t>2021 LITTLE M D90</t>
  </si>
  <si>
    <t>LITTLE M</t>
  </si>
  <si>
    <t>P37664C</t>
  </si>
  <si>
    <t>ANIMAL PLUSH ANIMAL HERBI COW SP 11" P37664C:WHITE:F:SOLID:ANIMAL PLUSH</t>
  </si>
  <si>
    <t>6518W</t>
  </si>
  <si>
    <t>ANIMAL PLUSH MAGIE DOG WHITE 35 CM 6518W:WHITE:F:SOLID:ANIMAL PLUSH</t>
  </si>
  <si>
    <t>2021 ALL D90</t>
  </si>
  <si>
    <t>MATAHARI</t>
  </si>
  <si>
    <t>P37624</t>
  </si>
  <si>
    <t>P37669</t>
  </si>
  <si>
    <t>ANIMAL PLUSH CROCODILE SERIES COLOUR 20 P37669:CLASSIC GREE:F:SOLID:ANIMAL PLUSH</t>
  </si>
  <si>
    <t>P378942</t>
  </si>
  <si>
    <t>CUSHION XMAS TREE PLUSH 19 P378942:CLASSIC GREEN:F:SOLID:CUSHION</t>
  </si>
  <si>
    <t>5493</t>
  </si>
  <si>
    <t>CUSHION MERMAID 16" L</t>
  </si>
  <si>
    <t>POPB2</t>
  </si>
  <si>
    <t>CUSHION DOLL HEAD POPB2:CLASSIC PURPLE:F:PRINT:CUSHION</t>
  </si>
  <si>
    <t>NECC3</t>
  </si>
  <si>
    <t>ANIMAL PLUSH NECK PILLOW U COW NECC3:ASSORTIVE COLOR:F:PRINT:ANIMAL PLUSH</t>
  </si>
  <si>
    <t>LVV1</t>
  </si>
  <si>
    <t>CUSHION LOVE FINGER KUNING LVV1:ASSORTIVE COLOR:F:PRINT:CUSHION</t>
  </si>
  <si>
    <t>LVV2</t>
  </si>
  <si>
    <t>CUSHION LOVE FINGER PINK LVV2:ASSORTIVE COLOR:F:PRINT:CUSHION</t>
  </si>
  <si>
    <t>P37681</t>
  </si>
  <si>
    <t>ANIMAL PLUSH DINO LIBE PILLOW P37681:PASTEL PURPLE:F:SOLID:ANIMAL PLUSH</t>
  </si>
  <si>
    <t>ANIMAL PLUSH DINO LIBE PILLOW P37681:PASTEL PINK:F:SOLID:ANIMAL PLUSH</t>
  </si>
  <si>
    <t>P37477</t>
  </si>
  <si>
    <t>ANIMAL PLUSH HIPPO BID TOOTH P37477:PASTEL PINK:F:SOLID:ANIMAL PLUSH</t>
  </si>
  <si>
    <t>2022 ALL D90</t>
  </si>
  <si>
    <t>6089-1</t>
  </si>
  <si>
    <t>SLING BAG UNICORN RAINBOW 10"</t>
  </si>
  <si>
    <t>CHUG1</t>
  </si>
  <si>
    <t>ANIMAL PLUSH CAT SMILING HUG GREY 19" CHUG1:MISTY LIGHT G:F:SOLID:ANIMAL PLUSH</t>
  </si>
  <si>
    <t>CNY992A</t>
  </si>
  <si>
    <t>ANIMAL PLUSH RABBIT RHENO IMLEK 15 INCH CNY992A:CLASSIC RED:F:SOLID:ANIMAL PLUSH</t>
  </si>
  <si>
    <t>CNY992B</t>
  </si>
  <si>
    <t>ANIMAL PLUSH RABBIT RHENO IMLEK 15 INCH CNY992B:CLASSIC RED:F:SOLID:ANIMAL PLUSH</t>
  </si>
  <si>
    <t>6829</t>
  </si>
  <si>
    <t>ANIMAL PLUSH FLOPPY BEAR DASI 17" H 6829:BROWN SUGAR:F:SOLID:ANIMAL PLUSH</t>
  </si>
  <si>
    <t>B-887BE</t>
  </si>
  <si>
    <t>ANIMAL PLUSH BEAR PITA 12 BEIGE  B-887BE:VANILLA:F:SOLID:ANIMAL PLUSH</t>
  </si>
  <si>
    <t>B-887BR</t>
  </si>
  <si>
    <t>ANIMAL PLUS BEAR PITA 16 BROWN B-887BR:SAND:F:SOLID:ANIMAL PLUSH</t>
  </si>
  <si>
    <t>B-887Y</t>
  </si>
  <si>
    <t>ANIMAL PLUS BEAR PITA 16" CREAM B-887Y:VANILLA:F:SOLID:ANIMAL PLUSH</t>
  </si>
  <si>
    <t>37978A</t>
  </si>
  <si>
    <t>BANTAL XMAS PRINT SANTA GREEN 37978A:CLASSIC GREEN:F:GRAPHIC:CUSHION</t>
  </si>
  <si>
    <t>37978B</t>
  </si>
  <si>
    <t>BANTAL XMAS PRINT GREETINGS 37978B:CLASSIC GREEN:F:GRAPHIC:CUSHION</t>
  </si>
  <si>
    <t>37988</t>
  </si>
  <si>
    <t>BANTAL XMAS 2D SANTA 37988:CLASSIC RED:F:GRAPHIC:CUSHION</t>
  </si>
  <si>
    <t>37705C</t>
  </si>
  <si>
    <t>BOBA XMAS SNOWS RED 37705C:CLASSIC RED:F:GRAPHIC:CUSHION</t>
  </si>
  <si>
    <t>31390 A</t>
  </si>
  <si>
    <t>TOPI XMAS FULL PRINT VELVET 31390 A:CLASSIC RED:F:GRAPHIC:CUSHION</t>
  </si>
  <si>
    <t>31390 B</t>
  </si>
  <si>
    <t>TOPI XMAS CLASSIC VELBOA 31390 B:CLASSIC RED:F:GRAPHIC:CUSHION</t>
  </si>
  <si>
    <t>37705A</t>
  </si>
  <si>
    <t>BOBA XMAS SANTA GREEN 37705A:CLASSIC GREEN:F:GRAPHIC:CUSHION</t>
  </si>
  <si>
    <t>378942</t>
  </si>
  <si>
    <t>PLUSH XMAS POHON NATAL 378942:CLASSIC GREEN:F:SOLID:CUSHION</t>
  </si>
  <si>
    <t>37705B</t>
  </si>
  <si>
    <t>BOBA XMAS JOYFULL TOSCA 37705B:TURQOUISE:F:GRAPHIC:CUSHION</t>
  </si>
  <si>
    <t>XMAS22-1</t>
  </si>
  <si>
    <t>BANTAL XMAS PRINT FRIENDS RED XMAS22-1:CLASSIC RED:F:GRAPHIC:CUSHION</t>
  </si>
  <si>
    <t>XMAS22-2</t>
  </si>
  <si>
    <t>BANTAL XMAS PRINT SNOWMAN RED XMAS22-2:CLASSIC RED:F:GRAPHIC:CUSHION</t>
  </si>
  <si>
    <t>XMAS22-3</t>
  </si>
  <si>
    <t>BANTAL XMAS PRINT SANTA RED XMAS22-3:CLASSIC RED:F:GRAPHIC:CUSHION</t>
  </si>
  <si>
    <t>XMAS22-4</t>
  </si>
  <si>
    <t>BANTAL XMAS PRINT SANTA BLUE XMAS22-4:CLASSIC BLUE:F:GRAPHIC:CUSHION</t>
  </si>
  <si>
    <t>POP3</t>
  </si>
  <si>
    <t>CUSHION BONEKA POP RED POP3:CLASSIC RED:F:SOLID:CUSHION</t>
  </si>
  <si>
    <t>POP5</t>
  </si>
  <si>
    <t>CUSHION BONEKA POP YELLOW POP5:CLASSIC YELLOW:F:SOLID:CUSHION</t>
  </si>
  <si>
    <t>GULING1</t>
  </si>
  <si>
    <t>ANIMAL PLUSH GULING MINI POP RED GULING1:CLASSIC BLUE:F:SOLID:ANIMAL PLUSH</t>
  </si>
  <si>
    <t>GULING3</t>
  </si>
  <si>
    <t>ANIMAL PLUSH GULING MINI POP YELLOW GULING3:CLASSIC YELLO:F:SOLID:ANIMAL PLUSH</t>
  </si>
  <si>
    <t>KPO-1</t>
  </si>
  <si>
    <t>CUSHION GULING K-THEME KPO-1:PASTEL PINK:F:SOLID:CUSHION</t>
  </si>
  <si>
    <t>KPO-2</t>
  </si>
  <si>
    <t>CUSHION GULING K-THEME KPO-2:PASTEL YELLOW:F:SOLID:CUSHION</t>
  </si>
  <si>
    <t>KPO-3</t>
  </si>
  <si>
    <t>CUSHION GULING K-THEME KPO-3:PASTEL BLUE:F:SOLID:CUSHION</t>
  </si>
  <si>
    <t>P37917F</t>
  </si>
  <si>
    <t>BOBA FRUIT AVOCADO P37917F:F:PASTEL GREEN:SOLID:DOLL</t>
  </si>
  <si>
    <t>P37918F</t>
  </si>
  <si>
    <t>BOBA FRUIT STRAWBERRY P37918F:PASTEL PINK:F:SOLID:DOLL</t>
  </si>
  <si>
    <t>P37919F</t>
  </si>
  <si>
    <t>BOBA FRUIT CHERRY P37919F:PASTEL PINK:F:SOLID:DOLL</t>
  </si>
  <si>
    <t>P37749</t>
  </si>
  <si>
    <t>CUSHION BANTAL LEHER CAT SPANDEX 13" PINK P37749:PASTEL PINK:F:SOLID:ANIMAL PLUSH</t>
  </si>
  <si>
    <t>SMILES1</t>
  </si>
  <si>
    <t xml:space="preserve"> CUSHION SMILE SQUARE YELLOW  SMILES1:PASTEL YELLOW:F:SOLID:ANIMAL PLUSH</t>
  </si>
  <si>
    <t>SMILES2</t>
  </si>
  <si>
    <t>CUSHION SMILE SQUARE PINK SMILES2:PASTEL PINK:F:SOLID:ANIMAL PLUSH</t>
  </si>
  <si>
    <t>SMILES3</t>
  </si>
  <si>
    <t>CUSHION SMILE SQUARE RED SMILES3:CLASSIC RED:F:SOLID:ANIMAL PLUSH</t>
  </si>
  <si>
    <t>P37951</t>
  </si>
  <si>
    <t>CUSHION ELEPHANT PINK P37951:PASTEL PINK:F:SOLID:CUSHION</t>
  </si>
  <si>
    <t>P37952</t>
  </si>
  <si>
    <t>CUSHION UNICORN GREEN P37952:PASTEL GREEN:F:SOLID:CUSHION</t>
  </si>
  <si>
    <t>37917B</t>
  </si>
  <si>
    <t>BOBA CUTE BOTTLE LOOK UP 37917B:SAND:F:SOLID:ANIMAL PLUSH</t>
  </si>
  <si>
    <t>37917Y</t>
  </si>
  <si>
    <t>BOBA CUTE BOTTLE SMILE 37917Y:PASTEL YELLOW:F:SOLID:CUSHION</t>
  </si>
  <si>
    <t>37917P</t>
  </si>
  <si>
    <t>BOBA CUTE BOTTLE WINK 37917P:PASTEL PURPLE:F:SOLID:CUSHION</t>
  </si>
  <si>
    <t>P37987</t>
  </si>
  <si>
    <t>CUSHION STIK WHITE GREY P37987:PASTEL GREY:F:SOLID:CUSHION</t>
  </si>
  <si>
    <t>R75</t>
  </si>
  <si>
    <t>ANIMAL PLUSH RABBIT R75:BROWN SUGAR:F:SOLID:ANIMAL PLUSH</t>
  </si>
  <si>
    <t>G75</t>
  </si>
  <si>
    <t>ANIMAL PLUSH GOAT G75:WHITE:F:SOLID:ANIMAL PLUSH</t>
  </si>
  <si>
    <t>4149</t>
  </si>
  <si>
    <t>ANIMAL PLUSH GIO GIRAFFE 12H 4149:CLASSIC YELLOW:F:GRAPHIC:ANIMAL PLUSH</t>
  </si>
  <si>
    <t>6519</t>
  </si>
  <si>
    <t>ANIMAL PLUSH STANDING ALPACHA 26 CM 6519:CLASSIC YELLOW:F:SOLID:ANIMAL PLUSH</t>
  </si>
  <si>
    <t>P37551C</t>
  </si>
  <si>
    <t>ANIMAL PLUSH AN PILLOW OKACHI 13 CAT P37551C:PASTEL PINK:F:SOLID:ANIMAL PLUSH</t>
  </si>
  <si>
    <t>P37542</t>
  </si>
  <si>
    <t>ANIMAL PLUSH DOG PLOPI P37542:ASSORTIVE COLOR:F:SOLID:ANIMAL PLUSH</t>
  </si>
  <si>
    <t>6519P</t>
  </si>
  <si>
    <t>ANIMAL PLUSH STANDING ALPACHA 28 CM 6519P:PASTEL PINK:F:SOLID:ANIMAL PLUSH</t>
  </si>
  <si>
    <t>6519Y</t>
  </si>
  <si>
    <t>ANIMAL PLUSH STANDING ALPACHA 28 CM 6519Y:PASTEL YELLOW:F:SOLID:ANIMAL PLUSH</t>
  </si>
  <si>
    <t>P37832B</t>
  </si>
  <si>
    <t>ANIMAL PLUSH SHARK CUTE FACE BLUE 18" P37832B:PASTEL BLUE:F:SOLID:ANIMAL PLUSH</t>
  </si>
  <si>
    <t>CHUG2</t>
  </si>
  <si>
    <t>ANIMAL PLUSH CAT SMILING HUG CREAM 19" CHUG2:VANILLA:F:SOLID:ANIMAL PLUSH</t>
  </si>
  <si>
    <t>P.37933</t>
  </si>
  <si>
    <t>ANIMAL PLUSH CAT MT BRING BOBA 12H'' SOFT PINK P.37933:PASTEL PINK:F:SOLID:ANIMAL PLUSH</t>
  </si>
  <si>
    <t>P.37931</t>
  </si>
  <si>
    <t>ANIMAL PLUSH PENGUIN SKATE SMALL 15L' P.37931:PASTEL BLUE:F:SOLID:ANIMAL PLUSH</t>
  </si>
  <si>
    <t>P37410</t>
  </si>
  <si>
    <t>ANIMAL PLUSH  BEAR WEN WEN 30"  P37410:RUSTIC BROWN:F:SOLID:ANIMAL PLUSH</t>
  </si>
  <si>
    <t>P37763S</t>
  </si>
  <si>
    <t>BEAR GHULY MOGUL 13INCH P37763S:RUSTIC BROWN:F:SOLID:ANIMAL PLUSH</t>
  </si>
  <si>
    <t>ANIMAL PLUSH BEAR SLEEPING 20L' P.37933:GOLDEN BROWN:F:SOLID:ANIMAL PLUSH</t>
  </si>
  <si>
    <t>6801</t>
  </si>
  <si>
    <t>CUSHION VENY COW 36X40 CM 6801:CLASSIC PURPLE:F:SOLID:CUSHION</t>
  </si>
  <si>
    <t>6800</t>
  </si>
  <si>
    <t>CUSHION ZEBRA 36X40 CM 6800:FROST GREY:F:SOLID:CUSHION</t>
  </si>
  <si>
    <t>NECC1</t>
  </si>
  <si>
    <t>ANIMAL PLUSH NECK PILLOW CAT NECC1:ASSORTIVE COLOR:F:PRINT:ANIMAL PLAYSET</t>
  </si>
  <si>
    <t>NECC2</t>
  </si>
  <si>
    <t>ANIMAL PLUSH NECK PILLOW COW NECC2:ASSORTIVE COLOR:F:PRINT:ANIMAL PLUSH</t>
  </si>
  <si>
    <t>CATB1</t>
  </si>
  <si>
    <t>ANIMAL PLUSH GULING KUCING CATB1:PASTEL GREY:F:SOLID:ANIMAL PLUSH</t>
  </si>
  <si>
    <t>CATB2</t>
  </si>
  <si>
    <t>ANIMAL PLUSH GULING KUCING CATB2:BROWN SUGAR:F:SOLID:ANIMAL PLUSH</t>
  </si>
  <si>
    <t>CATB3</t>
  </si>
  <si>
    <t>ANIMAL PLUSH GULING KUCING CATB3:PASTEL PINK:F:SOLID:ANIMAL PLUSH</t>
  </si>
  <si>
    <t>POP4</t>
  </si>
  <si>
    <t>CUSHION BONEKA POP PINK POP4:PASTEL PINK:F:SOLID:CUSHION</t>
  </si>
  <si>
    <t>POP6</t>
  </si>
  <si>
    <t>CUSHION BONEKA POP BROWN POP6:BROWN SUGAR:F:SOLID:CUSHION</t>
  </si>
  <si>
    <t>P37462</t>
  </si>
  <si>
    <t>ANIMAL PLUSH CUSHION T-REX SPANDEX P37462:CLASSIC GREEN:F:SOLID:ANIMAL PLUSH</t>
  </si>
  <si>
    <t>P37910</t>
  </si>
  <si>
    <t>ANIMAL PLUSH PILLOW CUTE CAT 13" P37910:MISTY MEDIUM G:F:SOLID:ANIMAL PLUSH</t>
  </si>
  <si>
    <t>LOVV</t>
  </si>
  <si>
    <t>CUSHION BANTAL LEHER NECK LOVE LOVV:PASTEL PINK:F:SOLID:ANIMAL PLUSH</t>
  </si>
  <si>
    <t>KRM-LH</t>
  </si>
  <si>
    <t>CUSHION BANTAL KRUPUK HARAPAN KRM-LH:ASSORTIVE COLOR:F:SOLID:CUSHION</t>
  </si>
  <si>
    <t>KRM-1</t>
  </si>
  <si>
    <t>CUSHION BANTAL KOMIK POP KRM-1:ASSORTIVE COLOR:F:SOLID:CUSHION</t>
  </si>
  <si>
    <t>KRM-3</t>
  </si>
  <si>
    <t>CUSHION BANTAL KOMIK POW KRM-3:ASSORTIVE COLOR:F:SOLID:CUSHION</t>
  </si>
  <si>
    <t>KRM-4</t>
  </si>
  <si>
    <t>CUSHION BANTAL KOMIK VROOM KRM-4:ASSORTIVE COLOR:F:SOLID:CUSHION</t>
  </si>
  <si>
    <t>KPO-4</t>
  </si>
  <si>
    <t>CUSHION GULING K-THEME KPO-4:RUSTIC BROWN:F:SOLID:CUSHION</t>
  </si>
  <si>
    <t>KPO-5</t>
  </si>
  <si>
    <t>CUSHION GULING K-THEME KPO-5:CLASSIC RED:F:SOLID:CUSHION</t>
  </si>
  <si>
    <t>P37668R</t>
  </si>
  <si>
    <t xml:space="preserve"> DOLL RHENO RABBIT GIRL 15 INCH P37668R:PASTEL PINK:F:SOLID:DOLL</t>
  </si>
  <si>
    <t>SMILEV1</t>
  </si>
  <si>
    <t>PLUSH CUSHION SMILE REVERSABLE RED YELLOW SMILEV1:CLASSIC RE:F:SOLID:ANIMAL PLUU</t>
  </si>
  <si>
    <t>SMILEV2</t>
  </si>
  <si>
    <t>PLUSH CUSHION SMILE REVERSABLE BROWN PINK SMILEV2:PASTEL PIN:F:SOLID:ANIMAL PLU</t>
  </si>
  <si>
    <t>P37950</t>
  </si>
  <si>
    <t>CUSHION BANTAL LEHER CAT EKOR SPANDEX 13" CREAM P37950:VANILLA:F:SOLID:CUSHION</t>
  </si>
  <si>
    <t>P37749B</t>
  </si>
  <si>
    <t>CUSHION BANTAL LEHER SMILE SPANDEX 13" BEGIE P37749B:SAND:F:SOLID:CUSHION</t>
  </si>
  <si>
    <t>BOBARA1</t>
  </si>
  <si>
    <t>BOBA RAINBOW FULLPRINT PINK BOBARA1:PASTEL PINK:F:SOLID:ANIMAL PLUSH</t>
  </si>
  <si>
    <t>BOBARA2</t>
  </si>
  <si>
    <t>BOBA RAINBOW FULLPRINT YELLOW BOBARA2:PASTEL YELLOW:F:SOLID:ANIMAL PLUSH</t>
  </si>
  <si>
    <t>SMILES4</t>
  </si>
  <si>
    <t>CUSHION SMILE SQUARE BLUE SMILES4:PASTEL BLUE:F:SOLID:ANIMAL PLUSH</t>
  </si>
  <si>
    <t>P38007-2</t>
  </si>
  <si>
    <t>SHARKS FANGS 20 GREY P38007-2:PASTEL GREY:F:SOLID:ANIMAL PLUSH</t>
  </si>
  <si>
    <t>37321-L</t>
  </si>
  <si>
    <t>BEAR EMMA WITH LOVE 37321-L:RUSTIC BROWN:F:SOLID:ANIMAL PLUSH</t>
  </si>
  <si>
    <t>2023 H1 D90</t>
  </si>
  <si>
    <t>6518C</t>
  </si>
  <si>
    <t>ANIMAL PLUSH MAGIE DOG CREAM 35 CM 6518C:VANILLA:F:SOLID:ANIMAL PLUSH</t>
  </si>
  <si>
    <t>P37930B</t>
  </si>
  <si>
    <t>ANIMAL PLUSH PENGUIN SOFT BLUE 13" P37930B:PASTEL BLUE:F:SOLID:ANIMAL PLUSH</t>
  </si>
  <si>
    <t>P37836</t>
  </si>
  <si>
    <t>ANIMAL PLUSH DUCK PRETTY SCARF YELLOW 13" P37836:PASTEL YELLO:F:SOLID:ANIMAL PLUSH</t>
  </si>
  <si>
    <t>P37930G</t>
  </si>
  <si>
    <t>ANIMAL PLUSH PENGUIN SOFT GREY 13" P37930G:MISTY LIGHT G:F:SOLID:ANIMAL PLUSH</t>
  </si>
  <si>
    <t>ANIMAL PLUSH CAT MT BRING BOBA 12H'' SOFT PINK P.37933:MISTY MEDIUM GREY:F:SOLID:ANIMAL PLUSH</t>
  </si>
  <si>
    <t>6089-C</t>
  </si>
  <si>
    <t>ANIMAL PLUSH SLING BAG UNICORN W/RAINBOW 10" CREAM 6089-C:VANILLA:F:SOLID:ANIMAL PL</t>
  </si>
  <si>
    <t>3936</t>
  </si>
  <si>
    <t>ANIMAL PLUSH RABBIT DRESS VANESHA 3936:SAND:F:SOLID:ANIMAL PLUSH</t>
  </si>
  <si>
    <t>6941</t>
  </si>
  <si>
    <t>CAT IN GLASS  6941:PASTEL PINK:F:SOLID:ANIMAL PLUSH</t>
  </si>
  <si>
    <t>P36700Y</t>
  </si>
  <si>
    <t>ANIMAL PLUSH CAT MIO NEW YELLOW P36700Y:PASTEL YELLOW:F:SOLID:ANIMAL PLUSH</t>
  </si>
  <si>
    <t>P36700G</t>
  </si>
  <si>
    <t>ANIMAL PLUSH CAT MIO NEW GREY P36700G:PASTEL GREY:F:SOLID:ANIMAL PLUSH</t>
  </si>
  <si>
    <t>P37960</t>
  </si>
  <si>
    <t>UNICORN WHITE P37960:WHITE:F:SOLID:ANIMAL PLUSH</t>
  </si>
  <si>
    <t>P37962</t>
  </si>
  <si>
    <t>ANIMAL PLUSH DINO SITTING CUTE PINK P37962:PASTEL PINK:F:SOLID:ANIMAL PLUSH</t>
  </si>
  <si>
    <t>P37956</t>
  </si>
  <si>
    <t>ANIMAL PLUSH DINO WALKING PINK P37956:PASTEL PINK:F:SOLID:ANIMAL PLUSH</t>
  </si>
  <si>
    <t>37714</t>
  </si>
  <si>
    <t>DUCK GIRLY YELLOW 37714:PASTEL YELLOW:F:SOLID:ANIMAL PLUSH</t>
  </si>
  <si>
    <t>6089-2</t>
  </si>
  <si>
    <t>SLING BAG UNICORN W/RAINBOW 10 L TY0026:PASTEL PINK:F:SOLID:ANIMAL PLUSH</t>
  </si>
  <si>
    <t>ALP-S</t>
  </si>
  <si>
    <t>SHEEP ALPACA STANDING CREAM PINK ALP-S:PASTEL PINK:F:SOLID:ANIMAL PLUSH</t>
  </si>
  <si>
    <t>ALP-T</t>
  </si>
  <si>
    <t>SHEEP SITTING CREAM ALP-T:PASTEL PINK:F:SOLID:ANIMAL PLUSH</t>
  </si>
  <si>
    <t>CTPON2</t>
  </si>
  <si>
    <t>CUTE PONY PLUSH BLUE CTPON2:PASTEL BLUE:F:SOLID:ANIMAL PLUSH</t>
  </si>
  <si>
    <t>SHIBH</t>
  </si>
  <si>
    <t>DOG SHIBA HUG SPANDEX BROWN 19 SHIBH:GOLDEN BROWN:F:SOLID:ANIMAL PLUSH</t>
  </si>
  <si>
    <t>SHIBG</t>
  </si>
  <si>
    <t>DOG SHIBA HUG SPANDEX GREY 19INC SHIBG:PASTEL GREY:F:SOLID:ANIMAL PLUSH</t>
  </si>
  <si>
    <t>DNGR99</t>
  </si>
  <si>
    <t>CUTE FAT DINO GREEN DNGR99:PASTEL GREEN:F:SOLID:ANIMAL PLUSH</t>
  </si>
  <si>
    <t>DNGBL99</t>
  </si>
  <si>
    <t>CUTE FAT DINO BLUE DNGBL99:PASTEL BLUE:F:SOLID:ANIMAL PLUSH</t>
  </si>
  <si>
    <t>P376640E</t>
  </si>
  <si>
    <t>ANIMAL HERBI ELEPHANT SP 11 INCH P376640E:CLASSIC BLUE:F:SOLID:ANIMAL PLUSH</t>
  </si>
  <si>
    <t>CTPON5</t>
  </si>
  <si>
    <t>CUTE PONY PLUSH LYING PURPLE CTPON5:PASTEL PURPLE:F:SOLID:ANIMAL PLUSH</t>
  </si>
  <si>
    <t>CTPON6</t>
  </si>
  <si>
    <t>CUTE PONY PLUSH LYING PINK CTPON6:PASTEL PINK:F:SOLID:ANIMAL PLUSH</t>
  </si>
  <si>
    <t>DNGR97</t>
  </si>
  <si>
    <t>CUTE FAT DINO PINK DNGR97:PASTEL PINK:F:SOLID:ANIMAL PLUSH</t>
  </si>
  <si>
    <t>P37953G</t>
  </si>
  <si>
    <t>ANIMAL PLUSH CAT SITTING GREY P37953G:PASTEL GREY:F:SOLID:ANIMAL PLUSH</t>
  </si>
  <si>
    <t>P37953C</t>
  </si>
  <si>
    <t>ANIMAL PLUSH CAT SITTING CREAM P37953C:VANILLA:F:SOLID:ANIMAL PLUSH</t>
  </si>
  <si>
    <t>6803</t>
  </si>
  <si>
    <t>ME TO YOU BEAR 12 INCH 6803:RUSTIC BROWN:F:SOLID:ANIMAL PLUSH</t>
  </si>
  <si>
    <t>BEARTR1</t>
  </si>
  <si>
    <t>CUTE BEAR TRAVEL LIGHT BROWN BEARTR1:VANILLA:F:SOLID:ANIMAL PLUSH</t>
  </si>
  <si>
    <t>BEARTR2</t>
  </si>
  <si>
    <t>CUTE BEAR TRAVEL DARK BROWN BEARTR2:BROWN SUGAR:F:SOLID:ANIMAL PLUSH</t>
  </si>
  <si>
    <t>B-68LV</t>
  </si>
  <si>
    <t>BEAR I LOVE YOU B-68LV:RUSTIC BROWN:F:SOLID:ANIMAL PLUSH</t>
  </si>
  <si>
    <t>B-68LM</t>
  </si>
  <si>
    <t>BEAR LOVE YOU MORE B-68LM:PASTEL PINK:F:SOLID:ANIMAL PLUSH</t>
  </si>
  <si>
    <t>37321</t>
  </si>
  <si>
    <t>BEAR DEMMA 17 INCH 37321:VANILLA:F:SOLID:ANIMAL PLUSH</t>
  </si>
  <si>
    <t>BRL-A</t>
  </si>
  <si>
    <t>BEAR LEBARAN BOY GAMIS BRL-A:WHITE:F:SOLID:ANIMAL PLUSH</t>
  </si>
  <si>
    <t>BRL-B</t>
  </si>
  <si>
    <t>BEAR LEBARAN BOY SARUNG BRL-B:WHITE:F:SOLID:ANIMAL PLUSH</t>
  </si>
  <si>
    <t>BTFG-1</t>
  </si>
  <si>
    <t>BEAR FASHION GIRL PITA TENGAH BTFG-1:PASTEL PINK:F:SOLID:ANIMAL PLUSH</t>
  </si>
  <si>
    <t>BTFG-2</t>
  </si>
  <si>
    <t>BEAR FASHION GIRL PITA DUA BTFG-2:PASTEL PINK:F:SOLID:ANIMAL PLUSH</t>
  </si>
  <si>
    <t>BTFG-3</t>
  </si>
  <si>
    <t>BEAR FASHION GIRL LIS TENGAH BTFG-3:ASSORTIVE COLOR:F:SOLID:ANIMAL PLUSH</t>
  </si>
  <si>
    <t>BTFB</t>
  </si>
  <si>
    <t>BEAR FASHION BOY KOTAK BTFB:ASSORTIVE COLOR:F:SOLID:ANIMAL PLUSH</t>
  </si>
  <si>
    <t>P-38030B</t>
  </si>
  <si>
    <t>BEAR GRADUATION BOY P-38030B:RUSTIC BROWN:F:SOLID:ANIMAL PLUSH</t>
  </si>
  <si>
    <t>P-38030G</t>
  </si>
  <si>
    <t>BEAR GRADUATION GIRL P-38030G:RUSTIC BROWN:F:SOLID:ANIMAL PLUSH</t>
  </si>
  <si>
    <t>5988</t>
  </si>
  <si>
    <t>CUSHION SLICE BREAD</t>
  </si>
  <si>
    <t>P37197</t>
  </si>
  <si>
    <t>ANIMAL PLUSH BOBA ANIMAL 13" P37197:PASTEL PINK:F:SOLID:ANIMAL PLUSH</t>
  </si>
  <si>
    <t>P37199</t>
  </si>
  <si>
    <t>ANIMAL PLUSH BOBA ANIMAL 13" P37199:RUSTIC BROWN:F:SOLID:ANIMAL PLUSH</t>
  </si>
  <si>
    <t>P37198</t>
  </si>
  <si>
    <t>ANIMAL PLUSH BOBA ANIMAL 13 P37198:PASTEL PURPLE:F:SOLID:ANIMAL PLUSH</t>
  </si>
  <si>
    <t>BANTAL LEHER CAT SPANDEX CREAM P37749B:VANILLA:F:SOLID:ANIMAL PLUSH</t>
  </si>
  <si>
    <t>NECP</t>
  </si>
  <si>
    <t>CUSHION NECK PENGUIN HEAD CUTE NECP:PASTEL GREY:F:SOLID:CUSHION</t>
  </si>
  <si>
    <t>NECD</t>
  </si>
  <si>
    <t>CUSHION NECK DUCK HEAD CUTE NECD:PASTEL YELLOW:F:SOLID:CUSHION</t>
  </si>
  <si>
    <t>NECB</t>
  </si>
  <si>
    <t>CUSHION NECK BEAR HEAD CUTE NECB:SAND:F:SOLID:CUSHION</t>
  </si>
  <si>
    <t>P37949B</t>
  </si>
  <si>
    <t>ANIMAL PLUSH LY DUCK KWEK KWEK 20" SPANDEX P37949B:PASTEL PINK:F:SOLID:ANIMAL PLUS</t>
  </si>
  <si>
    <t>P37955B</t>
  </si>
  <si>
    <t>CUSHION BEAR BROWN P37955B:SAND:F:SOLID:CUSHION</t>
  </si>
  <si>
    <t>P37955G</t>
  </si>
  <si>
    <t>CUSHION PENGUIN GREY P37955G:PASTEL GREY:F:SOLID:CUSHION</t>
  </si>
  <si>
    <t>P37959</t>
  </si>
  <si>
    <t>CUSHION DUCK YELLOW P37959:PASTEL YELLOW:F:SOLID:CUSHION</t>
  </si>
  <si>
    <t>P.37951</t>
  </si>
  <si>
    <t>CUSHION TOTO SMILE 25L GREY P.37951:PASTEL GREY:F:SOLID:CUSHION</t>
  </si>
  <si>
    <t>P.37952</t>
  </si>
  <si>
    <t>CUSHION TOTO SMILE 25L SOFT BLUE P.37952:PASTEL BLUE:F:SOLID:CUSHION</t>
  </si>
  <si>
    <t>P.37975</t>
  </si>
  <si>
    <t>CUSHION NECK ULAT DOG YELLOW P.37975:PASTEL ORANGE:F:SOLID:CUSHION</t>
  </si>
  <si>
    <t>CUSHION NECK ULAT CAT PINK P.37975:PASTEL PINK:F:SOLID:CUSHION</t>
  </si>
  <si>
    <t>CUSHION NECK ULAT RABBIT BLUE P.37975:PASTEL BLUE:F:SOLID:CUSHION</t>
  </si>
  <si>
    <t>P.37963</t>
  </si>
  <si>
    <t>CUSHION NECK CUTE SHARK BLUE P.37963:PASTEL BLUE:F:SOLID:CUSHION</t>
  </si>
  <si>
    <t>CUSHION NECK CUTE UNICORN PINK P.37963:PASTEL PINK:F:SOLID:CUSHION</t>
  </si>
  <si>
    <t>P.37919</t>
  </si>
  <si>
    <t>CUSHION DORAYAKI CAT ANIME 12 P.37919:SAND:F:SOLID:CUSHION</t>
  </si>
  <si>
    <t>P.37963P</t>
  </si>
  <si>
    <t>NECK CUTE PENGUIN CREAM P.37963P:PASTEL BLUE:F:SOLID:CUSHION</t>
  </si>
  <si>
    <t>37962C</t>
  </si>
  <si>
    <t>CUSHION KEPALA THUNVIE CAT PINKY 37962C:PASTEL PINK:F:SOLID:CUSHION</t>
  </si>
  <si>
    <t>37962H</t>
  </si>
  <si>
    <t>CUSHION KEPALA THUNVIE HUSKY 37962H:PASTEL GREY:F:SOLID:CUSHION</t>
  </si>
  <si>
    <t>37962F</t>
  </si>
  <si>
    <t>CUSHION KEPALA THUNVIE FOX 37962F:PASTEL ORANGE:F:SOLID:CUSHION</t>
  </si>
  <si>
    <t>37962D</t>
  </si>
  <si>
    <t>CUSHION KEPALA THUNVIE DUCK 37962D:PASTEL YELLOW:F:SOLID:CUSHION</t>
  </si>
  <si>
    <t>P38006-1</t>
  </si>
  <si>
    <t>BOBA CUTE ANIMAL RABBIT P38006-1:PASTEL PINK:F:SOLID:CUSHION</t>
  </si>
  <si>
    <t>P38006-2</t>
  </si>
  <si>
    <t>BOBA CUTE ANIMAL DUCK P38006-2:PASTEL YELLOW:F:SOLID:CUSHION</t>
  </si>
  <si>
    <t>P38006-3</t>
  </si>
  <si>
    <t>BOBA CUTE ANIMAL BEAR P38006-3:GOLDEN BROWN:F:SOLID:CUSHION</t>
  </si>
  <si>
    <t>HEADB</t>
  </si>
  <si>
    <t>HEAD BEAR CUSHION BROWN HEADB:RUSTIC BROWN:F:SOLID:ANIMAL PLUSH</t>
  </si>
  <si>
    <t>2023 H2 D90</t>
  </si>
  <si>
    <t>P37943A</t>
  </si>
  <si>
    <t>ANIMAL PLUSH RABBIT JANE GIRL 15 INCH P37943A:WHITE:F:SOLID:ANIMAL PLUSH</t>
  </si>
  <si>
    <t>P.37651G</t>
  </si>
  <si>
    <t>ANIMAL PLUSH RABBIT DOLL SWEET HERAT 18 INCH P.37651G:PASTEL PINK:F:SOLID:ANIMAL PLUSH</t>
  </si>
  <si>
    <t>P37991</t>
  </si>
  <si>
    <t>ANIMAL PLUSH RABBIT SIDU 14 INCH P37991:PASTEL PINK:F:SOLID:ANIMAL PLUSH</t>
  </si>
  <si>
    <t>CTPON3</t>
  </si>
  <si>
    <t>CUTE PONY PLUSH PURPLE CTPON3:PASTEL PURPLE:F:SOLID:ANIMAL PLUSH</t>
  </si>
  <si>
    <t>CTPON4</t>
  </si>
  <si>
    <t>CUTE PONY PLUSH PINK CTPON4:PASTEL PINK:F:SOLID:ANIMAL PLUSH</t>
  </si>
  <si>
    <t>CTPN-1</t>
  </si>
  <si>
    <t>CUTE PONY SITTING TRAVEL PINK CTPN-1:PASTEL PINK:F:SOLID:ANIMAL PLUSH</t>
  </si>
  <si>
    <t>CTPN-2</t>
  </si>
  <si>
    <t>CUTE PONY SITTING TRAVEL PURPLE CTPN-2:PASTEL PURPLE:F:SOLID:ANIMAL PLUSH</t>
  </si>
  <si>
    <t>P38005-1</t>
  </si>
  <si>
    <t>CAT PIWIE RATTLE 11 PINK P38005-1:PASTEL PINK:F:SOLID:ANIMAL PLUSH</t>
  </si>
  <si>
    <t>7036B</t>
  </si>
  <si>
    <t>BEAR IN GLASS  7036B:PASTEL PINK:F:SOLID:ANIMAL PLUSH</t>
  </si>
  <si>
    <t>6662P</t>
  </si>
  <si>
    <t>CAT LOVE WITH BELL PINK 6662P:PASTEL PINK:F:SOLID:ANIMAL PLUSH</t>
  </si>
  <si>
    <t>6662G</t>
  </si>
  <si>
    <t>CAT LOVE WITH BELL GREY 6662G:PASTEL GREY:F:SOLID:ANIMAL PLUSH</t>
  </si>
  <si>
    <t>37941C</t>
  </si>
  <si>
    <t>RATTLE COW MILK WHITE 37941C:WHITE:F:SOLID:ANIMAL PLUSH</t>
  </si>
  <si>
    <t>P38005-2</t>
  </si>
  <si>
    <t>CAT PIWIE RATTLE 11 GREY P38005-2:PASTEL GREY:F:SOLID:ANIMAL PLUSH</t>
  </si>
  <si>
    <t>DUCSP</t>
  </si>
  <si>
    <t>DUCK SWIMMER PINK DUCSP:PASTEL PINK:F:SOLID:ANIMAL PLUSH</t>
  </si>
  <si>
    <t>DUCSC</t>
  </si>
  <si>
    <t>DUCK SWIMMER CREAM DUCSC:PASTEL BLUE:F:SOLID:ANIMAL PLUSH</t>
  </si>
  <si>
    <t>BUNNP</t>
  </si>
  <si>
    <t>TRAVEL BUNNY BIG EYE SOFT PINK BUNNP:PASTEL PINK:F:SOLID:ANIMAL PLUSH</t>
  </si>
  <si>
    <t>BBPIN</t>
  </si>
  <si>
    <t>BABY GIRL BEAR SLEEP BBPIN:PASTEL PINK:F:SOLID:ANIMAL PLUSH</t>
  </si>
  <si>
    <t>BBBLU</t>
  </si>
  <si>
    <t>BABY BOY BEAR SLEEP BBBLU:PASTEL BLUE:F:SOLID:ANIMAL PLUSH</t>
  </si>
  <si>
    <t>302445</t>
  </si>
  <si>
    <t>CAT CUTE WAITING YELLOW WHITE 302445:SUNSHINE YELLOW:F:SOLID:ANIMAL PLUSH</t>
  </si>
  <si>
    <t>P37943B</t>
  </si>
  <si>
    <t>ANIMAL PLUSH LYING RABBIT ICHIKO 10 INCH P37943B:PASTEL GREY:F:SOLID:ANIMAL PLUSH</t>
  </si>
  <si>
    <t>P378972A</t>
  </si>
  <si>
    <t>ANIMAL PLUSH RABBIT BARLI 10 INCH P378972A:PASTEL PINK:F:SOLID:ANIMAL PLUSH</t>
  </si>
  <si>
    <t>37935 G</t>
  </si>
  <si>
    <t>ELEPHANT EMOY GREY 37935 G:PASTEL GREY:F:SOLID:ANIMAL PLUSH</t>
  </si>
  <si>
    <t>BBR1</t>
  </si>
  <si>
    <t>ANIMAL PLUSH TEDDY BEAR SHIRT CLASSIC 15" RED BBR1:CLASSIC RED:F:SOLID:ANIMAL PLUS</t>
  </si>
  <si>
    <t>BBR2</t>
  </si>
  <si>
    <t>ANIMAL PLUSH TEDDY BEAR SHIRT CLASSIC 15" BLUE BBR2:CLASSIC BLU:F:SOLID:ANIMAL PLUS</t>
  </si>
  <si>
    <t>RVOCTO</t>
  </si>
  <si>
    <t>CUSHION FANCY OCTOPUS REVERSIBLE RVOCTO:ASSORTIVE COLOR:F:SOLID:ANIMAL PLUSH</t>
  </si>
  <si>
    <t>P037910</t>
  </si>
  <si>
    <t>PILLOW CUTE CAT 13INCH GREY P037910:PASTEL GREY:F:SOLID:ANIMAL PLUSH</t>
  </si>
  <si>
    <t>P037668R</t>
  </si>
  <si>
    <t>DOLL RHENO RABBIT GIRL 15 INCH P037668R:PASTEL PINK:F:SOLID:ANIMAL PLUSH</t>
  </si>
  <si>
    <t>7041</t>
  </si>
  <si>
    <t>CUSHION BREAD WITH EGG 7041:KHAKI:F:SOLID:ANIMAL PLUSH</t>
  </si>
  <si>
    <t>HEADR</t>
  </si>
  <si>
    <t>HEAD RABBIT CUSHION WHITE HEADR:PASTEL PINK:F:SOLID:ANIMAL PLUSH</t>
  </si>
  <si>
    <t>PENGP</t>
  </si>
  <si>
    <t>PENGUIN ON PLANE PINK PENGP:PASTEL PINK:F:SOLID:ANIMAL PLUSH</t>
  </si>
  <si>
    <t>PENGB</t>
  </si>
  <si>
    <t>PENGUIN ON PLANE BLUE PENGB:PASTEL BLUE:F:SOLID:ANIMAL PLUSH</t>
  </si>
  <si>
    <t>BIGCR</t>
  </si>
  <si>
    <t>CUSHION BIG BOBA CREAM BIGCR:SAND:F:SOLID:BLOCKS</t>
  </si>
  <si>
    <t>BIGPN</t>
  </si>
  <si>
    <t>CUSHION BIG BOBA PINK BIGPN:PASTEL PINK:F:SOLID:BLOCKS</t>
  </si>
  <si>
    <t>BIGGR</t>
  </si>
  <si>
    <t>CUSHION BIG BOBA GREEN BIGGR:CLASSIC GREEN:F:SOLID:BLOCKS</t>
  </si>
  <si>
    <t>2023 XMS D90</t>
  </si>
  <si>
    <t>PLUSH XMAS POHON NATAL 3D 378942:CHRISTMAS GREEN:F:SOLID:CHARACTER PLUSH</t>
  </si>
  <si>
    <t>SNOXM</t>
  </si>
  <si>
    <t>SNOWMAN XMAS SNOXM:WHITE:F:SOLID:BLOCKS</t>
  </si>
  <si>
    <t>SANTXM</t>
  </si>
  <si>
    <t>CUSHION XMAS SANTA HAT SANTXM:CLASSIC RED:F:SOLID:BLOCKS</t>
  </si>
  <si>
    <t>TREXM</t>
  </si>
  <si>
    <t>CUSHION XMAS TREE 2D TREXM:CLASSIC RED:F:SOLID:BLOCKS</t>
  </si>
  <si>
    <t>31390A</t>
  </si>
  <si>
    <t>PLUSH XMAS SANTA CLAUS 3D 31390A:CLASSIC RED:F:SOLID:CHARACTER PLUSH</t>
  </si>
  <si>
    <t>2D988</t>
  </si>
  <si>
    <t>BANTAL XMAS 2D SANTA 2D988:CLASSIC RED:F:SOLID:CHARACTER PLUSH</t>
  </si>
  <si>
    <t>VEB390</t>
  </si>
  <si>
    <t>TOPI XMAS CLASSIC VELBOA VEB390:CLASSIC RED:F:SOLID:CHARACTER PLUSH</t>
  </si>
  <si>
    <t>VEL390</t>
  </si>
  <si>
    <t>TOPI XMAS FULL PRINT VELVET VEL390:CLASSIC RED:F:SOLID:CHARACTER PLUSH</t>
  </si>
  <si>
    <t>2024 H1 B1D75</t>
  </si>
  <si>
    <t>P35874</t>
  </si>
  <si>
    <t>T REX DINO 3D PLUSH  P35874:PASTEL GREEN:F:SOLID:ANIMAL PLUSH</t>
  </si>
  <si>
    <t>7036R</t>
  </si>
  <si>
    <t>RABBIT IN GLASS  7036R:PASTEL BLUE:F:SOLID:ANIMAL PLUSH</t>
  </si>
  <si>
    <t>DSWIM</t>
  </si>
  <si>
    <t>DUCK CUTE SWIM DSWIM:PASTEL GREY:F:SOLID:ANIMAL PLUSH</t>
  </si>
  <si>
    <t>R-930G</t>
  </si>
  <si>
    <t>PENGUIN SOFT GREY 13INCH R-930G:PASTEL GREY:F:SOLID:ANIMAL PLUSH</t>
  </si>
  <si>
    <t>R-700Y</t>
  </si>
  <si>
    <t>CAT MIO NEW YELLOW R-700Y:PASTEL YELLOW:F:SOLID:ANIMAL PLUSH</t>
  </si>
  <si>
    <t>R-700G</t>
  </si>
  <si>
    <t>CAT MIO NEW GREY R-700G:PASTEL GREY:F:SOLID:ANIMAL PLUSH</t>
  </si>
  <si>
    <t>R-960</t>
  </si>
  <si>
    <t>UNICORN WHITE R-960:WHITE:F:SOLID:CHARACTER PLUSH</t>
  </si>
  <si>
    <t>3388</t>
  </si>
  <si>
    <t>RABBIT DRESS CALM 3388:PINK LEMONADE:F:SOLID:ANIMAL PLUSH</t>
  </si>
  <si>
    <t>R-930B</t>
  </si>
  <si>
    <t>PENGUIN SOFT BLUE 13INCH R-930B:CLASSIC BLUE:F:SOLID:ANIMAL PLUSH</t>
  </si>
  <si>
    <t>R-664E</t>
  </si>
  <si>
    <t>ANIMAL PLUSH ANIMAL HERBI ELEPHANT SP 11INCH  R-664E:CLASSIC BLUE:F:SOLID:ANIMAL PLUSH</t>
  </si>
  <si>
    <t>P378972B</t>
  </si>
  <si>
    <t>ANIMAL PLUSH RABBIT BARLI 10 INCH P378972B:PASTEL GREY:F:SOLID:ANIMAL PLUSH</t>
  </si>
  <si>
    <t>P37943P</t>
  </si>
  <si>
    <t>ANIMAL PLUSH LYING RABBIT ICHIKO 10 INCH P37943P:PASTEL PINK:F:SOLID:ANIMAL PLUSH</t>
  </si>
  <si>
    <t>37941B</t>
  </si>
  <si>
    <t>RATTLE BUNNY CARROT SOFT PINK 37941B:PASTEL PINK:F:SOLID:ANIMAL PLUSH</t>
  </si>
  <si>
    <t>37935 B</t>
  </si>
  <si>
    <t>ELEPHANT EMOY BLUE 37935 B:PASTEL BLUE:F:SOLID:ANIMAL PLUSH</t>
  </si>
  <si>
    <t>P38007-1</t>
  </si>
  <si>
    <t>SHARKS FANGS 20 BLUE P38007-1:PASTEL BLUE:F:SOLID:ANIMAL PLUSH</t>
  </si>
  <si>
    <t>KOALC</t>
  </si>
  <si>
    <t>BABY KOALA BOBA CREAM KOALC:KHAKI:F:SOLID:ANIMAL PLUSH</t>
  </si>
  <si>
    <t>R-836</t>
  </si>
  <si>
    <t>DUCK PRETTY SCARF YELLOW 13INCH R-836:CLASSIC YELLOW:F:SOLID:ANIMAL PLUSH</t>
  </si>
  <si>
    <t>38089B</t>
  </si>
  <si>
    <t>SITTING FOX VORISH GREY 38089B:PASTEL GREY:F:SOLID:ANIMAL PLUSH</t>
  </si>
  <si>
    <t>38089G</t>
  </si>
  <si>
    <t>SITTING FOX VORISH PEACH 38089G:PASTEL PINK:F:SOLID:ANIMAL PLUSH</t>
  </si>
  <si>
    <t>R-14</t>
  </si>
  <si>
    <t>DUCK GIRLY YELLOW R-14:CLASSIC YELLOW:F:SOLID:ANIMAL PLUSH</t>
  </si>
  <si>
    <t>R-874</t>
  </si>
  <si>
    <t>T REX DINO 3D PLUSH  R-874:CLASSIC GREEN:F:SOLID:CHARACTER PLUSH</t>
  </si>
  <si>
    <t>TRDN21</t>
  </si>
  <si>
    <t>DINO SITTING SOFT GREEN TRDN21:PASTEL GREEN:F:SOLID:CHARACTER PLUSH</t>
  </si>
  <si>
    <t>TRDN23</t>
  </si>
  <si>
    <t>DINO SITTING SOFT BLUE TRDN23:CLASSIC BLUE:F:SOLID:CHARACTER PLUSH</t>
  </si>
  <si>
    <t>7233</t>
  </si>
  <si>
    <t>CUTE JACKY COW 11INCH 7233:OFF WHITE:F:SOLID:ANIMAL PLUSH</t>
  </si>
  <si>
    <t>UNICP</t>
  </si>
  <si>
    <t>CUTE UNICORN BAG SOFT PINK UNICP:PASTEL PINK:F:SOLID:ANIMAL PLUSH</t>
  </si>
  <si>
    <t>UNICS</t>
  </si>
  <si>
    <t>CUTE UNICORN  BAG SOFT PURPLE UNICS:PASTEL PURPLE:F:SOLID:ANIMAL PLUSH</t>
  </si>
  <si>
    <t>BRTC</t>
  </si>
  <si>
    <t>TEDDY BEAR  BAG CREAM BRTC:KHAKI:F:SOLID:ANIMAL PLUSH</t>
  </si>
  <si>
    <t>BRTB</t>
  </si>
  <si>
    <t>TEDDY BEAR BAG LIGHT BROWN BRTB:WOOD BROWN:F:SOLID:ANIMAL PLUSH</t>
  </si>
  <si>
    <t>P037911</t>
  </si>
  <si>
    <t>PILLOW CUTE CAT 13INCH PEACH P037911:PINK LEMONADE:F:SOLID:ANIMAL PLUSH</t>
  </si>
  <si>
    <t>NEC-C</t>
  </si>
  <si>
    <t>NECK CUSHION BLACK CAT NEC-C:BLACK:F:SOLID:CUSHION</t>
  </si>
  <si>
    <t>NEC-B</t>
  </si>
  <si>
    <t>NECK CUSHION GREY NEC-B:PASTEL GREY:F:SOLID:CUSHION</t>
  </si>
  <si>
    <t>NEC-F</t>
  </si>
  <si>
    <t>NECK CUSHION BLUE BIG EYES NEC-F:CLASSIC BLUE:F:SOLID:CUSHION</t>
  </si>
  <si>
    <t>BDIN</t>
  </si>
  <si>
    <t>ANIMAL PLUSH MINI LONG DINO  GREEN BDIN:PASTEL GREEN:F:SOLID:ANIMAL PLUSH</t>
  </si>
  <si>
    <t>BNIF</t>
  </si>
  <si>
    <t>ANIMAL PLUSH MINI LONG UNICORN PINK BNIF:PASTEL PINK:F:SOLID:ANIMAL PLUSH</t>
  </si>
  <si>
    <t>UNIB1</t>
  </si>
  <si>
    <t>CUSHION UNICORN PURPLE UNIB1:PASTEL PURPLE:F:SOLID:CHARACTER PLUSH</t>
  </si>
  <si>
    <t>UNIB2</t>
  </si>
  <si>
    <t>CUSHION UNICORN PINK UNIB2:PASTEL PINK:F:SOLID:CHARACTER PLUSH</t>
  </si>
  <si>
    <t>UNIB3</t>
  </si>
  <si>
    <t>CUSHION UNICORN GREEN UNIB3:PASTEL GREEN:F:SOLID:CHARACTER PLUSH</t>
  </si>
  <si>
    <t>R-987</t>
  </si>
  <si>
    <t>CUSHION STICK PS WHITE GREY R-987:PASTEL GREY:F:SOLID:CHARACTER PLUSH</t>
  </si>
  <si>
    <t>BGRAB1</t>
  </si>
  <si>
    <t>RABBIT FANCY BAG PINK BGRAB1:PASTEL PINK:F:SOLID:ANIMAL PLUSH</t>
  </si>
  <si>
    <t>BGRAB2</t>
  </si>
  <si>
    <t>RABBIT FANCY BAG  CREAM BGRAB2:KHAKI:F:SOLID:ANIMAL PLUSH</t>
  </si>
  <si>
    <t>BGDUC</t>
  </si>
  <si>
    <t>DUCK FANCY BAG YELLOW BGDUC:CLASSIC YELLOW:F:SOLID:ANIMAL PLUSH</t>
  </si>
  <si>
    <t>BUNNC</t>
  </si>
  <si>
    <t>TRAVEL BUNNY JELLYCAT CREAM BUNNC:KHAKI:F:SOLID:ANIMAL PLUSH</t>
  </si>
  <si>
    <t>P-38168</t>
  </si>
  <si>
    <t>BOBA JUICE ORANGE P-38168:GOLDEN BROWN:F:SOLID:CHARACTER PLUSH</t>
  </si>
  <si>
    <t>P-38169</t>
  </si>
  <si>
    <t>BOBA JUICE PEACH P-38169:WOOD BROWN:F:SOLID:CHARACTER PLUSH</t>
  </si>
  <si>
    <t>R-7911</t>
  </si>
  <si>
    <t>PILLOW CUTE CAT 13 INCH PEACH R-7911:PINK LEMONADE:F:SOLID:CHARACTER PLUSH</t>
  </si>
  <si>
    <t>R062H</t>
  </si>
  <si>
    <t>CUSHION KEPALA THUNVIE HUSKY R062H:PASTEL GREY:F:SOLID:CHARACTER PLUSH</t>
  </si>
  <si>
    <t>38166 B</t>
  </si>
  <si>
    <t>CUSHION BREAD BEAR 38166 B:BROWN SUGAR:F:SOLID:CHARACTER PLUSH</t>
  </si>
  <si>
    <t>38166 D</t>
  </si>
  <si>
    <t>CUSHION BREAD DUCK 38166 D:BROWN SUGAR:F:SOLID:CHARACTER PLUSH</t>
  </si>
  <si>
    <t>P-38056</t>
  </si>
  <si>
    <t>CUSHION LUCKY CAT WITH RATTLE P-38056:GOLDEN BROWN:F:SOLID:CHARACTER PLUSH</t>
  </si>
  <si>
    <t>2024 H2 B1D75</t>
  </si>
  <si>
    <t>NC-031</t>
  </si>
  <si>
    <t>NECK CUSHION POLOS BLACK</t>
  </si>
  <si>
    <t>NC-032</t>
  </si>
  <si>
    <t>NECK CUSHION POLOS BLUE</t>
  </si>
  <si>
    <t>NC-033</t>
  </si>
  <si>
    <t>NECK CUSHION POLOS MISTY</t>
  </si>
  <si>
    <t>NC-034</t>
  </si>
  <si>
    <t>NECK CUSHION POLOS PINK</t>
  </si>
  <si>
    <t>NC-035</t>
  </si>
  <si>
    <t>NECK CUSHION POLOS YELLOW</t>
  </si>
  <si>
    <t>NC-036</t>
  </si>
  <si>
    <t>NECK CUSHION POLOS GREEN</t>
  </si>
  <si>
    <t>51472816</t>
  </si>
  <si>
    <t>BBYD</t>
  </si>
  <si>
    <t>BANTAL BULAT YUM-YUM 14L DOG</t>
  </si>
  <si>
    <t>51468821</t>
  </si>
  <si>
    <t>BBYC</t>
  </si>
  <si>
    <t>BANTAL BULAT YUM-YUM 14L CAT</t>
  </si>
  <si>
    <t>51468830</t>
  </si>
  <si>
    <t>BBYP</t>
  </si>
  <si>
    <t>BANTAL BULAT YUM-YUM 14L PANDA</t>
  </si>
  <si>
    <t>51468849</t>
  </si>
  <si>
    <t>BBYB</t>
  </si>
  <si>
    <t>BANTAL BULAT YUM-YUM 14L BEAR</t>
  </si>
  <si>
    <t>51468858</t>
  </si>
  <si>
    <t>PWCSD</t>
  </si>
  <si>
    <t>PILLOW W/HAT &amp; CROWN SP 14H DINO</t>
  </si>
  <si>
    <t>51468867</t>
  </si>
  <si>
    <t>PWCSP</t>
  </si>
  <si>
    <t>PILLOW W/HAT &amp; CROWN SP 14H PINGUIN</t>
  </si>
  <si>
    <t>51468876</t>
  </si>
  <si>
    <t>PWCSB</t>
  </si>
  <si>
    <t>PILLOW W/HAT &amp; CROWN SP 14H BEARD</t>
  </si>
  <si>
    <t>51468885</t>
  </si>
  <si>
    <t>BODD</t>
  </si>
  <si>
    <t>BANTAL OVAL DIDURA 15 H DUCK</t>
  </si>
  <si>
    <t>51468894</t>
  </si>
  <si>
    <t>BODR</t>
  </si>
  <si>
    <t>BANTAL OVAL DIDURA 15 H RABBIT</t>
  </si>
  <si>
    <t>51468901</t>
  </si>
  <si>
    <t>BODB</t>
  </si>
  <si>
    <t>BANTAL OVAL DIDURA 15 H BEAR</t>
  </si>
  <si>
    <t>51468910</t>
  </si>
  <si>
    <t>BODHD</t>
  </si>
  <si>
    <t>BANTAL OVAL DIDURA 15 H DINO</t>
  </si>
  <si>
    <t>51468965</t>
  </si>
  <si>
    <t>AMCB</t>
  </si>
  <si>
    <t>KEYCHAIN COINPURSE 5H BEAR</t>
  </si>
  <si>
    <t>51468974</t>
  </si>
  <si>
    <t>AMCD</t>
  </si>
  <si>
    <t>KEYCHAIN COINPURSE 5H DUCK</t>
  </si>
  <si>
    <t>51468983</t>
  </si>
  <si>
    <t>AMCR</t>
  </si>
  <si>
    <t>KEYCHAIN COINPURSE 5H RABIT</t>
  </si>
  <si>
    <t>51468992</t>
  </si>
  <si>
    <t>AMCP</t>
  </si>
  <si>
    <t>KEYCHAIN COINPURSE 5H PANDA</t>
  </si>
  <si>
    <t>51469008</t>
  </si>
  <si>
    <t>AMCL</t>
  </si>
  <si>
    <t>KEYCHAIN COINPURSE 5H CAT</t>
  </si>
  <si>
    <t>PTDCB</t>
  </si>
  <si>
    <t>PLUSH TOYS DUCK W CUSTOMER BEAR</t>
  </si>
  <si>
    <t>PTGCB</t>
  </si>
  <si>
    <t>PLUSH TOYS GLASSES CUTE BEAR</t>
  </si>
  <si>
    <t>PTGCC</t>
  </si>
  <si>
    <t>PLUSH TOYS GLASSES CUTE CAT</t>
  </si>
  <si>
    <t>PTGCR</t>
  </si>
  <si>
    <t>PLUSH TOYS GLASSES CUTE RABBIT</t>
  </si>
  <si>
    <t>2025 H1 B1D20 B2G1</t>
  </si>
  <si>
    <t>TVNC</t>
  </si>
  <si>
    <t>CUSHION TRAVEL NECK CUSHION TVNC:PASTEL LAVENDER:F:SOLID:CUSHION</t>
  </si>
  <si>
    <t>BXGY</t>
  </si>
  <si>
    <t xml:space="preserve"> B1D20%/B2G1</t>
  </si>
  <si>
    <t>CUSHION TRAVEL NECK CUSHION TVNC:PASTEL GREEN:F:SOLID:CUSHION</t>
  </si>
  <si>
    <t>CUSHION TRAVEL NECK CUSHION TVNC:CLASSIC BLUE:F:SOLID:CUSHION</t>
  </si>
  <si>
    <t>CUSHION TRAVEL NECK CUSHION TVNC:PASTEL PINK:F:SOLID:CUSHION</t>
  </si>
  <si>
    <t>PLOVDINO</t>
  </si>
  <si>
    <t>CUSHION PLUSH OVAL DINO PLOVDINO:TURQOUISE:F:SOLID:CUSHION</t>
  </si>
  <si>
    <t>PLOVLION</t>
  </si>
  <si>
    <t>CUSHION PLUSH OVAL LION PLOVLION:CLASSIC YELLOW:F:SOLID:CUSHION</t>
  </si>
  <si>
    <t>PLOVOCTO</t>
  </si>
  <si>
    <t>CUSHION PLUSH OVAL OCTOPUS PLOVOCTO:CORAL:F:SOLID:CUSHION</t>
  </si>
  <si>
    <t>LGPLFROG</t>
  </si>
  <si>
    <t>CUSHION LONG PILLOW FROG LGPLFROG:MISTY LIGHT GREEN:F:SOLID:CUSHION</t>
  </si>
  <si>
    <t>LGPLDINO</t>
  </si>
  <si>
    <t>CUSHION LONG PILLOW DINO LGPLDINO:MISTY LIGHT BLUE:F:SOLID:CUSHION</t>
  </si>
  <si>
    <t>LGPLDUCK</t>
  </si>
  <si>
    <t>CUSHION LONG PILLOW DUCK LGPLDUCK:MISTY LIGHT ORANGE:F:SOLID:CUSHION</t>
  </si>
  <si>
    <t>2025 XMAS B1D70</t>
  </si>
  <si>
    <t>XMAS25-3</t>
  </si>
  <si>
    <t>CUSHION XMAS BANTAL SANTA ELIP 13H 2025 XMAS25-3:CLASSIC RED:F:SOLID:CUSHION</t>
  </si>
  <si>
    <t>XMAS25-4</t>
  </si>
  <si>
    <t>CUSHION XMAS SANTA CLAUS 17H 2025 XMAS25-4:CLASSIC RED:F:SOLID:CUSHION</t>
  </si>
  <si>
    <t>XMAS25-1</t>
  </si>
  <si>
    <t>CUSHION XMAS TREE 19H 2025 XMAS25-1:CLASSIC GREEN:F:SOLID:CUSHION</t>
  </si>
  <si>
    <t>XMAS25-2</t>
  </si>
  <si>
    <t>CUSHION XMAS WREATH DECORATION 9H 2025 XMAS25-2:CLASSIC GREEN:F:SOLID:CUSHION</t>
  </si>
  <si>
    <t>XMAS25-6</t>
  </si>
  <si>
    <t>CUSHION XMAS BEAR 17H 2025 XMAS25-6:BROWN SUGAR:F:SOLID:CUSHION</t>
  </si>
  <si>
    <t>XMAS25-7</t>
  </si>
  <si>
    <t>CUSHION XMAS DEER 9H 2025 XMAS25-7:LIGHT BROWN:F:SOLID:CUSHION</t>
  </si>
  <si>
    <t>XMAS25-5</t>
  </si>
  <si>
    <t>CUSHION XMAW SNOWMAN NEWBIE 10H 2025 XMAS25-5:WHITE:F:SOLID:CUSHION</t>
  </si>
  <si>
    <t>2026 H1 B1D20 B2G1</t>
  </si>
  <si>
    <t>MDSKCCAT</t>
  </si>
  <si>
    <t>KEY CHAIN MDS KEYCHAIN PLUSH CAT 4H MDSKCCAT:BEIGE:F:SOLID:KEY CHAIN</t>
  </si>
  <si>
    <t>KEY CHAIN MDS KEYCHAIN PLUSH CAT 4H MDSKCCAT:PASTEL GREY:F:SOLID:KEY CHAIN</t>
  </si>
  <si>
    <t>KEY CHAIN MDS KEYCHAIN PLUSH CAT 4H MDSKCCAT:BLACK:F:SOLID:KEY CHAIN</t>
  </si>
  <si>
    <t>MDSPLUSHCAT</t>
  </si>
  <si>
    <t>ANIMAL PLUSH MDS PLUSH CAT 12H MDSPLUSHCAT:RUSTIC BROWN:F:SOLID:ANIMAL PLUSH</t>
  </si>
  <si>
    <t>ANIMAL PLUSH MDS PLUSH CAT 12H MDSPLUSHCAT:FROST GREY:F:SOLID:ANIMAL PLUSH</t>
  </si>
  <si>
    <t>ANIMAL PLUSH MDS PLUSH CAT 12H MDSPLUSHCAT:OFF WHITE:F:SOLID:ANIMAL PLUSH</t>
  </si>
  <si>
    <t>MDSKFCAT</t>
  </si>
  <si>
    <t>ANIMAL PLUSH MDS KEYCHAIN FOLDABLE BAG CAT 4H MDSKFCAT:RUSTIC BROWN:F:SOLID:ANIMAL PLUSH</t>
  </si>
  <si>
    <t>ANIMAL PLUSH MDS KEYCHAIN FOLDABLE BAG CAT 4H MDSKFCAT:FROST GREY:F:SOLID:ANIMAL PLUSH</t>
  </si>
  <si>
    <t>ANIMAL PLUSH MDS KEYCHAIN FOLDABLE BAG CAT 4H MDSKFCAT:OFF WHITE:F:SOLID:ANIMAL PLUSH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</si>
</sst>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  <numFmt numFmtId="181" formatCode="&quot;Rp&quot;#,##0"/>
    <numFmt numFmtId="182" formatCode="_-* #,##0_-;\-* #,##0_-;_-* &quot;-&quot;??_-;_-@_-"/>
    <numFmt numFmtId="183" formatCode="_(* #,##0_);_(* \(#,##0\);_(* &quot;-&quot;??_);_(@_)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/>
    <xf numFmtId="180" fontId="0" fillId="0" borderId="1" xfId="0" applyNumberFormat="1" applyFont="1" applyFill="1" applyBorder="1" applyAlignment="1">
      <alignment horizontal="center" vertical="center"/>
    </xf>
    <xf numFmtId="0" fontId="0" fillId="0" borderId="2" xfId="0" applyBorder="1"/>
    <xf numFmtId="176" fontId="0" fillId="0" borderId="1" xfId="1" applyBorder="1"/>
    <xf numFmtId="9" fontId="0" fillId="0" borderId="1" xfId="3" applyNumberFormat="1" applyFont="1" applyBorder="1" applyAlignment="1">
      <alignment horizontal="center"/>
    </xf>
    <xf numFmtId="181" fontId="0" fillId="0" borderId="3" xfId="3" applyNumberFormat="1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2" fillId="0" borderId="1" xfId="0" applyFont="1" applyBorder="1"/>
    <xf numFmtId="181" fontId="0" fillId="0" borderId="1" xfId="3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82" fontId="0" fillId="0" borderId="1" xfId="1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182" fontId="0" fillId="0" borderId="1" xfId="1" applyNumberFormat="1" applyFont="1" applyBorder="1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/>
    <xf numFmtId="182" fontId="2" fillId="0" borderId="1" xfId="1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83" fontId="3" fillId="0" borderId="1" xfId="0" applyNumberFormat="1" applyFont="1" applyBorder="1"/>
    <xf numFmtId="183" fontId="3" fillId="0" borderId="4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pane ySplit="1" topLeftCell="A2" activePane="bottomLeft" state="frozen"/>
      <selection/>
      <selection pane="bottomLeft" activeCell="B2" sqref="B2:C2"/>
    </sheetView>
  </sheetViews>
  <sheetFormatPr defaultColWidth="8.63636363636364" defaultRowHeight="14.5" outlineLevelRow="1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16</v>
      </c>
      <c r="B2" s="5">
        <v>46099</v>
      </c>
      <c r="C2" s="5">
        <v>46113</v>
      </c>
      <c r="D2" s="14">
        <v>3296</v>
      </c>
      <c r="E2" s="14">
        <v>342</v>
      </c>
      <c r="F2" s="14">
        <v>6</v>
      </c>
      <c r="G2" s="14">
        <v>2</v>
      </c>
      <c r="H2" s="14">
        <v>81066</v>
      </c>
      <c r="I2" s="14" t="s">
        <v>17</v>
      </c>
      <c r="J2" s="4">
        <v>18188562</v>
      </c>
      <c r="K2" s="4" t="s">
        <v>18</v>
      </c>
      <c r="L2" s="27" t="s">
        <v>19</v>
      </c>
      <c r="M2" s="37">
        <v>49900</v>
      </c>
      <c r="N2" s="29">
        <v>0.9</v>
      </c>
      <c r="O2" s="28">
        <f>M2*(1-N2)</f>
        <v>4990</v>
      </c>
      <c r="P2" s="14" t="s">
        <v>20</v>
      </c>
    </row>
  </sheetData>
  <autoFilter xmlns:etc="http://www.wps.cn/officeDocument/2017/etCustomData" ref="A1:P2" etc:filterBottomFollowUsedRange="0">
    <extLst/>
  </autoFilter>
  <conditionalFormatting sqref="J$1:J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55" zoomScaleNormal="55" workbookViewId="0">
      <pane ySplit="1" topLeftCell="A2" activePane="bottomLeft" state="frozen"/>
      <selection/>
      <selection pane="bottomLeft" activeCell="B2" sqref="B2:C3"/>
    </sheetView>
  </sheetViews>
  <sheetFormatPr defaultColWidth="8.63636363636364" defaultRowHeight="14.5" outlineLevelRow="2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21</v>
      </c>
      <c r="B2" s="5">
        <v>46099</v>
      </c>
      <c r="C2" s="5">
        <v>46113</v>
      </c>
      <c r="D2" s="14">
        <v>3296</v>
      </c>
      <c r="E2" s="14">
        <v>342</v>
      </c>
      <c r="F2" s="14">
        <v>6</v>
      </c>
      <c r="G2" s="14">
        <v>1</v>
      </c>
      <c r="H2" s="14">
        <v>81375</v>
      </c>
      <c r="I2" s="14" t="s">
        <v>22</v>
      </c>
      <c r="J2" s="4">
        <v>57356824</v>
      </c>
      <c r="K2" s="4" t="s">
        <v>23</v>
      </c>
      <c r="L2" s="4" t="s">
        <v>24</v>
      </c>
      <c r="M2" s="37">
        <v>129900</v>
      </c>
      <c r="N2" s="29">
        <v>0.9</v>
      </c>
      <c r="O2" s="28">
        <f>M2*(1-N2)</f>
        <v>12990</v>
      </c>
      <c r="P2" s="14" t="s">
        <v>20</v>
      </c>
    </row>
    <row r="3" spans="1:16">
      <c r="A3" s="14" t="s">
        <v>21</v>
      </c>
      <c r="B3" s="5">
        <v>46099</v>
      </c>
      <c r="C3" s="5">
        <v>46113</v>
      </c>
      <c r="D3" s="14">
        <v>3296</v>
      </c>
      <c r="E3" s="14">
        <v>342</v>
      </c>
      <c r="F3" s="14">
        <v>6</v>
      </c>
      <c r="G3" s="14">
        <v>1</v>
      </c>
      <c r="H3" s="14">
        <v>81375</v>
      </c>
      <c r="I3" s="14" t="s">
        <v>22</v>
      </c>
      <c r="J3" s="4">
        <v>57317563</v>
      </c>
      <c r="K3" s="4" t="s">
        <v>25</v>
      </c>
      <c r="L3" s="4" t="s">
        <v>26</v>
      </c>
      <c r="M3" s="38">
        <v>59900</v>
      </c>
      <c r="N3" s="29">
        <v>0.9</v>
      </c>
      <c r="O3" s="28">
        <f>M3*(1-N3)</f>
        <v>5990</v>
      </c>
      <c r="P3" s="14" t="s">
        <v>20</v>
      </c>
    </row>
  </sheetData>
  <autoFilter xmlns:etc="http://www.wps.cn/officeDocument/2017/etCustomData" ref="A1:P3" etc:filterBottomFollowUsedRange="0">
    <extLst/>
  </autoFilter>
  <conditionalFormatting sqref="J$1:J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zoomScale="55" zoomScaleNormal="55" workbookViewId="0">
      <pane ySplit="1" topLeftCell="A2" activePane="bottomLeft" state="frozen"/>
      <selection/>
      <selection pane="bottomLeft" activeCell="B2" sqref="B2:C12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27</v>
      </c>
      <c r="B2" s="5">
        <v>46099</v>
      </c>
      <c r="C2" s="5">
        <v>46113</v>
      </c>
      <c r="D2" s="14">
        <v>3296</v>
      </c>
      <c r="E2" s="14">
        <v>342</v>
      </c>
      <c r="F2" s="14">
        <v>6</v>
      </c>
      <c r="G2" s="14">
        <v>1</v>
      </c>
      <c r="H2" s="14">
        <v>81375</v>
      </c>
      <c r="I2" s="14" t="s">
        <v>28</v>
      </c>
      <c r="J2" s="14">
        <v>26617636</v>
      </c>
      <c r="K2" s="14" t="s">
        <v>29</v>
      </c>
      <c r="L2" s="27" t="s">
        <v>19</v>
      </c>
      <c r="M2" s="28">
        <v>119900</v>
      </c>
      <c r="N2" s="29">
        <v>0.9</v>
      </c>
      <c r="O2" s="28">
        <f>M2*(1-N2)</f>
        <v>11990</v>
      </c>
      <c r="P2" s="14" t="s">
        <v>20</v>
      </c>
    </row>
    <row r="3" spans="1:16">
      <c r="A3" s="14" t="s">
        <v>27</v>
      </c>
      <c r="B3" s="5">
        <v>46099</v>
      </c>
      <c r="C3" s="5">
        <v>46113</v>
      </c>
      <c r="D3" s="14">
        <v>3296</v>
      </c>
      <c r="E3" s="14">
        <v>342</v>
      </c>
      <c r="F3" s="14">
        <v>6</v>
      </c>
      <c r="G3" s="14">
        <v>1</v>
      </c>
      <c r="H3" s="14">
        <v>81375</v>
      </c>
      <c r="I3" s="14" t="s">
        <v>28</v>
      </c>
      <c r="J3" s="14">
        <v>32662094</v>
      </c>
      <c r="K3" s="14" t="s">
        <v>30</v>
      </c>
      <c r="L3" s="27" t="s">
        <v>31</v>
      </c>
      <c r="M3" s="28">
        <v>99900</v>
      </c>
      <c r="N3" s="29">
        <v>0.9</v>
      </c>
      <c r="O3" s="28">
        <f t="shared" ref="O3:O12" si="0">M3*(1-N3)</f>
        <v>9990</v>
      </c>
      <c r="P3" s="14" t="s">
        <v>20</v>
      </c>
    </row>
    <row r="4" spans="1:16">
      <c r="A4" s="14" t="s">
        <v>27</v>
      </c>
      <c r="B4" s="5">
        <v>46099</v>
      </c>
      <c r="C4" s="5">
        <v>46113</v>
      </c>
      <c r="D4" s="14">
        <v>3296</v>
      </c>
      <c r="E4" s="14">
        <v>342</v>
      </c>
      <c r="F4" s="14">
        <v>6</v>
      </c>
      <c r="G4" s="14">
        <v>2</v>
      </c>
      <c r="H4" s="14">
        <v>81375</v>
      </c>
      <c r="I4" s="14" t="s">
        <v>28</v>
      </c>
      <c r="J4" s="14">
        <v>33412192</v>
      </c>
      <c r="K4" s="14" t="s">
        <v>32</v>
      </c>
      <c r="L4" s="27" t="s">
        <v>33</v>
      </c>
      <c r="M4" s="28">
        <v>139900</v>
      </c>
      <c r="N4" s="29">
        <v>0.9</v>
      </c>
      <c r="O4" s="28">
        <f t="shared" si="0"/>
        <v>13990</v>
      </c>
      <c r="P4" s="14" t="s">
        <v>20</v>
      </c>
    </row>
    <row r="5" spans="1:16">
      <c r="A5" s="14" t="s">
        <v>27</v>
      </c>
      <c r="B5" s="5">
        <v>46099</v>
      </c>
      <c r="C5" s="5">
        <v>46113</v>
      </c>
      <c r="D5" s="14">
        <v>3296</v>
      </c>
      <c r="E5" s="14">
        <v>342</v>
      </c>
      <c r="F5" s="14">
        <v>6</v>
      </c>
      <c r="G5" s="14">
        <v>2</v>
      </c>
      <c r="H5" s="14">
        <v>81471</v>
      </c>
      <c r="I5" s="14" t="s">
        <v>28</v>
      </c>
      <c r="J5" s="14">
        <v>24972078</v>
      </c>
      <c r="K5" s="14" t="s">
        <v>34</v>
      </c>
      <c r="L5" s="27" t="s">
        <v>35</v>
      </c>
      <c r="M5" s="28">
        <v>119900</v>
      </c>
      <c r="N5" s="29">
        <v>0.9</v>
      </c>
      <c r="O5" s="28">
        <f t="shared" si="0"/>
        <v>11990</v>
      </c>
      <c r="P5" s="14" t="s">
        <v>20</v>
      </c>
    </row>
    <row r="6" spans="1:16">
      <c r="A6" s="14" t="s">
        <v>27</v>
      </c>
      <c r="B6" s="5">
        <v>46099</v>
      </c>
      <c r="C6" s="5">
        <v>46113</v>
      </c>
      <c r="D6" s="14">
        <v>3296</v>
      </c>
      <c r="E6" s="14">
        <v>342</v>
      </c>
      <c r="F6" s="14">
        <v>6</v>
      </c>
      <c r="G6" s="14">
        <v>2</v>
      </c>
      <c r="H6" s="14">
        <v>81518</v>
      </c>
      <c r="I6" s="14" t="s">
        <v>28</v>
      </c>
      <c r="J6" s="14">
        <v>26595464</v>
      </c>
      <c r="K6" s="14" t="s">
        <v>36</v>
      </c>
      <c r="L6" s="27" t="s">
        <v>37</v>
      </c>
      <c r="M6" s="28">
        <v>99900</v>
      </c>
      <c r="N6" s="29">
        <v>0.9</v>
      </c>
      <c r="O6" s="28">
        <f t="shared" si="0"/>
        <v>9990</v>
      </c>
      <c r="P6" s="14" t="s">
        <v>20</v>
      </c>
    </row>
    <row r="7" spans="1:16">
      <c r="A7" s="14" t="s">
        <v>27</v>
      </c>
      <c r="B7" s="5">
        <v>46099</v>
      </c>
      <c r="C7" s="5">
        <v>46113</v>
      </c>
      <c r="D7" s="14">
        <v>3296</v>
      </c>
      <c r="E7" s="14">
        <v>342</v>
      </c>
      <c r="F7" s="14">
        <v>6</v>
      </c>
      <c r="G7" s="14">
        <v>2</v>
      </c>
      <c r="H7" s="14">
        <v>81441</v>
      </c>
      <c r="I7" s="14" t="s">
        <v>28</v>
      </c>
      <c r="J7" s="14">
        <v>26683538</v>
      </c>
      <c r="K7" s="14" t="s">
        <v>38</v>
      </c>
      <c r="L7" s="27" t="s">
        <v>39</v>
      </c>
      <c r="M7" s="28">
        <v>59900</v>
      </c>
      <c r="N7" s="29">
        <v>0.9</v>
      </c>
      <c r="O7" s="28">
        <f t="shared" si="0"/>
        <v>5990</v>
      </c>
      <c r="P7" s="14" t="s">
        <v>20</v>
      </c>
    </row>
    <row r="8" spans="1:16">
      <c r="A8" s="14" t="s">
        <v>27</v>
      </c>
      <c r="B8" s="5">
        <v>46099</v>
      </c>
      <c r="C8" s="5">
        <v>46113</v>
      </c>
      <c r="D8" s="14">
        <v>3296</v>
      </c>
      <c r="E8" s="14">
        <v>342</v>
      </c>
      <c r="F8" s="14">
        <v>6</v>
      </c>
      <c r="G8" s="14">
        <v>2</v>
      </c>
      <c r="H8" s="14">
        <v>81518</v>
      </c>
      <c r="I8" s="14" t="s">
        <v>28</v>
      </c>
      <c r="J8" s="14">
        <v>26684313</v>
      </c>
      <c r="K8" s="14" t="s">
        <v>40</v>
      </c>
      <c r="L8" s="27" t="s">
        <v>41</v>
      </c>
      <c r="M8" s="28">
        <v>89900</v>
      </c>
      <c r="N8" s="29">
        <v>0.9</v>
      </c>
      <c r="O8" s="28">
        <f t="shared" si="0"/>
        <v>8990</v>
      </c>
      <c r="P8" s="14" t="s">
        <v>20</v>
      </c>
    </row>
    <row r="9" spans="1:16">
      <c r="A9" s="14" t="s">
        <v>27</v>
      </c>
      <c r="B9" s="5">
        <v>46099</v>
      </c>
      <c r="C9" s="5">
        <v>46113</v>
      </c>
      <c r="D9" s="14">
        <v>3296</v>
      </c>
      <c r="E9" s="14">
        <v>342</v>
      </c>
      <c r="F9" s="14">
        <v>6</v>
      </c>
      <c r="G9" s="14">
        <v>2</v>
      </c>
      <c r="H9" s="14">
        <v>81518</v>
      </c>
      <c r="I9" s="14" t="s">
        <v>28</v>
      </c>
      <c r="J9" s="14">
        <v>26684322</v>
      </c>
      <c r="K9" s="14" t="s">
        <v>42</v>
      </c>
      <c r="L9" s="27" t="s">
        <v>43</v>
      </c>
      <c r="M9" s="28">
        <v>89900</v>
      </c>
      <c r="N9" s="29">
        <v>0.9</v>
      </c>
      <c r="O9" s="28">
        <f t="shared" si="0"/>
        <v>8990</v>
      </c>
      <c r="P9" s="14" t="s">
        <v>20</v>
      </c>
    </row>
    <row r="10" spans="1:16">
      <c r="A10" s="14" t="s">
        <v>27</v>
      </c>
      <c r="B10" s="5">
        <v>46099</v>
      </c>
      <c r="C10" s="5">
        <v>46113</v>
      </c>
      <c r="D10" s="14">
        <v>3296</v>
      </c>
      <c r="E10" s="14">
        <v>342</v>
      </c>
      <c r="F10" s="14">
        <v>6</v>
      </c>
      <c r="G10" s="14">
        <v>2</v>
      </c>
      <c r="H10" s="14">
        <v>81375</v>
      </c>
      <c r="I10" s="14" t="s">
        <v>28</v>
      </c>
      <c r="J10" s="14">
        <v>32626614</v>
      </c>
      <c r="K10" s="14" t="s">
        <v>44</v>
      </c>
      <c r="L10" s="27" t="s">
        <v>45</v>
      </c>
      <c r="M10" s="28">
        <v>139900</v>
      </c>
      <c r="N10" s="29">
        <v>0.9</v>
      </c>
      <c r="O10" s="28">
        <f t="shared" si="0"/>
        <v>13990</v>
      </c>
      <c r="P10" s="14" t="s">
        <v>20</v>
      </c>
    </row>
    <row r="11" spans="1:16">
      <c r="A11" s="14" t="s">
        <v>27</v>
      </c>
      <c r="B11" s="5">
        <v>46099</v>
      </c>
      <c r="C11" s="5">
        <v>46113</v>
      </c>
      <c r="D11" s="14">
        <v>3296</v>
      </c>
      <c r="E11" s="14">
        <v>342</v>
      </c>
      <c r="F11" s="14">
        <v>6</v>
      </c>
      <c r="G11" s="14">
        <v>2</v>
      </c>
      <c r="H11" s="14">
        <v>81375</v>
      </c>
      <c r="I11" s="14" t="s">
        <v>28</v>
      </c>
      <c r="J11" s="14">
        <v>32626623</v>
      </c>
      <c r="K11" s="14" t="s">
        <v>44</v>
      </c>
      <c r="L11" s="27" t="s">
        <v>46</v>
      </c>
      <c r="M11" s="28">
        <v>139900</v>
      </c>
      <c r="N11" s="29">
        <v>0.9</v>
      </c>
      <c r="O11" s="28">
        <f t="shared" si="0"/>
        <v>13990</v>
      </c>
      <c r="P11" s="14" t="s">
        <v>20</v>
      </c>
    </row>
    <row r="12" spans="1:16">
      <c r="A12" s="14" t="s">
        <v>27</v>
      </c>
      <c r="B12" s="5">
        <v>46099</v>
      </c>
      <c r="C12" s="5">
        <v>46113</v>
      </c>
      <c r="D12" s="14">
        <v>3296</v>
      </c>
      <c r="E12" s="14">
        <v>342</v>
      </c>
      <c r="F12" s="14">
        <v>6</v>
      </c>
      <c r="G12" s="14">
        <v>2</v>
      </c>
      <c r="H12" s="14">
        <v>81375</v>
      </c>
      <c r="I12" s="14" t="s">
        <v>28</v>
      </c>
      <c r="J12" s="14">
        <v>33218330</v>
      </c>
      <c r="K12" s="14" t="s">
        <v>47</v>
      </c>
      <c r="L12" s="27" t="s">
        <v>48</v>
      </c>
      <c r="M12" s="28">
        <v>119900</v>
      </c>
      <c r="N12" s="29">
        <v>0.9</v>
      </c>
      <c r="O12" s="28">
        <f t="shared" si="0"/>
        <v>11990</v>
      </c>
      <c r="P12" s="14" t="s">
        <v>20</v>
      </c>
    </row>
  </sheetData>
  <autoFilter xmlns:etc="http://www.wps.cn/officeDocument/2017/etCustomData" ref="A1:P12" etc:filterBottomFollowUsedRange="0">
    <extLst/>
  </autoFilter>
  <conditionalFormatting sqref="J$1:J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5"/>
  <sheetViews>
    <sheetView zoomScale="55" zoomScaleNormal="55" workbookViewId="0">
      <pane ySplit="1" topLeftCell="A2" activePane="bottomLeft" state="frozen"/>
      <selection/>
      <selection pane="bottomLeft" activeCell="B2" sqref="B2:C85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2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49</v>
      </c>
      <c r="B2" s="5">
        <v>46099</v>
      </c>
      <c r="C2" s="5">
        <v>46113</v>
      </c>
      <c r="D2" s="14">
        <v>3296</v>
      </c>
      <c r="E2" s="14">
        <v>342</v>
      </c>
      <c r="F2" s="34">
        <v>6</v>
      </c>
      <c r="G2" s="14">
        <v>1</v>
      </c>
      <c r="H2" s="14">
        <v>81471</v>
      </c>
      <c r="I2" s="14" t="s">
        <v>28</v>
      </c>
      <c r="J2" s="14">
        <v>24691363</v>
      </c>
      <c r="K2" s="14" t="s">
        <v>50</v>
      </c>
      <c r="L2" s="27" t="s">
        <v>51</v>
      </c>
      <c r="M2" s="28">
        <v>119900</v>
      </c>
      <c r="N2" s="29">
        <v>0.9</v>
      </c>
      <c r="O2" s="28">
        <f>M2*(1-N2)</f>
        <v>11990</v>
      </c>
      <c r="P2" s="14" t="s">
        <v>20</v>
      </c>
    </row>
    <row r="3" spans="1:16">
      <c r="A3" s="14" t="s">
        <v>49</v>
      </c>
      <c r="B3" s="5">
        <v>46099</v>
      </c>
      <c r="C3" s="5">
        <v>46113</v>
      </c>
      <c r="D3" s="14">
        <v>3296</v>
      </c>
      <c r="E3" s="14">
        <v>342</v>
      </c>
      <c r="F3" s="34">
        <v>6</v>
      </c>
      <c r="G3" s="14">
        <v>1</v>
      </c>
      <c r="H3" s="14">
        <v>81518</v>
      </c>
      <c r="I3" s="14" t="s">
        <v>28</v>
      </c>
      <c r="J3" s="14">
        <v>67957068</v>
      </c>
      <c r="K3" s="14" t="s">
        <v>52</v>
      </c>
      <c r="L3" s="27" t="s">
        <v>53</v>
      </c>
      <c r="M3" s="28">
        <v>99900</v>
      </c>
      <c r="N3" s="29">
        <v>0.9</v>
      </c>
      <c r="O3" s="28">
        <f t="shared" ref="O3:O50" si="0">M3*(1-N3)</f>
        <v>9990</v>
      </c>
      <c r="P3" s="14" t="s">
        <v>20</v>
      </c>
    </row>
    <row r="4" spans="1:16">
      <c r="A4" s="14" t="s">
        <v>49</v>
      </c>
      <c r="B4" s="5">
        <v>46099</v>
      </c>
      <c r="C4" s="5">
        <v>46113</v>
      </c>
      <c r="D4" s="14">
        <v>3296</v>
      </c>
      <c r="E4" s="14">
        <v>342</v>
      </c>
      <c r="F4" s="34">
        <v>6</v>
      </c>
      <c r="G4" s="14">
        <v>1</v>
      </c>
      <c r="H4" s="14">
        <v>81375</v>
      </c>
      <c r="I4" s="14" t="s">
        <v>28</v>
      </c>
      <c r="J4" s="14">
        <v>76461862</v>
      </c>
      <c r="K4" s="14" t="s">
        <v>54</v>
      </c>
      <c r="L4" s="27" t="s">
        <v>55</v>
      </c>
      <c r="M4" s="28">
        <v>129900</v>
      </c>
      <c r="N4" s="29">
        <v>0.9</v>
      </c>
      <c r="O4" s="28">
        <f t="shared" si="0"/>
        <v>12990</v>
      </c>
      <c r="P4" s="14" t="s">
        <v>20</v>
      </c>
    </row>
    <row r="5" spans="1:16">
      <c r="A5" s="14" t="s">
        <v>49</v>
      </c>
      <c r="B5" s="5">
        <v>46099</v>
      </c>
      <c r="C5" s="5">
        <v>46113</v>
      </c>
      <c r="D5" s="14">
        <v>3296</v>
      </c>
      <c r="E5" s="14">
        <v>342</v>
      </c>
      <c r="F5" s="34">
        <v>6</v>
      </c>
      <c r="G5" s="14">
        <v>1</v>
      </c>
      <c r="H5" s="14">
        <v>81375</v>
      </c>
      <c r="I5" s="14" t="s">
        <v>28</v>
      </c>
      <c r="J5" s="14">
        <v>76461871</v>
      </c>
      <c r="K5" s="14" t="s">
        <v>56</v>
      </c>
      <c r="L5" s="27" t="s">
        <v>57</v>
      </c>
      <c r="M5" s="28">
        <v>129900</v>
      </c>
      <c r="N5" s="29">
        <v>0.9</v>
      </c>
      <c r="O5" s="28">
        <f t="shared" si="0"/>
        <v>12990</v>
      </c>
      <c r="P5" s="14" t="s">
        <v>20</v>
      </c>
    </row>
    <row r="6" spans="1:16">
      <c r="A6" s="14" t="s">
        <v>49</v>
      </c>
      <c r="B6" s="5">
        <v>46099</v>
      </c>
      <c r="C6" s="5">
        <v>46113</v>
      </c>
      <c r="D6" s="14">
        <v>3296</v>
      </c>
      <c r="E6" s="14">
        <v>342</v>
      </c>
      <c r="F6" s="34">
        <v>6</v>
      </c>
      <c r="G6" s="14">
        <v>1</v>
      </c>
      <c r="H6" s="14">
        <v>81471</v>
      </c>
      <c r="I6" s="14" t="s">
        <v>28</v>
      </c>
      <c r="J6" s="14">
        <v>73405624</v>
      </c>
      <c r="K6" s="14" t="s">
        <v>58</v>
      </c>
      <c r="L6" s="27" t="s">
        <v>59</v>
      </c>
      <c r="M6" s="28">
        <v>129900</v>
      </c>
      <c r="N6" s="29">
        <v>0.9</v>
      </c>
      <c r="O6" s="28">
        <f t="shared" si="0"/>
        <v>12990</v>
      </c>
      <c r="P6" s="14" t="s">
        <v>20</v>
      </c>
    </row>
    <row r="7" spans="1:16">
      <c r="A7" s="14" t="s">
        <v>49</v>
      </c>
      <c r="B7" s="5">
        <v>46099</v>
      </c>
      <c r="C7" s="5">
        <v>46113</v>
      </c>
      <c r="D7" s="14">
        <v>3296</v>
      </c>
      <c r="E7" s="14">
        <v>342</v>
      </c>
      <c r="F7" s="34">
        <v>6</v>
      </c>
      <c r="G7" s="14">
        <v>1</v>
      </c>
      <c r="H7" s="14">
        <v>81518</v>
      </c>
      <c r="I7" s="14" t="s">
        <v>28</v>
      </c>
      <c r="J7" s="14">
        <v>76118546</v>
      </c>
      <c r="K7" s="14" t="s">
        <v>60</v>
      </c>
      <c r="L7" s="27" t="s">
        <v>61</v>
      </c>
      <c r="M7" s="28">
        <v>99900</v>
      </c>
      <c r="N7" s="29">
        <v>0.9</v>
      </c>
      <c r="O7" s="28">
        <f t="shared" si="0"/>
        <v>9990</v>
      </c>
      <c r="P7" s="14" t="s">
        <v>20</v>
      </c>
    </row>
    <row r="8" spans="1:16">
      <c r="A8" s="14" t="s">
        <v>49</v>
      </c>
      <c r="B8" s="5">
        <v>46099</v>
      </c>
      <c r="C8" s="5">
        <v>46113</v>
      </c>
      <c r="D8" s="14">
        <v>3296</v>
      </c>
      <c r="E8" s="14">
        <v>342</v>
      </c>
      <c r="F8" s="34">
        <v>6</v>
      </c>
      <c r="G8" s="14">
        <v>1</v>
      </c>
      <c r="H8" s="14">
        <v>81518</v>
      </c>
      <c r="I8" s="14" t="s">
        <v>28</v>
      </c>
      <c r="J8" s="14">
        <v>76119590</v>
      </c>
      <c r="K8" s="14" t="s">
        <v>62</v>
      </c>
      <c r="L8" s="27" t="s">
        <v>63</v>
      </c>
      <c r="M8" s="28">
        <v>129900</v>
      </c>
      <c r="N8" s="29">
        <v>0.9</v>
      </c>
      <c r="O8" s="28">
        <f t="shared" si="0"/>
        <v>12990</v>
      </c>
      <c r="P8" s="14" t="s">
        <v>20</v>
      </c>
    </row>
    <row r="9" spans="1:16">
      <c r="A9" s="14" t="s">
        <v>49</v>
      </c>
      <c r="B9" s="5">
        <v>46099</v>
      </c>
      <c r="C9" s="5">
        <v>46113</v>
      </c>
      <c r="D9" s="14">
        <v>3296</v>
      </c>
      <c r="E9" s="14">
        <v>342</v>
      </c>
      <c r="F9" s="34">
        <v>6</v>
      </c>
      <c r="G9" s="14">
        <v>1</v>
      </c>
      <c r="H9" s="14">
        <v>81518</v>
      </c>
      <c r="I9" s="14" t="s">
        <v>28</v>
      </c>
      <c r="J9" s="14">
        <v>76119858</v>
      </c>
      <c r="K9" s="14" t="s">
        <v>64</v>
      </c>
      <c r="L9" s="27" t="s">
        <v>65</v>
      </c>
      <c r="M9" s="28">
        <v>129900</v>
      </c>
      <c r="N9" s="29">
        <v>0.9</v>
      </c>
      <c r="O9" s="28">
        <f t="shared" si="0"/>
        <v>12990</v>
      </c>
      <c r="P9" s="14" t="s">
        <v>20</v>
      </c>
    </row>
    <row r="10" spans="1:16">
      <c r="A10" s="14" t="s">
        <v>49</v>
      </c>
      <c r="B10" s="5">
        <v>46099</v>
      </c>
      <c r="C10" s="5">
        <v>46113</v>
      </c>
      <c r="D10" s="14">
        <v>3296</v>
      </c>
      <c r="E10" s="14">
        <v>342</v>
      </c>
      <c r="F10" s="34">
        <v>6</v>
      </c>
      <c r="G10" s="14">
        <v>2</v>
      </c>
      <c r="H10" s="14">
        <v>81375</v>
      </c>
      <c r="I10" s="14" t="s">
        <v>28</v>
      </c>
      <c r="J10" s="14">
        <v>75735701</v>
      </c>
      <c r="K10" s="14" t="s">
        <v>66</v>
      </c>
      <c r="L10" s="27" t="s">
        <v>67</v>
      </c>
      <c r="M10" s="28">
        <v>89900</v>
      </c>
      <c r="N10" s="29">
        <v>0.9</v>
      </c>
      <c r="O10" s="28">
        <f t="shared" si="0"/>
        <v>8990</v>
      </c>
      <c r="P10" s="14" t="s">
        <v>20</v>
      </c>
    </row>
    <row r="11" spans="1:16">
      <c r="A11" s="14" t="s">
        <v>49</v>
      </c>
      <c r="B11" s="5">
        <v>46099</v>
      </c>
      <c r="C11" s="5">
        <v>46113</v>
      </c>
      <c r="D11" s="14">
        <v>3296</v>
      </c>
      <c r="E11" s="14">
        <v>342</v>
      </c>
      <c r="F11" s="34">
        <v>6</v>
      </c>
      <c r="G11" s="14">
        <v>2</v>
      </c>
      <c r="H11" s="14">
        <v>81375</v>
      </c>
      <c r="I11" s="14" t="s">
        <v>28</v>
      </c>
      <c r="J11" s="14">
        <v>75735710</v>
      </c>
      <c r="K11" s="14" t="s">
        <v>68</v>
      </c>
      <c r="L11" s="27" t="s">
        <v>69</v>
      </c>
      <c r="M11" s="28">
        <v>89900</v>
      </c>
      <c r="N11" s="29">
        <v>0.9</v>
      </c>
      <c r="O11" s="28">
        <f t="shared" si="0"/>
        <v>8990</v>
      </c>
      <c r="P11" s="14" t="s">
        <v>20</v>
      </c>
    </row>
    <row r="12" spans="1:16">
      <c r="A12" s="14" t="s">
        <v>49</v>
      </c>
      <c r="B12" s="5">
        <v>46099</v>
      </c>
      <c r="C12" s="5">
        <v>46113</v>
      </c>
      <c r="D12" s="14">
        <v>3296</v>
      </c>
      <c r="E12" s="14">
        <v>342</v>
      </c>
      <c r="F12" s="34">
        <v>6</v>
      </c>
      <c r="G12" s="14">
        <v>2</v>
      </c>
      <c r="H12" s="14">
        <v>81375</v>
      </c>
      <c r="I12" s="14" t="s">
        <v>28</v>
      </c>
      <c r="J12" s="14">
        <v>75735729</v>
      </c>
      <c r="K12" s="14" t="s">
        <v>70</v>
      </c>
      <c r="L12" s="27" t="s">
        <v>71</v>
      </c>
      <c r="M12" s="28">
        <v>99900</v>
      </c>
      <c r="N12" s="29">
        <v>0.9</v>
      </c>
      <c r="O12" s="28">
        <f t="shared" si="0"/>
        <v>9990</v>
      </c>
      <c r="P12" s="14" t="s">
        <v>20</v>
      </c>
    </row>
    <row r="13" spans="1:16">
      <c r="A13" s="14" t="s">
        <v>49</v>
      </c>
      <c r="B13" s="5">
        <v>46099</v>
      </c>
      <c r="C13" s="5">
        <v>46113</v>
      </c>
      <c r="D13" s="14">
        <v>3296</v>
      </c>
      <c r="E13" s="14">
        <v>342</v>
      </c>
      <c r="F13" s="34">
        <v>6</v>
      </c>
      <c r="G13" s="14">
        <v>2</v>
      </c>
      <c r="H13" s="14">
        <v>81375</v>
      </c>
      <c r="I13" s="14" t="s">
        <v>28</v>
      </c>
      <c r="J13" s="14">
        <v>75735738</v>
      </c>
      <c r="K13" s="14" t="s">
        <v>72</v>
      </c>
      <c r="L13" s="27" t="s">
        <v>73</v>
      </c>
      <c r="M13" s="28">
        <v>99900</v>
      </c>
      <c r="N13" s="29">
        <v>0.9</v>
      </c>
      <c r="O13" s="28">
        <f t="shared" si="0"/>
        <v>9990</v>
      </c>
      <c r="P13" s="14" t="s">
        <v>20</v>
      </c>
    </row>
    <row r="14" spans="1:16">
      <c r="A14" s="14" t="s">
        <v>49</v>
      </c>
      <c r="B14" s="5">
        <v>46099</v>
      </c>
      <c r="C14" s="5">
        <v>46113</v>
      </c>
      <c r="D14" s="14">
        <v>3296</v>
      </c>
      <c r="E14" s="14">
        <v>342</v>
      </c>
      <c r="F14" s="34">
        <v>6</v>
      </c>
      <c r="G14" s="14">
        <v>2</v>
      </c>
      <c r="H14" s="14">
        <v>81375</v>
      </c>
      <c r="I14" s="14" t="s">
        <v>28</v>
      </c>
      <c r="J14" s="14">
        <v>75735747</v>
      </c>
      <c r="K14" s="14" t="s">
        <v>74</v>
      </c>
      <c r="L14" s="27" t="s">
        <v>75</v>
      </c>
      <c r="M14" s="28">
        <v>59900</v>
      </c>
      <c r="N14" s="29">
        <v>0.9</v>
      </c>
      <c r="O14" s="28">
        <f t="shared" si="0"/>
        <v>5990</v>
      </c>
      <c r="P14" s="14" t="s">
        <v>20</v>
      </c>
    </row>
    <row r="15" spans="1:16">
      <c r="A15" s="14" t="s">
        <v>49</v>
      </c>
      <c r="B15" s="5">
        <v>46099</v>
      </c>
      <c r="C15" s="5">
        <v>46113</v>
      </c>
      <c r="D15" s="14">
        <v>3296</v>
      </c>
      <c r="E15" s="14">
        <v>342</v>
      </c>
      <c r="F15" s="34">
        <v>6</v>
      </c>
      <c r="G15" s="14">
        <v>2</v>
      </c>
      <c r="H15" s="14">
        <v>81375</v>
      </c>
      <c r="I15" s="14" t="s">
        <v>28</v>
      </c>
      <c r="J15" s="14">
        <v>75735756</v>
      </c>
      <c r="K15" s="14" t="s">
        <v>76</v>
      </c>
      <c r="L15" s="27" t="s">
        <v>77</v>
      </c>
      <c r="M15" s="28">
        <v>59900</v>
      </c>
      <c r="N15" s="29">
        <v>0.9</v>
      </c>
      <c r="O15" s="28">
        <f t="shared" si="0"/>
        <v>5990</v>
      </c>
      <c r="P15" s="14" t="s">
        <v>20</v>
      </c>
    </row>
    <row r="16" spans="1:16">
      <c r="A16" s="14" t="s">
        <v>49</v>
      </c>
      <c r="B16" s="5">
        <v>46099</v>
      </c>
      <c r="C16" s="5">
        <v>46113</v>
      </c>
      <c r="D16" s="14">
        <v>3296</v>
      </c>
      <c r="E16" s="14">
        <v>342</v>
      </c>
      <c r="F16" s="34">
        <v>6</v>
      </c>
      <c r="G16" s="14">
        <v>2</v>
      </c>
      <c r="H16" s="14">
        <v>81375</v>
      </c>
      <c r="I16" s="14" t="s">
        <v>28</v>
      </c>
      <c r="J16" s="14">
        <v>75735765</v>
      </c>
      <c r="K16" s="14" t="s">
        <v>78</v>
      </c>
      <c r="L16" s="27" t="s">
        <v>79</v>
      </c>
      <c r="M16" s="28">
        <v>99900</v>
      </c>
      <c r="N16" s="29">
        <v>0.9</v>
      </c>
      <c r="O16" s="28">
        <f t="shared" si="0"/>
        <v>9990</v>
      </c>
      <c r="P16" s="14" t="s">
        <v>20</v>
      </c>
    </row>
    <row r="17" spans="1:16">
      <c r="A17" s="14" t="s">
        <v>49</v>
      </c>
      <c r="B17" s="5">
        <v>46099</v>
      </c>
      <c r="C17" s="5">
        <v>46113</v>
      </c>
      <c r="D17" s="14">
        <v>3296</v>
      </c>
      <c r="E17" s="14">
        <v>342</v>
      </c>
      <c r="F17" s="34">
        <v>6</v>
      </c>
      <c r="G17" s="14">
        <v>2</v>
      </c>
      <c r="H17" s="14">
        <v>81375</v>
      </c>
      <c r="I17" s="14" t="s">
        <v>28</v>
      </c>
      <c r="J17" s="14">
        <v>75735827</v>
      </c>
      <c r="K17" s="14" t="s">
        <v>80</v>
      </c>
      <c r="L17" s="27" t="s">
        <v>81</v>
      </c>
      <c r="M17" s="28">
        <v>149900</v>
      </c>
      <c r="N17" s="29">
        <v>0.9</v>
      </c>
      <c r="O17" s="28">
        <f t="shared" si="0"/>
        <v>14990</v>
      </c>
      <c r="P17" s="14" t="s">
        <v>20</v>
      </c>
    </row>
    <row r="18" spans="1:16">
      <c r="A18" s="14" t="s">
        <v>49</v>
      </c>
      <c r="B18" s="5">
        <v>46099</v>
      </c>
      <c r="C18" s="5">
        <v>46113</v>
      </c>
      <c r="D18" s="14">
        <v>3296</v>
      </c>
      <c r="E18" s="14">
        <v>342</v>
      </c>
      <c r="F18" s="34">
        <v>6</v>
      </c>
      <c r="G18" s="14">
        <v>2</v>
      </c>
      <c r="H18" s="14">
        <v>81375</v>
      </c>
      <c r="I18" s="14" t="s">
        <v>28</v>
      </c>
      <c r="J18" s="14">
        <v>75735836</v>
      </c>
      <c r="K18" s="14" t="s">
        <v>82</v>
      </c>
      <c r="L18" s="27" t="s">
        <v>83</v>
      </c>
      <c r="M18" s="28">
        <v>99900</v>
      </c>
      <c r="N18" s="29">
        <v>0.9</v>
      </c>
      <c r="O18" s="28">
        <f t="shared" si="0"/>
        <v>9990</v>
      </c>
      <c r="P18" s="14" t="s">
        <v>20</v>
      </c>
    </row>
    <row r="19" spans="1:16">
      <c r="A19" s="14" t="s">
        <v>49</v>
      </c>
      <c r="B19" s="5">
        <v>46099</v>
      </c>
      <c r="C19" s="5">
        <v>46113</v>
      </c>
      <c r="D19" s="14">
        <v>3296</v>
      </c>
      <c r="E19" s="14">
        <v>342</v>
      </c>
      <c r="F19" s="34">
        <v>6</v>
      </c>
      <c r="G19" s="14">
        <v>2</v>
      </c>
      <c r="H19" s="14">
        <v>81518</v>
      </c>
      <c r="I19" s="14" t="s">
        <v>28</v>
      </c>
      <c r="J19" s="14">
        <v>75735667</v>
      </c>
      <c r="K19" s="14" t="s">
        <v>84</v>
      </c>
      <c r="L19" s="27" t="s">
        <v>85</v>
      </c>
      <c r="M19" s="28">
        <v>89900</v>
      </c>
      <c r="N19" s="29">
        <v>0.9</v>
      </c>
      <c r="O19" s="28">
        <f t="shared" si="0"/>
        <v>8990</v>
      </c>
      <c r="P19" s="14" t="s">
        <v>20</v>
      </c>
    </row>
    <row r="20" spans="1:16">
      <c r="A20" s="14" t="s">
        <v>49</v>
      </c>
      <c r="B20" s="5">
        <v>46099</v>
      </c>
      <c r="C20" s="5">
        <v>46113</v>
      </c>
      <c r="D20" s="14">
        <v>3296</v>
      </c>
      <c r="E20" s="14">
        <v>342</v>
      </c>
      <c r="F20" s="34">
        <v>6</v>
      </c>
      <c r="G20" s="14">
        <v>2</v>
      </c>
      <c r="H20" s="14">
        <v>81518</v>
      </c>
      <c r="I20" s="14" t="s">
        <v>28</v>
      </c>
      <c r="J20" s="14">
        <v>75735676</v>
      </c>
      <c r="K20" s="14" t="s">
        <v>86</v>
      </c>
      <c r="L20" s="27" t="s">
        <v>87</v>
      </c>
      <c r="M20" s="28">
        <v>89900</v>
      </c>
      <c r="N20" s="29">
        <v>0.9</v>
      </c>
      <c r="O20" s="28">
        <f t="shared" si="0"/>
        <v>8990</v>
      </c>
      <c r="P20" s="14" t="s">
        <v>20</v>
      </c>
    </row>
    <row r="21" spans="1:16">
      <c r="A21" s="14" t="s">
        <v>49</v>
      </c>
      <c r="B21" s="5">
        <v>46099</v>
      </c>
      <c r="C21" s="5">
        <v>46113</v>
      </c>
      <c r="D21" s="14">
        <v>3296</v>
      </c>
      <c r="E21" s="14">
        <v>342</v>
      </c>
      <c r="F21" s="34">
        <v>6</v>
      </c>
      <c r="G21" s="14">
        <v>2</v>
      </c>
      <c r="H21" s="14">
        <v>81518</v>
      </c>
      <c r="I21" s="14" t="s">
        <v>28</v>
      </c>
      <c r="J21" s="14">
        <v>75735685</v>
      </c>
      <c r="K21" s="14" t="s">
        <v>88</v>
      </c>
      <c r="L21" s="27" t="s">
        <v>89</v>
      </c>
      <c r="M21" s="28">
        <v>89900</v>
      </c>
      <c r="N21" s="29">
        <v>0.9</v>
      </c>
      <c r="O21" s="28">
        <f t="shared" si="0"/>
        <v>8990</v>
      </c>
      <c r="P21" s="14" t="s">
        <v>20</v>
      </c>
    </row>
    <row r="22" spans="1:16">
      <c r="A22" s="14" t="s">
        <v>49</v>
      </c>
      <c r="B22" s="5">
        <v>46099</v>
      </c>
      <c r="C22" s="5">
        <v>46113</v>
      </c>
      <c r="D22" s="14">
        <v>3296</v>
      </c>
      <c r="E22" s="14">
        <v>342</v>
      </c>
      <c r="F22" s="34">
        <v>6</v>
      </c>
      <c r="G22" s="14">
        <v>2</v>
      </c>
      <c r="H22" s="14">
        <v>81518</v>
      </c>
      <c r="I22" s="14" t="s">
        <v>28</v>
      </c>
      <c r="J22" s="14">
        <v>75735694</v>
      </c>
      <c r="K22" s="14" t="s">
        <v>90</v>
      </c>
      <c r="L22" s="27" t="s">
        <v>91</v>
      </c>
      <c r="M22" s="28">
        <v>89900</v>
      </c>
      <c r="N22" s="29">
        <v>0.9</v>
      </c>
      <c r="O22" s="28">
        <f t="shared" si="0"/>
        <v>8990</v>
      </c>
      <c r="P22" s="14" t="s">
        <v>20</v>
      </c>
    </row>
    <row r="23" spans="1:16">
      <c r="A23" s="14" t="s">
        <v>49</v>
      </c>
      <c r="B23" s="5">
        <v>46099</v>
      </c>
      <c r="C23" s="5">
        <v>46113</v>
      </c>
      <c r="D23" s="14">
        <v>3296</v>
      </c>
      <c r="E23" s="14">
        <v>342</v>
      </c>
      <c r="F23" s="34">
        <v>6</v>
      </c>
      <c r="G23" s="14">
        <v>2</v>
      </c>
      <c r="H23" s="14">
        <v>81518</v>
      </c>
      <c r="I23" s="14" t="s">
        <v>28</v>
      </c>
      <c r="J23" s="14">
        <v>33218296</v>
      </c>
      <c r="K23" s="14" t="s">
        <v>92</v>
      </c>
      <c r="L23" s="27" t="s">
        <v>93</v>
      </c>
      <c r="M23" s="28">
        <v>99900</v>
      </c>
      <c r="N23" s="29">
        <v>0.9</v>
      </c>
      <c r="O23" s="28">
        <f t="shared" si="0"/>
        <v>9990</v>
      </c>
      <c r="P23" s="14" t="s">
        <v>20</v>
      </c>
    </row>
    <row r="24" spans="1:16">
      <c r="A24" s="14" t="s">
        <v>49</v>
      </c>
      <c r="B24" s="5">
        <v>46099</v>
      </c>
      <c r="C24" s="5">
        <v>46113</v>
      </c>
      <c r="D24" s="14">
        <v>3296</v>
      </c>
      <c r="E24" s="14">
        <v>342</v>
      </c>
      <c r="F24" s="34">
        <v>6</v>
      </c>
      <c r="G24" s="14">
        <v>2</v>
      </c>
      <c r="H24" s="14">
        <v>81518</v>
      </c>
      <c r="I24" s="14" t="s">
        <v>28</v>
      </c>
      <c r="J24" s="14">
        <v>33218312</v>
      </c>
      <c r="K24" s="14" t="s">
        <v>94</v>
      </c>
      <c r="L24" s="27" t="s">
        <v>95</v>
      </c>
      <c r="M24" s="28">
        <v>99900</v>
      </c>
      <c r="N24" s="29">
        <v>0.9</v>
      </c>
      <c r="O24" s="28">
        <f t="shared" si="0"/>
        <v>9990</v>
      </c>
      <c r="P24" s="14" t="s">
        <v>20</v>
      </c>
    </row>
    <row r="25" spans="1:16">
      <c r="A25" s="14" t="s">
        <v>49</v>
      </c>
      <c r="B25" s="5">
        <v>46099</v>
      </c>
      <c r="C25" s="5">
        <v>46113</v>
      </c>
      <c r="D25" s="14">
        <v>3296</v>
      </c>
      <c r="E25" s="14">
        <v>342</v>
      </c>
      <c r="F25" s="34">
        <v>6</v>
      </c>
      <c r="G25" s="14">
        <v>2</v>
      </c>
      <c r="H25" s="14">
        <v>81518</v>
      </c>
      <c r="I25" s="14" t="s">
        <v>28</v>
      </c>
      <c r="J25" s="14">
        <v>42878664</v>
      </c>
      <c r="K25" s="14" t="s">
        <v>96</v>
      </c>
      <c r="L25" s="27" t="s">
        <v>97</v>
      </c>
      <c r="M25" s="28">
        <v>99900</v>
      </c>
      <c r="N25" s="29">
        <v>0.9</v>
      </c>
      <c r="O25" s="28">
        <f t="shared" si="0"/>
        <v>9990</v>
      </c>
      <c r="P25" s="14" t="s">
        <v>20</v>
      </c>
    </row>
    <row r="26" spans="1:16">
      <c r="A26" s="14" t="s">
        <v>49</v>
      </c>
      <c r="B26" s="5">
        <v>46099</v>
      </c>
      <c r="C26" s="5">
        <v>46113</v>
      </c>
      <c r="D26" s="14">
        <v>3296</v>
      </c>
      <c r="E26" s="14">
        <v>342</v>
      </c>
      <c r="F26" s="34">
        <v>6</v>
      </c>
      <c r="G26" s="14">
        <v>2</v>
      </c>
      <c r="H26" s="14">
        <v>81518</v>
      </c>
      <c r="I26" s="14" t="s">
        <v>28</v>
      </c>
      <c r="J26" s="14">
        <v>42878888</v>
      </c>
      <c r="K26" s="14" t="s">
        <v>98</v>
      </c>
      <c r="L26" s="27" t="s">
        <v>99</v>
      </c>
      <c r="M26" s="28">
        <v>99900</v>
      </c>
      <c r="N26" s="29">
        <v>0.9</v>
      </c>
      <c r="O26" s="28">
        <f t="shared" si="0"/>
        <v>9990</v>
      </c>
      <c r="P26" s="14" t="s">
        <v>20</v>
      </c>
    </row>
    <row r="27" spans="1:16">
      <c r="A27" s="14" t="s">
        <v>49</v>
      </c>
      <c r="B27" s="5">
        <v>46099</v>
      </c>
      <c r="C27" s="5">
        <v>46113</v>
      </c>
      <c r="D27" s="14">
        <v>3296</v>
      </c>
      <c r="E27" s="14">
        <v>342</v>
      </c>
      <c r="F27" s="34">
        <v>6</v>
      </c>
      <c r="G27" s="14">
        <v>2</v>
      </c>
      <c r="H27" s="14">
        <v>81518</v>
      </c>
      <c r="I27" s="14" t="s">
        <v>28</v>
      </c>
      <c r="J27" s="14">
        <v>57550417</v>
      </c>
      <c r="K27" s="14" t="s">
        <v>100</v>
      </c>
      <c r="L27" s="27" t="s">
        <v>101</v>
      </c>
      <c r="M27" s="28">
        <v>99900</v>
      </c>
      <c r="N27" s="29">
        <v>0.9</v>
      </c>
      <c r="O27" s="28">
        <f t="shared" si="0"/>
        <v>9990</v>
      </c>
      <c r="P27" s="14" t="s">
        <v>20</v>
      </c>
    </row>
    <row r="28" spans="1:16">
      <c r="A28" s="14" t="s">
        <v>49</v>
      </c>
      <c r="B28" s="5">
        <v>46099</v>
      </c>
      <c r="C28" s="5">
        <v>46113</v>
      </c>
      <c r="D28" s="14">
        <v>3296</v>
      </c>
      <c r="E28" s="14">
        <v>342</v>
      </c>
      <c r="F28" s="34">
        <v>6</v>
      </c>
      <c r="G28" s="14">
        <v>2</v>
      </c>
      <c r="H28" s="14">
        <v>81518</v>
      </c>
      <c r="I28" s="14" t="s">
        <v>28</v>
      </c>
      <c r="J28" s="14">
        <v>57550426</v>
      </c>
      <c r="K28" s="14" t="s">
        <v>102</v>
      </c>
      <c r="L28" s="27" t="s">
        <v>103</v>
      </c>
      <c r="M28" s="28">
        <v>99900</v>
      </c>
      <c r="N28" s="29">
        <v>0.9</v>
      </c>
      <c r="O28" s="28">
        <f t="shared" si="0"/>
        <v>9990</v>
      </c>
      <c r="P28" s="14" t="s">
        <v>20</v>
      </c>
    </row>
    <row r="29" spans="1:16">
      <c r="A29" s="14" t="s">
        <v>49</v>
      </c>
      <c r="B29" s="5">
        <v>46099</v>
      </c>
      <c r="C29" s="5">
        <v>46113</v>
      </c>
      <c r="D29" s="14">
        <v>3296</v>
      </c>
      <c r="E29" s="14">
        <v>342</v>
      </c>
      <c r="F29" s="34">
        <v>6</v>
      </c>
      <c r="G29" s="14">
        <v>2</v>
      </c>
      <c r="H29" s="14">
        <v>81518</v>
      </c>
      <c r="I29" s="14" t="s">
        <v>28</v>
      </c>
      <c r="J29" s="14">
        <v>57550435</v>
      </c>
      <c r="K29" s="14" t="s">
        <v>104</v>
      </c>
      <c r="L29" s="27" t="s">
        <v>105</v>
      </c>
      <c r="M29" s="28">
        <v>99900</v>
      </c>
      <c r="N29" s="29">
        <v>0.9</v>
      </c>
      <c r="O29" s="28">
        <f t="shared" si="0"/>
        <v>9990</v>
      </c>
      <c r="P29" s="14" t="s">
        <v>20</v>
      </c>
    </row>
    <row r="30" spans="1:16">
      <c r="A30" s="14" t="s">
        <v>49</v>
      </c>
      <c r="B30" s="5">
        <v>46099</v>
      </c>
      <c r="C30" s="5">
        <v>46113</v>
      </c>
      <c r="D30" s="14">
        <v>3296</v>
      </c>
      <c r="E30" s="14">
        <v>342</v>
      </c>
      <c r="F30" s="34">
        <v>6</v>
      </c>
      <c r="G30" s="14">
        <v>2</v>
      </c>
      <c r="H30" s="14">
        <v>81375</v>
      </c>
      <c r="I30" s="14" t="s">
        <v>28</v>
      </c>
      <c r="J30" s="14">
        <v>70843273</v>
      </c>
      <c r="K30" s="14" t="s">
        <v>106</v>
      </c>
      <c r="L30" s="27" t="s">
        <v>107</v>
      </c>
      <c r="M30" s="28">
        <v>99900</v>
      </c>
      <c r="N30" s="29">
        <v>0.9</v>
      </c>
      <c r="O30" s="28">
        <f t="shared" si="0"/>
        <v>9990</v>
      </c>
      <c r="P30" s="14" t="s">
        <v>20</v>
      </c>
    </row>
    <row r="31" spans="1:16">
      <c r="A31" s="14" t="s">
        <v>49</v>
      </c>
      <c r="B31" s="5">
        <v>46099</v>
      </c>
      <c r="C31" s="5">
        <v>46113</v>
      </c>
      <c r="D31" s="14">
        <v>3296</v>
      </c>
      <c r="E31" s="14">
        <v>342</v>
      </c>
      <c r="F31" s="34">
        <v>6</v>
      </c>
      <c r="G31" s="14">
        <v>2</v>
      </c>
      <c r="H31" s="14">
        <v>81375</v>
      </c>
      <c r="I31" s="14" t="s">
        <v>28</v>
      </c>
      <c r="J31" s="14">
        <v>70843282</v>
      </c>
      <c r="K31" s="14" t="s">
        <v>108</v>
      </c>
      <c r="L31" s="27" t="s">
        <v>109</v>
      </c>
      <c r="M31" s="28">
        <v>99900</v>
      </c>
      <c r="N31" s="29">
        <v>0.9</v>
      </c>
      <c r="O31" s="28">
        <f t="shared" si="0"/>
        <v>9990</v>
      </c>
      <c r="P31" s="14" t="s">
        <v>20</v>
      </c>
    </row>
    <row r="32" spans="1:16">
      <c r="A32" s="14" t="s">
        <v>49</v>
      </c>
      <c r="B32" s="5">
        <v>46099</v>
      </c>
      <c r="C32" s="5">
        <v>46113</v>
      </c>
      <c r="D32" s="14">
        <v>3296</v>
      </c>
      <c r="E32" s="14">
        <v>342</v>
      </c>
      <c r="F32" s="34">
        <v>6</v>
      </c>
      <c r="G32" s="14">
        <v>2</v>
      </c>
      <c r="H32" s="14">
        <v>81375</v>
      </c>
      <c r="I32" s="14" t="s">
        <v>28</v>
      </c>
      <c r="J32" s="14">
        <v>70843291</v>
      </c>
      <c r="K32" s="14" t="s">
        <v>110</v>
      </c>
      <c r="L32" s="27" t="s">
        <v>111</v>
      </c>
      <c r="M32" s="28">
        <v>99900</v>
      </c>
      <c r="N32" s="29">
        <v>0.9</v>
      </c>
      <c r="O32" s="28">
        <f t="shared" si="0"/>
        <v>9990</v>
      </c>
      <c r="P32" s="14" t="s">
        <v>20</v>
      </c>
    </row>
    <row r="33" spans="1:16">
      <c r="A33" s="14" t="s">
        <v>49</v>
      </c>
      <c r="B33" s="5">
        <v>46099</v>
      </c>
      <c r="C33" s="5">
        <v>46113</v>
      </c>
      <c r="D33" s="14">
        <v>3296</v>
      </c>
      <c r="E33" s="14">
        <v>342</v>
      </c>
      <c r="F33" s="34">
        <v>6</v>
      </c>
      <c r="G33" s="14">
        <v>2</v>
      </c>
      <c r="H33" s="14">
        <v>81375</v>
      </c>
      <c r="I33" s="14" t="s">
        <v>28</v>
      </c>
      <c r="J33" s="14">
        <v>73405722</v>
      </c>
      <c r="K33" s="14" t="s">
        <v>112</v>
      </c>
      <c r="L33" s="27" t="s">
        <v>113</v>
      </c>
      <c r="M33" s="28">
        <v>79900</v>
      </c>
      <c r="N33" s="29">
        <v>0.9</v>
      </c>
      <c r="O33" s="28">
        <f t="shared" si="0"/>
        <v>7990</v>
      </c>
      <c r="P33" s="14" t="s">
        <v>20</v>
      </c>
    </row>
    <row r="34" spans="1:16">
      <c r="A34" s="14" t="s">
        <v>49</v>
      </c>
      <c r="B34" s="5">
        <v>46099</v>
      </c>
      <c r="C34" s="5">
        <v>46113</v>
      </c>
      <c r="D34" s="14">
        <v>3296</v>
      </c>
      <c r="E34" s="14">
        <v>342</v>
      </c>
      <c r="F34" s="34">
        <v>6</v>
      </c>
      <c r="G34" s="14">
        <v>2</v>
      </c>
      <c r="H34" s="14">
        <v>81518</v>
      </c>
      <c r="I34" s="14" t="s">
        <v>28</v>
      </c>
      <c r="J34" s="14">
        <v>73462885</v>
      </c>
      <c r="K34" s="14" t="s">
        <v>114</v>
      </c>
      <c r="L34" s="27" t="s">
        <v>115</v>
      </c>
      <c r="M34" s="28">
        <v>99900</v>
      </c>
      <c r="N34" s="29">
        <v>0.9</v>
      </c>
      <c r="O34" s="28">
        <f t="shared" si="0"/>
        <v>9990</v>
      </c>
      <c r="P34" s="14" t="s">
        <v>20</v>
      </c>
    </row>
    <row r="35" spans="1:16">
      <c r="A35" s="14" t="s">
        <v>49</v>
      </c>
      <c r="B35" s="5">
        <v>46099</v>
      </c>
      <c r="C35" s="5">
        <v>46113</v>
      </c>
      <c r="D35" s="14">
        <v>3296</v>
      </c>
      <c r="E35" s="14">
        <v>342</v>
      </c>
      <c r="F35" s="34">
        <v>6</v>
      </c>
      <c r="G35" s="14">
        <v>2</v>
      </c>
      <c r="H35" s="14">
        <v>81518</v>
      </c>
      <c r="I35" s="14" t="s">
        <v>28</v>
      </c>
      <c r="J35" s="14">
        <v>73462894</v>
      </c>
      <c r="K35" s="14" t="s">
        <v>116</v>
      </c>
      <c r="L35" s="27" t="s">
        <v>117</v>
      </c>
      <c r="M35" s="28">
        <v>99900</v>
      </c>
      <c r="N35" s="29">
        <v>0.9</v>
      </c>
      <c r="O35" s="28">
        <f t="shared" si="0"/>
        <v>9990</v>
      </c>
      <c r="P35" s="14" t="s">
        <v>20</v>
      </c>
    </row>
    <row r="36" spans="1:16">
      <c r="A36" s="14" t="s">
        <v>49</v>
      </c>
      <c r="B36" s="5">
        <v>46099</v>
      </c>
      <c r="C36" s="5">
        <v>46113</v>
      </c>
      <c r="D36" s="14">
        <v>3296</v>
      </c>
      <c r="E36" s="14">
        <v>342</v>
      </c>
      <c r="F36" s="34">
        <v>6</v>
      </c>
      <c r="G36" s="14">
        <v>2</v>
      </c>
      <c r="H36" s="14">
        <v>81518</v>
      </c>
      <c r="I36" s="14" t="s">
        <v>28</v>
      </c>
      <c r="J36" s="14">
        <v>73462901</v>
      </c>
      <c r="K36" s="14" t="s">
        <v>118</v>
      </c>
      <c r="L36" s="27" t="s">
        <v>119</v>
      </c>
      <c r="M36" s="28">
        <v>99900</v>
      </c>
      <c r="N36" s="29">
        <v>0.9</v>
      </c>
      <c r="O36" s="28">
        <f t="shared" si="0"/>
        <v>9990</v>
      </c>
      <c r="P36" s="14" t="s">
        <v>20</v>
      </c>
    </row>
    <row r="37" spans="1:16">
      <c r="A37" s="14" t="s">
        <v>49</v>
      </c>
      <c r="B37" s="5">
        <v>46099</v>
      </c>
      <c r="C37" s="5">
        <v>46113</v>
      </c>
      <c r="D37" s="14">
        <v>3296</v>
      </c>
      <c r="E37" s="14">
        <v>342</v>
      </c>
      <c r="F37" s="34">
        <v>6</v>
      </c>
      <c r="G37" s="14">
        <v>2</v>
      </c>
      <c r="H37" s="14">
        <v>81375</v>
      </c>
      <c r="I37" s="14" t="s">
        <v>28</v>
      </c>
      <c r="J37" s="14">
        <v>76119867</v>
      </c>
      <c r="K37" s="14" t="s">
        <v>120</v>
      </c>
      <c r="L37" s="27" t="s">
        <v>121</v>
      </c>
      <c r="M37" s="28">
        <v>129900</v>
      </c>
      <c r="N37" s="29">
        <v>0.9</v>
      </c>
      <c r="O37" s="28">
        <f t="shared" si="0"/>
        <v>12990</v>
      </c>
      <c r="P37" s="14" t="s">
        <v>20</v>
      </c>
    </row>
    <row r="38" spans="1:16">
      <c r="A38" s="14" t="s">
        <v>49</v>
      </c>
      <c r="B38" s="5">
        <v>46099</v>
      </c>
      <c r="C38" s="5">
        <v>46113</v>
      </c>
      <c r="D38" s="14">
        <v>3296</v>
      </c>
      <c r="E38" s="14">
        <v>342</v>
      </c>
      <c r="F38" s="34">
        <v>6</v>
      </c>
      <c r="G38" s="14">
        <v>2</v>
      </c>
      <c r="H38" s="14">
        <v>81375</v>
      </c>
      <c r="I38" s="14" t="s">
        <v>28</v>
      </c>
      <c r="J38" s="14">
        <v>76119876</v>
      </c>
      <c r="K38" s="14" t="s">
        <v>122</v>
      </c>
      <c r="L38" s="27" t="s">
        <v>123</v>
      </c>
      <c r="M38" s="28">
        <v>99900</v>
      </c>
      <c r="N38" s="29">
        <v>0.9</v>
      </c>
      <c r="O38" s="28">
        <f t="shared" si="0"/>
        <v>9990</v>
      </c>
      <c r="P38" s="14" t="s">
        <v>20</v>
      </c>
    </row>
    <row r="39" spans="1:16">
      <c r="A39" s="14" t="s">
        <v>49</v>
      </c>
      <c r="B39" s="5">
        <v>46099</v>
      </c>
      <c r="C39" s="5">
        <v>46113</v>
      </c>
      <c r="D39" s="14">
        <v>3296</v>
      </c>
      <c r="E39" s="14">
        <v>342</v>
      </c>
      <c r="F39" s="34">
        <v>6</v>
      </c>
      <c r="G39" s="14">
        <v>2</v>
      </c>
      <c r="H39" s="14">
        <v>81375</v>
      </c>
      <c r="I39" s="14" t="s">
        <v>28</v>
      </c>
      <c r="J39" s="14">
        <v>76119885</v>
      </c>
      <c r="K39" s="14" t="s">
        <v>124</v>
      </c>
      <c r="L39" s="27" t="s">
        <v>125</v>
      </c>
      <c r="M39" s="28">
        <v>99900</v>
      </c>
      <c r="N39" s="29">
        <v>0.9</v>
      </c>
      <c r="O39" s="28">
        <f t="shared" si="0"/>
        <v>9990</v>
      </c>
      <c r="P39" s="14" t="s">
        <v>20</v>
      </c>
    </row>
    <row r="40" spans="1:16">
      <c r="A40" s="14" t="s">
        <v>49</v>
      </c>
      <c r="B40" s="5">
        <v>46099</v>
      </c>
      <c r="C40" s="5">
        <v>46113</v>
      </c>
      <c r="D40" s="14">
        <v>3296</v>
      </c>
      <c r="E40" s="14">
        <v>342</v>
      </c>
      <c r="F40" s="34">
        <v>6</v>
      </c>
      <c r="G40" s="14">
        <v>2</v>
      </c>
      <c r="H40" s="14">
        <v>81375</v>
      </c>
      <c r="I40" s="14" t="s">
        <v>28</v>
      </c>
      <c r="J40" s="14">
        <v>76119894</v>
      </c>
      <c r="K40" s="14" t="s">
        <v>126</v>
      </c>
      <c r="L40" s="27" t="s">
        <v>127</v>
      </c>
      <c r="M40" s="28">
        <v>99900</v>
      </c>
      <c r="N40" s="29">
        <v>0.9</v>
      </c>
      <c r="O40" s="28">
        <f t="shared" si="0"/>
        <v>9990</v>
      </c>
      <c r="P40" s="14" t="s">
        <v>20</v>
      </c>
    </row>
    <row r="41" spans="1:16">
      <c r="A41" s="14" t="s">
        <v>49</v>
      </c>
      <c r="B41" s="5">
        <v>46099</v>
      </c>
      <c r="C41" s="5">
        <v>46113</v>
      </c>
      <c r="D41" s="14">
        <v>3296</v>
      </c>
      <c r="E41" s="14">
        <v>342</v>
      </c>
      <c r="F41" s="34">
        <v>6</v>
      </c>
      <c r="G41" s="14">
        <v>2</v>
      </c>
      <c r="H41" s="14">
        <v>81375</v>
      </c>
      <c r="I41" s="14" t="s">
        <v>28</v>
      </c>
      <c r="J41" s="14">
        <v>76119901</v>
      </c>
      <c r="K41" s="14" t="s">
        <v>128</v>
      </c>
      <c r="L41" s="27" t="s">
        <v>129</v>
      </c>
      <c r="M41" s="28">
        <v>99900</v>
      </c>
      <c r="N41" s="29">
        <v>0.9</v>
      </c>
      <c r="O41" s="28">
        <f t="shared" si="0"/>
        <v>9990</v>
      </c>
      <c r="P41" s="14" t="s">
        <v>20</v>
      </c>
    </row>
    <row r="42" spans="1:16">
      <c r="A42" s="14" t="s">
        <v>49</v>
      </c>
      <c r="B42" s="5">
        <v>46099</v>
      </c>
      <c r="C42" s="5">
        <v>46113</v>
      </c>
      <c r="D42" s="14">
        <v>3296</v>
      </c>
      <c r="E42" s="14">
        <v>342</v>
      </c>
      <c r="F42" s="34">
        <v>6</v>
      </c>
      <c r="G42" s="14">
        <v>2</v>
      </c>
      <c r="H42" s="14">
        <v>81375</v>
      </c>
      <c r="I42" s="14" t="s">
        <v>28</v>
      </c>
      <c r="J42" s="14">
        <v>76130611</v>
      </c>
      <c r="K42" s="14" t="s">
        <v>130</v>
      </c>
      <c r="L42" s="27" t="s">
        <v>131</v>
      </c>
      <c r="M42" s="28">
        <v>99900</v>
      </c>
      <c r="N42" s="29">
        <v>0.9</v>
      </c>
      <c r="O42" s="28">
        <f t="shared" si="0"/>
        <v>9990</v>
      </c>
      <c r="P42" s="14" t="s">
        <v>20</v>
      </c>
    </row>
    <row r="43" spans="1:16">
      <c r="A43" s="14" t="s">
        <v>49</v>
      </c>
      <c r="B43" s="5">
        <v>46099</v>
      </c>
      <c r="C43" s="5">
        <v>46113</v>
      </c>
      <c r="D43" s="14">
        <v>3296</v>
      </c>
      <c r="E43" s="14">
        <v>342</v>
      </c>
      <c r="F43" s="34">
        <v>6</v>
      </c>
      <c r="G43" s="14">
        <v>1</v>
      </c>
      <c r="H43" s="14">
        <v>81518</v>
      </c>
      <c r="I43" s="14" t="s">
        <v>28</v>
      </c>
      <c r="J43" s="14">
        <v>26617912</v>
      </c>
      <c r="K43" s="14" t="s">
        <v>132</v>
      </c>
      <c r="L43" s="27" t="s">
        <v>133</v>
      </c>
      <c r="M43" s="28">
        <v>99900</v>
      </c>
      <c r="N43" s="29">
        <v>0.9</v>
      </c>
      <c r="O43" s="28">
        <f t="shared" si="0"/>
        <v>9990</v>
      </c>
      <c r="P43" s="14" t="s">
        <v>20</v>
      </c>
    </row>
    <row r="44" spans="1:16">
      <c r="A44" s="14" t="s">
        <v>49</v>
      </c>
      <c r="B44" s="5">
        <v>46099</v>
      </c>
      <c r="C44" s="5">
        <v>46113</v>
      </c>
      <c r="D44" s="14">
        <v>3296</v>
      </c>
      <c r="E44" s="14">
        <v>342</v>
      </c>
      <c r="F44" s="34">
        <v>6</v>
      </c>
      <c r="G44" s="14">
        <v>1</v>
      </c>
      <c r="H44" s="14">
        <v>81518</v>
      </c>
      <c r="I44" s="14" t="s">
        <v>28</v>
      </c>
      <c r="J44" s="14">
        <v>26617976</v>
      </c>
      <c r="K44" s="14" t="s">
        <v>134</v>
      </c>
      <c r="L44" s="27" t="s">
        <v>135</v>
      </c>
      <c r="M44" s="28">
        <v>89900</v>
      </c>
      <c r="N44" s="29">
        <v>0.9</v>
      </c>
      <c r="O44" s="28">
        <f t="shared" si="0"/>
        <v>8990</v>
      </c>
      <c r="P44" s="14" t="s">
        <v>20</v>
      </c>
    </row>
    <row r="45" spans="1:16">
      <c r="A45" s="14" t="s">
        <v>49</v>
      </c>
      <c r="B45" s="5">
        <v>46099</v>
      </c>
      <c r="C45" s="5">
        <v>46113</v>
      </c>
      <c r="D45" s="14">
        <v>3296</v>
      </c>
      <c r="E45" s="14">
        <v>342</v>
      </c>
      <c r="F45" s="34">
        <v>6</v>
      </c>
      <c r="G45" s="14">
        <v>1</v>
      </c>
      <c r="H45" s="14">
        <v>81471</v>
      </c>
      <c r="I45" s="14" t="s">
        <v>28</v>
      </c>
      <c r="J45" s="14">
        <v>28006300</v>
      </c>
      <c r="K45" s="14" t="s">
        <v>136</v>
      </c>
      <c r="L45" s="27" t="s">
        <v>137</v>
      </c>
      <c r="M45" s="28">
        <v>119900</v>
      </c>
      <c r="N45" s="29">
        <v>0.9</v>
      </c>
      <c r="O45" s="28">
        <f t="shared" si="0"/>
        <v>11990</v>
      </c>
      <c r="P45" s="14" t="s">
        <v>20</v>
      </c>
    </row>
    <row r="46" spans="1:16">
      <c r="A46" s="14" t="s">
        <v>49</v>
      </c>
      <c r="B46" s="5">
        <v>46099</v>
      </c>
      <c r="C46" s="5">
        <v>46113</v>
      </c>
      <c r="D46" s="14">
        <v>3296</v>
      </c>
      <c r="E46" s="14">
        <v>342</v>
      </c>
      <c r="F46" s="34">
        <v>6</v>
      </c>
      <c r="G46" s="14">
        <v>1</v>
      </c>
      <c r="H46" s="14">
        <v>81471</v>
      </c>
      <c r="I46" s="14" t="s">
        <v>28</v>
      </c>
      <c r="J46" s="14">
        <v>32661764</v>
      </c>
      <c r="K46" s="14" t="s">
        <v>138</v>
      </c>
      <c r="L46" s="27" t="s">
        <v>139</v>
      </c>
      <c r="M46" s="28">
        <v>89900</v>
      </c>
      <c r="N46" s="29">
        <v>0.9</v>
      </c>
      <c r="O46" s="28">
        <f t="shared" si="0"/>
        <v>8990</v>
      </c>
      <c r="P46" s="14" t="s">
        <v>20</v>
      </c>
    </row>
    <row r="47" spans="1:16">
      <c r="A47" s="14" t="s">
        <v>49</v>
      </c>
      <c r="B47" s="5">
        <v>46099</v>
      </c>
      <c r="C47" s="5">
        <v>46113</v>
      </c>
      <c r="D47" s="14">
        <v>3296</v>
      </c>
      <c r="E47" s="14">
        <v>342</v>
      </c>
      <c r="F47" s="34">
        <v>6</v>
      </c>
      <c r="G47" s="14">
        <v>1</v>
      </c>
      <c r="H47" s="14">
        <v>81375</v>
      </c>
      <c r="I47" s="14" t="s">
        <v>28</v>
      </c>
      <c r="J47" s="14">
        <v>32662101</v>
      </c>
      <c r="K47" s="14" t="s">
        <v>140</v>
      </c>
      <c r="L47" s="27" t="s">
        <v>141</v>
      </c>
      <c r="M47" s="28">
        <v>119900</v>
      </c>
      <c r="N47" s="29">
        <v>0.9</v>
      </c>
      <c r="O47" s="28">
        <f t="shared" si="0"/>
        <v>11990</v>
      </c>
      <c r="P47" s="14" t="s">
        <v>20</v>
      </c>
    </row>
    <row r="48" spans="1:16">
      <c r="A48" s="14" t="s">
        <v>49</v>
      </c>
      <c r="B48" s="5">
        <v>46099</v>
      </c>
      <c r="C48" s="5">
        <v>46113</v>
      </c>
      <c r="D48" s="14">
        <v>3296</v>
      </c>
      <c r="E48" s="14">
        <v>342</v>
      </c>
      <c r="F48" s="34">
        <v>6</v>
      </c>
      <c r="G48" s="14">
        <v>1</v>
      </c>
      <c r="H48" s="14">
        <v>81375</v>
      </c>
      <c r="I48" s="14" t="s">
        <v>28</v>
      </c>
      <c r="J48" s="14">
        <v>33043608</v>
      </c>
      <c r="K48" s="14" t="s">
        <v>142</v>
      </c>
      <c r="L48" s="27" t="s">
        <v>143</v>
      </c>
      <c r="M48" s="28">
        <v>89900</v>
      </c>
      <c r="N48" s="29">
        <v>0.9</v>
      </c>
      <c r="O48" s="28">
        <f t="shared" si="0"/>
        <v>8990</v>
      </c>
      <c r="P48" s="14" t="s">
        <v>20</v>
      </c>
    </row>
    <row r="49" spans="1:16">
      <c r="A49" s="14" t="s">
        <v>49</v>
      </c>
      <c r="B49" s="5">
        <v>46099</v>
      </c>
      <c r="C49" s="5">
        <v>46113</v>
      </c>
      <c r="D49" s="14">
        <v>3296</v>
      </c>
      <c r="E49" s="14">
        <v>342</v>
      </c>
      <c r="F49" s="34">
        <v>6</v>
      </c>
      <c r="G49" s="14">
        <v>1</v>
      </c>
      <c r="H49" s="14">
        <v>81471</v>
      </c>
      <c r="I49" s="14" t="s">
        <v>28</v>
      </c>
      <c r="J49" s="14">
        <v>57356520</v>
      </c>
      <c r="K49" s="14" t="s">
        <v>144</v>
      </c>
      <c r="L49" s="27" t="s">
        <v>145</v>
      </c>
      <c r="M49" s="28">
        <v>89900</v>
      </c>
      <c r="N49" s="29">
        <v>0.9</v>
      </c>
      <c r="O49" s="28">
        <f t="shared" si="0"/>
        <v>8990</v>
      </c>
      <c r="P49" s="14" t="s">
        <v>20</v>
      </c>
    </row>
    <row r="50" spans="1:16">
      <c r="A50" s="14" t="s">
        <v>49</v>
      </c>
      <c r="B50" s="5">
        <v>46099</v>
      </c>
      <c r="C50" s="5">
        <v>46113</v>
      </c>
      <c r="D50" s="14">
        <v>3296</v>
      </c>
      <c r="E50" s="14">
        <v>342</v>
      </c>
      <c r="F50" s="34">
        <v>6</v>
      </c>
      <c r="G50" s="14">
        <v>1</v>
      </c>
      <c r="H50" s="14">
        <v>81471</v>
      </c>
      <c r="I50" s="14" t="s">
        <v>28</v>
      </c>
      <c r="J50" s="14">
        <v>57356539</v>
      </c>
      <c r="K50" s="14" t="s">
        <v>146</v>
      </c>
      <c r="L50" s="27" t="s">
        <v>147</v>
      </c>
      <c r="M50" s="28">
        <v>89900</v>
      </c>
      <c r="N50" s="29">
        <v>0.9</v>
      </c>
      <c r="O50" s="28">
        <f t="shared" si="0"/>
        <v>8990</v>
      </c>
      <c r="P50" s="14" t="s">
        <v>20</v>
      </c>
    </row>
    <row r="51" spans="1:16">
      <c r="A51" s="14" t="s">
        <v>49</v>
      </c>
      <c r="B51" s="5">
        <v>46099</v>
      </c>
      <c r="C51" s="5">
        <v>46113</v>
      </c>
      <c r="D51" s="14">
        <v>3296</v>
      </c>
      <c r="E51" s="14">
        <v>342</v>
      </c>
      <c r="F51" s="34">
        <v>6</v>
      </c>
      <c r="G51" s="14">
        <v>1</v>
      </c>
      <c r="H51" s="14">
        <v>81375</v>
      </c>
      <c r="I51" s="14" t="s">
        <v>28</v>
      </c>
      <c r="J51" s="14">
        <v>67957022</v>
      </c>
      <c r="K51" s="14" t="s">
        <v>148</v>
      </c>
      <c r="L51" s="27" t="s">
        <v>149</v>
      </c>
      <c r="M51" s="28">
        <v>119900</v>
      </c>
      <c r="N51" s="29">
        <v>0.9</v>
      </c>
      <c r="O51" s="28">
        <f t="shared" ref="O51:O85" si="1">M51*(1-N51)</f>
        <v>11990</v>
      </c>
      <c r="P51" s="14" t="s">
        <v>20</v>
      </c>
    </row>
    <row r="52" spans="1:16">
      <c r="A52" s="14" t="s">
        <v>49</v>
      </c>
      <c r="B52" s="5">
        <v>46099</v>
      </c>
      <c r="C52" s="5">
        <v>46113</v>
      </c>
      <c r="D52" s="14">
        <v>3296</v>
      </c>
      <c r="E52" s="14">
        <v>342</v>
      </c>
      <c r="F52" s="34">
        <v>6</v>
      </c>
      <c r="G52" s="14">
        <v>1</v>
      </c>
      <c r="H52" s="14">
        <v>81518</v>
      </c>
      <c r="I52" s="14" t="s">
        <v>28</v>
      </c>
      <c r="J52" s="14">
        <v>67957077</v>
      </c>
      <c r="K52" s="14" t="s">
        <v>150</v>
      </c>
      <c r="L52" s="27" t="s">
        <v>151</v>
      </c>
      <c r="M52" s="28">
        <v>99900</v>
      </c>
      <c r="N52" s="29">
        <v>0.9</v>
      </c>
      <c r="O52" s="28">
        <f t="shared" si="1"/>
        <v>9990</v>
      </c>
      <c r="P52" s="14" t="s">
        <v>20</v>
      </c>
    </row>
    <row r="53" spans="1:16">
      <c r="A53" s="14" t="s">
        <v>49</v>
      </c>
      <c r="B53" s="5">
        <v>46099</v>
      </c>
      <c r="C53" s="5">
        <v>46113</v>
      </c>
      <c r="D53" s="14">
        <v>3296</v>
      </c>
      <c r="E53" s="14">
        <v>342</v>
      </c>
      <c r="F53" s="34">
        <v>6</v>
      </c>
      <c r="G53" s="14">
        <v>1</v>
      </c>
      <c r="H53" s="14">
        <v>81375</v>
      </c>
      <c r="I53" s="14" t="s">
        <v>28</v>
      </c>
      <c r="J53" s="14">
        <v>70038885</v>
      </c>
      <c r="K53" s="14" t="s">
        <v>152</v>
      </c>
      <c r="L53" s="27" t="s">
        <v>153</v>
      </c>
      <c r="M53" s="28">
        <v>119900</v>
      </c>
      <c r="N53" s="29">
        <v>0.9</v>
      </c>
      <c r="O53" s="28">
        <f t="shared" si="1"/>
        <v>11990</v>
      </c>
      <c r="P53" s="14" t="s">
        <v>20</v>
      </c>
    </row>
    <row r="54" spans="1:16">
      <c r="A54" s="14" t="s">
        <v>49</v>
      </c>
      <c r="B54" s="5">
        <v>46099</v>
      </c>
      <c r="C54" s="5">
        <v>46113</v>
      </c>
      <c r="D54" s="14">
        <v>3296</v>
      </c>
      <c r="E54" s="14">
        <v>342</v>
      </c>
      <c r="F54" s="34">
        <v>6</v>
      </c>
      <c r="G54" s="14">
        <v>1</v>
      </c>
      <c r="H54" s="14">
        <v>81375</v>
      </c>
      <c r="I54" s="14" t="s">
        <v>28</v>
      </c>
      <c r="J54" s="14">
        <v>73125712</v>
      </c>
      <c r="K54" s="14" t="s">
        <v>154</v>
      </c>
      <c r="L54" s="27" t="s">
        <v>155</v>
      </c>
      <c r="M54" s="28">
        <v>119900</v>
      </c>
      <c r="N54" s="29">
        <v>0.9</v>
      </c>
      <c r="O54" s="28">
        <f t="shared" si="1"/>
        <v>11990</v>
      </c>
      <c r="P54" s="14" t="s">
        <v>20</v>
      </c>
    </row>
    <row r="55" spans="1:16">
      <c r="A55" s="14" t="s">
        <v>49</v>
      </c>
      <c r="B55" s="5">
        <v>46099</v>
      </c>
      <c r="C55" s="5">
        <v>46113</v>
      </c>
      <c r="D55" s="14">
        <v>3296</v>
      </c>
      <c r="E55" s="14">
        <v>342</v>
      </c>
      <c r="F55" s="34">
        <v>6</v>
      </c>
      <c r="G55" s="14">
        <v>1</v>
      </c>
      <c r="H55" s="14">
        <v>81375</v>
      </c>
      <c r="I55" s="14" t="s">
        <v>28</v>
      </c>
      <c r="J55" s="14">
        <v>70660612</v>
      </c>
      <c r="K55" s="14" t="s">
        <v>156</v>
      </c>
      <c r="L55" s="27" t="s">
        <v>157</v>
      </c>
      <c r="M55" s="28">
        <v>269900</v>
      </c>
      <c r="N55" s="29">
        <v>0.9</v>
      </c>
      <c r="O55" s="28">
        <f t="shared" si="1"/>
        <v>26990</v>
      </c>
      <c r="P55" s="14" t="s">
        <v>20</v>
      </c>
    </row>
    <row r="56" spans="1:16">
      <c r="A56" s="14" t="s">
        <v>49</v>
      </c>
      <c r="B56" s="5">
        <v>46099</v>
      </c>
      <c r="C56" s="5">
        <v>46113</v>
      </c>
      <c r="D56" s="14">
        <v>3296</v>
      </c>
      <c r="E56" s="14">
        <v>342</v>
      </c>
      <c r="F56" s="34">
        <v>6</v>
      </c>
      <c r="G56" s="14">
        <v>1</v>
      </c>
      <c r="H56" s="14">
        <v>81375</v>
      </c>
      <c r="I56" s="14" t="s">
        <v>28</v>
      </c>
      <c r="J56" s="14">
        <v>70843264</v>
      </c>
      <c r="K56" s="14" t="s">
        <v>158</v>
      </c>
      <c r="L56" s="27" t="s">
        <v>159</v>
      </c>
      <c r="M56" s="28">
        <v>119900</v>
      </c>
      <c r="N56" s="29">
        <v>0.9</v>
      </c>
      <c r="O56" s="28">
        <f t="shared" si="1"/>
        <v>11990</v>
      </c>
      <c r="P56" s="14" t="s">
        <v>20</v>
      </c>
    </row>
    <row r="57" spans="1:16">
      <c r="A57" s="14" t="s">
        <v>49</v>
      </c>
      <c r="B57" s="5">
        <v>46099</v>
      </c>
      <c r="C57" s="5">
        <v>46113</v>
      </c>
      <c r="D57" s="14">
        <v>3296</v>
      </c>
      <c r="E57" s="14">
        <v>342</v>
      </c>
      <c r="F57" s="34">
        <v>6</v>
      </c>
      <c r="G57" s="14">
        <v>1</v>
      </c>
      <c r="H57" s="14">
        <v>81375</v>
      </c>
      <c r="I57" s="14" t="s">
        <v>28</v>
      </c>
      <c r="J57" s="14">
        <v>73125721</v>
      </c>
      <c r="K57" s="14" t="s">
        <v>152</v>
      </c>
      <c r="L57" s="27" t="s">
        <v>160</v>
      </c>
      <c r="M57" s="28">
        <v>119900</v>
      </c>
      <c r="N57" s="29">
        <v>0.9</v>
      </c>
      <c r="O57" s="28">
        <f t="shared" si="1"/>
        <v>11990</v>
      </c>
      <c r="P57" s="14" t="s">
        <v>20</v>
      </c>
    </row>
    <row r="58" spans="1:16">
      <c r="A58" s="14" t="s">
        <v>49</v>
      </c>
      <c r="B58" s="5">
        <v>46099</v>
      </c>
      <c r="C58" s="5">
        <v>46113</v>
      </c>
      <c r="D58" s="14">
        <v>3296</v>
      </c>
      <c r="E58" s="14">
        <v>342</v>
      </c>
      <c r="F58" s="34">
        <v>6</v>
      </c>
      <c r="G58" s="14">
        <v>2</v>
      </c>
      <c r="H58" s="14">
        <v>81471</v>
      </c>
      <c r="I58" s="14" t="s">
        <v>28</v>
      </c>
      <c r="J58" s="14">
        <v>66849874</v>
      </c>
      <c r="K58" s="14" t="s">
        <v>161</v>
      </c>
      <c r="L58" s="27" t="s">
        <v>162</v>
      </c>
      <c r="M58" s="28">
        <v>119900</v>
      </c>
      <c r="N58" s="29">
        <v>0.9</v>
      </c>
      <c r="O58" s="28">
        <f t="shared" si="1"/>
        <v>11990</v>
      </c>
      <c r="P58" s="14" t="s">
        <v>20</v>
      </c>
    </row>
    <row r="59" spans="1:16">
      <c r="A59" s="14" t="s">
        <v>49</v>
      </c>
      <c r="B59" s="5">
        <v>46099</v>
      </c>
      <c r="C59" s="5">
        <v>46113</v>
      </c>
      <c r="D59" s="14">
        <v>3296</v>
      </c>
      <c r="E59" s="14">
        <v>342</v>
      </c>
      <c r="F59" s="34">
        <v>6</v>
      </c>
      <c r="G59" s="14">
        <v>2</v>
      </c>
      <c r="H59" s="14">
        <v>81471</v>
      </c>
      <c r="I59" s="14" t="s">
        <v>28</v>
      </c>
      <c r="J59" s="14">
        <v>66849883</v>
      </c>
      <c r="K59" s="14" t="s">
        <v>163</v>
      </c>
      <c r="L59" s="27" t="s">
        <v>164</v>
      </c>
      <c r="M59" s="28">
        <v>119900</v>
      </c>
      <c r="N59" s="29">
        <v>0.9</v>
      </c>
      <c r="O59" s="28">
        <f t="shared" si="1"/>
        <v>11990</v>
      </c>
      <c r="P59" s="14" t="s">
        <v>20</v>
      </c>
    </row>
    <row r="60" spans="1:16">
      <c r="A60" s="14" t="s">
        <v>49</v>
      </c>
      <c r="B60" s="5">
        <v>46099</v>
      </c>
      <c r="C60" s="5">
        <v>46113</v>
      </c>
      <c r="D60" s="14">
        <v>3296</v>
      </c>
      <c r="E60" s="14">
        <v>342</v>
      </c>
      <c r="F60" s="34">
        <v>6</v>
      </c>
      <c r="G60" s="14">
        <v>2</v>
      </c>
      <c r="H60" s="14">
        <v>81441</v>
      </c>
      <c r="I60" s="14" t="s">
        <v>28</v>
      </c>
      <c r="J60" s="14">
        <v>26683510</v>
      </c>
      <c r="K60" s="14" t="s">
        <v>165</v>
      </c>
      <c r="L60" s="27" t="s">
        <v>166</v>
      </c>
      <c r="M60" s="28">
        <v>59900</v>
      </c>
      <c r="N60" s="29">
        <v>0.9</v>
      </c>
      <c r="O60" s="28">
        <f t="shared" si="1"/>
        <v>5990</v>
      </c>
      <c r="P60" s="14" t="s">
        <v>20</v>
      </c>
    </row>
    <row r="61" spans="1:16">
      <c r="A61" s="14" t="s">
        <v>49</v>
      </c>
      <c r="B61" s="5">
        <v>46099</v>
      </c>
      <c r="C61" s="5">
        <v>46113</v>
      </c>
      <c r="D61" s="14">
        <v>3296</v>
      </c>
      <c r="E61" s="14">
        <v>342</v>
      </c>
      <c r="F61" s="34">
        <v>6</v>
      </c>
      <c r="G61" s="14">
        <v>2</v>
      </c>
      <c r="H61" s="14">
        <v>81441</v>
      </c>
      <c r="I61" s="14" t="s">
        <v>28</v>
      </c>
      <c r="J61" s="14">
        <v>26683529</v>
      </c>
      <c r="K61" s="14" t="s">
        <v>167</v>
      </c>
      <c r="L61" s="27" t="s">
        <v>168</v>
      </c>
      <c r="M61" s="28">
        <v>59900</v>
      </c>
      <c r="N61" s="29">
        <v>0.9</v>
      </c>
      <c r="O61" s="28">
        <f t="shared" si="1"/>
        <v>5990</v>
      </c>
      <c r="P61" s="14" t="s">
        <v>20</v>
      </c>
    </row>
    <row r="62" spans="1:16">
      <c r="A62" s="14" t="s">
        <v>49</v>
      </c>
      <c r="B62" s="5">
        <v>46099</v>
      </c>
      <c r="C62" s="5">
        <v>46113</v>
      </c>
      <c r="D62" s="14">
        <v>3296</v>
      </c>
      <c r="E62" s="14">
        <v>342</v>
      </c>
      <c r="F62" s="34">
        <v>6</v>
      </c>
      <c r="G62" s="14">
        <v>2</v>
      </c>
      <c r="H62" s="14">
        <v>81518</v>
      </c>
      <c r="I62" s="14" t="s">
        <v>28</v>
      </c>
      <c r="J62" s="14">
        <v>32661915</v>
      </c>
      <c r="K62" s="14" t="s">
        <v>169</v>
      </c>
      <c r="L62" s="27" t="s">
        <v>170</v>
      </c>
      <c r="M62" s="28">
        <v>99900</v>
      </c>
      <c r="N62" s="29">
        <v>0.9</v>
      </c>
      <c r="O62" s="28">
        <f t="shared" si="1"/>
        <v>9990</v>
      </c>
      <c r="P62" s="14" t="s">
        <v>20</v>
      </c>
    </row>
    <row r="63" spans="1:16">
      <c r="A63" s="14" t="s">
        <v>49</v>
      </c>
      <c r="B63" s="5">
        <v>46099</v>
      </c>
      <c r="C63" s="5">
        <v>46113</v>
      </c>
      <c r="D63" s="14">
        <v>3296</v>
      </c>
      <c r="E63" s="14">
        <v>342</v>
      </c>
      <c r="F63" s="34">
        <v>6</v>
      </c>
      <c r="G63" s="14">
        <v>2</v>
      </c>
      <c r="H63" s="14">
        <v>81518</v>
      </c>
      <c r="I63" s="14" t="s">
        <v>28</v>
      </c>
      <c r="J63" s="14">
        <v>32661924</v>
      </c>
      <c r="K63" s="14" t="s">
        <v>171</v>
      </c>
      <c r="L63" s="27" t="s">
        <v>172</v>
      </c>
      <c r="M63" s="28">
        <v>99900</v>
      </c>
      <c r="N63" s="29">
        <v>0.9</v>
      </c>
      <c r="O63" s="28">
        <f t="shared" si="1"/>
        <v>9990</v>
      </c>
      <c r="P63" s="14" t="s">
        <v>20</v>
      </c>
    </row>
    <row r="64" spans="1:16">
      <c r="A64" s="14" t="s">
        <v>49</v>
      </c>
      <c r="B64" s="5">
        <v>46099</v>
      </c>
      <c r="C64" s="5">
        <v>46113</v>
      </c>
      <c r="D64" s="14">
        <v>3296</v>
      </c>
      <c r="E64" s="14">
        <v>342</v>
      </c>
      <c r="F64" s="34">
        <v>6</v>
      </c>
      <c r="G64" s="14">
        <v>2</v>
      </c>
      <c r="H64" s="14">
        <v>81518</v>
      </c>
      <c r="I64" s="14" t="s">
        <v>28</v>
      </c>
      <c r="J64" s="14">
        <v>32662085</v>
      </c>
      <c r="K64" s="14" t="s">
        <v>173</v>
      </c>
      <c r="L64" s="27" t="s">
        <v>174</v>
      </c>
      <c r="M64" s="28">
        <v>99900</v>
      </c>
      <c r="N64" s="29">
        <v>0.9</v>
      </c>
      <c r="O64" s="28">
        <f t="shared" si="1"/>
        <v>9990</v>
      </c>
      <c r="P64" s="14" t="s">
        <v>20</v>
      </c>
    </row>
    <row r="65" spans="1:16">
      <c r="A65" s="14" t="s">
        <v>49</v>
      </c>
      <c r="B65" s="5">
        <v>46099</v>
      </c>
      <c r="C65" s="5">
        <v>46113</v>
      </c>
      <c r="D65" s="14">
        <v>3296</v>
      </c>
      <c r="E65" s="14">
        <v>342</v>
      </c>
      <c r="F65" s="34">
        <v>6</v>
      </c>
      <c r="G65" s="14">
        <v>2</v>
      </c>
      <c r="H65" s="14">
        <v>81518</v>
      </c>
      <c r="I65" s="14" t="s">
        <v>28</v>
      </c>
      <c r="J65" s="14">
        <v>33218303</v>
      </c>
      <c r="K65" s="14" t="s">
        <v>175</v>
      </c>
      <c r="L65" s="27" t="s">
        <v>176</v>
      </c>
      <c r="M65" s="28">
        <v>99900</v>
      </c>
      <c r="N65" s="29">
        <v>0.9</v>
      </c>
      <c r="O65" s="28">
        <f t="shared" si="1"/>
        <v>9990</v>
      </c>
      <c r="P65" s="14" t="s">
        <v>20</v>
      </c>
    </row>
    <row r="66" spans="1:16">
      <c r="A66" s="14" t="s">
        <v>49</v>
      </c>
      <c r="B66" s="5">
        <v>46099</v>
      </c>
      <c r="C66" s="5">
        <v>46113</v>
      </c>
      <c r="D66" s="14">
        <v>3296</v>
      </c>
      <c r="E66" s="14">
        <v>342</v>
      </c>
      <c r="F66" s="34">
        <v>6</v>
      </c>
      <c r="G66" s="14">
        <v>2</v>
      </c>
      <c r="H66" s="14">
        <v>81518</v>
      </c>
      <c r="I66" s="14" t="s">
        <v>28</v>
      </c>
      <c r="J66" s="14">
        <v>33218321</v>
      </c>
      <c r="K66" s="14" t="s">
        <v>177</v>
      </c>
      <c r="L66" s="27" t="s">
        <v>178</v>
      </c>
      <c r="M66" s="28">
        <v>99900</v>
      </c>
      <c r="N66" s="29">
        <v>0.9</v>
      </c>
      <c r="O66" s="28">
        <f t="shared" si="1"/>
        <v>9990</v>
      </c>
      <c r="P66" s="14" t="s">
        <v>20</v>
      </c>
    </row>
    <row r="67" spans="1:16">
      <c r="A67" s="14" t="s">
        <v>49</v>
      </c>
      <c r="B67" s="5">
        <v>46099</v>
      </c>
      <c r="C67" s="5">
        <v>46113</v>
      </c>
      <c r="D67" s="14">
        <v>3296</v>
      </c>
      <c r="E67" s="14">
        <v>342</v>
      </c>
      <c r="F67" s="34">
        <v>6</v>
      </c>
      <c r="G67" s="14">
        <v>2</v>
      </c>
      <c r="H67" s="14">
        <v>81375</v>
      </c>
      <c r="I67" s="14" t="s">
        <v>28</v>
      </c>
      <c r="J67" s="14">
        <v>57550033</v>
      </c>
      <c r="K67" s="14" t="s">
        <v>179</v>
      </c>
      <c r="L67" s="27" t="s">
        <v>180</v>
      </c>
      <c r="M67" s="28">
        <v>79900</v>
      </c>
      <c r="N67" s="29">
        <v>0.9</v>
      </c>
      <c r="O67" s="28">
        <f t="shared" si="1"/>
        <v>7990</v>
      </c>
      <c r="P67" s="14" t="s">
        <v>20</v>
      </c>
    </row>
    <row r="68" spans="1:16">
      <c r="A68" s="14" t="s">
        <v>49</v>
      </c>
      <c r="B68" s="5">
        <v>46099</v>
      </c>
      <c r="C68" s="5">
        <v>46113</v>
      </c>
      <c r="D68" s="14">
        <v>3296</v>
      </c>
      <c r="E68" s="14">
        <v>342</v>
      </c>
      <c r="F68" s="34">
        <v>6</v>
      </c>
      <c r="G68" s="14">
        <v>2</v>
      </c>
      <c r="H68" s="14">
        <v>81375</v>
      </c>
      <c r="I68" s="14" t="s">
        <v>28</v>
      </c>
      <c r="J68" s="14">
        <v>57550042</v>
      </c>
      <c r="K68" s="14" t="s">
        <v>181</v>
      </c>
      <c r="L68" s="27" t="s">
        <v>182</v>
      </c>
      <c r="M68" s="28">
        <v>119900</v>
      </c>
      <c r="N68" s="29">
        <v>0.9</v>
      </c>
      <c r="O68" s="28">
        <f t="shared" si="1"/>
        <v>11990</v>
      </c>
      <c r="P68" s="14" t="s">
        <v>20</v>
      </c>
    </row>
    <row r="69" spans="1:16">
      <c r="A69" s="14" t="s">
        <v>49</v>
      </c>
      <c r="B69" s="5">
        <v>46099</v>
      </c>
      <c r="C69" s="5">
        <v>46113</v>
      </c>
      <c r="D69" s="14">
        <v>3296</v>
      </c>
      <c r="E69" s="14">
        <v>342</v>
      </c>
      <c r="F69" s="34">
        <v>6</v>
      </c>
      <c r="G69" s="14">
        <v>2</v>
      </c>
      <c r="H69" s="14">
        <v>81518</v>
      </c>
      <c r="I69" s="14" t="s">
        <v>28</v>
      </c>
      <c r="J69" s="14">
        <v>57550113</v>
      </c>
      <c r="K69" s="14" t="s">
        <v>183</v>
      </c>
      <c r="L69" s="27" t="s">
        <v>184</v>
      </c>
      <c r="M69" s="28">
        <v>69900</v>
      </c>
      <c r="N69" s="29">
        <v>0.9</v>
      </c>
      <c r="O69" s="28">
        <f t="shared" si="1"/>
        <v>6990</v>
      </c>
      <c r="P69" s="14" t="s">
        <v>20</v>
      </c>
    </row>
    <row r="70" spans="1:16">
      <c r="A70" s="14" t="s">
        <v>49</v>
      </c>
      <c r="B70" s="5">
        <v>46099</v>
      </c>
      <c r="C70" s="5">
        <v>46113</v>
      </c>
      <c r="D70" s="14">
        <v>3296</v>
      </c>
      <c r="E70" s="14">
        <v>342</v>
      </c>
      <c r="F70" s="34">
        <v>6</v>
      </c>
      <c r="G70" s="14">
        <v>2</v>
      </c>
      <c r="H70" s="14">
        <v>81518</v>
      </c>
      <c r="I70" s="14" t="s">
        <v>28</v>
      </c>
      <c r="J70" s="14">
        <v>57550248</v>
      </c>
      <c r="K70" s="14" t="s">
        <v>185</v>
      </c>
      <c r="L70" s="27" t="s">
        <v>186</v>
      </c>
      <c r="M70" s="28">
        <v>89900</v>
      </c>
      <c r="N70" s="29">
        <v>0.9</v>
      </c>
      <c r="O70" s="28">
        <f t="shared" si="1"/>
        <v>8990</v>
      </c>
      <c r="P70" s="14" t="s">
        <v>20</v>
      </c>
    </row>
    <row r="71" spans="1:16">
      <c r="A71" s="14" t="s">
        <v>49</v>
      </c>
      <c r="B71" s="5">
        <v>46099</v>
      </c>
      <c r="C71" s="5">
        <v>46113</v>
      </c>
      <c r="D71" s="14">
        <v>3296</v>
      </c>
      <c r="E71" s="14">
        <v>342</v>
      </c>
      <c r="F71" s="34">
        <v>6</v>
      </c>
      <c r="G71" s="14">
        <v>2</v>
      </c>
      <c r="H71" s="14">
        <v>81518</v>
      </c>
      <c r="I71" s="14" t="s">
        <v>28</v>
      </c>
      <c r="J71" s="14">
        <v>57550257</v>
      </c>
      <c r="K71" s="14" t="s">
        <v>187</v>
      </c>
      <c r="L71" s="27" t="s">
        <v>188</v>
      </c>
      <c r="M71" s="28">
        <v>89900</v>
      </c>
      <c r="N71" s="29">
        <v>0.9</v>
      </c>
      <c r="O71" s="28">
        <f t="shared" si="1"/>
        <v>8990</v>
      </c>
      <c r="P71" s="14" t="s">
        <v>20</v>
      </c>
    </row>
    <row r="72" spans="1:16">
      <c r="A72" s="14" t="s">
        <v>49</v>
      </c>
      <c r="B72" s="5">
        <v>46099</v>
      </c>
      <c r="C72" s="5">
        <v>46113</v>
      </c>
      <c r="D72" s="14">
        <v>3296</v>
      </c>
      <c r="E72" s="14">
        <v>342</v>
      </c>
      <c r="F72" s="34">
        <v>6</v>
      </c>
      <c r="G72" s="14">
        <v>2</v>
      </c>
      <c r="H72" s="14">
        <v>81518</v>
      </c>
      <c r="I72" s="14" t="s">
        <v>28</v>
      </c>
      <c r="J72" s="14">
        <v>57550355</v>
      </c>
      <c r="K72" s="14" t="s">
        <v>189</v>
      </c>
      <c r="L72" s="27" t="s">
        <v>190</v>
      </c>
      <c r="M72" s="28">
        <v>89900</v>
      </c>
      <c r="N72" s="29">
        <v>0.9</v>
      </c>
      <c r="O72" s="28">
        <f t="shared" si="1"/>
        <v>8990</v>
      </c>
      <c r="P72" s="14" t="s">
        <v>20</v>
      </c>
    </row>
    <row r="73" spans="1:16">
      <c r="A73" s="14" t="s">
        <v>49</v>
      </c>
      <c r="B73" s="5">
        <v>46099</v>
      </c>
      <c r="C73" s="5">
        <v>46113</v>
      </c>
      <c r="D73" s="14">
        <v>3296</v>
      </c>
      <c r="E73" s="14">
        <v>342</v>
      </c>
      <c r="F73" s="14">
        <v>6</v>
      </c>
      <c r="G73" s="14">
        <v>2</v>
      </c>
      <c r="H73" s="14">
        <v>81518</v>
      </c>
      <c r="I73" s="14" t="s">
        <v>28</v>
      </c>
      <c r="J73" s="14">
        <v>57550364</v>
      </c>
      <c r="K73" s="14" t="s">
        <v>191</v>
      </c>
      <c r="L73" s="27" t="s">
        <v>192</v>
      </c>
      <c r="M73" s="28">
        <v>89900</v>
      </c>
      <c r="N73" s="29">
        <v>0.9</v>
      </c>
      <c r="O73" s="28">
        <f t="shared" si="1"/>
        <v>8990</v>
      </c>
      <c r="P73" s="14" t="s">
        <v>20</v>
      </c>
    </row>
    <row r="74" spans="1:16">
      <c r="A74" s="14" t="s">
        <v>49</v>
      </c>
      <c r="B74" s="5">
        <v>46099</v>
      </c>
      <c r="C74" s="5">
        <v>46113</v>
      </c>
      <c r="D74" s="14">
        <v>3296</v>
      </c>
      <c r="E74" s="14">
        <v>342</v>
      </c>
      <c r="F74" s="14">
        <v>6</v>
      </c>
      <c r="G74" s="14">
        <v>2</v>
      </c>
      <c r="H74" s="14">
        <v>81518</v>
      </c>
      <c r="I74" s="14" t="s">
        <v>28</v>
      </c>
      <c r="J74" s="14">
        <v>57550524</v>
      </c>
      <c r="K74" s="14" t="s">
        <v>193</v>
      </c>
      <c r="L74" s="27" t="s">
        <v>194</v>
      </c>
      <c r="M74" s="28">
        <v>99900</v>
      </c>
      <c r="N74" s="29">
        <v>0.9</v>
      </c>
      <c r="O74" s="28">
        <f t="shared" si="1"/>
        <v>9990</v>
      </c>
      <c r="P74" s="14" t="s">
        <v>20</v>
      </c>
    </row>
    <row r="75" spans="1:16">
      <c r="A75" s="14" t="s">
        <v>49</v>
      </c>
      <c r="B75" s="5">
        <v>46099</v>
      </c>
      <c r="C75" s="5">
        <v>46113</v>
      </c>
      <c r="D75" s="14">
        <v>3296</v>
      </c>
      <c r="E75" s="14">
        <v>342</v>
      </c>
      <c r="F75" s="14">
        <v>6</v>
      </c>
      <c r="G75" s="14">
        <v>2</v>
      </c>
      <c r="H75" s="14">
        <v>81518</v>
      </c>
      <c r="I75" s="14" t="s">
        <v>28</v>
      </c>
      <c r="J75" s="14">
        <v>57550533</v>
      </c>
      <c r="K75" s="14" t="s">
        <v>195</v>
      </c>
      <c r="L75" s="27" t="s">
        <v>196</v>
      </c>
      <c r="M75" s="28">
        <v>99900</v>
      </c>
      <c r="N75" s="29">
        <v>0.9</v>
      </c>
      <c r="O75" s="28">
        <f t="shared" si="1"/>
        <v>9990</v>
      </c>
      <c r="P75" s="14" t="s">
        <v>20</v>
      </c>
    </row>
    <row r="76" spans="1:16">
      <c r="A76" s="14" t="s">
        <v>49</v>
      </c>
      <c r="B76" s="5">
        <v>46099</v>
      </c>
      <c r="C76" s="5">
        <v>46113</v>
      </c>
      <c r="D76" s="14">
        <v>3296</v>
      </c>
      <c r="E76" s="14">
        <v>342</v>
      </c>
      <c r="F76" s="14">
        <v>6</v>
      </c>
      <c r="G76" s="14">
        <v>2</v>
      </c>
      <c r="H76" s="14">
        <v>81375</v>
      </c>
      <c r="I76" s="14" t="s">
        <v>28</v>
      </c>
      <c r="J76" s="14">
        <v>66937715</v>
      </c>
      <c r="K76" s="14" t="s">
        <v>197</v>
      </c>
      <c r="L76" s="27" t="s">
        <v>198</v>
      </c>
      <c r="M76" s="28">
        <v>99900</v>
      </c>
      <c r="N76" s="29">
        <v>0.9</v>
      </c>
      <c r="O76" s="28">
        <f t="shared" si="1"/>
        <v>9990</v>
      </c>
      <c r="P76" s="14" t="s">
        <v>20</v>
      </c>
    </row>
    <row r="77" spans="1:16">
      <c r="A77" s="14" t="s">
        <v>49</v>
      </c>
      <c r="B77" s="5">
        <v>46099</v>
      </c>
      <c r="C77" s="5">
        <v>46113</v>
      </c>
      <c r="D77" s="14">
        <v>3296</v>
      </c>
      <c r="E77" s="14">
        <v>342</v>
      </c>
      <c r="F77" s="14">
        <v>6</v>
      </c>
      <c r="G77" s="14">
        <v>2</v>
      </c>
      <c r="H77" s="14">
        <v>81518</v>
      </c>
      <c r="I77" s="14" t="s">
        <v>28</v>
      </c>
      <c r="J77" s="14">
        <v>67303675</v>
      </c>
      <c r="K77" s="14" t="s">
        <v>199</v>
      </c>
      <c r="L77" s="27" t="s">
        <v>200</v>
      </c>
      <c r="M77" s="28">
        <v>99900</v>
      </c>
      <c r="N77" s="29">
        <v>0.9</v>
      </c>
      <c r="O77" s="28">
        <f t="shared" si="1"/>
        <v>9990</v>
      </c>
      <c r="P77" s="14" t="s">
        <v>20</v>
      </c>
    </row>
    <row r="78" spans="1:16">
      <c r="A78" s="14" t="s">
        <v>49</v>
      </c>
      <c r="B78" s="5">
        <v>46099</v>
      </c>
      <c r="C78" s="5">
        <v>46113</v>
      </c>
      <c r="D78" s="14">
        <v>3296</v>
      </c>
      <c r="E78" s="14">
        <v>342</v>
      </c>
      <c r="F78" s="14">
        <v>6</v>
      </c>
      <c r="G78" s="14">
        <v>2</v>
      </c>
      <c r="H78" s="14">
        <v>81518</v>
      </c>
      <c r="I78" s="14" t="s">
        <v>28</v>
      </c>
      <c r="J78" s="14">
        <v>67303684</v>
      </c>
      <c r="K78" s="14" t="s">
        <v>201</v>
      </c>
      <c r="L78" s="27" t="s">
        <v>202</v>
      </c>
      <c r="M78" s="28">
        <v>99900</v>
      </c>
      <c r="N78" s="29">
        <v>0.9</v>
      </c>
      <c r="O78" s="28">
        <f t="shared" si="1"/>
        <v>9990</v>
      </c>
      <c r="P78" s="14" t="s">
        <v>20</v>
      </c>
    </row>
    <row r="79" spans="1:16">
      <c r="A79" s="14" t="s">
        <v>49</v>
      </c>
      <c r="B79" s="5">
        <v>46099</v>
      </c>
      <c r="C79" s="5">
        <v>46113</v>
      </c>
      <c r="D79" s="14">
        <v>3296</v>
      </c>
      <c r="E79" s="14">
        <v>342</v>
      </c>
      <c r="F79" s="14">
        <v>6</v>
      </c>
      <c r="G79" s="14">
        <v>2</v>
      </c>
      <c r="H79" s="14">
        <v>81375</v>
      </c>
      <c r="I79" s="14" t="s">
        <v>28</v>
      </c>
      <c r="J79" s="14">
        <v>73405973</v>
      </c>
      <c r="K79" s="14" t="s">
        <v>203</v>
      </c>
      <c r="L79" s="27" t="s">
        <v>204</v>
      </c>
      <c r="M79" s="28">
        <v>99900</v>
      </c>
      <c r="N79" s="29">
        <v>0.9</v>
      </c>
      <c r="O79" s="28">
        <f t="shared" si="1"/>
        <v>9990</v>
      </c>
      <c r="P79" s="14" t="s">
        <v>20</v>
      </c>
    </row>
    <row r="80" spans="1:16">
      <c r="A80" s="14" t="s">
        <v>49</v>
      </c>
      <c r="B80" s="5">
        <v>46099</v>
      </c>
      <c r="C80" s="5">
        <v>46113</v>
      </c>
      <c r="D80" s="14">
        <v>3296</v>
      </c>
      <c r="E80" s="14">
        <v>342</v>
      </c>
      <c r="F80" s="14">
        <v>6</v>
      </c>
      <c r="G80" s="14">
        <v>2</v>
      </c>
      <c r="H80" s="14">
        <v>81375</v>
      </c>
      <c r="I80" s="14" t="s">
        <v>28</v>
      </c>
      <c r="J80" s="14">
        <v>73405982</v>
      </c>
      <c r="K80" s="14" t="s">
        <v>205</v>
      </c>
      <c r="L80" s="27" t="s">
        <v>206</v>
      </c>
      <c r="M80" s="28">
        <v>79900</v>
      </c>
      <c r="N80" s="29">
        <v>0.9</v>
      </c>
      <c r="O80" s="28">
        <f t="shared" si="1"/>
        <v>7990</v>
      </c>
      <c r="P80" s="14" t="s">
        <v>20</v>
      </c>
    </row>
    <row r="81" spans="1:16">
      <c r="A81" s="14" t="s">
        <v>49</v>
      </c>
      <c r="B81" s="5">
        <v>46099</v>
      </c>
      <c r="C81" s="5">
        <v>46113</v>
      </c>
      <c r="D81" s="14">
        <v>3296</v>
      </c>
      <c r="E81" s="14">
        <v>342</v>
      </c>
      <c r="F81" s="14">
        <v>6</v>
      </c>
      <c r="G81" s="14">
        <v>2</v>
      </c>
      <c r="H81" s="14">
        <v>81518</v>
      </c>
      <c r="I81" s="14" t="s">
        <v>28</v>
      </c>
      <c r="J81" s="14">
        <v>73406874</v>
      </c>
      <c r="K81" s="14" t="s">
        <v>207</v>
      </c>
      <c r="L81" s="27" t="s">
        <v>208</v>
      </c>
      <c r="M81" s="28">
        <v>99900</v>
      </c>
      <c r="N81" s="29">
        <v>0.9</v>
      </c>
      <c r="O81" s="28">
        <f t="shared" si="1"/>
        <v>9990</v>
      </c>
      <c r="P81" s="14" t="s">
        <v>20</v>
      </c>
    </row>
    <row r="82" spans="1:16">
      <c r="A82" s="14" t="s">
        <v>49</v>
      </c>
      <c r="B82" s="5">
        <v>46099</v>
      </c>
      <c r="C82" s="5">
        <v>46113</v>
      </c>
      <c r="D82" s="14">
        <v>3296</v>
      </c>
      <c r="E82" s="14">
        <v>342</v>
      </c>
      <c r="F82" s="14">
        <v>6</v>
      </c>
      <c r="G82" s="14">
        <v>2</v>
      </c>
      <c r="H82" s="14">
        <v>81518</v>
      </c>
      <c r="I82" s="14" t="s">
        <v>28</v>
      </c>
      <c r="J82" s="14">
        <v>73406883</v>
      </c>
      <c r="K82" s="14" t="s">
        <v>209</v>
      </c>
      <c r="L82" s="27" t="s">
        <v>210</v>
      </c>
      <c r="M82" s="28">
        <v>99900</v>
      </c>
      <c r="N82" s="29">
        <v>0.9</v>
      </c>
      <c r="O82" s="28">
        <f t="shared" si="1"/>
        <v>9990</v>
      </c>
      <c r="P82" s="14" t="s">
        <v>20</v>
      </c>
    </row>
    <row r="83" spans="1:16">
      <c r="A83" s="14" t="s">
        <v>49</v>
      </c>
      <c r="B83" s="5">
        <v>46099</v>
      </c>
      <c r="C83" s="5">
        <v>46113</v>
      </c>
      <c r="D83" s="14">
        <v>3296</v>
      </c>
      <c r="E83" s="14">
        <v>342</v>
      </c>
      <c r="F83" s="14">
        <v>6</v>
      </c>
      <c r="G83" s="14">
        <v>2</v>
      </c>
      <c r="H83" s="14">
        <v>81518</v>
      </c>
      <c r="I83" s="14" t="s">
        <v>28</v>
      </c>
      <c r="J83" s="14">
        <v>73462929</v>
      </c>
      <c r="K83" s="14" t="s">
        <v>211</v>
      </c>
      <c r="L83" s="27" t="s">
        <v>212</v>
      </c>
      <c r="M83" s="28">
        <v>99900</v>
      </c>
      <c r="N83" s="29">
        <v>0.9</v>
      </c>
      <c r="O83" s="28">
        <f t="shared" si="1"/>
        <v>9990</v>
      </c>
      <c r="P83" s="14" t="s">
        <v>20</v>
      </c>
    </row>
    <row r="84" spans="1:16">
      <c r="A84" s="14" t="s">
        <v>49</v>
      </c>
      <c r="B84" s="5">
        <v>46099</v>
      </c>
      <c r="C84" s="5">
        <v>46113</v>
      </c>
      <c r="D84" s="14">
        <v>3296</v>
      </c>
      <c r="E84" s="14">
        <v>342</v>
      </c>
      <c r="F84" s="14">
        <v>6</v>
      </c>
      <c r="G84" s="14">
        <v>1</v>
      </c>
      <c r="H84" s="14">
        <v>81375</v>
      </c>
      <c r="I84" s="13" t="s">
        <v>28</v>
      </c>
      <c r="J84" s="35">
        <v>79859482</v>
      </c>
      <c r="K84" s="36" t="s">
        <v>213</v>
      </c>
      <c r="L84" s="4" t="s">
        <v>214</v>
      </c>
      <c r="M84" s="28">
        <v>129900</v>
      </c>
      <c r="N84" s="29">
        <v>0.9</v>
      </c>
      <c r="O84" s="28">
        <f t="shared" si="1"/>
        <v>12990</v>
      </c>
      <c r="P84" s="14" t="s">
        <v>20</v>
      </c>
    </row>
    <row r="85" spans="1:16">
      <c r="A85" s="14" t="s">
        <v>49</v>
      </c>
      <c r="B85" s="5">
        <v>46099</v>
      </c>
      <c r="C85" s="5">
        <v>46113</v>
      </c>
      <c r="D85" s="14">
        <v>3296</v>
      </c>
      <c r="E85" s="14">
        <v>342</v>
      </c>
      <c r="F85" s="14">
        <v>6</v>
      </c>
      <c r="G85" s="14">
        <v>1</v>
      </c>
      <c r="H85" s="14">
        <v>81375</v>
      </c>
      <c r="I85" s="13" t="s">
        <v>28</v>
      </c>
      <c r="J85" s="35">
        <v>80071598</v>
      </c>
      <c r="K85" s="36" t="s">
        <v>215</v>
      </c>
      <c r="L85" s="4" t="s">
        <v>216</v>
      </c>
      <c r="M85" s="28">
        <v>169900</v>
      </c>
      <c r="N85" s="29">
        <v>0.9</v>
      </c>
      <c r="O85" s="28">
        <f t="shared" si="1"/>
        <v>16990</v>
      </c>
      <c r="P85" s="14" t="s">
        <v>20</v>
      </c>
    </row>
  </sheetData>
  <autoFilter xmlns:etc="http://www.wps.cn/officeDocument/2017/etCustomData" ref="A1:P85" etc:filterBottomFollowUsedRange="0">
    <extLst/>
  </autoFilter>
  <conditionalFormatting sqref="J2:J85">
    <cfRule type="duplicateValues" dxfId="1" priority="4"/>
  </conditionalFormatting>
  <conditionalFormatting sqref="J1;J86:J1048576">
    <cfRule type="duplicateValues" dxfId="1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2"/>
  <sheetViews>
    <sheetView zoomScale="55" zoomScaleNormal="55" workbookViewId="0">
      <pane ySplit="1" topLeftCell="A2" activePane="bottomLeft" state="frozen"/>
      <selection/>
      <selection pane="bottomLeft" activeCell="B2" sqref="B2:C72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217</v>
      </c>
      <c r="B2" s="5">
        <v>46099</v>
      </c>
      <c r="C2" s="5">
        <v>46113</v>
      </c>
      <c r="D2" s="14">
        <v>3296</v>
      </c>
      <c r="E2" s="14">
        <v>342</v>
      </c>
      <c r="F2" s="14">
        <v>6</v>
      </c>
      <c r="G2" s="14">
        <v>1</v>
      </c>
      <c r="H2" s="14">
        <v>81471</v>
      </c>
      <c r="I2" s="14" t="s">
        <v>28</v>
      </c>
      <c r="J2" s="14">
        <v>57329318</v>
      </c>
      <c r="K2" s="14" t="s">
        <v>218</v>
      </c>
      <c r="L2" s="14" t="s">
        <v>219</v>
      </c>
      <c r="M2" s="28">
        <v>139900</v>
      </c>
      <c r="N2" s="29">
        <v>0.9</v>
      </c>
      <c r="O2" s="28">
        <f>M2*(1-N2)</f>
        <v>13990</v>
      </c>
      <c r="P2" s="14" t="s">
        <v>20</v>
      </c>
    </row>
    <row r="3" spans="1:16">
      <c r="A3" s="14" t="s">
        <v>217</v>
      </c>
      <c r="B3" s="5">
        <v>46099</v>
      </c>
      <c r="C3" s="5">
        <v>46113</v>
      </c>
      <c r="D3" s="14">
        <v>3296</v>
      </c>
      <c r="E3" s="14">
        <v>342</v>
      </c>
      <c r="F3" s="14">
        <v>6</v>
      </c>
      <c r="G3" s="14">
        <v>1</v>
      </c>
      <c r="H3" s="14">
        <v>81375</v>
      </c>
      <c r="I3" s="14" t="s">
        <v>28</v>
      </c>
      <c r="J3" s="14">
        <v>67957013</v>
      </c>
      <c r="K3" s="14" t="s">
        <v>220</v>
      </c>
      <c r="L3" s="14" t="s">
        <v>221</v>
      </c>
      <c r="M3" s="28">
        <v>129900</v>
      </c>
      <c r="N3" s="29">
        <v>0.9</v>
      </c>
      <c r="O3" s="28">
        <f t="shared" ref="O3:O66" si="0">M3*(1-N3)</f>
        <v>12990</v>
      </c>
      <c r="P3" s="14" t="s">
        <v>20</v>
      </c>
    </row>
    <row r="4" spans="1:16">
      <c r="A4" s="14" t="s">
        <v>217</v>
      </c>
      <c r="B4" s="5">
        <v>46099</v>
      </c>
      <c r="C4" s="5">
        <v>46113</v>
      </c>
      <c r="D4" s="14">
        <v>3296</v>
      </c>
      <c r="E4" s="14">
        <v>342</v>
      </c>
      <c r="F4" s="14">
        <v>6</v>
      </c>
      <c r="G4" s="14">
        <v>1</v>
      </c>
      <c r="H4" s="14">
        <v>81375</v>
      </c>
      <c r="I4" s="14" t="s">
        <v>28</v>
      </c>
      <c r="J4" s="14">
        <v>67957040</v>
      </c>
      <c r="K4" s="14" t="s">
        <v>222</v>
      </c>
      <c r="L4" s="14" t="s">
        <v>223</v>
      </c>
      <c r="M4" s="28">
        <v>129900</v>
      </c>
      <c r="N4" s="29">
        <v>0.9</v>
      </c>
      <c r="O4" s="28">
        <f t="shared" si="0"/>
        <v>12990</v>
      </c>
      <c r="P4" s="14" t="s">
        <v>20</v>
      </c>
    </row>
    <row r="5" spans="1:16">
      <c r="A5" s="14" t="s">
        <v>217</v>
      </c>
      <c r="B5" s="5">
        <v>46099</v>
      </c>
      <c r="C5" s="5">
        <v>46113</v>
      </c>
      <c r="D5" s="14">
        <v>3296</v>
      </c>
      <c r="E5" s="14">
        <v>342</v>
      </c>
      <c r="F5" s="14">
        <v>6</v>
      </c>
      <c r="G5" s="14">
        <v>1</v>
      </c>
      <c r="H5" s="14">
        <v>81375</v>
      </c>
      <c r="I5" s="14" t="s">
        <v>28</v>
      </c>
      <c r="J5" s="14">
        <v>67957059</v>
      </c>
      <c r="K5" s="14" t="s">
        <v>224</v>
      </c>
      <c r="L5" s="14" t="s">
        <v>225</v>
      </c>
      <c r="M5" s="28">
        <v>129900</v>
      </c>
      <c r="N5" s="29">
        <v>0.9</v>
      </c>
      <c r="O5" s="28">
        <f t="shared" si="0"/>
        <v>12990</v>
      </c>
      <c r="P5" s="14" t="s">
        <v>20</v>
      </c>
    </row>
    <row r="6" spans="1:16">
      <c r="A6" s="14" t="s">
        <v>217</v>
      </c>
      <c r="B6" s="5">
        <v>46099</v>
      </c>
      <c r="C6" s="5">
        <v>46113</v>
      </c>
      <c r="D6" s="14">
        <v>3296</v>
      </c>
      <c r="E6" s="14">
        <v>342</v>
      </c>
      <c r="F6" s="14">
        <v>6</v>
      </c>
      <c r="G6" s="14">
        <v>1</v>
      </c>
      <c r="H6" s="14">
        <v>81375</v>
      </c>
      <c r="I6" s="14" t="s">
        <v>28</v>
      </c>
      <c r="J6" s="30">
        <v>70038901</v>
      </c>
      <c r="K6" s="14" t="s">
        <v>152</v>
      </c>
      <c r="L6" s="14" t="s">
        <v>226</v>
      </c>
      <c r="M6" s="28">
        <v>119900</v>
      </c>
      <c r="N6" s="29">
        <v>0.9</v>
      </c>
      <c r="O6" s="28">
        <f t="shared" si="0"/>
        <v>11990</v>
      </c>
      <c r="P6" s="14" t="s">
        <v>20</v>
      </c>
    </row>
    <row r="7" spans="1:16">
      <c r="A7" s="14" t="s">
        <v>217</v>
      </c>
      <c r="B7" s="5">
        <v>46099</v>
      </c>
      <c r="C7" s="5">
        <v>46113</v>
      </c>
      <c r="D7" s="14">
        <v>3296</v>
      </c>
      <c r="E7" s="14">
        <v>342</v>
      </c>
      <c r="F7" s="14">
        <v>6</v>
      </c>
      <c r="G7" s="14">
        <v>1</v>
      </c>
      <c r="H7" s="14">
        <v>81471</v>
      </c>
      <c r="I7" s="14" t="s">
        <v>28</v>
      </c>
      <c r="J7" s="14">
        <v>73405633</v>
      </c>
      <c r="K7" s="14" t="s">
        <v>227</v>
      </c>
      <c r="L7" s="14" t="s">
        <v>228</v>
      </c>
      <c r="M7" s="28">
        <v>129900</v>
      </c>
      <c r="N7" s="29">
        <v>0.9</v>
      </c>
      <c r="O7" s="28">
        <f t="shared" si="0"/>
        <v>12990</v>
      </c>
      <c r="P7" s="14" t="s">
        <v>20</v>
      </c>
    </row>
    <row r="8" spans="1:16">
      <c r="A8" s="14" t="s">
        <v>217</v>
      </c>
      <c r="B8" s="5">
        <v>46099</v>
      </c>
      <c r="C8" s="5">
        <v>46113</v>
      </c>
      <c r="D8" s="14">
        <v>3296</v>
      </c>
      <c r="E8" s="14">
        <v>342</v>
      </c>
      <c r="F8" s="14">
        <v>6</v>
      </c>
      <c r="G8" s="14">
        <v>1</v>
      </c>
      <c r="H8" s="14">
        <v>81471</v>
      </c>
      <c r="I8" s="14" t="s">
        <v>28</v>
      </c>
      <c r="J8" s="31">
        <v>78782226</v>
      </c>
      <c r="K8" s="14" t="s">
        <v>229</v>
      </c>
      <c r="L8" s="14" t="s">
        <v>230</v>
      </c>
      <c r="M8" s="28">
        <v>139900</v>
      </c>
      <c r="N8" s="29">
        <v>0.9</v>
      </c>
      <c r="O8" s="28">
        <f t="shared" si="0"/>
        <v>13990</v>
      </c>
      <c r="P8" s="14" t="s">
        <v>20</v>
      </c>
    </row>
    <row r="9" spans="1:16">
      <c r="A9" s="14" t="s">
        <v>217</v>
      </c>
      <c r="B9" s="5">
        <v>46099</v>
      </c>
      <c r="C9" s="5">
        <v>46113</v>
      </c>
      <c r="D9" s="14">
        <v>3296</v>
      </c>
      <c r="E9" s="14">
        <v>342</v>
      </c>
      <c r="F9" s="14">
        <v>6</v>
      </c>
      <c r="G9" s="14">
        <v>1</v>
      </c>
      <c r="H9" s="14">
        <v>81471</v>
      </c>
      <c r="I9" s="14" t="s">
        <v>28</v>
      </c>
      <c r="J9" s="14">
        <v>79859446</v>
      </c>
      <c r="K9" s="14" t="s">
        <v>231</v>
      </c>
      <c r="L9" s="14" t="s">
        <v>232</v>
      </c>
      <c r="M9" s="28">
        <v>99900</v>
      </c>
      <c r="N9" s="29">
        <v>0.9</v>
      </c>
      <c r="O9" s="28">
        <f t="shared" si="0"/>
        <v>9990</v>
      </c>
      <c r="P9" s="14" t="s">
        <v>20</v>
      </c>
    </row>
    <row r="10" spans="1:16">
      <c r="A10" s="14" t="s">
        <v>217</v>
      </c>
      <c r="B10" s="5">
        <v>46099</v>
      </c>
      <c r="C10" s="5">
        <v>46113</v>
      </c>
      <c r="D10" s="14">
        <v>3296</v>
      </c>
      <c r="E10" s="14">
        <v>342</v>
      </c>
      <c r="F10" s="14">
        <v>6</v>
      </c>
      <c r="G10" s="14">
        <v>1</v>
      </c>
      <c r="H10" s="14">
        <v>81375</v>
      </c>
      <c r="I10" s="14" t="s">
        <v>28</v>
      </c>
      <c r="J10" s="14">
        <v>76131487</v>
      </c>
      <c r="K10" s="14" t="s">
        <v>233</v>
      </c>
      <c r="L10" s="14" t="s">
        <v>234</v>
      </c>
      <c r="M10" s="28">
        <v>169900</v>
      </c>
      <c r="N10" s="29">
        <v>0.9</v>
      </c>
      <c r="O10" s="28">
        <f t="shared" si="0"/>
        <v>16990</v>
      </c>
      <c r="P10" s="14" t="s">
        <v>20</v>
      </c>
    </row>
    <row r="11" spans="1:16">
      <c r="A11" s="14" t="s">
        <v>217</v>
      </c>
      <c r="B11" s="5">
        <v>46099</v>
      </c>
      <c r="C11" s="5">
        <v>46113</v>
      </c>
      <c r="D11" s="14">
        <v>3296</v>
      </c>
      <c r="E11" s="14">
        <v>342</v>
      </c>
      <c r="F11" s="14">
        <v>6</v>
      </c>
      <c r="G11" s="14">
        <v>1</v>
      </c>
      <c r="H11" s="14">
        <v>81375</v>
      </c>
      <c r="I11" s="14" t="s">
        <v>28</v>
      </c>
      <c r="J11" s="14">
        <v>76131576</v>
      </c>
      <c r="K11" s="14" t="s">
        <v>235</v>
      </c>
      <c r="L11" s="14" t="s">
        <v>236</v>
      </c>
      <c r="M11" s="28">
        <v>169900</v>
      </c>
      <c r="N11" s="29">
        <v>0.9</v>
      </c>
      <c r="O11" s="28">
        <f t="shared" si="0"/>
        <v>16990</v>
      </c>
      <c r="P11" s="14" t="s">
        <v>20</v>
      </c>
    </row>
    <row r="12" spans="1:16">
      <c r="A12" s="14" t="s">
        <v>217</v>
      </c>
      <c r="B12" s="5">
        <v>46099</v>
      </c>
      <c r="C12" s="5">
        <v>46113</v>
      </c>
      <c r="D12" s="14">
        <v>3296</v>
      </c>
      <c r="E12" s="14">
        <v>342</v>
      </c>
      <c r="F12" s="14">
        <v>6</v>
      </c>
      <c r="G12" s="14">
        <v>1</v>
      </c>
      <c r="H12" s="14">
        <v>81375</v>
      </c>
      <c r="I12" s="14" t="s">
        <v>28</v>
      </c>
      <c r="J12" s="14">
        <v>76131718</v>
      </c>
      <c r="K12" s="14" t="s">
        <v>237</v>
      </c>
      <c r="L12" s="14" t="s">
        <v>238</v>
      </c>
      <c r="M12" s="28">
        <v>129900</v>
      </c>
      <c r="N12" s="29">
        <v>0.9</v>
      </c>
      <c r="O12" s="28">
        <f t="shared" si="0"/>
        <v>12990</v>
      </c>
      <c r="P12" s="14" t="s">
        <v>20</v>
      </c>
    </row>
    <row r="13" spans="1:16">
      <c r="A13" s="14" t="s">
        <v>217</v>
      </c>
      <c r="B13" s="5">
        <v>46099</v>
      </c>
      <c r="C13" s="5">
        <v>46113</v>
      </c>
      <c r="D13" s="14">
        <v>3296</v>
      </c>
      <c r="E13" s="14">
        <v>342</v>
      </c>
      <c r="F13" s="14">
        <v>6</v>
      </c>
      <c r="G13" s="14">
        <v>1</v>
      </c>
      <c r="H13" s="14">
        <v>81375</v>
      </c>
      <c r="I13" s="14" t="s">
        <v>28</v>
      </c>
      <c r="J13" s="14">
        <v>76131843</v>
      </c>
      <c r="K13" s="14" t="s">
        <v>239</v>
      </c>
      <c r="L13" s="14" t="s">
        <v>240</v>
      </c>
      <c r="M13" s="28">
        <v>129900</v>
      </c>
      <c r="N13" s="29">
        <v>0.9</v>
      </c>
      <c r="O13" s="28">
        <f t="shared" si="0"/>
        <v>12990</v>
      </c>
      <c r="P13" s="14" t="s">
        <v>20</v>
      </c>
    </row>
    <row r="14" spans="1:16">
      <c r="A14" s="14" t="s">
        <v>217</v>
      </c>
      <c r="B14" s="5">
        <v>46099</v>
      </c>
      <c r="C14" s="5">
        <v>46113</v>
      </c>
      <c r="D14" s="14">
        <v>3296</v>
      </c>
      <c r="E14" s="14">
        <v>342</v>
      </c>
      <c r="F14" s="14">
        <v>6</v>
      </c>
      <c r="G14" s="14">
        <v>1</v>
      </c>
      <c r="H14" s="14">
        <v>81375</v>
      </c>
      <c r="I14" s="14" t="s">
        <v>28</v>
      </c>
      <c r="J14" s="14">
        <v>76131932</v>
      </c>
      <c r="K14" s="14" t="s">
        <v>241</v>
      </c>
      <c r="L14" s="14" t="s">
        <v>242</v>
      </c>
      <c r="M14" s="28">
        <v>119900</v>
      </c>
      <c r="N14" s="29">
        <v>0.9</v>
      </c>
      <c r="O14" s="28">
        <f t="shared" si="0"/>
        <v>11990</v>
      </c>
      <c r="P14" s="14" t="s">
        <v>20</v>
      </c>
    </row>
    <row r="15" spans="1:16">
      <c r="A15" s="14" t="s">
        <v>217</v>
      </c>
      <c r="B15" s="5">
        <v>46099</v>
      </c>
      <c r="C15" s="5">
        <v>46113</v>
      </c>
      <c r="D15" s="14">
        <v>3296</v>
      </c>
      <c r="E15" s="14">
        <v>342</v>
      </c>
      <c r="F15" s="14">
        <v>6</v>
      </c>
      <c r="G15" s="14">
        <v>1</v>
      </c>
      <c r="H15" s="14">
        <v>81375</v>
      </c>
      <c r="I15" s="14" t="s">
        <v>28</v>
      </c>
      <c r="J15" s="14">
        <v>79106517</v>
      </c>
      <c r="K15" s="14" t="s">
        <v>243</v>
      </c>
      <c r="L15" s="14" t="s">
        <v>244</v>
      </c>
      <c r="M15" s="28">
        <v>119900</v>
      </c>
      <c r="N15" s="29">
        <v>0.9</v>
      </c>
      <c r="O15" s="28">
        <f t="shared" si="0"/>
        <v>11990</v>
      </c>
      <c r="P15" s="14" t="s">
        <v>20</v>
      </c>
    </row>
    <row r="16" spans="1:16">
      <c r="A16" s="14" t="s">
        <v>217</v>
      </c>
      <c r="B16" s="5">
        <v>46099</v>
      </c>
      <c r="C16" s="5">
        <v>46113</v>
      </c>
      <c r="D16" s="14">
        <v>3296</v>
      </c>
      <c r="E16" s="14">
        <v>342</v>
      </c>
      <c r="F16" s="14">
        <v>6</v>
      </c>
      <c r="G16" s="14">
        <v>1</v>
      </c>
      <c r="H16" s="14">
        <v>81471</v>
      </c>
      <c r="I16" s="14" t="s">
        <v>28</v>
      </c>
      <c r="J16" s="14">
        <v>79704102</v>
      </c>
      <c r="K16" s="14" t="s">
        <v>245</v>
      </c>
      <c r="L16" s="14" t="s">
        <v>246</v>
      </c>
      <c r="M16" s="28">
        <v>129900</v>
      </c>
      <c r="N16" s="29">
        <v>0.9</v>
      </c>
      <c r="O16" s="28">
        <f t="shared" si="0"/>
        <v>12990</v>
      </c>
      <c r="P16" s="14" t="s">
        <v>20</v>
      </c>
    </row>
    <row r="17" spans="1:16">
      <c r="A17" s="14" t="s">
        <v>217</v>
      </c>
      <c r="B17" s="5">
        <v>46099</v>
      </c>
      <c r="C17" s="5">
        <v>46113</v>
      </c>
      <c r="D17" s="14">
        <v>3296</v>
      </c>
      <c r="E17" s="14">
        <v>342</v>
      </c>
      <c r="F17" s="14">
        <v>6</v>
      </c>
      <c r="G17" s="14">
        <v>1</v>
      </c>
      <c r="H17" s="14">
        <v>81518</v>
      </c>
      <c r="I17" s="14" t="s">
        <v>28</v>
      </c>
      <c r="J17" s="14">
        <v>79859375</v>
      </c>
      <c r="K17" s="14" t="s">
        <v>247</v>
      </c>
      <c r="L17" s="14" t="s">
        <v>248</v>
      </c>
      <c r="M17" s="28">
        <v>119900</v>
      </c>
      <c r="N17" s="29">
        <v>0.9</v>
      </c>
      <c r="O17" s="28">
        <f t="shared" si="0"/>
        <v>11990</v>
      </c>
      <c r="P17" s="14" t="s">
        <v>20</v>
      </c>
    </row>
    <row r="18" spans="1:16">
      <c r="A18" s="14" t="s">
        <v>217</v>
      </c>
      <c r="B18" s="5">
        <v>46099</v>
      </c>
      <c r="C18" s="5">
        <v>46113</v>
      </c>
      <c r="D18" s="14">
        <v>3296</v>
      </c>
      <c r="E18" s="14">
        <v>342</v>
      </c>
      <c r="F18" s="14">
        <v>6</v>
      </c>
      <c r="G18" s="14">
        <v>1</v>
      </c>
      <c r="H18" s="14">
        <v>81518</v>
      </c>
      <c r="I18" s="14" t="s">
        <v>28</v>
      </c>
      <c r="J18" s="14">
        <v>79859384</v>
      </c>
      <c r="K18" s="14" t="s">
        <v>249</v>
      </c>
      <c r="L18" s="14" t="s">
        <v>250</v>
      </c>
      <c r="M18" s="28">
        <v>119900</v>
      </c>
      <c r="N18" s="29">
        <v>0.9</v>
      </c>
      <c r="O18" s="28">
        <f t="shared" si="0"/>
        <v>11990</v>
      </c>
      <c r="P18" s="14" t="s">
        <v>20</v>
      </c>
    </row>
    <row r="19" spans="1:16">
      <c r="A19" s="14" t="s">
        <v>217</v>
      </c>
      <c r="B19" s="5">
        <v>46099</v>
      </c>
      <c r="C19" s="5">
        <v>46113</v>
      </c>
      <c r="D19" s="14">
        <v>3296</v>
      </c>
      <c r="E19" s="14">
        <v>342</v>
      </c>
      <c r="F19" s="14">
        <v>6</v>
      </c>
      <c r="G19" s="14">
        <v>1</v>
      </c>
      <c r="H19" s="14">
        <v>81518</v>
      </c>
      <c r="I19" s="14" t="s">
        <v>28</v>
      </c>
      <c r="J19" s="14">
        <v>79859393</v>
      </c>
      <c r="K19" s="14" t="s">
        <v>251</v>
      </c>
      <c r="L19" s="14" t="s">
        <v>252</v>
      </c>
      <c r="M19" s="28">
        <v>129900</v>
      </c>
      <c r="N19" s="29">
        <v>0.9</v>
      </c>
      <c r="O19" s="28">
        <f t="shared" si="0"/>
        <v>12990</v>
      </c>
      <c r="P19" s="14" t="s">
        <v>20</v>
      </c>
    </row>
    <row r="20" spans="1:16">
      <c r="A20" s="14" t="s">
        <v>217</v>
      </c>
      <c r="B20" s="5">
        <v>46099</v>
      </c>
      <c r="C20" s="5">
        <v>46113</v>
      </c>
      <c r="D20" s="14">
        <v>3296</v>
      </c>
      <c r="E20" s="14">
        <v>342</v>
      </c>
      <c r="F20" s="14">
        <v>6</v>
      </c>
      <c r="G20" s="14">
        <v>1</v>
      </c>
      <c r="H20" s="14">
        <v>81518</v>
      </c>
      <c r="I20" s="14" t="s">
        <v>28</v>
      </c>
      <c r="J20" s="14">
        <v>79859455</v>
      </c>
      <c r="K20" s="14" t="s">
        <v>253</v>
      </c>
      <c r="L20" s="14" t="s">
        <v>254</v>
      </c>
      <c r="M20" s="28">
        <v>119900</v>
      </c>
      <c r="N20" s="29">
        <v>0.9</v>
      </c>
      <c r="O20" s="28">
        <f t="shared" si="0"/>
        <v>11990</v>
      </c>
      <c r="P20" s="14" t="s">
        <v>20</v>
      </c>
    </row>
    <row r="21" spans="1:16">
      <c r="A21" s="14" t="s">
        <v>217</v>
      </c>
      <c r="B21" s="5">
        <v>46099</v>
      </c>
      <c r="C21" s="5">
        <v>46113</v>
      </c>
      <c r="D21" s="14">
        <v>3296</v>
      </c>
      <c r="E21" s="14">
        <v>342</v>
      </c>
      <c r="F21" s="14">
        <v>6</v>
      </c>
      <c r="G21" s="14">
        <v>1</v>
      </c>
      <c r="H21" s="14">
        <v>81518</v>
      </c>
      <c r="I21" s="14" t="s">
        <v>28</v>
      </c>
      <c r="J21" s="14">
        <v>80840319</v>
      </c>
      <c r="K21" s="14" t="s">
        <v>255</v>
      </c>
      <c r="L21" s="14" t="s">
        <v>256</v>
      </c>
      <c r="M21" s="28">
        <v>119900</v>
      </c>
      <c r="N21" s="29">
        <v>0.9</v>
      </c>
      <c r="O21" s="28">
        <f t="shared" si="0"/>
        <v>11990</v>
      </c>
      <c r="P21" s="14" t="s">
        <v>20</v>
      </c>
    </row>
    <row r="22" spans="1:16">
      <c r="A22" s="14" t="s">
        <v>217</v>
      </c>
      <c r="B22" s="5">
        <v>46099</v>
      </c>
      <c r="C22" s="5">
        <v>46113</v>
      </c>
      <c r="D22" s="14">
        <v>3296</v>
      </c>
      <c r="E22" s="14">
        <v>342</v>
      </c>
      <c r="F22" s="14">
        <v>6</v>
      </c>
      <c r="G22" s="14">
        <v>1</v>
      </c>
      <c r="H22" s="14">
        <v>81518</v>
      </c>
      <c r="I22" s="14" t="s">
        <v>28</v>
      </c>
      <c r="J22" s="14">
        <v>80840364</v>
      </c>
      <c r="K22" s="14" t="s">
        <v>257</v>
      </c>
      <c r="L22" s="14" t="s">
        <v>258</v>
      </c>
      <c r="M22" s="28">
        <v>129900</v>
      </c>
      <c r="N22" s="29">
        <v>0.9</v>
      </c>
      <c r="O22" s="28">
        <f t="shared" si="0"/>
        <v>12990</v>
      </c>
      <c r="P22" s="14" t="s">
        <v>20</v>
      </c>
    </row>
    <row r="23" spans="1:16">
      <c r="A23" s="14" t="s">
        <v>217</v>
      </c>
      <c r="B23" s="5">
        <v>46099</v>
      </c>
      <c r="C23" s="5">
        <v>46113</v>
      </c>
      <c r="D23" s="14">
        <v>3296</v>
      </c>
      <c r="E23" s="14">
        <v>342</v>
      </c>
      <c r="F23" s="14">
        <v>6</v>
      </c>
      <c r="G23" s="14">
        <v>1</v>
      </c>
      <c r="H23" s="14">
        <v>81518</v>
      </c>
      <c r="I23" s="14" t="s">
        <v>28</v>
      </c>
      <c r="J23" s="14">
        <v>80840373</v>
      </c>
      <c r="K23" s="14" t="s">
        <v>259</v>
      </c>
      <c r="L23" s="14" t="s">
        <v>260</v>
      </c>
      <c r="M23" s="28">
        <v>129900</v>
      </c>
      <c r="N23" s="29">
        <v>0.9</v>
      </c>
      <c r="O23" s="28">
        <f t="shared" si="0"/>
        <v>12990</v>
      </c>
      <c r="P23" s="14" t="s">
        <v>20</v>
      </c>
    </row>
    <row r="24" spans="1:16">
      <c r="A24" s="14" t="s">
        <v>217</v>
      </c>
      <c r="B24" s="5">
        <v>46099</v>
      </c>
      <c r="C24" s="5">
        <v>46113</v>
      </c>
      <c r="D24" s="14">
        <v>3296</v>
      </c>
      <c r="E24" s="14">
        <v>342</v>
      </c>
      <c r="F24" s="14">
        <v>6</v>
      </c>
      <c r="G24" s="14">
        <v>1</v>
      </c>
      <c r="H24" s="14">
        <v>81375</v>
      </c>
      <c r="I24" s="14" t="s">
        <v>28</v>
      </c>
      <c r="J24" s="14">
        <v>81507820</v>
      </c>
      <c r="K24" s="14" t="s">
        <v>261</v>
      </c>
      <c r="L24" s="14" t="s">
        <v>262</v>
      </c>
      <c r="M24" s="28">
        <v>119900</v>
      </c>
      <c r="N24" s="29">
        <v>0.9</v>
      </c>
      <c r="O24" s="28">
        <f t="shared" si="0"/>
        <v>11990</v>
      </c>
      <c r="P24" s="14" t="s">
        <v>20</v>
      </c>
    </row>
    <row r="25" spans="1:16">
      <c r="A25" s="14" t="s">
        <v>217</v>
      </c>
      <c r="B25" s="5">
        <v>46099</v>
      </c>
      <c r="C25" s="5">
        <v>46113</v>
      </c>
      <c r="D25" s="14">
        <v>3296</v>
      </c>
      <c r="E25" s="14">
        <v>342</v>
      </c>
      <c r="F25" s="14">
        <v>6</v>
      </c>
      <c r="G25" s="14">
        <v>1</v>
      </c>
      <c r="H25" s="14">
        <v>81518</v>
      </c>
      <c r="I25" s="14" t="s">
        <v>28</v>
      </c>
      <c r="J25" s="14">
        <v>81932692</v>
      </c>
      <c r="K25" s="14" t="s">
        <v>263</v>
      </c>
      <c r="L25" s="14" t="s">
        <v>264</v>
      </c>
      <c r="M25" s="28">
        <v>129900</v>
      </c>
      <c r="N25" s="29">
        <v>0.9</v>
      </c>
      <c r="O25" s="28">
        <f t="shared" si="0"/>
        <v>12990</v>
      </c>
      <c r="P25" s="14" t="s">
        <v>20</v>
      </c>
    </row>
    <row r="26" spans="1:16">
      <c r="A26" s="14" t="s">
        <v>217</v>
      </c>
      <c r="B26" s="5">
        <v>46099</v>
      </c>
      <c r="C26" s="5">
        <v>46113</v>
      </c>
      <c r="D26" s="14">
        <v>3296</v>
      </c>
      <c r="E26" s="14">
        <v>342</v>
      </c>
      <c r="F26" s="14">
        <v>6</v>
      </c>
      <c r="G26" s="14">
        <v>1</v>
      </c>
      <c r="H26" s="14">
        <v>81518</v>
      </c>
      <c r="I26" s="14" t="s">
        <v>28</v>
      </c>
      <c r="J26" s="14">
        <v>82193935</v>
      </c>
      <c r="K26" s="14" t="s">
        <v>265</v>
      </c>
      <c r="L26" s="14" t="s">
        <v>266</v>
      </c>
      <c r="M26" s="28">
        <v>129900</v>
      </c>
      <c r="N26" s="29">
        <v>0.9</v>
      </c>
      <c r="O26" s="28">
        <f t="shared" si="0"/>
        <v>12990</v>
      </c>
      <c r="P26" s="14" t="s">
        <v>20</v>
      </c>
    </row>
    <row r="27" spans="1:16">
      <c r="A27" s="14" t="s">
        <v>217</v>
      </c>
      <c r="B27" s="5">
        <v>46099</v>
      </c>
      <c r="C27" s="5">
        <v>46113</v>
      </c>
      <c r="D27" s="14">
        <v>3296</v>
      </c>
      <c r="E27" s="14">
        <v>342</v>
      </c>
      <c r="F27" s="14">
        <v>6</v>
      </c>
      <c r="G27" s="14">
        <v>1</v>
      </c>
      <c r="H27" s="14">
        <v>81518</v>
      </c>
      <c r="I27" s="14" t="s">
        <v>28</v>
      </c>
      <c r="J27" s="14">
        <v>82193944</v>
      </c>
      <c r="K27" s="14" t="s">
        <v>267</v>
      </c>
      <c r="L27" s="14" t="s">
        <v>268</v>
      </c>
      <c r="M27" s="28">
        <v>129900</v>
      </c>
      <c r="N27" s="29">
        <v>0.9</v>
      </c>
      <c r="O27" s="28">
        <f t="shared" si="0"/>
        <v>12990</v>
      </c>
      <c r="P27" s="14" t="s">
        <v>20</v>
      </c>
    </row>
    <row r="28" spans="1:16">
      <c r="A28" s="14" t="s">
        <v>217</v>
      </c>
      <c r="B28" s="5">
        <v>46099</v>
      </c>
      <c r="C28" s="5">
        <v>46113</v>
      </c>
      <c r="D28" s="14">
        <v>3296</v>
      </c>
      <c r="E28" s="14">
        <v>342</v>
      </c>
      <c r="F28" s="14">
        <v>6</v>
      </c>
      <c r="G28" s="14">
        <v>1</v>
      </c>
      <c r="H28" s="14">
        <v>81375</v>
      </c>
      <c r="I28" s="14" t="s">
        <v>28</v>
      </c>
      <c r="J28" s="14">
        <v>76131307</v>
      </c>
      <c r="K28" s="14" t="s">
        <v>269</v>
      </c>
      <c r="L28" s="14" t="s">
        <v>270</v>
      </c>
      <c r="M28" s="28">
        <v>119900</v>
      </c>
      <c r="N28" s="29">
        <v>0.9</v>
      </c>
      <c r="O28" s="28">
        <f t="shared" si="0"/>
        <v>11990</v>
      </c>
      <c r="P28" s="14" t="s">
        <v>20</v>
      </c>
    </row>
    <row r="29" spans="1:16">
      <c r="A29" s="14" t="s">
        <v>217</v>
      </c>
      <c r="B29" s="5">
        <v>46099</v>
      </c>
      <c r="C29" s="5">
        <v>46113</v>
      </c>
      <c r="D29" s="14">
        <v>3296</v>
      </c>
      <c r="E29" s="14">
        <v>342</v>
      </c>
      <c r="F29" s="14">
        <v>6</v>
      </c>
      <c r="G29" s="14">
        <v>1</v>
      </c>
      <c r="H29" s="14">
        <v>81375</v>
      </c>
      <c r="I29" s="14" t="s">
        <v>28</v>
      </c>
      <c r="J29" s="14">
        <v>76131352</v>
      </c>
      <c r="K29" s="14" t="s">
        <v>271</v>
      </c>
      <c r="L29" s="14" t="s">
        <v>272</v>
      </c>
      <c r="M29" s="28">
        <v>119900</v>
      </c>
      <c r="N29" s="29">
        <v>0.9</v>
      </c>
      <c r="O29" s="28">
        <f t="shared" si="0"/>
        <v>11990</v>
      </c>
      <c r="P29" s="14" t="s">
        <v>20</v>
      </c>
    </row>
    <row r="30" spans="1:16">
      <c r="A30" s="14" t="s">
        <v>217</v>
      </c>
      <c r="B30" s="5">
        <v>46099</v>
      </c>
      <c r="C30" s="5">
        <v>46113</v>
      </c>
      <c r="D30" s="14">
        <v>3296</v>
      </c>
      <c r="E30" s="14">
        <v>342</v>
      </c>
      <c r="F30" s="14">
        <v>6</v>
      </c>
      <c r="G30" s="14">
        <v>1</v>
      </c>
      <c r="H30" s="14">
        <v>81471</v>
      </c>
      <c r="I30" s="14" t="s">
        <v>28</v>
      </c>
      <c r="J30" s="14">
        <v>66937662</v>
      </c>
      <c r="K30" s="14" t="s">
        <v>273</v>
      </c>
      <c r="L30" s="14" t="s">
        <v>274</v>
      </c>
      <c r="M30" s="28">
        <v>139900</v>
      </c>
      <c r="N30" s="29">
        <v>0.9</v>
      </c>
      <c r="O30" s="28">
        <f t="shared" si="0"/>
        <v>13990</v>
      </c>
      <c r="P30" s="14" t="s">
        <v>20</v>
      </c>
    </row>
    <row r="31" spans="1:16">
      <c r="A31" s="14" t="s">
        <v>217</v>
      </c>
      <c r="B31" s="5">
        <v>46099</v>
      </c>
      <c r="C31" s="5">
        <v>46113</v>
      </c>
      <c r="D31" s="14">
        <v>3296</v>
      </c>
      <c r="E31" s="14">
        <v>342</v>
      </c>
      <c r="F31" s="14">
        <v>6</v>
      </c>
      <c r="G31" s="14">
        <v>1</v>
      </c>
      <c r="H31" s="14">
        <v>81518</v>
      </c>
      <c r="I31" s="14" t="s">
        <v>28</v>
      </c>
      <c r="J31" s="14">
        <v>79106446</v>
      </c>
      <c r="K31" s="14" t="s">
        <v>275</v>
      </c>
      <c r="L31" s="14" t="s">
        <v>276</v>
      </c>
      <c r="M31" s="28">
        <v>129900</v>
      </c>
      <c r="N31" s="29">
        <v>0.9</v>
      </c>
      <c r="O31" s="28">
        <f t="shared" si="0"/>
        <v>12990</v>
      </c>
      <c r="P31" s="14" t="s">
        <v>20</v>
      </c>
    </row>
    <row r="32" spans="1:16">
      <c r="A32" s="14" t="s">
        <v>217</v>
      </c>
      <c r="B32" s="5">
        <v>46099</v>
      </c>
      <c r="C32" s="5">
        <v>46113</v>
      </c>
      <c r="D32" s="14">
        <v>3296</v>
      </c>
      <c r="E32" s="14">
        <v>342</v>
      </c>
      <c r="F32" s="14">
        <v>6</v>
      </c>
      <c r="G32" s="14">
        <v>1</v>
      </c>
      <c r="H32" s="14">
        <v>81518</v>
      </c>
      <c r="I32" s="14" t="s">
        <v>28</v>
      </c>
      <c r="J32" s="14">
        <v>79106455</v>
      </c>
      <c r="K32" s="14" t="s">
        <v>277</v>
      </c>
      <c r="L32" s="14" t="s">
        <v>278</v>
      </c>
      <c r="M32" s="28">
        <v>129900</v>
      </c>
      <c r="N32" s="29">
        <v>0.9</v>
      </c>
      <c r="O32" s="28">
        <f t="shared" si="0"/>
        <v>12990</v>
      </c>
      <c r="P32" s="14" t="s">
        <v>20</v>
      </c>
    </row>
    <row r="33" spans="1:16">
      <c r="A33" s="14" t="s">
        <v>217</v>
      </c>
      <c r="B33" s="5">
        <v>46099</v>
      </c>
      <c r="C33" s="5">
        <v>46113</v>
      </c>
      <c r="D33" s="14">
        <v>3296</v>
      </c>
      <c r="E33" s="14">
        <v>342</v>
      </c>
      <c r="F33" s="14">
        <v>6</v>
      </c>
      <c r="G33" s="14">
        <v>1</v>
      </c>
      <c r="H33" s="14">
        <v>81518</v>
      </c>
      <c r="I33" s="14" t="s">
        <v>28</v>
      </c>
      <c r="J33" s="14">
        <v>79976506</v>
      </c>
      <c r="K33" s="14" t="s">
        <v>279</v>
      </c>
      <c r="L33" s="14" t="s">
        <v>280</v>
      </c>
      <c r="M33" s="28">
        <v>119900</v>
      </c>
      <c r="N33" s="29">
        <v>0.9</v>
      </c>
      <c r="O33" s="28">
        <f t="shared" si="0"/>
        <v>11990</v>
      </c>
      <c r="P33" s="14" t="s">
        <v>20</v>
      </c>
    </row>
    <row r="34" spans="1:16">
      <c r="A34" s="14" t="s">
        <v>217</v>
      </c>
      <c r="B34" s="5">
        <v>46099</v>
      </c>
      <c r="C34" s="5">
        <v>46113</v>
      </c>
      <c r="D34" s="14">
        <v>3296</v>
      </c>
      <c r="E34" s="14">
        <v>342</v>
      </c>
      <c r="F34" s="14">
        <v>6</v>
      </c>
      <c r="G34" s="14">
        <v>1</v>
      </c>
      <c r="H34" s="14">
        <v>81518</v>
      </c>
      <c r="I34" s="14" t="s">
        <v>28</v>
      </c>
      <c r="J34" s="14">
        <v>79976515</v>
      </c>
      <c r="K34" s="14" t="s">
        <v>281</v>
      </c>
      <c r="L34" s="14" t="s">
        <v>282</v>
      </c>
      <c r="M34" s="28">
        <v>119900</v>
      </c>
      <c r="N34" s="29">
        <v>0.9</v>
      </c>
      <c r="O34" s="28">
        <f t="shared" si="0"/>
        <v>11990</v>
      </c>
      <c r="P34" s="14" t="s">
        <v>20</v>
      </c>
    </row>
    <row r="35" spans="1:16">
      <c r="A35" s="14" t="s">
        <v>217</v>
      </c>
      <c r="B35" s="5">
        <v>46099</v>
      </c>
      <c r="C35" s="5">
        <v>46113</v>
      </c>
      <c r="D35" s="14">
        <v>3296</v>
      </c>
      <c r="E35" s="14">
        <v>342</v>
      </c>
      <c r="F35" s="14">
        <v>6</v>
      </c>
      <c r="G35" s="14">
        <v>1</v>
      </c>
      <c r="H35" s="14">
        <v>81375</v>
      </c>
      <c r="I35" s="14" t="s">
        <v>28</v>
      </c>
      <c r="J35" s="14">
        <v>79106562</v>
      </c>
      <c r="K35" s="14" t="s">
        <v>283</v>
      </c>
      <c r="L35" s="14" t="s">
        <v>284</v>
      </c>
      <c r="M35" s="28">
        <v>159900</v>
      </c>
      <c r="N35" s="29">
        <v>0.9</v>
      </c>
      <c r="O35" s="28">
        <f t="shared" si="0"/>
        <v>15990</v>
      </c>
      <c r="P35" s="14" t="s">
        <v>20</v>
      </c>
    </row>
    <row r="36" spans="1:16">
      <c r="A36" s="14" t="s">
        <v>217</v>
      </c>
      <c r="B36" s="5">
        <v>46099</v>
      </c>
      <c r="C36" s="5">
        <v>46113</v>
      </c>
      <c r="D36" s="14">
        <v>3296</v>
      </c>
      <c r="E36" s="14">
        <v>342</v>
      </c>
      <c r="F36" s="14">
        <v>6</v>
      </c>
      <c r="G36" s="14">
        <v>1</v>
      </c>
      <c r="H36" s="14">
        <v>81518</v>
      </c>
      <c r="I36" s="14" t="s">
        <v>28</v>
      </c>
      <c r="J36" s="14">
        <v>80840328</v>
      </c>
      <c r="K36" s="14" t="s">
        <v>285</v>
      </c>
      <c r="L36" s="14" t="s">
        <v>286</v>
      </c>
      <c r="M36" s="28">
        <v>149900</v>
      </c>
      <c r="N36" s="29">
        <v>0.9</v>
      </c>
      <c r="O36" s="28">
        <f t="shared" si="0"/>
        <v>14990</v>
      </c>
      <c r="P36" s="14" t="s">
        <v>20</v>
      </c>
    </row>
    <row r="37" spans="1:16">
      <c r="A37" s="14" t="s">
        <v>217</v>
      </c>
      <c r="B37" s="5">
        <v>46099</v>
      </c>
      <c r="C37" s="5">
        <v>46113</v>
      </c>
      <c r="D37" s="14">
        <v>3296</v>
      </c>
      <c r="E37" s="14">
        <v>342</v>
      </c>
      <c r="F37" s="14">
        <v>6</v>
      </c>
      <c r="G37" s="14">
        <v>1</v>
      </c>
      <c r="H37" s="14">
        <v>81518</v>
      </c>
      <c r="I37" s="14" t="s">
        <v>28</v>
      </c>
      <c r="J37" s="14">
        <v>80840337</v>
      </c>
      <c r="K37" s="14" t="s">
        <v>287</v>
      </c>
      <c r="L37" s="14" t="s">
        <v>288</v>
      </c>
      <c r="M37" s="28">
        <v>149900</v>
      </c>
      <c r="N37" s="29">
        <v>0.9</v>
      </c>
      <c r="O37" s="28">
        <f t="shared" si="0"/>
        <v>14990</v>
      </c>
      <c r="P37" s="14" t="s">
        <v>20</v>
      </c>
    </row>
    <row r="38" spans="1:16">
      <c r="A38" s="14" t="s">
        <v>217</v>
      </c>
      <c r="B38" s="5">
        <v>46099</v>
      </c>
      <c r="C38" s="5">
        <v>46113</v>
      </c>
      <c r="D38" s="14">
        <v>3296</v>
      </c>
      <c r="E38" s="14">
        <v>342</v>
      </c>
      <c r="F38" s="14">
        <v>6</v>
      </c>
      <c r="G38" s="14">
        <v>1</v>
      </c>
      <c r="H38" s="14">
        <v>81518</v>
      </c>
      <c r="I38" s="14" t="s">
        <v>28</v>
      </c>
      <c r="J38" s="14">
        <v>81031512</v>
      </c>
      <c r="K38" s="14" t="s">
        <v>289</v>
      </c>
      <c r="L38" s="14" t="s">
        <v>290</v>
      </c>
      <c r="M38" s="28">
        <v>129900</v>
      </c>
      <c r="N38" s="29">
        <v>0.9</v>
      </c>
      <c r="O38" s="28">
        <f t="shared" si="0"/>
        <v>12990</v>
      </c>
      <c r="P38" s="14" t="s">
        <v>20</v>
      </c>
    </row>
    <row r="39" spans="1:16">
      <c r="A39" s="14" t="s">
        <v>217</v>
      </c>
      <c r="B39" s="5">
        <v>46099</v>
      </c>
      <c r="C39" s="5">
        <v>46113</v>
      </c>
      <c r="D39" s="14">
        <v>3296</v>
      </c>
      <c r="E39" s="14">
        <v>342</v>
      </c>
      <c r="F39" s="14">
        <v>6</v>
      </c>
      <c r="G39" s="14">
        <v>1</v>
      </c>
      <c r="H39" s="14">
        <v>81518</v>
      </c>
      <c r="I39" s="14" t="s">
        <v>28</v>
      </c>
      <c r="J39" s="14">
        <v>81031521</v>
      </c>
      <c r="K39" s="14" t="s">
        <v>291</v>
      </c>
      <c r="L39" s="14" t="s">
        <v>292</v>
      </c>
      <c r="M39" s="28">
        <v>129900</v>
      </c>
      <c r="N39" s="29">
        <v>0.9</v>
      </c>
      <c r="O39" s="28">
        <f t="shared" si="0"/>
        <v>12990</v>
      </c>
      <c r="P39" s="14" t="s">
        <v>20</v>
      </c>
    </row>
    <row r="40" spans="1:16">
      <c r="A40" s="14" t="s">
        <v>217</v>
      </c>
      <c r="B40" s="5">
        <v>46099</v>
      </c>
      <c r="C40" s="5">
        <v>46113</v>
      </c>
      <c r="D40" s="14">
        <v>3296</v>
      </c>
      <c r="E40" s="14">
        <v>342</v>
      </c>
      <c r="F40" s="14">
        <v>6</v>
      </c>
      <c r="G40" s="14">
        <v>1</v>
      </c>
      <c r="H40" s="14">
        <v>81518</v>
      </c>
      <c r="I40" s="14" t="s">
        <v>28</v>
      </c>
      <c r="J40" s="14">
        <v>81031530</v>
      </c>
      <c r="K40" s="14" t="s">
        <v>293</v>
      </c>
      <c r="L40" s="14" t="s">
        <v>294</v>
      </c>
      <c r="M40" s="28">
        <v>129900</v>
      </c>
      <c r="N40" s="29">
        <v>0.9</v>
      </c>
      <c r="O40" s="28">
        <f t="shared" si="0"/>
        <v>12990</v>
      </c>
      <c r="P40" s="14" t="s">
        <v>20</v>
      </c>
    </row>
    <row r="41" spans="1:16">
      <c r="A41" s="14" t="s">
        <v>217</v>
      </c>
      <c r="B41" s="5">
        <v>46099</v>
      </c>
      <c r="C41" s="5">
        <v>46113</v>
      </c>
      <c r="D41" s="14">
        <v>3296</v>
      </c>
      <c r="E41" s="14">
        <v>342</v>
      </c>
      <c r="F41" s="14">
        <v>6</v>
      </c>
      <c r="G41" s="14">
        <v>1</v>
      </c>
      <c r="H41" s="14">
        <v>81518</v>
      </c>
      <c r="I41" s="14" t="s">
        <v>28</v>
      </c>
      <c r="J41" s="14">
        <v>81031549</v>
      </c>
      <c r="K41" s="14" t="s">
        <v>295</v>
      </c>
      <c r="L41" s="14" t="s">
        <v>296</v>
      </c>
      <c r="M41" s="28">
        <v>129900</v>
      </c>
      <c r="N41" s="29">
        <v>0.9</v>
      </c>
      <c r="O41" s="28">
        <f t="shared" si="0"/>
        <v>12990</v>
      </c>
      <c r="P41" s="14" t="s">
        <v>20</v>
      </c>
    </row>
    <row r="42" spans="1:16">
      <c r="A42" s="14" t="s">
        <v>217</v>
      </c>
      <c r="B42" s="5">
        <v>46099</v>
      </c>
      <c r="C42" s="5">
        <v>46113</v>
      </c>
      <c r="D42" s="14">
        <v>3296</v>
      </c>
      <c r="E42" s="14">
        <v>342</v>
      </c>
      <c r="F42" s="14">
        <v>6</v>
      </c>
      <c r="G42" s="14">
        <v>1</v>
      </c>
      <c r="H42" s="14">
        <v>81375</v>
      </c>
      <c r="I42" s="14" t="s">
        <v>28</v>
      </c>
      <c r="J42" s="14">
        <v>82193917</v>
      </c>
      <c r="K42" s="14" t="s">
        <v>297</v>
      </c>
      <c r="L42" s="14" t="s">
        <v>298</v>
      </c>
      <c r="M42" s="28">
        <v>149900</v>
      </c>
      <c r="N42" s="29">
        <v>0.9</v>
      </c>
      <c r="O42" s="28">
        <f t="shared" si="0"/>
        <v>14990</v>
      </c>
      <c r="P42" s="14" t="s">
        <v>20</v>
      </c>
    </row>
    <row r="43" spans="1:16">
      <c r="A43" s="14" t="s">
        <v>217</v>
      </c>
      <c r="B43" s="5">
        <v>46099</v>
      </c>
      <c r="C43" s="5">
        <v>46113</v>
      </c>
      <c r="D43" s="14">
        <v>3296</v>
      </c>
      <c r="E43" s="14">
        <v>342</v>
      </c>
      <c r="F43" s="14">
        <v>6</v>
      </c>
      <c r="G43" s="14">
        <v>1</v>
      </c>
      <c r="H43" s="14">
        <v>81375</v>
      </c>
      <c r="I43" s="14" t="s">
        <v>28</v>
      </c>
      <c r="J43" s="14">
        <v>82193926</v>
      </c>
      <c r="K43" s="14" t="s">
        <v>299</v>
      </c>
      <c r="L43" s="14" t="s">
        <v>300</v>
      </c>
      <c r="M43" s="28">
        <v>149900</v>
      </c>
      <c r="N43" s="29">
        <v>0.9</v>
      </c>
      <c r="O43" s="28">
        <f t="shared" si="0"/>
        <v>14990</v>
      </c>
      <c r="P43" s="14" t="s">
        <v>20</v>
      </c>
    </row>
    <row r="44" spans="1:16">
      <c r="A44" s="14" t="s">
        <v>217</v>
      </c>
      <c r="B44" s="5">
        <v>46099</v>
      </c>
      <c r="C44" s="5">
        <v>46113</v>
      </c>
      <c r="D44" s="14">
        <v>3296</v>
      </c>
      <c r="E44" s="14">
        <v>342</v>
      </c>
      <c r="F44" s="14">
        <v>6</v>
      </c>
      <c r="G44" s="14">
        <v>2</v>
      </c>
      <c r="H44" s="14">
        <v>81471</v>
      </c>
      <c r="I44" s="14" t="s">
        <v>28</v>
      </c>
      <c r="J44" s="14">
        <v>24358698</v>
      </c>
      <c r="K44" s="14" t="s">
        <v>301</v>
      </c>
      <c r="L44" s="14" t="s">
        <v>302</v>
      </c>
      <c r="M44" s="28">
        <v>119900</v>
      </c>
      <c r="N44" s="29">
        <v>0.9</v>
      </c>
      <c r="O44" s="28">
        <f t="shared" si="0"/>
        <v>11990</v>
      </c>
      <c r="P44" s="14" t="s">
        <v>20</v>
      </c>
    </row>
    <row r="45" spans="1:16">
      <c r="A45" s="14" t="s">
        <v>217</v>
      </c>
      <c r="B45" s="5">
        <v>46099</v>
      </c>
      <c r="C45" s="5">
        <v>46113</v>
      </c>
      <c r="D45" s="14">
        <v>3296</v>
      </c>
      <c r="E45" s="14">
        <v>342</v>
      </c>
      <c r="F45" s="14">
        <v>6</v>
      </c>
      <c r="G45" s="14">
        <v>2</v>
      </c>
      <c r="H45" s="14">
        <v>81375</v>
      </c>
      <c r="I45" s="14" t="s">
        <v>28</v>
      </c>
      <c r="J45" s="14">
        <v>57550060</v>
      </c>
      <c r="K45" s="14" t="s">
        <v>303</v>
      </c>
      <c r="L45" s="14" t="s">
        <v>304</v>
      </c>
      <c r="M45" s="28">
        <v>99900</v>
      </c>
      <c r="N45" s="29">
        <v>0.9</v>
      </c>
      <c r="O45" s="28">
        <f t="shared" si="0"/>
        <v>9990</v>
      </c>
      <c r="P45" s="14" t="s">
        <v>20</v>
      </c>
    </row>
    <row r="46" spans="1:16">
      <c r="A46" s="14" t="s">
        <v>217</v>
      </c>
      <c r="B46" s="5">
        <v>46099</v>
      </c>
      <c r="C46" s="5">
        <v>46113</v>
      </c>
      <c r="D46" s="14">
        <v>3296</v>
      </c>
      <c r="E46" s="14">
        <v>342</v>
      </c>
      <c r="F46" s="14">
        <v>6</v>
      </c>
      <c r="G46" s="14">
        <v>2</v>
      </c>
      <c r="H46" s="14">
        <v>81375</v>
      </c>
      <c r="I46" s="14" t="s">
        <v>28</v>
      </c>
      <c r="J46" s="14">
        <v>57550104</v>
      </c>
      <c r="K46" s="14" t="s">
        <v>305</v>
      </c>
      <c r="L46" s="14" t="s">
        <v>306</v>
      </c>
      <c r="M46" s="28">
        <v>99900</v>
      </c>
      <c r="N46" s="29">
        <v>0.9</v>
      </c>
      <c r="O46" s="28">
        <f t="shared" si="0"/>
        <v>9990</v>
      </c>
      <c r="P46" s="14" t="s">
        <v>20</v>
      </c>
    </row>
    <row r="47" spans="1:16">
      <c r="A47" s="14" t="s">
        <v>217</v>
      </c>
      <c r="B47" s="5">
        <v>46099</v>
      </c>
      <c r="C47" s="5">
        <v>46113</v>
      </c>
      <c r="D47" s="14">
        <v>3296</v>
      </c>
      <c r="E47" s="14">
        <v>342</v>
      </c>
      <c r="F47" s="14">
        <v>6</v>
      </c>
      <c r="G47" s="14">
        <v>2</v>
      </c>
      <c r="H47" s="14">
        <v>81375</v>
      </c>
      <c r="I47" s="14" t="s">
        <v>28</v>
      </c>
      <c r="J47" s="14">
        <v>66032746</v>
      </c>
      <c r="K47" s="14" t="s">
        <v>307</v>
      </c>
      <c r="L47" s="14" t="s">
        <v>308</v>
      </c>
      <c r="M47" s="28">
        <v>99900</v>
      </c>
      <c r="N47" s="29">
        <v>0.9</v>
      </c>
      <c r="O47" s="28">
        <f t="shared" si="0"/>
        <v>9990</v>
      </c>
      <c r="P47" s="14" t="s">
        <v>20</v>
      </c>
    </row>
    <row r="48" spans="1:16">
      <c r="A48" s="14" t="s">
        <v>217</v>
      </c>
      <c r="B48" s="5">
        <v>46099</v>
      </c>
      <c r="C48" s="5">
        <v>46113</v>
      </c>
      <c r="D48" s="14">
        <v>3296</v>
      </c>
      <c r="E48" s="14">
        <v>342</v>
      </c>
      <c r="F48" s="14">
        <v>6</v>
      </c>
      <c r="G48" s="14">
        <v>2</v>
      </c>
      <c r="H48" s="14">
        <v>81375</v>
      </c>
      <c r="I48" s="14" t="s">
        <v>28</v>
      </c>
      <c r="J48" s="14">
        <v>73462938</v>
      </c>
      <c r="K48" s="14" t="s">
        <v>205</v>
      </c>
      <c r="L48" s="14" t="s">
        <v>309</v>
      </c>
      <c r="M48" s="28">
        <v>79900</v>
      </c>
      <c r="N48" s="29">
        <v>0.9</v>
      </c>
      <c r="O48" s="28">
        <f t="shared" si="0"/>
        <v>7990</v>
      </c>
      <c r="P48" s="14" t="s">
        <v>20</v>
      </c>
    </row>
    <row r="49" spans="1:16">
      <c r="A49" s="14" t="s">
        <v>217</v>
      </c>
      <c r="B49" s="5">
        <v>46099</v>
      </c>
      <c r="C49" s="5">
        <v>46113</v>
      </c>
      <c r="D49" s="14">
        <v>3296</v>
      </c>
      <c r="E49" s="14">
        <v>342</v>
      </c>
      <c r="F49" s="14">
        <v>6</v>
      </c>
      <c r="G49" s="14">
        <v>2</v>
      </c>
      <c r="H49" s="14">
        <v>81441</v>
      </c>
      <c r="I49" s="14" t="s">
        <v>28</v>
      </c>
      <c r="J49" s="14">
        <v>76450641</v>
      </c>
      <c r="K49" s="14" t="s">
        <v>310</v>
      </c>
      <c r="L49" s="14" t="s">
        <v>311</v>
      </c>
      <c r="M49" s="28">
        <v>69900</v>
      </c>
      <c r="N49" s="29">
        <v>0.9</v>
      </c>
      <c r="O49" s="28">
        <f t="shared" si="0"/>
        <v>6990</v>
      </c>
      <c r="P49" s="14" t="s">
        <v>20</v>
      </c>
    </row>
    <row r="50" spans="1:16">
      <c r="A50" s="14" t="s">
        <v>217</v>
      </c>
      <c r="B50" s="5">
        <v>46099</v>
      </c>
      <c r="C50" s="5">
        <v>46113</v>
      </c>
      <c r="D50" s="14">
        <v>3296</v>
      </c>
      <c r="E50" s="14">
        <v>342</v>
      </c>
      <c r="F50" s="14">
        <v>6</v>
      </c>
      <c r="G50" s="14">
        <v>2</v>
      </c>
      <c r="H50" s="14">
        <v>81441</v>
      </c>
      <c r="I50" s="14" t="s">
        <v>28</v>
      </c>
      <c r="J50" s="14">
        <v>76450650</v>
      </c>
      <c r="K50" s="14" t="s">
        <v>312</v>
      </c>
      <c r="L50" s="14" t="s">
        <v>313</v>
      </c>
      <c r="M50" s="28">
        <v>69900</v>
      </c>
      <c r="N50" s="29">
        <v>0.9</v>
      </c>
      <c r="O50" s="28">
        <f t="shared" si="0"/>
        <v>6990</v>
      </c>
      <c r="P50" s="14" t="s">
        <v>20</v>
      </c>
    </row>
    <row r="51" spans="1:16">
      <c r="A51" s="14" t="s">
        <v>217</v>
      </c>
      <c r="B51" s="5">
        <v>46099</v>
      </c>
      <c r="C51" s="5">
        <v>46113</v>
      </c>
      <c r="D51" s="14">
        <v>3296</v>
      </c>
      <c r="E51" s="14">
        <v>342</v>
      </c>
      <c r="F51" s="14">
        <v>6</v>
      </c>
      <c r="G51" s="14">
        <v>2</v>
      </c>
      <c r="H51" s="14">
        <v>81441</v>
      </c>
      <c r="I51" s="14" t="s">
        <v>28</v>
      </c>
      <c r="J51" s="14">
        <v>76450669</v>
      </c>
      <c r="K51" s="14" t="s">
        <v>314</v>
      </c>
      <c r="L51" s="14" t="s">
        <v>315</v>
      </c>
      <c r="M51" s="28">
        <v>69900</v>
      </c>
      <c r="N51" s="29">
        <v>0.9</v>
      </c>
      <c r="O51" s="28">
        <f t="shared" si="0"/>
        <v>6990</v>
      </c>
      <c r="P51" s="14" t="s">
        <v>20</v>
      </c>
    </row>
    <row r="52" spans="1:16">
      <c r="A52" s="14" t="s">
        <v>217</v>
      </c>
      <c r="B52" s="5">
        <v>46099</v>
      </c>
      <c r="C52" s="5">
        <v>46113</v>
      </c>
      <c r="D52" s="14">
        <v>3296</v>
      </c>
      <c r="E52" s="14">
        <v>342</v>
      </c>
      <c r="F52" s="14">
        <v>6</v>
      </c>
      <c r="G52" s="14">
        <v>2</v>
      </c>
      <c r="H52" s="14">
        <v>81375</v>
      </c>
      <c r="I52" s="14" t="s">
        <v>28</v>
      </c>
      <c r="J52" s="14">
        <v>73405642</v>
      </c>
      <c r="K52" s="14" t="s">
        <v>316</v>
      </c>
      <c r="L52" s="14" t="s">
        <v>317</v>
      </c>
      <c r="M52" s="28">
        <v>119900</v>
      </c>
      <c r="N52" s="29">
        <v>0.9</v>
      </c>
      <c r="O52" s="28">
        <f t="shared" si="0"/>
        <v>11990</v>
      </c>
      <c r="P52" s="14" t="s">
        <v>20</v>
      </c>
    </row>
    <row r="53" spans="1:16">
      <c r="A53" s="14" t="s">
        <v>217</v>
      </c>
      <c r="B53" s="5">
        <v>46099</v>
      </c>
      <c r="C53" s="5">
        <v>46113</v>
      </c>
      <c r="D53" s="14">
        <v>3296</v>
      </c>
      <c r="E53" s="14">
        <v>342</v>
      </c>
      <c r="F53" s="14">
        <v>6</v>
      </c>
      <c r="G53" s="14">
        <v>2</v>
      </c>
      <c r="H53" s="14">
        <v>81375</v>
      </c>
      <c r="I53" s="14" t="s">
        <v>28</v>
      </c>
      <c r="J53" s="14">
        <v>76130620</v>
      </c>
      <c r="K53" s="14" t="s">
        <v>318</v>
      </c>
      <c r="L53" s="14" t="s">
        <v>319</v>
      </c>
      <c r="M53" s="28">
        <v>119900</v>
      </c>
      <c r="N53" s="29">
        <v>0.9</v>
      </c>
      <c r="O53" s="28">
        <f t="shared" si="0"/>
        <v>11990</v>
      </c>
      <c r="P53" s="14" t="s">
        <v>20</v>
      </c>
    </row>
    <row r="54" spans="1:16">
      <c r="A54" s="14" t="s">
        <v>217</v>
      </c>
      <c r="B54" s="5">
        <v>46099</v>
      </c>
      <c r="C54" s="5">
        <v>46113</v>
      </c>
      <c r="D54" s="14">
        <v>3296</v>
      </c>
      <c r="E54" s="14">
        <v>342</v>
      </c>
      <c r="F54" s="14">
        <v>6</v>
      </c>
      <c r="G54" s="14">
        <v>2</v>
      </c>
      <c r="H54" s="14">
        <v>81375</v>
      </c>
      <c r="I54" s="14" t="s">
        <v>28</v>
      </c>
      <c r="J54" s="14">
        <v>76130639</v>
      </c>
      <c r="K54" s="14" t="s">
        <v>320</v>
      </c>
      <c r="L54" s="27" t="s">
        <v>321</v>
      </c>
      <c r="M54" s="28">
        <v>119900</v>
      </c>
      <c r="N54" s="29">
        <v>0.9</v>
      </c>
      <c r="O54" s="28">
        <f t="shared" si="0"/>
        <v>11990</v>
      </c>
      <c r="P54" s="14" t="s">
        <v>20</v>
      </c>
    </row>
    <row r="55" spans="1:16">
      <c r="A55" s="14" t="s">
        <v>217</v>
      </c>
      <c r="B55" s="5">
        <v>46099</v>
      </c>
      <c r="C55" s="5">
        <v>46113</v>
      </c>
      <c r="D55" s="14">
        <v>3296</v>
      </c>
      <c r="E55" s="14">
        <v>342</v>
      </c>
      <c r="F55" s="14">
        <v>6</v>
      </c>
      <c r="G55" s="14">
        <v>2</v>
      </c>
      <c r="H55" s="14">
        <v>81375</v>
      </c>
      <c r="I55" s="14" t="s">
        <v>28</v>
      </c>
      <c r="J55" s="14">
        <v>76130808</v>
      </c>
      <c r="K55" s="14" t="s">
        <v>322</v>
      </c>
      <c r="L55" s="27" t="s">
        <v>323</v>
      </c>
      <c r="M55" s="28">
        <v>119900</v>
      </c>
      <c r="N55" s="29">
        <v>0.9</v>
      </c>
      <c r="O55" s="28">
        <f t="shared" si="0"/>
        <v>11990</v>
      </c>
      <c r="P55" s="14" t="s">
        <v>20</v>
      </c>
    </row>
    <row r="56" spans="1:16">
      <c r="A56" s="14" t="s">
        <v>217</v>
      </c>
      <c r="B56" s="5">
        <v>46099</v>
      </c>
      <c r="C56" s="5">
        <v>46113</v>
      </c>
      <c r="D56" s="14">
        <v>3296</v>
      </c>
      <c r="E56" s="14">
        <v>342</v>
      </c>
      <c r="F56" s="14">
        <v>6</v>
      </c>
      <c r="G56" s="14">
        <v>2</v>
      </c>
      <c r="H56" s="14">
        <v>81375</v>
      </c>
      <c r="I56" s="14" t="s">
        <v>28</v>
      </c>
      <c r="J56" s="14">
        <v>78782235</v>
      </c>
      <c r="K56" s="14" t="s">
        <v>324</v>
      </c>
      <c r="L56" s="27" t="s">
        <v>325</v>
      </c>
      <c r="M56" s="28">
        <v>149900</v>
      </c>
      <c r="N56" s="29">
        <v>0.9</v>
      </c>
      <c r="O56" s="28">
        <f t="shared" si="0"/>
        <v>14990</v>
      </c>
      <c r="P56" s="14" t="s">
        <v>20</v>
      </c>
    </row>
    <row r="57" spans="1:16">
      <c r="A57" s="14" t="s">
        <v>217</v>
      </c>
      <c r="B57" s="5">
        <v>46099</v>
      </c>
      <c r="C57" s="5">
        <v>46113</v>
      </c>
      <c r="D57" s="14">
        <v>3296</v>
      </c>
      <c r="E57" s="14">
        <v>342</v>
      </c>
      <c r="F57" s="14">
        <v>6</v>
      </c>
      <c r="G57" s="14">
        <v>2</v>
      </c>
      <c r="H57" s="14">
        <v>81375</v>
      </c>
      <c r="I57" s="14" t="s">
        <v>28</v>
      </c>
      <c r="J57" s="14">
        <v>78782244</v>
      </c>
      <c r="K57" s="14" t="s">
        <v>326</v>
      </c>
      <c r="L57" s="27" t="s">
        <v>327</v>
      </c>
      <c r="M57" s="28">
        <v>149900</v>
      </c>
      <c r="N57" s="29">
        <v>0.9</v>
      </c>
      <c r="O57" s="28">
        <f t="shared" si="0"/>
        <v>14990</v>
      </c>
      <c r="P57" s="14" t="s">
        <v>20</v>
      </c>
    </row>
    <row r="58" spans="1:16">
      <c r="A58" s="14" t="s">
        <v>217</v>
      </c>
      <c r="B58" s="5">
        <v>46099</v>
      </c>
      <c r="C58" s="5">
        <v>46113</v>
      </c>
      <c r="D58" s="14">
        <v>3296</v>
      </c>
      <c r="E58" s="14">
        <v>342</v>
      </c>
      <c r="F58" s="14">
        <v>6</v>
      </c>
      <c r="G58" s="14">
        <v>2</v>
      </c>
      <c r="H58" s="14">
        <v>81375</v>
      </c>
      <c r="I58" s="14" t="s">
        <v>28</v>
      </c>
      <c r="J58" s="14">
        <v>78782253</v>
      </c>
      <c r="K58" s="14" t="s">
        <v>328</v>
      </c>
      <c r="L58" s="27" t="s">
        <v>329</v>
      </c>
      <c r="M58" s="28">
        <v>99900</v>
      </c>
      <c r="N58" s="29">
        <v>0.9</v>
      </c>
      <c r="O58" s="28">
        <f t="shared" si="0"/>
        <v>9990</v>
      </c>
      <c r="P58" s="14" t="s">
        <v>20</v>
      </c>
    </row>
    <row r="59" spans="1:16">
      <c r="A59" s="14" t="s">
        <v>217</v>
      </c>
      <c r="B59" s="5">
        <v>46099</v>
      </c>
      <c r="C59" s="5">
        <v>46113</v>
      </c>
      <c r="D59" s="14">
        <v>3296</v>
      </c>
      <c r="E59" s="14">
        <v>342</v>
      </c>
      <c r="F59" s="14">
        <v>6</v>
      </c>
      <c r="G59" s="14">
        <v>2</v>
      </c>
      <c r="H59" s="14">
        <v>81375</v>
      </c>
      <c r="I59" s="14" t="s">
        <v>28</v>
      </c>
      <c r="J59" s="14">
        <v>78782262</v>
      </c>
      <c r="K59" s="14" t="s">
        <v>328</v>
      </c>
      <c r="L59" s="27" t="s">
        <v>330</v>
      </c>
      <c r="M59" s="28">
        <v>99900</v>
      </c>
      <c r="N59" s="29">
        <v>0.9</v>
      </c>
      <c r="O59" s="28">
        <f t="shared" si="0"/>
        <v>9990</v>
      </c>
      <c r="P59" s="14" t="s">
        <v>20</v>
      </c>
    </row>
    <row r="60" spans="1:16">
      <c r="A60" s="14" t="s">
        <v>217</v>
      </c>
      <c r="B60" s="5">
        <v>46099</v>
      </c>
      <c r="C60" s="5">
        <v>46113</v>
      </c>
      <c r="D60" s="14">
        <v>3296</v>
      </c>
      <c r="E60" s="14">
        <v>342</v>
      </c>
      <c r="F60" s="14">
        <v>6</v>
      </c>
      <c r="G60" s="14">
        <v>2</v>
      </c>
      <c r="H60" s="14">
        <v>81375</v>
      </c>
      <c r="I60" s="14" t="s">
        <v>28</v>
      </c>
      <c r="J60" s="14">
        <v>78782271</v>
      </c>
      <c r="K60" s="14" t="s">
        <v>328</v>
      </c>
      <c r="L60" s="27" t="s">
        <v>331</v>
      </c>
      <c r="M60" s="28">
        <v>99900</v>
      </c>
      <c r="N60" s="29">
        <v>0.9</v>
      </c>
      <c r="O60" s="28">
        <f t="shared" si="0"/>
        <v>9990</v>
      </c>
      <c r="P60" s="14" t="s">
        <v>20</v>
      </c>
    </row>
    <row r="61" spans="1:16">
      <c r="A61" s="14" t="s">
        <v>217</v>
      </c>
      <c r="B61" s="5">
        <v>46099</v>
      </c>
      <c r="C61" s="5">
        <v>46113</v>
      </c>
      <c r="D61" s="14">
        <v>3296</v>
      </c>
      <c r="E61" s="14">
        <v>342</v>
      </c>
      <c r="F61" s="14">
        <v>6</v>
      </c>
      <c r="G61" s="14">
        <v>2</v>
      </c>
      <c r="H61" s="14">
        <v>81375</v>
      </c>
      <c r="I61" s="14" t="s">
        <v>28</v>
      </c>
      <c r="J61" s="14">
        <v>78782280</v>
      </c>
      <c r="K61" s="14" t="s">
        <v>332</v>
      </c>
      <c r="L61" s="27" t="s">
        <v>333</v>
      </c>
      <c r="M61" s="28">
        <v>99900</v>
      </c>
      <c r="N61" s="29">
        <v>0.9</v>
      </c>
      <c r="O61" s="28">
        <f t="shared" si="0"/>
        <v>9990</v>
      </c>
      <c r="P61" s="14" t="s">
        <v>20</v>
      </c>
    </row>
    <row r="62" spans="1:16">
      <c r="A62" s="14" t="s">
        <v>217</v>
      </c>
      <c r="B62" s="5">
        <v>46099</v>
      </c>
      <c r="C62" s="5">
        <v>46113</v>
      </c>
      <c r="D62" s="14">
        <v>3296</v>
      </c>
      <c r="E62" s="14">
        <v>342</v>
      </c>
      <c r="F62" s="14">
        <v>6</v>
      </c>
      <c r="G62" s="14">
        <v>2</v>
      </c>
      <c r="H62" s="14">
        <v>81375</v>
      </c>
      <c r="I62" s="14" t="s">
        <v>28</v>
      </c>
      <c r="J62" s="14">
        <v>78782299</v>
      </c>
      <c r="K62" s="14" t="s">
        <v>332</v>
      </c>
      <c r="L62" s="27" t="s">
        <v>334</v>
      </c>
      <c r="M62" s="28">
        <v>99900</v>
      </c>
      <c r="N62" s="29">
        <v>0.9</v>
      </c>
      <c r="O62" s="28">
        <f t="shared" si="0"/>
        <v>9990</v>
      </c>
      <c r="P62" s="14" t="s">
        <v>20</v>
      </c>
    </row>
    <row r="63" spans="1:16">
      <c r="A63" s="14" t="s">
        <v>217</v>
      </c>
      <c r="B63" s="5">
        <v>46099</v>
      </c>
      <c r="C63" s="5">
        <v>46113</v>
      </c>
      <c r="D63" s="14">
        <v>3296</v>
      </c>
      <c r="E63" s="14">
        <v>342</v>
      </c>
      <c r="F63" s="14">
        <v>6</v>
      </c>
      <c r="G63" s="14">
        <v>2</v>
      </c>
      <c r="H63" s="14">
        <v>81375</v>
      </c>
      <c r="I63" s="14" t="s">
        <v>28</v>
      </c>
      <c r="J63" s="14">
        <v>78782306</v>
      </c>
      <c r="K63" s="14" t="s">
        <v>335</v>
      </c>
      <c r="L63" s="27" t="s">
        <v>336</v>
      </c>
      <c r="M63" s="28">
        <v>119900</v>
      </c>
      <c r="N63" s="29">
        <v>0.9</v>
      </c>
      <c r="O63" s="28">
        <f t="shared" si="0"/>
        <v>11990</v>
      </c>
      <c r="P63" s="14" t="s">
        <v>20</v>
      </c>
    </row>
    <row r="64" spans="1:16">
      <c r="A64" s="14" t="s">
        <v>217</v>
      </c>
      <c r="B64" s="5">
        <v>46099</v>
      </c>
      <c r="C64" s="5">
        <v>46113</v>
      </c>
      <c r="D64" s="14">
        <v>3296</v>
      </c>
      <c r="E64" s="14">
        <v>342</v>
      </c>
      <c r="F64" s="14">
        <v>6</v>
      </c>
      <c r="G64" s="14">
        <v>2</v>
      </c>
      <c r="H64" s="14">
        <v>81375</v>
      </c>
      <c r="I64" s="14" t="s">
        <v>28</v>
      </c>
      <c r="J64" s="14">
        <v>79106464</v>
      </c>
      <c r="K64" s="14" t="s">
        <v>337</v>
      </c>
      <c r="L64" s="27" t="s">
        <v>338</v>
      </c>
      <c r="M64" s="28">
        <v>99900</v>
      </c>
      <c r="N64" s="29">
        <v>0.9</v>
      </c>
      <c r="O64" s="28">
        <f t="shared" si="0"/>
        <v>9990</v>
      </c>
      <c r="P64" s="14" t="s">
        <v>20</v>
      </c>
    </row>
    <row r="65" spans="1:16">
      <c r="A65" s="14" t="s">
        <v>217</v>
      </c>
      <c r="B65" s="5">
        <v>46099</v>
      </c>
      <c r="C65" s="5">
        <v>46113</v>
      </c>
      <c r="D65" s="14">
        <v>3296</v>
      </c>
      <c r="E65" s="14">
        <v>342</v>
      </c>
      <c r="F65" s="14">
        <v>6</v>
      </c>
      <c r="G65" s="14">
        <v>2</v>
      </c>
      <c r="H65" s="14">
        <v>81375</v>
      </c>
      <c r="I65" s="14" t="s">
        <v>28</v>
      </c>
      <c r="J65" s="14">
        <v>79106473</v>
      </c>
      <c r="K65" s="14" t="s">
        <v>339</v>
      </c>
      <c r="L65" s="27" t="s">
        <v>340</v>
      </c>
      <c r="M65" s="28">
        <v>119900</v>
      </c>
      <c r="N65" s="29">
        <v>0.9</v>
      </c>
      <c r="O65" s="28">
        <f t="shared" si="0"/>
        <v>11990</v>
      </c>
      <c r="P65" s="14" t="s">
        <v>20</v>
      </c>
    </row>
    <row r="66" spans="1:16">
      <c r="A66" s="14" t="s">
        <v>217</v>
      </c>
      <c r="B66" s="5">
        <v>46099</v>
      </c>
      <c r="C66" s="5">
        <v>46113</v>
      </c>
      <c r="D66" s="14">
        <v>3296</v>
      </c>
      <c r="E66" s="14">
        <v>342</v>
      </c>
      <c r="F66" s="14">
        <v>6</v>
      </c>
      <c r="G66" s="14">
        <v>2</v>
      </c>
      <c r="H66" s="14">
        <v>81375</v>
      </c>
      <c r="I66" s="14" t="s">
        <v>28</v>
      </c>
      <c r="J66" s="14">
        <v>79106482</v>
      </c>
      <c r="K66" s="14" t="s">
        <v>341</v>
      </c>
      <c r="L66" s="27" t="s">
        <v>342</v>
      </c>
      <c r="M66" s="28">
        <v>119900</v>
      </c>
      <c r="N66" s="29">
        <v>0.9</v>
      </c>
      <c r="O66" s="28">
        <f t="shared" ref="O66:O72" si="1">M66*(1-N66)</f>
        <v>11990</v>
      </c>
      <c r="P66" s="14" t="s">
        <v>20</v>
      </c>
    </row>
    <row r="67" spans="1:16">
      <c r="A67" s="14" t="s">
        <v>217</v>
      </c>
      <c r="B67" s="5">
        <v>46099</v>
      </c>
      <c r="C67" s="5">
        <v>46113</v>
      </c>
      <c r="D67" s="14">
        <v>3296</v>
      </c>
      <c r="E67" s="14">
        <v>342</v>
      </c>
      <c r="F67" s="14">
        <v>6</v>
      </c>
      <c r="G67" s="14">
        <v>2</v>
      </c>
      <c r="H67" s="14">
        <v>81375</v>
      </c>
      <c r="I67" s="14" t="s">
        <v>28</v>
      </c>
      <c r="J67" s="14">
        <v>79106491</v>
      </c>
      <c r="K67" s="14" t="s">
        <v>343</v>
      </c>
      <c r="L67" s="27" t="s">
        <v>344</v>
      </c>
      <c r="M67" s="28">
        <v>119900</v>
      </c>
      <c r="N67" s="29">
        <v>0.9</v>
      </c>
      <c r="O67" s="28">
        <f t="shared" si="1"/>
        <v>11990</v>
      </c>
      <c r="P67" s="14" t="s">
        <v>20</v>
      </c>
    </row>
    <row r="68" spans="1:16">
      <c r="A68" s="14" t="s">
        <v>217</v>
      </c>
      <c r="B68" s="5">
        <v>46099</v>
      </c>
      <c r="C68" s="5">
        <v>46113</v>
      </c>
      <c r="D68" s="14">
        <v>3296</v>
      </c>
      <c r="E68" s="14">
        <v>342</v>
      </c>
      <c r="F68" s="14">
        <v>6</v>
      </c>
      <c r="G68" s="14">
        <v>2</v>
      </c>
      <c r="H68" s="14">
        <v>81375</v>
      </c>
      <c r="I68" s="14" t="s">
        <v>28</v>
      </c>
      <c r="J68" s="14">
        <v>79106508</v>
      </c>
      <c r="K68" s="14" t="s">
        <v>345</v>
      </c>
      <c r="L68" s="27" t="s">
        <v>346</v>
      </c>
      <c r="M68" s="28">
        <v>119900</v>
      </c>
      <c r="N68" s="29">
        <v>0.9</v>
      </c>
      <c r="O68" s="28">
        <f t="shared" si="1"/>
        <v>11990</v>
      </c>
      <c r="P68" s="14" t="s">
        <v>20</v>
      </c>
    </row>
    <row r="69" spans="1:16">
      <c r="A69" s="14" t="s">
        <v>217</v>
      </c>
      <c r="B69" s="5">
        <v>46099</v>
      </c>
      <c r="C69" s="5">
        <v>46113</v>
      </c>
      <c r="D69" s="14">
        <v>3296</v>
      </c>
      <c r="E69" s="14">
        <v>342</v>
      </c>
      <c r="F69" s="14">
        <v>6</v>
      </c>
      <c r="G69" s="14">
        <v>2</v>
      </c>
      <c r="H69" s="14">
        <v>81375</v>
      </c>
      <c r="I69" s="14" t="s">
        <v>28</v>
      </c>
      <c r="J69" s="14">
        <v>79859419</v>
      </c>
      <c r="K69" s="14" t="s">
        <v>347</v>
      </c>
      <c r="L69" s="27" t="s">
        <v>348</v>
      </c>
      <c r="M69" s="28">
        <v>119900</v>
      </c>
      <c r="N69" s="29">
        <v>0.9</v>
      </c>
      <c r="O69" s="28">
        <f t="shared" si="1"/>
        <v>11990</v>
      </c>
      <c r="P69" s="14" t="s">
        <v>20</v>
      </c>
    </row>
    <row r="70" spans="1:16">
      <c r="A70" s="14" t="s">
        <v>217</v>
      </c>
      <c r="B70" s="5">
        <v>46099</v>
      </c>
      <c r="C70" s="5">
        <v>46113</v>
      </c>
      <c r="D70" s="14">
        <v>3296</v>
      </c>
      <c r="E70" s="14">
        <v>342</v>
      </c>
      <c r="F70" s="14">
        <v>6</v>
      </c>
      <c r="G70" s="14">
        <v>2</v>
      </c>
      <c r="H70" s="14">
        <v>81375</v>
      </c>
      <c r="I70" s="14" t="s">
        <v>28</v>
      </c>
      <c r="J70" s="14">
        <v>79859428</v>
      </c>
      <c r="K70" s="14" t="s">
        <v>349</v>
      </c>
      <c r="L70" s="27" t="s">
        <v>350</v>
      </c>
      <c r="M70" s="28">
        <v>119900</v>
      </c>
      <c r="N70" s="29">
        <v>0.9</v>
      </c>
      <c r="O70" s="28">
        <f t="shared" si="1"/>
        <v>11990</v>
      </c>
      <c r="P70" s="14" t="s">
        <v>20</v>
      </c>
    </row>
    <row r="71" spans="1:16">
      <c r="A71" s="14" t="s">
        <v>217</v>
      </c>
      <c r="B71" s="5">
        <v>46099</v>
      </c>
      <c r="C71" s="5">
        <v>46113</v>
      </c>
      <c r="D71" s="14">
        <v>3296</v>
      </c>
      <c r="E71" s="14">
        <v>342</v>
      </c>
      <c r="F71" s="14">
        <v>6</v>
      </c>
      <c r="G71" s="14">
        <v>2</v>
      </c>
      <c r="H71" s="14">
        <v>81375</v>
      </c>
      <c r="I71" s="14" t="s">
        <v>28</v>
      </c>
      <c r="J71" s="14">
        <v>79859437</v>
      </c>
      <c r="K71" s="14" t="s">
        <v>351</v>
      </c>
      <c r="L71" s="27" t="s">
        <v>352</v>
      </c>
      <c r="M71" s="28">
        <v>119900</v>
      </c>
      <c r="N71" s="29">
        <v>0.9</v>
      </c>
      <c r="O71" s="28">
        <f t="shared" si="1"/>
        <v>11990</v>
      </c>
      <c r="P71" s="14" t="s">
        <v>20</v>
      </c>
    </row>
    <row r="72" spans="1:16">
      <c r="A72" s="14" t="s">
        <v>217</v>
      </c>
      <c r="B72" s="5">
        <v>46099</v>
      </c>
      <c r="C72" s="5">
        <v>46113</v>
      </c>
      <c r="D72" s="14">
        <v>3296</v>
      </c>
      <c r="E72" s="14">
        <v>342</v>
      </c>
      <c r="F72" s="14">
        <v>6</v>
      </c>
      <c r="G72" s="14">
        <v>2</v>
      </c>
      <c r="H72" s="14">
        <v>81518</v>
      </c>
      <c r="I72" s="14" t="s">
        <v>28</v>
      </c>
      <c r="J72" s="32">
        <v>83707717</v>
      </c>
      <c r="K72" s="4" t="s">
        <v>353</v>
      </c>
      <c r="L72" s="32" t="s">
        <v>354</v>
      </c>
      <c r="M72" s="33">
        <v>119900</v>
      </c>
      <c r="N72" s="29">
        <v>0.9</v>
      </c>
      <c r="O72" s="28">
        <f t="shared" si="1"/>
        <v>11990</v>
      </c>
      <c r="P72" s="14" t="s">
        <v>20</v>
      </c>
    </row>
  </sheetData>
  <autoFilter xmlns:etc="http://www.wps.cn/officeDocument/2017/etCustomData" ref="A1:P72" etc:filterBottomFollowUsedRange="0">
    <extLst/>
  </autoFilter>
  <conditionalFormatting sqref="J1:J72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zoomScale="55" zoomScaleNormal="55" workbookViewId="0">
      <pane ySplit="1" topLeftCell="A2" activePane="bottomLeft" state="frozen"/>
      <selection/>
      <selection pane="bottomLeft" activeCell="B2" sqref="B2:C35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355</v>
      </c>
      <c r="B2" s="5">
        <v>46099</v>
      </c>
      <c r="C2" s="5">
        <v>46113</v>
      </c>
      <c r="D2" s="14">
        <v>3296</v>
      </c>
      <c r="E2" s="14">
        <v>342</v>
      </c>
      <c r="F2" s="14">
        <v>6</v>
      </c>
      <c r="G2" s="14">
        <v>1</v>
      </c>
      <c r="H2" s="14">
        <v>81375</v>
      </c>
      <c r="I2" s="14" t="s">
        <v>28</v>
      </c>
      <c r="J2" s="14">
        <v>76461880</v>
      </c>
      <c r="K2" s="14" t="s">
        <v>356</v>
      </c>
      <c r="L2" s="27" t="s">
        <v>357</v>
      </c>
      <c r="M2" s="28">
        <v>119900</v>
      </c>
      <c r="N2" s="29">
        <v>0.9</v>
      </c>
      <c r="O2" s="28">
        <f t="shared" ref="O2:O37" si="0">M2*(1-N2)</f>
        <v>11990</v>
      </c>
      <c r="P2" s="14" t="s">
        <v>20</v>
      </c>
    </row>
    <row r="3" spans="1:16">
      <c r="A3" s="14" t="s">
        <v>355</v>
      </c>
      <c r="B3" s="5">
        <v>46099</v>
      </c>
      <c r="C3" s="5">
        <v>46113</v>
      </c>
      <c r="D3" s="14">
        <v>3296</v>
      </c>
      <c r="E3" s="14">
        <v>342</v>
      </c>
      <c r="F3" s="14">
        <v>6</v>
      </c>
      <c r="G3" s="14">
        <v>1</v>
      </c>
      <c r="H3" s="14">
        <v>81375</v>
      </c>
      <c r="I3" s="14" t="s">
        <v>28</v>
      </c>
      <c r="J3" s="14">
        <v>76461899</v>
      </c>
      <c r="K3" s="14" t="s">
        <v>358</v>
      </c>
      <c r="L3" s="27" t="s">
        <v>359</v>
      </c>
      <c r="M3" s="28">
        <v>119900</v>
      </c>
      <c r="N3" s="29">
        <v>0.9</v>
      </c>
      <c r="O3" s="28">
        <f t="shared" si="0"/>
        <v>11990</v>
      </c>
      <c r="P3" s="14" t="s">
        <v>20</v>
      </c>
    </row>
    <row r="4" spans="1:16">
      <c r="A4" s="14" t="s">
        <v>355</v>
      </c>
      <c r="B4" s="5">
        <v>46099</v>
      </c>
      <c r="C4" s="5">
        <v>46113</v>
      </c>
      <c r="D4" s="14">
        <v>3296</v>
      </c>
      <c r="E4" s="14">
        <v>342</v>
      </c>
      <c r="F4" s="14">
        <v>6</v>
      </c>
      <c r="G4" s="14">
        <v>1</v>
      </c>
      <c r="H4" s="14">
        <v>81375</v>
      </c>
      <c r="I4" s="14" t="s">
        <v>28</v>
      </c>
      <c r="J4" s="14">
        <v>76461906</v>
      </c>
      <c r="K4" s="14" t="s">
        <v>360</v>
      </c>
      <c r="L4" s="27" t="s">
        <v>361</v>
      </c>
      <c r="M4" s="28">
        <v>119900</v>
      </c>
      <c r="N4" s="29">
        <v>0.9</v>
      </c>
      <c r="O4" s="28">
        <f t="shared" si="0"/>
        <v>11990</v>
      </c>
      <c r="P4" s="14" t="s">
        <v>20</v>
      </c>
    </row>
    <row r="5" spans="1:16">
      <c r="A5" s="14" t="s">
        <v>355</v>
      </c>
      <c r="B5" s="5">
        <v>46099</v>
      </c>
      <c r="C5" s="5">
        <v>46113</v>
      </c>
      <c r="D5" s="14">
        <v>3296</v>
      </c>
      <c r="E5" s="14">
        <v>342</v>
      </c>
      <c r="F5" s="14">
        <v>6</v>
      </c>
      <c r="G5" s="14">
        <v>1</v>
      </c>
      <c r="H5" s="14">
        <v>81518</v>
      </c>
      <c r="I5" s="14" t="s">
        <v>28</v>
      </c>
      <c r="J5" s="14">
        <v>79859400</v>
      </c>
      <c r="K5" s="14" t="s">
        <v>362</v>
      </c>
      <c r="L5" s="27" t="s">
        <v>363</v>
      </c>
      <c r="M5" s="28">
        <v>129900</v>
      </c>
      <c r="N5" s="29">
        <v>0.9</v>
      </c>
      <c r="O5" s="28">
        <f t="shared" si="0"/>
        <v>12990</v>
      </c>
      <c r="P5" s="14" t="s">
        <v>20</v>
      </c>
    </row>
    <row r="6" spans="1:16">
      <c r="A6" s="14" t="s">
        <v>355</v>
      </c>
      <c r="B6" s="5">
        <v>46099</v>
      </c>
      <c r="C6" s="5">
        <v>46113</v>
      </c>
      <c r="D6" s="14">
        <v>3296</v>
      </c>
      <c r="E6" s="14">
        <v>342</v>
      </c>
      <c r="F6" s="14">
        <v>6</v>
      </c>
      <c r="G6" s="14">
        <v>1</v>
      </c>
      <c r="H6" s="14">
        <v>81518</v>
      </c>
      <c r="I6" s="14" t="s">
        <v>28</v>
      </c>
      <c r="J6" s="14">
        <v>79976524</v>
      </c>
      <c r="K6" s="14" t="s">
        <v>364</v>
      </c>
      <c r="L6" s="27" t="s">
        <v>365</v>
      </c>
      <c r="M6" s="28">
        <v>129900</v>
      </c>
      <c r="N6" s="29">
        <v>0.9</v>
      </c>
      <c r="O6" s="28">
        <f t="shared" si="0"/>
        <v>12990</v>
      </c>
      <c r="P6" s="14" t="s">
        <v>20</v>
      </c>
    </row>
    <row r="7" spans="1:16">
      <c r="A7" s="14" t="s">
        <v>355</v>
      </c>
      <c r="B7" s="5">
        <v>46099</v>
      </c>
      <c r="C7" s="5">
        <v>46113</v>
      </c>
      <c r="D7" s="14">
        <v>3296</v>
      </c>
      <c r="E7" s="14">
        <v>342</v>
      </c>
      <c r="F7" s="14">
        <v>6</v>
      </c>
      <c r="G7" s="14">
        <v>1</v>
      </c>
      <c r="H7" s="14">
        <v>81518</v>
      </c>
      <c r="I7" s="14" t="s">
        <v>28</v>
      </c>
      <c r="J7" s="14">
        <v>80840346</v>
      </c>
      <c r="K7" s="14" t="s">
        <v>366</v>
      </c>
      <c r="L7" s="27" t="s">
        <v>367</v>
      </c>
      <c r="M7" s="28">
        <v>149900</v>
      </c>
      <c r="N7" s="29">
        <v>0.9</v>
      </c>
      <c r="O7" s="28">
        <f t="shared" si="0"/>
        <v>14990</v>
      </c>
      <c r="P7" s="14" t="s">
        <v>20</v>
      </c>
    </row>
    <row r="8" spans="1:16">
      <c r="A8" s="14" t="s">
        <v>355</v>
      </c>
      <c r="B8" s="5">
        <v>46099</v>
      </c>
      <c r="C8" s="5">
        <v>46113</v>
      </c>
      <c r="D8" s="14">
        <v>3296</v>
      </c>
      <c r="E8" s="14">
        <v>342</v>
      </c>
      <c r="F8" s="14">
        <v>6</v>
      </c>
      <c r="G8" s="14">
        <v>1</v>
      </c>
      <c r="H8" s="14">
        <v>81518</v>
      </c>
      <c r="I8" s="14" t="s">
        <v>28</v>
      </c>
      <c r="J8" s="14">
        <v>80840355</v>
      </c>
      <c r="K8" s="14" t="s">
        <v>368</v>
      </c>
      <c r="L8" s="27" t="s">
        <v>369</v>
      </c>
      <c r="M8" s="28">
        <v>149900</v>
      </c>
      <c r="N8" s="29">
        <v>0.9</v>
      </c>
      <c r="O8" s="28">
        <f t="shared" si="0"/>
        <v>14990</v>
      </c>
      <c r="P8" s="14" t="s">
        <v>20</v>
      </c>
    </row>
    <row r="9" spans="1:16">
      <c r="A9" s="14" t="s">
        <v>355</v>
      </c>
      <c r="B9" s="5">
        <v>46099</v>
      </c>
      <c r="C9" s="5">
        <v>46113</v>
      </c>
      <c r="D9" s="14">
        <v>3296</v>
      </c>
      <c r="E9" s="14">
        <v>342</v>
      </c>
      <c r="F9" s="14">
        <v>6</v>
      </c>
      <c r="G9" s="14">
        <v>1</v>
      </c>
      <c r="H9" s="14">
        <v>81375</v>
      </c>
      <c r="I9" s="14" t="s">
        <v>28</v>
      </c>
      <c r="J9" s="14">
        <v>79863959</v>
      </c>
      <c r="K9" s="14" t="s">
        <v>370</v>
      </c>
      <c r="L9" s="27" t="s">
        <v>371</v>
      </c>
      <c r="M9" s="28">
        <v>119900</v>
      </c>
      <c r="N9" s="29">
        <v>0.9</v>
      </c>
      <c r="O9" s="28">
        <f t="shared" si="0"/>
        <v>11990</v>
      </c>
      <c r="P9" s="14" t="s">
        <v>20</v>
      </c>
    </row>
    <row r="10" spans="1:16">
      <c r="A10" s="14" t="s">
        <v>355</v>
      </c>
      <c r="B10" s="5">
        <v>46099</v>
      </c>
      <c r="C10" s="5">
        <v>46113</v>
      </c>
      <c r="D10" s="14">
        <v>3296</v>
      </c>
      <c r="E10" s="14">
        <v>342</v>
      </c>
      <c r="F10" s="14">
        <v>6</v>
      </c>
      <c r="G10" s="14">
        <v>1</v>
      </c>
      <c r="H10" s="14">
        <v>81471</v>
      </c>
      <c r="I10" s="14" t="s">
        <v>28</v>
      </c>
      <c r="J10" s="14">
        <v>82193953</v>
      </c>
      <c r="K10" s="14" t="s">
        <v>372</v>
      </c>
      <c r="L10" s="27" t="s">
        <v>373</v>
      </c>
      <c r="M10" s="28">
        <v>99900</v>
      </c>
      <c r="N10" s="29">
        <v>0.9</v>
      </c>
      <c r="O10" s="28">
        <f t="shared" si="0"/>
        <v>9990</v>
      </c>
      <c r="P10" s="14" t="s">
        <v>20</v>
      </c>
    </row>
    <row r="11" spans="1:16">
      <c r="A11" s="14" t="s">
        <v>355</v>
      </c>
      <c r="B11" s="5">
        <v>46099</v>
      </c>
      <c r="C11" s="5">
        <v>46113</v>
      </c>
      <c r="D11" s="14">
        <v>3296</v>
      </c>
      <c r="E11" s="14">
        <v>342</v>
      </c>
      <c r="F11" s="14">
        <v>6</v>
      </c>
      <c r="G11" s="14">
        <v>1</v>
      </c>
      <c r="H11" s="14">
        <v>81471</v>
      </c>
      <c r="I11" s="14" t="s">
        <v>28</v>
      </c>
      <c r="J11" s="14">
        <v>83707655</v>
      </c>
      <c r="K11" s="14" t="s">
        <v>374</v>
      </c>
      <c r="L11" s="27" t="s">
        <v>375</v>
      </c>
      <c r="M11" s="28">
        <v>99900</v>
      </c>
      <c r="N11" s="29">
        <v>0.9</v>
      </c>
      <c r="O11" s="28">
        <f t="shared" si="0"/>
        <v>9990</v>
      </c>
      <c r="P11" s="14" t="s">
        <v>20</v>
      </c>
    </row>
    <row r="12" spans="1:16">
      <c r="A12" s="14" t="s">
        <v>355</v>
      </c>
      <c r="B12" s="5">
        <v>46099</v>
      </c>
      <c r="C12" s="5">
        <v>46113</v>
      </c>
      <c r="D12" s="14">
        <v>3296</v>
      </c>
      <c r="E12" s="14">
        <v>342</v>
      </c>
      <c r="F12" s="14">
        <v>6</v>
      </c>
      <c r="G12" s="14">
        <v>1</v>
      </c>
      <c r="H12" s="14">
        <v>81471</v>
      </c>
      <c r="I12" s="14" t="s">
        <v>28</v>
      </c>
      <c r="J12" s="14">
        <v>83707664</v>
      </c>
      <c r="K12" s="14" t="s">
        <v>376</v>
      </c>
      <c r="L12" s="27" t="s">
        <v>377</v>
      </c>
      <c r="M12" s="28">
        <v>99900</v>
      </c>
      <c r="N12" s="29">
        <v>0.9</v>
      </c>
      <c r="O12" s="28">
        <f t="shared" si="0"/>
        <v>9990</v>
      </c>
      <c r="P12" s="14" t="s">
        <v>20</v>
      </c>
    </row>
    <row r="13" spans="1:16">
      <c r="A13" s="14" t="s">
        <v>355</v>
      </c>
      <c r="B13" s="5">
        <v>46099</v>
      </c>
      <c r="C13" s="5">
        <v>46113</v>
      </c>
      <c r="D13" s="14">
        <v>3296</v>
      </c>
      <c r="E13" s="14">
        <v>342</v>
      </c>
      <c r="F13" s="14">
        <v>6</v>
      </c>
      <c r="G13" s="14">
        <v>1</v>
      </c>
      <c r="H13" s="14">
        <v>81375</v>
      </c>
      <c r="I13" s="14" t="s">
        <v>28</v>
      </c>
      <c r="J13" s="14">
        <v>79106535</v>
      </c>
      <c r="K13" s="14" t="s">
        <v>378</v>
      </c>
      <c r="L13" s="27" t="s">
        <v>379</v>
      </c>
      <c r="M13" s="28">
        <v>129900</v>
      </c>
      <c r="N13" s="29">
        <v>0.9</v>
      </c>
      <c r="O13" s="28">
        <f t="shared" si="0"/>
        <v>12990</v>
      </c>
      <c r="P13" s="14" t="s">
        <v>20</v>
      </c>
    </row>
    <row r="14" spans="1:16">
      <c r="A14" s="14" t="s">
        <v>355</v>
      </c>
      <c r="B14" s="5">
        <v>46099</v>
      </c>
      <c r="C14" s="5">
        <v>46113</v>
      </c>
      <c r="D14" s="14">
        <v>3296</v>
      </c>
      <c r="E14" s="14">
        <v>342</v>
      </c>
      <c r="F14" s="14">
        <v>6</v>
      </c>
      <c r="G14" s="14">
        <v>1</v>
      </c>
      <c r="H14" s="14">
        <v>81375</v>
      </c>
      <c r="I14" s="14" t="s">
        <v>28</v>
      </c>
      <c r="J14" s="14">
        <v>79863968</v>
      </c>
      <c r="K14" s="14" t="s">
        <v>380</v>
      </c>
      <c r="L14" s="27" t="s">
        <v>381</v>
      </c>
      <c r="M14" s="28">
        <v>119900</v>
      </c>
      <c r="N14" s="29">
        <v>0.9</v>
      </c>
      <c r="O14" s="28">
        <f t="shared" si="0"/>
        <v>11990</v>
      </c>
      <c r="P14" s="14" t="s">
        <v>20</v>
      </c>
    </row>
    <row r="15" spans="1:16">
      <c r="A15" s="14" t="s">
        <v>355</v>
      </c>
      <c r="B15" s="5">
        <v>46099</v>
      </c>
      <c r="C15" s="5">
        <v>46113</v>
      </c>
      <c r="D15" s="14">
        <v>3296</v>
      </c>
      <c r="E15" s="14">
        <v>342</v>
      </c>
      <c r="F15" s="14">
        <v>6</v>
      </c>
      <c r="G15" s="14">
        <v>1</v>
      </c>
      <c r="H15" s="14">
        <v>81518</v>
      </c>
      <c r="I15" s="14" t="s">
        <v>28</v>
      </c>
      <c r="J15" s="14">
        <v>83707637</v>
      </c>
      <c r="K15" s="14" t="s">
        <v>382</v>
      </c>
      <c r="L15" s="27" t="s">
        <v>383</v>
      </c>
      <c r="M15" s="28">
        <v>129900</v>
      </c>
      <c r="N15" s="29">
        <v>0.9</v>
      </c>
      <c r="O15" s="28">
        <f t="shared" si="0"/>
        <v>12990</v>
      </c>
      <c r="P15" s="14" t="s">
        <v>20</v>
      </c>
    </row>
    <row r="16" spans="1:16">
      <c r="A16" s="14" t="s">
        <v>355</v>
      </c>
      <c r="B16" s="5">
        <v>46099</v>
      </c>
      <c r="C16" s="5">
        <v>46113</v>
      </c>
      <c r="D16" s="14">
        <v>3296</v>
      </c>
      <c r="E16" s="14">
        <v>342</v>
      </c>
      <c r="F16" s="14">
        <v>6</v>
      </c>
      <c r="G16" s="14">
        <v>1</v>
      </c>
      <c r="H16" s="14">
        <v>81518</v>
      </c>
      <c r="I16" s="14" t="s">
        <v>28</v>
      </c>
      <c r="J16" s="14">
        <v>83707646</v>
      </c>
      <c r="K16" s="14" t="s">
        <v>384</v>
      </c>
      <c r="L16" s="27" t="s">
        <v>385</v>
      </c>
      <c r="M16" s="28">
        <v>129900</v>
      </c>
      <c r="N16" s="29">
        <v>0.9</v>
      </c>
      <c r="O16" s="28">
        <f t="shared" si="0"/>
        <v>12990</v>
      </c>
      <c r="P16" s="14" t="s">
        <v>20</v>
      </c>
    </row>
    <row r="17" spans="1:16">
      <c r="A17" s="14" t="s">
        <v>355</v>
      </c>
      <c r="B17" s="5">
        <v>46099</v>
      </c>
      <c r="C17" s="5">
        <v>46113</v>
      </c>
      <c r="D17" s="14">
        <v>3296</v>
      </c>
      <c r="E17" s="14">
        <v>342</v>
      </c>
      <c r="F17" s="14">
        <v>6</v>
      </c>
      <c r="G17" s="14">
        <v>1</v>
      </c>
      <c r="H17" s="14">
        <v>81518</v>
      </c>
      <c r="I17" s="14" t="s">
        <v>28</v>
      </c>
      <c r="J17" s="14">
        <v>83707673</v>
      </c>
      <c r="K17" s="14" t="s">
        <v>386</v>
      </c>
      <c r="L17" s="27" t="s">
        <v>387</v>
      </c>
      <c r="M17" s="28">
        <v>149900</v>
      </c>
      <c r="N17" s="29">
        <v>0.9</v>
      </c>
      <c r="O17" s="28">
        <f t="shared" si="0"/>
        <v>14990</v>
      </c>
      <c r="P17" s="14" t="s">
        <v>20</v>
      </c>
    </row>
    <row r="18" spans="1:16">
      <c r="A18" s="14" t="s">
        <v>355</v>
      </c>
      <c r="B18" s="5">
        <v>46099</v>
      </c>
      <c r="C18" s="5">
        <v>46113</v>
      </c>
      <c r="D18" s="14">
        <v>3296</v>
      </c>
      <c r="E18" s="14">
        <v>342</v>
      </c>
      <c r="F18" s="14">
        <v>6</v>
      </c>
      <c r="G18" s="14">
        <v>1</v>
      </c>
      <c r="H18" s="14">
        <v>81518</v>
      </c>
      <c r="I18" s="14" t="s">
        <v>28</v>
      </c>
      <c r="J18" s="14">
        <v>83707682</v>
      </c>
      <c r="K18" s="14" t="s">
        <v>388</v>
      </c>
      <c r="L18" s="27" t="s">
        <v>389</v>
      </c>
      <c r="M18" s="28">
        <v>129900</v>
      </c>
      <c r="N18" s="29">
        <v>0.9</v>
      </c>
      <c r="O18" s="28">
        <f t="shared" si="0"/>
        <v>12990</v>
      </c>
      <c r="P18" s="14" t="s">
        <v>20</v>
      </c>
    </row>
    <row r="19" spans="1:16">
      <c r="A19" s="14" t="s">
        <v>355</v>
      </c>
      <c r="B19" s="5">
        <v>46099</v>
      </c>
      <c r="C19" s="5">
        <v>46113</v>
      </c>
      <c r="D19" s="14">
        <v>3296</v>
      </c>
      <c r="E19" s="14">
        <v>342</v>
      </c>
      <c r="F19" s="14">
        <v>6</v>
      </c>
      <c r="G19" s="14">
        <v>1</v>
      </c>
      <c r="H19" s="14">
        <v>81518</v>
      </c>
      <c r="I19" s="14" t="s">
        <v>28</v>
      </c>
      <c r="J19" s="14">
        <v>83707691</v>
      </c>
      <c r="K19" s="14" t="s">
        <v>390</v>
      </c>
      <c r="L19" s="27" t="s">
        <v>391</v>
      </c>
      <c r="M19" s="28">
        <v>129900</v>
      </c>
      <c r="N19" s="29">
        <v>0.9</v>
      </c>
      <c r="O19" s="28">
        <f t="shared" si="0"/>
        <v>12990</v>
      </c>
      <c r="P19" s="14" t="s">
        <v>20</v>
      </c>
    </row>
    <row r="20" spans="1:16">
      <c r="A20" s="14" t="s">
        <v>355</v>
      </c>
      <c r="B20" s="5">
        <v>46099</v>
      </c>
      <c r="C20" s="5">
        <v>46113</v>
      </c>
      <c r="D20" s="14">
        <v>3296</v>
      </c>
      <c r="E20" s="14">
        <v>342</v>
      </c>
      <c r="F20" s="14">
        <v>6</v>
      </c>
      <c r="G20" s="14">
        <v>1</v>
      </c>
      <c r="H20" s="14">
        <v>81471</v>
      </c>
      <c r="I20" s="14" t="s">
        <v>28</v>
      </c>
      <c r="J20" s="14">
        <v>83707726</v>
      </c>
      <c r="K20" s="14" t="s">
        <v>392</v>
      </c>
      <c r="L20" s="27" t="s">
        <v>393</v>
      </c>
      <c r="M20" s="28">
        <v>129900</v>
      </c>
      <c r="N20" s="29">
        <v>0.9</v>
      </c>
      <c r="O20" s="28">
        <f t="shared" si="0"/>
        <v>12990</v>
      </c>
      <c r="P20" s="14" t="s">
        <v>20</v>
      </c>
    </row>
    <row r="21" spans="1:16">
      <c r="A21" s="14" t="s">
        <v>355</v>
      </c>
      <c r="B21" s="5">
        <v>46099</v>
      </c>
      <c r="C21" s="5">
        <v>46113</v>
      </c>
      <c r="D21" s="14">
        <v>3296</v>
      </c>
      <c r="E21" s="14">
        <v>342</v>
      </c>
      <c r="F21" s="14">
        <v>6</v>
      </c>
      <c r="G21" s="14">
        <v>1</v>
      </c>
      <c r="H21" s="14">
        <v>81375</v>
      </c>
      <c r="I21" s="14" t="s">
        <v>28</v>
      </c>
      <c r="J21" s="14">
        <v>76461924</v>
      </c>
      <c r="K21" s="14" t="s">
        <v>394</v>
      </c>
      <c r="L21" s="27" t="s">
        <v>395</v>
      </c>
      <c r="M21" s="28">
        <v>99900</v>
      </c>
      <c r="N21" s="29">
        <v>0.9</v>
      </c>
      <c r="O21" s="28">
        <f t="shared" si="0"/>
        <v>9990</v>
      </c>
      <c r="P21" s="14" t="s">
        <v>20</v>
      </c>
    </row>
    <row r="22" spans="1:16">
      <c r="A22" s="14" t="s">
        <v>355</v>
      </c>
      <c r="B22" s="5">
        <v>46099</v>
      </c>
      <c r="C22" s="5">
        <v>46113</v>
      </c>
      <c r="D22" s="14">
        <v>3296</v>
      </c>
      <c r="E22" s="14">
        <v>342</v>
      </c>
      <c r="F22" s="14">
        <v>6</v>
      </c>
      <c r="G22" s="14">
        <v>1</v>
      </c>
      <c r="H22" s="14">
        <v>81375</v>
      </c>
      <c r="I22" s="14" t="s">
        <v>28</v>
      </c>
      <c r="J22" s="14">
        <v>76461933</v>
      </c>
      <c r="K22" s="14" t="s">
        <v>396</v>
      </c>
      <c r="L22" s="27" t="s">
        <v>397</v>
      </c>
      <c r="M22" s="28">
        <v>129900</v>
      </c>
      <c r="N22" s="29">
        <v>0.9</v>
      </c>
      <c r="O22" s="28">
        <f t="shared" si="0"/>
        <v>12990</v>
      </c>
      <c r="P22" s="14" t="s">
        <v>20</v>
      </c>
    </row>
    <row r="23" spans="1:16">
      <c r="A23" s="14" t="s">
        <v>355</v>
      </c>
      <c r="B23" s="5">
        <v>46099</v>
      </c>
      <c r="C23" s="5">
        <v>46113</v>
      </c>
      <c r="D23" s="14">
        <v>3296</v>
      </c>
      <c r="E23" s="14">
        <v>342</v>
      </c>
      <c r="F23" s="14">
        <v>6</v>
      </c>
      <c r="G23" s="14">
        <v>1</v>
      </c>
      <c r="H23" s="14">
        <v>81375</v>
      </c>
      <c r="I23" s="14" t="s">
        <v>28</v>
      </c>
      <c r="J23" s="14">
        <v>79106553</v>
      </c>
      <c r="K23" s="14" t="s">
        <v>398</v>
      </c>
      <c r="L23" s="27" t="s">
        <v>399</v>
      </c>
      <c r="M23" s="28">
        <v>129900</v>
      </c>
      <c r="N23" s="29">
        <v>0.9</v>
      </c>
      <c r="O23" s="28">
        <f t="shared" si="0"/>
        <v>12990</v>
      </c>
      <c r="P23" s="14" t="s">
        <v>20</v>
      </c>
    </row>
    <row r="24" spans="1:16">
      <c r="A24" s="14" t="s">
        <v>355</v>
      </c>
      <c r="B24" s="5">
        <v>46099</v>
      </c>
      <c r="C24" s="5">
        <v>46113</v>
      </c>
      <c r="D24" s="14">
        <v>3296</v>
      </c>
      <c r="E24" s="14">
        <v>342</v>
      </c>
      <c r="F24" s="14">
        <v>6</v>
      </c>
      <c r="G24" s="14">
        <v>1</v>
      </c>
      <c r="H24" s="14">
        <v>81518</v>
      </c>
      <c r="I24" s="14" t="s">
        <v>28</v>
      </c>
      <c r="J24" s="14">
        <v>67303577</v>
      </c>
      <c r="K24" s="14" t="s">
        <v>400</v>
      </c>
      <c r="L24" s="27" t="s">
        <v>401</v>
      </c>
      <c r="M24" s="28">
        <v>99900</v>
      </c>
      <c r="N24" s="29">
        <v>0.9</v>
      </c>
      <c r="O24" s="28">
        <f t="shared" si="0"/>
        <v>9990</v>
      </c>
      <c r="P24" s="14" t="s">
        <v>20</v>
      </c>
    </row>
    <row r="25" spans="1:16">
      <c r="A25" s="14" t="s">
        <v>355</v>
      </c>
      <c r="B25" s="5">
        <v>46099</v>
      </c>
      <c r="C25" s="5">
        <v>46113</v>
      </c>
      <c r="D25" s="14">
        <v>3296</v>
      </c>
      <c r="E25" s="14">
        <v>342</v>
      </c>
      <c r="F25" s="14">
        <v>6</v>
      </c>
      <c r="G25" s="14">
        <v>1</v>
      </c>
      <c r="H25" s="14">
        <v>81518</v>
      </c>
      <c r="I25" s="14" t="s">
        <v>28</v>
      </c>
      <c r="J25" s="14">
        <v>67303666</v>
      </c>
      <c r="K25" s="14" t="s">
        <v>402</v>
      </c>
      <c r="L25" s="27" t="s">
        <v>403</v>
      </c>
      <c r="M25" s="28">
        <v>99900</v>
      </c>
      <c r="N25" s="29">
        <v>0.9</v>
      </c>
      <c r="O25" s="28">
        <f t="shared" si="0"/>
        <v>9990</v>
      </c>
      <c r="P25" s="14" t="s">
        <v>20</v>
      </c>
    </row>
    <row r="26" spans="1:16">
      <c r="A26" s="14" t="s">
        <v>355</v>
      </c>
      <c r="B26" s="5">
        <v>46099</v>
      </c>
      <c r="C26" s="5">
        <v>46113</v>
      </c>
      <c r="D26" s="14">
        <v>3296</v>
      </c>
      <c r="E26" s="14">
        <v>342</v>
      </c>
      <c r="F26" s="14">
        <v>6</v>
      </c>
      <c r="G26" s="14">
        <v>2</v>
      </c>
      <c r="H26" s="14">
        <v>81518</v>
      </c>
      <c r="I26" s="14" t="s">
        <v>28</v>
      </c>
      <c r="J26" s="14">
        <v>83469716</v>
      </c>
      <c r="K26" s="14" t="s">
        <v>404</v>
      </c>
      <c r="L26" s="27" t="s">
        <v>405</v>
      </c>
      <c r="M26" s="28">
        <v>99900</v>
      </c>
      <c r="N26" s="29">
        <v>0.9</v>
      </c>
      <c r="O26" s="28">
        <f t="shared" si="0"/>
        <v>9990</v>
      </c>
      <c r="P26" s="14" t="s">
        <v>20</v>
      </c>
    </row>
    <row r="27" spans="1:16">
      <c r="A27" s="14" t="s">
        <v>355</v>
      </c>
      <c r="B27" s="5">
        <v>46099</v>
      </c>
      <c r="C27" s="5">
        <v>46113</v>
      </c>
      <c r="D27" s="14">
        <v>3296</v>
      </c>
      <c r="E27" s="14">
        <v>342</v>
      </c>
      <c r="F27" s="14">
        <v>6</v>
      </c>
      <c r="G27" s="14">
        <v>2</v>
      </c>
      <c r="H27" s="14">
        <v>81375</v>
      </c>
      <c r="I27" s="14" t="s">
        <v>28</v>
      </c>
      <c r="J27" s="14">
        <v>83516254</v>
      </c>
      <c r="K27" s="14" t="s">
        <v>406</v>
      </c>
      <c r="L27" s="27" t="s">
        <v>407</v>
      </c>
      <c r="M27" s="28">
        <v>119900</v>
      </c>
      <c r="N27" s="29">
        <v>0.9</v>
      </c>
      <c r="O27" s="28">
        <f t="shared" si="0"/>
        <v>11990</v>
      </c>
      <c r="P27" s="14" t="s">
        <v>20</v>
      </c>
    </row>
    <row r="28" spans="1:16">
      <c r="A28" s="14" t="s">
        <v>355</v>
      </c>
      <c r="B28" s="5">
        <v>46099</v>
      </c>
      <c r="C28" s="5">
        <v>46113</v>
      </c>
      <c r="D28" s="14">
        <v>3296</v>
      </c>
      <c r="E28" s="14">
        <v>342</v>
      </c>
      <c r="F28" s="14">
        <v>6</v>
      </c>
      <c r="G28" s="14">
        <v>2</v>
      </c>
      <c r="H28" s="14">
        <v>81375</v>
      </c>
      <c r="I28" s="14" t="s">
        <v>28</v>
      </c>
      <c r="J28" s="14">
        <v>83739988</v>
      </c>
      <c r="K28" s="14" t="s">
        <v>408</v>
      </c>
      <c r="L28" s="27" t="s">
        <v>409</v>
      </c>
      <c r="M28" s="28">
        <v>119900</v>
      </c>
      <c r="N28" s="29">
        <v>0.9</v>
      </c>
      <c r="O28" s="28">
        <f t="shared" si="0"/>
        <v>11990</v>
      </c>
      <c r="P28" s="14" t="s">
        <v>20</v>
      </c>
    </row>
    <row r="29" spans="1:16">
      <c r="A29" s="14" t="s">
        <v>355</v>
      </c>
      <c r="B29" s="5">
        <v>46099</v>
      </c>
      <c r="C29" s="5">
        <v>46113</v>
      </c>
      <c r="D29" s="14">
        <v>3296</v>
      </c>
      <c r="E29" s="14">
        <v>342</v>
      </c>
      <c r="F29" s="14">
        <v>6</v>
      </c>
      <c r="G29" s="14">
        <v>2</v>
      </c>
      <c r="H29" s="14">
        <v>81471</v>
      </c>
      <c r="I29" s="14" t="s">
        <v>28</v>
      </c>
      <c r="J29" s="14">
        <v>83707735</v>
      </c>
      <c r="K29" s="14" t="s">
        <v>410</v>
      </c>
      <c r="L29" s="27" t="s">
        <v>411</v>
      </c>
      <c r="M29" s="28">
        <v>149900</v>
      </c>
      <c r="N29" s="29">
        <v>0.9</v>
      </c>
      <c r="O29" s="28">
        <f t="shared" si="0"/>
        <v>14990</v>
      </c>
      <c r="P29" s="14" t="s">
        <v>20</v>
      </c>
    </row>
    <row r="30" spans="1:16">
      <c r="A30" s="14" t="s">
        <v>355</v>
      </c>
      <c r="B30" s="5">
        <v>46099</v>
      </c>
      <c r="C30" s="5">
        <v>46113</v>
      </c>
      <c r="D30" s="14">
        <v>3296</v>
      </c>
      <c r="E30" s="14">
        <v>342</v>
      </c>
      <c r="F30" s="14">
        <v>6</v>
      </c>
      <c r="G30" s="14">
        <v>2</v>
      </c>
      <c r="H30" s="14">
        <v>81518</v>
      </c>
      <c r="I30" s="14" t="s">
        <v>28</v>
      </c>
      <c r="J30" s="14">
        <v>83707708</v>
      </c>
      <c r="K30" s="14" t="s">
        <v>412</v>
      </c>
      <c r="L30" s="27" t="s">
        <v>413</v>
      </c>
      <c r="M30" s="28">
        <v>119900</v>
      </c>
      <c r="N30" s="29">
        <v>0.9</v>
      </c>
      <c r="O30" s="28">
        <f t="shared" si="0"/>
        <v>11990</v>
      </c>
      <c r="P30" s="14" t="s">
        <v>20</v>
      </c>
    </row>
    <row r="31" spans="1:16">
      <c r="A31" s="14" t="s">
        <v>355</v>
      </c>
      <c r="B31" s="5">
        <v>46099</v>
      </c>
      <c r="C31" s="5">
        <v>46113</v>
      </c>
      <c r="D31" s="14">
        <v>3296</v>
      </c>
      <c r="E31" s="14">
        <v>342</v>
      </c>
      <c r="F31" s="14">
        <v>6</v>
      </c>
      <c r="G31" s="14">
        <v>2</v>
      </c>
      <c r="H31" s="14">
        <v>81518</v>
      </c>
      <c r="I31" s="14" t="s">
        <v>28</v>
      </c>
      <c r="J31" s="14">
        <v>83707744</v>
      </c>
      <c r="K31" s="14" t="s">
        <v>414</v>
      </c>
      <c r="L31" s="27" t="s">
        <v>415</v>
      </c>
      <c r="M31" s="28">
        <v>129900</v>
      </c>
      <c r="N31" s="29">
        <v>0.9</v>
      </c>
      <c r="O31" s="28">
        <f t="shared" si="0"/>
        <v>12990</v>
      </c>
      <c r="P31" s="14" t="s">
        <v>20</v>
      </c>
    </row>
    <row r="32" spans="1:16">
      <c r="A32" s="14" t="s">
        <v>355</v>
      </c>
      <c r="B32" s="5">
        <v>46099</v>
      </c>
      <c r="C32" s="5">
        <v>46113</v>
      </c>
      <c r="D32" s="14">
        <v>3296</v>
      </c>
      <c r="E32" s="14">
        <v>342</v>
      </c>
      <c r="F32" s="14">
        <v>6</v>
      </c>
      <c r="G32" s="14">
        <v>2</v>
      </c>
      <c r="H32" s="14">
        <v>81518</v>
      </c>
      <c r="I32" s="14" t="s">
        <v>28</v>
      </c>
      <c r="J32" s="14">
        <v>83707753</v>
      </c>
      <c r="K32" s="14" t="s">
        <v>416</v>
      </c>
      <c r="L32" s="27" t="s">
        <v>417</v>
      </c>
      <c r="M32" s="28">
        <v>129900</v>
      </c>
      <c r="N32" s="29">
        <v>0.9</v>
      </c>
      <c r="O32" s="28">
        <f t="shared" si="0"/>
        <v>12990</v>
      </c>
      <c r="P32" s="14" t="s">
        <v>20</v>
      </c>
    </row>
    <row r="33" spans="1:16">
      <c r="A33" s="14" t="s">
        <v>355</v>
      </c>
      <c r="B33" s="5">
        <v>46099</v>
      </c>
      <c r="C33" s="5">
        <v>46113</v>
      </c>
      <c r="D33" s="14">
        <v>3296</v>
      </c>
      <c r="E33" s="14">
        <v>342</v>
      </c>
      <c r="F33" s="14">
        <v>6</v>
      </c>
      <c r="G33" s="14">
        <v>2</v>
      </c>
      <c r="H33" s="14">
        <v>81518</v>
      </c>
      <c r="I33" s="14" t="s">
        <v>28</v>
      </c>
      <c r="J33" s="14">
        <v>11942151</v>
      </c>
      <c r="K33" s="14" t="s">
        <v>418</v>
      </c>
      <c r="L33" s="27" t="s">
        <v>419</v>
      </c>
      <c r="M33" s="28">
        <v>119900</v>
      </c>
      <c r="N33" s="29">
        <v>0.9</v>
      </c>
      <c r="O33" s="28">
        <f t="shared" si="0"/>
        <v>11990</v>
      </c>
      <c r="P33" s="14" t="s">
        <v>20</v>
      </c>
    </row>
    <row r="34" spans="1:16">
      <c r="A34" s="14" t="s">
        <v>355</v>
      </c>
      <c r="B34" s="5">
        <v>46099</v>
      </c>
      <c r="C34" s="5">
        <v>46113</v>
      </c>
      <c r="D34" s="14">
        <v>3296</v>
      </c>
      <c r="E34" s="14">
        <v>342</v>
      </c>
      <c r="F34" s="14">
        <v>6</v>
      </c>
      <c r="G34" s="14">
        <v>2</v>
      </c>
      <c r="H34" s="14">
        <v>81518</v>
      </c>
      <c r="I34" s="14" t="s">
        <v>28</v>
      </c>
      <c r="J34" s="14">
        <v>11942160</v>
      </c>
      <c r="K34" s="14" t="s">
        <v>420</v>
      </c>
      <c r="L34" s="27" t="s">
        <v>421</v>
      </c>
      <c r="M34" s="28">
        <v>119900</v>
      </c>
      <c r="N34" s="29">
        <v>0.9</v>
      </c>
      <c r="O34" s="28">
        <f t="shared" si="0"/>
        <v>11990</v>
      </c>
      <c r="P34" s="14" t="s">
        <v>20</v>
      </c>
    </row>
    <row r="35" spans="1:16">
      <c r="A35" s="14" t="s">
        <v>355</v>
      </c>
      <c r="B35" s="5">
        <v>46099</v>
      </c>
      <c r="C35" s="5">
        <v>46113</v>
      </c>
      <c r="D35" s="14">
        <v>3296</v>
      </c>
      <c r="E35" s="14">
        <v>342</v>
      </c>
      <c r="F35" s="14">
        <v>6</v>
      </c>
      <c r="G35" s="14">
        <v>2</v>
      </c>
      <c r="H35" s="14">
        <v>81518</v>
      </c>
      <c r="I35" s="14" t="s">
        <v>28</v>
      </c>
      <c r="J35" s="14">
        <v>11942179</v>
      </c>
      <c r="K35" s="14" t="s">
        <v>422</v>
      </c>
      <c r="L35" s="27" t="s">
        <v>423</v>
      </c>
      <c r="M35" s="28">
        <v>119900</v>
      </c>
      <c r="N35" s="29">
        <v>0.9</v>
      </c>
      <c r="O35" s="28">
        <f t="shared" si="0"/>
        <v>11990</v>
      </c>
      <c r="P35" s="14" t="s">
        <v>20</v>
      </c>
    </row>
  </sheetData>
  <autoFilter xmlns:etc="http://www.wps.cn/officeDocument/2017/etCustomData" ref="A1:P35" etc:filterBottomFollowUsedRange="0">
    <extLst/>
  </autoFilter>
  <conditionalFormatting sqref="J$1:J$1048576">
    <cfRule type="duplicateValues" dxfId="0" priority="3"/>
  </conditionalFormatting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zoomScale="55" zoomScaleNormal="55" workbookViewId="0">
      <pane ySplit="1" topLeftCell="A2" activePane="bottomLeft" state="frozen"/>
      <selection/>
      <selection pane="bottomLeft" activeCell="B2" sqref="B2:C9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2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424</v>
      </c>
      <c r="B2" s="5">
        <v>46099</v>
      </c>
      <c r="C2" s="5">
        <v>46113</v>
      </c>
      <c r="D2" s="14">
        <v>3296</v>
      </c>
      <c r="E2" s="14">
        <v>342</v>
      </c>
      <c r="F2" s="14">
        <v>6</v>
      </c>
      <c r="G2" s="14">
        <v>2</v>
      </c>
      <c r="H2" s="14">
        <v>81375</v>
      </c>
      <c r="I2" s="14" t="s">
        <v>28</v>
      </c>
      <c r="J2" s="14">
        <v>13529514</v>
      </c>
      <c r="K2" s="14" t="s">
        <v>80</v>
      </c>
      <c r="L2" s="27" t="s">
        <v>425</v>
      </c>
      <c r="M2" s="28">
        <v>149900</v>
      </c>
      <c r="N2" s="29">
        <v>0.9</v>
      </c>
      <c r="O2" s="28">
        <f>M2*(1-N2)</f>
        <v>14990</v>
      </c>
      <c r="P2" s="14" t="s">
        <v>20</v>
      </c>
    </row>
    <row r="3" spans="1:16">
      <c r="A3" s="14" t="s">
        <v>424</v>
      </c>
      <c r="B3" s="5">
        <v>46099</v>
      </c>
      <c r="C3" s="5">
        <v>46113</v>
      </c>
      <c r="D3" s="14">
        <v>3296</v>
      </c>
      <c r="E3" s="14">
        <v>342</v>
      </c>
      <c r="F3" s="14">
        <v>6</v>
      </c>
      <c r="G3" s="14">
        <v>2</v>
      </c>
      <c r="H3" s="14">
        <v>81518</v>
      </c>
      <c r="I3" s="14" t="s">
        <v>28</v>
      </c>
      <c r="J3" s="14">
        <v>11942124</v>
      </c>
      <c r="K3" s="14" t="s">
        <v>426</v>
      </c>
      <c r="L3" s="27" t="s">
        <v>427</v>
      </c>
      <c r="M3" s="28">
        <v>139900</v>
      </c>
      <c r="N3" s="29">
        <v>0.9</v>
      </c>
      <c r="O3" s="28">
        <f t="shared" ref="O3:O9" si="0">M3*(1-N3)</f>
        <v>13990</v>
      </c>
      <c r="P3" s="14" t="s">
        <v>20</v>
      </c>
    </row>
    <row r="4" spans="1:16">
      <c r="A4" s="14" t="s">
        <v>424</v>
      </c>
      <c r="B4" s="5">
        <v>46099</v>
      </c>
      <c r="C4" s="5">
        <v>46113</v>
      </c>
      <c r="D4" s="14">
        <v>3296</v>
      </c>
      <c r="E4" s="14">
        <v>342</v>
      </c>
      <c r="F4" s="14">
        <v>6</v>
      </c>
      <c r="G4" s="14">
        <v>2</v>
      </c>
      <c r="H4" s="14">
        <v>81518</v>
      </c>
      <c r="I4" s="14" t="s">
        <v>28</v>
      </c>
      <c r="J4" s="14">
        <v>11942133</v>
      </c>
      <c r="K4" s="14" t="s">
        <v>428</v>
      </c>
      <c r="L4" s="27" t="s">
        <v>429</v>
      </c>
      <c r="M4" s="28">
        <v>139900</v>
      </c>
      <c r="N4" s="29">
        <v>0.9</v>
      </c>
      <c r="O4" s="28">
        <f t="shared" si="0"/>
        <v>13990</v>
      </c>
      <c r="P4" s="14" t="s">
        <v>20</v>
      </c>
    </row>
    <row r="5" spans="1:16">
      <c r="A5" s="14" t="s">
        <v>424</v>
      </c>
      <c r="B5" s="5">
        <v>46099</v>
      </c>
      <c r="C5" s="5">
        <v>46113</v>
      </c>
      <c r="D5" s="14">
        <v>3296</v>
      </c>
      <c r="E5" s="14">
        <v>342</v>
      </c>
      <c r="F5" s="14">
        <v>6</v>
      </c>
      <c r="G5" s="14">
        <v>2</v>
      </c>
      <c r="H5" s="14">
        <v>81518</v>
      </c>
      <c r="I5" s="14" t="s">
        <v>28</v>
      </c>
      <c r="J5" s="14">
        <v>11942142</v>
      </c>
      <c r="K5" s="14" t="s">
        <v>430</v>
      </c>
      <c r="L5" s="27" t="s">
        <v>431</v>
      </c>
      <c r="M5" s="28">
        <v>139900</v>
      </c>
      <c r="N5" s="29">
        <v>0.9</v>
      </c>
      <c r="O5" s="28">
        <f t="shared" si="0"/>
        <v>13990</v>
      </c>
      <c r="P5" s="14" t="s">
        <v>20</v>
      </c>
    </row>
    <row r="6" spans="1:16">
      <c r="A6" s="14" t="s">
        <v>424</v>
      </c>
      <c r="B6" s="5">
        <v>46099</v>
      </c>
      <c r="C6" s="5">
        <v>46113</v>
      </c>
      <c r="D6" s="14">
        <v>3296</v>
      </c>
      <c r="E6" s="14">
        <v>342</v>
      </c>
      <c r="F6" s="14">
        <v>6</v>
      </c>
      <c r="G6" s="14">
        <v>2</v>
      </c>
      <c r="H6" s="14">
        <v>81375</v>
      </c>
      <c r="I6" s="14" t="s">
        <v>28</v>
      </c>
      <c r="J6" s="14">
        <v>13529523</v>
      </c>
      <c r="K6" s="14" t="s">
        <v>432</v>
      </c>
      <c r="L6" s="27" t="s">
        <v>433</v>
      </c>
      <c r="M6" s="28">
        <v>159900</v>
      </c>
      <c r="N6" s="29">
        <v>0.9</v>
      </c>
      <c r="O6" s="28">
        <f t="shared" si="0"/>
        <v>15990</v>
      </c>
      <c r="P6" s="14" t="s">
        <v>20</v>
      </c>
    </row>
    <row r="7" spans="1:16">
      <c r="A7" s="14" t="s">
        <v>424</v>
      </c>
      <c r="B7" s="5">
        <v>46099</v>
      </c>
      <c r="C7" s="5">
        <v>46113</v>
      </c>
      <c r="D7" s="14">
        <v>3296</v>
      </c>
      <c r="E7" s="14">
        <v>342</v>
      </c>
      <c r="F7" s="14">
        <v>6</v>
      </c>
      <c r="G7" s="14">
        <v>2</v>
      </c>
      <c r="H7" s="14">
        <v>81375</v>
      </c>
      <c r="I7" s="14" t="s">
        <v>28</v>
      </c>
      <c r="J7" s="14">
        <v>13529532</v>
      </c>
      <c r="K7" s="14" t="s">
        <v>434</v>
      </c>
      <c r="L7" s="27" t="s">
        <v>435</v>
      </c>
      <c r="M7" s="28">
        <v>109900</v>
      </c>
      <c r="N7" s="29">
        <v>0.9</v>
      </c>
      <c r="O7" s="28">
        <f t="shared" si="0"/>
        <v>10990</v>
      </c>
      <c r="P7" s="14" t="s">
        <v>20</v>
      </c>
    </row>
    <row r="8" spans="1:16">
      <c r="A8" s="14" t="s">
        <v>424</v>
      </c>
      <c r="B8" s="5">
        <v>46099</v>
      </c>
      <c r="C8" s="5">
        <v>46113</v>
      </c>
      <c r="D8" s="14">
        <v>3296</v>
      </c>
      <c r="E8" s="14">
        <v>342</v>
      </c>
      <c r="F8" s="14">
        <v>6</v>
      </c>
      <c r="G8" s="14">
        <v>2</v>
      </c>
      <c r="H8" s="14">
        <v>81375</v>
      </c>
      <c r="I8" s="14" t="s">
        <v>28</v>
      </c>
      <c r="J8" s="14">
        <v>13529541</v>
      </c>
      <c r="K8" s="14" t="s">
        <v>436</v>
      </c>
      <c r="L8" s="27" t="s">
        <v>437</v>
      </c>
      <c r="M8" s="28">
        <v>59900</v>
      </c>
      <c r="N8" s="29">
        <v>0.9</v>
      </c>
      <c r="O8" s="28">
        <f t="shared" si="0"/>
        <v>5990</v>
      </c>
      <c r="P8" s="14" t="s">
        <v>20</v>
      </c>
    </row>
    <row r="9" spans="1:16">
      <c r="A9" s="14" t="s">
        <v>424</v>
      </c>
      <c r="B9" s="5">
        <v>46099</v>
      </c>
      <c r="C9" s="5">
        <v>46113</v>
      </c>
      <c r="D9" s="14">
        <v>3296</v>
      </c>
      <c r="E9" s="14">
        <v>342</v>
      </c>
      <c r="F9" s="14">
        <v>6</v>
      </c>
      <c r="G9" s="14">
        <v>2</v>
      </c>
      <c r="H9" s="14">
        <v>81375</v>
      </c>
      <c r="I9" s="14" t="s">
        <v>28</v>
      </c>
      <c r="J9" s="14">
        <v>13529550</v>
      </c>
      <c r="K9" s="14" t="s">
        <v>438</v>
      </c>
      <c r="L9" s="27" t="s">
        <v>439</v>
      </c>
      <c r="M9" s="28">
        <v>59900</v>
      </c>
      <c r="N9" s="29">
        <v>0.9</v>
      </c>
      <c r="O9" s="28">
        <f t="shared" si="0"/>
        <v>5990</v>
      </c>
      <c r="P9" s="14" t="s">
        <v>20</v>
      </c>
    </row>
  </sheetData>
  <autoFilter xmlns:etc="http://www.wps.cn/officeDocument/2017/etCustomData" ref="A1:P9" etc:filterBottomFollowUsedRange="0">
    <extLst/>
  </autoFilter>
  <conditionalFormatting sqref="J2:J9">
    <cfRule type="duplicateValues" dxfId="1" priority="2"/>
  </conditionalFormatting>
  <conditionalFormatting sqref="J1;J10:J15">
    <cfRule type="duplicateValues" dxfId="1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abSelected="1" zoomScale="55" zoomScaleNormal="55" workbookViewId="0">
      <pane ySplit="1" topLeftCell="A2" activePane="bottomLeft" state="frozen"/>
      <selection/>
      <selection pane="bottomLeft" activeCell="A2" sqref="A2"/>
    </sheetView>
  </sheetViews>
  <sheetFormatPr defaultColWidth="8.63636363636364" defaultRowHeight="14.5"/>
  <cols>
    <col min="1" max="1" width="20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6" width="13.6363636363636" style="19" customWidth="1"/>
    <col min="7" max="7" width="10.9090909090909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2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440</v>
      </c>
      <c r="B2" s="5">
        <v>46099</v>
      </c>
      <c r="C2" s="5">
        <v>46113</v>
      </c>
      <c r="D2" s="14">
        <v>3296</v>
      </c>
      <c r="E2" s="14">
        <v>342</v>
      </c>
      <c r="F2" s="14">
        <v>6</v>
      </c>
      <c r="G2" s="14">
        <v>1</v>
      </c>
      <c r="H2" s="14">
        <v>81375</v>
      </c>
      <c r="I2" s="14" t="s">
        <v>28</v>
      </c>
      <c r="J2" s="14">
        <v>79859464</v>
      </c>
      <c r="K2" s="14" t="s">
        <v>441</v>
      </c>
      <c r="L2" s="27" t="s">
        <v>442</v>
      </c>
      <c r="M2" s="28">
        <v>149900</v>
      </c>
      <c r="N2" s="8">
        <v>0.75</v>
      </c>
      <c r="O2" s="12">
        <f>M2*(1-N2)</f>
        <v>37475</v>
      </c>
      <c r="P2" s="10" t="s">
        <v>20</v>
      </c>
    </row>
    <row r="3" spans="1:16">
      <c r="A3" s="14" t="s">
        <v>440</v>
      </c>
      <c r="B3" s="5">
        <v>46099</v>
      </c>
      <c r="C3" s="5">
        <v>46113</v>
      </c>
      <c r="D3" s="14">
        <v>3296</v>
      </c>
      <c r="E3" s="14">
        <v>342</v>
      </c>
      <c r="F3" s="14">
        <v>6</v>
      </c>
      <c r="G3" s="14">
        <v>1</v>
      </c>
      <c r="H3" s="14">
        <v>81471</v>
      </c>
      <c r="I3" s="14" t="s">
        <v>28</v>
      </c>
      <c r="J3" s="14">
        <v>82193962</v>
      </c>
      <c r="K3" s="14" t="s">
        <v>443</v>
      </c>
      <c r="L3" s="27" t="s">
        <v>444</v>
      </c>
      <c r="M3" s="28">
        <v>99900</v>
      </c>
      <c r="N3" s="8">
        <v>0.75</v>
      </c>
      <c r="O3" s="12">
        <f t="shared" ref="O2:O16" si="0">M3*(1-N3)</f>
        <v>24975</v>
      </c>
      <c r="P3" s="10" t="s">
        <v>20</v>
      </c>
    </row>
    <row r="4" spans="1:16">
      <c r="A4" s="14" t="s">
        <v>440</v>
      </c>
      <c r="B4" s="5">
        <v>46099</v>
      </c>
      <c r="C4" s="5">
        <v>46113</v>
      </c>
      <c r="D4" s="14">
        <v>3296</v>
      </c>
      <c r="E4" s="14">
        <v>342</v>
      </c>
      <c r="F4" s="14">
        <v>6</v>
      </c>
      <c r="G4" s="14">
        <v>1</v>
      </c>
      <c r="H4" s="14">
        <v>81518</v>
      </c>
      <c r="I4" s="14" t="s">
        <v>28</v>
      </c>
      <c r="J4" s="14">
        <v>16413428</v>
      </c>
      <c r="K4" s="14" t="s">
        <v>445</v>
      </c>
      <c r="L4" s="27" t="s">
        <v>446</v>
      </c>
      <c r="M4" s="28">
        <v>159900</v>
      </c>
      <c r="N4" s="8">
        <v>0.75</v>
      </c>
      <c r="O4" s="12">
        <f t="shared" si="0"/>
        <v>39975</v>
      </c>
      <c r="P4" s="10" t="s">
        <v>20</v>
      </c>
    </row>
    <row r="5" spans="1:16">
      <c r="A5" s="14" t="s">
        <v>440</v>
      </c>
      <c r="B5" s="5">
        <v>46099</v>
      </c>
      <c r="C5" s="5">
        <v>46113</v>
      </c>
      <c r="D5" s="14">
        <v>3296</v>
      </c>
      <c r="E5" s="14">
        <v>342</v>
      </c>
      <c r="F5" s="14">
        <v>6</v>
      </c>
      <c r="G5" s="14">
        <v>1</v>
      </c>
      <c r="H5" s="14">
        <v>81375</v>
      </c>
      <c r="I5" s="14" t="s">
        <v>28</v>
      </c>
      <c r="J5" s="14">
        <v>16413437</v>
      </c>
      <c r="K5" s="14" t="s">
        <v>447</v>
      </c>
      <c r="L5" s="27" t="s">
        <v>448</v>
      </c>
      <c r="M5" s="28">
        <v>129900</v>
      </c>
      <c r="N5" s="8">
        <v>0.75</v>
      </c>
      <c r="O5" s="12">
        <f t="shared" si="0"/>
        <v>32475</v>
      </c>
      <c r="P5" s="10" t="s">
        <v>20</v>
      </c>
    </row>
    <row r="6" spans="1:16">
      <c r="A6" s="14" t="s">
        <v>440</v>
      </c>
      <c r="B6" s="5">
        <v>46099</v>
      </c>
      <c r="C6" s="5">
        <v>46113</v>
      </c>
      <c r="D6" s="14">
        <v>3296</v>
      </c>
      <c r="E6" s="14">
        <v>342</v>
      </c>
      <c r="F6" s="14">
        <v>6</v>
      </c>
      <c r="G6" s="14">
        <v>1</v>
      </c>
      <c r="H6" s="14">
        <v>81375</v>
      </c>
      <c r="I6" s="14" t="s">
        <v>28</v>
      </c>
      <c r="J6" s="14">
        <v>16413446</v>
      </c>
      <c r="K6" s="14" t="s">
        <v>449</v>
      </c>
      <c r="L6" s="27" t="s">
        <v>450</v>
      </c>
      <c r="M6" s="28">
        <v>169900</v>
      </c>
      <c r="N6" s="8">
        <v>0.75</v>
      </c>
      <c r="O6" s="12">
        <f t="shared" si="0"/>
        <v>42475</v>
      </c>
      <c r="P6" s="10" t="s">
        <v>20</v>
      </c>
    </row>
    <row r="7" spans="1:16">
      <c r="A7" s="14" t="s">
        <v>440</v>
      </c>
      <c r="B7" s="5">
        <v>46099</v>
      </c>
      <c r="C7" s="5">
        <v>46113</v>
      </c>
      <c r="D7" s="14">
        <v>3296</v>
      </c>
      <c r="E7" s="14">
        <v>342</v>
      </c>
      <c r="F7" s="14">
        <v>6</v>
      </c>
      <c r="G7" s="14">
        <v>1</v>
      </c>
      <c r="H7" s="14">
        <v>81375</v>
      </c>
      <c r="I7" s="14" t="s">
        <v>28</v>
      </c>
      <c r="J7" s="14">
        <v>16413455</v>
      </c>
      <c r="K7" s="14" t="s">
        <v>451</v>
      </c>
      <c r="L7" s="27" t="s">
        <v>452</v>
      </c>
      <c r="M7" s="28">
        <v>169900</v>
      </c>
      <c r="N7" s="8">
        <v>0.75</v>
      </c>
      <c r="O7" s="12">
        <f t="shared" si="0"/>
        <v>42475</v>
      </c>
      <c r="P7" s="10" t="s">
        <v>20</v>
      </c>
    </row>
    <row r="8" spans="1:16">
      <c r="A8" s="14" t="s">
        <v>440</v>
      </c>
      <c r="B8" s="5">
        <v>46099</v>
      </c>
      <c r="C8" s="5">
        <v>46113</v>
      </c>
      <c r="D8" s="14">
        <v>3296</v>
      </c>
      <c r="E8" s="14">
        <v>342</v>
      </c>
      <c r="F8" s="14">
        <v>6</v>
      </c>
      <c r="G8" s="14">
        <v>1</v>
      </c>
      <c r="H8" s="14">
        <v>81375</v>
      </c>
      <c r="I8" s="14" t="s">
        <v>28</v>
      </c>
      <c r="J8" s="14">
        <v>16413464</v>
      </c>
      <c r="K8" s="14" t="s">
        <v>453</v>
      </c>
      <c r="L8" s="27" t="s">
        <v>454</v>
      </c>
      <c r="M8" s="28">
        <v>139900</v>
      </c>
      <c r="N8" s="8">
        <v>0.75</v>
      </c>
      <c r="O8" s="12">
        <f t="shared" si="0"/>
        <v>34975</v>
      </c>
      <c r="P8" s="10" t="s">
        <v>20</v>
      </c>
    </row>
    <row r="9" spans="1:16">
      <c r="A9" s="14" t="s">
        <v>440</v>
      </c>
      <c r="B9" s="5">
        <v>46099</v>
      </c>
      <c r="C9" s="5">
        <v>46113</v>
      </c>
      <c r="D9" s="14">
        <v>3296</v>
      </c>
      <c r="E9" s="14">
        <v>342</v>
      </c>
      <c r="F9" s="14">
        <v>6</v>
      </c>
      <c r="G9" s="14">
        <v>1</v>
      </c>
      <c r="H9" s="14">
        <v>81471</v>
      </c>
      <c r="I9" s="14" t="s">
        <v>28</v>
      </c>
      <c r="J9" s="14">
        <v>16670632</v>
      </c>
      <c r="K9" s="14" t="s">
        <v>455</v>
      </c>
      <c r="L9" s="27" t="s">
        <v>456</v>
      </c>
      <c r="M9" s="28">
        <v>139900</v>
      </c>
      <c r="N9" s="8">
        <v>0.75</v>
      </c>
      <c r="O9" s="12">
        <f t="shared" si="0"/>
        <v>34975</v>
      </c>
      <c r="P9" s="10" t="s">
        <v>20</v>
      </c>
    </row>
    <row r="10" spans="1:16">
      <c r="A10" s="14" t="s">
        <v>440</v>
      </c>
      <c r="B10" s="5">
        <v>46099</v>
      </c>
      <c r="C10" s="5">
        <v>46113</v>
      </c>
      <c r="D10" s="14">
        <v>3296</v>
      </c>
      <c r="E10" s="14">
        <v>342</v>
      </c>
      <c r="F10" s="14">
        <v>6</v>
      </c>
      <c r="G10" s="14">
        <v>1</v>
      </c>
      <c r="H10" s="14">
        <v>81375</v>
      </c>
      <c r="I10" s="14" t="s">
        <v>28</v>
      </c>
      <c r="J10" s="14">
        <v>16670650</v>
      </c>
      <c r="K10" s="14" t="s">
        <v>457</v>
      </c>
      <c r="L10" s="27" t="s">
        <v>458</v>
      </c>
      <c r="M10" s="28">
        <v>129900</v>
      </c>
      <c r="N10" s="8">
        <v>0.75</v>
      </c>
      <c r="O10" s="12">
        <f t="shared" si="0"/>
        <v>32475</v>
      </c>
      <c r="P10" s="10" t="s">
        <v>20</v>
      </c>
    </row>
    <row r="11" spans="1:16">
      <c r="A11" s="14" t="s">
        <v>440</v>
      </c>
      <c r="B11" s="5">
        <v>46099</v>
      </c>
      <c r="C11" s="5">
        <v>46113</v>
      </c>
      <c r="D11" s="14">
        <v>3296</v>
      </c>
      <c r="E11" s="14">
        <v>342</v>
      </c>
      <c r="F11" s="14">
        <v>6</v>
      </c>
      <c r="G11" s="14">
        <v>1</v>
      </c>
      <c r="H11" s="14">
        <v>81375</v>
      </c>
      <c r="I11" s="14" t="s">
        <v>28</v>
      </c>
      <c r="J11" s="14">
        <v>16670669</v>
      </c>
      <c r="K11" s="14" t="s">
        <v>459</v>
      </c>
      <c r="L11" s="27" t="s">
        <v>460</v>
      </c>
      <c r="M11" s="28">
        <v>129900</v>
      </c>
      <c r="N11" s="8">
        <v>0.75</v>
      </c>
      <c r="O11" s="12">
        <f t="shared" si="0"/>
        <v>32475</v>
      </c>
      <c r="P11" s="10" t="s">
        <v>20</v>
      </c>
    </row>
    <row r="12" spans="1:16">
      <c r="A12" s="14" t="s">
        <v>440</v>
      </c>
      <c r="B12" s="5">
        <v>46099</v>
      </c>
      <c r="C12" s="5">
        <v>46113</v>
      </c>
      <c r="D12" s="14">
        <v>3296</v>
      </c>
      <c r="E12" s="14">
        <v>342</v>
      </c>
      <c r="F12" s="14">
        <v>6</v>
      </c>
      <c r="G12" s="14">
        <v>1</v>
      </c>
      <c r="H12" s="14">
        <v>81375</v>
      </c>
      <c r="I12" s="14" t="s">
        <v>28</v>
      </c>
      <c r="J12" s="14">
        <v>76461942</v>
      </c>
      <c r="K12" s="14" t="s">
        <v>461</v>
      </c>
      <c r="L12" s="27" t="s">
        <v>462</v>
      </c>
      <c r="M12" s="28">
        <v>129900</v>
      </c>
      <c r="N12" s="8">
        <v>0.75</v>
      </c>
      <c r="O12" s="12">
        <f t="shared" si="0"/>
        <v>32475</v>
      </c>
      <c r="P12" s="10" t="s">
        <v>20</v>
      </c>
    </row>
    <row r="13" spans="1:16">
      <c r="A13" s="14" t="s">
        <v>440</v>
      </c>
      <c r="B13" s="5">
        <v>46099</v>
      </c>
      <c r="C13" s="5">
        <v>46113</v>
      </c>
      <c r="D13" s="14">
        <v>3296</v>
      </c>
      <c r="E13" s="14">
        <v>342</v>
      </c>
      <c r="F13" s="14">
        <v>6</v>
      </c>
      <c r="G13" s="14">
        <v>1</v>
      </c>
      <c r="H13" s="14">
        <v>81375</v>
      </c>
      <c r="I13" s="14" t="s">
        <v>28</v>
      </c>
      <c r="J13" s="14">
        <v>78782217</v>
      </c>
      <c r="K13" s="14" t="s">
        <v>463</v>
      </c>
      <c r="L13" s="27" t="s">
        <v>464</v>
      </c>
      <c r="M13" s="28">
        <v>99900</v>
      </c>
      <c r="N13" s="8">
        <v>0.75</v>
      </c>
      <c r="O13" s="12">
        <f t="shared" si="0"/>
        <v>24975</v>
      </c>
      <c r="P13" s="10" t="s">
        <v>20</v>
      </c>
    </row>
    <row r="14" spans="1:16">
      <c r="A14" s="14" t="s">
        <v>440</v>
      </c>
      <c r="B14" s="5">
        <v>46099</v>
      </c>
      <c r="C14" s="5">
        <v>46113</v>
      </c>
      <c r="D14" s="14">
        <v>3296</v>
      </c>
      <c r="E14" s="14">
        <v>342</v>
      </c>
      <c r="F14" s="14">
        <v>6</v>
      </c>
      <c r="G14" s="14">
        <v>1</v>
      </c>
      <c r="H14" s="14">
        <v>81375</v>
      </c>
      <c r="I14" s="14" t="s">
        <v>28</v>
      </c>
      <c r="J14" s="14">
        <v>79106526</v>
      </c>
      <c r="K14" s="14" t="s">
        <v>465</v>
      </c>
      <c r="L14" s="27" t="s">
        <v>466</v>
      </c>
      <c r="M14" s="28">
        <v>129900</v>
      </c>
      <c r="N14" s="8">
        <v>0.75</v>
      </c>
      <c r="O14" s="12">
        <f t="shared" si="0"/>
        <v>32475</v>
      </c>
      <c r="P14" s="10" t="s">
        <v>20</v>
      </c>
    </row>
    <row r="15" spans="1:16">
      <c r="A15" s="14" t="s">
        <v>440</v>
      </c>
      <c r="B15" s="5">
        <v>46099</v>
      </c>
      <c r="C15" s="5">
        <v>46113</v>
      </c>
      <c r="D15" s="14">
        <v>3296</v>
      </c>
      <c r="E15" s="14">
        <v>342</v>
      </c>
      <c r="F15" s="14">
        <v>6</v>
      </c>
      <c r="G15" s="14">
        <v>1</v>
      </c>
      <c r="H15" s="14">
        <v>81375</v>
      </c>
      <c r="I15" s="14" t="s">
        <v>28</v>
      </c>
      <c r="J15" s="14">
        <v>79106544</v>
      </c>
      <c r="K15" s="14" t="s">
        <v>467</v>
      </c>
      <c r="L15" s="27" t="s">
        <v>468</v>
      </c>
      <c r="M15" s="28">
        <v>129900</v>
      </c>
      <c r="N15" s="8">
        <v>0.75</v>
      </c>
      <c r="O15" s="12">
        <f t="shared" si="0"/>
        <v>32475</v>
      </c>
      <c r="P15" s="10" t="s">
        <v>20</v>
      </c>
    </row>
    <row r="16" spans="1:16">
      <c r="A16" s="14" t="s">
        <v>440</v>
      </c>
      <c r="B16" s="5">
        <v>46099</v>
      </c>
      <c r="C16" s="5">
        <v>46113</v>
      </c>
      <c r="D16" s="14">
        <v>3296</v>
      </c>
      <c r="E16" s="14">
        <v>342</v>
      </c>
      <c r="F16" s="14">
        <v>6</v>
      </c>
      <c r="G16" s="14">
        <v>1</v>
      </c>
      <c r="H16" s="14">
        <v>81375</v>
      </c>
      <c r="I16" s="14" t="s">
        <v>28</v>
      </c>
      <c r="J16" s="14">
        <v>79859473</v>
      </c>
      <c r="K16" s="14" t="s">
        <v>469</v>
      </c>
      <c r="L16" s="27" t="s">
        <v>470</v>
      </c>
      <c r="M16" s="28">
        <v>129900</v>
      </c>
      <c r="N16" s="8">
        <v>0.75</v>
      </c>
      <c r="O16" s="12">
        <f t="shared" si="0"/>
        <v>32475</v>
      </c>
      <c r="P16" s="10" t="s">
        <v>20</v>
      </c>
    </row>
    <row r="17" spans="1:16">
      <c r="A17" s="14" t="s">
        <v>440</v>
      </c>
      <c r="B17" s="5">
        <v>46099</v>
      </c>
      <c r="C17" s="5">
        <v>46113</v>
      </c>
      <c r="D17" s="14">
        <v>3296</v>
      </c>
      <c r="E17" s="14">
        <v>342</v>
      </c>
      <c r="F17" s="14">
        <v>6</v>
      </c>
      <c r="G17" s="14">
        <v>1</v>
      </c>
      <c r="H17" s="14">
        <v>81518</v>
      </c>
      <c r="I17" s="14" t="s">
        <v>28</v>
      </c>
      <c r="J17" s="14">
        <v>83707771</v>
      </c>
      <c r="K17" s="14" t="s">
        <v>471</v>
      </c>
      <c r="L17" s="27" t="s">
        <v>472</v>
      </c>
      <c r="M17" s="28">
        <v>129900</v>
      </c>
      <c r="N17" s="8">
        <v>0.75</v>
      </c>
      <c r="O17" s="12">
        <f t="shared" ref="O17:O34" si="1">M17*(1-N17)</f>
        <v>32475</v>
      </c>
      <c r="P17" s="10" t="s">
        <v>20</v>
      </c>
    </row>
    <row r="18" spans="1:16">
      <c r="A18" s="14" t="s">
        <v>440</v>
      </c>
      <c r="B18" s="5">
        <v>46099</v>
      </c>
      <c r="C18" s="5">
        <v>46113</v>
      </c>
      <c r="D18" s="14">
        <v>3296</v>
      </c>
      <c r="E18" s="14">
        <v>342</v>
      </c>
      <c r="F18" s="14">
        <v>6</v>
      </c>
      <c r="G18" s="14">
        <v>1</v>
      </c>
      <c r="H18" s="14">
        <v>81375</v>
      </c>
      <c r="I18" s="14" t="s">
        <v>28</v>
      </c>
      <c r="J18" s="14">
        <v>16670641</v>
      </c>
      <c r="K18" s="14" t="s">
        <v>473</v>
      </c>
      <c r="L18" s="27" t="s">
        <v>474</v>
      </c>
      <c r="M18" s="28">
        <v>139900</v>
      </c>
      <c r="N18" s="8">
        <v>0.75</v>
      </c>
      <c r="O18" s="12">
        <f t="shared" si="1"/>
        <v>34975</v>
      </c>
      <c r="P18" s="10" t="s">
        <v>20</v>
      </c>
    </row>
    <row r="19" spans="1:16">
      <c r="A19" s="14" t="s">
        <v>440</v>
      </c>
      <c r="B19" s="5">
        <v>46099</v>
      </c>
      <c r="C19" s="5">
        <v>46113</v>
      </c>
      <c r="D19" s="14">
        <v>3296</v>
      </c>
      <c r="E19" s="14">
        <v>342</v>
      </c>
      <c r="F19" s="14">
        <v>6</v>
      </c>
      <c r="G19" s="14">
        <v>1</v>
      </c>
      <c r="H19" s="14">
        <v>81375</v>
      </c>
      <c r="I19" s="14" t="s">
        <v>28</v>
      </c>
      <c r="J19" s="14">
        <v>16670678</v>
      </c>
      <c r="K19" s="14" t="s">
        <v>475</v>
      </c>
      <c r="L19" s="27" t="s">
        <v>476</v>
      </c>
      <c r="M19" s="28">
        <v>119900</v>
      </c>
      <c r="N19" s="8">
        <v>0.75</v>
      </c>
      <c r="O19" s="12">
        <f t="shared" si="1"/>
        <v>29975</v>
      </c>
      <c r="P19" s="10" t="s">
        <v>20</v>
      </c>
    </row>
    <row r="20" spans="1:16">
      <c r="A20" s="14" t="s">
        <v>440</v>
      </c>
      <c r="B20" s="5">
        <v>46099</v>
      </c>
      <c r="C20" s="5">
        <v>46113</v>
      </c>
      <c r="D20" s="14">
        <v>3296</v>
      </c>
      <c r="E20" s="14">
        <v>342</v>
      </c>
      <c r="F20" s="14">
        <v>6</v>
      </c>
      <c r="G20" s="14">
        <v>1</v>
      </c>
      <c r="H20" s="14">
        <v>81375</v>
      </c>
      <c r="I20" s="14" t="s">
        <v>28</v>
      </c>
      <c r="J20" s="14">
        <v>16670687</v>
      </c>
      <c r="K20" s="14" t="s">
        <v>477</v>
      </c>
      <c r="L20" s="27" t="s">
        <v>478</v>
      </c>
      <c r="M20" s="28">
        <v>119900</v>
      </c>
      <c r="N20" s="8">
        <v>0.75</v>
      </c>
      <c r="O20" s="12">
        <f t="shared" si="1"/>
        <v>29975</v>
      </c>
      <c r="P20" s="10" t="s">
        <v>20</v>
      </c>
    </row>
    <row r="21" spans="1:16">
      <c r="A21" s="14" t="s">
        <v>440</v>
      </c>
      <c r="B21" s="5">
        <v>46099</v>
      </c>
      <c r="C21" s="5">
        <v>46113</v>
      </c>
      <c r="D21" s="14">
        <v>3296</v>
      </c>
      <c r="E21" s="14">
        <v>342</v>
      </c>
      <c r="F21" s="14">
        <v>6</v>
      </c>
      <c r="G21" s="14">
        <v>1</v>
      </c>
      <c r="H21" s="14">
        <v>81375</v>
      </c>
      <c r="I21" s="14" t="s">
        <v>28</v>
      </c>
      <c r="J21" s="14">
        <v>16670785</v>
      </c>
      <c r="K21" s="14" t="s">
        <v>479</v>
      </c>
      <c r="L21" s="27" t="s">
        <v>480</v>
      </c>
      <c r="M21" s="28">
        <v>119900</v>
      </c>
      <c r="N21" s="8">
        <v>0.75</v>
      </c>
      <c r="O21" s="12">
        <f t="shared" si="1"/>
        <v>29975</v>
      </c>
      <c r="P21" s="10" t="s">
        <v>20</v>
      </c>
    </row>
    <row r="22" spans="1:16">
      <c r="A22" s="14" t="s">
        <v>440</v>
      </c>
      <c r="B22" s="5">
        <v>46099</v>
      </c>
      <c r="C22" s="5">
        <v>46113</v>
      </c>
      <c r="D22" s="14">
        <v>3296</v>
      </c>
      <c r="E22" s="14">
        <v>342</v>
      </c>
      <c r="F22" s="14">
        <v>6</v>
      </c>
      <c r="G22" s="14">
        <v>1</v>
      </c>
      <c r="H22" s="14">
        <v>81375</v>
      </c>
      <c r="I22" s="14" t="s">
        <v>28</v>
      </c>
      <c r="J22" s="14">
        <v>16670794</v>
      </c>
      <c r="K22" s="14" t="s">
        <v>481</v>
      </c>
      <c r="L22" s="27" t="s">
        <v>482</v>
      </c>
      <c r="M22" s="28">
        <v>149900</v>
      </c>
      <c r="N22" s="8">
        <v>0.75</v>
      </c>
      <c r="O22" s="12">
        <f t="shared" si="1"/>
        <v>37475</v>
      </c>
      <c r="P22" s="10" t="s">
        <v>20</v>
      </c>
    </row>
    <row r="23" spans="1:16">
      <c r="A23" s="14" t="s">
        <v>440</v>
      </c>
      <c r="B23" s="5">
        <v>46099</v>
      </c>
      <c r="C23" s="5">
        <v>46113</v>
      </c>
      <c r="D23" s="14">
        <v>3296</v>
      </c>
      <c r="E23" s="14">
        <v>342</v>
      </c>
      <c r="F23" s="14">
        <v>6</v>
      </c>
      <c r="G23" s="14">
        <v>1</v>
      </c>
      <c r="H23" s="14">
        <v>81518</v>
      </c>
      <c r="I23" s="14" t="s">
        <v>28</v>
      </c>
      <c r="J23" s="14">
        <v>16670801</v>
      </c>
      <c r="K23" s="14" t="s">
        <v>483</v>
      </c>
      <c r="L23" s="27" t="s">
        <v>484</v>
      </c>
      <c r="M23" s="28">
        <v>129900</v>
      </c>
      <c r="N23" s="8">
        <v>0.75</v>
      </c>
      <c r="O23" s="12">
        <f t="shared" si="1"/>
        <v>32475</v>
      </c>
      <c r="P23" s="10" t="s">
        <v>20</v>
      </c>
    </row>
    <row r="24" spans="1:16">
      <c r="A24" s="14" t="s">
        <v>440</v>
      </c>
      <c r="B24" s="5">
        <v>46099</v>
      </c>
      <c r="C24" s="5">
        <v>46113</v>
      </c>
      <c r="D24" s="14">
        <v>3296</v>
      </c>
      <c r="E24" s="14">
        <v>342</v>
      </c>
      <c r="F24" s="14">
        <v>6</v>
      </c>
      <c r="G24" s="14">
        <v>1</v>
      </c>
      <c r="H24" s="14">
        <v>81518</v>
      </c>
      <c r="I24" s="14" t="s">
        <v>28</v>
      </c>
      <c r="J24" s="14">
        <v>16670810</v>
      </c>
      <c r="K24" s="14" t="s">
        <v>485</v>
      </c>
      <c r="L24" s="27" t="s">
        <v>486</v>
      </c>
      <c r="M24" s="28">
        <v>129900</v>
      </c>
      <c r="N24" s="8">
        <v>0.75</v>
      </c>
      <c r="O24" s="12">
        <f t="shared" si="1"/>
        <v>32475</v>
      </c>
      <c r="P24" s="10" t="s">
        <v>20</v>
      </c>
    </row>
    <row r="25" spans="1:16">
      <c r="A25" s="14" t="s">
        <v>440</v>
      </c>
      <c r="B25" s="5">
        <v>46099</v>
      </c>
      <c r="C25" s="5">
        <v>46113</v>
      </c>
      <c r="D25" s="14">
        <v>3296</v>
      </c>
      <c r="E25" s="14">
        <v>342</v>
      </c>
      <c r="F25" s="14">
        <v>6</v>
      </c>
      <c r="G25" s="14">
        <v>1</v>
      </c>
      <c r="H25" s="14">
        <v>81471</v>
      </c>
      <c r="I25" s="14" t="s">
        <v>28</v>
      </c>
      <c r="J25" s="14">
        <v>16908331</v>
      </c>
      <c r="K25" s="14" t="s">
        <v>487</v>
      </c>
      <c r="L25" s="27" t="s">
        <v>488</v>
      </c>
      <c r="M25" s="28">
        <v>129900</v>
      </c>
      <c r="N25" s="8">
        <v>0.75</v>
      </c>
      <c r="O25" s="12">
        <f t="shared" si="1"/>
        <v>32475</v>
      </c>
      <c r="P25" s="10" t="s">
        <v>20</v>
      </c>
    </row>
    <row r="26" spans="1:16">
      <c r="A26" s="14" t="s">
        <v>440</v>
      </c>
      <c r="B26" s="5">
        <v>46099</v>
      </c>
      <c r="C26" s="5">
        <v>46113</v>
      </c>
      <c r="D26" s="14">
        <v>3296</v>
      </c>
      <c r="E26" s="14">
        <v>342</v>
      </c>
      <c r="F26" s="14">
        <v>6</v>
      </c>
      <c r="G26" s="14">
        <v>1</v>
      </c>
      <c r="H26" s="14">
        <v>81518</v>
      </c>
      <c r="I26" s="14" t="s">
        <v>28</v>
      </c>
      <c r="J26" s="14">
        <v>17557834</v>
      </c>
      <c r="K26" s="14" t="s">
        <v>489</v>
      </c>
      <c r="L26" s="27" t="s">
        <v>490</v>
      </c>
      <c r="M26" s="28">
        <v>149900</v>
      </c>
      <c r="N26" s="8">
        <v>0.75</v>
      </c>
      <c r="O26" s="12">
        <f t="shared" si="1"/>
        <v>37475</v>
      </c>
      <c r="P26" s="10" t="s">
        <v>20</v>
      </c>
    </row>
    <row r="27" spans="1:16">
      <c r="A27" s="14" t="s">
        <v>440</v>
      </c>
      <c r="B27" s="5">
        <v>46099</v>
      </c>
      <c r="C27" s="5">
        <v>46113</v>
      </c>
      <c r="D27" s="14">
        <v>3296</v>
      </c>
      <c r="E27" s="14">
        <v>342</v>
      </c>
      <c r="F27" s="14">
        <v>6</v>
      </c>
      <c r="G27" s="14">
        <v>1</v>
      </c>
      <c r="H27" s="14">
        <v>81518</v>
      </c>
      <c r="I27" s="14" t="s">
        <v>28</v>
      </c>
      <c r="J27" s="14">
        <v>17557843</v>
      </c>
      <c r="K27" s="14" t="s">
        <v>491</v>
      </c>
      <c r="L27" s="27" t="s">
        <v>492</v>
      </c>
      <c r="M27" s="28">
        <v>149900</v>
      </c>
      <c r="N27" s="8">
        <v>0.75</v>
      </c>
      <c r="O27" s="12">
        <f t="shared" si="1"/>
        <v>37475</v>
      </c>
      <c r="P27" s="10" t="s">
        <v>20</v>
      </c>
    </row>
    <row r="28" spans="1:16">
      <c r="A28" s="14" t="s">
        <v>440</v>
      </c>
      <c r="B28" s="5">
        <v>46099</v>
      </c>
      <c r="C28" s="5">
        <v>46113</v>
      </c>
      <c r="D28" s="14">
        <v>3296</v>
      </c>
      <c r="E28" s="14">
        <v>342</v>
      </c>
      <c r="F28" s="14">
        <v>6</v>
      </c>
      <c r="G28" s="14">
        <v>1</v>
      </c>
      <c r="H28" s="14">
        <v>81518</v>
      </c>
      <c r="I28" s="14" t="s">
        <v>28</v>
      </c>
      <c r="J28" s="14">
        <v>17557816</v>
      </c>
      <c r="K28" s="14" t="s">
        <v>493</v>
      </c>
      <c r="L28" s="27" t="s">
        <v>494</v>
      </c>
      <c r="M28" s="28">
        <v>129900</v>
      </c>
      <c r="N28" s="8">
        <v>0.75</v>
      </c>
      <c r="O28" s="12">
        <f t="shared" si="1"/>
        <v>32475</v>
      </c>
      <c r="P28" s="10" t="s">
        <v>20</v>
      </c>
    </row>
    <row r="29" spans="1:16">
      <c r="A29" s="14" t="s">
        <v>440</v>
      </c>
      <c r="B29" s="5">
        <v>46099</v>
      </c>
      <c r="C29" s="5">
        <v>46113</v>
      </c>
      <c r="D29" s="14">
        <v>3296</v>
      </c>
      <c r="E29" s="14">
        <v>342</v>
      </c>
      <c r="F29" s="14">
        <v>6</v>
      </c>
      <c r="G29" s="14">
        <v>1</v>
      </c>
      <c r="H29" s="14">
        <v>81518</v>
      </c>
      <c r="I29" s="14" t="s">
        <v>28</v>
      </c>
      <c r="J29" s="14">
        <v>17557825</v>
      </c>
      <c r="K29" s="14" t="s">
        <v>495</v>
      </c>
      <c r="L29" s="27" t="s">
        <v>496</v>
      </c>
      <c r="M29" s="28">
        <v>129900</v>
      </c>
      <c r="N29" s="8">
        <v>0.75</v>
      </c>
      <c r="O29" s="12">
        <f t="shared" si="1"/>
        <v>32475</v>
      </c>
      <c r="P29" s="10" t="s">
        <v>20</v>
      </c>
    </row>
    <row r="30" spans="1:16">
      <c r="A30" s="14" t="s">
        <v>440</v>
      </c>
      <c r="B30" s="5">
        <v>46099</v>
      </c>
      <c r="C30" s="5">
        <v>46113</v>
      </c>
      <c r="D30" s="14">
        <v>3296</v>
      </c>
      <c r="E30" s="14">
        <v>342</v>
      </c>
      <c r="F30" s="14">
        <v>6</v>
      </c>
      <c r="G30" s="14">
        <v>2</v>
      </c>
      <c r="H30" s="14">
        <v>81375</v>
      </c>
      <c r="I30" s="14" t="s">
        <v>28</v>
      </c>
      <c r="J30" s="14">
        <v>83516263</v>
      </c>
      <c r="K30" s="14" t="s">
        <v>497</v>
      </c>
      <c r="L30" s="27" t="s">
        <v>498</v>
      </c>
      <c r="M30" s="28">
        <v>119900</v>
      </c>
      <c r="N30" s="8">
        <v>0.75</v>
      </c>
      <c r="O30" s="12">
        <f t="shared" si="1"/>
        <v>29975</v>
      </c>
      <c r="P30" s="10" t="s">
        <v>20</v>
      </c>
    </row>
    <row r="31" spans="1:16">
      <c r="A31" s="14" t="s">
        <v>440</v>
      </c>
      <c r="B31" s="5">
        <v>46099</v>
      </c>
      <c r="C31" s="5">
        <v>46113</v>
      </c>
      <c r="D31" s="14">
        <v>3296</v>
      </c>
      <c r="E31" s="14">
        <v>342</v>
      </c>
      <c r="F31" s="14">
        <v>6</v>
      </c>
      <c r="G31" s="14">
        <v>2</v>
      </c>
      <c r="H31" s="14">
        <v>81518</v>
      </c>
      <c r="I31" s="14" t="s">
        <v>28</v>
      </c>
      <c r="J31" s="14">
        <v>11942188</v>
      </c>
      <c r="K31" s="14" t="s">
        <v>499</v>
      </c>
      <c r="L31" s="27" t="s">
        <v>500</v>
      </c>
      <c r="M31" s="28">
        <v>99900</v>
      </c>
      <c r="N31" s="8">
        <v>0.75</v>
      </c>
      <c r="O31" s="12">
        <f t="shared" si="1"/>
        <v>24975</v>
      </c>
      <c r="P31" s="10" t="s">
        <v>20</v>
      </c>
    </row>
    <row r="32" spans="1:16">
      <c r="A32" s="14" t="s">
        <v>440</v>
      </c>
      <c r="B32" s="5">
        <v>46099</v>
      </c>
      <c r="C32" s="5">
        <v>46113</v>
      </c>
      <c r="D32" s="14">
        <v>3296</v>
      </c>
      <c r="E32" s="14">
        <v>342</v>
      </c>
      <c r="F32" s="14">
        <v>6</v>
      </c>
      <c r="G32" s="14">
        <v>2</v>
      </c>
      <c r="H32" s="14">
        <v>81518</v>
      </c>
      <c r="I32" s="14" t="s">
        <v>28</v>
      </c>
      <c r="J32" s="14">
        <v>11942197</v>
      </c>
      <c r="K32" s="14" t="s">
        <v>501</v>
      </c>
      <c r="L32" s="27" t="s">
        <v>502</v>
      </c>
      <c r="M32" s="28">
        <v>99900</v>
      </c>
      <c r="N32" s="8">
        <v>0.75</v>
      </c>
      <c r="O32" s="12">
        <f t="shared" si="1"/>
        <v>24975</v>
      </c>
      <c r="P32" s="10" t="s">
        <v>20</v>
      </c>
    </row>
    <row r="33" spans="1:16">
      <c r="A33" s="14" t="s">
        <v>440</v>
      </c>
      <c r="B33" s="5">
        <v>46099</v>
      </c>
      <c r="C33" s="5">
        <v>46113</v>
      </c>
      <c r="D33" s="14">
        <v>3296</v>
      </c>
      <c r="E33" s="14">
        <v>342</v>
      </c>
      <c r="F33" s="14">
        <v>6</v>
      </c>
      <c r="G33" s="14">
        <v>2</v>
      </c>
      <c r="H33" s="14">
        <v>81518</v>
      </c>
      <c r="I33" s="14" t="s">
        <v>28</v>
      </c>
      <c r="J33" s="14">
        <v>11942204</v>
      </c>
      <c r="K33" s="14" t="s">
        <v>503</v>
      </c>
      <c r="L33" s="27" t="s">
        <v>504</v>
      </c>
      <c r="M33" s="28">
        <v>99900</v>
      </c>
      <c r="N33" s="8">
        <v>0.75</v>
      </c>
      <c r="O33" s="12">
        <f t="shared" si="1"/>
        <v>24975</v>
      </c>
      <c r="P33" s="10" t="s">
        <v>20</v>
      </c>
    </row>
    <row r="34" spans="1:16">
      <c r="A34" s="14" t="s">
        <v>440</v>
      </c>
      <c r="B34" s="5">
        <v>46099</v>
      </c>
      <c r="C34" s="5">
        <v>46113</v>
      </c>
      <c r="D34" s="14">
        <v>3296</v>
      </c>
      <c r="E34" s="14">
        <v>342</v>
      </c>
      <c r="F34" s="14">
        <v>6</v>
      </c>
      <c r="G34" s="14">
        <v>2</v>
      </c>
      <c r="H34" s="14">
        <v>81518</v>
      </c>
      <c r="I34" s="14" t="s">
        <v>28</v>
      </c>
      <c r="J34" s="14">
        <v>15955194</v>
      </c>
      <c r="K34" s="14" t="s">
        <v>505</v>
      </c>
      <c r="L34" s="27" t="s">
        <v>506</v>
      </c>
      <c r="M34" s="28">
        <v>149900</v>
      </c>
      <c r="N34" s="8">
        <v>0.75</v>
      </c>
      <c r="O34" s="12">
        <f t="shared" ref="O34:O51" si="2">M34*(1-N34)</f>
        <v>37475</v>
      </c>
      <c r="P34" s="10" t="s">
        <v>20</v>
      </c>
    </row>
    <row r="35" spans="1:16">
      <c r="A35" s="14" t="s">
        <v>440</v>
      </c>
      <c r="B35" s="5">
        <v>46099</v>
      </c>
      <c r="C35" s="5">
        <v>46113</v>
      </c>
      <c r="D35" s="14">
        <v>3296</v>
      </c>
      <c r="E35" s="14">
        <v>342</v>
      </c>
      <c r="F35" s="14">
        <v>6</v>
      </c>
      <c r="G35" s="14">
        <v>2</v>
      </c>
      <c r="H35" s="14">
        <v>81518</v>
      </c>
      <c r="I35" s="14" t="s">
        <v>28</v>
      </c>
      <c r="J35" s="14">
        <v>15955201</v>
      </c>
      <c r="K35" s="14" t="s">
        <v>507</v>
      </c>
      <c r="L35" s="27" t="s">
        <v>508</v>
      </c>
      <c r="M35" s="28">
        <v>149900</v>
      </c>
      <c r="N35" s="8">
        <v>0.75</v>
      </c>
      <c r="O35" s="12">
        <f t="shared" si="2"/>
        <v>37475</v>
      </c>
      <c r="P35" s="10" t="s">
        <v>20</v>
      </c>
    </row>
    <row r="36" spans="1:16">
      <c r="A36" s="14" t="s">
        <v>440</v>
      </c>
      <c r="B36" s="5">
        <v>46099</v>
      </c>
      <c r="C36" s="5">
        <v>46113</v>
      </c>
      <c r="D36" s="14">
        <v>3296</v>
      </c>
      <c r="E36" s="14">
        <v>342</v>
      </c>
      <c r="F36" s="14">
        <v>6</v>
      </c>
      <c r="G36" s="14">
        <v>2</v>
      </c>
      <c r="H36" s="14">
        <v>81518</v>
      </c>
      <c r="I36" s="14" t="s">
        <v>28</v>
      </c>
      <c r="J36" s="14">
        <v>16413473</v>
      </c>
      <c r="K36" s="14" t="s">
        <v>509</v>
      </c>
      <c r="L36" s="27" t="s">
        <v>510</v>
      </c>
      <c r="M36" s="28">
        <v>149900</v>
      </c>
      <c r="N36" s="8">
        <v>0.75</v>
      </c>
      <c r="O36" s="12">
        <f t="shared" si="2"/>
        <v>37475</v>
      </c>
      <c r="P36" s="10" t="s">
        <v>20</v>
      </c>
    </row>
    <row r="37" spans="1:16">
      <c r="A37" s="14" t="s">
        <v>440</v>
      </c>
      <c r="B37" s="5">
        <v>46099</v>
      </c>
      <c r="C37" s="5">
        <v>46113</v>
      </c>
      <c r="D37" s="14">
        <v>3296</v>
      </c>
      <c r="E37" s="14">
        <v>342</v>
      </c>
      <c r="F37" s="14">
        <v>6</v>
      </c>
      <c r="G37" s="14">
        <v>2</v>
      </c>
      <c r="H37" s="14">
        <v>81518</v>
      </c>
      <c r="I37" s="14" t="s">
        <v>28</v>
      </c>
      <c r="J37" s="14">
        <v>16413482</v>
      </c>
      <c r="K37" s="14" t="s">
        <v>511</v>
      </c>
      <c r="L37" s="27" t="s">
        <v>512</v>
      </c>
      <c r="M37" s="28">
        <v>149900</v>
      </c>
      <c r="N37" s="8">
        <v>0.75</v>
      </c>
      <c r="O37" s="12">
        <f t="shared" si="2"/>
        <v>37475</v>
      </c>
      <c r="P37" s="10" t="s">
        <v>20</v>
      </c>
    </row>
    <row r="38" spans="1:16">
      <c r="A38" s="14" t="s">
        <v>440</v>
      </c>
      <c r="B38" s="5">
        <v>46099</v>
      </c>
      <c r="C38" s="5">
        <v>46113</v>
      </c>
      <c r="D38" s="14">
        <v>3296</v>
      </c>
      <c r="E38" s="14">
        <v>342</v>
      </c>
      <c r="F38" s="14">
        <v>6</v>
      </c>
      <c r="G38" s="14">
        <v>2</v>
      </c>
      <c r="H38" s="14">
        <v>81518</v>
      </c>
      <c r="I38" s="14" t="s">
        <v>28</v>
      </c>
      <c r="J38" s="14">
        <v>16413491</v>
      </c>
      <c r="K38" s="14" t="s">
        <v>513</v>
      </c>
      <c r="L38" s="27" t="s">
        <v>514</v>
      </c>
      <c r="M38" s="28">
        <v>149900</v>
      </c>
      <c r="N38" s="8">
        <v>0.75</v>
      </c>
      <c r="O38" s="12">
        <f t="shared" si="2"/>
        <v>37475</v>
      </c>
      <c r="P38" s="10" t="s">
        <v>20</v>
      </c>
    </row>
    <row r="39" spans="1:16">
      <c r="A39" s="14" t="s">
        <v>440</v>
      </c>
      <c r="B39" s="5">
        <v>46099</v>
      </c>
      <c r="C39" s="5">
        <v>46113</v>
      </c>
      <c r="D39" s="14">
        <v>3296</v>
      </c>
      <c r="E39" s="14">
        <v>342</v>
      </c>
      <c r="F39" s="14">
        <v>6</v>
      </c>
      <c r="G39" s="14">
        <v>2</v>
      </c>
      <c r="H39" s="14">
        <v>81375</v>
      </c>
      <c r="I39" s="14" t="s">
        <v>28</v>
      </c>
      <c r="J39" s="14">
        <v>16413508</v>
      </c>
      <c r="K39" s="14" t="s">
        <v>515</v>
      </c>
      <c r="L39" s="27" t="s">
        <v>516</v>
      </c>
      <c r="M39" s="28">
        <v>119900</v>
      </c>
      <c r="N39" s="8">
        <v>0.75</v>
      </c>
      <c r="O39" s="12">
        <f t="shared" si="2"/>
        <v>29975</v>
      </c>
      <c r="P39" s="10" t="s">
        <v>20</v>
      </c>
    </row>
    <row r="40" spans="1:16">
      <c r="A40" s="14" t="s">
        <v>440</v>
      </c>
      <c r="B40" s="5">
        <v>46099</v>
      </c>
      <c r="C40" s="5">
        <v>46113</v>
      </c>
      <c r="D40" s="14">
        <v>3296</v>
      </c>
      <c r="E40" s="14">
        <v>342</v>
      </c>
      <c r="F40" s="14">
        <v>6</v>
      </c>
      <c r="G40" s="14">
        <v>2</v>
      </c>
      <c r="H40" s="14">
        <v>81518</v>
      </c>
      <c r="I40" s="14" t="s">
        <v>28</v>
      </c>
      <c r="J40" s="14">
        <v>16670721</v>
      </c>
      <c r="K40" s="14" t="s">
        <v>517</v>
      </c>
      <c r="L40" s="27" t="s">
        <v>518</v>
      </c>
      <c r="M40" s="28">
        <v>159900</v>
      </c>
      <c r="N40" s="8">
        <v>0.75</v>
      </c>
      <c r="O40" s="12">
        <f t="shared" si="2"/>
        <v>39975</v>
      </c>
      <c r="P40" s="10" t="s">
        <v>20</v>
      </c>
    </row>
    <row r="41" spans="1:16">
      <c r="A41" s="14" t="s">
        <v>440</v>
      </c>
      <c r="B41" s="5">
        <v>46099</v>
      </c>
      <c r="C41" s="5">
        <v>46113</v>
      </c>
      <c r="D41" s="14">
        <v>3296</v>
      </c>
      <c r="E41" s="14">
        <v>342</v>
      </c>
      <c r="F41" s="14">
        <v>6</v>
      </c>
      <c r="G41" s="14">
        <v>2</v>
      </c>
      <c r="H41" s="14">
        <v>81518</v>
      </c>
      <c r="I41" s="14" t="s">
        <v>28</v>
      </c>
      <c r="J41" s="14">
        <v>16670730</v>
      </c>
      <c r="K41" s="14" t="s">
        <v>519</v>
      </c>
      <c r="L41" s="27" t="s">
        <v>520</v>
      </c>
      <c r="M41" s="28">
        <v>159900</v>
      </c>
      <c r="N41" s="8">
        <v>0.75</v>
      </c>
      <c r="O41" s="12">
        <f t="shared" si="2"/>
        <v>39975</v>
      </c>
      <c r="P41" s="10" t="s">
        <v>20</v>
      </c>
    </row>
    <row r="42" spans="1:16">
      <c r="A42" s="14" t="s">
        <v>440</v>
      </c>
      <c r="B42" s="5">
        <v>46099</v>
      </c>
      <c r="C42" s="5">
        <v>46113</v>
      </c>
      <c r="D42" s="14">
        <v>3296</v>
      </c>
      <c r="E42" s="14">
        <v>342</v>
      </c>
      <c r="F42" s="14">
        <v>6</v>
      </c>
      <c r="G42" s="14">
        <v>2</v>
      </c>
      <c r="H42" s="14">
        <v>81518</v>
      </c>
      <c r="I42" s="14" t="s">
        <v>28</v>
      </c>
      <c r="J42" s="14">
        <v>16670776</v>
      </c>
      <c r="K42" s="14" t="s">
        <v>521</v>
      </c>
      <c r="L42" s="27" t="s">
        <v>522</v>
      </c>
      <c r="M42" s="28">
        <v>159900</v>
      </c>
      <c r="N42" s="8">
        <v>0.75</v>
      </c>
      <c r="O42" s="12">
        <f t="shared" si="2"/>
        <v>39975</v>
      </c>
      <c r="P42" s="10" t="s">
        <v>20</v>
      </c>
    </row>
    <row r="43" spans="1:16">
      <c r="A43" s="14" t="s">
        <v>440</v>
      </c>
      <c r="B43" s="5">
        <v>46099</v>
      </c>
      <c r="C43" s="5">
        <v>46113</v>
      </c>
      <c r="D43" s="14">
        <v>3296</v>
      </c>
      <c r="E43" s="14">
        <v>342</v>
      </c>
      <c r="F43" s="14">
        <v>6</v>
      </c>
      <c r="G43" s="14">
        <v>2</v>
      </c>
      <c r="H43" s="14">
        <v>81518</v>
      </c>
      <c r="I43" s="14" t="s">
        <v>28</v>
      </c>
      <c r="J43" s="14">
        <v>83707762</v>
      </c>
      <c r="K43" s="14" t="s">
        <v>523</v>
      </c>
      <c r="L43" s="27" t="s">
        <v>524</v>
      </c>
      <c r="M43" s="28">
        <v>149900</v>
      </c>
      <c r="N43" s="8">
        <v>0.75</v>
      </c>
      <c r="O43" s="12">
        <f t="shared" si="2"/>
        <v>37475</v>
      </c>
      <c r="P43" s="10" t="s">
        <v>20</v>
      </c>
    </row>
    <row r="44" spans="1:16">
      <c r="A44" s="14" t="s">
        <v>440</v>
      </c>
      <c r="B44" s="5">
        <v>46099</v>
      </c>
      <c r="C44" s="5">
        <v>46113</v>
      </c>
      <c r="D44" s="14">
        <v>3296</v>
      </c>
      <c r="E44" s="14">
        <v>342</v>
      </c>
      <c r="F44" s="14">
        <v>6</v>
      </c>
      <c r="G44" s="14">
        <v>2</v>
      </c>
      <c r="H44" s="14">
        <v>81375</v>
      </c>
      <c r="I44" s="14" t="s">
        <v>28</v>
      </c>
      <c r="J44" s="14">
        <v>16670696</v>
      </c>
      <c r="K44" s="14" t="s">
        <v>525</v>
      </c>
      <c r="L44" s="27" t="s">
        <v>526</v>
      </c>
      <c r="M44" s="28">
        <v>99900</v>
      </c>
      <c r="N44" s="8">
        <v>0.75</v>
      </c>
      <c r="O44" s="12">
        <f t="shared" si="2"/>
        <v>24975</v>
      </c>
      <c r="P44" s="10" t="s">
        <v>20</v>
      </c>
    </row>
    <row r="45" spans="1:16">
      <c r="A45" s="14" t="s">
        <v>440</v>
      </c>
      <c r="B45" s="5">
        <v>46099</v>
      </c>
      <c r="C45" s="5">
        <v>46113</v>
      </c>
      <c r="D45" s="14">
        <v>3296</v>
      </c>
      <c r="E45" s="14">
        <v>342</v>
      </c>
      <c r="F45" s="14">
        <v>6</v>
      </c>
      <c r="G45" s="14">
        <v>2</v>
      </c>
      <c r="H45" s="14">
        <v>81375</v>
      </c>
      <c r="I45" s="14" t="s">
        <v>28</v>
      </c>
      <c r="J45" s="14">
        <v>16670703</v>
      </c>
      <c r="K45" s="14" t="s">
        <v>527</v>
      </c>
      <c r="L45" s="27" t="s">
        <v>528</v>
      </c>
      <c r="M45" s="28">
        <v>99900</v>
      </c>
      <c r="N45" s="8">
        <v>0.75</v>
      </c>
      <c r="O45" s="12">
        <f t="shared" si="2"/>
        <v>24975</v>
      </c>
      <c r="P45" s="10" t="s">
        <v>20</v>
      </c>
    </row>
    <row r="46" spans="1:16">
      <c r="A46" s="14" t="s">
        <v>440</v>
      </c>
      <c r="B46" s="5">
        <v>46099</v>
      </c>
      <c r="C46" s="5">
        <v>46113</v>
      </c>
      <c r="D46" s="14">
        <v>3296</v>
      </c>
      <c r="E46" s="14">
        <v>342</v>
      </c>
      <c r="F46" s="14">
        <v>6</v>
      </c>
      <c r="G46" s="14">
        <v>2</v>
      </c>
      <c r="H46" s="14">
        <v>81375</v>
      </c>
      <c r="I46" s="14" t="s">
        <v>28</v>
      </c>
      <c r="J46" s="14">
        <v>16670712</v>
      </c>
      <c r="K46" s="14" t="s">
        <v>529</v>
      </c>
      <c r="L46" s="27" t="s">
        <v>530</v>
      </c>
      <c r="M46" s="28">
        <v>119900</v>
      </c>
      <c r="N46" s="8">
        <v>0.75</v>
      </c>
      <c r="O46" s="12">
        <f t="shared" si="2"/>
        <v>29975</v>
      </c>
      <c r="P46" s="10" t="s">
        <v>20</v>
      </c>
    </row>
    <row r="47" spans="1:16">
      <c r="A47" s="14" t="s">
        <v>440</v>
      </c>
      <c r="B47" s="5">
        <v>46099</v>
      </c>
      <c r="C47" s="5">
        <v>46113</v>
      </c>
      <c r="D47" s="14">
        <v>3296</v>
      </c>
      <c r="E47" s="14">
        <v>342</v>
      </c>
      <c r="F47" s="14">
        <v>6</v>
      </c>
      <c r="G47" s="14">
        <v>2</v>
      </c>
      <c r="H47" s="14">
        <v>81375</v>
      </c>
      <c r="I47" s="14" t="s">
        <v>28</v>
      </c>
      <c r="J47" s="14">
        <v>16670829</v>
      </c>
      <c r="K47" s="14" t="s">
        <v>531</v>
      </c>
      <c r="L47" s="27" t="s">
        <v>532</v>
      </c>
      <c r="M47" s="28">
        <v>119900</v>
      </c>
      <c r="N47" s="8">
        <v>0.75</v>
      </c>
      <c r="O47" s="12">
        <f t="shared" si="2"/>
        <v>29975</v>
      </c>
      <c r="P47" s="10" t="s">
        <v>20</v>
      </c>
    </row>
    <row r="48" spans="1:16">
      <c r="A48" s="14" t="s">
        <v>440</v>
      </c>
      <c r="B48" s="5">
        <v>46099</v>
      </c>
      <c r="C48" s="5">
        <v>46113</v>
      </c>
      <c r="D48" s="14">
        <v>3296</v>
      </c>
      <c r="E48" s="14">
        <v>342</v>
      </c>
      <c r="F48" s="14">
        <v>6</v>
      </c>
      <c r="G48" s="14">
        <v>2</v>
      </c>
      <c r="H48" s="14">
        <v>81375</v>
      </c>
      <c r="I48" s="14" t="s">
        <v>28</v>
      </c>
      <c r="J48" s="14">
        <v>16670838</v>
      </c>
      <c r="K48" s="14" t="s">
        <v>533</v>
      </c>
      <c r="L48" s="27" t="s">
        <v>534</v>
      </c>
      <c r="M48" s="28">
        <v>139900</v>
      </c>
      <c r="N48" s="8">
        <v>0.75</v>
      </c>
      <c r="O48" s="12">
        <f t="shared" si="2"/>
        <v>34975</v>
      </c>
      <c r="P48" s="10" t="s">
        <v>20</v>
      </c>
    </row>
    <row r="49" spans="1:16">
      <c r="A49" s="14" t="s">
        <v>440</v>
      </c>
      <c r="B49" s="5">
        <v>46099</v>
      </c>
      <c r="C49" s="5">
        <v>46113</v>
      </c>
      <c r="D49" s="14">
        <v>3296</v>
      </c>
      <c r="E49" s="14">
        <v>342</v>
      </c>
      <c r="F49" s="14">
        <v>6</v>
      </c>
      <c r="G49" s="14">
        <v>2</v>
      </c>
      <c r="H49" s="14">
        <v>81375</v>
      </c>
      <c r="I49" s="14" t="s">
        <v>28</v>
      </c>
      <c r="J49" s="14">
        <v>16670847</v>
      </c>
      <c r="K49" s="14" t="s">
        <v>535</v>
      </c>
      <c r="L49" s="27" t="s">
        <v>536</v>
      </c>
      <c r="M49" s="28">
        <v>139900</v>
      </c>
      <c r="N49" s="8">
        <v>0.75</v>
      </c>
      <c r="O49" s="12">
        <f t="shared" si="2"/>
        <v>34975</v>
      </c>
      <c r="P49" s="10" t="s">
        <v>20</v>
      </c>
    </row>
    <row r="50" spans="1:16">
      <c r="A50" s="14" t="s">
        <v>440</v>
      </c>
      <c r="B50" s="5">
        <v>46099</v>
      </c>
      <c r="C50" s="5">
        <v>46113</v>
      </c>
      <c r="D50" s="14">
        <v>3296</v>
      </c>
      <c r="E50" s="14">
        <v>342</v>
      </c>
      <c r="F50" s="14">
        <v>6</v>
      </c>
      <c r="G50" s="14">
        <v>2</v>
      </c>
      <c r="H50" s="14">
        <v>81375</v>
      </c>
      <c r="I50" s="14" t="s">
        <v>28</v>
      </c>
      <c r="J50" s="14">
        <v>16670856</v>
      </c>
      <c r="K50" s="14" t="s">
        <v>537</v>
      </c>
      <c r="L50" s="27" t="s">
        <v>538</v>
      </c>
      <c r="M50" s="28">
        <v>119900</v>
      </c>
      <c r="N50" s="8">
        <v>0.75</v>
      </c>
      <c r="O50" s="12">
        <f t="shared" si="2"/>
        <v>29975</v>
      </c>
      <c r="P50" s="10" t="s">
        <v>20</v>
      </c>
    </row>
  </sheetData>
  <conditionalFormatting sqref="J2:J50">
    <cfRule type="duplicateValues" dxfId="0" priority="1"/>
    <cfRule type="duplicateValues" dxfId="1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zoomScale="55" zoomScaleNormal="55" workbookViewId="0">
      <selection activeCell="N3" sqref="N3:N27"/>
    </sheetView>
  </sheetViews>
  <sheetFormatPr defaultColWidth="8.81818181818182" defaultRowHeight="14.5"/>
  <cols>
    <col min="1" max="1" width="17.5454545454545" customWidth="1"/>
    <col min="2" max="2" width="14.0909090909091" customWidth="1"/>
    <col min="3" max="3" width="13.0909090909091" customWidth="1"/>
    <col min="4" max="4" width="8.45454545454546" customWidth="1"/>
    <col min="5" max="5" width="13.0909090909091" customWidth="1"/>
    <col min="6" max="6" width="8.81818181818182" customWidth="1"/>
    <col min="7" max="7" width="11.6363636363636" customWidth="1"/>
    <col min="8" max="8" width="12.8181818181818" customWidth="1"/>
    <col min="9" max="9" width="24.8181818181818" customWidth="1"/>
    <col min="10" max="10" width="14.6363636363636" customWidth="1"/>
    <col min="11" max="11" width="16.6363636363636" customWidth="1"/>
    <col min="12" max="12" width="38.5090909090909" customWidth="1"/>
    <col min="13" max="13" width="15.4545454545455" customWidth="1"/>
    <col min="14" max="14" width="14.8181818181818" customWidth="1"/>
    <col min="15" max="15" width="14.0909090909091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539</v>
      </c>
      <c r="B2" s="5">
        <v>46099</v>
      </c>
      <c r="C2" s="5">
        <v>46113</v>
      </c>
      <c r="D2" s="13">
        <v>3296</v>
      </c>
      <c r="E2" s="13">
        <v>342</v>
      </c>
      <c r="F2" s="13">
        <v>6</v>
      </c>
      <c r="G2" s="13">
        <v>2</v>
      </c>
      <c r="H2" s="13">
        <v>81518</v>
      </c>
      <c r="I2" s="13" t="s">
        <v>28</v>
      </c>
      <c r="J2" s="14">
        <v>45448953</v>
      </c>
      <c r="K2" s="13" t="s">
        <v>540</v>
      </c>
      <c r="L2" s="15" t="s">
        <v>541</v>
      </c>
      <c r="M2" s="16">
        <v>99900</v>
      </c>
      <c r="N2" s="8">
        <v>0.75</v>
      </c>
      <c r="O2" s="12">
        <f t="shared" ref="O2:O27" si="0">M2*(1-N2)</f>
        <v>24975</v>
      </c>
      <c r="P2" s="10" t="s">
        <v>20</v>
      </c>
    </row>
    <row r="3" spans="1:16">
      <c r="A3" s="4" t="s">
        <v>539</v>
      </c>
      <c r="B3" s="5">
        <v>46099</v>
      </c>
      <c r="C3" s="5">
        <v>46113</v>
      </c>
      <c r="D3" s="13">
        <v>3296</v>
      </c>
      <c r="E3" s="13">
        <v>342</v>
      </c>
      <c r="F3" s="13">
        <v>6</v>
      </c>
      <c r="G3" s="13">
        <v>2</v>
      </c>
      <c r="H3" s="13">
        <v>81518</v>
      </c>
      <c r="I3" s="13" t="s">
        <v>28</v>
      </c>
      <c r="J3" s="14">
        <v>45448962</v>
      </c>
      <c r="K3" s="13" t="s">
        <v>542</v>
      </c>
      <c r="L3" s="15" t="s">
        <v>543</v>
      </c>
      <c r="M3" s="16">
        <v>99900</v>
      </c>
      <c r="N3" s="8">
        <v>0.75</v>
      </c>
      <c r="O3" s="12">
        <f t="shared" si="0"/>
        <v>24975</v>
      </c>
      <c r="P3" s="10" t="s">
        <v>20</v>
      </c>
    </row>
    <row r="4" spans="1:16">
      <c r="A4" s="4" t="s">
        <v>539</v>
      </c>
      <c r="B4" s="5">
        <v>46099</v>
      </c>
      <c r="C4" s="5">
        <v>46113</v>
      </c>
      <c r="D4" s="13">
        <v>3296</v>
      </c>
      <c r="E4" s="13">
        <v>342</v>
      </c>
      <c r="F4" s="13">
        <v>6</v>
      </c>
      <c r="G4" s="13">
        <v>2</v>
      </c>
      <c r="H4" s="13">
        <v>81518</v>
      </c>
      <c r="I4" s="13" t="s">
        <v>28</v>
      </c>
      <c r="J4" s="14">
        <v>45448971</v>
      </c>
      <c r="K4" s="13" t="s">
        <v>544</v>
      </c>
      <c r="L4" s="15" t="s">
        <v>545</v>
      </c>
      <c r="M4" s="16">
        <v>99900</v>
      </c>
      <c r="N4" s="8">
        <v>0.75</v>
      </c>
      <c r="O4" s="12">
        <f t="shared" si="0"/>
        <v>24975</v>
      </c>
      <c r="P4" s="10" t="s">
        <v>20</v>
      </c>
    </row>
    <row r="5" spans="1:16">
      <c r="A5" s="4" t="s">
        <v>539</v>
      </c>
      <c r="B5" s="5">
        <v>46099</v>
      </c>
      <c r="C5" s="5">
        <v>46113</v>
      </c>
      <c r="D5" s="13">
        <v>3296</v>
      </c>
      <c r="E5" s="13">
        <v>342</v>
      </c>
      <c r="F5" s="13">
        <v>6</v>
      </c>
      <c r="G5" s="13">
        <v>2</v>
      </c>
      <c r="H5" s="13">
        <v>81518</v>
      </c>
      <c r="I5" s="13" t="s">
        <v>28</v>
      </c>
      <c r="J5" s="14">
        <v>45448980</v>
      </c>
      <c r="K5" s="14" t="s">
        <v>546</v>
      </c>
      <c r="L5" s="15" t="s">
        <v>547</v>
      </c>
      <c r="M5" s="16">
        <v>99900</v>
      </c>
      <c r="N5" s="8">
        <v>0.75</v>
      </c>
      <c r="O5" s="12">
        <f t="shared" si="0"/>
        <v>24975</v>
      </c>
      <c r="P5" s="10" t="s">
        <v>20</v>
      </c>
    </row>
    <row r="6" spans="1:16">
      <c r="A6" s="4" t="s">
        <v>539</v>
      </c>
      <c r="B6" s="5">
        <v>46099</v>
      </c>
      <c r="C6" s="5">
        <v>46113</v>
      </c>
      <c r="D6" s="13">
        <v>3296</v>
      </c>
      <c r="E6" s="13">
        <v>342</v>
      </c>
      <c r="F6" s="13">
        <v>6</v>
      </c>
      <c r="G6" s="13">
        <v>2</v>
      </c>
      <c r="H6" s="13">
        <v>81518</v>
      </c>
      <c r="I6" s="13" t="s">
        <v>28</v>
      </c>
      <c r="J6" s="14">
        <v>45448999</v>
      </c>
      <c r="K6" s="14" t="s">
        <v>548</v>
      </c>
      <c r="L6" s="15" t="s">
        <v>549</v>
      </c>
      <c r="M6" s="16">
        <v>99900</v>
      </c>
      <c r="N6" s="8">
        <v>0.75</v>
      </c>
      <c r="O6" s="12">
        <f t="shared" si="0"/>
        <v>24975</v>
      </c>
      <c r="P6" s="10" t="s">
        <v>20</v>
      </c>
    </row>
    <row r="7" spans="1:16">
      <c r="A7" s="4" t="s">
        <v>539</v>
      </c>
      <c r="B7" s="5">
        <v>46099</v>
      </c>
      <c r="C7" s="5">
        <v>46113</v>
      </c>
      <c r="D7" s="13">
        <v>3296</v>
      </c>
      <c r="E7" s="13">
        <v>342</v>
      </c>
      <c r="F7" s="13">
        <v>6</v>
      </c>
      <c r="G7" s="13">
        <v>2</v>
      </c>
      <c r="H7" s="13">
        <v>81518</v>
      </c>
      <c r="I7" s="13" t="s">
        <v>28</v>
      </c>
      <c r="J7" s="14">
        <v>45449005</v>
      </c>
      <c r="K7" s="14" t="s">
        <v>550</v>
      </c>
      <c r="L7" s="15" t="s">
        <v>551</v>
      </c>
      <c r="M7" s="16">
        <v>99900</v>
      </c>
      <c r="N7" s="8">
        <v>0.75</v>
      </c>
      <c r="O7" s="12">
        <f t="shared" si="0"/>
        <v>24975</v>
      </c>
      <c r="P7" s="10" t="s">
        <v>20</v>
      </c>
    </row>
    <row r="8" spans="1:16">
      <c r="A8" s="4" t="s">
        <v>539</v>
      </c>
      <c r="B8" s="5">
        <v>46099</v>
      </c>
      <c r="C8" s="5">
        <v>46113</v>
      </c>
      <c r="D8" s="13">
        <v>3296</v>
      </c>
      <c r="E8" s="13">
        <v>342</v>
      </c>
      <c r="F8" s="13">
        <v>6</v>
      </c>
      <c r="G8" s="13">
        <v>1</v>
      </c>
      <c r="H8" s="13">
        <v>81375</v>
      </c>
      <c r="I8" s="13" t="s">
        <v>28</v>
      </c>
      <c r="J8" s="14" t="s">
        <v>552</v>
      </c>
      <c r="K8" s="17" t="s">
        <v>553</v>
      </c>
      <c r="L8" s="15" t="s">
        <v>554</v>
      </c>
      <c r="M8" s="16">
        <v>85900</v>
      </c>
      <c r="N8" s="8">
        <v>0.75</v>
      </c>
      <c r="O8" s="12">
        <f t="shared" si="0"/>
        <v>21475</v>
      </c>
      <c r="P8" s="10" t="s">
        <v>20</v>
      </c>
    </row>
    <row r="9" spans="1:16">
      <c r="A9" s="4" t="s">
        <v>539</v>
      </c>
      <c r="B9" s="5">
        <v>46099</v>
      </c>
      <c r="C9" s="5">
        <v>46113</v>
      </c>
      <c r="D9" s="13">
        <v>3296</v>
      </c>
      <c r="E9" s="13">
        <v>342</v>
      </c>
      <c r="F9" s="13">
        <v>6</v>
      </c>
      <c r="G9" s="13">
        <v>1</v>
      </c>
      <c r="H9" s="13">
        <v>81375</v>
      </c>
      <c r="I9" s="13" t="s">
        <v>28</v>
      </c>
      <c r="J9" s="14" t="s">
        <v>555</v>
      </c>
      <c r="K9" s="17" t="s">
        <v>556</v>
      </c>
      <c r="L9" s="15" t="s">
        <v>557</v>
      </c>
      <c r="M9" s="16">
        <v>85900</v>
      </c>
      <c r="N9" s="8">
        <v>0.75</v>
      </c>
      <c r="O9" s="12">
        <f t="shared" si="0"/>
        <v>21475</v>
      </c>
      <c r="P9" s="10" t="s">
        <v>20</v>
      </c>
    </row>
    <row r="10" spans="1:16">
      <c r="A10" s="4" t="s">
        <v>539</v>
      </c>
      <c r="B10" s="5">
        <v>46099</v>
      </c>
      <c r="C10" s="5">
        <v>46113</v>
      </c>
      <c r="D10" s="13">
        <v>3296</v>
      </c>
      <c r="E10" s="13">
        <v>342</v>
      </c>
      <c r="F10" s="13">
        <v>6</v>
      </c>
      <c r="G10" s="13">
        <v>1</v>
      </c>
      <c r="H10" s="13">
        <v>81375</v>
      </c>
      <c r="I10" s="13" t="s">
        <v>28</v>
      </c>
      <c r="J10" s="14" t="s">
        <v>558</v>
      </c>
      <c r="K10" s="17" t="s">
        <v>559</v>
      </c>
      <c r="L10" s="15" t="s">
        <v>560</v>
      </c>
      <c r="M10" s="16">
        <v>85900</v>
      </c>
      <c r="N10" s="8">
        <v>0.75</v>
      </c>
      <c r="O10" s="12">
        <f t="shared" si="0"/>
        <v>21475</v>
      </c>
      <c r="P10" s="10" t="s">
        <v>20</v>
      </c>
    </row>
    <row r="11" spans="1:16">
      <c r="A11" s="4" t="s">
        <v>539</v>
      </c>
      <c r="B11" s="5">
        <v>46099</v>
      </c>
      <c r="C11" s="5">
        <v>46113</v>
      </c>
      <c r="D11" s="13">
        <v>3296</v>
      </c>
      <c r="E11" s="13">
        <v>342</v>
      </c>
      <c r="F11" s="13">
        <v>6</v>
      </c>
      <c r="G11" s="13">
        <v>1</v>
      </c>
      <c r="H11" s="13">
        <v>81375</v>
      </c>
      <c r="I11" s="13" t="s">
        <v>28</v>
      </c>
      <c r="J11" s="14" t="s">
        <v>561</v>
      </c>
      <c r="K11" s="17" t="s">
        <v>562</v>
      </c>
      <c r="L11" s="4" t="s">
        <v>563</v>
      </c>
      <c r="M11" s="16">
        <v>85900</v>
      </c>
      <c r="N11" s="8">
        <v>0.75</v>
      </c>
      <c r="O11" s="12">
        <f t="shared" si="0"/>
        <v>21475</v>
      </c>
      <c r="P11" s="10" t="s">
        <v>20</v>
      </c>
    </row>
    <row r="12" spans="1:16">
      <c r="A12" s="4" t="s">
        <v>539</v>
      </c>
      <c r="B12" s="5">
        <v>46099</v>
      </c>
      <c r="C12" s="5">
        <v>46113</v>
      </c>
      <c r="D12" s="13">
        <v>3296</v>
      </c>
      <c r="E12" s="13">
        <v>342</v>
      </c>
      <c r="F12" s="13">
        <v>6</v>
      </c>
      <c r="G12" s="13">
        <v>1</v>
      </c>
      <c r="H12" s="13">
        <v>81375</v>
      </c>
      <c r="I12" s="13" t="s">
        <v>28</v>
      </c>
      <c r="J12" s="14" t="s">
        <v>564</v>
      </c>
      <c r="K12" s="17" t="s">
        <v>565</v>
      </c>
      <c r="L12" s="4" t="s">
        <v>566</v>
      </c>
      <c r="M12" s="16">
        <v>92900</v>
      </c>
      <c r="N12" s="8">
        <v>0.75</v>
      </c>
      <c r="O12" s="12">
        <f t="shared" si="0"/>
        <v>23225</v>
      </c>
      <c r="P12" s="10" t="s">
        <v>20</v>
      </c>
    </row>
    <row r="13" spans="1:16">
      <c r="A13" s="4" t="s">
        <v>539</v>
      </c>
      <c r="B13" s="5">
        <v>46099</v>
      </c>
      <c r="C13" s="5">
        <v>46113</v>
      </c>
      <c r="D13" s="13">
        <v>3296</v>
      </c>
      <c r="E13" s="13">
        <v>342</v>
      </c>
      <c r="F13" s="13">
        <v>6</v>
      </c>
      <c r="G13" s="13">
        <v>1</v>
      </c>
      <c r="H13" s="13">
        <v>81375</v>
      </c>
      <c r="I13" s="13" t="s">
        <v>28</v>
      </c>
      <c r="J13" s="14" t="s">
        <v>567</v>
      </c>
      <c r="K13" s="17" t="s">
        <v>568</v>
      </c>
      <c r="L13" s="4" t="s">
        <v>569</v>
      </c>
      <c r="M13" s="16">
        <v>92900</v>
      </c>
      <c r="N13" s="8">
        <v>0.75</v>
      </c>
      <c r="O13" s="12">
        <f t="shared" si="0"/>
        <v>23225</v>
      </c>
      <c r="P13" s="10" t="s">
        <v>20</v>
      </c>
    </row>
    <row r="14" spans="1:16">
      <c r="A14" s="4" t="s">
        <v>539</v>
      </c>
      <c r="B14" s="5">
        <v>46099</v>
      </c>
      <c r="C14" s="5">
        <v>46113</v>
      </c>
      <c r="D14" s="13">
        <v>3296</v>
      </c>
      <c r="E14" s="13">
        <v>342</v>
      </c>
      <c r="F14" s="13">
        <v>6</v>
      </c>
      <c r="G14" s="13">
        <v>1</v>
      </c>
      <c r="H14" s="13">
        <v>81375</v>
      </c>
      <c r="I14" s="13" t="s">
        <v>28</v>
      </c>
      <c r="J14" s="14" t="s">
        <v>570</v>
      </c>
      <c r="K14" s="17" t="s">
        <v>571</v>
      </c>
      <c r="L14" s="4" t="s">
        <v>572</v>
      </c>
      <c r="M14" s="16">
        <v>92900</v>
      </c>
      <c r="N14" s="8">
        <v>0.75</v>
      </c>
      <c r="O14" s="12">
        <f t="shared" si="0"/>
        <v>23225</v>
      </c>
      <c r="P14" s="10" t="s">
        <v>20</v>
      </c>
    </row>
    <row r="15" spans="1:16">
      <c r="A15" s="4" t="s">
        <v>539</v>
      </c>
      <c r="B15" s="5">
        <v>46099</v>
      </c>
      <c r="C15" s="5">
        <v>46113</v>
      </c>
      <c r="D15" s="13">
        <v>3296</v>
      </c>
      <c r="E15" s="13">
        <v>342</v>
      </c>
      <c r="F15" s="13">
        <v>6</v>
      </c>
      <c r="G15" s="13">
        <v>1</v>
      </c>
      <c r="H15" s="13">
        <v>81375</v>
      </c>
      <c r="I15" s="13" t="s">
        <v>28</v>
      </c>
      <c r="J15" s="14" t="s">
        <v>573</v>
      </c>
      <c r="K15" s="17" t="s">
        <v>574</v>
      </c>
      <c r="L15" s="4" t="s">
        <v>575</v>
      </c>
      <c r="M15" s="16">
        <v>80900</v>
      </c>
      <c r="N15" s="8">
        <v>0.75</v>
      </c>
      <c r="O15" s="12">
        <f t="shared" si="0"/>
        <v>20225</v>
      </c>
      <c r="P15" s="10" t="s">
        <v>20</v>
      </c>
    </row>
    <row r="16" spans="1:16">
      <c r="A16" s="4" t="s">
        <v>539</v>
      </c>
      <c r="B16" s="5">
        <v>46099</v>
      </c>
      <c r="C16" s="5">
        <v>46113</v>
      </c>
      <c r="D16" s="13">
        <v>3296</v>
      </c>
      <c r="E16" s="13">
        <v>342</v>
      </c>
      <c r="F16" s="13">
        <v>6</v>
      </c>
      <c r="G16" s="13">
        <v>1</v>
      </c>
      <c r="H16" s="13">
        <v>81375</v>
      </c>
      <c r="I16" s="13" t="s">
        <v>28</v>
      </c>
      <c r="J16" s="14" t="s">
        <v>576</v>
      </c>
      <c r="K16" s="17" t="s">
        <v>577</v>
      </c>
      <c r="L16" s="4" t="s">
        <v>578</v>
      </c>
      <c r="M16" s="16">
        <v>80900</v>
      </c>
      <c r="N16" s="8">
        <v>0.75</v>
      </c>
      <c r="O16" s="12">
        <f t="shared" si="0"/>
        <v>20225</v>
      </c>
      <c r="P16" s="10" t="s">
        <v>20</v>
      </c>
    </row>
    <row r="17" spans="1:16">
      <c r="A17" s="4" t="s">
        <v>539</v>
      </c>
      <c r="B17" s="5">
        <v>46099</v>
      </c>
      <c r="C17" s="5">
        <v>46113</v>
      </c>
      <c r="D17" s="13">
        <v>3296</v>
      </c>
      <c r="E17" s="13">
        <v>342</v>
      </c>
      <c r="F17" s="13">
        <v>6</v>
      </c>
      <c r="G17" s="13">
        <v>1</v>
      </c>
      <c r="H17" s="13">
        <v>81375</v>
      </c>
      <c r="I17" s="13" t="s">
        <v>28</v>
      </c>
      <c r="J17" s="14" t="s">
        <v>579</v>
      </c>
      <c r="K17" s="17" t="s">
        <v>580</v>
      </c>
      <c r="L17" s="4" t="s">
        <v>581</v>
      </c>
      <c r="M17" s="16">
        <v>80900</v>
      </c>
      <c r="N17" s="8">
        <v>0.75</v>
      </c>
      <c r="O17" s="12">
        <f t="shared" si="0"/>
        <v>20225</v>
      </c>
      <c r="P17" s="10" t="s">
        <v>20</v>
      </c>
    </row>
    <row r="18" spans="1:16">
      <c r="A18" s="4" t="s">
        <v>539</v>
      </c>
      <c r="B18" s="5">
        <v>46099</v>
      </c>
      <c r="C18" s="5">
        <v>46113</v>
      </c>
      <c r="D18" s="13">
        <v>3296</v>
      </c>
      <c r="E18" s="13">
        <v>342</v>
      </c>
      <c r="F18" s="13">
        <v>6</v>
      </c>
      <c r="G18" s="13">
        <v>1</v>
      </c>
      <c r="H18" s="13">
        <v>81375</v>
      </c>
      <c r="I18" s="13" t="s">
        <v>28</v>
      </c>
      <c r="J18" s="14" t="s">
        <v>582</v>
      </c>
      <c r="K18" s="17" t="s">
        <v>583</v>
      </c>
      <c r="L18" s="4" t="s">
        <v>584</v>
      </c>
      <c r="M18" s="16">
        <v>80900</v>
      </c>
      <c r="N18" s="8">
        <v>0.75</v>
      </c>
      <c r="O18" s="12">
        <f t="shared" si="0"/>
        <v>20225</v>
      </c>
      <c r="P18" s="10" t="s">
        <v>20</v>
      </c>
    </row>
    <row r="19" spans="1:16">
      <c r="A19" s="4" t="s">
        <v>539</v>
      </c>
      <c r="B19" s="5">
        <v>46099</v>
      </c>
      <c r="C19" s="5">
        <v>46113</v>
      </c>
      <c r="D19" s="13">
        <v>3296</v>
      </c>
      <c r="E19" s="13">
        <v>342</v>
      </c>
      <c r="F19" s="13">
        <v>6</v>
      </c>
      <c r="G19" s="13">
        <v>1</v>
      </c>
      <c r="H19" s="13">
        <v>81375</v>
      </c>
      <c r="I19" s="13" t="s">
        <v>28</v>
      </c>
      <c r="J19" s="14" t="s">
        <v>585</v>
      </c>
      <c r="K19" s="17" t="s">
        <v>586</v>
      </c>
      <c r="L19" s="4" t="s">
        <v>587</v>
      </c>
      <c r="M19" s="16">
        <v>54900</v>
      </c>
      <c r="N19" s="8">
        <v>0.75</v>
      </c>
      <c r="O19" s="12">
        <f t="shared" si="0"/>
        <v>13725</v>
      </c>
      <c r="P19" s="10" t="s">
        <v>20</v>
      </c>
    </row>
    <row r="20" spans="1:16">
      <c r="A20" s="4" t="s">
        <v>539</v>
      </c>
      <c r="B20" s="5">
        <v>46099</v>
      </c>
      <c r="C20" s="5">
        <v>46113</v>
      </c>
      <c r="D20" s="13">
        <v>3296</v>
      </c>
      <c r="E20" s="13">
        <v>342</v>
      </c>
      <c r="F20" s="13">
        <v>6</v>
      </c>
      <c r="G20" s="13">
        <v>1</v>
      </c>
      <c r="H20" s="13">
        <v>81375</v>
      </c>
      <c r="I20" s="13" t="s">
        <v>28</v>
      </c>
      <c r="J20" s="14" t="s">
        <v>588</v>
      </c>
      <c r="K20" s="17" t="s">
        <v>589</v>
      </c>
      <c r="L20" s="4" t="s">
        <v>590</v>
      </c>
      <c r="M20" s="16">
        <v>54900</v>
      </c>
      <c r="N20" s="8">
        <v>0.75</v>
      </c>
      <c r="O20" s="12">
        <f t="shared" si="0"/>
        <v>13725</v>
      </c>
      <c r="P20" s="10" t="s">
        <v>20</v>
      </c>
    </row>
    <row r="21" spans="1:16">
      <c r="A21" s="4" t="s">
        <v>539</v>
      </c>
      <c r="B21" s="5">
        <v>46099</v>
      </c>
      <c r="C21" s="5">
        <v>46113</v>
      </c>
      <c r="D21" s="13">
        <v>3296</v>
      </c>
      <c r="E21" s="13">
        <v>342</v>
      </c>
      <c r="F21" s="13">
        <v>6</v>
      </c>
      <c r="G21" s="13">
        <v>1</v>
      </c>
      <c r="H21" s="13">
        <v>81375</v>
      </c>
      <c r="I21" s="13" t="s">
        <v>28</v>
      </c>
      <c r="J21" s="14" t="s">
        <v>591</v>
      </c>
      <c r="K21" s="17" t="s">
        <v>592</v>
      </c>
      <c r="L21" s="4" t="s">
        <v>593</v>
      </c>
      <c r="M21" s="16">
        <v>54900</v>
      </c>
      <c r="N21" s="8">
        <v>0.75</v>
      </c>
      <c r="O21" s="12">
        <f t="shared" si="0"/>
        <v>13725</v>
      </c>
      <c r="P21" s="10" t="s">
        <v>20</v>
      </c>
    </row>
    <row r="22" spans="1:16">
      <c r="A22" s="4" t="s">
        <v>539</v>
      </c>
      <c r="B22" s="5">
        <v>46099</v>
      </c>
      <c r="C22" s="5">
        <v>46113</v>
      </c>
      <c r="D22" s="13">
        <v>3296</v>
      </c>
      <c r="E22" s="13">
        <v>342</v>
      </c>
      <c r="F22" s="13">
        <v>6</v>
      </c>
      <c r="G22" s="13">
        <v>1</v>
      </c>
      <c r="H22" s="13">
        <v>81375</v>
      </c>
      <c r="I22" s="13" t="s">
        <v>28</v>
      </c>
      <c r="J22" s="14" t="s">
        <v>594</v>
      </c>
      <c r="K22" s="17" t="s">
        <v>595</v>
      </c>
      <c r="L22" s="4" t="s">
        <v>596</v>
      </c>
      <c r="M22" s="16">
        <v>54900</v>
      </c>
      <c r="N22" s="8">
        <v>0.75</v>
      </c>
      <c r="O22" s="12">
        <f t="shared" si="0"/>
        <v>13725</v>
      </c>
      <c r="P22" s="10" t="s">
        <v>20</v>
      </c>
    </row>
    <row r="23" spans="1:16">
      <c r="A23" s="4" t="s">
        <v>539</v>
      </c>
      <c r="B23" s="5">
        <v>46099</v>
      </c>
      <c r="C23" s="5">
        <v>46113</v>
      </c>
      <c r="D23" s="13">
        <v>3296</v>
      </c>
      <c r="E23" s="13">
        <v>342</v>
      </c>
      <c r="F23" s="13">
        <v>6</v>
      </c>
      <c r="G23" s="13">
        <v>1</v>
      </c>
      <c r="H23" s="13">
        <v>81375</v>
      </c>
      <c r="I23" s="13" t="s">
        <v>28</v>
      </c>
      <c r="J23" s="14" t="s">
        <v>597</v>
      </c>
      <c r="K23" s="17" t="s">
        <v>598</v>
      </c>
      <c r="L23" s="4" t="s">
        <v>599</v>
      </c>
      <c r="M23" s="16">
        <v>54900</v>
      </c>
      <c r="N23" s="8">
        <v>0.75</v>
      </c>
      <c r="O23" s="12">
        <f t="shared" si="0"/>
        <v>13725</v>
      </c>
      <c r="P23" s="10" t="s">
        <v>20</v>
      </c>
    </row>
    <row r="24" spans="1:16">
      <c r="A24" s="4" t="s">
        <v>539</v>
      </c>
      <c r="B24" s="5">
        <v>46099</v>
      </c>
      <c r="C24" s="5">
        <v>46113</v>
      </c>
      <c r="D24" s="13">
        <v>3296</v>
      </c>
      <c r="E24" s="13">
        <v>342</v>
      </c>
      <c r="F24" s="13">
        <v>6</v>
      </c>
      <c r="G24" s="13">
        <v>2</v>
      </c>
      <c r="H24" s="13">
        <v>81471</v>
      </c>
      <c r="I24" s="13" t="s">
        <v>28</v>
      </c>
      <c r="J24" s="14">
        <v>51475279</v>
      </c>
      <c r="K24" s="14" t="s">
        <v>600</v>
      </c>
      <c r="L24" s="4" t="s">
        <v>601</v>
      </c>
      <c r="M24" s="18">
        <v>72000</v>
      </c>
      <c r="N24" s="8">
        <v>0.75</v>
      </c>
      <c r="O24" s="12">
        <f t="shared" si="0"/>
        <v>18000</v>
      </c>
      <c r="P24" s="10" t="s">
        <v>20</v>
      </c>
    </row>
    <row r="25" spans="1:16">
      <c r="A25" s="4" t="s">
        <v>539</v>
      </c>
      <c r="B25" s="5">
        <v>46099</v>
      </c>
      <c r="C25" s="5">
        <v>46113</v>
      </c>
      <c r="D25" s="13">
        <v>3296</v>
      </c>
      <c r="E25" s="13">
        <v>342</v>
      </c>
      <c r="F25" s="13">
        <v>6</v>
      </c>
      <c r="G25" s="13">
        <v>2</v>
      </c>
      <c r="H25" s="13">
        <v>81471</v>
      </c>
      <c r="I25" s="13" t="s">
        <v>28</v>
      </c>
      <c r="J25" s="14">
        <v>51475288</v>
      </c>
      <c r="K25" s="14" t="s">
        <v>602</v>
      </c>
      <c r="L25" s="4" t="s">
        <v>603</v>
      </c>
      <c r="M25" s="18">
        <v>74000</v>
      </c>
      <c r="N25" s="8">
        <v>0.75</v>
      </c>
      <c r="O25" s="12">
        <f t="shared" si="0"/>
        <v>18500</v>
      </c>
      <c r="P25" s="10" t="s">
        <v>20</v>
      </c>
    </row>
    <row r="26" spans="1:16">
      <c r="A26" s="4" t="s">
        <v>539</v>
      </c>
      <c r="B26" s="5">
        <v>46099</v>
      </c>
      <c r="C26" s="5">
        <v>46113</v>
      </c>
      <c r="D26" s="13">
        <v>3296</v>
      </c>
      <c r="E26" s="13">
        <v>342</v>
      </c>
      <c r="F26" s="13">
        <v>6</v>
      </c>
      <c r="G26" s="13">
        <v>2</v>
      </c>
      <c r="H26" s="13">
        <v>81471</v>
      </c>
      <c r="I26" s="13" t="s">
        <v>28</v>
      </c>
      <c r="J26" s="14">
        <v>51475297</v>
      </c>
      <c r="K26" s="14" t="s">
        <v>604</v>
      </c>
      <c r="L26" s="4" t="s">
        <v>605</v>
      </c>
      <c r="M26" s="18">
        <v>74000</v>
      </c>
      <c r="N26" s="8">
        <v>0.75</v>
      </c>
      <c r="O26" s="12">
        <f t="shared" si="0"/>
        <v>18500</v>
      </c>
      <c r="P26" s="10" t="s">
        <v>20</v>
      </c>
    </row>
    <row r="27" spans="1:16">
      <c r="A27" s="4" t="s">
        <v>539</v>
      </c>
      <c r="B27" s="5">
        <v>46099</v>
      </c>
      <c r="C27" s="5">
        <v>46113</v>
      </c>
      <c r="D27" s="13">
        <v>3296</v>
      </c>
      <c r="E27" s="13">
        <v>342</v>
      </c>
      <c r="F27" s="13">
        <v>6</v>
      </c>
      <c r="G27" s="13">
        <v>2</v>
      </c>
      <c r="H27" s="13">
        <v>81471</v>
      </c>
      <c r="I27" s="13" t="s">
        <v>28</v>
      </c>
      <c r="J27" s="14">
        <v>51475304</v>
      </c>
      <c r="K27" s="14" t="s">
        <v>606</v>
      </c>
      <c r="L27" s="4" t="s">
        <v>607</v>
      </c>
      <c r="M27" s="18">
        <v>74000</v>
      </c>
      <c r="N27" s="8">
        <v>0.75</v>
      </c>
      <c r="O27" s="12">
        <f t="shared" si="0"/>
        <v>18500</v>
      </c>
      <c r="P27" s="10" t="s">
        <v>20</v>
      </c>
    </row>
  </sheetData>
  <autoFilter xmlns:etc="http://www.wps.cn/officeDocument/2017/etCustomData" ref="A1:P2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55" zoomScaleNormal="55" workbookViewId="0">
      <selection activeCell="B10" sqref="B10:C10"/>
    </sheetView>
  </sheetViews>
  <sheetFormatPr defaultColWidth="8.81818181818182" defaultRowHeight="14.5"/>
  <cols>
    <col min="1" max="1" width="20.0909090909091" customWidth="1"/>
    <col min="2" max="2" width="14.0909090909091" customWidth="1"/>
    <col min="3" max="3" width="13.0909090909091" customWidth="1"/>
    <col min="4" max="4" width="8.45454545454546" customWidth="1"/>
    <col min="5" max="5" width="13.0909090909091" customWidth="1"/>
    <col min="6" max="6" width="8.81818181818182" customWidth="1"/>
    <col min="7" max="7" width="11.6363636363636" customWidth="1"/>
    <col min="8" max="8" width="12.8181818181818" customWidth="1"/>
    <col min="9" max="9" width="24.8181818181818" customWidth="1"/>
    <col min="10" max="10" width="14.6363636363636" customWidth="1"/>
    <col min="11" max="11" width="16.6363636363636" customWidth="1"/>
    <col min="12" max="12" width="71.5454545454545" customWidth="1"/>
    <col min="13" max="13" width="15.4545454545455" customWidth="1"/>
    <col min="14" max="14" width="14.8181818181818" customWidth="1"/>
    <col min="15" max="15" width="14.0909090909091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608</v>
      </c>
      <c r="B2" s="5">
        <v>46099</v>
      </c>
      <c r="C2" s="5">
        <v>46113</v>
      </c>
      <c r="D2" s="4">
        <v>3296</v>
      </c>
      <c r="E2" s="4">
        <v>342</v>
      </c>
      <c r="F2" s="4">
        <v>6</v>
      </c>
      <c r="G2" s="4">
        <v>2</v>
      </c>
      <c r="H2" s="4">
        <v>81836</v>
      </c>
      <c r="I2" s="4" t="s">
        <v>28</v>
      </c>
      <c r="J2" s="4">
        <v>54509512</v>
      </c>
      <c r="K2" s="4" t="s">
        <v>609</v>
      </c>
      <c r="L2" s="4" t="s">
        <v>610</v>
      </c>
      <c r="M2" s="7">
        <v>90000</v>
      </c>
      <c r="N2" s="8" t="s">
        <v>611</v>
      </c>
      <c r="O2" s="12" t="s">
        <v>612</v>
      </c>
      <c r="P2" s="10" t="s">
        <v>611</v>
      </c>
    </row>
    <row r="3" spans="1:16">
      <c r="A3" s="4" t="s">
        <v>608</v>
      </c>
      <c r="B3" s="5">
        <v>46099</v>
      </c>
      <c r="C3" s="5">
        <v>46113</v>
      </c>
      <c r="D3" s="4">
        <v>3296</v>
      </c>
      <c r="E3" s="4">
        <v>342</v>
      </c>
      <c r="F3" s="4">
        <v>6</v>
      </c>
      <c r="G3" s="4">
        <v>2</v>
      </c>
      <c r="H3" s="4">
        <v>81836</v>
      </c>
      <c r="I3" s="4" t="s">
        <v>28</v>
      </c>
      <c r="J3" s="4">
        <v>54509521</v>
      </c>
      <c r="K3" s="4" t="s">
        <v>609</v>
      </c>
      <c r="L3" s="4" t="s">
        <v>613</v>
      </c>
      <c r="M3" s="7">
        <v>90000</v>
      </c>
      <c r="N3" s="8" t="s">
        <v>611</v>
      </c>
      <c r="O3" s="12" t="s">
        <v>612</v>
      </c>
      <c r="P3" s="10" t="s">
        <v>611</v>
      </c>
    </row>
    <row r="4" spans="1:16">
      <c r="A4" s="4" t="s">
        <v>608</v>
      </c>
      <c r="B4" s="5">
        <v>46099</v>
      </c>
      <c r="C4" s="5">
        <v>46113</v>
      </c>
      <c r="D4" s="4">
        <v>3296</v>
      </c>
      <c r="E4" s="4">
        <v>342</v>
      </c>
      <c r="F4" s="4">
        <v>6</v>
      </c>
      <c r="G4" s="4">
        <v>2</v>
      </c>
      <c r="H4" s="4">
        <v>81836</v>
      </c>
      <c r="I4" s="4" t="s">
        <v>28</v>
      </c>
      <c r="J4" s="4">
        <v>54509530</v>
      </c>
      <c r="K4" s="4" t="s">
        <v>609</v>
      </c>
      <c r="L4" s="4" t="s">
        <v>614</v>
      </c>
      <c r="M4" s="7">
        <v>90000</v>
      </c>
      <c r="N4" s="8" t="s">
        <v>611</v>
      </c>
      <c r="O4" s="12" t="s">
        <v>612</v>
      </c>
      <c r="P4" s="10" t="s">
        <v>611</v>
      </c>
    </row>
    <row r="5" spans="1:16">
      <c r="A5" s="4" t="s">
        <v>608</v>
      </c>
      <c r="B5" s="5">
        <v>46099</v>
      </c>
      <c r="C5" s="5">
        <v>46113</v>
      </c>
      <c r="D5" s="4">
        <v>3296</v>
      </c>
      <c r="E5" s="4">
        <v>342</v>
      </c>
      <c r="F5" s="4">
        <v>6</v>
      </c>
      <c r="G5" s="4">
        <v>2</v>
      </c>
      <c r="H5" s="4">
        <v>81836</v>
      </c>
      <c r="I5" s="4" t="s">
        <v>28</v>
      </c>
      <c r="J5" s="4">
        <v>54509503</v>
      </c>
      <c r="K5" s="4" t="s">
        <v>609</v>
      </c>
      <c r="L5" s="4" t="s">
        <v>615</v>
      </c>
      <c r="M5" s="7">
        <v>90000</v>
      </c>
      <c r="N5" s="8" t="s">
        <v>611</v>
      </c>
      <c r="O5" s="12" t="s">
        <v>612</v>
      </c>
      <c r="P5" s="10" t="s">
        <v>611</v>
      </c>
    </row>
    <row r="6" spans="1:16">
      <c r="A6" s="4" t="s">
        <v>608</v>
      </c>
      <c r="B6" s="5">
        <v>46099</v>
      </c>
      <c r="C6" s="5">
        <v>46113</v>
      </c>
      <c r="D6" s="4">
        <v>3296</v>
      </c>
      <c r="E6" s="4">
        <v>342</v>
      </c>
      <c r="F6" s="4">
        <v>6</v>
      </c>
      <c r="G6" s="4">
        <v>2</v>
      </c>
      <c r="H6" s="4">
        <v>81836</v>
      </c>
      <c r="I6" s="4" t="s">
        <v>28</v>
      </c>
      <c r="J6" s="4">
        <v>54181189</v>
      </c>
      <c r="K6" s="4" t="s">
        <v>616</v>
      </c>
      <c r="L6" t="s">
        <v>617</v>
      </c>
      <c r="M6" s="7">
        <v>129900</v>
      </c>
      <c r="N6" s="8" t="s">
        <v>611</v>
      </c>
      <c r="O6" s="12" t="s">
        <v>612</v>
      </c>
      <c r="P6" s="10" t="s">
        <v>611</v>
      </c>
    </row>
    <row r="7" spans="1:16">
      <c r="A7" s="4" t="s">
        <v>608</v>
      </c>
      <c r="B7" s="5">
        <v>46099</v>
      </c>
      <c r="C7" s="5">
        <v>46113</v>
      </c>
      <c r="D7" s="4">
        <v>3296</v>
      </c>
      <c r="E7" s="4">
        <v>342</v>
      </c>
      <c r="F7" s="4">
        <v>6</v>
      </c>
      <c r="G7" s="4">
        <v>2</v>
      </c>
      <c r="H7" s="4">
        <v>81836</v>
      </c>
      <c r="I7" s="4" t="s">
        <v>28</v>
      </c>
      <c r="J7" s="4">
        <v>54181198</v>
      </c>
      <c r="K7" s="4" t="s">
        <v>618</v>
      </c>
      <c r="L7" s="4" t="s">
        <v>619</v>
      </c>
      <c r="M7" s="7">
        <v>129900</v>
      </c>
      <c r="N7" s="8" t="s">
        <v>611</v>
      </c>
      <c r="O7" s="12" t="s">
        <v>612</v>
      </c>
      <c r="P7" s="10" t="s">
        <v>611</v>
      </c>
    </row>
    <row r="8" spans="1:16">
      <c r="A8" s="4" t="s">
        <v>608</v>
      </c>
      <c r="B8" s="5">
        <v>46099</v>
      </c>
      <c r="C8" s="5">
        <v>46113</v>
      </c>
      <c r="D8" s="4">
        <v>3296</v>
      </c>
      <c r="E8" s="4">
        <v>342</v>
      </c>
      <c r="F8" s="4">
        <v>6</v>
      </c>
      <c r="G8" s="4">
        <v>2</v>
      </c>
      <c r="H8" s="4">
        <v>81836</v>
      </c>
      <c r="I8" s="4" t="s">
        <v>28</v>
      </c>
      <c r="J8" s="4">
        <v>54181205</v>
      </c>
      <c r="K8" s="4" t="s">
        <v>620</v>
      </c>
      <c r="L8" s="4" t="s">
        <v>621</v>
      </c>
      <c r="M8" s="7">
        <v>129900</v>
      </c>
      <c r="N8" s="8" t="s">
        <v>611</v>
      </c>
      <c r="O8" s="12" t="s">
        <v>612</v>
      </c>
      <c r="P8" s="10" t="s">
        <v>611</v>
      </c>
    </row>
    <row r="9" spans="1:16">
      <c r="A9" s="4" t="s">
        <v>608</v>
      </c>
      <c r="B9" s="5">
        <v>46099</v>
      </c>
      <c r="C9" s="5">
        <v>46113</v>
      </c>
      <c r="D9" s="4">
        <v>3296</v>
      </c>
      <c r="E9" s="4">
        <v>342</v>
      </c>
      <c r="F9" s="4">
        <v>6</v>
      </c>
      <c r="G9" s="4">
        <v>2</v>
      </c>
      <c r="H9" s="4">
        <v>81836</v>
      </c>
      <c r="I9" s="4" t="s">
        <v>28</v>
      </c>
      <c r="J9" s="4">
        <v>54181214</v>
      </c>
      <c r="K9" s="4" t="s">
        <v>622</v>
      </c>
      <c r="L9" s="4" t="s">
        <v>623</v>
      </c>
      <c r="M9" s="7">
        <v>129900</v>
      </c>
      <c r="N9" s="8" t="s">
        <v>611</v>
      </c>
      <c r="O9" s="12" t="s">
        <v>612</v>
      </c>
      <c r="P9" s="10" t="s">
        <v>611</v>
      </c>
    </row>
    <row r="10" spans="1:16">
      <c r="A10" s="4" t="s">
        <v>608</v>
      </c>
      <c r="B10" s="5">
        <v>46099</v>
      </c>
      <c r="C10" s="5">
        <v>46113</v>
      </c>
      <c r="D10" s="4">
        <v>3296</v>
      </c>
      <c r="E10" s="4">
        <v>342</v>
      </c>
      <c r="F10" s="4">
        <v>6</v>
      </c>
      <c r="G10" s="4">
        <v>2</v>
      </c>
      <c r="H10" s="4">
        <v>81836</v>
      </c>
      <c r="I10" s="4" t="s">
        <v>28</v>
      </c>
      <c r="J10" s="4">
        <v>54181223</v>
      </c>
      <c r="K10" s="4" t="s">
        <v>624</v>
      </c>
      <c r="L10" s="4" t="s">
        <v>625</v>
      </c>
      <c r="M10" s="7">
        <v>129900</v>
      </c>
      <c r="N10" s="8" t="s">
        <v>611</v>
      </c>
      <c r="O10" s="12" t="s">
        <v>612</v>
      </c>
      <c r="P10" s="10" t="s">
        <v>611</v>
      </c>
    </row>
    <row r="11" spans="1:16">
      <c r="A11" s="4" t="s">
        <v>608</v>
      </c>
      <c r="B11" s="5">
        <v>46099</v>
      </c>
      <c r="C11" s="5">
        <v>46113</v>
      </c>
      <c r="D11" s="4">
        <v>3296</v>
      </c>
      <c r="E11" s="4">
        <v>342</v>
      </c>
      <c r="F11" s="4">
        <v>6</v>
      </c>
      <c r="G11" s="4">
        <v>2</v>
      </c>
      <c r="H11" s="4">
        <v>81836</v>
      </c>
      <c r="I11" s="4" t="s">
        <v>28</v>
      </c>
      <c r="J11" s="4">
        <v>54181232</v>
      </c>
      <c r="K11" s="4" t="s">
        <v>626</v>
      </c>
      <c r="L11" s="4" t="s">
        <v>627</v>
      </c>
      <c r="M11" s="7">
        <v>129900</v>
      </c>
      <c r="N11" s="8" t="s">
        <v>611</v>
      </c>
      <c r="O11" s="12" t="s">
        <v>612</v>
      </c>
      <c r="P11" s="10" t="s">
        <v>611</v>
      </c>
    </row>
  </sheetData>
  <autoFilter xmlns:etc="http://www.wps.cn/officeDocument/2017/etCustomData" ref="A1:P1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zoomScale="55" zoomScaleNormal="55" workbookViewId="0">
      <selection activeCell="B2" sqref="B2:C8"/>
    </sheetView>
  </sheetViews>
  <sheetFormatPr defaultColWidth="8.81818181818182" defaultRowHeight="14.5" outlineLevelRow="7"/>
  <cols>
    <col min="1" max="1" width="20.0909090909091" customWidth="1"/>
    <col min="2" max="2" width="14.0909090909091" customWidth="1"/>
    <col min="3" max="3" width="13.0909090909091" customWidth="1"/>
    <col min="4" max="4" width="8.45454545454546" customWidth="1"/>
    <col min="5" max="5" width="13.0909090909091" customWidth="1"/>
    <col min="6" max="6" width="8.81818181818182" customWidth="1"/>
    <col min="7" max="7" width="11.6363636363636" customWidth="1"/>
    <col min="8" max="8" width="12.8181818181818" customWidth="1"/>
    <col min="9" max="9" width="13.0545454545455" customWidth="1"/>
    <col min="10" max="10" width="14.6363636363636" customWidth="1"/>
    <col min="11" max="11" width="16.6363636363636" customWidth="1"/>
    <col min="12" max="12" width="71.5454545454545" customWidth="1"/>
    <col min="13" max="13" width="15.4545454545455" customWidth="1"/>
    <col min="14" max="14" width="14.8181818181818" customWidth="1"/>
    <col min="15" max="15" width="14.0909090909091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628</v>
      </c>
      <c r="B2" s="5">
        <v>46099</v>
      </c>
      <c r="C2" s="5">
        <v>46113</v>
      </c>
      <c r="D2" s="4">
        <v>3296</v>
      </c>
      <c r="E2" s="4">
        <v>342</v>
      </c>
      <c r="F2" s="4">
        <v>6</v>
      </c>
      <c r="G2" s="4">
        <v>2</v>
      </c>
      <c r="H2" s="11">
        <v>81375</v>
      </c>
      <c r="I2" s="4" t="s">
        <v>28</v>
      </c>
      <c r="J2" s="4">
        <v>57859737</v>
      </c>
      <c r="K2" s="4" t="s">
        <v>629</v>
      </c>
      <c r="L2" s="4" t="s">
        <v>630</v>
      </c>
      <c r="M2" s="7">
        <v>99900</v>
      </c>
      <c r="N2" s="8">
        <v>0.8</v>
      </c>
      <c r="O2" s="12">
        <f t="shared" ref="O2:O8" si="0">M2*(1-N2)</f>
        <v>19980</v>
      </c>
      <c r="P2" s="10" t="s">
        <v>20</v>
      </c>
    </row>
    <row r="3" spans="1:16">
      <c r="A3" s="4" t="s">
        <v>628</v>
      </c>
      <c r="B3" s="5">
        <v>46099</v>
      </c>
      <c r="C3" s="5">
        <v>46113</v>
      </c>
      <c r="D3" s="4">
        <v>3296</v>
      </c>
      <c r="E3" s="4">
        <v>342</v>
      </c>
      <c r="F3" s="4">
        <v>6</v>
      </c>
      <c r="G3" s="4">
        <v>2</v>
      </c>
      <c r="H3" s="11">
        <v>81375</v>
      </c>
      <c r="I3" s="4" t="s">
        <v>28</v>
      </c>
      <c r="J3" s="4">
        <v>57859746</v>
      </c>
      <c r="K3" s="4" t="s">
        <v>631</v>
      </c>
      <c r="L3" s="4" t="s">
        <v>632</v>
      </c>
      <c r="M3" s="7">
        <v>129900</v>
      </c>
      <c r="N3" s="8">
        <v>0.8</v>
      </c>
      <c r="O3" s="12">
        <f t="shared" si="0"/>
        <v>25980</v>
      </c>
      <c r="P3" s="10" t="s">
        <v>20</v>
      </c>
    </row>
    <row r="4" spans="1:16">
      <c r="A4" s="4" t="s">
        <v>628</v>
      </c>
      <c r="B4" s="5">
        <v>46099</v>
      </c>
      <c r="C4" s="5">
        <v>46113</v>
      </c>
      <c r="D4" s="4">
        <v>3296</v>
      </c>
      <c r="E4" s="4">
        <v>342</v>
      </c>
      <c r="F4" s="4">
        <v>6</v>
      </c>
      <c r="G4" s="4">
        <v>2</v>
      </c>
      <c r="H4" s="11">
        <v>81375</v>
      </c>
      <c r="I4" s="4" t="s">
        <v>28</v>
      </c>
      <c r="J4" s="4">
        <v>57859719</v>
      </c>
      <c r="K4" s="4" t="s">
        <v>633</v>
      </c>
      <c r="L4" s="4" t="s">
        <v>634</v>
      </c>
      <c r="M4" s="7">
        <v>129900</v>
      </c>
      <c r="N4" s="8">
        <v>0.8</v>
      </c>
      <c r="O4" s="12">
        <f t="shared" si="0"/>
        <v>25980</v>
      </c>
      <c r="P4" s="10" t="s">
        <v>20</v>
      </c>
    </row>
    <row r="5" spans="1:16">
      <c r="A5" s="4" t="s">
        <v>628</v>
      </c>
      <c r="B5" s="5">
        <v>46099</v>
      </c>
      <c r="C5" s="5">
        <v>46113</v>
      </c>
      <c r="D5" s="4">
        <v>3296</v>
      </c>
      <c r="E5" s="4">
        <v>342</v>
      </c>
      <c r="F5" s="4">
        <v>6</v>
      </c>
      <c r="G5" s="4">
        <v>2</v>
      </c>
      <c r="H5" s="11">
        <v>81375</v>
      </c>
      <c r="I5" s="4" t="s">
        <v>28</v>
      </c>
      <c r="J5" s="4">
        <v>57859728</v>
      </c>
      <c r="K5" s="4" t="s">
        <v>635</v>
      </c>
      <c r="L5" s="4" t="s">
        <v>636</v>
      </c>
      <c r="M5" s="7">
        <v>99900</v>
      </c>
      <c r="N5" s="8">
        <v>0.8</v>
      </c>
      <c r="O5" s="12">
        <f t="shared" si="0"/>
        <v>19980</v>
      </c>
      <c r="P5" s="10" t="s">
        <v>20</v>
      </c>
    </row>
    <row r="6" spans="1:16">
      <c r="A6" s="4" t="s">
        <v>628</v>
      </c>
      <c r="B6" s="5">
        <v>46099</v>
      </c>
      <c r="C6" s="5">
        <v>46113</v>
      </c>
      <c r="D6" s="4">
        <v>3296</v>
      </c>
      <c r="E6" s="4">
        <v>342</v>
      </c>
      <c r="F6" s="4">
        <v>6</v>
      </c>
      <c r="G6" s="4">
        <v>2</v>
      </c>
      <c r="H6" s="11">
        <v>81375</v>
      </c>
      <c r="I6" s="4" t="s">
        <v>28</v>
      </c>
      <c r="J6" s="4">
        <v>57859764</v>
      </c>
      <c r="K6" s="4" t="s">
        <v>637</v>
      </c>
      <c r="L6" s="4" t="s">
        <v>638</v>
      </c>
      <c r="M6" s="7">
        <v>149900</v>
      </c>
      <c r="N6" s="8">
        <v>0.8</v>
      </c>
      <c r="O6" s="12">
        <f t="shared" si="0"/>
        <v>29980</v>
      </c>
      <c r="P6" s="10" t="s">
        <v>20</v>
      </c>
    </row>
    <row r="7" spans="1:16">
      <c r="A7" s="4" t="s">
        <v>628</v>
      </c>
      <c r="B7" s="5">
        <v>46099</v>
      </c>
      <c r="C7" s="5">
        <v>46113</v>
      </c>
      <c r="D7" s="4">
        <v>3296</v>
      </c>
      <c r="E7" s="4">
        <v>342</v>
      </c>
      <c r="F7" s="4">
        <v>6</v>
      </c>
      <c r="G7" s="4">
        <v>2</v>
      </c>
      <c r="H7" s="11">
        <v>81375</v>
      </c>
      <c r="I7" s="4" t="s">
        <v>28</v>
      </c>
      <c r="J7" s="4">
        <v>57859773</v>
      </c>
      <c r="K7" s="4" t="s">
        <v>639</v>
      </c>
      <c r="L7" s="4" t="s">
        <v>640</v>
      </c>
      <c r="M7" s="7">
        <v>129900</v>
      </c>
      <c r="N7" s="8">
        <v>0.8</v>
      </c>
      <c r="O7" s="12">
        <f t="shared" si="0"/>
        <v>25980</v>
      </c>
      <c r="P7" s="10" t="s">
        <v>20</v>
      </c>
    </row>
    <row r="8" spans="1:16">
      <c r="A8" s="4" t="s">
        <v>628</v>
      </c>
      <c r="B8" s="5">
        <v>46099</v>
      </c>
      <c r="C8" s="5">
        <v>46113</v>
      </c>
      <c r="D8" s="4">
        <v>3296</v>
      </c>
      <c r="E8" s="4">
        <v>342</v>
      </c>
      <c r="F8" s="4">
        <v>6</v>
      </c>
      <c r="G8" s="4">
        <v>2</v>
      </c>
      <c r="H8" s="11">
        <v>81375</v>
      </c>
      <c r="I8" s="4" t="s">
        <v>28</v>
      </c>
      <c r="J8" s="4">
        <v>57859755</v>
      </c>
      <c r="K8" s="4" t="s">
        <v>641</v>
      </c>
      <c r="L8" s="4" t="s">
        <v>642</v>
      </c>
      <c r="M8" s="7">
        <v>99900</v>
      </c>
      <c r="N8" s="8">
        <v>0.8</v>
      </c>
      <c r="O8" s="12">
        <f t="shared" si="0"/>
        <v>19980</v>
      </c>
      <c r="P8" s="10" t="s">
        <v>20</v>
      </c>
    </row>
  </sheetData>
  <autoFilter xmlns:etc="http://www.wps.cn/officeDocument/2017/etCustomData" ref="A1:P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P10"/>
  <sheetViews>
    <sheetView zoomScale="55" zoomScaleNormal="55" workbookViewId="0">
      <selection activeCell="B2" sqref="B2:C10"/>
    </sheetView>
  </sheetViews>
  <sheetFormatPr defaultColWidth="8.81818181818182" defaultRowHeight="14.5"/>
  <cols>
    <col min="1" max="1" width="20.0909090909091" customWidth="1"/>
    <col min="2" max="2" width="14.0909090909091" customWidth="1"/>
    <col min="3" max="3" width="13.0909090909091" customWidth="1"/>
    <col min="4" max="4" width="8.45454545454546" customWidth="1"/>
    <col min="5" max="5" width="13.0909090909091" customWidth="1"/>
    <col min="6" max="6" width="8.81818181818182" customWidth="1"/>
    <col min="7" max="7" width="11.6363636363636" customWidth="1"/>
    <col min="8" max="8" width="12.8181818181818" customWidth="1"/>
    <col min="9" max="9" width="16.3636363636364" customWidth="1"/>
    <col min="10" max="10" width="14.6363636363636" customWidth="1"/>
    <col min="11" max="11" width="16.6363636363636" customWidth="1"/>
    <col min="12" max="12" width="71.5454545454545" customWidth="1"/>
    <col min="13" max="13" width="15.4545454545455" customWidth="1"/>
    <col min="14" max="14" width="14.8181818181818" customWidth="1"/>
    <col min="15" max="15" width="14.0909090909091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</row>
    <row r="2" spans="1:16">
      <c r="A2" s="4" t="s">
        <v>643</v>
      </c>
      <c r="B2" s="5">
        <v>46099</v>
      </c>
      <c r="C2" s="5">
        <v>46113</v>
      </c>
      <c r="D2" s="6">
        <v>3296</v>
      </c>
      <c r="E2" s="4">
        <v>342</v>
      </c>
      <c r="F2" s="4">
        <v>6</v>
      </c>
      <c r="G2" s="4">
        <v>1</v>
      </c>
      <c r="H2" s="4">
        <v>81836</v>
      </c>
      <c r="I2" s="4" t="s">
        <v>28</v>
      </c>
      <c r="J2" s="4">
        <v>70496827</v>
      </c>
      <c r="K2" s="4" t="s">
        <v>644</v>
      </c>
      <c r="L2" s="4" t="s">
        <v>645</v>
      </c>
      <c r="M2" s="7">
        <v>79900</v>
      </c>
      <c r="N2" s="8" t="s">
        <v>611</v>
      </c>
      <c r="O2" s="9" t="s">
        <v>612</v>
      </c>
      <c r="P2" s="10" t="s">
        <v>611</v>
      </c>
    </row>
    <row r="3" spans="1:16">
      <c r="A3" s="4" t="s">
        <v>643</v>
      </c>
      <c r="B3" s="5">
        <v>46099</v>
      </c>
      <c r="C3" s="5">
        <v>46113</v>
      </c>
      <c r="D3" s="6">
        <v>3296</v>
      </c>
      <c r="E3" s="4">
        <v>342</v>
      </c>
      <c r="F3" s="4">
        <v>6</v>
      </c>
      <c r="G3" s="4">
        <v>1</v>
      </c>
      <c r="H3" s="4">
        <v>81836</v>
      </c>
      <c r="I3" s="4" t="s">
        <v>28</v>
      </c>
      <c r="J3" s="4">
        <v>70496836</v>
      </c>
      <c r="K3" s="4" t="str">
        <f t="shared" ref="K3:K7" si="0">K2</f>
        <v>MDSKCCAT</v>
      </c>
      <c r="L3" s="4" t="s">
        <v>646</v>
      </c>
      <c r="M3" s="7">
        <v>79900</v>
      </c>
      <c r="N3" s="8" t="s">
        <v>611</v>
      </c>
      <c r="O3" s="9" t="s">
        <v>612</v>
      </c>
      <c r="P3" s="10" t="s">
        <v>611</v>
      </c>
    </row>
    <row r="4" spans="1:16">
      <c r="A4" s="4" t="s">
        <v>643</v>
      </c>
      <c r="B4" s="5">
        <v>46099</v>
      </c>
      <c r="C4" s="5">
        <v>46113</v>
      </c>
      <c r="D4" s="6">
        <v>3296</v>
      </c>
      <c r="E4" s="4">
        <v>342</v>
      </c>
      <c r="F4" s="4">
        <v>6</v>
      </c>
      <c r="G4" s="4">
        <v>1</v>
      </c>
      <c r="H4" s="4">
        <v>81836</v>
      </c>
      <c r="I4" s="4" t="s">
        <v>28</v>
      </c>
      <c r="J4" s="4">
        <v>70496845</v>
      </c>
      <c r="K4" s="4" t="str">
        <f t="shared" si="0"/>
        <v>MDSKCCAT</v>
      </c>
      <c r="L4" s="4" t="s">
        <v>647</v>
      </c>
      <c r="M4" s="7">
        <v>79900</v>
      </c>
      <c r="N4" s="8" t="s">
        <v>611</v>
      </c>
      <c r="O4" s="9" t="s">
        <v>612</v>
      </c>
      <c r="P4" s="10" t="s">
        <v>611</v>
      </c>
    </row>
    <row r="5" spans="1:16">
      <c r="A5" s="4" t="s">
        <v>643</v>
      </c>
      <c r="B5" s="5">
        <v>46099</v>
      </c>
      <c r="C5" s="5">
        <v>46113</v>
      </c>
      <c r="D5" s="6">
        <v>3296</v>
      </c>
      <c r="E5" s="4">
        <v>342</v>
      </c>
      <c r="F5" s="4">
        <v>6</v>
      </c>
      <c r="G5" s="4">
        <v>1</v>
      </c>
      <c r="H5" s="4">
        <v>81471</v>
      </c>
      <c r="I5" s="4" t="s">
        <v>28</v>
      </c>
      <c r="J5" s="4">
        <v>70496854</v>
      </c>
      <c r="K5" s="4" t="s">
        <v>648</v>
      </c>
      <c r="L5" s="4" t="s">
        <v>649</v>
      </c>
      <c r="M5" s="7">
        <v>99900</v>
      </c>
      <c r="N5" s="8" t="s">
        <v>611</v>
      </c>
      <c r="O5" s="9" t="s">
        <v>612</v>
      </c>
      <c r="P5" s="10" t="s">
        <v>611</v>
      </c>
    </row>
    <row r="6" spans="1:16">
      <c r="A6" s="4" t="s">
        <v>643</v>
      </c>
      <c r="B6" s="5">
        <v>46099</v>
      </c>
      <c r="C6" s="5">
        <v>46113</v>
      </c>
      <c r="D6" s="6">
        <v>3296</v>
      </c>
      <c r="E6" s="4">
        <v>342</v>
      </c>
      <c r="F6" s="4">
        <v>6</v>
      </c>
      <c r="G6" s="4">
        <v>1</v>
      </c>
      <c r="H6" s="4">
        <v>81471</v>
      </c>
      <c r="I6" s="4" t="s">
        <v>28</v>
      </c>
      <c r="J6" s="4">
        <v>70496863</v>
      </c>
      <c r="K6" s="4" t="str">
        <f t="shared" si="0"/>
        <v>MDSPLUSHCAT</v>
      </c>
      <c r="L6" s="4" t="s">
        <v>650</v>
      </c>
      <c r="M6" s="7">
        <v>99900</v>
      </c>
      <c r="N6" s="8" t="s">
        <v>611</v>
      </c>
      <c r="O6" s="9" t="s">
        <v>612</v>
      </c>
      <c r="P6" s="10" t="s">
        <v>611</v>
      </c>
    </row>
    <row r="7" spans="1:16">
      <c r="A7" s="4" t="s">
        <v>643</v>
      </c>
      <c r="B7" s="5">
        <v>46099</v>
      </c>
      <c r="C7" s="5">
        <v>46113</v>
      </c>
      <c r="D7" s="6">
        <v>3296</v>
      </c>
      <c r="E7" s="4">
        <v>342</v>
      </c>
      <c r="F7" s="4">
        <v>6</v>
      </c>
      <c r="G7" s="4">
        <v>1</v>
      </c>
      <c r="H7" s="4">
        <v>81471</v>
      </c>
      <c r="I7" s="4" t="s">
        <v>28</v>
      </c>
      <c r="J7" s="4">
        <v>70496872</v>
      </c>
      <c r="K7" s="4" t="str">
        <f t="shared" si="0"/>
        <v>MDSPLUSHCAT</v>
      </c>
      <c r="L7" s="4" t="s">
        <v>651</v>
      </c>
      <c r="M7" s="7">
        <v>99900</v>
      </c>
      <c r="N7" s="8" t="s">
        <v>611</v>
      </c>
      <c r="O7" s="9" t="s">
        <v>612</v>
      </c>
      <c r="P7" s="10" t="s">
        <v>611</v>
      </c>
    </row>
    <row r="8" spans="1:16">
      <c r="A8" s="4" t="s">
        <v>643</v>
      </c>
      <c r="B8" s="5">
        <v>46099</v>
      </c>
      <c r="C8" s="5">
        <v>46113</v>
      </c>
      <c r="D8" s="6">
        <v>3296</v>
      </c>
      <c r="E8" s="4">
        <v>342</v>
      </c>
      <c r="F8" s="4">
        <v>6</v>
      </c>
      <c r="G8" s="4">
        <v>1</v>
      </c>
      <c r="H8" s="4">
        <v>81471</v>
      </c>
      <c r="I8" s="4" t="s">
        <v>28</v>
      </c>
      <c r="J8" s="4">
        <v>70496881</v>
      </c>
      <c r="K8" s="4" t="s">
        <v>652</v>
      </c>
      <c r="L8" s="4" t="s">
        <v>653</v>
      </c>
      <c r="M8" s="7">
        <v>89900</v>
      </c>
      <c r="N8" s="8" t="s">
        <v>611</v>
      </c>
      <c r="O8" s="9" t="s">
        <v>612</v>
      </c>
      <c r="P8" s="10" t="s">
        <v>611</v>
      </c>
    </row>
    <row r="9" spans="1:16">
      <c r="A9" s="4" t="s">
        <v>643</v>
      </c>
      <c r="B9" s="5">
        <v>46099</v>
      </c>
      <c r="C9" s="5">
        <v>46113</v>
      </c>
      <c r="D9" s="6">
        <v>3296</v>
      </c>
      <c r="E9" s="4">
        <v>342</v>
      </c>
      <c r="F9" s="4">
        <v>6</v>
      </c>
      <c r="G9" s="4">
        <v>1</v>
      </c>
      <c r="H9" s="4">
        <v>81471</v>
      </c>
      <c r="I9" s="4" t="s">
        <v>28</v>
      </c>
      <c r="J9" s="4">
        <v>70496890</v>
      </c>
      <c r="K9" s="4" t="str">
        <f>K8</f>
        <v>MDSKFCAT</v>
      </c>
      <c r="L9" s="4" t="s">
        <v>654</v>
      </c>
      <c r="M9" s="7">
        <v>89900</v>
      </c>
      <c r="N9" s="8" t="s">
        <v>611</v>
      </c>
      <c r="O9" s="9" t="s">
        <v>612</v>
      </c>
      <c r="P9" s="10" t="s">
        <v>611</v>
      </c>
    </row>
    <row r="10" spans="1:16">
      <c r="A10" s="4" t="s">
        <v>643</v>
      </c>
      <c r="B10" s="5">
        <v>46099</v>
      </c>
      <c r="C10" s="5">
        <v>46113</v>
      </c>
      <c r="D10" s="6">
        <v>3296</v>
      </c>
      <c r="E10" s="4">
        <v>342</v>
      </c>
      <c r="F10" s="4">
        <v>6</v>
      </c>
      <c r="G10" s="4">
        <v>1</v>
      </c>
      <c r="H10" s="4">
        <v>81471</v>
      </c>
      <c r="I10" s="4" t="s">
        <v>28</v>
      </c>
      <c r="J10" s="4">
        <v>70496907</v>
      </c>
      <c r="K10" s="4" t="str">
        <f>K9</f>
        <v>MDSKFCAT</v>
      </c>
      <c r="L10" s="4" t="s">
        <v>655</v>
      </c>
      <c r="M10" s="7">
        <v>89900</v>
      </c>
      <c r="N10" s="8" t="s">
        <v>611</v>
      </c>
      <c r="O10" s="9" t="s">
        <v>612</v>
      </c>
      <c r="P10" s="10" t="s">
        <v>611</v>
      </c>
    </row>
  </sheetData>
  <autoFilter xmlns:etc="http://www.wps.cn/officeDocument/2017/etCustomData" ref="A1:P10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2016 ALL D90</vt:lpstr>
      <vt:lpstr>2021 LITTLE M D90</vt:lpstr>
      <vt:lpstr>2021 ALL D90</vt:lpstr>
      <vt:lpstr>2022 ALL D90</vt:lpstr>
      <vt:lpstr>2023 H1 D90</vt:lpstr>
      <vt:lpstr>2023 H2 D90</vt:lpstr>
      <vt:lpstr>2023 XMS D90</vt:lpstr>
      <vt:lpstr>2024 H1 B1D75</vt:lpstr>
      <vt:lpstr>2024 H2 B1D75</vt:lpstr>
      <vt:lpstr>2025 H1 B1D20 B2G1</vt:lpstr>
      <vt:lpstr>2025 XMAS B1D70</vt:lpstr>
      <vt:lpstr>2026 H1 B1D20 B2G1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2024-02-20T02:43:00Z</dcterms:created>
  <dcterms:modified xsi:type="dcterms:W3CDTF">2026-03-17T02:01:44Z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1E0E17DD0A754975B64053D4E20631FE_13</vt:lpwstr>
  </property>
  <property fmtid="{D5CDD505-2E9C-101B-9397-08002B2CF9AE}" pid="3" name="KSOProductBuildVer">
    <vt:lpwstr>1033-12.1.0.25242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