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xl/comments14.xml" ContentType="application/vnd.openxmlformats-officedocument.spreadsheetml.comments+xml"/>
  <Override PartName="/xl/comments10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9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comments1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6DCC5624-77CE-4F75-AE33-805906E2FE22}" xr6:coauthVersionLast="47" xr6:coauthVersionMax="47" xr10:uidLastSave="{00000000-0000-0000-0000-000000000000}"/>
  <bookViews>
    <workbookView xWindow="-110" yWindow="-110" windowWidth="19420" windowHeight="10300" tabRatio="871" firstSheet="10" activeTab="10" xr2:uid="{00000000-000D-0000-FFFF-FFFF00000000}"/>
  </bookViews>
  <sheets>
    <sheet name="2024 ALL BOTTOM D75" sheetId="6" r:id="rId1"/>
    <sheet name="2024 KNITPANTS KNITSHORT D75" sheetId="7" r:id="rId2"/>
    <sheet name="2024 H2 WOVEN SHORT D75" sheetId="8" r:id="rId3"/>
    <sheet name="2024 H2 WOVEN PANTS D75" sheetId="9" r:id="rId4"/>
    <sheet name="2024 H2 DENIM PANTS D75" sheetId="10" r:id="rId5"/>
    <sheet name="25 H1 WVN SHORT WVN PANT D75" sheetId="11" r:id="rId6"/>
    <sheet name="25 H1 DENIM PANTS D75" sheetId="12" r:id="rId7"/>
    <sheet name="2025Q1 KnitShorts KnitPants D75" sheetId="13" r:id="rId8"/>
    <sheet name="25 Q2 KNIT SHORT D75" sheetId="14" r:id="rId9"/>
    <sheet name="25 Q2 KNIT PANTS D75" sheetId="15" r:id="rId10"/>
    <sheet name="2025 AUG SEPT KNIT SHORT SP99K" sheetId="17" r:id="rId11"/>
    <sheet name="25 AUG SEPT KNIT PANTS SP119K" sheetId="19" r:id="rId12"/>
    <sheet name="2025 AUG SEPT Woven Short SP119" sheetId="24" r:id="rId13"/>
    <sheet name="2025 Q4 Denim SP 199K" sheetId="33" r:id="rId14"/>
    <sheet name="25Q4 WVN PANTS SP 179K" sheetId="35" r:id="rId15"/>
    <sheet name="25Q4 Woven Short SP 139 K" sheetId="37" r:id="rId16"/>
  </sheets>
  <definedNames>
    <definedName name="_xlnm._FilterDatabase" localSheetId="0" hidden="1">'2024 ALL BOTTOM D75'!$A$1:$P$161</definedName>
    <definedName name="_xlnm._FilterDatabase" localSheetId="4" hidden="1">'2024 H2 DENIM PANTS D75'!$A$1:$P$58</definedName>
    <definedName name="_xlnm._FilterDatabase" localSheetId="3" hidden="1">'2024 H2 WOVEN PANTS D75'!$A$1:$P$1</definedName>
    <definedName name="_xlnm._FilterDatabase" localSheetId="2" hidden="1">'2024 H2 WOVEN SHORT D75'!$A$1:$P$1</definedName>
    <definedName name="_xlnm._FilterDatabase" localSheetId="1" hidden="1">'2024 KNITPANTS KNITSHORT D75'!$A$1:$P$1</definedName>
    <definedName name="_xlnm._FilterDatabase" localSheetId="10" hidden="1">'2025 AUG SEPT KNIT SHORT SP99K'!$A$1:$P$1</definedName>
    <definedName name="_xlnm._FilterDatabase" localSheetId="12" hidden="1">'2025 AUG SEPT Woven Short SP119'!$A$1:$P$1</definedName>
    <definedName name="_xlnm._FilterDatabase" localSheetId="13" hidden="1">'2025 Q4 Denim SP 199K'!$A$1:$P$13</definedName>
    <definedName name="_xlnm._FilterDatabase" localSheetId="7" hidden="1">'2025Q1 KnitShorts KnitPants D75'!$A$1:$P$1</definedName>
    <definedName name="_xlnm._FilterDatabase" localSheetId="11" hidden="1">'25 AUG SEPT KNIT PANTS SP119K'!$A$1:$P$1</definedName>
    <definedName name="_xlnm._FilterDatabase" localSheetId="6" hidden="1">'25 H1 DENIM PANTS D75'!$A$1:$P$1</definedName>
    <definedName name="_xlnm._FilterDatabase" localSheetId="15" hidden="1">'25Q4 Woven Short SP 139 K'!$A$1:$P$13</definedName>
    <definedName name="_xlnm._FilterDatabase" localSheetId="14" hidden="1">'25Q4 WVN PANTS SP 179K'!$A$1:$P$13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7" l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B4" i="17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C4" i="35"/>
  <c r="C5" i="35"/>
  <c r="C6" i="35"/>
  <c r="C7" i="35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3" i="35"/>
  <c r="B3" i="35"/>
  <c r="C6" i="37" l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C5" i="37"/>
  <c r="B5" i="37"/>
  <c r="C3" i="37"/>
  <c r="B3" i="37"/>
  <c r="C3" i="33"/>
  <c r="B3" i="33"/>
  <c r="C3" i="24"/>
  <c r="B3" i="24"/>
  <c r="C3" i="19"/>
  <c r="B3" i="19"/>
  <c r="C3" i="17"/>
  <c r="B3" i="17"/>
  <c r="C3" i="15"/>
  <c r="B3" i="15"/>
  <c r="C3" i="14"/>
  <c r="B3" i="14"/>
  <c r="C3" i="13" l="1"/>
  <c r="B3" i="13"/>
  <c r="C3" i="12"/>
  <c r="B3" i="12"/>
  <c r="C3" i="11"/>
  <c r="B3" i="11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C4" i="10"/>
  <c r="B4" i="10"/>
  <c r="B3" i="10"/>
  <c r="C3" i="10"/>
  <c r="C3" i="9"/>
  <c r="B3" i="9"/>
  <c r="C3" i="8"/>
  <c r="B3" i="8"/>
  <c r="C3" i="7"/>
  <c r="B3" i="7"/>
  <c r="C4" i="37"/>
  <c r="O17" i="15" l="1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B4" i="33" l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C4" i="33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4" i="24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4" i="14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4" i="14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B4" i="19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C4" i="19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B4" i="12" l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4" i="37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0C947D-47E0-4FF8-BF72-01637E1021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9845B-50EB-47B0-B3B2-6774C6B5C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E8ED8C-039E-41A0-97DD-AF991163F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CC1BB3-93E2-4C9B-AF7A-F47C813A9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C48792-3B0C-4666-AF84-A2D056351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5666EF-C829-48D3-A207-5E6B81350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508C349-0D4F-42E3-B5BB-1B88B754C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76BD37-E69C-4A85-A52D-B6548797E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F86A1A0-7084-448B-88DF-C4D92E5C1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DFFFD-9C85-4B49-AD60-894F2DD77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A44A2F-A288-4697-A294-99566F584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B1A1745-504E-407E-88A9-9D790C24D1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FAB84C-EB60-4605-9F32-0F7AFE76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BA4FDF-B3DF-41AD-8898-391F71930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C06625-3A86-4441-B278-2F7169BF7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E2AB13C-D178-4178-A993-D62D715AE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A96C0A-D037-4CEA-B71C-1A673103B0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875F012-7529-45A2-90A7-99401C5DE0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11F57C-505E-4A85-B66A-782883795A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2B6B3E-759B-4817-8E36-E770DE5F9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ECF1CD4-CA9F-4223-956F-EF12B363C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DBA3A7-7449-4069-AA6B-A57AFBB17F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E4AE5C-FDEE-4C62-B7A1-D45813F1A4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CB7BA61-51EA-4943-AA79-106DAC0493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9435A-206D-451C-9E26-7CD1B8E66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EF0613-8C5B-40F7-B924-AD9BCE3ADA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55EB54-7724-4019-9C21-2AD1FC7613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23D39B-85A8-45DB-87BF-E58DEB271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<sst xmlns="http://schemas.openxmlformats.org/spreadsheetml/2006/main" count="5135" uniqueCount="1047">
  <si>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</si>
  <si>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</si>
  <si>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</si>
  <si>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</si>
  <si>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</si>
  <si>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</si>
  <si>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</si>
  <si>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</si>
  <si>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</si>
  <si>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</si>
  <si>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</si>
  <si>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</si>
  <si>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</si>
  <si>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</si>
  <si>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</si>
  <si>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</si>
  <si>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</si>
  <si>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</si>
  <si>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PWMPSLIM</t>
  </si>
  <si>
    <t>LONG PANTS WOVEN MPM SLIM 02 PWMPSLIM:KHAKI:30:SOLID:LONG PANTS</t>
  </si>
  <si>
    <t>LONG PANTS WOVEN MPM SLIM 02 PWMPSLIM:KHAKI:34:SOLID:LONG PANTS</t>
  </si>
  <si>
    <t>LONG PANTS WOVEN MPM SLIM 02 PWMPSLIM:KHAKI:36:SOLID:LONG PANTS</t>
  </si>
  <si>
    <t>LONG PANTS WOVEN MPM SLIM 02 PWMPSLIM:KHAKI:38:SOLID:LONG PANTS</t>
  </si>
  <si>
    <t>LONG PANTS WOVEN MPM SLIM 02 PWMPSLIM:KHAKI:40:SOLID:LONG PANTS</t>
  </si>
  <si>
    <t>LONG PANTS WOVEN MPM SLIM 02 PWMPSLIM:BROWN SUGAR:30:SOLID:LONG PANTS</t>
  </si>
  <si>
    <t>LONG PANTS WOVEN MPM SLIM 02 PWMPSLIM:BROWN SUGAR:32:SOLID:LONG PANTS</t>
  </si>
  <si>
    <t>LONG PANTS WOVEN MPM SLIM 02 PWMPSLIM:BROWN SUGAR:34:SOLID:LONG PANTS</t>
  </si>
  <si>
    <t>LONG PANTS WOVEN MPM SLIM 02 PWMPSLIM:BROWN SUGAR:36:SOLID:LONG PANTS</t>
  </si>
  <si>
    <t>LONG PANTS WOVEN MPM SLIM 02 PWMPSLIM:BROWN SUGAR:38:SOLID:LONG PANTS</t>
  </si>
  <si>
    <t>LONG PANTS WOVEN MPM SLIM 02 PWMPSLIM:BROWN SUGAR:40:SOLID:LONG PANTS</t>
  </si>
  <si>
    <t>PWGAULSL</t>
  </si>
  <si>
    <t>LONG PANTS WOVEN GAUL SLIM PWGAULSL:BLACK:30:SOLID:LONG PANTS</t>
  </si>
  <si>
    <t>LONG PANTS WOVEN GAUL SLIM PWGAULSL:BLACK:32:SOLID:LONG PANTS</t>
  </si>
  <si>
    <t>LONG PANTS WOVEN GAUL SLIM PWGAULSL:BLACK:34:SOLID:LONG PANTS</t>
  </si>
  <si>
    <t>LONG PANTS WOVEN GAUL SLIM PWGAULSL:BLACK:36:SOLID:LONG PANTS</t>
  </si>
  <si>
    <t>LONG PANTS WOVEN GAUL SLIM PWGAULSL:BLACK:38:SOLID:LONG PANTS</t>
  </si>
  <si>
    <t>LONG PANTS WOVEN GAUL SLIM PWGAULSL:BLACK:40:SOLID:LONG PANTS</t>
  </si>
  <si>
    <t>LONG PANTS WOVEN GAUL SLIM PWGAULSL:KHAKI:30:SOLID:LONG PANTS</t>
  </si>
  <si>
    <t>LONG PANTS WOVEN GAUL SLIM PWGAULSL:KHAKI:32:SOLID:LONG PANTS</t>
  </si>
  <si>
    <t>LONG PANTS WOVEN GAUL SLIM PWGAULSL:KHAKI:34:SOLID:LONG PANTS</t>
  </si>
  <si>
    <t>LONG PANTS WOVEN GAUL SLIM PWGAULSL:KHAKI:36:SOLID:LONG PANTS</t>
  </si>
  <si>
    <t>LONG PANTS WOVEN GAUL SLIM PWGAULSL:KHAKI:38:SOLID:LONG PANTS</t>
  </si>
  <si>
    <t>LONG PANTS WOVEN GAUL SLIM PWGAULSL:KHAKI:40:SOLID:LONG PANTS</t>
  </si>
  <si>
    <t>PWJOGSL</t>
  </si>
  <si>
    <t>JOGGER PANTS WOVEN SLIM PWJOGSL:VANILLA:S:SOLID:JOGGER</t>
  </si>
  <si>
    <t>JOGGER PANTS WOVEN SLIM PWJOGSL:VANILLA:M:SOLID:JOGGER</t>
  </si>
  <si>
    <t>JOGGER PANTS WOVEN SLIM PWJOGSL:VANILLA:L:SOLID:JOGGER</t>
  </si>
  <si>
    <t>JOGGER PANTS WOVEN SLIM PWJOGSL:VANILLA:XL:SOLID:JOGGER</t>
  </si>
  <si>
    <t>PW5POCRG</t>
  </si>
  <si>
    <t>LONG PANTS WOVEN 5 POCKET REGULAR PW5POCRG:SAND:30:SOLID:LONG PANTS</t>
  </si>
  <si>
    <t>LONG PANTS WOVEN 5 POCKET REGULAR PW5POCRG:SAND:32:SOLID:LONG PANTS</t>
  </si>
  <si>
    <t>PWCAREG1</t>
  </si>
  <si>
    <t>JOGGER PANTS WOVEN CARGO PULL ON PWCAREG1:OLIVE:S:SOLID:JOGGER</t>
  </si>
  <si>
    <t>JOGGER PANTS WOVEN CARGO PULL ON PWCAREG1:OLIVE:M:SOLID:JOGGER</t>
  </si>
  <si>
    <t>JOGGER PANTS WOVEN CARGO PULL ON PWCAREG1:OLIVE:L:SOLID:JOGGER</t>
  </si>
  <si>
    <t>JOGGER PANTS WOVEN CARGO PULL ON PWCAREG1:OLIVE:XL:SOLID:JOGGER</t>
  </si>
  <si>
    <t>PWCAREG2</t>
  </si>
  <si>
    <t>LONG PANTS WOVEN CARGO HEMMING PWCAREG2:SAND:S:SOLID:LONG PANTS</t>
  </si>
  <si>
    <t>LONG PANTS WOVEN CARGO HEMMING PWCAREG2:SAND:M:SOLID:LONG PANTS</t>
  </si>
  <si>
    <t>LONG PANTS WOVEN CARGO HEMMING PWCAREG2:SAND:L:SOLID:LONG PANTS</t>
  </si>
  <si>
    <t>LONG PANTS WOVEN CARGO HEMMING PWCAREG2:SAND:XL:SOLID:LONG PANTS</t>
  </si>
  <si>
    <t>JOGGER PANTS WOVEN SLIM PWJOGSL:OLIVE:S:SOLID:JOGGER</t>
  </si>
  <si>
    <t>JOGGER PANTS WOVEN SLIM PWJOGSL:OLIVE:M:SOLID:JOGGER</t>
  </si>
  <si>
    <t>JOGGER PANTS WOVEN SLIM PWJOGSL:OLIVE:L:SOLID:JOGGER</t>
  </si>
  <si>
    <t>JOGGER PANTS WOVEN SLIM PWJOGSL:OLIVE:XL:SOLID:JOGGER</t>
  </si>
  <si>
    <t>JOGGER PANTS WOVEN CARGO PULL ON PWCAREG1:KHAKI:S:SOLID:JOGGER</t>
  </si>
  <si>
    <t>JOGGER PANTS WOVEN CARGO PULL ON PWCAREG1:KHAKI:M:SOLID:JOGGER</t>
  </si>
  <si>
    <t>JOGGER PANTS WOVEN CARGO PULL ON PWCAREG1:KHAKI:L:SOLID:JOGGER</t>
  </si>
  <si>
    <t>JOGGER PANTS WOVEN CARGO PULL ON PWCAREG1:KHAKI:XL:SOLID:JOGGER</t>
  </si>
  <si>
    <t>LONG PANTS WOVEN CARGO HEMMING PWCAREG2:BLACK:S:SOLID:LONG PANTS</t>
  </si>
  <si>
    <t>LONG PANTS WOVEN CARGO HEMMING PWCAREG2:BLACK:M:SOLID:LONG PANTS</t>
  </si>
  <si>
    <t>LONG PANTS WOVEN CARGO HEMMING PWCAREG2:BLACK:L:SOLID:LONG PANTS</t>
  </si>
  <si>
    <t>LONG PANTS WOVEN CARGO HEMMING PWCAREG2:BLACK:XL:SOLID:LONG PANTS</t>
  </si>
  <si>
    <t>LONG PANTS WOVEN 5 POCKET REGULAR PW5POCRG:FROST GREY:30:SOLID:LONG PANTS</t>
  </si>
  <si>
    <t>LONG PANTS WOVEN 5 POCKET REGULAR PW5POCRG:FROST GREY:32:SOLID:LONG PANTS</t>
  </si>
  <si>
    <t>LONG PANTS WOVEN 5 POCKET REGULAR PW5POCRG:FROST GREY:34:SOLID:LONG PANTS</t>
  </si>
  <si>
    <t>LONG PANTS WOVEN 5 POCKET REGULAR PW5POCRG:FROST GREY:36:SOLID:LONG PANTS</t>
  </si>
  <si>
    <t>LONG PANTS WOVEN 5 POCKET REGULAR PW5POCRG:FROST GREY:38:SOLID:LONG PANTS</t>
  </si>
  <si>
    <t>LONG PANTS WOVEN 5 POCKET REGULAR PW5POCRG:FROST GREY:40:SOLID:LONG PANTS</t>
  </si>
  <si>
    <t>LONG PANTS WOVEN 5 POCKET REGULAR PW5POCRG:WOOD BROWN:30:SOLID:LONG PANTS</t>
  </si>
  <si>
    <t>LONG PANTS WOVEN 5 POCKET REGULAR PW5POCRG:WOOD BROWN:32:SOLID:LONG PANTS</t>
  </si>
  <si>
    <t>LONG PANTS WOVEN 5 POCKET REGULAR PW5POCRG:WOOD BROWN:34:SOLID:LONG PANTS</t>
  </si>
  <si>
    <t>LONG PANTS WOVEN 5 POCKET REGULAR PW5POCRG:WOOD BROWN:36:SOLID:LONG PANTS</t>
  </si>
  <si>
    <t>LONG PANTS WOVEN 5 POCKET REGULAR PW5POCRG:WOOD BROWN:38:SOLID:LONG PANTS</t>
  </si>
  <si>
    <t>LONG PANTS WOVEN 5 POCKET REGULAR PW5POCRG:WOOD BROWN:40:SOLID:LONG PANTS</t>
  </si>
  <si>
    <t>PWGAULRG</t>
  </si>
  <si>
    <t>LONG PANTS WOVEN GAUL REGULAR PWGAULRG:TAUPE GREY:30:SOLID:LONG PANTS</t>
  </si>
  <si>
    <t>LONG PANTS WOVEN GAUL REGULAR PWGAULRG:TAUPE GREY:32:SOLID:LONG PANTS</t>
  </si>
  <si>
    <t>LONG PANTS WOVEN GAUL REGULAR PWGAULRG:TAUPE GREY:34:SOLID:LONG PANTS</t>
  </si>
  <si>
    <t>LONG PANTS WOVEN GAUL REGULAR PWGAULRG:TAUPE GREY:36:SOLID:LONG PANTS</t>
  </si>
  <si>
    <t>LONG PANTS WOVEN GAUL REGULAR PWGAULRG:TAUPE GREY:38:SOLID:LONG PANTS</t>
  </si>
  <si>
    <t>LONG PANTS WOVEN GAUL REGULAR PWGAULRG:TAUPE GREY:40:SOLID:LONG PANTS</t>
  </si>
  <si>
    <t>LONG PANTS WOVEN GAUL REGULAR PWGAULRG:WOOD BROWN:30:SOLID:LONG PANTS</t>
  </si>
  <si>
    <t>LONG PANTS WOVEN GAUL REGULAR PWGAULRG:WOOD BROWN:32:SOLID:LONG PANTS</t>
  </si>
  <si>
    <t>LONG PANTS WOVEN GAUL REGULAR PWGAULRG:WOOD BROWN:34:SOLID:LONG PANTS</t>
  </si>
  <si>
    <t>LONG PANTS WOVEN GAUL REGULAR PWGAULRG:WOOD BROWN:36:SOLID:LONG PANTS</t>
  </si>
  <si>
    <t>LONG PANTS WOVEN GAUL REGULAR PWGAULRG:WOOD BROWN:38:SOLID:LONG PANTS</t>
  </si>
  <si>
    <t>LONG PANTS WOVEN GAUL REGULAR PWGAULRG:WOOD BROWN:40:SOLID:LONG PANTS</t>
  </si>
  <si>
    <t>LONG PANTS WOVEN 5 POCKET REGULAR PW5POCRG:KHAKI:30:SOLID:LONG PANTS</t>
  </si>
  <si>
    <t>LONG PANTS WOVEN 5 POCKET REGULAR PW5POCRG:KHAKI:32:SOLID:LONG PANTS</t>
  </si>
  <si>
    <t>LONG PANTS WOVEN 5 POCKET REGULAR PW5POCRG:KHAKI:34:SOLID:LONG PANTS</t>
  </si>
  <si>
    <t>LONG PANTS WOVEN 5 POCKET REGULAR PW5POCRG:KHAKI:36:SOLID:LONG PANTS</t>
  </si>
  <si>
    <t>LONG PANTS WOVEN 5 POCKET REGULAR PW5POCRG:KHAKI:38:SOLID:LONG PANTS</t>
  </si>
  <si>
    <t>LONG PANTS WOVEN 5 POCKET REGULAR PW5POCRG:KHAKI:40:SOLID:LONG PANTS</t>
  </si>
  <si>
    <t>SWBRGEO</t>
  </si>
  <si>
    <t>SHORT PANTS WOVEN BERMUDA PRINT GEO SWBRGEO:OLIVE:30:PRINT:SHORT PANTS</t>
  </si>
  <si>
    <t>SHORT PANTS WOVEN BERMUDA PRINT GEO SWBRGEO:OLIVE:32:PRINT:SHORT PANTS</t>
  </si>
  <si>
    <t>SHORT PANTS WOVEN BERMUDA PRINT GEO SWBRGEO:OLIVE:34:PRINT:SHORT PANTS</t>
  </si>
  <si>
    <t>SHORT PANTS WOVEN BERMUDA PRINT GEO SWBRGEO:OLIVE:36:PRINT:SHORT PANTS</t>
  </si>
  <si>
    <t>SHORT PANTS WOVEN BERMUDA PRINT GEO SWBRGEO:OLIVE:38:PRINT:SHORT PANTS</t>
  </si>
  <si>
    <t>SHORT PANTS WOVEN BERMUDA PRINT GEO SWBRGEO:OLIVE:40:PRINT:SHORT PANTS</t>
  </si>
  <si>
    <t>SKSOLBC</t>
  </si>
  <si>
    <t>SHORT PANTS KNIT SOLID CUT AND SEWN SKSOLBC:RUSTIC BROWN:S:SOLID:SHORT PANTS</t>
  </si>
  <si>
    <t>SHORT PANTS KNIT SOLID CUT AND SEWN SKSOLBC:RUSTIC BROWN:M:SOLID:SHORT PANTS</t>
  </si>
  <si>
    <t>SHORT PANTS KNIT SOLID CUT AND SEWN SKSOLBC:RUSTIC BROWN:L:SOLID:SHORT PANTS</t>
  </si>
  <si>
    <t>SHORT PANTS KNIT SOLID CUT AND SEWN SKSOLBC:RUSTIC BROWN:XL:SOLID:SHORT PANTS</t>
  </si>
  <si>
    <t>SHORT PANTS KNIT SOLID CUT AND SEWN SKSOLBC:NAVY BLUE:S:SOLID:SHORT PANTS</t>
  </si>
  <si>
    <t>SHORT PANTS KNIT SOLID CUT AND SEWN SKSOLBC:NAVY BLUE:M:SOLID:SHORT PANTS</t>
  </si>
  <si>
    <t>SHORT PANTS KNIT SOLID CUT AND SEWN SKSOLBC:NAVY BLUE:L:SOLID:SHORT PANTS</t>
  </si>
  <si>
    <t>SHORT PANTS KNIT SOLID CUT AND SEWN SKSOLBC:NAVY BLUE:XL:SOLID:SHORT PANTS</t>
  </si>
  <si>
    <t>SKSIMOTT</t>
  </si>
  <si>
    <t>SHORT PANTS KNIT OTTOMAN BASIC POCKET AND BIG SIZE SKSIMOTT:RUSTIC BROWN:S:SOLID:SHORT PANTS</t>
  </si>
  <si>
    <t>SHORT PANTS KNIT OTTOMAN BASIC POCKET AND BIG SIZE SKSIMOTT:RUSTIC BROWN:M:SOLID:SHORT PANTS</t>
  </si>
  <si>
    <t>SHORT PANTS KNIT OTTOMAN BASIC POCKET AND BIG SIZE SKSIMOTT:RUSTIC BROWN:L:SOLID:SHORT PANTS</t>
  </si>
  <si>
    <t>SHORT PANTS KNIT OTTOMAN BASIC POCKET AND BIG SIZE SKSIMOTT:RUSTIC BROWN:XL:SOLID:SHORT PANTS</t>
  </si>
  <si>
    <t>SHORT PANTS KNIT OTTOMAN BASIC POCKET AND BIG SIZE SKSIMOTT:RUSTIC BROWN:XXL:SOLID:SHORT PANTS</t>
  </si>
  <si>
    <t>SHORT PANTS KNIT OTTOMAN BASIC POCKET AND BIG SIZE SKSIMOTT:RUSTIC BROWN:3L:SOLID:SHORT PANTS</t>
  </si>
  <si>
    <t>SHORT PANTS KNIT OTTOMAN BASIC POCKET AND BIG SIZE SKSIMOTT:OLIVE:S:SOLID:SHORT PANTS</t>
  </si>
  <si>
    <t>SHORT PANTS KNIT OTTOMAN BASIC POCKET AND BIG SIZE SKSIMOTT:OLIVE:M:SOLID:SHORT PANTS</t>
  </si>
  <si>
    <t>SHORT PANTS KNIT OTTOMAN BASIC POCKET AND BIG SIZE SKSIMOTT:OLIVE:L:SOLID:SHORT PANTS</t>
  </si>
  <si>
    <t>SHORT PANTS KNIT OTTOMAN BASIC POCKET AND BIG SIZE SKSIMOTT:OLIVE:XL:SOLID:SHORT PANTS</t>
  </si>
  <si>
    <t>SHORT PANTS KNIT OTTOMAN BASIC POCKET AND BIG SIZE SKSIMOTT:OLIVE:XXL:SOLID:SHORT PANTS</t>
  </si>
  <si>
    <t>SHORT PANTS KNIT OTTOMAN BASIC POCKET AND BIG SIZE SKSIMOTT:OLIVE:3L:SOLID:SHORT PANTS</t>
  </si>
  <si>
    <t>SHORT PANTS KNIT OTTOMAN BASIC POCKET AND BIG SIZE SKSIMOTT:BLACK:S:SOLID:SHORT PANTS</t>
  </si>
  <si>
    <t>SHORT PANTS KNIT OTTOMAN BASIC POCKET AND BIG SIZE SKSIMOTT:BLACK:M:SOLID:SHORT PANTS</t>
  </si>
  <si>
    <t>SHORT PANTS KNIT OTTOMAN BASIC POCKET AND BIG SIZE SKSIMOTT:BLACK:L:SOLID:SHORT PANTS</t>
  </si>
  <si>
    <t>SHORT PANTS KNIT OTTOMAN BASIC POCKET AND BIG SIZE SKSIMOTT:BLACK:XL:SOLID:SHORT PANTS</t>
  </si>
  <si>
    <t>JGCARGO</t>
  </si>
  <si>
    <t>JOGGER PANTS KNIT CARGO PRINT SIDE JGCARGO:NAVY BLUE:S:PRINT:JOGGER</t>
  </si>
  <si>
    <t>JOGGER PANTS KNIT CARGO PRINT SIDE JGCARGO:NAVY BLUE:M:PRINT:JOGGER</t>
  </si>
  <si>
    <t>JOGGER PANTS KNIT CARGO PRINT SIDE JGCARGO:NAVY BLUE:L:PRINT:JOGGER</t>
  </si>
  <si>
    <t>JOGGER PANTS KNIT CARGO PRINT SIDE JGCARGO:NAVY BLUE:XL:PRINT:JOGGER</t>
  </si>
  <si>
    <t>PKJOGBC</t>
  </si>
  <si>
    <t>JOGGER PANTS KNIT BASIC WITH ZIP ADD SMALL PRINT PKJOGBC:RUSTIC BROWN:S:SOLID:JOGGER</t>
  </si>
  <si>
    <t>JOGGER PANTS KNIT BASIC WITH ZIP ADD SMALL PRINT PKJOGBC:RUSTIC BROWN:M:SOLID:JOGGER</t>
  </si>
  <si>
    <t>JOGGER PANTS KNIT BASIC WITH ZIP ADD SMALL PRINT PKJOGBC:RUSTIC BROWN:L:SOLID:JOGGER</t>
  </si>
  <si>
    <t>JOGGER PANTS KNIT BASIC WITH ZIP ADD SMALL PRINT PKJOGBC:RUSTIC BROWN:XL:SOLID:JOGGER</t>
  </si>
  <si>
    <t>JOGGER PANTS KNIT BASIC WITH ZIP ADD SMALL PRINT PKJOGBC:CHARCOAL:S:SOLID:JOGGER</t>
  </si>
  <si>
    <t>JOGGER PANTS KNIT BASIC WITH ZIP ADD SMALL PRINT PKJOGBC:CHARCOAL:M:SOLID:JOGGER</t>
  </si>
  <si>
    <t>JOGGER PANTS KNIT BASIC WITH ZIP ADD SMALL PRINT PKJOGBC:CHARCOAL:L:SOLID:JOGGER</t>
  </si>
  <si>
    <t>JOGGER PANTS KNIT BASIC WITH ZIP ADD SMALL PRINT PKJOGBC:CHARCOAL:XL:SOLID:JOGGER</t>
  </si>
  <si>
    <t>SDRECSOL</t>
  </si>
  <si>
    <t>DENIM SHORT PANTS SIMPLE REGULAR RECYCLE CTN SDRECSOL:MEDIUM DENIM:30:SOLID:DENIM SHORT PANTS</t>
  </si>
  <si>
    <t>DENIM SHORT PANTS SIMPLE REGULAR RECYCLE CTN SDRECSOL:MEDIUM DENIM:32:SOLID:DENIM SHORT PANTS</t>
  </si>
  <si>
    <t>DENIM SHORT PANTS SIMPLE REGULAR RECYCLE CTN SDRECSOL:MEDIUM DENIM:34:SOLID:DENIM SHORT PANTS</t>
  </si>
  <si>
    <t>DENIM SHORT PANTS SIMPLE REGULAR RECYCLE CTN SDRECSOL:MEDIUM DENIM:36:SOLID:DENIM SHORT PANTS</t>
  </si>
  <si>
    <t>DENIM SHORT PANTS SIMPLE REGULAR RECYCLE CTN SDRECSOL:MEDIUM DENIM:38:SOLID:DENIM SHORT PANTS</t>
  </si>
  <si>
    <t>DENIM SHORT PANTS SIMPLE REGULAR RECYCLE CTN SDRECSOL:MEDIUM DENIM:40:SOLID:DENIM SHORT PANTS</t>
  </si>
  <si>
    <t>DENIM SHORT PANTS SIMPLE REGULAR RECYCLE CTN SDRECSOL:LIGHT DENIM:30:SOLID:DENIM SHORT PANTS</t>
  </si>
  <si>
    <t>DENIM SHORT PANTS SIMPLE REGULAR RECYCLE CTN SDRECSOL:LIGHT DENIM:32:SOLID:DENIM SHORT PANTS</t>
  </si>
  <si>
    <t>DENIM SHORT PANTS SIMPLE REGULAR RECYCLE CTN SDRECSOL:LIGHT DENIM:34:SOLID:DENIM SHORT PANTS</t>
  </si>
  <si>
    <t>DENIM SHORT PANTS SIMPLE REGULAR RECYCLE CTN SDRECSOL:LIGHT DENIM:36:SOLID:DENIM SHORT PANTS</t>
  </si>
  <si>
    <t>DENIM SHORT PANTS SIMPLE REGULAR RECYCLE CTN SDRECSOL:LIGHT DENIM:38:SOLID:DENIM SHORT PANTS</t>
  </si>
  <si>
    <t>DENIM SHORT PANTS SIMPLE REGULAR RECYCLE CTN SDRECSOL:LIGHT DENIM:40:SOLID:DENIM SHORT PANTS</t>
  </si>
  <si>
    <t>SDREGBK</t>
  </si>
  <si>
    <t>PDBCSLIM</t>
  </si>
  <si>
    <t>DENIM LONG PANTS BASIC SPRAY WHISKER SLIM PDBCSLIM:LIGHT DENIM:32:SOLID:DENIM LONG PANTS</t>
  </si>
  <si>
    <t>DENIM LONG PANTS BASIC SPRAY WHISKER SLIM PDBCSLIM:LIGHT DENIM:34:SOLID:DENIM LONG PANTS</t>
  </si>
  <si>
    <t>DENIM LONG PANTS BASIC SPRAY WHISKER SLIM PDBCSLIM:LIGHT DENIM:36:SOLID:DENIM LONG PANTS</t>
  </si>
  <si>
    <t>DENIM LONG PANTS BASIC SPRAY WHISKER SLIM PDBCSLIM:LIGHT DENIM:38:SOLID:DENIM LONG PANTS</t>
  </si>
  <si>
    <t>DENIM LONG PANTS BASIC SPRAY WHISKER SLIM PDBCSLIM:LIGHT DENIM:40:SOLID:DENIM LONG PANTS</t>
  </si>
  <si>
    <t>PDBCREG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</si>
  <si>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</si>
  <si>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</si>
  <si>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</si>
  <si>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</si>
  <si>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</si>
  <si>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</si>
  <si>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PDBCREG:BLACK:30:SOLID:DENIM LONG PANTS</t>
  </si>
  <si>
    <t>DENIM LONG PANTS BASIC NON WHISKER REGULAR PDBCREG:BLACK:32:SOLID:DENIM LONG PANTS</t>
  </si>
  <si>
    <t>DENIM LONG PANTS BASIC NON WHISKER REGULAR PDBCREG:BLACK:34:SOLID:DENIM LONG PANTS</t>
  </si>
  <si>
    <t>DENIM LONG PANTS BASIC NON WHISKER REGULAR PDBCREG:BLACK:36:SOLID:DENIM LONG PANTS</t>
  </si>
  <si>
    <t>DENIM LONG PANTS BASIC NON WHISKER REGULAR PDBCREG:BLACK:38:SOLID:DENIM LONG PANTS</t>
  </si>
  <si>
    <t>DENIM LONG PANTS BASIC NON WHISKER REGULAR PDBCREG:BLACK:40:SOLID:DENIM LONG PANTS</t>
  </si>
  <si>
    <t>LONG PANTS WOVEN MPM SLIM 02 PWMPSLIM:OLIVE:30:SOLID:LONG PANTS</t>
  </si>
  <si>
    <t>LONG PANTS WOVEN MPM SLIM 02 PWMPSLIM:OLIVE:32:SOLID:LONG PANTS</t>
  </si>
  <si>
    <t>LONG PANTS WOVEN MPM SLIM 02 PWMPSLIM:OLIVE:34:SOLID:LONG PANTS</t>
  </si>
  <si>
    <t>LONG PANTS WOVEN MPM SLIM 02 PWMPSLIM:OLIVE:36:SOLID:LONG PANTS</t>
  </si>
  <si>
    <t>LONG PANTS WOVEN MPM SLIM 02 PWMPSLIM:OLIVE:38:SOLID:LONG PANTS</t>
  </si>
  <si>
    <t>LONG PANTS WOVEN MPM SLIM 02 PWMPSLIM:OLIVE:40:SOLID:LONG PANTS</t>
  </si>
  <si>
    <t>NYCPWSL01</t>
  </si>
  <si>
    <t>LONG PANTS NYC WOVEN SLIM 01 NYCPWSL01:CHARCOAL:30:SOLID:LONG PANTS</t>
  </si>
  <si>
    <t>LONG PANTS NYC WOVEN SLIM 01 NYCPWSL01:CHARCOAL:32:SOLID:LONG PANTS</t>
  </si>
  <si>
    <t>LONG PANTS NYC WOVEN SLIM 01 NYCPWSL01:CHARCOAL:34:SOLID:LONG PANTS</t>
  </si>
  <si>
    <t>LONG PANTS NYC WOVEN SLIM 01 NYCPWSL01:CHARCOAL:36:SOLID:LONG PANTS</t>
  </si>
  <si>
    <t>LONG PANTS NYC WOVEN SLIM 01 NYCPWSL01:CHARCOAL:38:SOLID:LONG PANTS</t>
  </si>
  <si>
    <t>LONG PANTS NYC WOVEN SLIM 01 NYCPWSL01:CHARCOAL:40:SOLID:LONG PANTS</t>
  </si>
  <si>
    <t>LONG PANTS NYC WOVEN SLIM 01 NYCPWSL01:SAND:30:SOLID:LONG PANTS</t>
  </si>
  <si>
    <t>LONG PANTS NYC WOVEN SLIM 01 NYCPWSL01:SAND:32:SOLID:LONG PANTS</t>
  </si>
  <si>
    <t>LONG PANTS NYC WOVEN SLIM 01 NYCPWSL01:SAND:34:SOLID:LONG PANTS</t>
  </si>
  <si>
    <t>LONG PANTS NYC WOVEN SLIM 01 NYCPWSL01:SAND:36:SOLID:LONG PANTS</t>
  </si>
  <si>
    <t>LONG PANTS NYC WOVEN SLIM 01 NYCPWSL01:SAND:38:SOLID:LONG PANTS</t>
  </si>
  <si>
    <t>LONG PANTS NYC WOVEN SLIM 01 NYCPWSL01:SAND:40:SOLID:LONG PANTS</t>
  </si>
  <si>
    <t>LONG PANTS WOVEN MPM SLIM 02 PWMPSLIM:KHAKI:32:SOLID:LONG PANTS</t>
  </si>
  <si>
    <t>NYCPWSL02</t>
  </si>
  <si>
    <t>LONG PANTS NYC WOVEN SLIM 02 NYCPWSL02:VANILLA:30:SOLID:LONG PANTS</t>
  </si>
  <si>
    <t>LONG PANTS NYC WOVEN SLIM 02 NYCPWSL02:VANILLA:32:SOLID:LONG PANTS</t>
  </si>
  <si>
    <t>LONG PANTS NYC WOVEN SLIM 02 NYCPWSL02:VANILLA:34:SOLID:LONG PANTS</t>
  </si>
  <si>
    <t>LONG PANTS NYC WOVEN SLIM 02 NYCPWSL02:VANILLA:36:SOLID:LONG PANTS</t>
  </si>
  <si>
    <t>LONG PANTS NYC WOVEN SLIM 02 NYCPWSL02:VANILLA:38:SOLID:LONG PANTS</t>
  </si>
  <si>
    <t>LONG PANTS NYC WOVEN SLIM 02 NYCPWSL02:VANILLA:40:SOLID:LONG PANTS</t>
  </si>
  <si>
    <t>LONG PANTS NYC WOVEN SLIM 02 NYCPWSL02:KHAKI:30:SOLID:LONG PANTS</t>
  </si>
  <si>
    <t>LONG PANTS NYC WOVEN SLIM 02 NYCPWSL02:KHAKI:32:SOLID:LONG PANTS</t>
  </si>
  <si>
    <t>LONG PANTS NYC WOVEN SLIM 02 NYCPWSL02:KHAKI:34:SOLID:LONG PANTS</t>
  </si>
  <si>
    <t>LONG PANTS NYC WOVEN SLIM 02 NYCPWSL02:KHAKI:36:SOLID:LONG PANTS</t>
  </si>
  <si>
    <t>LONG PANTS NYC WOVEN SLIM 02 NYCPWSL02:KHAKI:38:SOLID:LONG PANTS</t>
  </si>
  <si>
    <t>LONG PANTS NYC WOVEN SLIM 02 NYCPWSL02:KHAKI:40:SOLID:LONG PANTS</t>
  </si>
  <si>
    <t>PWMPSL02</t>
  </si>
  <si>
    <t>LONG PANTS WOVEN MPM SLIM 02 PWMPSL02:FROST GREY:30:SOLID:LONG PANTS</t>
  </si>
  <si>
    <t>LONG PANTS WOVEN MPM SLIM 02 PWMPSL02:FROST GREY:32:SOLID:LONG PANTS</t>
  </si>
  <si>
    <t>LONG PANTS WOVEN MPM SLIM 02 PWMPSL02:FROST GREY:34:SOLID:LONG PANTS</t>
  </si>
  <si>
    <t>LONG PANTS WOVEN MPM SLIM 02 PWMPSL02:FROST GREY:36:SOLID:LONG PANTS</t>
  </si>
  <si>
    <t>LONG PANTS WOVEN MPM SLIM 02 PWMPSL02:FROST GREY:38:SOLID:LONG PANTS</t>
  </si>
  <si>
    <t>LONG PANTS WOVEN MPM SLIM 02 PWMPSL02:FROST GREY:40:SOLID:LONG PANTS</t>
  </si>
  <si>
    <t>LONG PANTS WOVEN MPM SLIM 02 PWMPSL02:SAND:30:SOLID:LONG PANTS</t>
  </si>
  <si>
    <t>LONG PANTS WOVEN MPM SLIM 02 PWMPSL02:SAND:32:SOLID:LONG PANTS</t>
  </si>
  <si>
    <t>LONG PANTS WOVEN MPM SLIM 02 PWMPSL02:SAND:34:SOLID:LONG PANTS</t>
  </si>
  <si>
    <t>LONG PANTS WOVEN MPM SLIM 02 PWMPSL02:SAND:36:SOLID:LONG PANTS</t>
  </si>
  <si>
    <t>LONG PANTS WOVEN MPM SLIM 02 PWMPSL02:SAND:38:SOLID:LONG PANTS</t>
  </si>
  <si>
    <t>LONG PANTS WOVEN MPM SLIM 02 PWMPSL02:SAND:40:SOLID:LONG PANTS</t>
  </si>
  <si>
    <t>PKJOGCSL</t>
  </si>
  <si>
    <t>LONG PANTS KNIT CASUAL LOOKS PKJOGCSL:KHAKI:S:SOLID:LONG PANTS</t>
  </si>
  <si>
    <t>LONG PANTS KNIT CASUAL LOOKS PKJOGCSL:KHAKI:M:SOLID:LONG PANTS</t>
  </si>
  <si>
    <t>LONG PANTS KNIT CASUAL LOOKS PKJOGCSL:KHAKI:L:SOLID:LONG PANTS</t>
  </si>
  <si>
    <t>LONG PANTS KNIT CASUAL LOOKS PKJOGCSL:KHAKI:XL:SOLID:LONG PANTS</t>
  </si>
  <si>
    <t>JGTRBC</t>
  </si>
  <si>
    <t>JOGGER PANTS KNIT CARGO PRINT SIDE JGCARGO:BLACK:S:PRINT:JOGGER</t>
  </si>
  <si>
    <t>JOGGER PANTS KNIT CARGO PRINT SIDE JGCARGO:BLACK:M:PRINT:JOGGER</t>
  </si>
  <si>
    <t>JOGGER PANTS KNIT CARGO PRINT SIDE JGCARGO:BLACK:L:PRINT:JOGGER</t>
  </si>
  <si>
    <t>JOGGER PANTS KNIT CARGO PRINT SIDE JGCARGO:BLACK:XL:PRINT:JOGGER</t>
  </si>
  <si>
    <t>JOGGER PANTS KNIT CARGO PRINT SIDE JGCARGO:RUSTIC BROWN:S:PRINT:JOGGER</t>
  </si>
  <si>
    <t>JOGGER PANTS KNIT CARGO PRINT SIDE JGCARGO:RUSTIC BROWN:M:PRINT:JOGGER</t>
  </si>
  <si>
    <t>JOGGER PANTS KNIT CARGO PRINT SIDE JGCARGO:RUSTIC BROWN:L:PRINT:JOGGER</t>
  </si>
  <si>
    <t>JOGGER PANTS KNIT CARGO PRINT SIDE JGCARGO:RUSTIC BROWN:XL:PRINT:JOGGER</t>
  </si>
  <si>
    <t>SDBCBREF</t>
  </si>
  <si>
    <t>DENIM SHORT PANTS BASIC SUSTAIN ECO SDBCBREF:BLACK:30:SOLID:DENIM SHORT PANTS</t>
  </si>
  <si>
    <t>DENIM SHORT PANTS BASIC SUSTAIN ECO SDBCBREF:BLACK:32:SOLID:DENIM SHORT PANTS</t>
  </si>
  <si>
    <t>DENIM SHORT PANTS BASIC SUSTAIN ECO SDBCBREF:BLACK:34:SOLID:DENIM SHORT PANTS</t>
  </si>
  <si>
    <t>DENIM SHORT PANTS BASIC SUSTAIN ECO SDBCBREF:BLACK:36:SOLID:DENIM SHORT PANTS</t>
  </si>
  <si>
    <t>DENIM SHORT PANTS BASIC SUSTAIN ECO SDBCBREF:BLACK:38:SOLID:DENIM SHORT PANTS</t>
  </si>
  <si>
    <t>DENIM SHORT PANTS BASIC SUSTAIN ECO SDBCBREF:BLACK:40:SOLID:DENIM SHORT PANTS</t>
  </si>
  <si>
    <t>DENIM SHORT PANTS BASIC SUSTAIN ECO SDBCBREF:MEDIUM DENIM:30:SOLID:DENIM SHORT PANTS</t>
  </si>
  <si>
    <t>DENIM SHORT PANTS BASIC SUSTAIN ECO SDBCBREF:MEDIUM DENIM:32:SOLID:DENIM SHORT PANTS</t>
  </si>
  <si>
    <t>DENIM SHORT PANTS BASIC SUSTAIN ECO SDBCBREF:MEDIUM DENIM:34:SOLID:DENIM SHORT PANTS</t>
  </si>
  <si>
    <t>DENIM SHORT PANTS BASIC SUSTAIN ECO SDBCBREF:MEDIUM DENIM:36:SOLID:DENIM SHORT PANTS</t>
  </si>
  <si>
    <t>DENIM SHORT PANTS BASIC SUSTAIN ECO SDBCBREF:MEDIUM DENIM:38:SOLID:DENIM SHORT PANTS</t>
  </si>
  <si>
    <t>DENIM SHORT PANTS BASIC SUSTAIN ECO SDBCBREF:MEDIUM DENIM:40:SOLID:DENIM SHORT PANTS</t>
  </si>
  <si>
    <t>DENIM SHORT PANTS SIMPLE REGULAR SDREGBK:MEDIUM DENIM:30:SOLID:DENIM SHORT PANTS</t>
  </si>
  <si>
    <t>DENIM SHORT PANTS SIMPLE REGULAR SDREGBK:MEDIUM DENIM:32:SOLID:DENIM SHORT PANTS</t>
  </si>
  <si>
    <t>DENIM SHORT PANTS SIMPLE REGULAR SDREGBK:MEDIUM DENIM:34:SOLID:DENIM SHORT PANTS</t>
  </si>
  <si>
    <t>DENIM SHORT PANTS SIMPLE REGULAR SDREGBK:MEDIUM DENIM:36:SOLID:DENIM SHORT PANTS</t>
  </si>
  <si>
    <t>DENIM SHORT PANTS SIMPLE REGULAR SDREGBK:MEDIUM DENIM:38:SOLID:DENIM SHORT PANTS</t>
  </si>
  <si>
    <t>DENIM SHORT PANTS SIMPLE REGULAR SDREGBK:MEDIUM DENIM:40:SOLID:DENIM SHORT PANTS</t>
  </si>
  <si>
    <t>SWSLRIB</t>
  </si>
  <si>
    <t>SWCARRIB</t>
  </si>
  <si>
    <t>SHORT PANTS CARGO RIBSTOP SWCARRIB:SAND:30:SOLID:SHORT PANTS</t>
  </si>
  <si>
    <t>SHORT PANTS CARGO RIBSTOP SWCARRIB:SAND:32:SOLID:SHORT PANTS</t>
  </si>
  <si>
    <t>SHORT PANTS CARGO RIBSTOP SWCARRIB:SAND:34:SOLID:SHORT PANTS</t>
  </si>
  <si>
    <t>SHORT PANTS CARGO RIBSTOP SWCARRIB:SAND:36:SOLID:SHORT PANTS</t>
  </si>
  <si>
    <t>SHORT PANTS CARGO RIBSTOP SWCARRIB:SAND:38:SOLID:SHORT PANTS</t>
  </si>
  <si>
    <t>SHORT PANTS CARGO RIBSTOP SWCARRIB:SAND:40:SOLID:SHORT PANTS</t>
  </si>
  <si>
    <t>SWPRHER</t>
  </si>
  <si>
    <t>BERMUDA PANTS SHORT WOVEN PRINT HERRINGBONE SWPRHER:CHARCOAL:30:SOLID:BERMUDA PANTS</t>
  </si>
  <si>
    <t>BERMUDA PANTS SHORT WOVEN PRINT HERRINGBONE SWPRHER:CHARCOAL:32:SOLID:BERMUDA PANTS</t>
  </si>
  <si>
    <t>BERMUDA PANTS SHORT WOVEN PRINT HERRINGBONE SWPRHER:CHARCOAL:34:SOLID:BERMUDA PANTS</t>
  </si>
  <si>
    <t>BERMUDA PANTS SHORT WOVEN PRINT HERRINGBONE SWPRHER:CHARCOAL:36:SOLID:BERMUDA PANTS</t>
  </si>
  <si>
    <t>BERMUDA PANTS SHORT WOVEN PRINT HERRINGBONE SWPRHER:CHARCOAL:38:SOLID:BERMUDA PANTS</t>
  </si>
  <si>
    <t>BERMUDA PANTS SHORT WOVEN PRINT HERRINGBONE SWPRHER:CHARCOAL:40:SOLID:BERMUDA PANTS</t>
  </si>
  <si>
    <t>BERMUDA PANTS SHORT WOVEN PRINT HERRINGBONE SWPRHER:VANILLA:30:SOLID:BERMUDA PANTS</t>
  </si>
  <si>
    <t>BERMUDA PANTS SHORT WOVEN PRINT HERRINGBONE SWPRHER:VANILLA:32:SOLID:BERMUDA PANTS</t>
  </si>
  <si>
    <t>BERMUDA PANTS SHORT WOVEN PRINT HERRINGBONE SWPRHER:VANILLA:34:SOLID:BERMUDA PANTS</t>
  </si>
  <si>
    <t>BERMUDA PANTS SHORT WOVEN PRINT HERRINGBONE SWPRHER:VANILLA:36:SOLID:BERMUDA PANTS</t>
  </si>
  <si>
    <t>BERMUDA PANTS SHORT WOVEN PRINT HERRINGBONE SWPRHER:VANILLA:38:SOLID:BERMUDA PANTS</t>
  </si>
  <si>
    <t>BERMUDA PANTS SHORT WOVEN PRINT HERRINGBONE SWPRHER:VANILLA:40:SOLID:BERMUDA PANTS</t>
  </si>
  <si>
    <t>SKDKSOL</t>
  </si>
  <si>
    <t>SHORT PANTS DOUBLE KNIT SOLID WITH ZIPPER SKDKSOL:BLACK:S:SOLID:SHORT PANTS</t>
  </si>
  <si>
    <t>SHORT PANTS DOUBLE KNIT SOLID WITH ZIPPER SKDKSOL:BLACK:M:SOLID:SHORT PANTS</t>
  </si>
  <si>
    <t>SHORT PANTS DOUBLE KNIT SOLID WITH ZIPPER SKDKSOL:BLACK:L:SOLID:SHORT PANTS</t>
  </si>
  <si>
    <t>SHORT PANTS DOUBLE KNIT SOLID WITH ZIPPER SKDKSOL:BLACK:XL:SOLID:SHORT PANTS</t>
  </si>
  <si>
    <t>SHORT PANTS DOUBLE KNIT SOLID WITH ZIPPER SKDKSOL:BLACK:XXL:SOLID:SHORT PANTS</t>
  </si>
  <si>
    <t>SHORT PANTS DOUBLE KNIT SOLID WITH ZIPPER SKDKSOL:BLACK:3L:SOLID:SHORT PANTS</t>
  </si>
  <si>
    <t>SKOTTFAN</t>
  </si>
  <si>
    <t>SHORT PANTS KNIT OTTOMAN COLLECTIONS PATCH POCKET SKOTTFAN:WOOD BROWN:S:SOLID:SHORT PANTS</t>
  </si>
  <si>
    <t>SHORT PANTS KNIT OTTOMAN COLLECTIONS PATCH POCKET SKOTTFAN:WOOD BROWN:M:SOLID:SHORT PANTS</t>
  </si>
  <si>
    <t>SHORT PANTS KNIT OTTOMAN COLLECTIONS PATCH POCKET SKOTTFAN:WOOD BROWN:L:SOLID:SHORT PANTS</t>
  </si>
  <si>
    <t>SHORT PANTS KNIT OTTOMAN COLLECTIONS PATCH POCKET SKOTTFAN:WOOD BROWN:XL:SOLID:SHORT PANTS</t>
  </si>
  <si>
    <t>SHORT PANTS KNIT OTTOMAN COLLECTIONS PATCH POCKET SKOTTFAN:BLACK:XXL:SOLID:SHORT PANTS</t>
  </si>
  <si>
    <t>SHORT PANTS KNIT OTTOMAN COLLECTIONS PATCH POCKET SKOTTFAN:BLACK:3L:SOLID:SHORT PANTS</t>
  </si>
  <si>
    <t>SKTRBC</t>
  </si>
  <si>
    <t>SHORT PANTS KNIT OTTOMAN COLLECTIONS PATCH POCKET SKOTTFAN:BLACK:S:SOLID:SHORT PANTS</t>
  </si>
  <si>
    <t>SHORT PANTS KNIT OTTOMAN COLLECTIONS PATCH POCKET SKOTTFAN:BLACK:M:SOLID:SHORT PANTS</t>
  </si>
  <si>
    <t>SHORT PANTS KNIT OTTOMAN COLLECTIONS PATCH POCKET SKOTTFAN:BLACK:L:SOLID:SHORT PANTS</t>
  </si>
  <si>
    <t>SHORT PANTS KNIT OTTOMAN COLLECTIONS PATCH POCKET SKOTTFAN:BLACK:XL:SOLID:SHORT PANTS</t>
  </si>
  <si>
    <t>SHORT PANTS KNIT OTTOMAN COLLECTIONS PATCH POCKET SKOTTFAN:OLIVE:S:SOLID:SHORT PANTS</t>
  </si>
  <si>
    <t>SHORT PANTS KNIT OTTOMAN COLLECTIONS PATCH POCKET SKOTTFAN:OLIVE:M:SOLID:SHORT PANTS</t>
  </si>
  <si>
    <t>SHORT PANTS KNIT OTTOMAN COLLECTIONS PATCH POCKET SKOTTFAN:OLIVE:L:SOLID:SHORT PANTS</t>
  </si>
  <si>
    <t>SHORT PANTS KNIT OTTOMAN COLLECTIONS PATCH POCKET SKOTTFAN:OLIVE:XL:SOLID:SHORT PANTS</t>
  </si>
  <si>
    <t>SHORT PANTS WOVEN SOLID PULLON SWSLRIB:FROST GREY:S:SOLID:SHORT PANTS</t>
  </si>
  <si>
    <t>SHORT PANTS WOVEN SOLID PULLON SWSLRIB:FROST GREY:M:SOLID:SHORT PANTS</t>
  </si>
  <si>
    <t>SHORT PANTS WOVEN SOLID PULLON SWSLRIB:FROST GREY:L:SOLID:SHORT PANTS</t>
  </si>
  <si>
    <t>SHORT PANTS WOVEN SOLID PULLON SWSLRIB:FROST GREY:XL:SOLID:SHORT PANTS</t>
  </si>
  <si>
    <t>SHORT PANTS CARGO RIBSTOP SWCARRIB:OLIVE:30:SOLID:SHORT PANTS</t>
  </si>
  <si>
    <t>SHORT PANTS CARGO RIBSTOP SWCARRIB:OLIVE:32:SOLID:SHORT PANTS</t>
  </si>
  <si>
    <t>SHORT PANTS CARGO RIBSTOP SWCARRIB:OLIVE:34:SOLID:SHORT PANTS</t>
  </si>
  <si>
    <t>SHORT PANTS CARGO RIBSTOP SWCARRIB:OLIVE:36:SOLID:SHORT PANTS</t>
  </si>
  <si>
    <t>SHORT PANTS CARGO RIBSTOP SWCARRIB:OLIVE:38:SOLID:SHORT PANTS</t>
  </si>
  <si>
    <t>SHORT PANTS CARGO RIBSTOP SWCARRIB:OLIVE:40:SOLID:SHORT PANTS</t>
  </si>
  <si>
    <t>SKBCSOL</t>
  </si>
  <si>
    <t>SHORT PANTS KNIT TERRY SOLID WITH ZIPPER SKBCSOL:MISTY DARK GREY:S:SOLID:SHORT PANTS</t>
  </si>
  <si>
    <t>SHORT PANTS KNIT TERRY SOLID WITH ZIPPER SKBCSOL:MISTY DARK GREY:M:SOLID:SHORT PANTS</t>
  </si>
  <si>
    <t>SHORT PANTS KNIT TERRY SOLID WITH ZIPPER SKBCSOL:MISTY DARK GREY:L:SOLID:SHORT PANTS</t>
  </si>
  <si>
    <t>SHORT PANTS KNIT TERRY SOLID WITH ZIPPER SKBCSOL:MISTY DARK GREY:XL:SOLID:SHORT PANTS</t>
  </si>
  <si>
    <t>SHORT PANTS DOUBLE KNIT SOLID WITH ZIPPER SKDKSOL:CHARCOAL:S:SOLID:SHORT PANTS</t>
  </si>
  <si>
    <t>SHORT PANTS DOUBLE KNIT SOLID WITH ZIPPER SKDKSOL:CHARCOAL:M:SOLID:SHORT PANTS</t>
  </si>
  <si>
    <t>SHORT PANTS DOUBLE KNIT SOLID WITH ZIPPER SKDKSOL:CHARCOAL:L:SOLID:SHORT PANTS</t>
  </si>
  <si>
    <t>SHORT PANTS DOUBLE KNIT SOLID WITH ZIPPER SKDKSOL:CHARCOAL:XL:SOLID:SHORT PANTS</t>
  </si>
  <si>
    <t>SHORT PANTS KNIT TERRY SOLID WITH ZIPPER SKBCSOL:BLACK:S:SOLID:SHORT PANTS</t>
  </si>
  <si>
    <t>SHORT PANTS KNIT TERRY SOLID WITH ZIPPER SKBCSOL:BLACK:M:SOLID:SHORT PANTS</t>
  </si>
  <si>
    <t>SHORT PANTS KNIT TERRY SOLID WITH ZIPPER SKBCSOL:BLACK:L:SOLID:SHORT PANTS</t>
  </si>
  <si>
    <t>SHORT PANTS KNIT TERRY SOLID WITH ZIPPER SKBCSOL:BLACK:XL:SOLID:SHORT PANTS</t>
  </si>
  <si>
    <t>SHORT PANTS KNIT TERRY SOLID WITH ZIPPER SKBCSOL:BLACK:XXL:SOLID:SHORT PANTS</t>
  </si>
  <si>
    <t>SHORT PANTS KNIT TERRY SOLID WITH ZIPPER SKBCSOL:BLACK:3L:SOLID:SHORT PANTS</t>
  </si>
  <si>
    <t>SP</t>
  </si>
  <si>
    <t>SPECIAL PRICE</t>
  </si>
  <si>
    <t>LONG PANTS WOVEN 5 POCKET REGULAR PW5POCRG:SAND:34:SOLID:LONG PANTS</t>
  </si>
  <si>
    <t>LONG PANTS WOVEN 5 POCKET REGULAR PW5POCRG:SAND:36:SOLID:LONG PANTS</t>
  </si>
  <si>
    <t>LONG PANTS WOVEN 5 POCKET REGULAR PW5POCRG:SAND:38:SOLID:LONG PANTS</t>
  </si>
  <si>
    <t>LONG PANTS WOVEN 5 POCKET REGULAR PW5POCRG:SAND:40:SOLID:LONG PANTS</t>
  </si>
  <si>
    <t>PWDUTT09</t>
  </si>
  <si>
    <t>PWSANSL</t>
  </si>
  <si>
    <t>PWMPSL03</t>
  </si>
  <si>
    <t>PWCARJG</t>
  </si>
  <si>
    <t>JOGSOLID</t>
  </si>
  <si>
    <t>SWSTRIPE</t>
  </si>
  <si>
    <t>SCARGOMS</t>
  </si>
  <si>
    <t>SWSOLCRG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</si>
  <si>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</si>
  <si>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</si>
  <si>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</si>
  <si>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</si>
  <si>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</si>
  <si>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</si>
  <si>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</si>
  <si>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PDBKREG:BLACK:30:SOLID:DENIM LONG PANTS</t>
  </si>
  <si>
    <t>DENIM LONG PANTS BASIC BLK REGULAR PDBKREG:BLACK:32:SOLID:DENIM LONG PANTS</t>
  </si>
  <si>
    <t>DENIM LONG PANTS BASIC BLK REGULAR PDBKREG:BLACK:34:SOLID:DENIM LONG PANTS</t>
  </si>
  <si>
    <t>DENIM LONG PANTS BASIC BLK REGULAR PDBKREG:BLACK:36:SOLID:DENIM LONG PANTS</t>
  </si>
  <si>
    <t>DENIM LONG PANTS BASIC BLK REGULAR PDBKREG:BLACK:38:SOLID:DENIM LONG PANTS</t>
  </si>
  <si>
    <t>DENIM LONG PANTS BASIC BLK REGULAR PDBKREG:BLACK:40:SOLID:DENIM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</si>
  <si>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</si>
  <si>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</si>
  <si>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</si>
  <si>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</si>
  <si>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</si>
  <si>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</si>
  <si>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PDBCREC</t>
  </si>
  <si>
    <t>DENIM LONG PANTS BASIC REGULAR REC CTN WHISKER SPRAY PDBCREC:MEDIUM DENIM:30:SOLID:DENIM LONG PANTS</t>
  </si>
  <si>
    <t>DENIM LONG PANTS BASIC REGULAR REC CTN WHISKER SPRAY PDBCREC:MEDIUM DENIM:32:SOLID:DENIM LONG PANTS</t>
  </si>
  <si>
    <t>DENIM LONG PANTS BASIC REGULAR REC CTN WHISKER SPRAY PDBCREC:MEDIUM DENIM:34:SOLID:DENIM LONG PANTS</t>
  </si>
  <si>
    <t>DENIM LONG PANTS BASIC REGULAR REC CTN WHISKER SPRAY PDBCREC:MEDIUM DENIM:36:SOLID:DENIM LONG PANTS</t>
  </si>
  <si>
    <t>DENIM LONG PANTS BASIC REGULAR REC CTN WHISKER SPRAY PDBCREC:MEDIUM DENIM:38:SOLID:DENIM LONG PANTS</t>
  </si>
  <si>
    <t>DENIM LONG PANTS BASIC REGULAR REC CTN WHISKER SPRAY PDBCREC:MEDIUM DENIM:40:SOLID:DENIM LONG PANTS</t>
  </si>
  <si>
    <t>DENIM LONG PANTS BASIC REGULAR REC CTN WHISKER SPRAY PDBCREC:DARK DENIM:30:SOLID:DENIM LONG PANTS</t>
  </si>
  <si>
    <t>DENIM LONG PANTS BASIC REGULAR REC CTN WHISKER SPRAY PDBCREC:DARK DENIM:32:SOLID:DENIM LONG PANTS</t>
  </si>
  <si>
    <t>DENIM LONG PANTS BASIC REGULAR REC CTN WHISKER SPRAY PDBCREC:DARK DENIM:36:SOLID:DENIM LONG PANTS</t>
  </si>
  <si>
    <t>DENIM LONG PANTS BASIC REGULAR REC CTN WHISKER SPRAY PDBCREC:DARK DENIM:38:SOLID:DENIM LONG PANTS</t>
  </si>
  <si>
    <t>DENIM LONG PANTS BASIC REGULAR REC CTN WHISKER SPRAY PDBCREC:DARK DENIM:40:SOLID:DENIM LONG PANTS</t>
  </si>
  <si>
    <t>PDBKSLIM</t>
  </si>
  <si>
    <t>DENIM LONG PANTS BASIC BLK SLIM PDBKSLIM:BLACK:30:SOLID:DENIM LONG PANTS</t>
  </si>
  <si>
    <t>DENIM LONG PANTS BASIC BLK SLIM PDBKSLIM:BLACK:32:SOLID:DENIM LONG PANTS</t>
  </si>
  <si>
    <t>DENIM LONG PANTS BASIC BLK SLIM PDBKSLIM:BLACK:34:SOLID:DENIM LONG PANTS</t>
  </si>
  <si>
    <t>DENIM LONG PANTS BASIC BLK SLIM PDBKSLIM:BLACK:36:SOLID:DENIM LONG PANTS</t>
  </si>
  <si>
    <t>DENIM LONG PANTS BASIC BLK SLIM PDBKSLIM:BLACK:38:SOLID:DENIM LONG PANTS</t>
  </si>
  <si>
    <t>DENIM LONG PANTS BASIC BLK SLIM PDBKSLIM:BLACK:40:SOLID:DENIM LONG PANTS</t>
  </si>
  <si>
    <t>PDECSLIM</t>
  </si>
  <si>
    <t>DENIM LONG PANTS BASIC SLIM ECO PDECSLIM:DARK DENIM:30:SOLID:DENIM LONG PANTS</t>
  </si>
  <si>
    <t>DENIM LONG PANTS BASIC SLIM ECO PDECSLIM:DARK DENIM:32:SOLID:DENIM LONG PANTS</t>
  </si>
  <si>
    <t>DENIM LONG PANTS BASIC SLIM ECO PDECSLIM:DARK DENIM:34:SOLID:DENIM LONG PANTS</t>
  </si>
  <si>
    <t>DENIM LONG PANTS BASIC SLIM ECO PDECSLIM:DARK DENIM:36:SOLID:DENIM LONG PANTS</t>
  </si>
  <si>
    <t>DENIM LONG PANTS BASIC SLIM ECO PDECSLIM:DARK DENIM:38:SOLID:DENIM LONG PANTS</t>
  </si>
  <si>
    <t>DENIM LONG PANTS BASIC SLIM ECO PDECSLIM:DARK DENIM:40:SOLID:DENIM LONG PANTS</t>
  </si>
  <si>
    <t>PDMILSLIM</t>
  </si>
  <si>
    <t>DENIM LONG PANTS BASIC SLIM MILEA WHISKER SPRAY PDMILSLIM:MEDIUM DENIM:30:SOLID:DENIM LONG PANTS</t>
  </si>
  <si>
    <t>DENIM LONG PANTS BASIC SLIM MILEA WHISKER SPRAY PDMILSLIM:MEDIUM DENIM:32:SOLID:DENIM LONG PANTS</t>
  </si>
  <si>
    <t>DENIM LONG PANTS BASIC SLIM MILEA WHISKER SPRAY PDMILSLIM:MEDIUM DENIM:34:SOLID:DENIM LONG PANTS</t>
  </si>
  <si>
    <t>DENIM LONG PANTS BASIC SLIM MILEA WHISKER SPRAY PDMILSLIM:MEDIUM DENIM:36:SOLID:DENIM LONG PANTS</t>
  </si>
  <si>
    <t>DENIM LONG PANTS BASIC SLIM MILEA WHISKER SPRAY PDMILSLIM:MEDIUM DENIM:38:SOLID:DENIM LONG PANTS</t>
  </si>
  <si>
    <t>DENIM LONG PANTS BASIC SLIM MILEA WHISKER SPRAY PDMILSLIM:MEDIUM DENIM:40:SOLID:DENIM LONG PANTS</t>
  </si>
  <si>
    <t>DENIM LONG PANTS BASIC SLIM MILEA WHISKER SPRAY PDMILSLIM:DARK DENIM:30:SOLID:DENIM LONG PANTS</t>
  </si>
  <si>
    <t>DENIM LONG PANTS BASIC SLIM MILEA WHISKER SPRAY PDMILSLIM:DARK DENIM:32:SOLID:DENIM LONG PANTS</t>
  </si>
  <si>
    <t>DENIM LONG PANTS BASIC SLIM MILEA WHISKER SPRAY PDMILSLIM:DARK DENIM:34:SOLID:DENIM LONG PANTS</t>
  </si>
  <si>
    <t>DENIM LONG PANTS BASIC SLIM MILEA WHISKER SPRAY PDMILSLIM:DARK DENIM:36:SOLID:DENIM LONG PANTS</t>
  </si>
  <si>
    <t>DENIM LONG PANTS BASIC SLIM MILEA WHISKER SPRAY PDMILSLIM:DARK DENIM:38:SOLID:DENIM LONG PANTS</t>
  </si>
  <si>
    <t>DENIM LONG PANTS BASIC SLIM MILEA WHISKER SPRAY PDMILSLIM:DARK DENIM:40:SOLID:DENIM LONG PANTS</t>
  </si>
  <si>
    <t>PDMILBLK</t>
  </si>
  <si>
    <t>DENIM LONG PANTS BASIC SLIM MILEA WHISKER SPRAY PDMILBLK:BLACK:30:SOLID:DENIM LONG PANTS</t>
  </si>
  <si>
    <t>DENIM LONG PANTS BASIC SLIM MILEA WHISKER SPRAY PDMILBLK:BLACK:32:SOLID:DENIM LONG PANTS</t>
  </si>
  <si>
    <t>DENIM LONG PANTS BASIC SLIM MILEA WHISKER SPRAY PDMILBLK:BLACK:34:SOLID:DENIM LONG PANTS</t>
  </si>
  <si>
    <t>DENIM LONG PANTS BASIC SLIM MILEA WHISKER SPRAY PDMILBLK:BLACK:36:SOLID:DENIM LONG PANTS</t>
  </si>
  <si>
    <t>DENIM LONG PANTS BASIC SLIM MILEA WHISKER SPRAY PDMILBLK:BLACK:38:SOLID:DENIM LONG PANTS</t>
  </si>
  <si>
    <t>DENIM LONG PANTS BASIC SLIM MILEA WHISKER SPRAY PDMILBLK:BLACK:40:SOLID:DENIM LONG PANTS</t>
  </si>
  <si>
    <t>DENIM SHORT PANTS SIMPLE REGULAR SDREGBK:BLACK:30:SOLID:DENIM SHORT PANTS</t>
  </si>
  <si>
    <t>DENIM SHORT PANTS SIMPLE REGULAR SDREGBK:BLACK:32:SOLID:DENIM SHORT PANTS</t>
  </si>
  <si>
    <t>DENIM SHORT PANTS SIMPLE REGULAR SDREGBK:BLACK:34:SOLID:DENIM SHORT PANTS</t>
  </si>
  <si>
    <t>DENIM SHORT PANTS SIMPLE REGULAR SDREGBK:BLACK:36:SOLID:DENIM SHORT PANTS</t>
  </si>
  <si>
    <t>DENIM SHORT PANTS SIMPLE REGULAR SDREGBK:BLACK:38:SOLID:DENIM SHORT PANTS</t>
  </si>
  <si>
    <t>DENIM SHORT PANTS SIMPLE REGULAR SDREGBK:BLACK:40:SOLID:DENIM SHORT PANTS</t>
  </si>
  <si>
    <t>DENIM SHORT PANTS SIMPLE REGULAR SDREGBK:DARK DENIM:30:SOLID:DENIM SHORT PANTS</t>
  </si>
  <si>
    <t>DENIM SHORT PANTS SIMPLE REGULAR SDREGBK:DARK DENIM:32:SOLID:DENIM SHORT PANTS</t>
  </si>
  <si>
    <t>DENIM SHORT PANTS SIMPLE REGULAR SDREGBK:DARK DENIM:34:SOLID:DENIM SHORT PANTS</t>
  </si>
  <si>
    <t>DENIM SHORT PANTS SIMPLE REGULAR SDREGBK:DARK DENIM:36:SOLID:DENIM SHORT PANTS</t>
  </si>
  <si>
    <t>DENIM SHORT PANTS SIMPLE REGULAR SDREGBK:DARK DENIM:38:SOLID:DENIM SHORT PANTS</t>
  </si>
  <si>
    <t>DENIM SHORT PANTS SIMPLE REGULAR SDREGBK:DARK DENIM:40:SOLID:DENIM SHORT PANTS</t>
  </si>
  <si>
    <t>DENIM LONG PANTS BASIC SLIM ECO PDECSLIM:MEDIUM DENIM:30:SOLID:DENIM LONG PANTS</t>
  </si>
  <si>
    <t>DENIM LONG PANTS BASIC SLIM ECO PDECSLIM:MEDIUM DENIM:32:SOLID:DENIM LONG PANTS</t>
  </si>
  <si>
    <t>DENIM LONG PANTS BASIC SLIM ECO PDECSLIM:MEDIUM DENIM:34:SOLID:DENIM LONG PANTS</t>
  </si>
  <si>
    <t>DENIM LONG PANTS BASIC SLIM ECO PDECSLIM:MEDIUM DENIM:36:SOLID:DENIM LONG PANTS</t>
  </si>
  <si>
    <t>DENIM LONG PANTS BASIC SLIM ECO PDECSLIM:MEDIUM DENIM:38:SOLID:DENIM LONG PANTS</t>
  </si>
  <si>
    <t>DENIM LONG PANTS BASIC SLIM ECO PDECSLIM:MEDIUM DENIM:40:SOLID:DENIM LONG PANTS</t>
  </si>
  <si>
    <t>LONG PANTS KNIT CASUAL LOOKS PKJOGCSL:MISTY DARK GREY:S:SOLID:LONG PANTS</t>
  </si>
  <si>
    <t>LONG PANTS KNIT CASUAL LOOKS PKJOGCSL:MISTY DARK GREY:M:SOLID:LONG PANTS</t>
  </si>
  <si>
    <t>LONG PANTS KNIT CASUAL LOOKS PKJOGCSL:MISTY DARK GREY:L:SOLID:LONG PANTS</t>
  </si>
  <si>
    <t>LONG PANTS KNIT CASUAL LOOKS PKJOGCSL:MISTY DARK GREY:XL:SOLID:LONG PANTS</t>
  </si>
  <si>
    <t>JOGGER KI LONG JG JGTRBC:BLACK:S:SOLID:JOGGER</t>
  </si>
  <si>
    <t>JOGGER KI LONG JG JGTRBC:BLACK:M:SOLID:JOGGER</t>
  </si>
  <si>
    <t>JOGGER KI LONG JG JGTRBC:BLACK:L:SOLID:JOGGER</t>
  </si>
  <si>
    <t>JOGGER KI LONG JG JGTRBC:BLACK:XL:SOLID:JOGGER</t>
  </si>
  <si>
    <t>SHORT PANTS KI KNIT SKTRBC:BLACK:S:SOLID:SHORT PANTS</t>
  </si>
  <si>
    <t>SHORT PANTS KI KNIT SKTRBC:BLACK:M:SOLID:SHORT PANTS</t>
  </si>
  <si>
    <t>SHORT PANTS KI KNIT SKTRBC:BLACK:L:SOLID:SHORT PANTS</t>
  </si>
  <si>
    <t>SHORT PANTS KI KNIT SKTRBC:BLACK:XL:SOLID:SHORT PANTS</t>
  </si>
  <si>
    <t>SHORT PANTS KI KNIT SKTRBC:MISTY DARK GREY:S:SOLID:SHORT PANTS</t>
  </si>
  <si>
    <t>SHORT PANTS KI KNIT SKTRBC:MISTY DARK GREY:M:SOLID:SHORT PANTS</t>
  </si>
  <si>
    <t>SHORT PANTS KI KNIT SKTRBC:MISTY DARK GREY:L:SOLID:SHORT PANTS</t>
  </si>
  <si>
    <t>SHORT PANTS KI KNIT SKTRBC:MISTY DARK GREY:XL:SOLID:SHORT PANTS</t>
  </si>
  <si>
    <t>LONG PANTS NYC WOVEN SLIM 02 NYCPWSL02:BLACK:30:SOLID:LONG PANTS</t>
  </si>
  <si>
    <t>LONG PANTS NYC WOVEN SLIM 02 NYCPWSL02:BLACK:32:SOLID:LONG PANTS</t>
  </si>
  <si>
    <t>LONG PANTS NYC WOVEN SLIM 02 NYCPWSL02:BLACK:34:SOLID:LONG PANTS</t>
  </si>
  <si>
    <t>LONG PANTS NYC WOVEN SLIM 02 NYCPWSL02:BLACK:36:SOLID:LONG PANTS</t>
  </si>
  <si>
    <t>LONG PANTS NYC WOVEN SLIM 02 NYCPWSL02:BLACK:38:SOLID:LONG PANTS</t>
  </si>
  <si>
    <t>LONG PANTS NYC WOVEN SLIM 02 NYCPWSL02:BLACK:40:SOLID:LONG PANTS</t>
  </si>
  <si>
    <t>LONG PANTS NYC WOVEN SLIM 02 NYCPWSL02:SAND:30:SOLID:LONG PANTS</t>
  </si>
  <si>
    <t>LONG PANTS NYC WOVEN SLIM 02 NYCPWSL02:SAND:32:SOLID:LONG PANTS</t>
  </si>
  <si>
    <t>LONG PANTS NYC WOVEN SLIM 02 NYCPWSL02:SAND:34:SOLID:LONG PANTS</t>
  </si>
  <si>
    <t>LONG PANTS NYC WOVEN SLIM 02 NYCPWSL02:SAND:36:SOLID:LONG PANTS</t>
  </si>
  <si>
    <t>LONG PANTS NYC WOVEN SLIM 02 NYCPWSL02:SAND:38:SOLID:LONG PANTS</t>
  </si>
  <si>
    <t>LONG PANTS NYC WOVEN SLIM 02 NYCPWSL02:SAND:40:SOLID:LONG PANTS</t>
  </si>
  <si>
    <t>LONG PANTS NYC WOVEN SLIM 02 NYCPWSL02:CHARCOAL:30:SOLID:LONG PANTS</t>
  </si>
  <si>
    <t>LONG PANTS NYC WOVEN SLIM 02 NYCPWSL02:CHARCOAL:32:SOLID:LONG PANTS</t>
  </si>
  <si>
    <t>LONG PANTS NYC WOVEN SLIM 02 NYCPWSL02:CHARCOAL:34:SOLID:LONG PANTS</t>
  </si>
  <si>
    <t>LONG PANTS NYC WOVEN SLIM 02 NYCPWSL02:CHARCOAL:36:SOLID:LONG PANTS</t>
  </si>
  <si>
    <t>LONG PANTS NYC WOVEN SLIM 02 NYCPWSL02:CHARCOAL:38:SOLID:LONG PANTS</t>
  </si>
  <si>
    <t>LONG PANTS NYC WOVEN SLIM 02 NYCPWSL02:CHARCOAL:40:SOLID:LONG PANTS</t>
  </si>
  <si>
    <t>JOGGER PANTS WOVEN SLIM PWJOGSL:SAND:S:SOLID:JOGGER</t>
  </si>
  <si>
    <t>JOGGER PANTS WOVEN SLIM PWJOGSL:SAND:M:SOLID:JOGGER</t>
  </si>
  <si>
    <t>JOGGER PANTS WOVEN SLIM PWJOGSL:SAND:L:SOLID:JOGGER</t>
  </si>
  <si>
    <t>JOGGER PANTS WOVEN SLIM PWJOGSL:SAND:XL:SOLID:JOGGER</t>
  </si>
  <si>
    <t>JOGGER PANTS WOVEN SLIM PWJOGSL:BLACK:S:SOLID:JOGGER</t>
  </si>
  <si>
    <t>JOGGER PANTS WOVEN SLIM PWJOGSL:BLACK:M:SOLID:JOGGER</t>
  </si>
  <si>
    <t>JOGGER PANTS WOVEN SLIM PWJOGSL:BLACK:L:SOLID:JOGGER</t>
  </si>
  <si>
    <t>JOGGER PANTS WOVEN SLIM PWJOGSL:BLACK:XL:SOLID:JOGGER</t>
  </si>
  <si>
    <t>NYCPWCAR</t>
  </si>
  <si>
    <t>LONG PANTS CARGO NYC REG ARKET NYCPWCAR:NAVY BLUE:30:SOLID:LONG PANTS</t>
  </si>
  <si>
    <t>LONG PANTS CARGO NYC REG ARKET NYCPWCAR:NAVY BLUE:32:SOLID:LONG PANTS</t>
  </si>
  <si>
    <t>LONG PANTS CARGO NYC REG ARKET NYCPWCAR:NAVY BLUE:34:SOLID:LONG PANTS</t>
  </si>
  <si>
    <t>LONG PANTS CARGO NYC REG ARKET NYCPWCAR:NAVY BLUE:36:SOLID:LONG PANTS</t>
  </si>
  <si>
    <t>LONG PANTS CARGO NYC REG ARKET NYCPWCAR:NAVY BLUE:38:SOLID:LONG PANTS</t>
  </si>
  <si>
    <t>LONG PANTS CARGO NYC REG ARKET NYCPWCAR:NAVY BLUE:40:SOLID:LONG PANTS</t>
  </si>
  <si>
    <t>LONG PANTS CARGO NYC REG ARKET NYCPWCAR:SAND:30:SOLID:LONG PANTS</t>
  </si>
  <si>
    <t>LONG PANTS CARGO NYC REG ARKET NYCPWCAR:SAND:32:SOLID:LONG PANTS</t>
  </si>
  <si>
    <t>LONG PANTS CARGO NYC REG ARKET NYCPWCAR:SAND:34:SOLID:LONG PANTS</t>
  </si>
  <si>
    <t>LONG PANTS CARGO NYC REG ARKET NYCPWCAR:SAND:36:SOLID:LONG PANTS</t>
  </si>
  <si>
    <t>LONG PANTS CARGO NYC REG ARKET NYCPWCAR:SAND:38:SOLID:LONG PANTS</t>
  </si>
  <si>
    <t>LONG PANTS CARGO NYC REG ARKET NYCPWCAR:SAND:40:SOLID:LONG PANTS</t>
  </si>
  <si>
    <t>JOGGER PANTS WOVEN CARGO ELASTIC WAISTBAND PWCARJG:BLACK:S:SOLID:JOGGER</t>
  </si>
  <si>
    <t>JOGGER PANTS WOVEN CARGO ELASTIC WAISTBAND PWCARJG:BLACK:M:SOLID:JOGGER</t>
  </si>
  <si>
    <t>JOGGER PANTS WOVEN CARGO ELASTIC WAISTBAND PWCARJG:BLACK:L:SOLID:JOGGER</t>
  </si>
  <si>
    <t>JOGGER PANTS WOVEN CARGO ELASTIC WAISTBAND PWCARJG:BLACK:XL:SOLID:JOGGER</t>
  </si>
  <si>
    <t>JOGGER PANTS WOVEN CARGO ELASTIC WAISTBAND PWCARJG:SAND:S:SOLID:JOGGER</t>
  </si>
  <si>
    <t>JOGGER PANTS WOVEN CARGO ELASTIC WAISTBAND PWCARJG:SAND:M:SOLID:JOGGER</t>
  </si>
  <si>
    <t>JOGGER PANTS WOVEN CARGO ELASTIC WAISTBAND PWCARJG:SAND:L:SOLID:JOGGER</t>
  </si>
  <si>
    <t>JOGGER PANTS WOVEN CARGO ELASTIC WAISTBAND PWCARJG:SAND:XL:SOLID:JOGGER</t>
  </si>
  <si>
    <t>LONG PANTS WOVEN 5 POCKET REGULAR PW5POCRG:BLACK:30:SOLID:LONG PANTS</t>
  </si>
  <si>
    <t>LONG PANTS WOVEN 5 POCKET REGULAR PW5POCRG:BLACK:32:SOLID:LONG PANTS</t>
  </si>
  <si>
    <t>LONG PANTS WOVEN 5 POCKET REGULAR PW5POCRG:BLACK:34:SOLID:LONG PANTS</t>
  </si>
  <si>
    <t>LONG PANTS WOVEN 5 POCKET REGULAR PW5POCRG:BLACK:36:SOLID:LONG PANTS</t>
  </si>
  <si>
    <t>LONG PANTS WOVEN 5 POCKET REGULAR PW5POCRG:BLACK:38:SOLID:LONG PANTS</t>
  </si>
  <si>
    <t>LONG PANTS WOVEN 5 POCKET REGULAR PW5POCRG:BLACK:40:SOLID:LONG PANTS</t>
  </si>
  <si>
    <t>LONG PANTS WOVEN REGULAR DUTTI 09 PWDUTT09:KHAKI:30:SOLID:LONG PANTS</t>
  </si>
  <si>
    <t>LONG PANTS WOVEN REGULAR DUTTI 09 PWDUTT09:KHAKI:32:SOLID:LONG PANTS</t>
  </si>
  <si>
    <t>LONG PANTS WOVEN REGULAR DUTTI 09 PWDUTT09:KHAKI:34:SOLID:LONG PANTS</t>
  </si>
  <si>
    <t>LONG PANTS WOVEN REGULAR DUTTI 09 PWDUTT09:KHAKI:36:SOLID:LONG PANTS</t>
  </si>
  <si>
    <t>LONG PANTS WOVEN REGULAR DUTTI 09 PWDUTT09:KHAKI:38:SOLID:LONG PANTS</t>
  </si>
  <si>
    <t>LONG PANTS WOVEN REGULAR DUTTI 09 PWDUTT09:KHAKI:40:SOLID:LONG PANTS</t>
  </si>
  <si>
    <t>LONG PANTS WOVEN REGULAR DUTTI 09 PWDUTT09:BLACK:30:SOLID:LONG PANTS</t>
  </si>
  <si>
    <t>LONG PANTS WOVEN REGULAR DUTTI 09 PWDUTT09:BLACK:32:SOLID:LONG PANTS</t>
  </si>
  <si>
    <t>LONG PANTS WOVEN REGULAR DUTTI 09 PWDUTT09:BLACK:34:SOLID:LONG PANTS</t>
  </si>
  <si>
    <t>LONG PANTS WOVEN REGULAR DUTTI 09 PWDUTT09:BLACK:36:SOLID:LONG PANTS</t>
  </si>
  <si>
    <t>LONG PANTS WOVEN REGULAR DUTTI 09 PWDUTT09:BLACK:38:SOLID:LONG PANTS</t>
  </si>
  <si>
    <t>LONG PANTS WOVEN REGULAR DUTTI 09 PWDUTT09:BLACK:40:SOLID:LONG PANTS</t>
  </si>
  <si>
    <t>LONG PANTS WOVEN FANCY STITCH SLIM PWSANSL:KHAKI:30:SOLID:LONG PANTS</t>
  </si>
  <si>
    <t>LONG PANTS WOVEN FANCY STITCH SLIM PWSANSL:KHAKI:32:SOLID:LONG PANTS</t>
  </si>
  <si>
    <t>LONG PANTS WOVEN FANCY STITCH SLIM PWSANSL:KHAKI:34:SOLID:LONG PANTS</t>
  </si>
  <si>
    <t>LONG PANTS WOVEN FANCY STITCH SLIM PWSANSL:KHAKI:36:SOLID:LONG PANTS</t>
  </si>
  <si>
    <t>LONG PANTS WOVEN FANCY STITCH SLIM PWSANSL:KHAKI:38:SOLID:LONG PANTS</t>
  </si>
  <si>
    <t>LONG PANTS WOVEN FANCY STITCH SLIM PWSANSL:KHAKI:40:SOLID:LONG PANTS</t>
  </si>
  <si>
    <t>LONG PANTS WOVEN FANCY STITCH SLIM PWSANSL:OLIVE:30:SOLID:LONG PANTS</t>
  </si>
  <si>
    <t>LONG PANTS WOVEN FANCY STITCH SLIM PWSANSL:OLIVE:32:SOLID:LONG PANTS</t>
  </si>
  <si>
    <t>LONG PANTS WOVEN FANCY STITCH SLIM PWSANSL:OLIVE:34:SOLID:LONG PANTS</t>
  </si>
  <si>
    <t>LONG PANTS WOVEN FANCY STITCH SLIM PWSANSL:OLIVE:36:SOLID:LONG PANTS</t>
  </si>
  <si>
    <t>LONG PANTS WOVEN FANCY STITCH SLIM PWSANSL:OLIVE:38:SOLID:LONG PANTS</t>
  </si>
  <si>
    <t>LONG PANTS WOVEN FANCY STITCH SLIM PWSANSL:OLIVE:40:SOLID:LONG PANTS</t>
  </si>
  <si>
    <t>LONG PANTS WOVEN FANCY STITCH SLIM PWSANSL:PASTEL GREY:30:SOLID:LONG PANTS</t>
  </si>
  <si>
    <t>LONG PANTS WOVEN FANCY STITCH SLIM PWSANSL:PASTEL GREY:32:SOLID:LONG PANTS</t>
  </si>
  <si>
    <t>LONG PANTS WOVEN FANCY STITCH SLIM PWSANSL:PASTEL GREY:34:SOLID:LONG PANTS</t>
  </si>
  <si>
    <t>LONG PANTS WOVEN FANCY STITCH SLIM PWSANSL:PASTEL GREY:36:SOLID:LONG PANTS</t>
  </si>
  <si>
    <t>LONG PANTS WOVEN FANCY STITCH SLIM PWSANSL:PASTEL GREY:38:SOLID:LONG PANTS</t>
  </si>
  <si>
    <t>LONG PANTS WOVEN FANCY STITCH SLIM PWSANSL:PASTEL GREY:40:SOLID:LONG PANTS</t>
  </si>
  <si>
    <t>LONG PANTS WOVEN FANCY STITCH SLIM PWSANSL:BLACK:30:SOLID:LONG PANTS</t>
  </si>
  <si>
    <t>LONG PANTS WOVEN FANCY STITCH SLIM PWSANSL:BLACK:32:SOLID:LONG PANTS</t>
  </si>
  <si>
    <t>LONG PANTS WOVEN FANCY STITCH SLIM PWSANSL:BLACK:34:SOLID:LONG PANTS</t>
  </si>
  <si>
    <t>LONG PANTS WOVEN FANCY STITCH SLIM PWSANSL:BLACK:36:SOLID:LONG PANTS</t>
  </si>
  <si>
    <t>LONG PANTS WOVEN FANCY STITCH SLIM PWSANSL:BLACK:38:SOLID:LONG PANTS</t>
  </si>
  <si>
    <t>LONG PANTS WOVEN FANCY STITCH SLIM PWSANSL:BLACK:40:SOLID:LONG PANTS</t>
  </si>
  <si>
    <t>JOGGER PANT SOLID COTTON JOGSOLID:BLACK:S:SOLID:JOGGER</t>
  </si>
  <si>
    <t>JOGGER PANT SOLID COTTON JOGSOLID:BLACK:M:SOLID:JOGGER</t>
  </si>
  <si>
    <t>JOGGER PANT SOLID COTTON JOGSOLID:BLACK:XL:SOLID:JOGGER</t>
  </si>
  <si>
    <t>JOGGER PANT SOLID COTTON JOGSOLID:PEPPERMINT:S:SOLID:JOGGER</t>
  </si>
  <si>
    <t>JOGGER PANT SOLID COTTON JOGSOLID:PEPPERMINT:M:SOLID:JOGGER</t>
  </si>
  <si>
    <t>JOGGER PANT SOLID COTTON JOGSOLID:PEPPERMINT:XL:SOLID:JOGGER</t>
  </si>
  <si>
    <t>PDBKREGN</t>
  </si>
  <si>
    <t>DENIM LONG PANTS BASIC BLK REGULAR PDBKREGN:BLACK:30:SOLID:DENIM LONG PANTS</t>
  </si>
  <si>
    <t>DENIM LONG PANTS BASIC BLK REGULAR PDBKREGN:BLACK:32:SOLID:DENIM LONG PANTS</t>
  </si>
  <si>
    <t>DENIM LONG PANTS BASIC BLK REGULAR PDBKREGN:BLACK:34:SOLID:DENIM LONG PANTS</t>
  </si>
  <si>
    <t>DENIM LONG PANTS BASIC BLK REGULAR PDBKREGN:BLACK:36:SOLID:DENIM LONG PANTS</t>
  </si>
  <si>
    <t>DENIM LONG PANTS BASIC BLK REGULAR PDBKREGN:BLACK:38:SOLID:DENIM LONG PANTS</t>
  </si>
  <si>
    <t>DENIM LONG PANTS BASIC BLK REGULAR PDBKREGN:BLACK:40:SOLID:DENIM LONG PANTS</t>
  </si>
  <si>
    <t>PDBKSLN</t>
  </si>
  <si>
    <t>DENIM LONG PANTS BASIC BLK SLIM PDBKSLN:BLACK:30:SOLID:DENIM LONG PANTS</t>
  </si>
  <si>
    <t>DENIM LONG PANTS BASIC BLK SLIM PDBKSLN:BLACK:32:SOLID:DENIM LONG PANTS</t>
  </si>
  <si>
    <t>DENIM LONG PANTS BASIC BLK SLIM PDBKSLN:BLACK:34:SOLID:DENIM LONG PANTS</t>
  </si>
  <si>
    <t>DENIM LONG PANTS BASIC BLK SLIM PDBKSLN:BLACK:36:SOLID:DENIM LONG PANTS</t>
  </si>
  <si>
    <t>DENIM LONG PANTS BASIC BLK SLIM PDBKSLN:BLACK:38:SOLID:DENIM LONG PANTS</t>
  </si>
  <si>
    <t>DENIM LONG PANTS BASIC BLK SLIM PDBKSLN:BLACK:40:SOLID:DENIM LONG PANTS</t>
  </si>
  <si>
    <t>LONG PANTS NYC WOVEN SLIM 01 NYCPWSL01:KHAKI:30:SOLID:LONG PANTS</t>
  </si>
  <si>
    <t>LONG PANTS NYC WOVEN SLIM 01 NYCPWSL01:KHAKI:32:SOLID:LONG PANTS</t>
  </si>
  <si>
    <t>LONG PANTS NYC WOVEN SLIM 01 NYCPWSL01:KHAKI:34:SOLID:LONG PANTS</t>
  </si>
  <si>
    <t>LONG PANTS NYC WOVEN SLIM 01 NYCPWSL01:KHAKI:36:SOLID:LONG PANTS</t>
  </si>
  <si>
    <t>LONG PANTS NYC WOVEN SLIM 01 NYCPWSL01:KHAKI:38:SOLID:LONG PANTS</t>
  </si>
  <si>
    <t>LONG PANTS NYC WOVEN SLIM 01 NYCPWSL01:KHAKI:40:SOLID:LONG PANTS</t>
  </si>
  <si>
    <t>LONG PANTS NYC WOVEN SLIM 01 NYCPWSL01:TAUPE GREY:30:SOLID:LONG PANTS</t>
  </si>
  <si>
    <t>LONG PANTS NYC WOVEN SLIM 01 NYCPWSL01:TAUPE GREY:32:SOLID:LONG PANTS</t>
  </si>
  <si>
    <t>LONG PANTS NYC WOVEN SLIM 01 NYCPWSL01:TAUPE GREY:34:SOLID:LONG PANTS</t>
  </si>
  <si>
    <t>LONG PANTS NYC WOVEN SLIM 01 NYCPWSL01:TAUPE GREY:36:SOLID:LONG PANTS</t>
  </si>
  <si>
    <t>LONG PANTS NYC WOVEN SLIM 01 NYCPWSL01:TAUPE GREY:38:SOLID:LONG PANTS</t>
  </si>
  <si>
    <t>LONG PANTS NYC WOVEN SLIM 01 NYCPWSL01:TAUPE GREY:40:SOLID:LONG PANTS</t>
  </si>
  <si>
    <t>LONG PANTS WOVEN 5 POCKET REGULAR PW5POCRG:CHARCOAL:30:SOLID:LONG PANTS</t>
  </si>
  <si>
    <t>LONG PANTS WOVEN 5 POCKET REGULAR PW5POCRG:CHARCOAL:32:SOLID:LONG PANTS</t>
  </si>
  <si>
    <t>LONG PANTS WOVEN 5 POCKET REGULAR PW5POCRG:CHARCOAL:34:SOLID:LONG PANTS</t>
  </si>
  <si>
    <t>LONG PANTS WOVEN 5 POCKET REGULAR PW5POCRG:CHARCOAL:36:SOLID:LONG PANTS</t>
  </si>
  <si>
    <t>LONG PANTS WOVEN 5 POCKET REGULAR PW5POCRG:CHARCOAL:38:SOLID:LONG PANTS</t>
  </si>
  <si>
    <t>LONG PANTS WOVEN 5 POCKET REGULAR PW5POCRG:CHARCOAL:40:SOLID:LONG PANTS</t>
  </si>
  <si>
    <t>LONG PANTS WOVEN 5 POCKET REGULAR PW5POCRG:MUSTARD:30:SOLID:LONG PANTS</t>
  </si>
  <si>
    <t>LONG PANTS WOVEN 5 POCKET REGULAR PW5POCRG:MUSTARD:32:SOLID:LONG PANTS</t>
  </si>
  <si>
    <t>LONG PANTS WOVEN 5 POCKET REGULAR PW5POCRG:MUSTARD:34:SOLID:LONG PANTS</t>
  </si>
  <si>
    <t>LONG PANTS WOVEN 5 POCKET REGULAR PW5POCRG:MUSTARD:36:SOLID:LONG PANTS</t>
  </si>
  <si>
    <t>LONG PANTS WOVEN 5 POCKET REGULAR PW5POCRG:MUSTARD:38:SOLID:LONG PANTS</t>
  </si>
  <si>
    <t>LONG PANTS WOVEN 5 POCKET REGULAR PW5POCRG:MUSTARD:40:SOLID:LONG PANTS</t>
  </si>
  <si>
    <t>LONG PANTS WOVEN 5 POCKET REGULAR PW5POCRG:VANILLA:30:SOLID:LONG PANTS</t>
  </si>
  <si>
    <t>LONG PANTS WOVEN 5 POCKET REGULAR PW5POCRG:VANILLA:32:SOLID:LONG PANTS</t>
  </si>
  <si>
    <t>LONG PANTS WOVEN 5 POCKET REGULAR PW5POCRG:VANILLA:34:SOLID:LONG PANTS</t>
  </si>
  <si>
    <t>LONG PANTS WOVEN 5 POCKET REGULAR PW5POCRG:VANILLA:36:SOLID:LONG PANTS</t>
  </si>
  <si>
    <t>LONG PANTS WOVEN 5 POCKET REGULAR PW5POCRG:VANILLA:38:SOLID:LONG PANTS</t>
  </si>
  <si>
    <t>LONG PANTS WOVEN 5 POCKET REGULAR PW5POCRG:VANILLA:40:SOLID:LONG PANTS</t>
  </si>
  <si>
    <t>PPATCPOC</t>
  </si>
  <si>
    <t>LONG PANTS REG PATCH POCKET PPATCPOC:VANILLA:30:SOLID:LONG PANTS</t>
  </si>
  <si>
    <t>LONG PANTS REG PATCH POCKET PPATCPOC:VANILLA:32:SOLID:LONG PANTS</t>
  </si>
  <si>
    <t>LONG PANTS REG PATCH POCKET PPATCPOC:VANILLA:34:SOLID:LONG PANTS</t>
  </si>
  <si>
    <t>LONG PANTS REG PATCH POCKET PPATCPOC:VANILLA:36:SOLID:LONG PANTS</t>
  </si>
  <si>
    <t>LONG PANTS REG PATCH POCKET PPATCPOC:VANILLA:38:SOLID:LONG PANTS</t>
  </si>
  <si>
    <t>LONG PANTS REG PATCH POCKET PPATCPOC:VANILLA:40:SOLID:LONG PANTS</t>
  </si>
  <si>
    <t>LONG PANTS REG PATCH POCKET PPATCPOC:WOOD BROWN:30:SOLID:LONG PANTS</t>
  </si>
  <si>
    <t>LONG PANTS REG PATCH POCKET PPATCPOC:WOOD BROWN:32:SOLID:LONG PANTS</t>
  </si>
  <si>
    <t>LONG PANTS REG PATCH POCKET PPATCPOC:WOOD BROWN:34:SOLID:LONG PANTS</t>
  </si>
  <si>
    <t>LONG PANTS REG PATCH POCKET PPATCPOC:WOOD BROWN:36:SOLID:LONG PANTS</t>
  </si>
  <si>
    <t>LONG PANTS REG PATCH POCKET PPATCPOC:WOOD BROWN:38:SOLID:LONG PANTS</t>
  </si>
  <si>
    <t>LONG PANTS REG PATCH POCKET PPATCPOC:WOOD BROWN:40:SOLID:LONG PANTS</t>
  </si>
  <si>
    <t>LPCARESA</t>
  </si>
  <si>
    <t>LONG PANTS REGULAR FIT CARGO LPCARESA:BLACK:30:SOLID:LONG PANTS</t>
  </si>
  <si>
    <t>LONG PANTS REGULAR FIT CARGO LPCARESA:BLACK:32:SOLID:LONG PANTS</t>
  </si>
  <si>
    <t>LONG PANTS REGULAR FIT CARGO LPCARESA:BLACK:34:SOLID:LONG PANTS</t>
  </si>
  <si>
    <t>LONG PANTS REGULAR FIT CARGO LPCARESA:BLACK:36:SOLID:LONG PANTS</t>
  </si>
  <si>
    <t>LONG PANTS REGULAR FIT CARGO LPCARESA:BLACK:38:SOLID:LONG PANTS</t>
  </si>
  <si>
    <t>LONG PANTS REGULAR FIT CARGO LPCARESA:BLACK:40:SOLID:LONG PANTS</t>
  </si>
  <si>
    <t>LONG PANTS REGULAR FIT CARGO LPCARESA:KHAKI:30:SOLID:LONG PANTS</t>
  </si>
  <si>
    <t>LONG PANTS REGULAR FIT CARGO LPCARESA:KHAKI:32:SOLID:LONG PANTS</t>
  </si>
  <si>
    <t>LONG PANTS REGULAR FIT CARGO LPCARESA:KHAKI:34:SOLID:LONG PANTS</t>
  </si>
  <si>
    <t>LONG PANTS REGULAR FIT CARGO LPCARESA:KHAKI:36:SOLID:LONG PANTS</t>
  </si>
  <si>
    <t>LONG PANTS REGULAR FIT CARGO LPCARESA:KHAKI:38:SOLID:LONG PANTS</t>
  </si>
  <si>
    <t>LONG PANTS REGULAR FIT CARGO LPCARESA:KHAKI:40:SOLID:LONG PANTS</t>
  </si>
  <si>
    <t>JOGGER PANT SOLID COTTON JOGSOLID:BLACK:L:SOLID:JOGGER</t>
  </si>
  <si>
    <t>JOGGER PANT SOLID COTTON JOGSOLID:PEPPERMINT:L:SOLID:JOGGER</t>
  </si>
  <si>
    <t>LONG PANTS WOVEN MPM SLIM 03 PWMPSL03:OLIVE:30:SOLID:LONG PANTS</t>
  </si>
  <si>
    <t>LONG PANTS WOVEN MPM SLIM 03 PWMPSL03:OLIVE:32:SOLID:LONG PANTS</t>
  </si>
  <si>
    <t>LONG PANTS WOVEN MPM SLIM 03 PWMPSL03:OLIVE:34:SOLID:LONG PANTS</t>
  </si>
  <si>
    <t>LONG PANTS WOVEN MPM SLIM 03 PWMPSL03:OLIVE:36:SOLID:LONG PANTS</t>
  </si>
  <si>
    <t>LONG PANTS WOVEN MPM SLIM 03 PWMPSL03:OLIVE:38:SOLID:LONG PANTS</t>
  </si>
  <si>
    <t>LONG PANTS WOVEN MPM SLIM 03 PWMPSL03:OLIVE:40:SOLID:LONG PANTS</t>
  </si>
  <si>
    <t>LONG PANTS WOVEN MPM SLIM 03 PWMPSL03:FROST GREY:30:SOLID:LONG PANTS</t>
  </si>
  <si>
    <t>LONG PANTS WOVEN MPM SLIM 03 PWMPSL03:FROST GREY:32:SOLID:LONG PANTS</t>
  </si>
  <si>
    <t>LONG PANTS WOVEN MPM SLIM 03 PWMPSL03:FROST GREY:34:SOLID:LONG PANTS</t>
  </si>
  <si>
    <t>LONG PANTS WOVEN MPM SLIM 03 PWMPSL03:FROST GREY:36:SOLID:LONG PANTS</t>
  </si>
  <si>
    <t>LONG PANTS WOVEN MPM SLIM 03 PWMPSL03:FROST GREY:38:SOLID:LONG PANTS</t>
  </si>
  <si>
    <t>LONG PANTS WOVEN MPM SLIM 03 PWMPSL03:FROST GREY:40:SOLID:LONG PANTS</t>
  </si>
  <si>
    <t>PCHINDEV</t>
  </si>
  <si>
    <t>CHINOS PANTS LONG  CLEAN SLIMFIT PCHINDEV:BLACK:30:SOLID:CHINOS PANTS</t>
  </si>
  <si>
    <t>CHINOS PANTS LONG  CLEAN SLIMFIT PCHINDEV:BLACK:32:SOLID:CHINOS PANTS</t>
  </si>
  <si>
    <t>CHINOS PANTS LONG  CLEAN SLIMFIT PCHINDEV:BLACK:34:SOLID:CHINOS PANTS</t>
  </si>
  <si>
    <t>CHINOS PANTS LONG  CLEAN SLIMFIT PCHINDEV:BLACK:36:SOLID:CHINOS PANTS</t>
  </si>
  <si>
    <t>CHINOS PANTS LONG  CLEAN SLIMFIT PCHINDEV:BLACK:38:SOLID:CHINOS PANTS</t>
  </si>
  <si>
    <t>CHINOS PANTS LONG  CLEAN SLIMFIT PCHINDEV:BLACK:40:SOLID:CHINOS PANTS</t>
  </si>
  <si>
    <t>SHORT PANTS WOVEN SOLID PULLON SWSLRIB:VANILLA:S:SOLID:SHORT PANTS</t>
  </si>
  <si>
    <t>SHORT PANTS WOVEN SOLID PULLON SWSLRIB:VANILLA:M:SOLID:SHORT PANTS</t>
  </si>
  <si>
    <t>SHORT PANTS WOVEN SOLID PULLON SWSLRIB:VANILLA:L:SOLID:SHORT PANTS</t>
  </si>
  <si>
    <t>SHORT PANTS WOVEN SOLID PULLON SWSLRIB:VANILLA:XL:SOLID:SHORT PANTS</t>
  </si>
  <si>
    <t>SHORT PANTS WOVEN SOLID PULLON SWSLRIB:KHAKI:S:SOLID:SHORT PANTS</t>
  </si>
  <si>
    <t>SHORT PANTS WOVEN SOLID PULLON SWSLRIB:KHAKI:M:SOLID:SHORT PANTS</t>
  </si>
  <si>
    <t>SHORT PANTS WOVEN SOLID PULLON SWSLRIB:KHAKI:L:SOLID:SHORT PANTS</t>
  </si>
  <si>
    <t>SHORT PANTS WOVEN SOLID PULLON SWSLRIB:KHAKI:XL:SOLID:SHORT PANTS</t>
  </si>
  <si>
    <t>SHORT PANTS WOVEN SOLID PULLON SWSLRIB:TAUPE GREY:S:SOLID:SHORT PANTS</t>
  </si>
  <si>
    <t>SHORT PANTS WOVEN SOLID PULLON SWSLRIB:TAUPE GREY:M:SOLID:SHORT PANTS</t>
  </si>
  <si>
    <t>SHORT PANTS WOVEN SOLID PULLON SWSLRIB:TAUPE GREY:L:SOLID:SHORT PANTS</t>
  </si>
  <si>
    <t>SHORT PANTS WOVEN SOLID PULLON SWSLRIB:TAUPE GREY:XL:SOLID:SHORT PANTS</t>
  </si>
  <si>
    <t>PKTMEL</t>
  </si>
  <si>
    <t>SHORT PANTS KNIT MELANGE MD FIT PTKMEL:BLACK:S:SOLID:SHORT PANTS</t>
  </si>
  <si>
    <t>SHORT PANTS KNIT MELANGE MD FIT PTKMEL:BLACK:M:SOLID:SHORT PANTS</t>
  </si>
  <si>
    <t>SHORT PANTS KNIT MELANGE MD FIT PTKMEL:BLACK:L:SOLID:SHORT PANTS</t>
  </si>
  <si>
    <t>SHORT PANTS KNIT MELANGE MD FIT PTKMEL:BLACK:XL:SOLID:SHORT PANTS</t>
  </si>
  <si>
    <t>SHORT PANTS KNIT MELANGE MD FIT PTKMEL:NAVY BLUE:S:SOLID:SHORT PANTS</t>
  </si>
  <si>
    <t>SHORT PANTS KNIT MELANGE MD FIT PTKMEL:NAVY BLUE:M:SOLID:SHORT PANTS</t>
  </si>
  <si>
    <t>SHORT PANTS KNIT MELANGE MD FIT PTKMEL:NAVY BLUE:L:SOLID:SHORT PANTS</t>
  </si>
  <si>
    <t>SHORT PANTS KNIT MELANGE MD FIT PTKMEL:NAVY BLUE:XL:SOLID:SHORT PANTS</t>
  </si>
  <si>
    <t>SHORT PANTS KNIT MELANGE MD FIT PTKMEL:SAND:S:SOLID:SHORT PANTS</t>
  </si>
  <si>
    <t>SHORT PANTS KNIT MELANGE MD FIT PTKMEL:SAND:M:SOLID:SHORT PANTS</t>
  </si>
  <si>
    <t>SHORT PANTS KNIT MELANGE MD FIT PTKMEL:SAND:L:SOLID:SHORT PANTS</t>
  </si>
  <si>
    <t>SHORT PANTS KNIT MELANGE MD FIT PTKMEL:SAND:XL:SOLID:SHORT PANTS</t>
  </si>
  <si>
    <t>LONG PANTS KNIT CASUAL LOOKS PKJOGCSL:CHARCOAL:S:SOLID:LONG PANTS</t>
  </si>
  <si>
    <t>LONG PANTS KNIT CASUAL LOOKS PKJOGCSL:CHARCOAL:M:SOLID:LONG PANTS</t>
  </si>
  <si>
    <t>LONG PANTS KNIT CASUAL LOOKS PKJOGCSL:CHARCOAL:L:SOLID:LONG PANTS</t>
  </si>
  <si>
    <t>LONG PANTS KNIT CASUAL LOOKS PKJOGCSL:CHARCOAL:XL:SOLID:LONG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</si>
  <si>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</si>
  <si>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</si>
  <si>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</si>
  <si>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</si>
  <si>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SKOTTBC:CHARCOAL:S:SOLID:SHORT PANTS</t>
  </si>
  <si>
    <t>SHORT PANTS KNIT OTTOMAN COLLECTIONS BASIC SKOTTBC:CHARCOAL:M:SOLID:SHORT PANTS</t>
  </si>
  <si>
    <t>SHORT PANTS KNIT OTTOMAN COLLECTIONS BASIC SKOTTBC:CHARCOAL:L:SOLID:SHORT PANTS</t>
  </si>
  <si>
    <t>SHORT PANTS KNIT OTTOMAN COLLECTIONS BASIC SKOTTBC:CHARCOAL:XL:SOLID:SHORT PANTS</t>
  </si>
  <si>
    <t>SHORT PANTS KNIT OTTOMAN COLLECTIONS BASIC SKOTTBC:CHARCOAL:XXL:SOLID:SHORT PANTS</t>
  </si>
  <si>
    <t>SHORT PANTS KNIT OTTOMAN COLLECTIONS BASIC SKOTTBC:CHARCOAL:3L:SOLID:SHORT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</si>
  <si>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</si>
  <si>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</si>
  <si>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</si>
  <si>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</si>
  <si>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</si>
  <si>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LONG PANTS KNIT BASIC CUT AND SEWN PKCSSOL:BLACK:S:SOLID:LONG PANTS</t>
  </si>
  <si>
    <t>LONG PANTS KNIT BASIC CUT AND SEWN PKCSSOL:BLACK:M:SOLID:LONG PANTS</t>
  </si>
  <si>
    <t>LONG PANTS KNIT BASIC CUT AND SEWN PKCSSOL:BLACK:L:SOLID:LONG PANTS</t>
  </si>
  <si>
    <t>LONG PANTS KNIT BASIC CUT AND SEWN PKCSSOL:BLACK:XL:SOLID:LONG PANTS</t>
  </si>
  <si>
    <t>LONG PANTS KNIT BASIC CUT AND SEWN PKCSSOL:RUSTIC BROWN:S:SOLID:LONG PANTS</t>
  </si>
  <si>
    <t>LONG PANTS KNIT BASIC CUT AND SEWN PKCSSOL:RUSTIC BROWN:M:SOLID:LONG PANTS</t>
  </si>
  <si>
    <t>LONG PANTS KNIT BASIC CUT AND SEWN PKCSSOL:RUSTIC BROWN:L:SOLID:LONG PANTS</t>
  </si>
  <si>
    <t>LONG PANTS KNIT BASIC CUT AND SEWN PKCSSOL:RUSTIC BROWN:XL:SOLID:LONG PANTS</t>
  </si>
  <si>
    <t>PKCSSOL</t>
  </si>
  <si>
    <t>SHORT PANTS WOVEN PRINT STRIPES BERMUDA W/ ADJUSTER WAIST SWSTRIPE:NAVY BLUE:30:STRIPES:SHORT PANTS</t>
  </si>
  <si>
    <t>SHORT PANTS WOVEN PRINT STRIPES BERMUDA W/ ADJUSTER WAIST SWSTRIPE:NAVY BLUE:32:STRIPES:SHORT PANTS</t>
  </si>
  <si>
    <t>SHORT PANTS WOVEN PRINT STRIPES BERMUDA W/ ADJUSTER WAIST SWSTRIPE:NAVY BLUE:34:STRIPES:SHORT PANTS</t>
  </si>
  <si>
    <t>SHORT PANTS WOVEN PRINT STRIPES BERMUDA W/ ADJUSTER WAIST SWSTRIPE:NAVY BLUE:36:STRIPES:SHORT PANTS</t>
  </si>
  <si>
    <t>SHORT PANTS WOVEN PRINT STRIPES BERMUDA W/ ADJUSTER WAIST SWSTRIPE:NAVY BLUE:38:STRIPES:SHORT PANTS</t>
  </si>
  <si>
    <t>SHORT PANTS WOVEN PRINT STRIPES BERMUDA W/ ADJUSTER WAIST SWSTRIPE:NAVY BLUE:40:STRIPES:SHORT PANTS</t>
  </si>
  <si>
    <t>SHORT PANTS WOVEN PRINT STRIPES BERMUDA W/ ADJUSTER WAIST SWSTRIPE:BLACK:30:STRIPES:SHORT PANTS</t>
  </si>
  <si>
    <t>SHORT PANTS WOVEN PRINT STRIPES BERMUDA W/ ADJUSTER WAIST SWSTRIPE:BLACK:32:STRIPES:SHORT PANTS</t>
  </si>
  <si>
    <t>SHORT PANTS WOVEN PRINT STRIPES BERMUDA W/ ADJUSTER WAIST SWSTRIPE:BLACK:34:STRIPES:SHORT PANTS</t>
  </si>
  <si>
    <t>SHORT PANTS WOVEN PRINT STRIPES BERMUDA W/ ADJUSTER WAIST SWSTRIPE:BLACK:36:STRIPES:SHORT PANTS</t>
  </si>
  <si>
    <t>SHORT PANTS WOVEN PRINT STRIPES BERMUDA W/ ADJUSTER WAIST SWSTRIPE:BLACK:38:STRIPES:SHORT PANTS</t>
  </si>
  <si>
    <t>SHORT PANTS WOVEN PRINT STRIPES BERMUDA W/ ADJUSTER WAIST SWSTRIPE:BLACK:40:STRIPES:SHORT PANTS</t>
  </si>
  <si>
    <t>SHORT PANTS CARGO RIBSTOP MARKSP SCARGOMS:BEIGE:30:SOLID:SHORT PANTS</t>
  </si>
  <si>
    <t>SHORT PANTS CARGO RIBSTOP MARKSP SCARGOMS:BEIGE:34:SOLID:SHORT PANTS</t>
  </si>
  <si>
    <t>SHORT PANTS CARGO RIBSTOP MARKSP SCARGOMS:BEIGE:36:SOLID:SHORT PANTS</t>
  </si>
  <si>
    <t>SHORT PANTS CARGO RIBSTOP MARKSP SCARGOMS:BEIGE:38:SOLID:SHORT PANTS</t>
  </si>
  <si>
    <t>SHORT PANTS CARGO RIBSTOP MARKSP SCARGOMS:BEIGE:40:SOLID:SHORT PANTS</t>
  </si>
  <si>
    <t>SHORT PANTS CARGO RIBSTOP MARKSP SCARGOMS:BLACK:30:SOLID:SHORT PANTS</t>
  </si>
  <si>
    <t>SHORT PANTS CARGO RIBSTOP MARKSP SCARGOMS:BLACK:34:SOLID:SHORT PANTS</t>
  </si>
  <si>
    <t>SHORT PANTS CARGO RIBSTOP MARKSP SCARGOMS:BLACK:36:SOLID:SHORT PANTS</t>
  </si>
  <si>
    <t>SHORT PANTS CARGO RIBSTOP MARKSP SCARGOMS:BLACK:38:SOLID:SHORT PANTS</t>
  </si>
  <si>
    <t>SHORT PANTS CARGO RIBSTOP MARKSP SCARGOMS:BLACK:40:SOLID:SHORT PANTS</t>
  </si>
  <si>
    <t>SHORT PANTS CARGO RIBSTOP MARKSP SCARGOMS:CHARCOAL:30:SOLID:SHORT PANTS</t>
  </si>
  <si>
    <t>SHORT PANTS CARGO RIBSTOP MARKSP SCARGOMS:CHARCOAL:34:SOLID:SHORT PANTS</t>
  </si>
  <si>
    <t>SHORT PANTS CARGO RIBSTOP MARKSP SCARGOMS:CHARCOAL:36:SOLID:SHORT PANTS</t>
  </si>
  <si>
    <t>SHORT PANTS CARGO RIBSTOP MARKSP SCARGOMS:CHARCOAL:38:SOLID:SHORT PANTS</t>
  </si>
  <si>
    <t>SHORT PANTS CARGO RIBSTOP MARKSP SCARGOMS:CHARCOAL:40:SOLID:SHORT PANTS</t>
  </si>
  <si>
    <t>SHORT PANTS WOVEN CARGO BERMUDA RIBSTOP SWSOLCRG:CHARCOAL:30:SOLID:SHORT PANTS</t>
  </si>
  <si>
    <t>SHORT PANTS WOVEN CARGO BERMUDA RIBSTOP SWSOLCRG:CHARCOAL:32:SOLID:SHORT PANTS</t>
  </si>
  <si>
    <t>SHORT PANTS WOVEN CARGO BERMUDA RIBSTOP SWSOLCRG:CHARCOAL:34:SOLID:SHORT PANTS</t>
  </si>
  <si>
    <t>SHORT PANTS WOVEN CARGO BERMUDA RIBSTOP SWSOLCRG:CHARCOAL:36:SOLID:SHORT PANTS</t>
  </si>
  <si>
    <t>SHORT PANTS WOVEN CARGO BERMUDA RIBSTOP SWSOLCRG:CHARCOAL:38:SOLID:SHORT PANTS</t>
  </si>
  <si>
    <t>SHORT PANTS WOVEN CARGO BERMUDA RIBSTOP SWSOLCRG:CHARCOAL:40:SOLID:SHORT PANTS</t>
  </si>
  <si>
    <t>SHORT PANTS WOVEN CARGO BERMUDA RIBSTOP SWSOLCRG:BLACK:30:SOLID:SHORT PANTS</t>
  </si>
  <si>
    <t>SHORT PANTS WOVEN CARGO BERMUDA RIBSTOP SWSOLCRG:BLACK:32:SOLID:SHORT PANTS</t>
  </si>
  <si>
    <t>SHORT PANTS WOVEN CARGO BERMUDA RIBSTOP SWSOLCRG:BLACK:34:SOLID:SHORT PANTS</t>
  </si>
  <si>
    <t>SHORT PANTS WOVEN CARGO BERMUDA RIBSTOP SWSOLCRG:BLACK:36:SOLID:SHORT PANTS</t>
  </si>
  <si>
    <t>SHORT PANTS WOVEN CARGO BERMUDA RIBSTOP SWSOLCRG:BLACK:38:SOLID:SHORT PANTS</t>
  </si>
  <si>
    <t>SHORT PANTS WOVEN CARGO BERMUDA RIBSTOP SWSOLCRG:BLACK:40:SOLID:SHORT PANTS</t>
  </si>
  <si>
    <t>BERMUDA PANTS SOLID COTTON SAGSOLID:PEPPERMINT:30:SOLID:BERMUDA PANTS</t>
  </si>
  <si>
    <t>BERMUDA PANTS SOLID COTTON SAGSOLID:PEPPERMINT:32:SOLID:BERMUDA PANTS</t>
  </si>
  <si>
    <t>BERMUDA PANTS SOLID COTTON SAGSOLID:PEPPERMINT:34:SOLID:BERMUDA PANTS</t>
  </si>
  <si>
    <t>BERMUDA PANTS SOLID COTTON SAGSOLID:PEPPERMINT:36:SOLID:BERMUDA PANTS</t>
  </si>
  <si>
    <t>BERMUDA PANTS SOLID COTTON SAGSOLID:PEPPERMINT:38:SOLID:BERMUDA PANTS</t>
  </si>
  <si>
    <t>BERMUDA PANTS SOLID COTTON SAGSOLID:PEPPERMINT:40:SOLID:BERMUDA PANTS</t>
  </si>
  <si>
    <t>BERMUDA PANTS SOLID COTTON SAGSOLID:KHAKI:30:SOLID:BERMUDA PANTS</t>
  </si>
  <si>
    <t>BERMUDA PANTS SOLID COTTON SAGSOLID:KHAKI:32:SOLID:BERMUDA PANTS</t>
  </si>
  <si>
    <t>BERMUDA PANTS SOLID COTTON SAGSOLID:KHAKI:34:SOLID:BERMUDA PANTS</t>
  </si>
  <si>
    <t>BERMUDA PANTS SOLID COTTON SAGSOLID:KHAKI:36:SOLID:BERMUDA PANTS</t>
  </si>
  <si>
    <t>BERMUDA PANTS SOLID COTTON SAGSOLID:KHAKI:38:SOLID:BERMUDA PANTS</t>
  </si>
  <si>
    <t>BERMUDA PANTS SOLID COTTON SAGSOLID:KHAKI:40:SOLID:BERMUDA PANTS</t>
  </si>
  <si>
    <t>BERMUDA PANTS SOLID COTTON SAGSOLID:CHARCOAL:30:SOLID:BERMUDA PANTS</t>
  </si>
  <si>
    <t>BERMUDA PANTS SOLID COTTON SAGSOLID:CHARCOAL:32:SOLID:BERMUDA PANTS</t>
  </si>
  <si>
    <t>BERMUDA PANTS SOLID COTTON SAGSOLID:CHARCOAL:34:SOLID:BERMUDA PANTS</t>
  </si>
  <si>
    <t>BERMUDA PANTS SOLID COTTON SAGSOLID:CHARCOAL:36:SOLID:BERMUDA PANTS</t>
  </si>
  <si>
    <t>BERMUDA PANTS SOLID COTTON SAGSOLID:CHARCOAL:38:SOLID:BERMUDA PANTS</t>
  </si>
  <si>
    <t>BERMUDA PANTS SOLID COTTON SAGSOLID:CHARCOAL:40:SOLID:BERMUDA PANTS</t>
  </si>
  <si>
    <t>BERMUDA PANTS SOLID COTTON SAGSOLID:SAND:30:SOLID:BERMUDA PANTS</t>
  </si>
  <si>
    <t>BERMUDA PANTS SOLID COTTON SAGSOLID:SAND:32:SOLID:BERMUDA PANTS</t>
  </si>
  <si>
    <t>BERMUDA PANTS SOLID COTTON SAGSOLID:SAND:34:SOLID:BERMUDA PANTS</t>
  </si>
  <si>
    <t>BERMUDA PANTS SOLID COTTON SAGSOLID:SAND:36:SOLID:BERMUDA PANTS</t>
  </si>
  <si>
    <t>BERMUDA PANTS SOLID COTTON SAGSOLID:SAND:38:SOLID:BERMUDA PANTS</t>
  </si>
  <si>
    <t>BERMUDA PANTS SOLID COTTON SAGSOLID:SAND:40:SOLID:BERMUDA PANTS</t>
  </si>
  <si>
    <t>SAGSOLID</t>
  </si>
  <si>
    <t>SHORT PANTS CARGO RIBSTOP MARKSP SCARGOMS:BEIGE:32:SOLID:SHORT PANTS</t>
  </si>
  <si>
    <t>SHORT PANTS CARGO RIBSTOP MARKSP SCARGOMS:BLACK:32:SOLID:SHORT PANTS</t>
  </si>
  <si>
    <t>SHORT PANTS CARGO RIBSTOP MARKSP SCARGOMS:CHARCOAL:32:SOLID:SHORT PANTS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</si>
  <si>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</si>
  <si>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</si>
  <si>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</si>
  <si>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</si>
  <si>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</si>
  <si>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</si>
  <si>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</si>
  <si>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</si>
  <si>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SHORT PANTS KNIT OTTOMAN COLLECTIONS BASIC SKOTTBC:JADE:S:SOLID:SHORT PANTS</t>
  </si>
  <si>
    <t>SHORT PANTS KNIT OTTOMAN COLLECTIONS BASIC SKOTTBC:JADE:M:SOLID:SHORT PANTS</t>
  </si>
  <si>
    <t>SHORT PANTS KNIT OTTOMAN COLLECTIONS BASIC SKOTTBC:JADE:L:SOLID:SHORT PANTS</t>
  </si>
  <si>
    <t>SHORT PANTS KNIT OTTOMAN COLLECTIONS BASIC SKOTTBC:JADE:XL:SOLID:SHORT PANTS</t>
  </si>
  <si>
    <t>SKTRBOS</t>
  </si>
  <si>
    <t>SHORT PANTS KNIT TERRY HUGO FIT SKTRBOS:VANILLA:S:SOLID:SHORT PANTS</t>
  </si>
  <si>
    <t>SHORT PANTS KNIT TERRY HUGO FIT SKTRBOS:VANILLA:M:SOLID:SHORT PANTS</t>
  </si>
  <si>
    <t>SHORT PANTS KNIT TERRY HUGO FIT SKTRBOS:VANILLA:L:SOLID:SHORT PANTS</t>
  </si>
  <si>
    <t>SHORT PANTS KNIT TERRY HUGO FIT SKTRBOS:VANILLA:XL:SOLID:SHORT PANTS</t>
  </si>
  <si>
    <t>SHORT PANTS KNIT TERRY HUGO FIT SKTRBOS:CLASSIC BLUE:S:SOLID:SHORT PANTS</t>
  </si>
  <si>
    <t>SHORT PANTS KNIT TERRY HUGO FIT SKTRBOS:CLASSIC BLUE:M:SOLID:SHORT PANTS</t>
  </si>
  <si>
    <t>SHORT PANTS KNIT TERRY HUGO FIT SKTRBOS:CLASSIC BLUE:L:SOLID:SHORT PANTS</t>
  </si>
  <si>
    <t>SHORT PANTS KNIT TERRY HUGO FIT SKTRBOS:CLASSIC BLUE:XL:SOLID:SHORT PANTS</t>
  </si>
  <si>
    <t>STKMEL</t>
  </si>
  <si>
    <t>SHORT PANTS KNIT MELANGE MD FIT STKMEL:NAVY BLUE:S:SOLID:SHORT PANTS</t>
  </si>
  <si>
    <t>SHORT PANTS KNIT MELANGE MD FIT STKMEL:NAVY BLUE:M:SOLID:SHORT PANTS</t>
  </si>
  <si>
    <t>SHORT PANTS KNIT MELANGE MD FIT STKMEL:NAVY BLUE:L:SOLID:SHORT PANTS</t>
  </si>
  <si>
    <t>SHORT PANTS KNIT MELANGE MD FIT STKMEL:NAVY BLUE:XL:SOLID:SHORT PANTS</t>
  </si>
  <si>
    <t>SHORT PANTS KNIT MELANGE MD FIT STKMEL:SAND:S:SOLID:SHORT PANTS</t>
  </si>
  <si>
    <t>SHORT PANTS KNIT MELANGE MD FIT STKMEL:SAND:M:SOLID:SHORT PANTS</t>
  </si>
  <si>
    <t>SHORT PANTS KNIT MELANGE MD FIT STKMEL:SAND:L:SOLID:SHORT PANTS</t>
  </si>
  <si>
    <t>SHORT PANTS KNIT MELANGE MD FIT STKMEL:SAND:XL:SOLID:SHORT PANTS</t>
  </si>
  <si>
    <t>LONG PANTS KNIT CASUAL LOOKS PKJOGCSL:BEIGE:S:SOLID:LONG PANTS</t>
  </si>
  <si>
    <t>LONG PANTS KNIT CASUAL LOOKS PKJOGCSL:BEIGE:M:SOLID:LONG PANTS</t>
  </si>
  <si>
    <t>LONG PANTS KNIT CASUAL LOOKS PKJOGCSL:BEIGE:L:SOLID:LONG PANTS</t>
  </si>
  <si>
    <t>LONG PANTS KNIT CASUAL LOOKS PKJOGCSL:BEIGE:XL:SOLID:LONG PANTS</t>
  </si>
  <si>
    <t>SHORT PANTS KNIT TERRY HUGO FIT SKTRBOS:BLACK:S:SOLID:SHORT PANTS</t>
  </si>
  <si>
    <t>SHORT PANTS KNIT TERRY HUGO FIT SKTRBOS:BLACK:M:SOLID:SHORT PANTS</t>
  </si>
  <si>
    <t>SHORT PANTS KNIT TERRY HUGO FIT SKTRBOS:BLACK:L:SOLID:SHORT PANTS</t>
  </si>
  <si>
    <t>SHORT PANTS KNIT TERRY HUGO FIT SKTRBOS:BLACK:XL:SOLID:SHORT PANTS</t>
  </si>
  <si>
    <t>SHORT PANTS KNIT MELANGE MD FIT STKMEL:BLACK:S:SOLID:SHORT PANTS</t>
  </si>
  <si>
    <t>SHORT PANTS KNIT MELANGE MD FIT STKMEL:BLACK:M:SOLID:SHORT PANTS</t>
  </si>
  <si>
    <t>SHORT PANTS KNIT MELANGE MD FIT STKMEL:BLACK:L:SOLID:SHORT PANTS</t>
  </si>
  <si>
    <t>SHORT PANTS KNIT MELANGE MD FIT STKMEL:BLACK:XL:SOLID:SHORT PANTS</t>
  </si>
  <si>
    <t>SHORT PANTS KNIT OTTOMAN COLLECTIONS BASIC SKOTTBC:OFF WHITE:S:SOLID:SHORT PANTS</t>
  </si>
  <si>
    <t>SHORT PANTS KNIT OTTOMAN COLLECTIONS BASIC SKOTTBC:OFF WHITE:M:SOLID:SHORT PANTS</t>
  </si>
  <si>
    <t>SHORT PANTS KNIT OTTOMAN COLLECTIONS BASIC SKOTTBC:OFF WHITE:L:SOLID:SHORT PANTS</t>
  </si>
  <si>
    <t>SHORT PANTS KNIT OTTOMAN COLLECTIONS BASIC SKOTTBC:OFF WHITE:XL:SOLID:SHORT PANTS</t>
  </si>
  <si>
    <t>PKNTERY</t>
  </si>
  <si>
    <t>LONG PANTS KNIT MASDUT FIT FRENCH TERRY PKNTERY:WOOD BROWN:S:SOLID:LONG PANTS</t>
  </si>
  <si>
    <t>LONG PANTS KNIT MASDUT FIT FRENCH TERRY PKNTERY:WOOD BROWN:M:SOLID:LONG PANTS</t>
  </si>
  <si>
    <t>LONG PANTS KNIT MASDUT FIT FRENCH TERRY PKNTERY:WOOD BROWN:L:SOLID:LONG PANTS</t>
  </si>
  <si>
    <t>LONG PANTS KNIT MASDUT FIT FRENCH TERRY PKNTERY:WOOD BROWN:XL:SOLID:LONG PANTS</t>
  </si>
  <si>
    <t>LONG PANTS KNIT MASDUT FIT FRENCH TERRY PKNTERY:SAND:S:SOLID:LONG PANTS</t>
  </si>
  <si>
    <t>LONG PANTS KNIT MASDUT FIT FRENCH TERRY PKNTERY:SAND:M:SOLID:LONG PANTS</t>
  </si>
  <si>
    <t>LONG PANTS KNIT MASDUT FIT FRENCH TERRY PKNTERY:SAND:L:SOLID:LONG PANTS</t>
  </si>
  <si>
    <t>LONG PANTS KNIT MASDUT FIT FRENCH TERRY PKNTERY:SAND:XL:SOLID:LONG PANTS</t>
  </si>
  <si>
    <t>LONG PANTS KNIT MASDUT FIT FRENCH TERRY PKNTERY:CHARCOAL:S:SOLID:LONG PANTS</t>
  </si>
  <si>
    <t>LONG PANTS KNIT MASDUT FIT FRENCH TERRY PKNTERY:CHARCOAL:M:SOLID:LONG PANTS</t>
  </si>
  <si>
    <t>LONG PANTS KNIT MASDUT FIT FRENCH TERRY PKNTERY:CHARCOAL:L:SOLID:LONG PANTS</t>
  </si>
  <si>
    <t>LONG PANTS KNIT MASDUT FIT FRENCH TERRY PKNTERY:CHARCOAL:XL:SOLID:LONG PANTS</t>
  </si>
  <si>
    <t>SKNPIQ</t>
  </si>
  <si>
    <t>SHORT PANTS KNIT PIQUE INTERLOCK SKNPIQ:BLACK:S:SOLID:SHORT PANTS</t>
  </si>
  <si>
    <t>SHORT PANTS KNIT PIQUE INTERLOCK SKNPIQ:BLACK:M:SOLID:SHORT PANTS</t>
  </si>
  <si>
    <t>SHORT PANTS KNIT PIQUE INTERLOCK SKNPIQ:BLACK:L:SOLID:SHORT PANTS</t>
  </si>
  <si>
    <t>SHORT PANTS KNIT PIQUE INTERLOCK SKNPIQ:BLACK:XL:SOLID:SHORT PANTS</t>
  </si>
  <si>
    <t>SHORT PANTS KNIT PIQUE INTERLOCK SKNPIQ:SAND:S:SOLID:SHORT PANTS</t>
  </si>
  <si>
    <t>SHORT PANTS KNIT PIQUE INTERLOCK SKNPIQ:SAND:M:SOLID:SHORT PANTS</t>
  </si>
  <si>
    <t>SHORT PANTS KNIT PIQUE INTERLOCK SKNPIQ:SAND:L:SOLID:SHORT PANTS</t>
  </si>
  <si>
    <t>SHORT PANTS KNIT PIQUE INTERLOCK SKNPIQ:SAND:XL:SOLID:SHORT PANTS</t>
  </si>
  <si>
    <t>SHORT PANTS KNIT PIQUE INTERLOCK SKNPIQ:OLIVE:S:SOLID:SHORT PANTS</t>
  </si>
  <si>
    <t>SHORT PANTS KNIT PIQUE INTERLOCK SKNPIQ:OLIVE:M:SOLID:SHORT PANTS</t>
  </si>
  <si>
    <t>SHORT PANTS KNIT PIQUE INTERLOCK SKNPIQ:OLIVE:L:SOLID:SHORT PANTS</t>
  </si>
  <si>
    <t>SHORT PANTS KNIT PIQUE INTERLOCK SKNPIQ:OLIVE:XL:SOLID:SHORT PANTS</t>
  </si>
  <si>
    <t>SHORT PANTS KNIT PIQUE INTERLOCK SKNPIQ:WINE:S:SOLID:SHORT PANTS</t>
  </si>
  <si>
    <t>SHORT PANTS KNIT PIQUE INTERLOCK SKNPIQ:WINE:M:SOLID:SHORT PANTS</t>
  </si>
  <si>
    <t>SHORT PANTS KNIT PIQUE INTERLOCK SKNPIQ:WINE:L:SOLID:SHORT PANTS</t>
  </si>
  <si>
    <t>SHORT PANTS KNIT PIQUE INTERLOCK SKNPIQ:WINE:XL:SOLID:SHORT PANTS</t>
  </si>
  <si>
    <t>SHORT PANTS KNIT PIQUE INTERLOCK SKNPIQ:NAVY BLUE:S:SOLID:SHORT PANTS</t>
  </si>
  <si>
    <t>SHORT PANTS KNIT PIQUE INTERLOCK SKNPIQ:NAVY BLUE:M:SOLID:SHORT PANTS</t>
  </si>
  <si>
    <t>SHORT PANTS KNIT PIQUE INTERLOCK SKNPIQ:NAVY BLUE:L:SOLID:SHORT PANTS</t>
  </si>
  <si>
    <t>SHORT PANTS KNIT PIQUE INTERLOCK SKNPIQ:NAVY BLUE:XL:SOLID:SHORT PANTS</t>
  </si>
  <si>
    <t>SHORT PANTS KNIT PIQUE INTERLOCK SKNPIQ:FOREST GREEN:S:SOLID:SHORT PANTS</t>
  </si>
  <si>
    <t>SHORT PANTS KNIT PIQUE INTERLOCK SKNPIQ:FOREST GREEN:M:SOLID:SHORT PANTS</t>
  </si>
  <si>
    <t>SHORT PANTS KNIT PIQUE INTERLOCK SKNPIQ:FOREST GREEN:L:SOLID:SHORT PANTS</t>
  </si>
  <si>
    <t>SHORT PANTS KNIT PIQUE INTERLOCK SKNPIQ:FOREST GREEN:XL:SOLID:SHORT PANTS</t>
  </si>
  <si>
    <t>PWCNSLIMD</t>
  </si>
  <si>
    <t>LONG PANTS WOVEN CHINO CURVE POCKET PWCNSLIMD:KHAKI:30:SOLID:LONG PANTS</t>
  </si>
  <si>
    <t>LONG PANTS WOVEN CHINO CURVE POCKET PWCNSLIMD:KHAKI:32:SOLID:LONG PANTS</t>
  </si>
  <si>
    <t>LONG PANTS WOVEN CHINO CURVE POCKET PWCNSLIMD:KHAKI:34:SOLID:LONG PANTS</t>
  </si>
  <si>
    <t>LONG PANTS WOVEN CHINO CURVE POCKET PWCNSLIMD:KHAKI:36:SOLID:LONG PANTS</t>
  </si>
  <si>
    <t>LONG PANTS WOVEN CHINO CURVE POCKET PWCNSLIMD:KHAKI:38:SOLID:LONG PANTS</t>
  </si>
  <si>
    <t>LONG PANTS WOVEN CHINO CURVE POCKET PWCNSLIMD:KHAKI:40:SOLID:LONG PANTS</t>
  </si>
  <si>
    <t>LONG PANTS WOVEN CHINO CURVE POCKET PWCNSLIMD:SAND:30:SOLID:LONG PANTS</t>
  </si>
  <si>
    <t>LONG PANTS WOVEN CHINO CURVE POCKET PWCNSLIMD:SAND:32:SOLID:LONG PANTS</t>
  </si>
  <si>
    <t>LONG PANTS WOVEN CHINO CURVE POCKET PWCNSLIMD:SAND:34:SOLID:LONG PANTS</t>
  </si>
  <si>
    <t>LONG PANTS WOVEN CHINO CURVE POCKET PWCNSLIMD:SAND:36:SOLID:LONG PANTS</t>
  </si>
  <si>
    <t>LONG PANTS WOVEN CHINO CURVE POCKET PWCNSLIMD:SAND:38:SOLID:LONG PANTS</t>
  </si>
  <si>
    <t>LONG PANTS WOVEN CHINO CURVE POCKET PWCNSLIMD:SAND:40:SOLID:LONG PANTS</t>
  </si>
  <si>
    <t>LONG PANTS WOVEN CHINO CURVE POCKET PWCNSLIMD:BLACK:30:SOLID:LONG PANTS</t>
  </si>
  <si>
    <t>LONG PANTS WOVEN CHINO CURVE POCKET PWCNSLIMD:BLACK:32:SOLID:LONG PANTS</t>
  </si>
  <si>
    <t>LONG PANTS WOVEN CHINO CURVE POCKET PWCNSLIMD:BLACK:34:SOLID:LONG PANTS</t>
  </si>
  <si>
    <t>LONG PANTS WOVEN CHINO CURVE POCKET PWCNSLIMD:BLACK:36:SOLID:LONG PANTS</t>
  </si>
  <si>
    <t>LONG PANTS WOVEN CHINO CURVE POCKET PWCNSLIMD:BLACK:38:SOLID:LONG PANTS</t>
  </si>
  <si>
    <t>LONG PANTS WOVEN CHINO CURVE POCKET PWCNSLIMD:BLACK:40:SOLID:LONG PANTS</t>
  </si>
  <si>
    <t>PWZENABG</t>
  </si>
  <si>
    <t>LONG PANTS WOVEN TWILL ZEN PWZENABG:BLACK:30:SOLID:LONG PANTS</t>
  </si>
  <si>
    <t>LONG PANTS WOVEN TWILL ZEN PWZENABG:BLACK:32:SOLID:LONG PANTS</t>
  </si>
  <si>
    <t>LONG PANTS WOVEN TWILL ZEN PWZENABG:BLACK:34:SOLID:LONG PANTS</t>
  </si>
  <si>
    <t>LONG PANTS WOVEN TWILL ZEN PWZENABG:BLACK:36:SOLID:LONG PANTS</t>
  </si>
  <si>
    <t>LONG PANTS WOVEN TWILL ZEN PWZENABG:BLACK:38:SOLID:LONG PANTS</t>
  </si>
  <si>
    <t>LONG PANTS WOVEN TWILL ZEN PWZENABG:BLACK:40:SOLID:LONG PANTS</t>
  </si>
  <si>
    <t>LONG PANTS WOVEN TWILL ZEN PWZENABG:BEIGE:30:SOLID:LONG PANTS</t>
  </si>
  <si>
    <t>LONG PANTS WOVEN TWILL ZEN PWZENABG:BEIGE:32:SOLID:LONG PANTS</t>
  </si>
  <si>
    <t>LONG PANTS WOVEN TWILL ZEN PWZENABG:BEIGE:34:SOLID:LONG PANTS</t>
  </si>
  <si>
    <t>LONG PANTS WOVEN TWILL ZEN PWZENABG:BEIGE:36:SOLID:LONG PANTS</t>
  </si>
  <si>
    <t>LONG PANTS WOVEN TWILL ZEN PWZENABG:BEIGE:38:SOLID:LONG PANTS</t>
  </si>
  <si>
    <t>LONG PANTS WOVEN TWILL ZEN PWZENABG:BEIGE:40:SOLID:LONG PANTS</t>
  </si>
  <si>
    <t>LONG PANTS WOVEN TWILL ZEN PWZENABG:CHARCOAL:30:SOLID:LONG PANTS</t>
  </si>
  <si>
    <t>LONG PANTS WOVEN TWILL ZEN PWZENABG:CHARCOAL:32:SOLID:LONG PANTS</t>
  </si>
  <si>
    <t>LONG PANTS WOVEN TWILL ZEN PWZENABG:CHARCOAL:34:SOLID:LONG PANTS</t>
  </si>
  <si>
    <t>LONG PANTS WOVEN TWILL ZEN PWZENABG:CHARCOAL:36:SOLID:LONG PANTS</t>
  </si>
  <si>
    <t>LONG PANTS WOVEN TWILL ZEN PWZENABG:CHARCOAL:38:SOLID:LONG PANTS</t>
  </si>
  <si>
    <t>SKNATH</t>
  </si>
  <si>
    <t>LONG PANTS WOVEN TWILL ZEN PWZENABG:CHARCOAL:40:SOLID:LONG PANTS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</si>
  <si>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</si>
  <si>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</si>
  <si>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</si>
  <si>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</si>
  <si>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</si>
  <si>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</si>
  <si>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</si>
  <si>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</si>
  <si>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</si>
  <si>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</si>
  <si>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</si>
  <si>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</si>
  <si>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</si>
  <si>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</si>
  <si>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</si>
  <si>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</si>
  <si>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</si>
  <si>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</si>
  <si>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</si>
  <si>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</si>
  <si>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</si>
  <si>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</si>
  <si>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</si>
  <si>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</si>
  <si>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</si>
  <si>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</si>
  <si>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</si>
  <si>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</si>
  <si>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</si>
  <si>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</si>
  <si>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</si>
  <si>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</si>
  <si>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</si>
  <si>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</si>
  <si>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</si>
  <si>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</si>
  <si>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</si>
  <si>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</si>
  <si>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PWTEXREG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</si>
  <si>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</si>
  <si>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</si>
  <si>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</si>
  <si>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</si>
  <si>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</si>
  <si>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</si>
  <si>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</si>
  <si>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</si>
  <si>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</si>
  <si>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</si>
  <si>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</si>
  <si>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</si>
  <si>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</si>
  <si>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DENIM LONG PANTS BASIC REGULAR REC CTN WHISKER SPRAY PDBCREC:DARK DENIM:34:SOLID:DENIM LONG PANTS</t>
  </si>
  <si>
    <t>SHORT PANTS WOVEN SOLID PULLON SWSLRIB:BLACK:S:SOLID:SHORT PANTS</t>
  </si>
  <si>
    <t>SHORT PANTS WOVEN SOLID PULLON SWSLRIB:BLACK:M:SOLID:SHORT PANTS</t>
  </si>
  <si>
    <t>SHORT PANTS WOVEN SOLID PULLON SWSLRIB:BLACK:L:SOLID:SHORT PANTS</t>
  </si>
  <si>
    <t>SHORT PANTS WOVEN SOLID PULLON SWSLRIB:BLACK:XL:SOLID:SHORT PANTS</t>
  </si>
  <si>
    <t>SHORT PANTS WOVEN SOLID PULLON RIB SWSLRIB:WOOD BROWN:S:SOLID:SHORT PANTS</t>
  </si>
  <si>
    <t>SHORT PANTS WOVEN SOLID PULLON RIB SWSLRIB:WOOD BROWN:M:SOLID:SHORT PANTS</t>
  </si>
  <si>
    <t>SHORT PANTS WOVEN SOLID PULLON RIB SWSLRIB:WOOD BROWN:L:SOLID:SHORT PANTS</t>
  </si>
  <si>
    <t>SHORT PANTS WOVEN SOLID PULLON RIB SWSLRIB:WOOD BROWN:XL:SOLID:SHORT PANTS</t>
  </si>
  <si>
    <t>DENIM LONG PANTS BASIC SPRAY WHISKER SLIM PDBCSLIM:INDIGO BLUE:30:SOLID:DENIM LONG PANTS</t>
  </si>
  <si>
    <t>DENIM LONG PANTS BASIC SPRAY WHISKER SLIM PDBCSLIM:INDIGO BLUE:32:SOLID:DENIM LONG PANTS</t>
  </si>
  <si>
    <t>DENIM LONG PANTS BASIC SPRAY WHISKER SLIM PDBCSLIM:INDIGO BLUE:34:SOLID:DENIM LONG PANTS</t>
  </si>
  <si>
    <t>DENIM LONG PANTS BASIC SPRAY WHISKER SLIM PDBCSLIM:INDIGO BLUE:36:SOLID:DENIM LONG PANTS</t>
  </si>
  <si>
    <t>DENIM LONG PANTS BASIC SPRAY WHISKER SLIM PDBCSLIM:INDIGO BLUE:38:SOLID:DENIM LONG PANTS</t>
  </si>
  <si>
    <t>DENIM LONG PANTS BASIC SPRAY WHISKER SLIM PDBCSLIM:INDIGO BLUE:40:SOLID:DENIM LONG PANTS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</si>
  <si>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</si>
  <si>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</si>
  <si>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</si>
  <si>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</si>
  <si>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</si>
  <si>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</si>
  <si>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WPCHISLIM</t>
  </si>
  <si>
    <t>LONG PANTS WOVEN PANT CHINO BSC SLIM WPCHISLIM:SAND:36:SOLID:LONG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</si>
  <si>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</si>
  <si>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</si>
  <si>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</si>
  <si>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</si>
  <si>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</si>
  <si>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</si>
  <si>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</si>
  <si>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</si>
  <si>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</si>
  <si>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</si>
  <si>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</si>
  <si>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</si>
  <si>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</si>
  <si>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</si>
  <si>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WPCHISLIM:SAND:38:SOLID:LONG PANTS</t>
  </si>
  <si>
    <t>LONG PANTS WOVEN PANT CHINO BSC SLIM WPCHISLIM:KHAKI:32:SOLID:LONG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</si>
  <si>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</si>
  <si>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</si>
  <si>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</si>
  <si>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</si>
  <si>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</si>
  <si>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</si>
  <si>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</si>
  <si>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</si>
  <si>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</si>
  <si>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</si>
  <si>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</si>
  <si>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</si>
  <si>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</si>
  <si>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</si>
  <si>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</si>
  <si>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</si>
  <si>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</si>
  <si>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</si>
  <si>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</si>
  <si>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</si>
  <si>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</si>
  <si>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</si>
  <si>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</si>
  <si>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</si>
  <si>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</si>
  <si>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</si>
  <si>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</si>
  <si>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</si>
  <si>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</si>
  <si>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</si>
  <si>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</si>
  <si>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</si>
  <si>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</si>
  <si>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</si>
  <si>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</si>
  <si>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</si>
  <si>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</si>
  <si>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</si>
  <si>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</si>
  <si>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</si>
  <si>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</si>
  <si>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</si>
  <si>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</si>
  <si>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</si>
  <si>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</si>
  <si>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</si>
  <si>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</si>
  <si>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</si>
  <si>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</si>
  <si>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</si>
  <si>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</si>
  <si>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</si>
  <si>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</si>
  <si>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</si>
  <si>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</si>
  <si>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</si>
  <si>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</si>
  <si>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</si>
  <si>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</si>
  <si>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PDECREG</t>
  </si>
  <si>
    <t>DENIM LONG PANTS BASIC REGULAR ECO PDECREG:LIGHT DENIM:30:SOLID:DENIM LONG PANTS</t>
  </si>
  <si>
    <t>DENIM LONG PANTS BASIC REGULAR ECO PDECREG:LIGHT DENIM:32:SOLID:DENIM LONG PANTS</t>
  </si>
  <si>
    <t>DENIM LONG PANTS BASIC REGULAR ECO PDECREG:LIGHT DENIM:34:SOLID:DENIM LONG PANTS</t>
  </si>
  <si>
    <t>DENIM LONG PANTS BASIC REGULAR ECO PDECREG:LIGHT DENIM:36:SOLID:DENIM LONG PANTS</t>
  </si>
  <si>
    <t>DENIM LONG PANTS BASIC REGULAR ECO PDECREG:LIGHT DENIM:38:SOLID:DENIM LONG PANTS</t>
  </si>
  <si>
    <t>DENIM LONG PANTS BASIC REGULAR ECO PDECREG:LIGHT DENIM:40:SOLID:DENIM LONG PANTS</t>
  </si>
  <si>
    <t>2024 ALL BOTTOM D75</t>
  </si>
  <si>
    <t>2024 KNITPANTS KNITSHORT D75</t>
  </si>
  <si>
    <t>2024 H2 WOVEN SHORT D75</t>
  </si>
  <si>
    <t>2024 H2 WOVEN PANTS D75</t>
  </si>
  <si>
    <t>2024 H2 DENIM D75</t>
  </si>
  <si>
    <t>2025 H1 WVN SHORT WVN PANT D75</t>
  </si>
  <si>
    <t>2025 H1 DENIM PANTS D75</t>
  </si>
  <si>
    <t>2025Q1 KnitShorts KnitPants D75</t>
  </si>
  <si>
    <t>2025 Q2 KNIT SHORT D75</t>
  </si>
  <si>
    <t>2025 Q2 KNIT PANTS D75</t>
  </si>
  <si>
    <t>2025 AUG SEPT KNIT SHORT SP 99K</t>
  </si>
  <si>
    <t>2025 AUG SEPT KNIT PANTS SP 119K</t>
  </si>
  <si>
    <t>2025 Aug Sept Woven Short SP 119K</t>
  </si>
  <si>
    <t>2025 Q4 DENIM SP 199K</t>
  </si>
  <si>
    <t>25Q4 Woven Short SP 139 K</t>
  </si>
  <si>
    <t>25Q4 WVN PANTS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</si>
</sst>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13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9" fontId="8" fillId="0" borderId="0">
      <protection locked="0"/>
    </xf>
    <xf numFmtId="43" fontId="8" fillId="0" borderId="0">
      <protection locked="0"/>
    </xf>
    <xf numFmtId="0" fontId="5" fillId="0" borderId="0">
      <protection locked="0"/>
    </xf>
    <xf numFmtId="43" fontId="5" fillId="0" borderId="0">
      <protection locked="0"/>
    </xf>
    <xf numFmtId="9" fontId="5" fillId="0" borderId="0">
      <protection locked="0"/>
    </xf>
    <xf numFmtId="43" fontId="1" fillId="0" borderId="0">
      <protection locked="0"/>
    </xf>
    <xf numFmtId="9" fontId="1" fillId="0" borderId="0">
      <protection locked="0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166" fontId="1" fillId="0" borderId="1" xfId="2" applyNumberFormat="1" applyFont="1" applyFill="1" applyBorder="1" applyAlignment="1" applyProtection="1">
      <alignment horizontal="right"/>
    </xf>
    <xf numFmtId="9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right"/>
    </xf>
    <xf numFmtId="0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/>
    <xf numFmtId="165" fontId="1" fillId="0" borderId="1" xfId="0" applyNumberFormat="1" applyFont="1" applyBorder="1" applyAlignment="1"/>
    <xf numFmtId="0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166" fontId="1" fillId="0" borderId="0" xfId="2" applyNumberFormat="1" applyFont="1" applyAlignment="1" applyProtection="1">
      <alignment horizontal="right"/>
    </xf>
    <xf numFmtId="49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>
      <alignment vertical="center"/>
    </xf>
    <xf numFmtId="166" fontId="2" fillId="2" borderId="1" xfId="2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165" fontId="1" fillId="0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66" fontId="1" fillId="0" borderId="0" xfId="2" applyNumberFormat="1" applyFont="1" applyAlignment="1" applyProtection="1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166" fontId="2" fillId="2" borderId="1" xfId="2" applyNumberFormat="1" applyFont="1" applyFill="1" applyBorder="1" applyAlignment="1" applyProtection="1">
      <alignment horizontal="center" vertical="top"/>
    </xf>
    <xf numFmtId="3" fontId="2" fillId="2" borderId="1" xfId="1" applyNumberFormat="1" applyFont="1" applyFill="1" applyBorder="1" applyAlignment="1" applyProtection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166" fontId="1" fillId="0" borderId="1" xfId="2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Border="1" applyAlignment="1"/>
    <xf numFmtId="164" fontId="2" fillId="2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righ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2" applyNumberFormat="1" applyFont="1" applyBorder="1" applyAlignment="1" applyProtection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left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9" fontId="1" fillId="0" borderId="1" xfId="1" applyFont="1" applyFill="1" applyBorder="1" applyAlignment="1" applyProtection="1">
      <alignment horizontal="center" vertical="center"/>
    </xf>
    <xf numFmtId="3" fontId="1" fillId="0" borderId="1" xfId="1" applyNumberFormat="1" applyFont="1" applyFill="1" applyBorder="1" applyAlignment="1" applyProtection="1">
      <alignment horizontal="center" vertical="center"/>
    </xf>
    <xf numFmtId="166" fontId="1" fillId="0" borderId="1" xfId="2" applyNumberFormat="1" applyFont="1" applyFill="1" applyBorder="1" applyAlignment="1" applyProtection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166" fontId="1" fillId="0" borderId="1" xfId="2" applyNumberFormat="1" applyFont="1" applyFill="1" applyBorder="1" applyAlignment="1" applyProtection="1"/>
    <xf numFmtId="0" fontId="3" fillId="0" borderId="1" xfId="0" applyFont="1" applyBorder="1" applyAlignment="1"/>
    <xf numFmtId="0" fontId="5" fillId="0" borderId="0" xfId="3" applyAlignment="1" applyProtection="1"/>
    <xf numFmtId="166" fontId="6" fillId="0" borderId="0" xfId="4" applyNumberFormat="1" applyFont="1" applyAlignment="1" applyProtection="1"/>
    <xf numFmtId="0" fontId="5" fillId="0" borderId="0" xfId="3" applyAlignment="1" applyProtection="1">
      <alignment horizontal="center" vertical="center"/>
    </xf>
    <xf numFmtId="0" fontId="7" fillId="2" borderId="1" xfId="3" applyFont="1" applyFill="1" applyBorder="1" applyAlignment="1" applyProtection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7" fillId="0" borderId="1" xfId="3" applyFont="1" applyBorder="1" applyAlignment="1" applyProtection="1">
      <alignment horizontal="center" vertical="center"/>
    </xf>
    <xf numFmtId="166" fontId="7" fillId="2" borderId="1" xfId="4" applyNumberFormat="1" applyFont="1" applyFill="1" applyBorder="1" applyAlignment="1" applyProtection="1">
      <alignment horizontal="center" vertical="center"/>
    </xf>
    <xf numFmtId="3" fontId="7" fillId="2" borderId="1" xfId="5" applyNumberFormat="1" applyFont="1" applyFill="1" applyBorder="1" applyAlignment="1" applyProtection="1">
      <alignment horizontal="center" vertical="center"/>
    </xf>
    <xf numFmtId="3" fontId="7" fillId="2" borderId="1" xfId="3" applyNumberFormat="1" applyFont="1" applyFill="1" applyBorder="1" applyAlignment="1" applyProtection="1">
      <alignment horizontal="center" vertical="center"/>
    </xf>
    <xf numFmtId="0" fontId="5" fillId="0" borderId="1" xfId="3" applyFill="1" applyBorder="1" applyAlignment="1" applyProtection="1">
      <alignment horizontal="left" vertical="center"/>
    </xf>
    <xf numFmtId="0" fontId="5" fillId="0" borderId="1" xfId="3" applyFill="1" applyBorder="1" applyAlignment="1" applyProtection="1">
      <alignment horizontal="center" vertical="center"/>
    </xf>
    <xf numFmtId="0" fontId="5" fillId="0" borderId="1" xfId="3" applyBorder="1" applyAlignment="1" applyProtection="1"/>
    <xf numFmtId="0" fontId="5" fillId="0" borderId="1" xfId="3" applyFill="1" applyBorder="1" applyAlignment="1" applyProtection="1">
      <alignment horizontal="left"/>
    </xf>
    <xf numFmtId="166" fontId="6" fillId="0" borderId="1" xfId="4" applyNumberFormat="1" applyFont="1" applyBorder="1" applyAlignment="1" applyProtection="1"/>
    <xf numFmtId="0" fontId="0" fillId="0" borderId="1" xfId="0" applyBorder="1" applyAlignment="1"/>
    <xf numFmtId="166" fontId="0" fillId="0" borderId="1" xfId="2" applyNumberFormat="1" applyFont="1" applyBorder="1" applyProtection="1"/>
    <xf numFmtId="9" fontId="0" fillId="0" borderId="1" xfId="1" applyFont="1" applyBorder="1" applyAlignment="1" applyProtection="1">
      <alignment horizontal="center" vertical="center"/>
    </xf>
    <xf numFmtId="3" fontId="0" fillId="0" borderId="1" xfId="1" applyNumberFormat="1" applyFont="1" applyBorder="1" applyAlignment="1" applyProtection="1">
      <alignment horizontal="center" vertical="center"/>
    </xf>
    <xf numFmtId="0" fontId="3" fillId="0" borderId="1" xfId="3" applyFont="1" applyFill="1" applyBorder="1" applyAlignment="1" applyProtection="1">
      <alignment horizontal="left"/>
    </xf>
    <xf numFmtId="166" fontId="2" fillId="2" borderId="1" xfId="6" applyNumberFormat="1" applyFont="1" applyFill="1" applyBorder="1" applyAlignment="1" applyProtection="1">
      <alignment horizontal="center" vertical="center"/>
    </xf>
    <xf numFmtId="3" fontId="2" fillId="2" borderId="1" xfId="7" applyNumberFormat="1" applyFont="1" applyFill="1" applyBorder="1" applyAlignment="1" applyProtection="1">
      <alignment horizontal="center" vertical="center"/>
    </xf>
    <xf numFmtId="166" fontId="1" fillId="0" borderId="1" xfId="6" applyNumberFormat="1" applyBorder="1" applyAlignment="1" applyProtection="1">
      <alignment horizontal="left" vertical="center"/>
    </xf>
    <xf numFmtId="166" fontId="1" fillId="0" borderId="1" xfId="6" applyNumberFormat="1" applyBorder="1" applyAlignment="1" applyProtection="1">
      <alignment horizontal="left"/>
    </xf>
    <xf numFmtId="166" fontId="1" fillId="0" borderId="1" xfId="6" applyNumberFormat="1" applyBorder="1" applyProtection="1"/>
    <xf numFmtId="166" fontId="1" fillId="0" borderId="0" xfId="6" applyNumberFormat="1" applyProtection="1"/>
  </cellXfs>
  <cellStyles count="8">
    <cellStyle name="Comma" xfId="2" builtinId="3"/>
    <cellStyle name="Comma 2" xfId="4" xr:uid="{00000000-0005-0000-0000-000004000000}"/>
    <cellStyle name="Comma 3" xfId="6" xr:uid="{71CE8083-3B5F-452B-84A0-13659D875704}"/>
    <cellStyle name="Normal" xfId="0" builtinId="0"/>
    <cellStyle name="Normal 2" xfId="3" xr:uid="{00000000-0005-0000-0000-000003000000}"/>
    <cellStyle name="Percent" xfId="1" builtinId="5"/>
    <cellStyle name="Percent 2" xfId="5" xr:uid="{00000000-0005-0000-0000-000005000000}"/>
    <cellStyle name="Percent 3" xfId="7" xr:uid="{B8882D5E-A319-4FEE-ABB8-596E63FF2273}"/>
  </cellStyles>
  <dxfs count="8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9" Type="http://www.wps.cn/officeDocument/2020/cellImage" Target="NULL"/><Relationship Id="rId3" Type="http://schemas.openxmlformats.org/officeDocument/2006/relationships/worksheet" Target="worksheets/sheet3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221"/>
  <sheetViews>
    <sheetView zoomScale="55" workbookViewId="0">
      <selection activeCell="B2" sqref="B2:C3"/>
    </sheetView>
  </sheetViews>
  <sheetFormatPr defaultColWidth="10" defaultRowHeight="14.5" x14ac:dyDescent="0.35"/>
  <cols>
    <col min="1" max="1" width="22.1796875" bestFit="1" customWidth="1"/>
    <col min="2" max="2" width="16.81640625" bestFit="1" customWidth="1"/>
    <col min="3" max="3" width="14.1796875" bestFit="1" customWidth="1"/>
    <col min="4" max="4" width="11.1796875" style="16" bestFit="1" customWidth="1"/>
    <col min="5" max="5" width="13.1796875" style="16" bestFit="1" customWidth="1"/>
    <col min="6" max="6" width="14.54296875" style="16" bestFit="1" customWidth="1"/>
    <col min="7" max="7" width="12" style="17" bestFit="1" customWidth="1"/>
    <col min="8" max="8" width="15" bestFit="1" customWidth="1"/>
    <col min="9" max="9" width="12.81640625" style="16" bestFit="1" customWidth="1"/>
    <col min="10" max="10" width="10.1796875" customWidth="1"/>
    <col min="11" max="11" width="13.7265625" style="17" bestFit="1" customWidth="1"/>
    <col min="12" max="12" width="98.54296875" style="17" bestFit="1" customWidth="1"/>
    <col min="13" max="13" width="21.26953125" style="18" bestFit="1" customWidth="1"/>
    <col min="14" max="14" width="13.453125" bestFit="1" customWidth="1"/>
    <col min="15" max="15" width="20.1796875" bestFit="1" customWidth="1"/>
    <col min="16" max="16" width="20.54296875" bestFit="1" customWidth="1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19" t="s">
        <v>3</v>
      </c>
      <c r="H1" s="5" t="s">
        <v>4</v>
      </c>
      <c r="I1" s="5" t="s">
        <v>5</v>
      </c>
      <c r="J1" s="8" t="s">
        <v>6</v>
      </c>
      <c r="K1" s="19" t="s">
        <v>7</v>
      </c>
      <c r="L1" s="19" t="s">
        <v>13</v>
      </c>
      <c r="M1" s="20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1031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21">
        <v>6</v>
      </c>
      <c r="H2" s="11"/>
      <c r="I2" s="11" t="s">
        <v>17</v>
      </c>
      <c r="J2" s="13">
        <v>15256574</v>
      </c>
      <c r="K2" s="21" t="s">
        <v>30</v>
      </c>
      <c r="L2" s="21" t="s">
        <v>31</v>
      </c>
      <c r="M2" s="22">
        <v>369900</v>
      </c>
      <c r="N2" s="15">
        <v>0.75</v>
      </c>
      <c r="O2" s="14">
        <f t="shared" ref="O2:O42" si="0">M2-(M2*N2)</f>
        <v>92475</v>
      </c>
      <c r="P2" s="11" t="s">
        <v>16</v>
      </c>
    </row>
    <row r="3" spans="1:16" x14ac:dyDescent="0.35">
      <c r="A3" s="11" t="s">
        <v>1031</v>
      </c>
      <c r="B3" s="12">
        <f t="shared" ref="B3:C3" si="1">B2</f>
        <v>46104</v>
      </c>
      <c r="C3" s="12">
        <f t="shared" si="1"/>
        <v>46113</v>
      </c>
      <c r="D3" s="11">
        <v>3259</v>
      </c>
      <c r="E3" s="11">
        <v>333</v>
      </c>
      <c r="F3" s="11">
        <v>3</v>
      </c>
      <c r="G3" s="21">
        <v>6</v>
      </c>
      <c r="H3" s="11"/>
      <c r="I3" s="11" t="s">
        <v>17</v>
      </c>
      <c r="J3" s="13">
        <v>15256583</v>
      </c>
      <c r="K3" s="21" t="s">
        <v>30</v>
      </c>
      <c r="L3" s="21" t="s">
        <v>32</v>
      </c>
      <c r="M3" s="22">
        <v>369900</v>
      </c>
      <c r="N3" s="15">
        <v>0.75</v>
      </c>
      <c r="O3" s="14">
        <f t="shared" si="0"/>
        <v>92475</v>
      </c>
      <c r="P3" s="11" t="s">
        <v>16</v>
      </c>
    </row>
    <row r="4" spans="1:16" x14ac:dyDescent="0.35">
      <c r="A4" s="11" t="s">
        <v>1031</v>
      </c>
      <c r="B4" s="12">
        <f t="shared" ref="B4:B67" si="2">B3</f>
        <v>46104</v>
      </c>
      <c r="C4" s="12">
        <f t="shared" ref="C4:C67" si="3">C3</f>
        <v>46113</v>
      </c>
      <c r="D4" s="11">
        <v>3259</v>
      </c>
      <c r="E4" s="11">
        <v>333</v>
      </c>
      <c r="F4" s="11">
        <v>3</v>
      </c>
      <c r="G4" s="21">
        <v>6</v>
      </c>
      <c r="H4" s="11"/>
      <c r="I4" s="11" t="s">
        <v>17</v>
      </c>
      <c r="J4" s="13">
        <v>15256592</v>
      </c>
      <c r="K4" s="21" t="s">
        <v>30</v>
      </c>
      <c r="L4" s="21" t="s">
        <v>33</v>
      </c>
      <c r="M4" s="22">
        <v>369900</v>
      </c>
      <c r="N4" s="15">
        <v>0.75</v>
      </c>
      <c r="O4" s="14">
        <f t="shared" si="0"/>
        <v>92475</v>
      </c>
      <c r="P4" s="11" t="s">
        <v>16</v>
      </c>
    </row>
    <row r="5" spans="1:16" x14ac:dyDescent="0.35">
      <c r="A5" s="11" t="s">
        <v>1031</v>
      </c>
      <c r="B5" s="12">
        <f t="shared" si="2"/>
        <v>46104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21">
        <v>6</v>
      </c>
      <c r="H5" s="11"/>
      <c r="I5" s="11" t="s">
        <v>17</v>
      </c>
      <c r="J5" s="13">
        <v>15256609</v>
      </c>
      <c r="K5" s="21" t="s">
        <v>30</v>
      </c>
      <c r="L5" s="21" t="s">
        <v>34</v>
      </c>
      <c r="M5" s="22">
        <v>369900</v>
      </c>
      <c r="N5" s="15">
        <v>0.75</v>
      </c>
      <c r="O5" s="14">
        <f t="shared" si="0"/>
        <v>92475</v>
      </c>
      <c r="P5" s="11" t="s">
        <v>16</v>
      </c>
    </row>
    <row r="6" spans="1:16" x14ac:dyDescent="0.35">
      <c r="A6" s="11" t="s">
        <v>1031</v>
      </c>
      <c r="B6" s="12">
        <f t="shared" si="2"/>
        <v>46104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21">
        <v>6</v>
      </c>
      <c r="H6" s="11"/>
      <c r="I6" s="11" t="s">
        <v>17</v>
      </c>
      <c r="J6" s="13">
        <v>15256618</v>
      </c>
      <c r="K6" s="21" t="s">
        <v>30</v>
      </c>
      <c r="L6" s="21" t="s">
        <v>35</v>
      </c>
      <c r="M6" s="22">
        <v>369900</v>
      </c>
      <c r="N6" s="15">
        <v>0.75</v>
      </c>
      <c r="O6" s="14">
        <f t="shared" si="0"/>
        <v>92475</v>
      </c>
      <c r="P6" s="11" t="s">
        <v>16</v>
      </c>
    </row>
    <row r="7" spans="1:16" x14ac:dyDescent="0.35">
      <c r="A7" s="11" t="s">
        <v>1031</v>
      </c>
      <c r="B7" s="12">
        <f t="shared" si="2"/>
        <v>46104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21">
        <v>6</v>
      </c>
      <c r="H7" s="11"/>
      <c r="I7" s="11" t="s">
        <v>17</v>
      </c>
      <c r="J7" s="13">
        <v>15256627</v>
      </c>
      <c r="K7" s="21" t="s">
        <v>30</v>
      </c>
      <c r="L7" s="21" t="s">
        <v>36</v>
      </c>
      <c r="M7" s="22">
        <v>369900</v>
      </c>
      <c r="N7" s="15">
        <v>0.75</v>
      </c>
      <c r="O7" s="14">
        <f t="shared" si="0"/>
        <v>92475</v>
      </c>
      <c r="P7" s="11" t="s">
        <v>16</v>
      </c>
    </row>
    <row r="8" spans="1:16" x14ac:dyDescent="0.35">
      <c r="A8" s="11" t="s">
        <v>1031</v>
      </c>
      <c r="B8" s="12">
        <f t="shared" si="2"/>
        <v>46104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21">
        <v>6</v>
      </c>
      <c r="H8" s="11"/>
      <c r="I8" s="11" t="s">
        <v>17</v>
      </c>
      <c r="J8" s="13">
        <v>15256636</v>
      </c>
      <c r="K8" s="21" t="s">
        <v>30</v>
      </c>
      <c r="L8" s="21" t="s">
        <v>37</v>
      </c>
      <c r="M8" s="22">
        <v>369900</v>
      </c>
      <c r="N8" s="15">
        <v>0.75</v>
      </c>
      <c r="O8" s="14">
        <f t="shared" si="0"/>
        <v>92475</v>
      </c>
      <c r="P8" s="11" t="s">
        <v>16</v>
      </c>
    </row>
    <row r="9" spans="1:16" x14ac:dyDescent="0.35">
      <c r="A9" s="11" t="s">
        <v>1031</v>
      </c>
      <c r="B9" s="12">
        <f t="shared" si="2"/>
        <v>46104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21">
        <v>6</v>
      </c>
      <c r="H9" s="11"/>
      <c r="I9" s="11" t="s">
        <v>17</v>
      </c>
      <c r="J9" s="13">
        <v>15256645</v>
      </c>
      <c r="K9" s="21" t="s">
        <v>30</v>
      </c>
      <c r="L9" s="21" t="s">
        <v>38</v>
      </c>
      <c r="M9" s="22">
        <v>369900</v>
      </c>
      <c r="N9" s="15">
        <v>0.75</v>
      </c>
      <c r="O9" s="14">
        <f t="shared" si="0"/>
        <v>92475</v>
      </c>
      <c r="P9" s="11" t="s">
        <v>16</v>
      </c>
    </row>
    <row r="10" spans="1:16" x14ac:dyDescent="0.35">
      <c r="A10" s="11" t="s">
        <v>1031</v>
      </c>
      <c r="B10" s="12">
        <f t="shared" si="2"/>
        <v>46104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21">
        <v>6</v>
      </c>
      <c r="H10" s="11"/>
      <c r="I10" s="11" t="s">
        <v>17</v>
      </c>
      <c r="J10" s="13">
        <v>15256654</v>
      </c>
      <c r="K10" s="21" t="s">
        <v>30</v>
      </c>
      <c r="L10" s="21" t="s">
        <v>39</v>
      </c>
      <c r="M10" s="22">
        <v>369900</v>
      </c>
      <c r="N10" s="15">
        <v>0.75</v>
      </c>
      <c r="O10" s="14">
        <f t="shared" si="0"/>
        <v>92475</v>
      </c>
      <c r="P10" s="11" t="s">
        <v>16</v>
      </c>
    </row>
    <row r="11" spans="1:16" x14ac:dyDescent="0.35">
      <c r="A11" s="11" t="s">
        <v>1031</v>
      </c>
      <c r="B11" s="12">
        <f t="shared" si="2"/>
        <v>46104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21">
        <v>6</v>
      </c>
      <c r="H11" s="11"/>
      <c r="I11" s="11" t="s">
        <v>17</v>
      </c>
      <c r="J11" s="13">
        <v>15256663</v>
      </c>
      <c r="K11" s="21" t="s">
        <v>30</v>
      </c>
      <c r="L11" s="21" t="s">
        <v>40</v>
      </c>
      <c r="M11" s="22">
        <v>369900</v>
      </c>
      <c r="N11" s="15">
        <v>0.75</v>
      </c>
      <c r="O11" s="14">
        <f t="shared" si="0"/>
        <v>92475</v>
      </c>
      <c r="P11" s="11" t="s">
        <v>16</v>
      </c>
    </row>
    <row r="12" spans="1:16" x14ac:dyDescent="0.35">
      <c r="A12" s="11" t="s">
        <v>1031</v>
      </c>
      <c r="B12" s="12">
        <f t="shared" si="2"/>
        <v>46104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21">
        <v>6</v>
      </c>
      <c r="H12" s="11"/>
      <c r="I12" s="11" t="s">
        <v>17</v>
      </c>
      <c r="J12" s="13">
        <v>15256672</v>
      </c>
      <c r="K12" s="21" t="s">
        <v>30</v>
      </c>
      <c r="L12" s="21" t="s">
        <v>41</v>
      </c>
      <c r="M12" s="22">
        <v>369900</v>
      </c>
      <c r="N12" s="15">
        <v>0.75</v>
      </c>
      <c r="O12" s="14">
        <f t="shared" si="0"/>
        <v>92475</v>
      </c>
      <c r="P12" s="11" t="s">
        <v>16</v>
      </c>
    </row>
    <row r="13" spans="1:16" x14ac:dyDescent="0.35">
      <c r="A13" s="11" t="s">
        <v>1031</v>
      </c>
      <c r="B13" s="12">
        <f t="shared" si="2"/>
        <v>46104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21">
        <v>6</v>
      </c>
      <c r="H13" s="11"/>
      <c r="I13" s="11" t="s">
        <v>17</v>
      </c>
      <c r="J13" s="13">
        <v>15256681</v>
      </c>
      <c r="K13" s="21" t="s">
        <v>30</v>
      </c>
      <c r="L13" s="21" t="s">
        <v>42</v>
      </c>
      <c r="M13" s="22">
        <v>369900</v>
      </c>
      <c r="N13" s="15">
        <v>0.75</v>
      </c>
      <c r="O13" s="14">
        <f t="shared" si="0"/>
        <v>92475</v>
      </c>
      <c r="P13" s="11" t="s">
        <v>16</v>
      </c>
    </row>
    <row r="14" spans="1:16" x14ac:dyDescent="0.35">
      <c r="A14" s="11" t="s">
        <v>1031</v>
      </c>
      <c r="B14" s="12">
        <f t="shared" si="2"/>
        <v>46104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21">
        <v>6</v>
      </c>
      <c r="H14" s="11"/>
      <c r="I14" s="11" t="s">
        <v>17</v>
      </c>
      <c r="J14" s="13">
        <v>15258018</v>
      </c>
      <c r="K14" s="21" t="s">
        <v>85</v>
      </c>
      <c r="L14" s="21" t="s">
        <v>86</v>
      </c>
      <c r="M14" s="22">
        <v>369900</v>
      </c>
      <c r="N14" s="15">
        <v>0.75</v>
      </c>
      <c r="O14" s="14">
        <f t="shared" si="0"/>
        <v>92475</v>
      </c>
      <c r="P14" s="11" t="s">
        <v>16</v>
      </c>
    </row>
    <row r="15" spans="1:16" x14ac:dyDescent="0.35">
      <c r="A15" s="11" t="s">
        <v>1031</v>
      </c>
      <c r="B15" s="12">
        <f t="shared" si="2"/>
        <v>46104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21">
        <v>6</v>
      </c>
      <c r="H15" s="11"/>
      <c r="I15" s="11" t="s">
        <v>17</v>
      </c>
      <c r="J15" s="13">
        <v>15258027</v>
      </c>
      <c r="K15" s="21" t="s">
        <v>85</v>
      </c>
      <c r="L15" s="21" t="s">
        <v>87</v>
      </c>
      <c r="M15" s="22">
        <v>369900</v>
      </c>
      <c r="N15" s="15">
        <v>0.75</v>
      </c>
      <c r="O15" s="14">
        <f t="shared" si="0"/>
        <v>92475</v>
      </c>
      <c r="P15" s="11" t="s">
        <v>16</v>
      </c>
    </row>
    <row r="16" spans="1:16" x14ac:dyDescent="0.35">
      <c r="A16" s="11" t="s">
        <v>1031</v>
      </c>
      <c r="B16" s="12">
        <f t="shared" si="2"/>
        <v>46104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21">
        <v>6</v>
      </c>
      <c r="H16" s="11"/>
      <c r="I16" s="11" t="s">
        <v>17</v>
      </c>
      <c r="J16" s="13">
        <v>15258036</v>
      </c>
      <c r="K16" s="21" t="s">
        <v>85</v>
      </c>
      <c r="L16" s="21" t="s">
        <v>88</v>
      </c>
      <c r="M16" s="22">
        <v>369900</v>
      </c>
      <c r="N16" s="15">
        <v>0.75</v>
      </c>
      <c r="O16" s="14">
        <f t="shared" si="0"/>
        <v>92475</v>
      </c>
      <c r="P16" s="11" t="s">
        <v>16</v>
      </c>
    </row>
    <row r="17" spans="1:16" x14ac:dyDescent="0.35">
      <c r="A17" s="11" t="s">
        <v>1031</v>
      </c>
      <c r="B17" s="12">
        <f t="shared" si="2"/>
        <v>46104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21">
        <v>6</v>
      </c>
      <c r="H17" s="11"/>
      <c r="I17" s="11" t="s">
        <v>17</v>
      </c>
      <c r="J17" s="13">
        <v>15258045</v>
      </c>
      <c r="K17" s="21" t="s">
        <v>85</v>
      </c>
      <c r="L17" s="21" t="s">
        <v>89</v>
      </c>
      <c r="M17" s="22">
        <v>369900</v>
      </c>
      <c r="N17" s="15">
        <v>0.75</v>
      </c>
      <c r="O17" s="14">
        <f t="shared" si="0"/>
        <v>92475</v>
      </c>
      <c r="P17" s="11" t="s">
        <v>16</v>
      </c>
    </row>
    <row r="18" spans="1:16" x14ac:dyDescent="0.35">
      <c r="A18" s="11" t="s">
        <v>1031</v>
      </c>
      <c r="B18" s="12">
        <f t="shared" si="2"/>
        <v>46104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21">
        <v>6</v>
      </c>
      <c r="H18" s="11"/>
      <c r="I18" s="11" t="s">
        <v>17</v>
      </c>
      <c r="J18" s="13">
        <v>15258054</v>
      </c>
      <c r="K18" s="21" t="s">
        <v>85</v>
      </c>
      <c r="L18" s="21" t="s">
        <v>90</v>
      </c>
      <c r="M18" s="22">
        <v>369900</v>
      </c>
      <c r="N18" s="15">
        <v>0.75</v>
      </c>
      <c r="O18" s="14">
        <f t="shared" si="0"/>
        <v>92475</v>
      </c>
      <c r="P18" s="11" t="s">
        <v>16</v>
      </c>
    </row>
    <row r="19" spans="1:16" x14ac:dyDescent="0.35">
      <c r="A19" s="11" t="s">
        <v>1031</v>
      </c>
      <c r="B19" s="12">
        <f t="shared" si="2"/>
        <v>46104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21">
        <v>6</v>
      </c>
      <c r="H19" s="11"/>
      <c r="I19" s="11" t="s">
        <v>17</v>
      </c>
      <c r="J19" s="13">
        <v>15258063</v>
      </c>
      <c r="K19" s="21" t="s">
        <v>85</v>
      </c>
      <c r="L19" s="21" t="s">
        <v>91</v>
      </c>
      <c r="M19" s="22">
        <v>369900</v>
      </c>
      <c r="N19" s="15">
        <v>0.75</v>
      </c>
      <c r="O19" s="14">
        <f t="shared" si="0"/>
        <v>92475</v>
      </c>
      <c r="P19" s="11" t="s">
        <v>16</v>
      </c>
    </row>
    <row r="20" spans="1:16" x14ac:dyDescent="0.35">
      <c r="A20" s="11" t="s">
        <v>1031</v>
      </c>
      <c r="B20" s="12">
        <f t="shared" si="2"/>
        <v>46104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21">
        <v>6</v>
      </c>
      <c r="H20" s="11"/>
      <c r="I20" s="11" t="s">
        <v>17</v>
      </c>
      <c r="J20" s="13">
        <v>15258072</v>
      </c>
      <c r="K20" s="21" t="s">
        <v>85</v>
      </c>
      <c r="L20" s="21" t="s">
        <v>92</v>
      </c>
      <c r="M20" s="22">
        <v>369900</v>
      </c>
      <c r="N20" s="15">
        <v>0.75</v>
      </c>
      <c r="O20" s="14">
        <f t="shared" si="0"/>
        <v>92475</v>
      </c>
      <c r="P20" s="11" t="s">
        <v>16</v>
      </c>
    </row>
    <row r="21" spans="1:16" x14ac:dyDescent="0.35">
      <c r="A21" s="11" t="s">
        <v>1031</v>
      </c>
      <c r="B21" s="12">
        <f t="shared" si="2"/>
        <v>46104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21">
        <v>6</v>
      </c>
      <c r="H21" s="11"/>
      <c r="I21" s="11" t="s">
        <v>17</v>
      </c>
      <c r="J21" s="13">
        <v>15258081</v>
      </c>
      <c r="K21" s="21" t="s">
        <v>85</v>
      </c>
      <c r="L21" s="21" t="s">
        <v>93</v>
      </c>
      <c r="M21" s="22">
        <v>369900</v>
      </c>
      <c r="N21" s="15">
        <v>0.75</v>
      </c>
      <c r="O21" s="14">
        <f t="shared" si="0"/>
        <v>92475</v>
      </c>
      <c r="P21" s="11" t="s">
        <v>16</v>
      </c>
    </row>
    <row r="22" spans="1:16" x14ac:dyDescent="0.35">
      <c r="A22" s="11" t="s">
        <v>1031</v>
      </c>
      <c r="B22" s="12">
        <f t="shared" si="2"/>
        <v>46104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21">
        <v>6</v>
      </c>
      <c r="H22" s="11"/>
      <c r="I22" s="11" t="s">
        <v>17</v>
      </c>
      <c r="J22" s="13">
        <v>15258090</v>
      </c>
      <c r="K22" s="21" t="s">
        <v>85</v>
      </c>
      <c r="L22" s="21" t="s">
        <v>94</v>
      </c>
      <c r="M22" s="22">
        <v>369900</v>
      </c>
      <c r="N22" s="15">
        <v>0.75</v>
      </c>
      <c r="O22" s="14">
        <f t="shared" si="0"/>
        <v>92475</v>
      </c>
      <c r="P22" s="11" t="s">
        <v>16</v>
      </c>
    </row>
    <row r="23" spans="1:16" x14ac:dyDescent="0.35">
      <c r="A23" s="11" t="s">
        <v>1031</v>
      </c>
      <c r="B23" s="12">
        <f t="shared" si="2"/>
        <v>46104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21">
        <v>6</v>
      </c>
      <c r="H23" s="11"/>
      <c r="I23" s="11" t="s">
        <v>17</v>
      </c>
      <c r="J23" s="13">
        <v>15258107</v>
      </c>
      <c r="K23" s="21" t="s">
        <v>85</v>
      </c>
      <c r="L23" s="21" t="s">
        <v>95</v>
      </c>
      <c r="M23" s="22">
        <v>369900</v>
      </c>
      <c r="N23" s="15">
        <v>0.75</v>
      </c>
      <c r="O23" s="14">
        <f t="shared" si="0"/>
        <v>92475</v>
      </c>
      <c r="P23" s="11" t="s">
        <v>16</v>
      </c>
    </row>
    <row r="24" spans="1:16" x14ac:dyDescent="0.35">
      <c r="A24" s="11" t="s">
        <v>1031</v>
      </c>
      <c r="B24" s="12">
        <f t="shared" si="2"/>
        <v>46104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21">
        <v>6</v>
      </c>
      <c r="H24" s="11"/>
      <c r="I24" s="11" t="s">
        <v>17</v>
      </c>
      <c r="J24" s="13">
        <v>15258116</v>
      </c>
      <c r="K24" s="21" t="s">
        <v>85</v>
      </c>
      <c r="L24" s="21" t="s">
        <v>96</v>
      </c>
      <c r="M24" s="22">
        <v>369900</v>
      </c>
      <c r="N24" s="15">
        <v>0.75</v>
      </c>
      <c r="O24" s="14">
        <f t="shared" si="0"/>
        <v>92475</v>
      </c>
      <c r="P24" s="11" t="s">
        <v>16</v>
      </c>
    </row>
    <row r="25" spans="1:16" x14ac:dyDescent="0.35">
      <c r="A25" s="11" t="s">
        <v>1031</v>
      </c>
      <c r="B25" s="12">
        <f t="shared" si="2"/>
        <v>46104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21">
        <v>6</v>
      </c>
      <c r="H25" s="11"/>
      <c r="I25" s="11" t="s">
        <v>17</v>
      </c>
      <c r="J25" s="13">
        <v>15258125</v>
      </c>
      <c r="K25" s="21" t="s">
        <v>85</v>
      </c>
      <c r="L25" s="21" t="s">
        <v>97</v>
      </c>
      <c r="M25" s="22">
        <v>369900</v>
      </c>
      <c r="N25" s="15">
        <v>0.75</v>
      </c>
      <c r="O25" s="14">
        <f t="shared" si="0"/>
        <v>92475</v>
      </c>
      <c r="P25" s="11" t="s">
        <v>16</v>
      </c>
    </row>
    <row r="26" spans="1:16" x14ac:dyDescent="0.35">
      <c r="A26" s="11" t="s">
        <v>1031</v>
      </c>
      <c r="B26" s="12">
        <f t="shared" si="2"/>
        <v>46104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21">
        <v>6</v>
      </c>
      <c r="H26" s="11"/>
      <c r="I26" s="11" t="s">
        <v>17</v>
      </c>
      <c r="J26" s="13">
        <v>17123892</v>
      </c>
      <c r="K26" s="21" t="s">
        <v>204</v>
      </c>
      <c r="L26" s="21" t="s">
        <v>205</v>
      </c>
      <c r="M26" s="22">
        <v>369900</v>
      </c>
      <c r="N26" s="15">
        <v>0.75</v>
      </c>
      <c r="O26" s="14">
        <f t="shared" si="0"/>
        <v>92475</v>
      </c>
      <c r="P26" s="11" t="s">
        <v>16</v>
      </c>
    </row>
    <row r="27" spans="1:16" x14ac:dyDescent="0.35">
      <c r="A27" s="11" t="s">
        <v>1031</v>
      </c>
      <c r="B27" s="12">
        <f t="shared" si="2"/>
        <v>46104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21">
        <v>6</v>
      </c>
      <c r="H27" s="11"/>
      <c r="I27" s="11" t="s">
        <v>17</v>
      </c>
      <c r="J27" s="13">
        <v>17123909</v>
      </c>
      <c r="K27" s="21" t="s">
        <v>204</v>
      </c>
      <c r="L27" s="21" t="s">
        <v>206</v>
      </c>
      <c r="M27" s="22">
        <v>369900</v>
      </c>
      <c r="N27" s="15">
        <v>0.75</v>
      </c>
      <c r="O27" s="14">
        <f t="shared" si="0"/>
        <v>92475</v>
      </c>
      <c r="P27" s="11" t="s">
        <v>16</v>
      </c>
    </row>
    <row r="28" spans="1:16" x14ac:dyDescent="0.35">
      <c r="A28" s="11" t="s">
        <v>1031</v>
      </c>
      <c r="B28" s="12">
        <f t="shared" si="2"/>
        <v>46104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21">
        <v>6</v>
      </c>
      <c r="H28" s="11"/>
      <c r="I28" s="11" t="s">
        <v>17</v>
      </c>
      <c r="J28" s="13">
        <v>17123918</v>
      </c>
      <c r="K28" s="21" t="s">
        <v>204</v>
      </c>
      <c r="L28" s="21" t="s">
        <v>207</v>
      </c>
      <c r="M28" s="22">
        <v>369900</v>
      </c>
      <c r="N28" s="15">
        <v>0.75</v>
      </c>
      <c r="O28" s="14">
        <f t="shared" si="0"/>
        <v>92475</v>
      </c>
      <c r="P28" s="11" t="s">
        <v>16</v>
      </c>
    </row>
    <row r="29" spans="1:16" x14ac:dyDescent="0.35">
      <c r="A29" s="11" t="s">
        <v>1031</v>
      </c>
      <c r="B29" s="12">
        <f t="shared" si="2"/>
        <v>46104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21">
        <v>6</v>
      </c>
      <c r="H29" s="11"/>
      <c r="I29" s="11" t="s">
        <v>17</v>
      </c>
      <c r="J29" s="13">
        <v>17123936</v>
      </c>
      <c r="K29" s="21" t="s">
        <v>204</v>
      </c>
      <c r="L29" s="21" t="s">
        <v>208</v>
      </c>
      <c r="M29" s="22">
        <v>369900</v>
      </c>
      <c r="N29" s="15">
        <v>0.75</v>
      </c>
      <c r="O29" s="14">
        <f t="shared" si="0"/>
        <v>92475</v>
      </c>
      <c r="P29" s="11" t="s">
        <v>16</v>
      </c>
    </row>
    <row r="30" spans="1:16" x14ac:dyDescent="0.35">
      <c r="A30" s="11" t="s">
        <v>1031</v>
      </c>
      <c r="B30" s="12">
        <f t="shared" si="2"/>
        <v>46104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21">
        <v>6</v>
      </c>
      <c r="H30" s="11"/>
      <c r="I30" s="11" t="s">
        <v>17</v>
      </c>
      <c r="J30" s="13">
        <v>17123945</v>
      </c>
      <c r="K30" s="21" t="s">
        <v>204</v>
      </c>
      <c r="L30" s="21" t="s">
        <v>209</v>
      </c>
      <c r="M30" s="22">
        <v>369900</v>
      </c>
      <c r="N30" s="15">
        <v>0.75</v>
      </c>
      <c r="O30" s="14">
        <f t="shared" si="0"/>
        <v>92475</v>
      </c>
      <c r="P30" s="11" t="s">
        <v>16</v>
      </c>
    </row>
    <row r="31" spans="1:16" x14ac:dyDescent="0.35">
      <c r="A31" s="11" t="s">
        <v>1031</v>
      </c>
      <c r="B31" s="12">
        <f t="shared" si="2"/>
        <v>46104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21">
        <v>6</v>
      </c>
      <c r="H31" s="11"/>
      <c r="I31" s="11" t="s">
        <v>17</v>
      </c>
      <c r="J31" s="13">
        <v>17123954</v>
      </c>
      <c r="K31" s="21" t="s">
        <v>204</v>
      </c>
      <c r="L31" s="21" t="s">
        <v>210</v>
      </c>
      <c r="M31" s="22">
        <v>369900</v>
      </c>
      <c r="N31" s="15">
        <v>0.75</v>
      </c>
      <c r="O31" s="14">
        <f t="shared" si="0"/>
        <v>92475</v>
      </c>
      <c r="P31" s="11" t="s">
        <v>16</v>
      </c>
    </row>
    <row r="32" spans="1:16" x14ac:dyDescent="0.35">
      <c r="A32" s="11" t="s">
        <v>1031</v>
      </c>
      <c r="B32" s="12">
        <f t="shared" si="2"/>
        <v>46104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21">
        <v>6</v>
      </c>
      <c r="H32" s="11"/>
      <c r="I32" s="11" t="s">
        <v>17</v>
      </c>
      <c r="J32" s="13">
        <v>17124024</v>
      </c>
      <c r="K32" s="21" t="s">
        <v>204</v>
      </c>
      <c r="L32" s="21" t="s">
        <v>211</v>
      </c>
      <c r="M32" s="22">
        <v>369900</v>
      </c>
      <c r="N32" s="15">
        <v>0.75</v>
      </c>
      <c r="O32" s="14">
        <f t="shared" si="0"/>
        <v>92475</v>
      </c>
      <c r="P32" s="11" t="s">
        <v>16</v>
      </c>
    </row>
    <row r="33" spans="1:16" x14ac:dyDescent="0.35">
      <c r="A33" s="11" t="s">
        <v>1031</v>
      </c>
      <c r="B33" s="12">
        <f t="shared" si="2"/>
        <v>46104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21">
        <v>6</v>
      </c>
      <c r="H33" s="11"/>
      <c r="I33" s="11" t="s">
        <v>17</v>
      </c>
      <c r="J33" s="13">
        <v>17124033</v>
      </c>
      <c r="K33" s="21" t="s">
        <v>204</v>
      </c>
      <c r="L33" s="21" t="s">
        <v>212</v>
      </c>
      <c r="M33" s="22">
        <v>369900</v>
      </c>
      <c r="N33" s="15">
        <v>0.75</v>
      </c>
      <c r="O33" s="14">
        <f t="shared" si="0"/>
        <v>92475</v>
      </c>
      <c r="P33" s="11" t="s">
        <v>16</v>
      </c>
    </row>
    <row r="34" spans="1:16" x14ac:dyDescent="0.35">
      <c r="A34" s="11" t="s">
        <v>1031</v>
      </c>
      <c r="B34" s="12">
        <f t="shared" si="2"/>
        <v>46104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21">
        <v>6</v>
      </c>
      <c r="H34" s="11"/>
      <c r="I34" s="11" t="s">
        <v>17</v>
      </c>
      <c r="J34" s="13">
        <v>17124042</v>
      </c>
      <c r="K34" s="21" t="s">
        <v>204</v>
      </c>
      <c r="L34" s="21" t="s">
        <v>213</v>
      </c>
      <c r="M34" s="22">
        <v>369900</v>
      </c>
      <c r="N34" s="15">
        <v>0.75</v>
      </c>
      <c r="O34" s="14">
        <f t="shared" si="0"/>
        <v>92475</v>
      </c>
      <c r="P34" s="11" t="s">
        <v>16</v>
      </c>
    </row>
    <row r="35" spans="1:16" x14ac:dyDescent="0.35">
      <c r="A35" s="11" t="s">
        <v>1031</v>
      </c>
      <c r="B35" s="12">
        <f t="shared" si="2"/>
        <v>46104</v>
      </c>
      <c r="C35" s="12">
        <f t="shared" si="3"/>
        <v>46113</v>
      </c>
      <c r="D35" s="11">
        <v>3259</v>
      </c>
      <c r="E35" s="11">
        <v>333</v>
      </c>
      <c r="F35" s="11">
        <v>3</v>
      </c>
      <c r="G35" s="21">
        <v>6</v>
      </c>
      <c r="H35" s="11"/>
      <c r="I35" s="11" t="s">
        <v>17</v>
      </c>
      <c r="J35" s="13">
        <v>17124051</v>
      </c>
      <c r="K35" s="21" t="s">
        <v>204</v>
      </c>
      <c r="L35" s="21" t="s">
        <v>214</v>
      </c>
      <c r="M35" s="22">
        <v>369900</v>
      </c>
      <c r="N35" s="15">
        <v>0.75</v>
      </c>
      <c r="O35" s="14">
        <f t="shared" si="0"/>
        <v>92475</v>
      </c>
      <c r="P35" s="11" t="s">
        <v>16</v>
      </c>
    </row>
    <row r="36" spans="1:16" x14ac:dyDescent="0.35">
      <c r="A36" s="11" t="s">
        <v>1031</v>
      </c>
      <c r="B36" s="12">
        <f t="shared" si="2"/>
        <v>46104</v>
      </c>
      <c r="C36" s="12">
        <f t="shared" si="3"/>
        <v>46113</v>
      </c>
      <c r="D36" s="11">
        <v>3259</v>
      </c>
      <c r="E36" s="11">
        <v>333</v>
      </c>
      <c r="F36" s="11">
        <v>3</v>
      </c>
      <c r="G36" s="21">
        <v>6</v>
      </c>
      <c r="H36" s="11"/>
      <c r="I36" s="11" t="s">
        <v>17</v>
      </c>
      <c r="J36" s="13">
        <v>17124060</v>
      </c>
      <c r="K36" s="21" t="s">
        <v>204</v>
      </c>
      <c r="L36" s="21" t="s">
        <v>215</v>
      </c>
      <c r="M36" s="22">
        <v>369900</v>
      </c>
      <c r="N36" s="15">
        <v>0.75</v>
      </c>
      <c r="O36" s="14">
        <f t="shared" si="0"/>
        <v>92475</v>
      </c>
      <c r="P36" s="11" t="s">
        <v>16</v>
      </c>
    </row>
    <row r="37" spans="1:16" x14ac:dyDescent="0.35">
      <c r="A37" s="11" t="s">
        <v>1031</v>
      </c>
      <c r="B37" s="12">
        <f t="shared" si="2"/>
        <v>46104</v>
      </c>
      <c r="C37" s="12">
        <f t="shared" si="3"/>
        <v>46113</v>
      </c>
      <c r="D37" s="11">
        <v>3259</v>
      </c>
      <c r="E37" s="11">
        <v>333</v>
      </c>
      <c r="F37" s="11">
        <v>3</v>
      </c>
      <c r="G37" s="21">
        <v>6</v>
      </c>
      <c r="H37" s="11"/>
      <c r="I37" s="11" t="s">
        <v>17</v>
      </c>
      <c r="J37" s="13">
        <v>17124079</v>
      </c>
      <c r="K37" s="21" t="s">
        <v>204</v>
      </c>
      <c r="L37" s="21" t="s">
        <v>216</v>
      </c>
      <c r="M37" s="22">
        <v>369900</v>
      </c>
      <c r="N37" s="15">
        <v>0.75</v>
      </c>
      <c r="O37" s="14">
        <f t="shared" si="0"/>
        <v>92475</v>
      </c>
      <c r="P37" s="11" t="s">
        <v>16</v>
      </c>
    </row>
    <row r="38" spans="1:16" x14ac:dyDescent="0.35">
      <c r="A38" s="11" t="s">
        <v>1031</v>
      </c>
      <c r="B38" s="12">
        <f t="shared" si="2"/>
        <v>46104</v>
      </c>
      <c r="C38" s="12">
        <f t="shared" si="3"/>
        <v>46113</v>
      </c>
      <c r="D38" s="11">
        <v>3259</v>
      </c>
      <c r="E38" s="11">
        <v>333</v>
      </c>
      <c r="F38" s="11">
        <v>3</v>
      </c>
      <c r="G38" s="21">
        <v>6</v>
      </c>
      <c r="H38" s="11"/>
      <c r="I38" s="11" t="s">
        <v>17</v>
      </c>
      <c r="J38" s="13">
        <v>15256690</v>
      </c>
      <c r="K38" s="21" t="s">
        <v>43</v>
      </c>
      <c r="L38" s="21" t="s">
        <v>44</v>
      </c>
      <c r="M38" s="22">
        <v>369900</v>
      </c>
      <c r="N38" s="15">
        <v>0.75</v>
      </c>
      <c r="O38" s="14">
        <f t="shared" si="0"/>
        <v>92475</v>
      </c>
      <c r="P38" s="11" t="s">
        <v>16</v>
      </c>
    </row>
    <row r="39" spans="1:16" x14ac:dyDescent="0.35">
      <c r="A39" s="11" t="s">
        <v>1031</v>
      </c>
      <c r="B39" s="12">
        <f t="shared" si="2"/>
        <v>46104</v>
      </c>
      <c r="C39" s="12">
        <f t="shared" si="3"/>
        <v>46113</v>
      </c>
      <c r="D39" s="11">
        <v>3259</v>
      </c>
      <c r="E39" s="11">
        <v>333</v>
      </c>
      <c r="F39" s="11">
        <v>3</v>
      </c>
      <c r="G39" s="21">
        <v>6</v>
      </c>
      <c r="H39" s="11"/>
      <c r="I39" s="11" t="s">
        <v>17</v>
      </c>
      <c r="J39" s="13">
        <v>15256707</v>
      </c>
      <c r="K39" s="21" t="s">
        <v>43</v>
      </c>
      <c r="L39" s="21" t="s">
        <v>45</v>
      </c>
      <c r="M39" s="22">
        <v>369900</v>
      </c>
      <c r="N39" s="15">
        <v>0.75</v>
      </c>
      <c r="O39" s="14">
        <f t="shared" si="0"/>
        <v>92475</v>
      </c>
      <c r="P39" s="11" t="s">
        <v>16</v>
      </c>
    </row>
    <row r="40" spans="1:16" x14ac:dyDescent="0.35">
      <c r="A40" s="11" t="s">
        <v>1031</v>
      </c>
      <c r="B40" s="12">
        <f t="shared" si="2"/>
        <v>46104</v>
      </c>
      <c r="C40" s="12">
        <f t="shared" si="3"/>
        <v>46113</v>
      </c>
      <c r="D40" s="11">
        <v>3259</v>
      </c>
      <c r="E40" s="11">
        <v>333</v>
      </c>
      <c r="F40" s="11">
        <v>3</v>
      </c>
      <c r="G40" s="21">
        <v>6</v>
      </c>
      <c r="H40" s="11"/>
      <c r="I40" s="11" t="s">
        <v>17</v>
      </c>
      <c r="J40" s="13">
        <v>15256716</v>
      </c>
      <c r="K40" s="21" t="s">
        <v>43</v>
      </c>
      <c r="L40" s="21" t="s">
        <v>46</v>
      </c>
      <c r="M40" s="22">
        <v>369900</v>
      </c>
      <c r="N40" s="15">
        <v>0.75</v>
      </c>
      <c r="O40" s="14">
        <f t="shared" si="0"/>
        <v>92475</v>
      </c>
      <c r="P40" s="11" t="s">
        <v>16</v>
      </c>
    </row>
    <row r="41" spans="1:16" x14ac:dyDescent="0.35">
      <c r="A41" s="11" t="s">
        <v>1031</v>
      </c>
      <c r="B41" s="12">
        <f t="shared" si="2"/>
        <v>46104</v>
      </c>
      <c r="C41" s="12">
        <f t="shared" si="3"/>
        <v>46113</v>
      </c>
      <c r="D41" s="11">
        <v>3259</v>
      </c>
      <c r="E41" s="11">
        <v>333</v>
      </c>
      <c r="F41" s="11">
        <v>3</v>
      </c>
      <c r="G41" s="21">
        <v>6</v>
      </c>
      <c r="H41" s="11"/>
      <c r="I41" s="11" t="s">
        <v>17</v>
      </c>
      <c r="J41" s="13">
        <v>15256725</v>
      </c>
      <c r="K41" s="21" t="s">
        <v>43</v>
      </c>
      <c r="L41" s="21" t="s">
        <v>47</v>
      </c>
      <c r="M41" s="22">
        <v>369900</v>
      </c>
      <c r="N41" s="15">
        <v>0.75</v>
      </c>
      <c r="O41" s="14">
        <f t="shared" si="0"/>
        <v>92475</v>
      </c>
      <c r="P41" s="11" t="s">
        <v>16</v>
      </c>
    </row>
    <row r="42" spans="1:16" x14ac:dyDescent="0.35">
      <c r="A42" s="11" t="s">
        <v>1031</v>
      </c>
      <c r="B42" s="12">
        <f t="shared" si="2"/>
        <v>46104</v>
      </c>
      <c r="C42" s="12">
        <f t="shared" si="3"/>
        <v>46113</v>
      </c>
      <c r="D42" s="11">
        <v>3259</v>
      </c>
      <c r="E42" s="11">
        <v>333</v>
      </c>
      <c r="F42" s="11">
        <v>3</v>
      </c>
      <c r="G42" s="21">
        <v>6</v>
      </c>
      <c r="H42" s="11"/>
      <c r="I42" s="11" t="s">
        <v>17</v>
      </c>
      <c r="J42" s="13">
        <v>15256850</v>
      </c>
      <c r="K42" s="21" t="s">
        <v>48</v>
      </c>
      <c r="L42" s="21" t="s">
        <v>49</v>
      </c>
      <c r="M42" s="22">
        <v>369900</v>
      </c>
      <c r="N42" s="15">
        <v>0.75</v>
      </c>
      <c r="O42" s="14">
        <f t="shared" si="0"/>
        <v>92475</v>
      </c>
      <c r="P42" s="11" t="s">
        <v>16</v>
      </c>
    </row>
    <row r="43" spans="1:16" x14ac:dyDescent="0.35">
      <c r="A43" s="11" t="s">
        <v>1031</v>
      </c>
      <c r="B43" s="12">
        <f t="shared" si="2"/>
        <v>46104</v>
      </c>
      <c r="C43" s="12">
        <f t="shared" si="3"/>
        <v>46113</v>
      </c>
      <c r="D43" s="11">
        <v>3259</v>
      </c>
      <c r="E43" s="11">
        <v>333</v>
      </c>
      <c r="F43" s="11">
        <v>3</v>
      </c>
      <c r="G43" s="21">
        <v>6</v>
      </c>
      <c r="H43" s="11"/>
      <c r="I43" s="11" t="s">
        <v>17</v>
      </c>
      <c r="J43" s="13">
        <v>15256869</v>
      </c>
      <c r="K43" s="21" t="s">
        <v>48</v>
      </c>
      <c r="L43" s="21" t="s">
        <v>50</v>
      </c>
      <c r="M43" s="22">
        <v>369900</v>
      </c>
      <c r="N43" s="15">
        <v>0.75</v>
      </c>
      <c r="O43" s="14">
        <f t="shared" ref="O43:O106" si="4">M43-(M43*N43)</f>
        <v>92475</v>
      </c>
      <c r="P43" s="11" t="s">
        <v>16</v>
      </c>
    </row>
    <row r="44" spans="1:16" x14ac:dyDescent="0.35">
      <c r="A44" s="11" t="s">
        <v>1031</v>
      </c>
      <c r="B44" s="12">
        <f t="shared" si="2"/>
        <v>46104</v>
      </c>
      <c r="C44" s="12">
        <f t="shared" si="3"/>
        <v>46113</v>
      </c>
      <c r="D44" s="11">
        <v>3259</v>
      </c>
      <c r="E44" s="11">
        <v>333</v>
      </c>
      <c r="F44" s="11">
        <v>3</v>
      </c>
      <c r="G44" s="21">
        <v>6</v>
      </c>
      <c r="H44" s="11"/>
      <c r="I44" s="11" t="s">
        <v>17</v>
      </c>
      <c r="J44" s="13">
        <v>15256878</v>
      </c>
      <c r="K44" s="21" t="s">
        <v>48</v>
      </c>
      <c r="L44" s="21" t="s">
        <v>334</v>
      </c>
      <c r="M44" s="22">
        <v>369900</v>
      </c>
      <c r="N44" s="15">
        <v>0.75</v>
      </c>
      <c r="O44" s="14">
        <f t="shared" si="4"/>
        <v>92475</v>
      </c>
      <c r="P44" s="11" t="s">
        <v>16</v>
      </c>
    </row>
    <row r="45" spans="1:16" x14ac:dyDescent="0.35">
      <c r="A45" s="11" t="s">
        <v>1031</v>
      </c>
      <c r="B45" s="12">
        <f t="shared" si="2"/>
        <v>46104</v>
      </c>
      <c r="C45" s="12">
        <f t="shared" si="3"/>
        <v>46113</v>
      </c>
      <c r="D45" s="11">
        <v>3259</v>
      </c>
      <c r="E45" s="11">
        <v>333</v>
      </c>
      <c r="F45" s="11">
        <v>3</v>
      </c>
      <c r="G45" s="21">
        <v>6</v>
      </c>
      <c r="H45" s="11"/>
      <c r="I45" s="11" t="s">
        <v>17</v>
      </c>
      <c r="J45" s="13">
        <v>15256887</v>
      </c>
      <c r="K45" s="21" t="s">
        <v>48</v>
      </c>
      <c r="L45" s="21" t="s">
        <v>335</v>
      </c>
      <c r="M45" s="22">
        <v>369900</v>
      </c>
      <c r="N45" s="15">
        <v>0.75</v>
      </c>
      <c r="O45" s="14">
        <f t="shared" si="4"/>
        <v>92475</v>
      </c>
      <c r="P45" s="11" t="s">
        <v>16</v>
      </c>
    </row>
    <row r="46" spans="1:16" x14ac:dyDescent="0.35">
      <c r="A46" s="11" t="s">
        <v>1031</v>
      </c>
      <c r="B46" s="12">
        <f t="shared" si="2"/>
        <v>46104</v>
      </c>
      <c r="C46" s="12">
        <f t="shared" si="3"/>
        <v>46113</v>
      </c>
      <c r="D46" s="11">
        <v>3259</v>
      </c>
      <c r="E46" s="11">
        <v>333</v>
      </c>
      <c r="F46" s="11">
        <v>3</v>
      </c>
      <c r="G46" s="21">
        <v>6</v>
      </c>
      <c r="H46" s="11"/>
      <c r="I46" s="11" t="s">
        <v>17</v>
      </c>
      <c r="J46" s="13">
        <v>15256896</v>
      </c>
      <c r="K46" s="21" t="s">
        <v>48</v>
      </c>
      <c r="L46" s="21" t="s">
        <v>336</v>
      </c>
      <c r="M46" s="22">
        <v>369900</v>
      </c>
      <c r="N46" s="15">
        <v>0.75</v>
      </c>
      <c r="O46" s="14">
        <f t="shared" si="4"/>
        <v>92475</v>
      </c>
      <c r="P46" s="11" t="s">
        <v>16</v>
      </c>
    </row>
    <row r="47" spans="1:16" x14ac:dyDescent="0.35">
      <c r="A47" s="11" t="s">
        <v>1031</v>
      </c>
      <c r="B47" s="12">
        <f t="shared" si="2"/>
        <v>46104</v>
      </c>
      <c r="C47" s="12">
        <f t="shared" si="3"/>
        <v>46113</v>
      </c>
      <c r="D47" s="11">
        <v>3259</v>
      </c>
      <c r="E47" s="11">
        <v>333</v>
      </c>
      <c r="F47" s="11">
        <v>3</v>
      </c>
      <c r="G47" s="21">
        <v>6</v>
      </c>
      <c r="H47" s="11"/>
      <c r="I47" s="11" t="s">
        <v>17</v>
      </c>
      <c r="J47" s="13">
        <v>15256903</v>
      </c>
      <c r="K47" s="21" t="s">
        <v>48</v>
      </c>
      <c r="L47" s="21" t="s">
        <v>337</v>
      </c>
      <c r="M47" s="22">
        <v>369900</v>
      </c>
      <c r="N47" s="15">
        <v>0.75</v>
      </c>
      <c r="O47" s="14">
        <f t="shared" si="4"/>
        <v>92475</v>
      </c>
      <c r="P47" s="11" t="s">
        <v>16</v>
      </c>
    </row>
    <row r="48" spans="1:16" x14ac:dyDescent="0.35">
      <c r="A48" s="11" t="s">
        <v>1031</v>
      </c>
      <c r="B48" s="12">
        <f t="shared" si="2"/>
        <v>46104</v>
      </c>
      <c r="C48" s="12">
        <f t="shared" si="3"/>
        <v>46113</v>
      </c>
      <c r="D48" s="11">
        <v>3259</v>
      </c>
      <c r="E48" s="11">
        <v>333</v>
      </c>
      <c r="F48" s="11">
        <v>3</v>
      </c>
      <c r="G48" s="21">
        <v>6</v>
      </c>
      <c r="H48" s="11"/>
      <c r="I48" s="11" t="s">
        <v>17</v>
      </c>
      <c r="J48" s="13">
        <v>15257313</v>
      </c>
      <c r="K48" s="21" t="s">
        <v>43</v>
      </c>
      <c r="L48" s="21" t="s">
        <v>61</v>
      </c>
      <c r="M48" s="22">
        <v>369900</v>
      </c>
      <c r="N48" s="15">
        <v>0.75</v>
      </c>
      <c r="O48" s="14">
        <f t="shared" si="4"/>
        <v>92475</v>
      </c>
      <c r="P48" s="11" t="s">
        <v>16</v>
      </c>
    </row>
    <row r="49" spans="1:16" x14ac:dyDescent="0.35">
      <c r="A49" s="11" t="s">
        <v>1031</v>
      </c>
      <c r="B49" s="12">
        <f t="shared" si="2"/>
        <v>46104</v>
      </c>
      <c r="C49" s="12">
        <f t="shared" si="3"/>
        <v>46113</v>
      </c>
      <c r="D49" s="11">
        <v>3259</v>
      </c>
      <c r="E49" s="11">
        <v>333</v>
      </c>
      <c r="F49" s="11">
        <v>3</v>
      </c>
      <c r="G49" s="21">
        <v>6</v>
      </c>
      <c r="H49" s="11"/>
      <c r="I49" s="11" t="s">
        <v>17</v>
      </c>
      <c r="J49" s="13">
        <v>15257322</v>
      </c>
      <c r="K49" s="21" t="s">
        <v>43</v>
      </c>
      <c r="L49" s="21" t="s">
        <v>62</v>
      </c>
      <c r="M49" s="22">
        <v>369900</v>
      </c>
      <c r="N49" s="15">
        <v>0.75</v>
      </c>
      <c r="O49" s="14">
        <f t="shared" si="4"/>
        <v>92475</v>
      </c>
      <c r="P49" s="11" t="s">
        <v>16</v>
      </c>
    </row>
    <row r="50" spans="1:16" x14ac:dyDescent="0.35">
      <c r="A50" s="11" t="s">
        <v>1031</v>
      </c>
      <c r="B50" s="12">
        <f t="shared" si="2"/>
        <v>46104</v>
      </c>
      <c r="C50" s="12">
        <f t="shared" si="3"/>
        <v>46113</v>
      </c>
      <c r="D50" s="11">
        <v>3259</v>
      </c>
      <c r="E50" s="11">
        <v>333</v>
      </c>
      <c r="F50" s="11">
        <v>3</v>
      </c>
      <c r="G50" s="21">
        <v>6</v>
      </c>
      <c r="H50" s="11"/>
      <c r="I50" s="11" t="s">
        <v>17</v>
      </c>
      <c r="J50" s="13">
        <v>15257331</v>
      </c>
      <c r="K50" s="21" t="s">
        <v>43</v>
      </c>
      <c r="L50" s="21" t="s">
        <v>63</v>
      </c>
      <c r="M50" s="22">
        <v>369900</v>
      </c>
      <c r="N50" s="15">
        <v>0.75</v>
      </c>
      <c r="O50" s="14">
        <f t="shared" si="4"/>
        <v>92475</v>
      </c>
      <c r="P50" s="11" t="s">
        <v>16</v>
      </c>
    </row>
    <row r="51" spans="1:16" x14ac:dyDescent="0.35">
      <c r="A51" s="11" t="s">
        <v>1031</v>
      </c>
      <c r="B51" s="12">
        <f t="shared" si="2"/>
        <v>46104</v>
      </c>
      <c r="C51" s="12">
        <f t="shared" si="3"/>
        <v>46113</v>
      </c>
      <c r="D51" s="11">
        <v>3259</v>
      </c>
      <c r="E51" s="11">
        <v>333</v>
      </c>
      <c r="F51" s="11">
        <v>3</v>
      </c>
      <c r="G51" s="21">
        <v>6</v>
      </c>
      <c r="H51" s="11"/>
      <c r="I51" s="11" t="s">
        <v>17</v>
      </c>
      <c r="J51" s="13">
        <v>15257340</v>
      </c>
      <c r="K51" s="21" t="s">
        <v>43</v>
      </c>
      <c r="L51" s="21" t="s">
        <v>64</v>
      </c>
      <c r="M51" s="22">
        <v>369900</v>
      </c>
      <c r="N51" s="15">
        <v>0.75</v>
      </c>
      <c r="O51" s="14">
        <f t="shared" si="4"/>
        <v>92475</v>
      </c>
      <c r="P51" s="11" t="s">
        <v>16</v>
      </c>
    </row>
    <row r="52" spans="1:16" x14ac:dyDescent="0.35">
      <c r="A52" s="11" t="s">
        <v>1031</v>
      </c>
      <c r="B52" s="12">
        <f t="shared" si="2"/>
        <v>46104</v>
      </c>
      <c r="C52" s="12">
        <f t="shared" si="3"/>
        <v>46113</v>
      </c>
      <c r="D52" s="11">
        <v>3259</v>
      </c>
      <c r="E52" s="11">
        <v>333</v>
      </c>
      <c r="F52" s="11">
        <v>3</v>
      </c>
      <c r="G52" s="21">
        <v>6</v>
      </c>
      <c r="H52" s="11"/>
      <c r="I52" s="11" t="s">
        <v>17</v>
      </c>
      <c r="J52" s="13">
        <v>15257411</v>
      </c>
      <c r="K52" s="21" t="s">
        <v>48</v>
      </c>
      <c r="L52" s="21" t="s">
        <v>98</v>
      </c>
      <c r="M52" s="22">
        <v>369900</v>
      </c>
      <c r="N52" s="15">
        <v>0.75</v>
      </c>
      <c r="O52" s="14">
        <f t="shared" si="4"/>
        <v>92475</v>
      </c>
      <c r="P52" s="11" t="s">
        <v>16</v>
      </c>
    </row>
    <row r="53" spans="1:16" x14ac:dyDescent="0.35">
      <c r="A53" s="11" t="s">
        <v>1031</v>
      </c>
      <c r="B53" s="12">
        <f t="shared" si="2"/>
        <v>46104</v>
      </c>
      <c r="C53" s="12">
        <f t="shared" si="3"/>
        <v>46113</v>
      </c>
      <c r="D53" s="11">
        <v>3259</v>
      </c>
      <c r="E53" s="11">
        <v>333</v>
      </c>
      <c r="F53" s="11">
        <v>3</v>
      </c>
      <c r="G53" s="21">
        <v>6</v>
      </c>
      <c r="H53" s="11"/>
      <c r="I53" s="11" t="s">
        <v>17</v>
      </c>
      <c r="J53" s="13">
        <v>15257420</v>
      </c>
      <c r="K53" s="21" t="s">
        <v>48</v>
      </c>
      <c r="L53" s="21" t="s">
        <v>99</v>
      </c>
      <c r="M53" s="22">
        <v>369900</v>
      </c>
      <c r="N53" s="15">
        <v>0.75</v>
      </c>
      <c r="O53" s="14">
        <f t="shared" si="4"/>
        <v>92475</v>
      </c>
      <c r="P53" s="11" t="s">
        <v>16</v>
      </c>
    </row>
    <row r="54" spans="1:16" x14ac:dyDescent="0.35">
      <c r="A54" s="11" t="s">
        <v>1031</v>
      </c>
      <c r="B54" s="12">
        <f t="shared" si="2"/>
        <v>46104</v>
      </c>
      <c r="C54" s="12">
        <f t="shared" si="3"/>
        <v>46113</v>
      </c>
      <c r="D54" s="11">
        <v>3259</v>
      </c>
      <c r="E54" s="11">
        <v>333</v>
      </c>
      <c r="F54" s="11">
        <v>3</v>
      </c>
      <c r="G54" s="21">
        <v>6</v>
      </c>
      <c r="H54" s="11"/>
      <c r="I54" s="11" t="s">
        <v>17</v>
      </c>
      <c r="J54" s="13">
        <v>15257439</v>
      </c>
      <c r="K54" s="21" t="s">
        <v>48</v>
      </c>
      <c r="L54" s="21" t="s">
        <v>100</v>
      </c>
      <c r="M54" s="22">
        <v>369900</v>
      </c>
      <c r="N54" s="15">
        <v>0.75</v>
      </c>
      <c r="O54" s="14">
        <f t="shared" si="4"/>
        <v>92475</v>
      </c>
      <c r="P54" s="11" t="s">
        <v>16</v>
      </c>
    </row>
    <row r="55" spans="1:16" x14ac:dyDescent="0.35">
      <c r="A55" s="11" t="s">
        <v>1031</v>
      </c>
      <c r="B55" s="12">
        <f t="shared" si="2"/>
        <v>46104</v>
      </c>
      <c r="C55" s="12">
        <f t="shared" si="3"/>
        <v>46113</v>
      </c>
      <c r="D55" s="11">
        <v>3259</v>
      </c>
      <c r="E55" s="11">
        <v>333</v>
      </c>
      <c r="F55" s="11">
        <v>3</v>
      </c>
      <c r="G55" s="21">
        <v>6</v>
      </c>
      <c r="H55" s="11"/>
      <c r="I55" s="11" t="s">
        <v>17</v>
      </c>
      <c r="J55" s="13">
        <v>15257448</v>
      </c>
      <c r="K55" s="21" t="s">
        <v>48</v>
      </c>
      <c r="L55" s="21" t="s">
        <v>101</v>
      </c>
      <c r="M55" s="22">
        <v>369900</v>
      </c>
      <c r="N55" s="15">
        <v>0.75</v>
      </c>
      <c r="O55" s="14">
        <f t="shared" si="4"/>
        <v>92475</v>
      </c>
      <c r="P55" s="11" t="s">
        <v>16</v>
      </c>
    </row>
    <row r="56" spans="1:16" x14ac:dyDescent="0.35">
      <c r="A56" s="11" t="s">
        <v>1031</v>
      </c>
      <c r="B56" s="12">
        <f t="shared" si="2"/>
        <v>46104</v>
      </c>
      <c r="C56" s="12">
        <f t="shared" si="3"/>
        <v>46113</v>
      </c>
      <c r="D56" s="11">
        <v>3259</v>
      </c>
      <c r="E56" s="11">
        <v>333</v>
      </c>
      <c r="F56" s="11">
        <v>3</v>
      </c>
      <c r="G56" s="21">
        <v>6</v>
      </c>
      <c r="H56" s="11"/>
      <c r="I56" s="11" t="s">
        <v>17</v>
      </c>
      <c r="J56" s="13">
        <v>15257457</v>
      </c>
      <c r="K56" s="21" t="s">
        <v>48</v>
      </c>
      <c r="L56" s="21" t="s">
        <v>102</v>
      </c>
      <c r="M56" s="22">
        <v>369900</v>
      </c>
      <c r="N56" s="15">
        <v>0.75</v>
      </c>
      <c r="O56" s="14">
        <f t="shared" si="4"/>
        <v>92475</v>
      </c>
      <c r="P56" s="11" t="s">
        <v>16</v>
      </c>
    </row>
    <row r="57" spans="1:16" x14ac:dyDescent="0.35">
      <c r="A57" s="11" t="s">
        <v>1031</v>
      </c>
      <c r="B57" s="12">
        <f t="shared" si="2"/>
        <v>46104</v>
      </c>
      <c r="C57" s="12">
        <f t="shared" si="3"/>
        <v>46113</v>
      </c>
      <c r="D57" s="11">
        <v>3259</v>
      </c>
      <c r="E57" s="11">
        <v>333</v>
      </c>
      <c r="F57" s="11">
        <v>3</v>
      </c>
      <c r="G57" s="21">
        <v>6</v>
      </c>
      <c r="H57" s="11"/>
      <c r="I57" s="11" t="s">
        <v>17</v>
      </c>
      <c r="J57" s="13">
        <v>15257466</v>
      </c>
      <c r="K57" s="21" t="s">
        <v>48</v>
      </c>
      <c r="L57" s="21" t="s">
        <v>103</v>
      </c>
      <c r="M57" s="22">
        <v>369900</v>
      </c>
      <c r="N57" s="15">
        <v>0.75</v>
      </c>
      <c r="O57" s="14">
        <f t="shared" si="4"/>
        <v>92475</v>
      </c>
      <c r="P57" s="11" t="s">
        <v>16</v>
      </c>
    </row>
    <row r="58" spans="1:16" x14ac:dyDescent="0.35">
      <c r="A58" s="11" t="s">
        <v>1031</v>
      </c>
      <c r="B58" s="12">
        <f t="shared" si="2"/>
        <v>46104</v>
      </c>
      <c r="C58" s="12">
        <f t="shared" si="3"/>
        <v>46113</v>
      </c>
      <c r="D58" s="11">
        <v>3259</v>
      </c>
      <c r="E58" s="11">
        <v>333</v>
      </c>
      <c r="F58" s="11">
        <v>3</v>
      </c>
      <c r="G58" s="21">
        <v>6</v>
      </c>
      <c r="H58" s="11"/>
      <c r="I58" s="11" t="s">
        <v>17</v>
      </c>
      <c r="J58" s="13">
        <v>15257895</v>
      </c>
      <c r="K58" s="21" t="s">
        <v>48</v>
      </c>
      <c r="L58" s="21" t="s">
        <v>73</v>
      </c>
      <c r="M58" s="22">
        <v>369900</v>
      </c>
      <c r="N58" s="15">
        <v>0.75</v>
      </c>
      <c r="O58" s="14">
        <f t="shared" si="4"/>
        <v>92475</v>
      </c>
      <c r="P58" s="11" t="s">
        <v>16</v>
      </c>
    </row>
    <row r="59" spans="1:16" x14ac:dyDescent="0.35">
      <c r="A59" s="11" t="s">
        <v>1031</v>
      </c>
      <c r="B59" s="12">
        <f t="shared" si="2"/>
        <v>46104</v>
      </c>
      <c r="C59" s="12">
        <f t="shared" si="3"/>
        <v>46113</v>
      </c>
      <c r="D59" s="11">
        <v>3259</v>
      </c>
      <c r="E59" s="11">
        <v>333</v>
      </c>
      <c r="F59" s="11">
        <v>3</v>
      </c>
      <c r="G59" s="21">
        <v>6</v>
      </c>
      <c r="H59" s="11"/>
      <c r="I59" s="11" t="s">
        <v>17</v>
      </c>
      <c r="J59" s="13">
        <v>15257902</v>
      </c>
      <c r="K59" s="21" t="s">
        <v>48</v>
      </c>
      <c r="L59" s="21" t="s">
        <v>74</v>
      </c>
      <c r="M59" s="22">
        <v>369900</v>
      </c>
      <c r="N59" s="15">
        <v>0.75</v>
      </c>
      <c r="O59" s="14">
        <f t="shared" si="4"/>
        <v>92475</v>
      </c>
      <c r="P59" s="11" t="s">
        <v>16</v>
      </c>
    </row>
    <row r="60" spans="1:16" x14ac:dyDescent="0.35">
      <c r="A60" s="11" t="s">
        <v>1031</v>
      </c>
      <c r="B60" s="12">
        <f t="shared" si="2"/>
        <v>46104</v>
      </c>
      <c r="C60" s="12">
        <f t="shared" si="3"/>
        <v>46113</v>
      </c>
      <c r="D60" s="11">
        <v>3259</v>
      </c>
      <c r="E60" s="11">
        <v>333</v>
      </c>
      <c r="F60" s="11">
        <v>3</v>
      </c>
      <c r="G60" s="21">
        <v>6</v>
      </c>
      <c r="H60" s="11"/>
      <c r="I60" s="11" t="s">
        <v>17</v>
      </c>
      <c r="J60" s="13">
        <v>15257911</v>
      </c>
      <c r="K60" s="21" t="s">
        <v>48</v>
      </c>
      <c r="L60" s="21" t="s">
        <v>75</v>
      </c>
      <c r="M60" s="22">
        <v>369900</v>
      </c>
      <c r="N60" s="15">
        <v>0.75</v>
      </c>
      <c r="O60" s="14">
        <f t="shared" si="4"/>
        <v>92475</v>
      </c>
      <c r="P60" s="11" t="s">
        <v>16</v>
      </c>
    </row>
    <row r="61" spans="1:16" x14ac:dyDescent="0.35">
      <c r="A61" s="11" t="s">
        <v>1031</v>
      </c>
      <c r="B61" s="12">
        <f t="shared" si="2"/>
        <v>46104</v>
      </c>
      <c r="C61" s="12">
        <f t="shared" si="3"/>
        <v>46113</v>
      </c>
      <c r="D61" s="11">
        <v>3259</v>
      </c>
      <c r="E61" s="11">
        <v>333</v>
      </c>
      <c r="F61" s="11">
        <v>3</v>
      </c>
      <c r="G61" s="21">
        <v>6</v>
      </c>
      <c r="H61" s="11"/>
      <c r="I61" s="11" t="s">
        <v>17</v>
      </c>
      <c r="J61" s="13">
        <v>15257920</v>
      </c>
      <c r="K61" s="21" t="s">
        <v>48</v>
      </c>
      <c r="L61" s="21" t="s">
        <v>76</v>
      </c>
      <c r="M61" s="22">
        <v>369900</v>
      </c>
      <c r="N61" s="15">
        <v>0.75</v>
      </c>
      <c r="O61" s="14">
        <f t="shared" si="4"/>
        <v>92475</v>
      </c>
      <c r="P61" s="11" t="s">
        <v>16</v>
      </c>
    </row>
    <row r="62" spans="1:16" x14ac:dyDescent="0.35">
      <c r="A62" s="11" t="s">
        <v>1031</v>
      </c>
      <c r="B62" s="12">
        <f t="shared" si="2"/>
        <v>46104</v>
      </c>
      <c r="C62" s="12">
        <f t="shared" si="3"/>
        <v>46113</v>
      </c>
      <c r="D62" s="11">
        <v>3259</v>
      </c>
      <c r="E62" s="11">
        <v>333</v>
      </c>
      <c r="F62" s="11">
        <v>3</v>
      </c>
      <c r="G62" s="21">
        <v>6</v>
      </c>
      <c r="H62" s="11"/>
      <c r="I62" s="11" t="s">
        <v>17</v>
      </c>
      <c r="J62" s="13">
        <v>15257939</v>
      </c>
      <c r="K62" s="21" t="s">
        <v>48</v>
      </c>
      <c r="L62" s="21" t="s">
        <v>77</v>
      </c>
      <c r="M62" s="22">
        <v>369900</v>
      </c>
      <c r="N62" s="15">
        <v>0.75</v>
      </c>
      <c r="O62" s="14">
        <f t="shared" si="4"/>
        <v>92475</v>
      </c>
      <c r="P62" s="11" t="s">
        <v>16</v>
      </c>
    </row>
    <row r="63" spans="1:16" x14ac:dyDescent="0.35">
      <c r="A63" s="11" t="s">
        <v>1031</v>
      </c>
      <c r="B63" s="12">
        <f t="shared" si="2"/>
        <v>46104</v>
      </c>
      <c r="C63" s="12">
        <f t="shared" si="3"/>
        <v>46113</v>
      </c>
      <c r="D63" s="11">
        <v>3259</v>
      </c>
      <c r="E63" s="11">
        <v>333</v>
      </c>
      <c r="F63" s="11">
        <v>3</v>
      </c>
      <c r="G63" s="21">
        <v>6</v>
      </c>
      <c r="H63" s="11"/>
      <c r="I63" s="11" t="s">
        <v>17</v>
      </c>
      <c r="J63" s="13">
        <v>15257948</v>
      </c>
      <c r="K63" s="21" t="s">
        <v>48</v>
      </c>
      <c r="L63" s="21" t="s">
        <v>78</v>
      </c>
      <c r="M63" s="22">
        <v>369900</v>
      </c>
      <c r="N63" s="15">
        <v>0.75</v>
      </c>
      <c r="O63" s="14">
        <f t="shared" si="4"/>
        <v>92475</v>
      </c>
      <c r="P63" s="11" t="s">
        <v>16</v>
      </c>
    </row>
    <row r="64" spans="1:16" x14ac:dyDescent="0.35">
      <c r="A64" s="11" t="s">
        <v>1031</v>
      </c>
      <c r="B64" s="12">
        <f t="shared" si="2"/>
        <v>46104</v>
      </c>
      <c r="C64" s="12">
        <f t="shared" si="3"/>
        <v>46113</v>
      </c>
      <c r="D64" s="11">
        <v>3259</v>
      </c>
      <c r="E64" s="11">
        <v>333</v>
      </c>
      <c r="F64" s="11">
        <v>3</v>
      </c>
      <c r="G64" s="21">
        <v>6</v>
      </c>
      <c r="H64" s="11"/>
      <c r="I64" s="11" t="s">
        <v>17</v>
      </c>
      <c r="J64" s="13">
        <v>15257957</v>
      </c>
      <c r="K64" s="21" t="s">
        <v>48</v>
      </c>
      <c r="L64" s="21" t="s">
        <v>79</v>
      </c>
      <c r="M64" s="22">
        <v>369900</v>
      </c>
      <c r="N64" s="15">
        <v>0.75</v>
      </c>
      <c r="O64" s="14">
        <f t="shared" si="4"/>
        <v>92475</v>
      </c>
      <c r="P64" s="11" t="s">
        <v>16</v>
      </c>
    </row>
    <row r="65" spans="1:16" x14ac:dyDescent="0.35">
      <c r="A65" s="11" t="s">
        <v>1031</v>
      </c>
      <c r="B65" s="12">
        <f t="shared" si="2"/>
        <v>46104</v>
      </c>
      <c r="C65" s="12">
        <f t="shared" si="3"/>
        <v>46113</v>
      </c>
      <c r="D65" s="11">
        <v>3259</v>
      </c>
      <c r="E65" s="11">
        <v>333</v>
      </c>
      <c r="F65" s="11">
        <v>3</v>
      </c>
      <c r="G65" s="21">
        <v>6</v>
      </c>
      <c r="H65" s="11"/>
      <c r="I65" s="11" t="s">
        <v>17</v>
      </c>
      <c r="J65" s="13">
        <v>15257966</v>
      </c>
      <c r="K65" s="21" t="s">
        <v>48</v>
      </c>
      <c r="L65" s="21" t="s">
        <v>80</v>
      </c>
      <c r="M65" s="22">
        <v>369900</v>
      </c>
      <c r="N65" s="15">
        <v>0.75</v>
      </c>
      <c r="O65" s="14">
        <f t="shared" si="4"/>
        <v>92475</v>
      </c>
      <c r="P65" s="11" t="s">
        <v>16</v>
      </c>
    </row>
    <row r="66" spans="1:16" x14ac:dyDescent="0.35">
      <c r="A66" s="11" t="s">
        <v>1031</v>
      </c>
      <c r="B66" s="12">
        <f t="shared" si="2"/>
        <v>46104</v>
      </c>
      <c r="C66" s="12">
        <f t="shared" si="3"/>
        <v>46113</v>
      </c>
      <c r="D66" s="11">
        <v>3259</v>
      </c>
      <c r="E66" s="11">
        <v>333</v>
      </c>
      <c r="F66" s="11">
        <v>3</v>
      </c>
      <c r="G66" s="21">
        <v>6</v>
      </c>
      <c r="H66" s="11"/>
      <c r="I66" s="11" t="s">
        <v>17</v>
      </c>
      <c r="J66" s="13">
        <v>15257975</v>
      </c>
      <c r="K66" s="21" t="s">
        <v>48</v>
      </c>
      <c r="L66" s="21" t="s">
        <v>81</v>
      </c>
      <c r="M66" s="22">
        <v>369900</v>
      </c>
      <c r="N66" s="15">
        <v>0.75</v>
      </c>
      <c r="O66" s="14">
        <f t="shared" si="4"/>
        <v>92475</v>
      </c>
      <c r="P66" s="11" t="s">
        <v>16</v>
      </c>
    </row>
    <row r="67" spans="1:16" x14ac:dyDescent="0.35">
      <c r="A67" s="11" t="s">
        <v>1031</v>
      </c>
      <c r="B67" s="12">
        <f t="shared" si="2"/>
        <v>46104</v>
      </c>
      <c r="C67" s="12">
        <f t="shared" si="3"/>
        <v>46113</v>
      </c>
      <c r="D67" s="11">
        <v>3259</v>
      </c>
      <c r="E67" s="11">
        <v>333</v>
      </c>
      <c r="F67" s="11">
        <v>3</v>
      </c>
      <c r="G67" s="21">
        <v>6</v>
      </c>
      <c r="H67" s="11"/>
      <c r="I67" s="11" t="s">
        <v>17</v>
      </c>
      <c r="J67" s="13">
        <v>15257984</v>
      </c>
      <c r="K67" s="21" t="s">
        <v>48</v>
      </c>
      <c r="L67" s="21" t="s">
        <v>82</v>
      </c>
      <c r="M67" s="22">
        <v>369900</v>
      </c>
      <c r="N67" s="15">
        <v>0.75</v>
      </c>
      <c r="O67" s="14">
        <f t="shared" si="4"/>
        <v>92475</v>
      </c>
      <c r="P67" s="11" t="s">
        <v>16</v>
      </c>
    </row>
    <row r="68" spans="1:16" x14ac:dyDescent="0.35">
      <c r="A68" s="11" t="s">
        <v>1031</v>
      </c>
      <c r="B68" s="12">
        <f t="shared" ref="B68:B131" si="5">B67</f>
        <v>46104</v>
      </c>
      <c r="C68" s="12">
        <f t="shared" ref="C68:C131" si="6">C67</f>
        <v>46113</v>
      </c>
      <c r="D68" s="11">
        <v>3259</v>
      </c>
      <c r="E68" s="11">
        <v>333</v>
      </c>
      <c r="F68" s="11">
        <v>3</v>
      </c>
      <c r="G68" s="21">
        <v>6</v>
      </c>
      <c r="H68" s="11"/>
      <c r="I68" s="11" t="s">
        <v>17</v>
      </c>
      <c r="J68" s="13">
        <v>15257993</v>
      </c>
      <c r="K68" s="21" t="s">
        <v>48</v>
      </c>
      <c r="L68" s="21" t="s">
        <v>83</v>
      </c>
      <c r="M68" s="22">
        <v>369900</v>
      </c>
      <c r="N68" s="15">
        <v>0.75</v>
      </c>
      <c r="O68" s="14">
        <f t="shared" si="4"/>
        <v>92475</v>
      </c>
      <c r="P68" s="11" t="s">
        <v>16</v>
      </c>
    </row>
    <row r="69" spans="1:16" x14ac:dyDescent="0.35">
      <c r="A69" s="11" t="s">
        <v>1031</v>
      </c>
      <c r="B69" s="12">
        <f t="shared" si="5"/>
        <v>46104</v>
      </c>
      <c r="C69" s="12">
        <f t="shared" si="6"/>
        <v>46113</v>
      </c>
      <c r="D69" s="11">
        <v>3259</v>
      </c>
      <c r="E69" s="11">
        <v>333</v>
      </c>
      <c r="F69" s="11">
        <v>3</v>
      </c>
      <c r="G69" s="21">
        <v>6</v>
      </c>
      <c r="H69" s="11"/>
      <c r="I69" s="11" t="s">
        <v>17</v>
      </c>
      <c r="J69" s="13">
        <v>15258009</v>
      </c>
      <c r="K69" s="21" t="s">
        <v>48</v>
      </c>
      <c r="L69" s="21" t="s">
        <v>84</v>
      </c>
      <c r="M69" s="22">
        <v>369900</v>
      </c>
      <c r="N69" s="15">
        <v>0.75</v>
      </c>
      <c r="O69" s="14">
        <f t="shared" si="4"/>
        <v>92475</v>
      </c>
      <c r="P69" s="11" t="s">
        <v>16</v>
      </c>
    </row>
    <row r="70" spans="1:16" x14ac:dyDescent="0.35">
      <c r="A70" s="11" t="s">
        <v>1031</v>
      </c>
      <c r="B70" s="12">
        <f t="shared" si="5"/>
        <v>46104</v>
      </c>
      <c r="C70" s="12">
        <f t="shared" si="6"/>
        <v>46113</v>
      </c>
      <c r="D70" s="11">
        <v>3259</v>
      </c>
      <c r="E70" s="11">
        <v>333</v>
      </c>
      <c r="F70" s="11">
        <v>3</v>
      </c>
      <c r="G70" s="21">
        <v>6</v>
      </c>
      <c r="H70" s="11"/>
      <c r="I70" s="11" t="s">
        <v>17</v>
      </c>
      <c r="J70" s="13">
        <v>15256074</v>
      </c>
      <c r="K70" s="21" t="s">
        <v>18</v>
      </c>
      <c r="L70" s="21" t="s">
        <v>24</v>
      </c>
      <c r="M70" s="22">
        <v>369900</v>
      </c>
      <c r="N70" s="15">
        <v>0.75</v>
      </c>
      <c r="O70" s="14">
        <f t="shared" si="4"/>
        <v>92475</v>
      </c>
      <c r="P70" s="11" t="s">
        <v>16</v>
      </c>
    </row>
    <row r="71" spans="1:16" x14ac:dyDescent="0.35">
      <c r="A71" s="11" t="s">
        <v>1031</v>
      </c>
      <c r="B71" s="12">
        <f t="shared" si="5"/>
        <v>46104</v>
      </c>
      <c r="C71" s="12">
        <f t="shared" si="6"/>
        <v>46113</v>
      </c>
      <c r="D71" s="11">
        <v>3259</v>
      </c>
      <c r="E71" s="11">
        <v>333</v>
      </c>
      <c r="F71" s="11">
        <v>3</v>
      </c>
      <c r="G71" s="21">
        <v>6</v>
      </c>
      <c r="H71" s="11"/>
      <c r="I71" s="11" t="s">
        <v>17</v>
      </c>
      <c r="J71" s="13">
        <v>15256083</v>
      </c>
      <c r="K71" s="21" t="s">
        <v>18</v>
      </c>
      <c r="L71" s="21" t="s">
        <v>25</v>
      </c>
      <c r="M71" s="22">
        <v>369900</v>
      </c>
      <c r="N71" s="15">
        <v>0.75</v>
      </c>
      <c r="O71" s="14">
        <f t="shared" si="4"/>
        <v>92475</v>
      </c>
      <c r="P71" s="11" t="s">
        <v>16</v>
      </c>
    </row>
    <row r="72" spans="1:16" x14ac:dyDescent="0.35">
      <c r="A72" s="11" t="s">
        <v>1031</v>
      </c>
      <c r="B72" s="12">
        <f t="shared" si="5"/>
        <v>46104</v>
      </c>
      <c r="C72" s="12">
        <f t="shared" si="6"/>
        <v>46113</v>
      </c>
      <c r="D72" s="11">
        <v>3259</v>
      </c>
      <c r="E72" s="11">
        <v>333</v>
      </c>
      <c r="F72" s="11">
        <v>3</v>
      </c>
      <c r="G72" s="21">
        <v>6</v>
      </c>
      <c r="H72" s="11"/>
      <c r="I72" s="11" t="s">
        <v>17</v>
      </c>
      <c r="J72" s="13">
        <v>15256092</v>
      </c>
      <c r="K72" s="21" t="s">
        <v>18</v>
      </c>
      <c r="L72" s="21" t="s">
        <v>26</v>
      </c>
      <c r="M72" s="22">
        <v>369900</v>
      </c>
      <c r="N72" s="15">
        <v>0.75</v>
      </c>
      <c r="O72" s="14">
        <f t="shared" si="4"/>
        <v>92475</v>
      </c>
      <c r="P72" s="11" t="s">
        <v>16</v>
      </c>
    </row>
    <row r="73" spans="1:16" x14ac:dyDescent="0.35">
      <c r="A73" s="11" t="s">
        <v>1031</v>
      </c>
      <c r="B73" s="12">
        <f t="shared" si="5"/>
        <v>46104</v>
      </c>
      <c r="C73" s="12">
        <f t="shared" si="6"/>
        <v>46113</v>
      </c>
      <c r="D73" s="11">
        <v>3259</v>
      </c>
      <c r="E73" s="11">
        <v>333</v>
      </c>
      <c r="F73" s="11">
        <v>3</v>
      </c>
      <c r="G73" s="21">
        <v>6</v>
      </c>
      <c r="H73" s="11"/>
      <c r="I73" s="11" t="s">
        <v>17</v>
      </c>
      <c r="J73" s="13">
        <v>15256109</v>
      </c>
      <c r="K73" s="21" t="s">
        <v>18</v>
      </c>
      <c r="L73" s="21" t="s">
        <v>27</v>
      </c>
      <c r="M73" s="22">
        <v>369900</v>
      </c>
      <c r="N73" s="15">
        <v>0.75</v>
      </c>
      <c r="O73" s="14">
        <f t="shared" si="4"/>
        <v>92475</v>
      </c>
      <c r="P73" s="11" t="s">
        <v>16</v>
      </c>
    </row>
    <row r="74" spans="1:16" x14ac:dyDescent="0.35">
      <c r="A74" s="11" t="s">
        <v>1031</v>
      </c>
      <c r="B74" s="12">
        <f t="shared" si="5"/>
        <v>46104</v>
      </c>
      <c r="C74" s="12">
        <f t="shared" si="6"/>
        <v>46113</v>
      </c>
      <c r="D74" s="11">
        <v>3259</v>
      </c>
      <c r="E74" s="11">
        <v>333</v>
      </c>
      <c r="F74" s="11">
        <v>3</v>
      </c>
      <c r="G74" s="21">
        <v>6</v>
      </c>
      <c r="H74" s="11"/>
      <c r="I74" s="11" t="s">
        <v>17</v>
      </c>
      <c r="J74" s="13">
        <v>15256118</v>
      </c>
      <c r="K74" s="21" t="s">
        <v>18</v>
      </c>
      <c r="L74" s="21" t="s">
        <v>28</v>
      </c>
      <c r="M74" s="22">
        <v>369900</v>
      </c>
      <c r="N74" s="15">
        <v>0.75</v>
      </c>
      <c r="O74" s="14">
        <f t="shared" si="4"/>
        <v>92475</v>
      </c>
      <c r="P74" s="11" t="s">
        <v>16</v>
      </c>
    </row>
    <row r="75" spans="1:16" x14ac:dyDescent="0.35">
      <c r="A75" s="11" t="s">
        <v>1031</v>
      </c>
      <c r="B75" s="12">
        <f t="shared" si="5"/>
        <v>46104</v>
      </c>
      <c r="C75" s="12">
        <f t="shared" si="6"/>
        <v>46113</v>
      </c>
      <c r="D75" s="11">
        <v>3259</v>
      </c>
      <c r="E75" s="11">
        <v>333</v>
      </c>
      <c r="F75" s="11">
        <v>3</v>
      </c>
      <c r="G75" s="21">
        <v>6</v>
      </c>
      <c r="H75" s="11"/>
      <c r="I75" s="11" t="s">
        <v>17</v>
      </c>
      <c r="J75" s="13">
        <v>15256127</v>
      </c>
      <c r="K75" s="21" t="s">
        <v>18</v>
      </c>
      <c r="L75" s="21" t="s">
        <v>29</v>
      </c>
      <c r="M75" s="22">
        <v>369900</v>
      </c>
      <c r="N75" s="15">
        <v>0.75</v>
      </c>
      <c r="O75" s="14">
        <f t="shared" si="4"/>
        <v>92475</v>
      </c>
      <c r="P75" s="11" t="s">
        <v>16</v>
      </c>
    </row>
    <row r="76" spans="1:16" x14ac:dyDescent="0.35">
      <c r="A76" s="11" t="s">
        <v>1031</v>
      </c>
      <c r="B76" s="12">
        <f t="shared" si="5"/>
        <v>46104</v>
      </c>
      <c r="C76" s="12">
        <f t="shared" si="6"/>
        <v>46113</v>
      </c>
      <c r="D76" s="11">
        <v>3259</v>
      </c>
      <c r="E76" s="11">
        <v>333</v>
      </c>
      <c r="F76" s="11">
        <v>3</v>
      </c>
      <c r="G76" s="21">
        <v>6</v>
      </c>
      <c r="H76" s="11"/>
      <c r="I76" s="11" t="s">
        <v>17</v>
      </c>
      <c r="J76" s="13">
        <v>15256798</v>
      </c>
      <c r="K76" s="21" t="s">
        <v>18</v>
      </c>
      <c r="L76" s="21" t="s">
        <v>19</v>
      </c>
      <c r="M76" s="22">
        <v>369900</v>
      </c>
      <c r="N76" s="15">
        <v>0.75</v>
      </c>
      <c r="O76" s="14">
        <f t="shared" si="4"/>
        <v>92475</v>
      </c>
      <c r="P76" s="11" t="s">
        <v>16</v>
      </c>
    </row>
    <row r="77" spans="1:16" x14ac:dyDescent="0.35">
      <c r="A77" s="11" t="s">
        <v>1031</v>
      </c>
      <c r="B77" s="12">
        <f t="shared" si="5"/>
        <v>46104</v>
      </c>
      <c r="C77" s="12">
        <f t="shared" si="6"/>
        <v>46113</v>
      </c>
      <c r="D77" s="11">
        <v>3259</v>
      </c>
      <c r="E77" s="11">
        <v>333</v>
      </c>
      <c r="F77" s="11">
        <v>3</v>
      </c>
      <c r="G77" s="21">
        <v>6</v>
      </c>
      <c r="H77" s="11"/>
      <c r="I77" s="11" t="s">
        <v>17</v>
      </c>
      <c r="J77" s="13">
        <v>15256805</v>
      </c>
      <c r="K77" s="21" t="s">
        <v>18</v>
      </c>
      <c r="L77" s="21" t="s">
        <v>203</v>
      </c>
      <c r="M77" s="22">
        <v>369900</v>
      </c>
      <c r="N77" s="15">
        <v>0.75</v>
      </c>
      <c r="O77" s="14">
        <f t="shared" si="4"/>
        <v>92475</v>
      </c>
      <c r="P77" s="11" t="s">
        <v>16</v>
      </c>
    </row>
    <row r="78" spans="1:16" x14ac:dyDescent="0.35">
      <c r="A78" s="11" t="s">
        <v>1031</v>
      </c>
      <c r="B78" s="12">
        <f t="shared" si="5"/>
        <v>46104</v>
      </c>
      <c r="C78" s="12">
        <f t="shared" si="6"/>
        <v>46113</v>
      </c>
      <c r="D78" s="11">
        <v>3259</v>
      </c>
      <c r="E78" s="11">
        <v>333</v>
      </c>
      <c r="F78" s="11">
        <v>3</v>
      </c>
      <c r="G78" s="21">
        <v>6</v>
      </c>
      <c r="H78" s="11"/>
      <c r="I78" s="11" t="s">
        <v>17</v>
      </c>
      <c r="J78" s="13">
        <v>15256814</v>
      </c>
      <c r="K78" s="21" t="s">
        <v>18</v>
      </c>
      <c r="L78" s="21" t="s">
        <v>20</v>
      </c>
      <c r="M78" s="22">
        <v>369900</v>
      </c>
      <c r="N78" s="15">
        <v>0.75</v>
      </c>
      <c r="O78" s="14">
        <f t="shared" si="4"/>
        <v>92475</v>
      </c>
      <c r="P78" s="11" t="s">
        <v>16</v>
      </c>
    </row>
    <row r="79" spans="1:16" x14ac:dyDescent="0.35">
      <c r="A79" s="11" t="s">
        <v>1031</v>
      </c>
      <c r="B79" s="12">
        <f t="shared" si="5"/>
        <v>46104</v>
      </c>
      <c r="C79" s="12">
        <f t="shared" si="6"/>
        <v>46113</v>
      </c>
      <c r="D79" s="11">
        <v>3259</v>
      </c>
      <c r="E79" s="11">
        <v>333</v>
      </c>
      <c r="F79" s="11">
        <v>3</v>
      </c>
      <c r="G79" s="21">
        <v>6</v>
      </c>
      <c r="H79" s="11"/>
      <c r="I79" s="11" t="s">
        <v>17</v>
      </c>
      <c r="J79" s="13">
        <v>15256823</v>
      </c>
      <c r="K79" s="21" t="s">
        <v>18</v>
      </c>
      <c r="L79" s="21" t="s">
        <v>21</v>
      </c>
      <c r="M79" s="22">
        <v>369900</v>
      </c>
      <c r="N79" s="15">
        <v>0.75</v>
      </c>
      <c r="O79" s="14">
        <f t="shared" si="4"/>
        <v>92475</v>
      </c>
      <c r="P79" s="11" t="s">
        <v>16</v>
      </c>
    </row>
    <row r="80" spans="1:16" x14ac:dyDescent="0.35">
      <c r="A80" s="11" t="s">
        <v>1031</v>
      </c>
      <c r="B80" s="12">
        <f t="shared" si="5"/>
        <v>46104</v>
      </c>
      <c r="C80" s="12">
        <f t="shared" si="6"/>
        <v>46113</v>
      </c>
      <c r="D80" s="11">
        <v>3259</v>
      </c>
      <c r="E80" s="11">
        <v>333</v>
      </c>
      <c r="F80" s="11">
        <v>3</v>
      </c>
      <c r="G80" s="21">
        <v>6</v>
      </c>
      <c r="H80" s="11"/>
      <c r="I80" s="11" t="s">
        <v>17</v>
      </c>
      <c r="J80" s="13">
        <v>15256832</v>
      </c>
      <c r="K80" s="21" t="s">
        <v>18</v>
      </c>
      <c r="L80" s="21" t="s">
        <v>22</v>
      </c>
      <c r="M80" s="22">
        <v>369900</v>
      </c>
      <c r="N80" s="15">
        <v>0.75</v>
      </c>
      <c r="O80" s="14">
        <f t="shared" si="4"/>
        <v>92475</v>
      </c>
      <c r="P80" s="11" t="s">
        <v>16</v>
      </c>
    </row>
    <row r="81" spans="1:16" x14ac:dyDescent="0.35">
      <c r="A81" s="11" t="s">
        <v>1031</v>
      </c>
      <c r="B81" s="12">
        <f t="shared" si="5"/>
        <v>46104</v>
      </c>
      <c r="C81" s="12">
        <f t="shared" si="6"/>
        <v>46113</v>
      </c>
      <c r="D81" s="11">
        <v>3259</v>
      </c>
      <c r="E81" s="11">
        <v>333</v>
      </c>
      <c r="F81" s="11">
        <v>3</v>
      </c>
      <c r="G81" s="21">
        <v>6</v>
      </c>
      <c r="H81" s="11"/>
      <c r="I81" s="11" t="s">
        <v>17</v>
      </c>
      <c r="J81" s="13">
        <v>15256841</v>
      </c>
      <c r="K81" s="21" t="s">
        <v>18</v>
      </c>
      <c r="L81" s="21" t="s">
        <v>23</v>
      </c>
      <c r="M81" s="22">
        <v>369900</v>
      </c>
      <c r="N81" s="15">
        <v>0.75</v>
      </c>
      <c r="O81" s="14">
        <f t="shared" si="4"/>
        <v>92475</v>
      </c>
      <c r="P81" s="11" t="s">
        <v>16</v>
      </c>
    </row>
    <row r="82" spans="1:16" x14ac:dyDescent="0.35">
      <c r="A82" s="11" t="s">
        <v>1031</v>
      </c>
      <c r="B82" s="12">
        <f t="shared" si="5"/>
        <v>46104</v>
      </c>
      <c r="C82" s="12">
        <f t="shared" si="6"/>
        <v>46113</v>
      </c>
      <c r="D82" s="11">
        <v>3259</v>
      </c>
      <c r="E82" s="11">
        <v>333</v>
      </c>
      <c r="F82" s="11">
        <v>3</v>
      </c>
      <c r="G82" s="21">
        <v>6</v>
      </c>
      <c r="H82" s="11"/>
      <c r="I82" s="11" t="s">
        <v>17</v>
      </c>
      <c r="J82" s="13">
        <v>15257359</v>
      </c>
      <c r="K82" s="21" t="s">
        <v>18</v>
      </c>
      <c r="L82" s="21" t="s">
        <v>184</v>
      </c>
      <c r="M82" s="22">
        <v>369900</v>
      </c>
      <c r="N82" s="15">
        <v>0.75</v>
      </c>
      <c r="O82" s="14">
        <f t="shared" si="4"/>
        <v>92475</v>
      </c>
      <c r="P82" s="11" t="s">
        <v>16</v>
      </c>
    </row>
    <row r="83" spans="1:16" x14ac:dyDescent="0.35">
      <c r="A83" s="11" t="s">
        <v>1031</v>
      </c>
      <c r="B83" s="12">
        <f t="shared" si="5"/>
        <v>46104</v>
      </c>
      <c r="C83" s="12">
        <f t="shared" si="6"/>
        <v>46113</v>
      </c>
      <c r="D83" s="11">
        <v>3259</v>
      </c>
      <c r="E83" s="11">
        <v>333</v>
      </c>
      <c r="F83" s="11">
        <v>3</v>
      </c>
      <c r="G83" s="21">
        <v>6</v>
      </c>
      <c r="H83" s="11"/>
      <c r="I83" s="11" t="s">
        <v>17</v>
      </c>
      <c r="J83" s="13">
        <v>15257368</v>
      </c>
      <c r="K83" s="21" t="s">
        <v>18</v>
      </c>
      <c r="L83" s="21" t="s">
        <v>185</v>
      </c>
      <c r="M83" s="22">
        <v>369900</v>
      </c>
      <c r="N83" s="15">
        <v>0.75</v>
      </c>
      <c r="O83" s="14">
        <f t="shared" si="4"/>
        <v>92475</v>
      </c>
      <c r="P83" s="11" t="s">
        <v>16</v>
      </c>
    </row>
    <row r="84" spans="1:16" x14ac:dyDescent="0.35">
      <c r="A84" s="11" t="s">
        <v>1031</v>
      </c>
      <c r="B84" s="12">
        <f t="shared" si="5"/>
        <v>46104</v>
      </c>
      <c r="C84" s="12">
        <f t="shared" si="6"/>
        <v>46113</v>
      </c>
      <c r="D84" s="11">
        <v>3259</v>
      </c>
      <c r="E84" s="11">
        <v>333</v>
      </c>
      <c r="F84" s="11">
        <v>3</v>
      </c>
      <c r="G84" s="21">
        <v>6</v>
      </c>
      <c r="H84" s="11"/>
      <c r="I84" s="11" t="s">
        <v>17</v>
      </c>
      <c r="J84" s="13">
        <v>15257377</v>
      </c>
      <c r="K84" s="21" t="s">
        <v>18</v>
      </c>
      <c r="L84" s="21" t="s">
        <v>186</v>
      </c>
      <c r="M84" s="22">
        <v>369900</v>
      </c>
      <c r="N84" s="15">
        <v>0.75</v>
      </c>
      <c r="O84" s="14">
        <f t="shared" si="4"/>
        <v>92475</v>
      </c>
      <c r="P84" s="11" t="s">
        <v>16</v>
      </c>
    </row>
    <row r="85" spans="1:16" x14ac:dyDescent="0.35">
      <c r="A85" s="11" t="s">
        <v>1031</v>
      </c>
      <c r="B85" s="12">
        <f t="shared" si="5"/>
        <v>46104</v>
      </c>
      <c r="C85" s="12">
        <f t="shared" si="6"/>
        <v>46113</v>
      </c>
      <c r="D85" s="11">
        <v>3259</v>
      </c>
      <c r="E85" s="11">
        <v>333</v>
      </c>
      <c r="F85" s="11">
        <v>3</v>
      </c>
      <c r="G85" s="21">
        <v>6</v>
      </c>
      <c r="H85" s="11"/>
      <c r="I85" s="11" t="s">
        <v>17</v>
      </c>
      <c r="J85" s="13">
        <v>15257386</v>
      </c>
      <c r="K85" s="21" t="s">
        <v>18</v>
      </c>
      <c r="L85" s="21" t="s">
        <v>187</v>
      </c>
      <c r="M85" s="22">
        <v>369900</v>
      </c>
      <c r="N85" s="15">
        <v>0.75</v>
      </c>
      <c r="O85" s="14">
        <f t="shared" si="4"/>
        <v>92475</v>
      </c>
      <c r="P85" s="11" t="s">
        <v>16</v>
      </c>
    </row>
    <row r="86" spans="1:16" x14ac:dyDescent="0.35">
      <c r="A86" s="11" t="s">
        <v>1031</v>
      </c>
      <c r="B86" s="12">
        <f t="shared" si="5"/>
        <v>46104</v>
      </c>
      <c r="C86" s="12">
        <f t="shared" si="6"/>
        <v>46113</v>
      </c>
      <c r="D86" s="11">
        <v>3259</v>
      </c>
      <c r="E86" s="11">
        <v>333</v>
      </c>
      <c r="F86" s="11">
        <v>3</v>
      </c>
      <c r="G86" s="21">
        <v>6</v>
      </c>
      <c r="H86" s="11"/>
      <c r="I86" s="11" t="s">
        <v>17</v>
      </c>
      <c r="J86" s="13">
        <v>15257395</v>
      </c>
      <c r="K86" s="21" t="s">
        <v>18</v>
      </c>
      <c r="L86" s="21" t="s">
        <v>188</v>
      </c>
      <c r="M86" s="22">
        <v>369900</v>
      </c>
      <c r="N86" s="15">
        <v>0.75</v>
      </c>
      <c r="O86" s="14">
        <f t="shared" si="4"/>
        <v>92475</v>
      </c>
      <c r="P86" s="11" t="s">
        <v>16</v>
      </c>
    </row>
    <row r="87" spans="1:16" x14ac:dyDescent="0.35">
      <c r="A87" s="11" t="s">
        <v>1031</v>
      </c>
      <c r="B87" s="12">
        <f t="shared" si="5"/>
        <v>46104</v>
      </c>
      <c r="C87" s="12">
        <f t="shared" si="6"/>
        <v>46113</v>
      </c>
      <c r="D87" s="11">
        <v>3259</v>
      </c>
      <c r="E87" s="11">
        <v>333</v>
      </c>
      <c r="F87" s="11">
        <v>3</v>
      </c>
      <c r="G87" s="21">
        <v>6</v>
      </c>
      <c r="H87" s="11"/>
      <c r="I87" s="11" t="s">
        <v>17</v>
      </c>
      <c r="J87" s="13">
        <v>15257402</v>
      </c>
      <c r="K87" s="21" t="s">
        <v>18</v>
      </c>
      <c r="L87" s="21" t="s">
        <v>189</v>
      </c>
      <c r="M87" s="22">
        <v>369900</v>
      </c>
      <c r="N87" s="15">
        <v>0.75</v>
      </c>
      <c r="O87" s="14">
        <f t="shared" si="4"/>
        <v>92475</v>
      </c>
      <c r="P87" s="11" t="s">
        <v>16</v>
      </c>
    </row>
    <row r="88" spans="1:16" x14ac:dyDescent="0.35">
      <c r="A88" s="11" t="s">
        <v>1031</v>
      </c>
      <c r="B88" s="12">
        <f t="shared" si="5"/>
        <v>46104</v>
      </c>
      <c r="C88" s="12">
        <f t="shared" si="6"/>
        <v>46113</v>
      </c>
      <c r="D88" s="11">
        <v>3259</v>
      </c>
      <c r="E88" s="11">
        <v>333</v>
      </c>
      <c r="F88" s="11">
        <v>3</v>
      </c>
      <c r="G88" s="21">
        <v>6</v>
      </c>
      <c r="H88" s="11"/>
      <c r="I88" s="11" t="s">
        <v>17</v>
      </c>
      <c r="J88" s="13">
        <v>18752399</v>
      </c>
      <c r="K88" s="21" t="s">
        <v>217</v>
      </c>
      <c r="L88" s="21" t="s">
        <v>218</v>
      </c>
      <c r="M88" s="22">
        <v>369900</v>
      </c>
      <c r="N88" s="15">
        <v>0.75</v>
      </c>
      <c r="O88" s="14">
        <f t="shared" si="4"/>
        <v>92475</v>
      </c>
      <c r="P88" s="11" t="s">
        <v>16</v>
      </c>
    </row>
    <row r="89" spans="1:16" x14ac:dyDescent="0.35">
      <c r="A89" s="11" t="s">
        <v>1031</v>
      </c>
      <c r="B89" s="12">
        <f t="shared" si="5"/>
        <v>46104</v>
      </c>
      <c r="C89" s="12">
        <f t="shared" si="6"/>
        <v>46113</v>
      </c>
      <c r="D89" s="11">
        <v>3259</v>
      </c>
      <c r="E89" s="11">
        <v>333</v>
      </c>
      <c r="F89" s="11">
        <v>3</v>
      </c>
      <c r="G89" s="21">
        <v>6</v>
      </c>
      <c r="H89" s="11"/>
      <c r="I89" s="11" t="s">
        <v>17</v>
      </c>
      <c r="J89" s="13">
        <v>18752406</v>
      </c>
      <c r="K89" s="21" t="s">
        <v>217</v>
      </c>
      <c r="L89" s="21" t="s">
        <v>219</v>
      </c>
      <c r="M89" s="22">
        <v>369900</v>
      </c>
      <c r="N89" s="15">
        <v>0.75</v>
      </c>
      <c r="O89" s="14">
        <f t="shared" si="4"/>
        <v>92475</v>
      </c>
      <c r="P89" s="11" t="s">
        <v>16</v>
      </c>
    </row>
    <row r="90" spans="1:16" x14ac:dyDescent="0.35">
      <c r="A90" s="11" t="s">
        <v>1031</v>
      </c>
      <c r="B90" s="12">
        <f t="shared" si="5"/>
        <v>46104</v>
      </c>
      <c r="C90" s="12">
        <f t="shared" si="6"/>
        <v>46113</v>
      </c>
      <c r="D90" s="11">
        <v>3259</v>
      </c>
      <c r="E90" s="11">
        <v>333</v>
      </c>
      <c r="F90" s="11">
        <v>3</v>
      </c>
      <c r="G90" s="21">
        <v>6</v>
      </c>
      <c r="H90" s="11"/>
      <c r="I90" s="11" t="s">
        <v>17</v>
      </c>
      <c r="J90" s="13">
        <v>18752415</v>
      </c>
      <c r="K90" s="21" t="s">
        <v>217</v>
      </c>
      <c r="L90" s="21" t="s">
        <v>220</v>
      </c>
      <c r="M90" s="22">
        <v>369900</v>
      </c>
      <c r="N90" s="15">
        <v>0.75</v>
      </c>
      <c r="O90" s="14">
        <f t="shared" si="4"/>
        <v>92475</v>
      </c>
      <c r="P90" s="11" t="s">
        <v>16</v>
      </c>
    </row>
    <row r="91" spans="1:16" x14ac:dyDescent="0.35">
      <c r="A91" s="11" t="s">
        <v>1031</v>
      </c>
      <c r="B91" s="12">
        <f t="shared" si="5"/>
        <v>46104</v>
      </c>
      <c r="C91" s="12">
        <f t="shared" si="6"/>
        <v>46113</v>
      </c>
      <c r="D91" s="11">
        <v>3259</v>
      </c>
      <c r="E91" s="11">
        <v>333</v>
      </c>
      <c r="F91" s="11">
        <v>3</v>
      </c>
      <c r="G91" s="21">
        <v>6</v>
      </c>
      <c r="H91" s="11"/>
      <c r="I91" s="11" t="s">
        <v>17</v>
      </c>
      <c r="J91" s="13">
        <v>18752424</v>
      </c>
      <c r="K91" s="21" t="s">
        <v>217</v>
      </c>
      <c r="L91" s="21" t="s">
        <v>221</v>
      </c>
      <c r="M91" s="22">
        <v>369900</v>
      </c>
      <c r="N91" s="15">
        <v>0.75</v>
      </c>
      <c r="O91" s="14">
        <f t="shared" si="4"/>
        <v>92475</v>
      </c>
      <c r="P91" s="11" t="s">
        <v>16</v>
      </c>
    </row>
    <row r="92" spans="1:16" x14ac:dyDescent="0.35">
      <c r="A92" s="11" t="s">
        <v>1031</v>
      </c>
      <c r="B92" s="12">
        <f t="shared" si="5"/>
        <v>46104</v>
      </c>
      <c r="C92" s="12">
        <f t="shared" si="6"/>
        <v>46113</v>
      </c>
      <c r="D92" s="11">
        <v>3259</v>
      </c>
      <c r="E92" s="11">
        <v>333</v>
      </c>
      <c r="F92" s="11">
        <v>3</v>
      </c>
      <c r="G92" s="21">
        <v>6</v>
      </c>
      <c r="H92" s="11"/>
      <c r="I92" s="11" t="s">
        <v>17</v>
      </c>
      <c r="J92" s="13">
        <v>18752433</v>
      </c>
      <c r="K92" s="21" t="s">
        <v>217</v>
      </c>
      <c r="L92" s="21" t="s">
        <v>222</v>
      </c>
      <c r="M92" s="22">
        <v>369900</v>
      </c>
      <c r="N92" s="15">
        <v>0.75</v>
      </c>
      <c r="O92" s="14">
        <f t="shared" si="4"/>
        <v>92475</v>
      </c>
      <c r="P92" s="11" t="s">
        <v>16</v>
      </c>
    </row>
    <row r="93" spans="1:16" x14ac:dyDescent="0.35">
      <c r="A93" s="11" t="s">
        <v>1031</v>
      </c>
      <c r="B93" s="12">
        <f t="shared" si="5"/>
        <v>46104</v>
      </c>
      <c r="C93" s="12">
        <f t="shared" si="6"/>
        <v>46113</v>
      </c>
      <c r="D93" s="11">
        <v>3259</v>
      </c>
      <c r="E93" s="11">
        <v>333</v>
      </c>
      <c r="F93" s="11">
        <v>3</v>
      </c>
      <c r="G93" s="21">
        <v>6</v>
      </c>
      <c r="H93" s="11"/>
      <c r="I93" s="11" t="s">
        <v>17</v>
      </c>
      <c r="J93" s="13">
        <v>18752442</v>
      </c>
      <c r="K93" s="21" t="s">
        <v>217</v>
      </c>
      <c r="L93" s="21" t="s">
        <v>223</v>
      </c>
      <c r="M93" s="22">
        <v>369900</v>
      </c>
      <c r="N93" s="15">
        <v>0.75</v>
      </c>
      <c r="O93" s="14">
        <f t="shared" si="4"/>
        <v>92475</v>
      </c>
      <c r="P93" s="11" t="s">
        <v>16</v>
      </c>
    </row>
    <row r="94" spans="1:16" x14ac:dyDescent="0.35">
      <c r="A94" s="11" t="s">
        <v>1031</v>
      </c>
      <c r="B94" s="12">
        <f t="shared" si="5"/>
        <v>46104</v>
      </c>
      <c r="C94" s="12">
        <f t="shared" si="6"/>
        <v>46113</v>
      </c>
      <c r="D94" s="11">
        <v>3259</v>
      </c>
      <c r="E94" s="11">
        <v>333</v>
      </c>
      <c r="F94" s="11">
        <v>3</v>
      </c>
      <c r="G94" s="21">
        <v>6</v>
      </c>
      <c r="H94" s="11"/>
      <c r="I94" s="11" t="s">
        <v>17</v>
      </c>
      <c r="J94" s="13">
        <v>18752451</v>
      </c>
      <c r="K94" s="21" t="s">
        <v>217</v>
      </c>
      <c r="L94" s="21" t="s">
        <v>224</v>
      </c>
      <c r="M94" s="22">
        <v>369900</v>
      </c>
      <c r="N94" s="15">
        <v>0.75</v>
      </c>
      <c r="O94" s="14">
        <f t="shared" si="4"/>
        <v>92475</v>
      </c>
      <c r="P94" s="11" t="s">
        <v>16</v>
      </c>
    </row>
    <row r="95" spans="1:16" x14ac:dyDescent="0.35">
      <c r="A95" s="11" t="s">
        <v>1031</v>
      </c>
      <c r="B95" s="12">
        <f t="shared" si="5"/>
        <v>46104</v>
      </c>
      <c r="C95" s="12">
        <f t="shared" si="6"/>
        <v>46113</v>
      </c>
      <c r="D95" s="11">
        <v>3259</v>
      </c>
      <c r="E95" s="11">
        <v>333</v>
      </c>
      <c r="F95" s="11">
        <v>3</v>
      </c>
      <c r="G95" s="21">
        <v>6</v>
      </c>
      <c r="H95" s="11"/>
      <c r="I95" s="11" t="s">
        <v>17</v>
      </c>
      <c r="J95" s="13">
        <v>18752460</v>
      </c>
      <c r="K95" s="21" t="s">
        <v>217</v>
      </c>
      <c r="L95" s="21" t="s">
        <v>225</v>
      </c>
      <c r="M95" s="22">
        <v>369900</v>
      </c>
      <c r="N95" s="15">
        <v>0.75</v>
      </c>
      <c r="O95" s="14">
        <f t="shared" si="4"/>
        <v>92475</v>
      </c>
      <c r="P95" s="11" t="s">
        <v>16</v>
      </c>
    </row>
    <row r="96" spans="1:16" x14ac:dyDescent="0.35">
      <c r="A96" s="11" t="s">
        <v>1031</v>
      </c>
      <c r="B96" s="12">
        <f t="shared" si="5"/>
        <v>46104</v>
      </c>
      <c r="C96" s="12">
        <f t="shared" si="6"/>
        <v>46113</v>
      </c>
      <c r="D96" s="11">
        <v>3259</v>
      </c>
      <c r="E96" s="11">
        <v>333</v>
      </c>
      <c r="F96" s="11">
        <v>3</v>
      </c>
      <c r="G96" s="21">
        <v>6</v>
      </c>
      <c r="H96" s="11"/>
      <c r="I96" s="11" t="s">
        <v>17</v>
      </c>
      <c r="J96" s="13">
        <v>18752479</v>
      </c>
      <c r="K96" s="21" t="s">
        <v>217</v>
      </c>
      <c r="L96" s="21" t="s">
        <v>226</v>
      </c>
      <c r="M96" s="22">
        <v>369900</v>
      </c>
      <c r="N96" s="15">
        <v>0.75</v>
      </c>
      <c r="O96" s="14">
        <f t="shared" si="4"/>
        <v>92475</v>
      </c>
      <c r="P96" s="11" t="s">
        <v>16</v>
      </c>
    </row>
    <row r="97" spans="1:16" x14ac:dyDescent="0.35">
      <c r="A97" s="11" t="s">
        <v>1031</v>
      </c>
      <c r="B97" s="12">
        <f t="shared" si="5"/>
        <v>46104</v>
      </c>
      <c r="C97" s="12">
        <f t="shared" si="6"/>
        <v>46113</v>
      </c>
      <c r="D97" s="11">
        <v>3259</v>
      </c>
      <c r="E97" s="11">
        <v>333</v>
      </c>
      <c r="F97" s="11">
        <v>3</v>
      </c>
      <c r="G97" s="21">
        <v>6</v>
      </c>
      <c r="H97" s="11"/>
      <c r="I97" s="11" t="s">
        <v>17</v>
      </c>
      <c r="J97" s="13">
        <v>18752488</v>
      </c>
      <c r="K97" s="21" t="s">
        <v>217</v>
      </c>
      <c r="L97" s="21" t="s">
        <v>227</v>
      </c>
      <c r="M97" s="22">
        <v>369900</v>
      </c>
      <c r="N97" s="15">
        <v>0.75</v>
      </c>
      <c r="O97" s="14">
        <f t="shared" si="4"/>
        <v>92475</v>
      </c>
      <c r="P97" s="11" t="s">
        <v>16</v>
      </c>
    </row>
    <row r="98" spans="1:16" x14ac:dyDescent="0.35">
      <c r="A98" s="11" t="s">
        <v>1031</v>
      </c>
      <c r="B98" s="12">
        <f t="shared" si="5"/>
        <v>46104</v>
      </c>
      <c r="C98" s="12">
        <f t="shared" si="6"/>
        <v>46113</v>
      </c>
      <c r="D98" s="11">
        <v>3259</v>
      </c>
      <c r="E98" s="11">
        <v>333</v>
      </c>
      <c r="F98" s="11">
        <v>3</v>
      </c>
      <c r="G98" s="21">
        <v>6</v>
      </c>
      <c r="H98" s="11"/>
      <c r="I98" s="11" t="s">
        <v>17</v>
      </c>
      <c r="J98" s="13">
        <v>18752497</v>
      </c>
      <c r="K98" s="21" t="s">
        <v>217</v>
      </c>
      <c r="L98" s="21" t="s">
        <v>228</v>
      </c>
      <c r="M98" s="22">
        <v>369900</v>
      </c>
      <c r="N98" s="15">
        <v>0.75</v>
      </c>
      <c r="O98" s="14">
        <f t="shared" si="4"/>
        <v>92475</v>
      </c>
      <c r="P98" s="11" t="s">
        <v>16</v>
      </c>
    </row>
    <row r="99" spans="1:16" x14ac:dyDescent="0.35">
      <c r="A99" s="11" t="s">
        <v>1031</v>
      </c>
      <c r="B99" s="12">
        <f t="shared" si="5"/>
        <v>46104</v>
      </c>
      <c r="C99" s="12">
        <f t="shared" si="6"/>
        <v>46113</v>
      </c>
      <c r="D99" s="11">
        <v>3259</v>
      </c>
      <c r="E99" s="11">
        <v>333</v>
      </c>
      <c r="F99" s="11">
        <v>3</v>
      </c>
      <c r="G99" s="21">
        <v>6</v>
      </c>
      <c r="H99" s="11"/>
      <c r="I99" s="11" t="s">
        <v>17</v>
      </c>
      <c r="J99" s="13">
        <v>18752504</v>
      </c>
      <c r="K99" s="21" t="s">
        <v>217</v>
      </c>
      <c r="L99" s="21" t="s">
        <v>229</v>
      </c>
      <c r="M99" s="22">
        <v>369900</v>
      </c>
      <c r="N99" s="15">
        <v>0.75</v>
      </c>
      <c r="O99" s="14">
        <f t="shared" si="4"/>
        <v>92475</v>
      </c>
      <c r="P99" s="11" t="s">
        <v>16</v>
      </c>
    </row>
    <row r="100" spans="1:16" x14ac:dyDescent="0.35">
      <c r="A100" s="11" t="s">
        <v>1031</v>
      </c>
      <c r="B100" s="12">
        <f t="shared" si="5"/>
        <v>46104</v>
      </c>
      <c r="C100" s="12">
        <f t="shared" si="6"/>
        <v>46113</v>
      </c>
      <c r="D100" s="11">
        <v>3259</v>
      </c>
      <c r="E100" s="11">
        <v>333</v>
      </c>
      <c r="F100" s="11">
        <v>3</v>
      </c>
      <c r="G100" s="21">
        <v>6</v>
      </c>
      <c r="H100" s="11"/>
      <c r="I100" s="11" t="s">
        <v>17</v>
      </c>
      <c r="J100" s="13">
        <v>15256912</v>
      </c>
      <c r="K100" s="21" t="s">
        <v>51</v>
      </c>
      <c r="L100" s="21" t="s">
        <v>52</v>
      </c>
      <c r="M100" s="22">
        <v>399900</v>
      </c>
      <c r="N100" s="15">
        <v>0.75</v>
      </c>
      <c r="O100" s="14">
        <f t="shared" si="4"/>
        <v>99975</v>
      </c>
      <c r="P100" s="11" t="s">
        <v>16</v>
      </c>
    </row>
    <row r="101" spans="1:16" x14ac:dyDescent="0.35">
      <c r="A101" s="11" t="s">
        <v>1031</v>
      </c>
      <c r="B101" s="12">
        <f t="shared" si="5"/>
        <v>46104</v>
      </c>
      <c r="C101" s="12">
        <f t="shared" si="6"/>
        <v>46113</v>
      </c>
      <c r="D101" s="11">
        <v>3259</v>
      </c>
      <c r="E101" s="11">
        <v>333</v>
      </c>
      <c r="F101" s="11">
        <v>3</v>
      </c>
      <c r="G101" s="21">
        <v>6</v>
      </c>
      <c r="H101" s="11"/>
      <c r="I101" s="11" t="s">
        <v>17</v>
      </c>
      <c r="J101" s="13">
        <v>15256921</v>
      </c>
      <c r="K101" s="21" t="s">
        <v>51</v>
      </c>
      <c r="L101" s="21" t="s">
        <v>53</v>
      </c>
      <c r="M101" s="22">
        <v>399900</v>
      </c>
      <c r="N101" s="15">
        <v>0.75</v>
      </c>
      <c r="O101" s="14">
        <f t="shared" si="4"/>
        <v>99975</v>
      </c>
      <c r="P101" s="11" t="s">
        <v>16</v>
      </c>
    </row>
    <row r="102" spans="1:16" x14ac:dyDescent="0.35">
      <c r="A102" s="11" t="s">
        <v>1031</v>
      </c>
      <c r="B102" s="12">
        <f t="shared" si="5"/>
        <v>46104</v>
      </c>
      <c r="C102" s="12">
        <f t="shared" si="6"/>
        <v>46113</v>
      </c>
      <c r="D102" s="11">
        <v>3259</v>
      </c>
      <c r="E102" s="11">
        <v>333</v>
      </c>
      <c r="F102" s="11">
        <v>3</v>
      </c>
      <c r="G102" s="21">
        <v>6</v>
      </c>
      <c r="H102" s="11"/>
      <c r="I102" s="11" t="s">
        <v>17</v>
      </c>
      <c r="J102" s="13">
        <v>15256930</v>
      </c>
      <c r="K102" s="21" t="s">
        <v>51</v>
      </c>
      <c r="L102" s="21" t="s">
        <v>54</v>
      </c>
      <c r="M102" s="22">
        <v>399900</v>
      </c>
      <c r="N102" s="15">
        <v>0.75</v>
      </c>
      <c r="O102" s="14">
        <f t="shared" si="4"/>
        <v>99975</v>
      </c>
      <c r="P102" s="11" t="s">
        <v>16</v>
      </c>
    </row>
    <row r="103" spans="1:16" x14ac:dyDescent="0.35">
      <c r="A103" s="11" t="s">
        <v>1031</v>
      </c>
      <c r="B103" s="12">
        <f t="shared" si="5"/>
        <v>46104</v>
      </c>
      <c r="C103" s="12">
        <f t="shared" si="6"/>
        <v>46113</v>
      </c>
      <c r="D103" s="11">
        <v>3259</v>
      </c>
      <c r="E103" s="11">
        <v>333</v>
      </c>
      <c r="F103" s="11">
        <v>3</v>
      </c>
      <c r="G103" s="21">
        <v>6</v>
      </c>
      <c r="H103" s="11"/>
      <c r="I103" s="11" t="s">
        <v>17</v>
      </c>
      <c r="J103" s="13">
        <v>15256949</v>
      </c>
      <c r="K103" s="21" t="s">
        <v>51</v>
      </c>
      <c r="L103" s="21" t="s">
        <v>55</v>
      </c>
      <c r="M103" s="22">
        <v>399900</v>
      </c>
      <c r="N103" s="15">
        <v>0.75</v>
      </c>
      <c r="O103" s="14">
        <f t="shared" si="4"/>
        <v>99975</v>
      </c>
      <c r="P103" s="11" t="s">
        <v>16</v>
      </c>
    </row>
    <row r="104" spans="1:16" x14ac:dyDescent="0.35">
      <c r="A104" s="11" t="s">
        <v>1031</v>
      </c>
      <c r="B104" s="12">
        <f t="shared" si="5"/>
        <v>46104</v>
      </c>
      <c r="C104" s="12">
        <f t="shared" si="6"/>
        <v>46113</v>
      </c>
      <c r="D104" s="11">
        <v>3259</v>
      </c>
      <c r="E104" s="11">
        <v>333</v>
      </c>
      <c r="F104" s="11">
        <v>3</v>
      </c>
      <c r="G104" s="21">
        <v>6</v>
      </c>
      <c r="H104" s="11"/>
      <c r="I104" s="11" t="s">
        <v>17</v>
      </c>
      <c r="J104" s="13">
        <v>15256958</v>
      </c>
      <c r="K104" s="21" t="s">
        <v>56</v>
      </c>
      <c r="L104" s="21" t="s">
        <v>57</v>
      </c>
      <c r="M104" s="22">
        <v>399900</v>
      </c>
      <c r="N104" s="15">
        <v>0.75</v>
      </c>
      <c r="O104" s="14">
        <f t="shared" si="4"/>
        <v>99975</v>
      </c>
      <c r="P104" s="11" t="s">
        <v>16</v>
      </c>
    </row>
    <row r="105" spans="1:16" x14ac:dyDescent="0.35">
      <c r="A105" s="11" t="s">
        <v>1031</v>
      </c>
      <c r="B105" s="12">
        <f t="shared" si="5"/>
        <v>46104</v>
      </c>
      <c r="C105" s="12">
        <f t="shared" si="6"/>
        <v>46113</v>
      </c>
      <c r="D105" s="11">
        <v>3259</v>
      </c>
      <c r="E105" s="11">
        <v>333</v>
      </c>
      <c r="F105" s="11">
        <v>3</v>
      </c>
      <c r="G105" s="21">
        <v>6</v>
      </c>
      <c r="H105" s="11"/>
      <c r="I105" s="11" t="s">
        <v>17</v>
      </c>
      <c r="J105" s="13">
        <v>15256967</v>
      </c>
      <c r="K105" s="21" t="s">
        <v>56</v>
      </c>
      <c r="L105" s="21" t="s">
        <v>58</v>
      </c>
      <c r="M105" s="22">
        <v>399900</v>
      </c>
      <c r="N105" s="15">
        <v>0.75</v>
      </c>
      <c r="O105" s="14">
        <f t="shared" si="4"/>
        <v>99975</v>
      </c>
      <c r="P105" s="11" t="s">
        <v>16</v>
      </c>
    </row>
    <row r="106" spans="1:16" x14ac:dyDescent="0.35">
      <c r="A106" s="11" t="s">
        <v>1031</v>
      </c>
      <c r="B106" s="12">
        <f t="shared" si="5"/>
        <v>46104</v>
      </c>
      <c r="C106" s="12">
        <f t="shared" si="6"/>
        <v>46113</v>
      </c>
      <c r="D106" s="11">
        <v>3259</v>
      </c>
      <c r="E106" s="11">
        <v>333</v>
      </c>
      <c r="F106" s="11">
        <v>3</v>
      </c>
      <c r="G106" s="21">
        <v>6</v>
      </c>
      <c r="H106" s="11"/>
      <c r="I106" s="11" t="s">
        <v>17</v>
      </c>
      <c r="J106" s="13">
        <v>15256976</v>
      </c>
      <c r="K106" s="21" t="s">
        <v>56</v>
      </c>
      <c r="L106" s="21" t="s">
        <v>59</v>
      </c>
      <c r="M106" s="22">
        <v>399900</v>
      </c>
      <c r="N106" s="15">
        <v>0.75</v>
      </c>
      <c r="O106" s="14">
        <f t="shared" si="4"/>
        <v>99975</v>
      </c>
      <c r="P106" s="11" t="s">
        <v>16</v>
      </c>
    </row>
    <row r="107" spans="1:16" x14ac:dyDescent="0.35">
      <c r="A107" s="11" t="s">
        <v>1031</v>
      </c>
      <c r="B107" s="12">
        <f t="shared" si="5"/>
        <v>46104</v>
      </c>
      <c r="C107" s="12">
        <f t="shared" si="6"/>
        <v>46113</v>
      </c>
      <c r="D107" s="11">
        <v>3259</v>
      </c>
      <c r="E107" s="11">
        <v>333</v>
      </c>
      <c r="F107" s="11">
        <v>3</v>
      </c>
      <c r="G107" s="21">
        <v>6</v>
      </c>
      <c r="H107" s="11"/>
      <c r="I107" s="11" t="s">
        <v>17</v>
      </c>
      <c r="J107" s="13">
        <v>15256985</v>
      </c>
      <c r="K107" s="21" t="s">
        <v>56</v>
      </c>
      <c r="L107" s="21" t="s">
        <v>60</v>
      </c>
      <c r="M107" s="22">
        <v>399900</v>
      </c>
      <c r="N107" s="15">
        <v>0.75</v>
      </c>
      <c r="O107" s="14">
        <f t="shared" ref="O107:O161" si="7">M107-(M107*N107)</f>
        <v>99975</v>
      </c>
      <c r="P107" s="11" t="s">
        <v>16</v>
      </c>
    </row>
    <row r="108" spans="1:16" x14ac:dyDescent="0.35">
      <c r="A108" s="11" t="s">
        <v>1031</v>
      </c>
      <c r="B108" s="12">
        <f t="shared" si="5"/>
        <v>46104</v>
      </c>
      <c r="C108" s="12">
        <f t="shared" si="6"/>
        <v>46113</v>
      </c>
      <c r="D108" s="11">
        <v>3259</v>
      </c>
      <c r="E108" s="11">
        <v>333</v>
      </c>
      <c r="F108" s="11">
        <v>3</v>
      </c>
      <c r="G108" s="21">
        <v>6</v>
      </c>
      <c r="H108" s="11"/>
      <c r="I108" s="11" t="s">
        <v>17</v>
      </c>
      <c r="J108" s="13">
        <v>15257475</v>
      </c>
      <c r="K108" s="21" t="s">
        <v>51</v>
      </c>
      <c r="L108" s="21" t="s">
        <v>65</v>
      </c>
      <c r="M108" s="22">
        <v>399900</v>
      </c>
      <c r="N108" s="15">
        <v>0.75</v>
      </c>
      <c r="O108" s="14">
        <f t="shared" si="7"/>
        <v>99975</v>
      </c>
      <c r="P108" s="11" t="s">
        <v>16</v>
      </c>
    </row>
    <row r="109" spans="1:16" x14ac:dyDescent="0.35">
      <c r="A109" s="11" t="s">
        <v>1031</v>
      </c>
      <c r="B109" s="12">
        <f t="shared" si="5"/>
        <v>46104</v>
      </c>
      <c r="C109" s="12">
        <f t="shared" si="6"/>
        <v>46113</v>
      </c>
      <c r="D109" s="11">
        <v>3259</v>
      </c>
      <c r="E109" s="11">
        <v>333</v>
      </c>
      <c r="F109" s="11">
        <v>3</v>
      </c>
      <c r="G109" s="21">
        <v>6</v>
      </c>
      <c r="H109" s="11"/>
      <c r="I109" s="11" t="s">
        <v>17</v>
      </c>
      <c r="J109" s="13">
        <v>15257484</v>
      </c>
      <c r="K109" s="21" t="s">
        <v>51</v>
      </c>
      <c r="L109" s="21" t="s">
        <v>66</v>
      </c>
      <c r="M109" s="22">
        <v>399900</v>
      </c>
      <c r="N109" s="15">
        <v>0.75</v>
      </c>
      <c r="O109" s="14">
        <f t="shared" si="7"/>
        <v>99975</v>
      </c>
      <c r="P109" s="11" t="s">
        <v>16</v>
      </c>
    </row>
    <row r="110" spans="1:16" x14ac:dyDescent="0.35">
      <c r="A110" s="11" t="s">
        <v>1031</v>
      </c>
      <c r="B110" s="12">
        <f t="shared" si="5"/>
        <v>46104</v>
      </c>
      <c r="C110" s="12">
        <f t="shared" si="6"/>
        <v>46113</v>
      </c>
      <c r="D110" s="11">
        <v>3259</v>
      </c>
      <c r="E110" s="11">
        <v>333</v>
      </c>
      <c r="F110" s="11">
        <v>3</v>
      </c>
      <c r="G110" s="21">
        <v>6</v>
      </c>
      <c r="H110" s="11"/>
      <c r="I110" s="11" t="s">
        <v>17</v>
      </c>
      <c r="J110" s="13">
        <v>15257493</v>
      </c>
      <c r="K110" s="21" t="s">
        <v>51</v>
      </c>
      <c r="L110" s="21" t="s">
        <v>67</v>
      </c>
      <c r="M110" s="22">
        <v>399900</v>
      </c>
      <c r="N110" s="15">
        <v>0.75</v>
      </c>
      <c r="O110" s="14">
        <f t="shared" si="7"/>
        <v>99975</v>
      </c>
      <c r="P110" s="11" t="s">
        <v>16</v>
      </c>
    </row>
    <row r="111" spans="1:16" x14ac:dyDescent="0.35">
      <c r="A111" s="11" t="s">
        <v>1031</v>
      </c>
      <c r="B111" s="12">
        <f t="shared" si="5"/>
        <v>46104</v>
      </c>
      <c r="C111" s="12">
        <f t="shared" si="6"/>
        <v>46113</v>
      </c>
      <c r="D111" s="11">
        <v>3259</v>
      </c>
      <c r="E111" s="11">
        <v>333</v>
      </c>
      <c r="F111" s="11">
        <v>3</v>
      </c>
      <c r="G111" s="21">
        <v>6</v>
      </c>
      <c r="H111" s="11"/>
      <c r="I111" s="11" t="s">
        <v>17</v>
      </c>
      <c r="J111" s="13">
        <v>15257500</v>
      </c>
      <c r="K111" s="21" t="s">
        <v>51</v>
      </c>
      <c r="L111" s="21" t="s">
        <v>68</v>
      </c>
      <c r="M111" s="22">
        <v>399900</v>
      </c>
      <c r="N111" s="15">
        <v>0.75</v>
      </c>
      <c r="O111" s="14">
        <f t="shared" si="7"/>
        <v>99975</v>
      </c>
      <c r="P111" s="11" t="s">
        <v>16</v>
      </c>
    </row>
    <row r="112" spans="1:16" x14ac:dyDescent="0.35">
      <c r="A112" s="11" t="s">
        <v>1031</v>
      </c>
      <c r="B112" s="12">
        <f t="shared" si="5"/>
        <v>46104</v>
      </c>
      <c r="C112" s="12">
        <f t="shared" si="6"/>
        <v>46113</v>
      </c>
      <c r="D112" s="11">
        <v>3259</v>
      </c>
      <c r="E112" s="11">
        <v>333</v>
      </c>
      <c r="F112" s="11">
        <v>3</v>
      </c>
      <c r="G112" s="21">
        <v>6</v>
      </c>
      <c r="H112" s="11"/>
      <c r="I112" s="11" t="s">
        <v>17</v>
      </c>
      <c r="J112" s="13">
        <v>15257519</v>
      </c>
      <c r="K112" s="21" t="s">
        <v>56</v>
      </c>
      <c r="L112" s="21" t="s">
        <v>69</v>
      </c>
      <c r="M112" s="22">
        <v>399900</v>
      </c>
      <c r="N112" s="15">
        <v>0.75</v>
      </c>
      <c r="O112" s="14">
        <f t="shared" si="7"/>
        <v>99975</v>
      </c>
      <c r="P112" s="11" t="s">
        <v>16</v>
      </c>
    </row>
    <row r="113" spans="1:16" x14ac:dyDescent="0.35">
      <c r="A113" s="11" t="s">
        <v>1031</v>
      </c>
      <c r="B113" s="12">
        <f t="shared" si="5"/>
        <v>46104</v>
      </c>
      <c r="C113" s="12">
        <f t="shared" si="6"/>
        <v>46113</v>
      </c>
      <c r="D113" s="11">
        <v>3259</v>
      </c>
      <c r="E113" s="11">
        <v>333</v>
      </c>
      <c r="F113" s="11">
        <v>3</v>
      </c>
      <c r="G113" s="21">
        <v>6</v>
      </c>
      <c r="H113" s="11"/>
      <c r="I113" s="11" t="s">
        <v>17</v>
      </c>
      <c r="J113" s="13">
        <v>15257528</v>
      </c>
      <c r="K113" s="21" t="s">
        <v>56</v>
      </c>
      <c r="L113" s="21" t="s">
        <v>70</v>
      </c>
      <c r="M113" s="22">
        <v>399900</v>
      </c>
      <c r="N113" s="15">
        <v>0.75</v>
      </c>
      <c r="O113" s="14">
        <f t="shared" si="7"/>
        <v>99975</v>
      </c>
      <c r="P113" s="11" t="s">
        <v>16</v>
      </c>
    </row>
    <row r="114" spans="1:16" x14ac:dyDescent="0.35">
      <c r="A114" s="11" t="s">
        <v>1031</v>
      </c>
      <c r="B114" s="12">
        <f t="shared" si="5"/>
        <v>46104</v>
      </c>
      <c r="C114" s="12">
        <f t="shared" si="6"/>
        <v>46113</v>
      </c>
      <c r="D114" s="11">
        <v>3259</v>
      </c>
      <c r="E114" s="11">
        <v>333</v>
      </c>
      <c r="F114" s="11">
        <v>3</v>
      </c>
      <c r="G114" s="21">
        <v>6</v>
      </c>
      <c r="H114" s="11"/>
      <c r="I114" s="11" t="s">
        <v>17</v>
      </c>
      <c r="J114" s="13">
        <v>15257537</v>
      </c>
      <c r="K114" s="21" t="s">
        <v>56</v>
      </c>
      <c r="L114" s="21" t="s">
        <v>71</v>
      </c>
      <c r="M114" s="22">
        <v>399900</v>
      </c>
      <c r="N114" s="15">
        <v>0.75</v>
      </c>
      <c r="O114" s="14">
        <f t="shared" si="7"/>
        <v>99975</v>
      </c>
      <c r="P114" s="11" t="s">
        <v>16</v>
      </c>
    </row>
    <row r="115" spans="1:16" x14ac:dyDescent="0.35">
      <c r="A115" s="11" t="s">
        <v>1031</v>
      </c>
      <c r="B115" s="12">
        <f t="shared" si="5"/>
        <v>46104</v>
      </c>
      <c r="C115" s="12">
        <f t="shared" si="6"/>
        <v>46113</v>
      </c>
      <c r="D115" s="11">
        <v>3259</v>
      </c>
      <c r="E115" s="11">
        <v>333</v>
      </c>
      <c r="F115" s="11">
        <v>3</v>
      </c>
      <c r="G115" s="21">
        <v>6</v>
      </c>
      <c r="H115" s="11"/>
      <c r="I115" s="11" t="s">
        <v>17</v>
      </c>
      <c r="J115" s="13">
        <v>15257546</v>
      </c>
      <c r="K115" s="21" t="s">
        <v>56</v>
      </c>
      <c r="L115" s="21" t="s">
        <v>72</v>
      </c>
      <c r="M115" s="22">
        <v>399900</v>
      </c>
      <c r="N115" s="15">
        <v>0.75</v>
      </c>
      <c r="O115" s="14">
        <f t="shared" si="7"/>
        <v>99975</v>
      </c>
      <c r="P115" s="11" t="s">
        <v>16</v>
      </c>
    </row>
    <row r="116" spans="1:16" x14ac:dyDescent="0.35">
      <c r="A116" s="11" t="s">
        <v>1031</v>
      </c>
      <c r="B116" s="12">
        <f t="shared" si="5"/>
        <v>46104</v>
      </c>
      <c r="C116" s="12">
        <f t="shared" si="6"/>
        <v>46113</v>
      </c>
      <c r="D116" s="11">
        <v>3259</v>
      </c>
      <c r="E116" s="11">
        <v>333</v>
      </c>
      <c r="F116" s="11">
        <v>3</v>
      </c>
      <c r="G116" s="21">
        <v>6</v>
      </c>
      <c r="H116" s="11"/>
      <c r="I116" s="11" t="s">
        <v>17</v>
      </c>
      <c r="J116" s="13">
        <v>16752428</v>
      </c>
      <c r="K116" s="21" t="s">
        <v>190</v>
      </c>
      <c r="L116" s="21" t="s">
        <v>191</v>
      </c>
      <c r="M116" s="22">
        <v>369900</v>
      </c>
      <c r="N116" s="15">
        <v>0.75</v>
      </c>
      <c r="O116" s="14">
        <f t="shared" si="7"/>
        <v>92475</v>
      </c>
      <c r="P116" s="11" t="s">
        <v>16</v>
      </c>
    </row>
    <row r="117" spans="1:16" x14ac:dyDescent="0.35">
      <c r="A117" s="11" t="s">
        <v>1031</v>
      </c>
      <c r="B117" s="12">
        <f t="shared" si="5"/>
        <v>46104</v>
      </c>
      <c r="C117" s="12">
        <f t="shared" si="6"/>
        <v>46113</v>
      </c>
      <c r="D117" s="11">
        <v>3259</v>
      </c>
      <c r="E117" s="11">
        <v>333</v>
      </c>
      <c r="F117" s="11">
        <v>3</v>
      </c>
      <c r="G117" s="21">
        <v>6</v>
      </c>
      <c r="H117" s="11"/>
      <c r="I117" s="11" t="s">
        <v>17</v>
      </c>
      <c r="J117" s="13">
        <v>16752437</v>
      </c>
      <c r="K117" s="21" t="s">
        <v>190</v>
      </c>
      <c r="L117" s="21" t="s">
        <v>192</v>
      </c>
      <c r="M117" s="22">
        <v>369900</v>
      </c>
      <c r="N117" s="15">
        <v>0.75</v>
      </c>
      <c r="O117" s="14">
        <f t="shared" si="7"/>
        <v>92475</v>
      </c>
      <c r="P117" s="11" t="s">
        <v>16</v>
      </c>
    </row>
    <row r="118" spans="1:16" x14ac:dyDescent="0.35">
      <c r="A118" s="11" t="s">
        <v>1031</v>
      </c>
      <c r="B118" s="12">
        <f t="shared" si="5"/>
        <v>46104</v>
      </c>
      <c r="C118" s="12">
        <f t="shared" si="6"/>
        <v>46113</v>
      </c>
      <c r="D118" s="11">
        <v>3259</v>
      </c>
      <c r="E118" s="11">
        <v>333</v>
      </c>
      <c r="F118" s="11">
        <v>3</v>
      </c>
      <c r="G118" s="21">
        <v>6</v>
      </c>
      <c r="H118" s="11"/>
      <c r="I118" s="11" t="s">
        <v>17</v>
      </c>
      <c r="J118" s="13">
        <v>16752446</v>
      </c>
      <c r="K118" s="21" t="s">
        <v>190</v>
      </c>
      <c r="L118" s="21" t="s">
        <v>193</v>
      </c>
      <c r="M118" s="22">
        <v>369900</v>
      </c>
      <c r="N118" s="15">
        <v>0.75</v>
      </c>
      <c r="O118" s="14">
        <f t="shared" si="7"/>
        <v>92475</v>
      </c>
      <c r="P118" s="11" t="s">
        <v>16</v>
      </c>
    </row>
    <row r="119" spans="1:16" x14ac:dyDescent="0.35">
      <c r="A119" s="11" t="s">
        <v>1031</v>
      </c>
      <c r="B119" s="12">
        <f t="shared" si="5"/>
        <v>46104</v>
      </c>
      <c r="C119" s="12">
        <f t="shared" si="6"/>
        <v>46113</v>
      </c>
      <c r="D119" s="11">
        <v>3259</v>
      </c>
      <c r="E119" s="11">
        <v>333</v>
      </c>
      <c r="F119" s="11">
        <v>3</v>
      </c>
      <c r="G119" s="21">
        <v>6</v>
      </c>
      <c r="H119" s="11"/>
      <c r="I119" s="11" t="s">
        <v>17</v>
      </c>
      <c r="J119" s="13">
        <v>16752455</v>
      </c>
      <c r="K119" s="21" t="s">
        <v>190</v>
      </c>
      <c r="L119" s="21" t="s">
        <v>194</v>
      </c>
      <c r="M119" s="22">
        <v>369900</v>
      </c>
      <c r="N119" s="15">
        <v>0.75</v>
      </c>
      <c r="O119" s="14">
        <f t="shared" si="7"/>
        <v>92475</v>
      </c>
      <c r="P119" s="11" t="s">
        <v>16</v>
      </c>
    </row>
    <row r="120" spans="1:16" x14ac:dyDescent="0.35">
      <c r="A120" s="11" t="s">
        <v>1031</v>
      </c>
      <c r="B120" s="12">
        <f t="shared" si="5"/>
        <v>46104</v>
      </c>
      <c r="C120" s="12">
        <f t="shared" si="6"/>
        <v>46113</v>
      </c>
      <c r="D120" s="11">
        <v>3259</v>
      </c>
      <c r="E120" s="11">
        <v>333</v>
      </c>
      <c r="F120" s="11">
        <v>3</v>
      </c>
      <c r="G120" s="21">
        <v>6</v>
      </c>
      <c r="H120" s="11"/>
      <c r="I120" s="11" t="s">
        <v>17</v>
      </c>
      <c r="J120" s="13">
        <v>16752464</v>
      </c>
      <c r="K120" s="21" t="s">
        <v>190</v>
      </c>
      <c r="L120" s="21" t="s">
        <v>195</v>
      </c>
      <c r="M120" s="22">
        <v>369900</v>
      </c>
      <c r="N120" s="15">
        <v>0.75</v>
      </c>
      <c r="O120" s="14">
        <f t="shared" si="7"/>
        <v>92475</v>
      </c>
      <c r="P120" s="11" t="s">
        <v>16</v>
      </c>
    </row>
    <row r="121" spans="1:16" x14ac:dyDescent="0.35">
      <c r="A121" s="11" t="s">
        <v>1031</v>
      </c>
      <c r="B121" s="12">
        <f t="shared" si="5"/>
        <v>46104</v>
      </c>
      <c r="C121" s="12">
        <f t="shared" si="6"/>
        <v>46113</v>
      </c>
      <c r="D121" s="11">
        <v>3259</v>
      </c>
      <c r="E121" s="11">
        <v>333</v>
      </c>
      <c r="F121" s="11">
        <v>3</v>
      </c>
      <c r="G121" s="21">
        <v>6</v>
      </c>
      <c r="H121" s="11"/>
      <c r="I121" s="11" t="s">
        <v>17</v>
      </c>
      <c r="J121" s="13">
        <v>16752473</v>
      </c>
      <c r="K121" s="21" t="s">
        <v>190</v>
      </c>
      <c r="L121" s="21" t="s">
        <v>196</v>
      </c>
      <c r="M121" s="22">
        <v>369900</v>
      </c>
      <c r="N121" s="15">
        <v>0.75</v>
      </c>
      <c r="O121" s="14">
        <f t="shared" si="7"/>
        <v>92475</v>
      </c>
      <c r="P121" s="11" t="s">
        <v>16</v>
      </c>
    </row>
    <row r="122" spans="1:16" x14ac:dyDescent="0.35">
      <c r="A122" s="11" t="s">
        <v>1031</v>
      </c>
      <c r="B122" s="12">
        <f t="shared" si="5"/>
        <v>46104</v>
      </c>
      <c r="C122" s="12">
        <f t="shared" si="6"/>
        <v>46113</v>
      </c>
      <c r="D122" s="11">
        <v>3259</v>
      </c>
      <c r="E122" s="11">
        <v>333</v>
      </c>
      <c r="F122" s="11">
        <v>3</v>
      </c>
      <c r="G122" s="21">
        <v>6</v>
      </c>
      <c r="H122" s="11"/>
      <c r="I122" s="11" t="s">
        <v>17</v>
      </c>
      <c r="J122" s="13">
        <v>16752606</v>
      </c>
      <c r="K122" s="21" t="s">
        <v>190</v>
      </c>
      <c r="L122" s="21" t="s">
        <v>197</v>
      </c>
      <c r="M122" s="22">
        <v>369900</v>
      </c>
      <c r="N122" s="15">
        <v>0.75</v>
      </c>
      <c r="O122" s="14">
        <f t="shared" si="7"/>
        <v>92475</v>
      </c>
      <c r="P122" s="11" t="s">
        <v>16</v>
      </c>
    </row>
    <row r="123" spans="1:16" x14ac:dyDescent="0.35">
      <c r="A123" s="11" t="s">
        <v>1031</v>
      </c>
      <c r="B123" s="12">
        <f t="shared" si="5"/>
        <v>46104</v>
      </c>
      <c r="C123" s="12">
        <f t="shared" si="6"/>
        <v>46113</v>
      </c>
      <c r="D123" s="11">
        <v>3259</v>
      </c>
      <c r="E123" s="11">
        <v>333</v>
      </c>
      <c r="F123" s="11">
        <v>3</v>
      </c>
      <c r="G123" s="21">
        <v>6</v>
      </c>
      <c r="H123" s="11"/>
      <c r="I123" s="11" t="s">
        <v>17</v>
      </c>
      <c r="J123" s="13">
        <v>16752615</v>
      </c>
      <c r="K123" s="21" t="s">
        <v>190</v>
      </c>
      <c r="L123" s="21" t="s">
        <v>198</v>
      </c>
      <c r="M123" s="22">
        <v>369900</v>
      </c>
      <c r="N123" s="15">
        <v>0.75</v>
      </c>
      <c r="O123" s="14">
        <f t="shared" si="7"/>
        <v>92475</v>
      </c>
      <c r="P123" s="11" t="s">
        <v>16</v>
      </c>
    </row>
    <row r="124" spans="1:16" x14ac:dyDescent="0.35">
      <c r="A124" s="11" t="s">
        <v>1031</v>
      </c>
      <c r="B124" s="12">
        <f t="shared" si="5"/>
        <v>46104</v>
      </c>
      <c r="C124" s="12">
        <f t="shared" si="6"/>
        <v>46113</v>
      </c>
      <c r="D124" s="11">
        <v>3259</v>
      </c>
      <c r="E124" s="11">
        <v>333</v>
      </c>
      <c r="F124" s="11">
        <v>3</v>
      </c>
      <c r="G124" s="21">
        <v>6</v>
      </c>
      <c r="H124" s="11"/>
      <c r="I124" s="11" t="s">
        <v>17</v>
      </c>
      <c r="J124" s="13">
        <v>16752624</v>
      </c>
      <c r="K124" s="21" t="s">
        <v>190</v>
      </c>
      <c r="L124" s="21" t="s">
        <v>199</v>
      </c>
      <c r="M124" s="22">
        <v>369900</v>
      </c>
      <c r="N124" s="15">
        <v>0.75</v>
      </c>
      <c r="O124" s="14">
        <f t="shared" si="7"/>
        <v>92475</v>
      </c>
      <c r="P124" s="11" t="s">
        <v>16</v>
      </c>
    </row>
    <row r="125" spans="1:16" x14ac:dyDescent="0.35">
      <c r="A125" s="11" t="s">
        <v>1031</v>
      </c>
      <c r="B125" s="12">
        <f t="shared" si="5"/>
        <v>46104</v>
      </c>
      <c r="C125" s="12">
        <f t="shared" si="6"/>
        <v>46113</v>
      </c>
      <c r="D125" s="11">
        <v>3259</v>
      </c>
      <c r="E125" s="11">
        <v>333</v>
      </c>
      <c r="F125" s="11">
        <v>3</v>
      </c>
      <c r="G125" s="21">
        <v>6</v>
      </c>
      <c r="H125" s="11"/>
      <c r="I125" s="11" t="s">
        <v>17</v>
      </c>
      <c r="J125" s="13">
        <v>16752633</v>
      </c>
      <c r="K125" s="21" t="s">
        <v>190</v>
      </c>
      <c r="L125" s="21" t="s">
        <v>200</v>
      </c>
      <c r="M125" s="22">
        <v>369900</v>
      </c>
      <c r="N125" s="15">
        <v>0.75</v>
      </c>
      <c r="O125" s="14">
        <f t="shared" si="7"/>
        <v>92475</v>
      </c>
      <c r="P125" s="11" t="s">
        <v>16</v>
      </c>
    </row>
    <row r="126" spans="1:16" x14ac:dyDescent="0.35">
      <c r="A126" s="11" t="s">
        <v>1031</v>
      </c>
      <c r="B126" s="12">
        <f t="shared" si="5"/>
        <v>46104</v>
      </c>
      <c r="C126" s="12">
        <f t="shared" si="6"/>
        <v>46113</v>
      </c>
      <c r="D126" s="11">
        <v>3259</v>
      </c>
      <c r="E126" s="11">
        <v>333</v>
      </c>
      <c r="F126" s="11">
        <v>3</v>
      </c>
      <c r="G126" s="21">
        <v>6</v>
      </c>
      <c r="H126" s="11"/>
      <c r="I126" s="11" t="s">
        <v>17</v>
      </c>
      <c r="J126" s="13">
        <v>16752642</v>
      </c>
      <c r="K126" s="21" t="s">
        <v>190</v>
      </c>
      <c r="L126" s="21" t="s">
        <v>201</v>
      </c>
      <c r="M126" s="22">
        <v>369900</v>
      </c>
      <c r="N126" s="15">
        <v>0.75</v>
      </c>
      <c r="O126" s="14">
        <f t="shared" si="7"/>
        <v>92475</v>
      </c>
      <c r="P126" s="11" t="s">
        <v>16</v>
      </c>
    </row>
    <row r="127" spans="1:16" x14ac:dyDescent="0.35">
      <c r="A127" s="11" t="s">
        <v>1031</v>
      </c>
      <c r="B127" s="12">
        <f t="shared" si="5"/>
        <v>46104</v>
      </c>
      <c r="C127" s="12">
        <f t="shared" si="6"/>
        <v>46113</v>
      </c>
      <c r="D127" s="11">
        <v>3259</v>
      </c>
      <c r="E127" s="11">
        <v>333</v>
      </c>
      <c r="F127" s="11">
        <v>3</v>
      </c>
      <c r="G127" s="21">
        <v>6</v>
      </c>
      <c r="H127" s="11"/>
      <c r="I127" s="11" t="s">
        <v>17</v>
      </c>
      <c r="J127" s="13">
        <v>16752651</v>
      </c>
      <c r="K127" s="21" t="s">
        <v>190</v>
      </c>
      <c r="L127" s="21" t="s">
        <v>202</v>
      </c>
      <c r="M127" s="22">
        <v>369900</v>
      </c>
      <c r="N127" s="15">
        <v>0.75</v>
      </c>
      <c r="O127" s="14">
        <f t="shared" si="7"/>
        <v>92475</v>
      </c>
      <c r="P127" s="11" t="s">
        <v>16</v>
      </c>
    </row>
    <row r="128" spans="1:16" x14ac:dyDescent="0.35">
      <c r="A128" s="11" t="s">
        <v>1031</v>
      </c>
      <c r="B128" s="12">
        <f t="shared" si="5"/>
        <v>46104</v>
      </c>
      <c r="C128" s="12">
        <f t="shared" si="6"/>
        <v>46113</v>
      </c>
      <c r="D128" s="11">
        <v>3259</v>
      </c>
      <c r="E128" s="11">
        <v>333</v>
      </c>
      <c r="F128" s="11">
        <v>3</v>
      </c>
      <c r="G128" s="21">
        <v>0</v>
      </c>
      <c r="H128" s="11"/>
      <c r="I128" s="11" t="s">
        <v>17</v>
      </c>
      <c r="J128" s="13">
        <v>15257279</v>
      </c>
      <c r="K128" s="21" t="s">
        <v>263</v>
      </c>
      <c r="L128" s="21" t="s">
        <v>307</v>
      </c>
      <c r="M128" s="22">
        <v>249900</v>
      </c>
      <c r="N128" s="15">
        <v>0.75</v>
      </c>
      <c r="O128" s="14">
        <f t="shared" si="7"/>
        <v>62475</v>
      </c>
      <c r="P128" s="11" t="s">
        <v>16</v>
      </c>
    </row>
    <row r="129" spans="1:16" x14ac:dyDescent="0.35">
      <c r="A129" s="11" t="s">
        <v>1031</v>
      </c>
      <c r="B129" s="12">
        <f t="shared" si="5"/>
        <v>46104</v>
      </c>
      <c r="C129" s="12">
        <f t="shared" si="6"/>
        <v>46113</v>
      </c>
      <c r="D129" s="11">
        <v>3259</v>
      </c>
      <c r="E129" s="11">
        <v>333</v>
      </c>
      <c r="F129" s="11">
        <v>3</v>
      </c>
      <c r="G129" s="21">
        <v>0</v>
      </c>
      <c r="H129" s="11"/>
      <c r="I129" s="11" t="s">
        <v>17</v>
      </c>
      <c r="J129" s="13">
        <v>15257288</v>
      </c>
      <c r="K129" s="21" t="s">
        <v>263</v>
      </c>
      <c r="L129" s="21" t="s">
        <v>308</v>
      </c>
      <c r="M129" s="22">
        <v>249900</v>
      </c>
      <c r="N129" s="15">
        <v>0.75</v>
      </c>
      <c r="O129" s="14">
        <f t="shared" si="7"/>
        <v>62475</v>
      </c>
      <c r="P129" s="11" t="s">
        <v>16</v>
      </c>
    </row>
    <row r="130" spans="1:16" x14ac:dyDescent="0.35">
      <c r="A130" s="11" t="s">
        <v>1031</v>
      </c>
      <c r="B130" s="12">
        <f t="shared" si="5"/>
        <v>46104</v>
      </c>
      <c r="C130" s="12">
        <f t="shared" si="6"/>
        <v>46113</v>
      </c>
      <c r="D130" s="11">
        <v>3259</v>
      </c>
      <c r="E130" s="11">
        <v>333</v>
      </c>
      <c r="F130" s="11">
        <v>3</v>
      </c>
      <c r="G130" s="21">
        <v>0</v>
      </c>
      <c r="H130" s="11"/>
      <c r="I130" s="11" t="s">
        <v>17</v>
      </c>
      <c r="J130" s="13">
        <v>15257297</v>
      </c>
      <c r="K130" s="21" t="s">
        <v>263</v>
      </c>
      <c r="L130" s="21" t="s">
        <v>309</v>
      </c>
      <c r="M130" s="22">
        <v>249900</v>
      </c>
      <c r="N130" s="15">
        <v>0.75</v>
      </c>
      <c r="O130" s="14">
        <f t="shared" si="7"/>
        <v>62475</v>
      </c>
      <c r="P130" s="11" t="s">
        <v>16</v>
      </c>
    </row>
    <row r="131" spans="1:16" x14ac:dyDescent="0.35">
      <c r="A131" s="11" t="s">
        <v>1031</v>
      </c>
      <c r="B131" s="12">
        <f t="shared" si="5"/>
        <v>46104</v>
      </c>
      <c r="C131" s="12">
        <f t="shared" si="6"/>
        <v>46113</v>
      </c>
      <c r="D131" s="11">
        <v>3259</v>
      </c>
      <c r="E131" s="11">
        <v>333</v>
      </c>
      <c r="F131" s="11">
        <v>3</v>
      </c>
      <c r="G131" s="21">
        <v>0</v>
      </c>
      <c r="H131" s="11"/>
      <c r="I131" s="11" t="s">
        <v>17</v>
      </c>
      <c r="J131" s="13">
        <v>15257304</v>
      </c>
      <c r="K131" s="21" t="s">
        <v>263</v>
      </c>
      <c r="L131" s="21" t="s">
        <v>310</v>
      </c>
      <c r="M131" s="22">
        <v>249900</v>
      </c>
      <c r="N131" s="15">
        <v>0.75</v>
      </c>
      <c r="O131" s="14">
        <f t="shared" si="7"/>
        <v>62475</v>
      </c>
      <c r="P131" s="11" t="s">
        <v>16</v>
      </c>
    </row>
    <row r="132" spans="1:16" x14ac:dyDescent="0.35">
      <c r="A132" s="11" t="s">
        <v>1031</v>
      </c>
      <c r="B132" s="12">
        <f t="shared" ref="B132:B195" si="8">B131</f>
        <v>46104</v>
      </c>
      <c r="C132" s="12">
        <f t="shared" ref="C132:C195" si="9">C131</f>
        <v>46113</v>
      </c>
      <c r="D132" s="11">
        <v>3259</v>
      </c>
      <c r="E132" s="11">
        <v>333</v>
      </c>
      <c r="F132" s="11">
        <v>3</v>
      </c>
      <c r="G132" s="21">
        <v>15</v>
      </c>
      <c r="H132" s="11"/>
      <c r="I132" s="11" t="s">
        <v>17</v>
      </c>
      <c r="J132" s="13">
        <v>15257779</v>
      </c>
      <c r="K132" s="21" t="s">
        <v>271</v>
      </c>
      <c r="L132" s="21" t="s">
        <v>272</v>
      </c>
      <c r="M132" s="22">
        <v>299900</v>
      </c>
      <c r="N132" s="15">
        <v>0.75</v>
      </c>
      <c r="O132" s="14">
        <f t="shared" si="7"/>
        <v>74975</v>
      </c>
      <c r="P132" s="11" t="s">
        <v>16</v>
      </c>
    </row>
    <row r="133" spans="1:16" x14ac:dyDescent="0.35">
      <c r="A133" s="11" t="s">
        <v>1031</v>
      </c>
      <c r="B133" s="12">
        <f t="shared" si="8"/>
        <v>46104</v>
      </c>
      <c r="C133" s="12">
        <f t="shared" si="9"/>
        <v>46113</v>
      </c>
      <c r="D133" s="11">
        <v>3259</v>
      </c>
      <c r="E133" s="11">
        <v>333</v>
      </c>
      <c r="F133" s="11">
        <v>3</v>
      </c>
      <c r="G133" s="21">
        <v>15</v>
      </c>
      <c r="H133" s="11"/>
      <c r="I133" s="11" t="s">
        <v>17</v>
      </c>
      <c r="J133" s="13">
        <v>15257788</v>
      </c>
      <c r="K133" s="21" t="s">
        <v>271</v>
      </c>
      <c r="L133" s="21" t="s">
        <v>273</v>
      </c>
      <c r="M133" s="22">
        <v>299900</v>
      </c>
      <c r="N133" s="15">
        <v>0.75</v>
      </c>
      <c r="O133" s="14">
        <f t="shared" si="7"/>
        <v>74975</v>
      </c>
      <c r="P133" s="11" t="s">
        <v>16</v>
      </c>
    </row>
    <row r="134" spans="1:16" x14ac:dyDescent="0.35">
      <c r="A134" s="11" t="s">
        <v>1031</v>
      </c>
      <c r="B134" s="12">
        <f t="shared" si="8"/>
        <v>46104</v>
      </c>
      <c r="C134" s="12">
        <f t="shared" si="9"/>
        <v>46113</v>
      </c>
      <c r="D134" s="11">
        <v>3259</v>
      </c>
      <c r="E134" s="11">
        <v>333</v>
      </c>
      <c r="F134" s="11">
        <v>3</v>
      </c>
      <c r="G134" s="21">
        <v>15</v>
      </c>
      <c r="H134" s="11"/>
      <c r="I134" s="11" t="s">
        <v>17</v>
      </c>
      <c r="J134" s="13">
        <v>15257797</v>
      </c>
      <c r="K134" s="21" t="s">
        <v>271</v>
      </c>
      <c r="L134" s="21" t="s">
        <v>274</v>
      </c>
      <c r="M134" s="22">
        <v>299900</v>
      </c>
      <c r="N134" s="15">
        <v>0.75</v>
      </c>
      <c r="O134" s="14">
        <f t="shared" si="7"/>
        <v>74975</v>
      </c>
      <c r="P134" s="11" t="s">
        <v>16</v>
      </c>
    </row>
    <row r="135" spans="1:16" x14ac:dyDescent="0.35">
      <c r="A135" s="11" t="s">
        <v>1031</v>
      </c>
      <c r="B135" s="12">
        <f t="shared" si="8"/>
        <v>46104</v>
      </c>
      <c r="C135" s="12">
        <f t="shared" si="9"/>
        <v>46113</v>
      </c>
      <c r="D135" s="11">
        <v>3259</v>
      </c>
      <c r="E135" s="11">
        <v>333</v>
      </c>
      <c r="F135" s="11">
        <v>3</v>
      </c>
      <c r="G135" s="21">
        <v>15</v>
      </c>
      <c r="H135" s="11"/>
      <c r="I135" s="11" t="s">
        <v>17</v>
      </c>
      <c r="J135" s="13">
        <v>15257804</v>
      </c>
      <c r="K135" s="21" t="s">
        <v>271</v>
      </c>
      <c r="L135" s="21" t="s">
        <v>275</v>
      </c>
      <c r="M135" s="22">
        <v>299900</v>
      </c>
      <c r="N135" s="15">
        <v>0.75</v>
      </c>
      <c r="O135" s="14">
        <f t="shared" si="7"/>
        <v>74975</v>
      </c>
      <c r="P135" s="11" t="s">
        <v>16</v>
      </c>
    </row>
    <row r="136" spans="1:16" x14ac:dyDescent="0.35">
      <c r="A136" s="11" t="s">
        <v>1031</v>
      </c>
      <c r="B136" s="12">
        <f t="shared" si="8"/>
        <v>46104</v>
      </c>
      <c r="C136" s="12">
        <f t="shared" si="9"/>
        <v>46113</v>
      </c>
      <c r="D136" s="11">
        <v>3259</v>
      </c>
      <c r="E136" s="11">
        <v>333</v>
      </c>
      <c r="F136" s="11">
        <v>3</v>
      </c>
      <c r="G136" s="21">
        <v>15</v>
      </c>
      <c r="H136" s="11"/>
      <c r="I136" s="11" t="s">
        <v>17</v>
      </c>
      <c r="J136" s="13">
        <v>15257813</v>
      </c>
      <c r="K136" s="21" t="s">
        <v>271</v>
      </c>
      <c r="L136" s="21" t="s">
        <v>276</v>
      </c>
      <c r="M136" s="22">
        <v>299900</v>
      </c>
      <c r="N136" s="15">
        <v>0.75</v>
      </c>
      <c r="O136" s="14">
        <f t="shared" si="7"/>
        <v>74975</v>
      </c>
      <c r="P136" s="11" t="s">
        <v>16</v>
      </c>
    </row>
    <row r="137" spans="1:16" x14ac:dyDescent="0.35">
      <c r="A137" s="11" t="s">
        <v>1031</v>
      </c>
      <c r="B137" s="12">
        <f t="shared" si="8"/>
        <v>46104</v>
      </c>
      <c r="C137" s="12">
        <f t="shared" si="9"/>
        <v>46113</v>
      </c>
      <c r="D137" s="11">
        <v>3259</v>
      </c>
      <c r="E137" s="11">
        <v>333</v>
      </c>
      <c r="F137" s="11">
        <v>3</v>
      </c>
      <c r="G137" s="21">
        <v>15</v>
      </c>
      <c r="H137" s="11"/>
      <c r="I137" s="11" t="s">
        <v>17</v>
      </c>
      <c r="J137" s="13">
        <v>15257822</v>
      </c>
      <c r="K137" s="21" t="s">
        <v>271</v>
      </c>
      <c r="L137" s="21" t="s">
        <v>277</v>
      </c>
      <c r="M137" s="22">
        <v>299900</v>
      </c>
      <c r="N137" s="15">
        <v>0.75</v>
      </c>
      <c r="O137" s="14">
        <f t="shared" si="7"/>
        <v>74975</v>
      </c>
      <c r="P137" s="11" t="s">
        <v>16</v>
      </c>
    </row>
    <row r="138" spans="1:16" x14ac:dyDescent="0.35">
      <c r="A138" s="11" t="s">
        <v>1031</v>
      </c>
      <c r="B138" s="12">
        <f t="shared" si="8"/>
        <v>46104</v>
      </c>
      <c r="C138" s="12">
        <f t="shared" si="9"/>
        <v>46113</v>
      </c>
      <c r="D138" s="11">
        <v>3259</v>
      </c>
      <c r="E138" s="11">
        <v>333</v>
      </c>
      <c r="F138" s="11">
        <v>3</v>
      </c>
      <c r="G138" s="21">
        <v>15</v>
      </c>
      <c r="H138" s="11"/>
      <c r="I138" s="11" t="s">
        <v>17</v>
      </c>
      <c r="J138" s="13">
        <v>15257831</v>
      </c>
      <c r="K138" s="21" t="s">
        <v>271</v>
      </c>
      <c r="L138" s="21" t="s">
        <v>278</v>
      </c>
      <c r="M138" s="22">
        <v>299900</v>
      </c>
      <c r="N138" s="15">
        <v>0.75</v>
      </c>
      <c r="O138" s="14">
        <f t="shared" si="7"/>
        <v>74975</v>
      </c>
      <c r="P138" s="11" t="s">
        <v>16</v>
      </c>
    </row>
    <row r="139" spans="1:16" x14ac:dyDescent="0.35">
      <c r="A139" s="11" t="s">
        <v>1031</v>
      </c>
      <c r="B139" s="12">
        <f t="shared" si="8"/>
        <v>46104</v>
      </c>
      <c r="C139" s="12">
        <f t="shared" si="9"/>
        <v>46113</v>
      </c>
      <c r="D139" s="11">
        <v>3259</v>
      </c>
      <c r="E139" s="11">
        <v>333</v>
      </c>
      <c r="F139" s="11">
        <v>3</v>
      </c>
      <c r="G139" s="21">
        <v>15</v>
      </c>
      <c r="H139" s="11"/>
      <c r="I139" s="11" t="s">
        <v>17</v>
      </c>
      <c r="J139" s="13">
        <v>15257840</v>
      </c>
      <c r="K139" s="21" t="s">
        <v>271</v>
      </c>
      <c r="L139" s="21" t="s">
        <v>279</v>
      </c>
      <c r="M139" s="22">
        <v>299900</v>
      </c>
      <c r="N139" s="15">
        <v>0.75</v>
      </c>
      <c r="O139" s="14">
        <f t="shared" si="7"/>
        <v>74975</v>
      </c>
      <c r="P139" s="11" t="s">
        <v>16</v>
      </c>
    </row>
    <row r="140" spans="1:16" x14ac:dyDescent="0.35">
      <c r="A140" s="11" t="s">
        <v>1031</v>
      </c>
      <c r="B140" s="12">
        <f t="shared" si="8"/>
        <v>46104</v>
      </c>
      <c r="C140" s="12">
        <f t="shared" si="9"/>
        <v>46113</v>
      </c>
      <c r="D140" s="11">
        <v>3259</v>
      </c>
      <c r="E140" s="11">
        <v>333</v>
      </c>
      <c r="F140" s="11">
        <v>3</v>
      </c>
      <c r="G140" s="21">
        <v>15</v>
      </c>
      <c r="H140" s="11"/>
      <c r="I140" s="11" t="s">
        <v>17</v>
      </c>
      <c r="J140" s="13">
        <v>15257859</v>
      </c>
      <c r="K140" s="21" t="s">
        <v>271</v>
      </c>
      <c r="L140" s="21" t="s">
        <v>280</v>
      </c>
      <c r="M140" s="22">
        <v>299900</v>
      </c>
      <c r="N140" s="15">
        <v>0.75</v>
      </c>
      <c r="O140" s="14">
        <f t="shared" si="7"/>
        <v>74975</v>
      </c>
      <c r="P140" s="11" t="s">
        <v>16</v>
      </c>
    </row>
    <row r="141" spans="1:16" x14ac:dyDescent="0.35">
      <c r="A141" s="11" t="s">
        <v>1031</v>
      </c>
      <c r="B141" s="12">
        <f t="shared" si="8"/>
        <v>46104</v>
      </c>
      <c r="C141" s="12">
        <f t="shared" si="9"/>
        <v>46113</v>
      </c>
      <c r="D141" s="11">
        <v>3259</v>
      </c>
      <c r="E141" s="11">
        <v>333</v>
      </c>
      <c r="F141" s="11">
        <v>3</v>
      </c>
      <c r="G141" s="21">
        <v>15</v>
      </c>
      <c r="H141" s="11"/>
      <c r="I141" s="11" t="s">
        <v>17</v>
      </c>
      <c r="J141" s="13">
        <v>15257868</v>
      </c>
      <c r="K141" s="21" t="s">
        <v>271</v>
      </c>
      <c r="L141" s="21" t="s">
        <v>281</v>
      </c>
      <c r="M141" s="22">
        <v>299900</v>
      </c>
      <c r="N141" s="15">
        <v>0.75</v>
      </c>
      <c r="O141" s="14">
        <f t="shared" si="7"/>
        <v>74975</v>
      </c>
      <c r="P141" s="11" t="s">
        <v>16</v>
      </c>
    </row>
    <row r="142" spans="1:16" x14ac:dyDescent="0.35">
      <c r="A142" s="11" t="s">
        <v>1031</v>
      </c>
      <c r="B142" s="12">
        <f t="shared" si="8"/>
        <v>46104</v>
      </c>
      <c r="C142" s="12">
        <f t="shared" si="9"/>
        <v>46113</v>
      </c>
      <c r="D142" s="11">
        <v>3259</v>
      </c>
      <c r="E142" s="11">
        <v>333</v>
      </c>
      <c r="F142" s="11">
        <v>3</v>
      </c>
      <c r="G142" s="21">
        <v>15</v>
      </c>
      <c r="H142" s="11"/>
      <c r="I142" s="11" t="s">
        <v>17</v>
      </c>
      <c r="J142" s="13">
        <v>15257877</v>
      </c>
      <c r="K142" s="21" t="s">
        <v>271</v>
      </c>
      <c r="L142" s="21" t="s">
        <v>282</v>
      </c>
      <c r="M142" s="22">
        <v>299900</v>
      </c>
      <c r="N142" s="15">
        <v>0.75</v>
      </c>
      <c r="O142" s="14">
        <f t="shared" si="7"/>
        <v>74975</v>
      </c>
      <c r="P142" s="11" t="s">
        <v>16</v>
      </c>
    </row>
    <row r="143" spans="1:16" x14ac:dyDescent="0.35">
      <c r="A143" s="11" t="s">
        <v>1031</v>
      </c>
      <c r="B143" s="12">
        <f t="shared" si="8"/>
        <v>46104</v>
      </c>
      <c r="C143" s="12">
        <f t="shared" si="9"/>
        <v>46113</v>
      </c>
      <c r="D143" s="11">
        <v>3259</v>
      </c>
      <c r="E143" s="11">
        <v>333</v>
      </c>
      <c r="F143" s="11">
        <v>3</v>
      </c>
      <c r="G143" s="21">
        <v>15</v>
      </c>
      <c r="H143" s="11"/>
      <c r="I143" s="11" t="s">
        <v>17</v>
      </c>
      <c r="J143" s="13">
        <v>15257886</v>
      </c>
      <c r="K143" s="21" t="s">
        <v>271</v>
      </c>
      <c r="L143" s="21" t="s">
        <v>283</v>
      </c>
      <c r="M143" s="22">
        <v>299900</v>
      </c>
      <c r="N143" s="15">
        <v>0.75</v>
      </c>
      <c r="O143" s="14">
        <f t="shared" si="7"/>
        <v>74975</v>
      </c>
      <c r="P143" s="11" t="s">
        <v>16</v>
      </c>
    </row>
    <row r="144" spans="1:16" x14ac:dyDescent="0.35">
      <c r="A144" s="11" t="s">
        <v>1031</v>
      </c>
      <c r="B144" s="12">
        <f t="shared" si="8"/>
        <v>46104</v>
      </c>
      <c r="C144" s="12">
        <f t="shared" si="9"/>
        <v>46113</v>
      </c>
      <c r="D144" s="11">
        <v>3259</v>
      </c>
      <c r="E144" s="11">
        <v>333</v>
      </c>
      <c r="F144" s="11">
        <v>3</v>
      </c>
      <c r="G144" s="21">
        <v>15</v>
      </c>
      <c r="H144" s="11"/>
      <c r="I144" s="11" t="s">
        <v>17</v>
      </c>
      <c r="J144" s="13">
        <v>87445305</v>
      </c>
      <c r="K144" s="21" t="s">
        <v>104</v>
      </c>
      <c r="L144" s="21" t="s">
        <v>105</v>
      </c>
      <c r="M144" s="22">
        <v>299900</v>
      </c>
      <c r="N144" s="15">
        <v>0.75</v>
      </c>
      <c r="O144" s="14">
        <f t="shared" si="7"/>
        <v>74975</v>
      </c>
      <c r="P144" s="11" t="s">
        <v>16</v>
      </c>
    </row>
    <row r="145" spans="1:16" x14ac:dyDescent="0.35">
      <c r="A145" s="11" t="s">
        <v>1031</v>
      </c>
      <c r="B145" s="12">
        <f t="shared" si="8"/>
        <v>46104</v>
      </c>
      <c r="C145" s="12">
        <f t="shared" si="9"/>
        <v>46113</v>
      </c>
      <c r="D145" s="11">
        <v>3259</v>
      </c>
      <c r="E145" s="11">
        <v>333</v>
      </c>
      <c r="F145" s="11">
        <v>3</v>
      </c>
      <c r="G145" s="21">
        <v>15</v>
      </c>
      <c r="H145" s="11"/>
      <c r="I145" s="11" t="s">
        <v>17</v>
      </c>
      <c r="J145" s="13">
        <v>87445314</v>
      </c>
      <c r="K145" s="21" t="s">
        <v>104</v>
      </c>
      <c r="L145" s="21" t="s">
        <v>106</v>
      </c>
      <c r="M145" s="22">
        <v>299900</v>
      </c>
      <c r="N145" s="15">
        <v>0.75</v>
      </c>
      <c r="O145" s="14">
        <f t="shared" si="7"/>
        <v>74975</v>
      </c>
      <c r="P145" s="11" t="s">
        <v>16</v>
      </c>
    </row>
    <row r="146" spans="1:16" x14ac:dyDescent="0.35">
      <c r="A146" s="11" t="s">
        <v>1031</v>
      </c>
      <c r="B146" s="12">
        <f t="shared" si="8"/>
        <v>46104</v>
      </c>
      <c r="C146" s="12">
        <f t="shared" si="9"/>
        <v>46113</v>
      </c>
      <c r="D146" s="11">
        <v>3259</v>
      </c>
      <c r="E146" s="11">
        <v>333</v>
      </c>
      <c r="F146" s="11">
        <v>3</v>
      </c>
      <c r="G146" s="21">
        <v>15</v>
      </c>
      <c r="H146" s="11"/>
      <c r="I146" s="11" t="s">
        <v>17</v>
      </c>
      <c r="J146" s="13">
        <v>87445323</v>
      </c>
      <c r="K146" s="21" t="s">
        <v>104</v>
      </c>
      <c r="L146" s="21" t="s">
        <v>107</v>
      </c>
      <c r="M146" s="22">
        <v>299900</v>
      </c>
      <c r="N146" s="15">
        <v>0.75</v>
      </c>
      <c r="O146" s="14">
        <f t="shared" si="7"/>
        <v>74975</v>
      </c>
      <c r="P146" s="11" t="s">
        <v>16</v>
      </c>
    </row>
    <row r="147" spans="1:16" x14ac:dyDescent="0.35">
      <c r="A147" s="11" t="s">
        <v>1031</v>
      </c>
      <c r="B147" s="12">
        <f t="shared" si="8"/>
        <v>46104</v>
      </c>
      <c r="C147" s="12">
        <f t="shared" si="9"/>
        <v>46113</v>
      </c>
      <c r="D147" s="11">
        <v>3259</v>
      </c>
      <c r="E147" s="11">
        <v>333</v>
      </c>
      <c r="F147" s="11">
        <v>3</v>
      </c>
      <c r="G147" s="21">
        <v>15</v>
      </c>
      <c r="H147" s="11"/>
      <c r="I147" s="11" t="s">
        <v>17</v>
      </c>
      <c r="J147" s="13">
        <v>87445332</v>
      </c>
      <c r="K147" s="21" t="s">
        <v>104</v>
      </c>
      <c r="L147" s="21" t="s">
        <v>108</v>
      </c>
      <c r="M147" s="22">
        <v>299900</v>
      </c>
      <c r="N147" s="15">
        <v>0.75</v>
      </c>
      <c r="O147" s="14">
        <f t="shared" si="7"/>
        <v>74975</v>
      </c>
      <c r="P147" s="11" t="s">
        <v>16</v>
      </c>
    </row>
    <row r="148" spans="1:16" x14ac:dyDescent="0.35">
      <c r="A148" s="11" t="s">
        <v>1031</v>
      </c>
      <c r="B148" s="12">
        <f t="shared" si="8"/>
        <v>46104</v>
      </c>
      <c r="C148" s="12">
        <f t="shared" si="9"/>
        <v>46113</v>
      </c>
      <c r="D148" s="11">
        <v>3259</v>
      </c>
      <c r="E148" s="11">
        <v>333</v>
      </c>
      <c r="F148" s="11">
        <v>3</v>
      </c>
      <c r="G148" s="21">
        <v>15</v>
      </c>
      <c r="H148" s="11"/>
      <c r="I148" s="11" t="s">
        <v>17</v>
      </c>
      <c r="J148" s="13">
        <v>87445341</v>
      </c>
      <c r="K148" s="21" t="s">
        <v>104</v>
      </c>
      <c r="L148" s="21" t="s">
        <v>109</v>
      </c>
      <c r="M148" s="22">
        <v>299900</v>
      </c>
      <c r="N148" s="15">
        <v>0.75</v>
      </c>
      <c r="O148" s="14">
        <f t="shared" si="7"/>
        <v>74975</v>
      </c>
      <c r="P148" s="11" t="s">
        <v>16</v>
      </c>
    </row>
    <row r="149" spans="1:16" x14ac:dyDescent="0.35">
      <c r="A149" s="11" t="s">
        <v>1031</v>
      </c>
      <c r="B149" s="12">
        <f t="shared" si="8"/>
        <v>46104</v>
      </c>
      <c r="C149" s="12">
        <f t="shared" si="9"/>
        <v>46113</v>
      </c>
      <c r="D149" s="11">
        <v>3259</v>
      </c>
      <c r="E149" s="11">
        <v>333</v>
      </c>
      <c r="F149" s="11">
        <v>3</v>
      </c>
      <c r="G149" s="21">
        <v>15</v>
      </c>
      <c r="H149" s="11"/>
      <c r="I149" s="11" t="s">
        <v>17</v>
      </c>
      <c r="J149" s="13">
        <v>87445350</v>
      </c>
      <c r="K149" s="21" t="s">
        <v>104</v>
      </c>
      <c r="L149" s="21" t="s">
        <v>110</v>
      </c>
      <c r="M149" s="22">
        <v>299900</v>
      </c>
      <c r="N149" s="15">
        <v>0.75</v>
      </c>
      <c r="O149" s="14">
        <f t="shared" si="7"/>
        <v>74975</v>
      </c>
      <c r="P149" s="11" t="s">
        <v>16</v>
      </c>
    </row>
    <row r="150" spans="1:16" x14ac:dyDescent="0.35">
      <c r="A150" s="11" t="s">
        <v>1031</v>
      </c>
      <c r="B150" s="12">
        <f t="shared" si="8"/>
        <v>46104</v>
      </c>
      <c r="C150" s="12">
        <f t="shared" si="9"/>
        <v>46113</v>
      </c>
      <c r="D150" s="11">
        <v>3259</v>
      </c>
      <c r="E150" s="11">
        <v>333</v>
      </c>
      <c r="F150" s="11">
        <v>3</v>
      </c>
      <c r="G150" s="21">
        <v>15</v>
      </c>
      <c r="H150" s="11"/>
      <c r="I150" s="11" t="s">
        <v>17</v>
      </c>
      <c r="J150" s="13">
        <v>15256458</v>
      </c>
      <c r="K150" s="21" t="s">
        <v>264</v>
      </c>
      <c r="L150" s="21" t="s">
        <v>265</v>
      </c>
      <c r="M150" s="22">
        <v>299900</v>
      </c>
      <c r="N150" s="15">
        <v>0.75</v>
      </c>
      <c r="O150" s="14">
        <f t="shared" si="7"/>
        <v>74975</v>
      </c>
      <c r="P150" s="11" t="s">
        <v>16</v>
      </c>
    </row>
    <row r="151" spans="1:16" x14ac:dyDescent="0.35">
      <c r="A151" s="11" t="s">
        <v>1031</v>
      </c>
      <c r="B151" s="12">
        <f t="shared" si="8"/>
        <v>46104</v>
      </c>
      <c r="C151" s="12">
        <f t="shared" si="9"/>
        <v>46113</v>
      </c>
      <c r="D151" s="11">
        <v>3259</v>
      </c>
      <c r="E151" s="11">
        <v>333</v>
      </c>
      <c r="F151" s="11">
        <v>3</v>
      </c>
      <c r="G151" s="21">
        <v>15</v>
      </c>
      <c r="H151" s="11"/>
      <c r="I151" s="11" t="s">
        <v>17</v>
      </c>
      <c r="J151" s="13">
        <v>15256467</v>
      </c>
      <c r="K151" s="21" t="s">
        <v>264</v>
      </c>
      <c r="L151" s="21" t="s">
        <v>266</v>
      </c>
      <c r="M151" s="22">
        <v>299900</v>
      </c>
      <c r="N151" s="15">
        <v>0.75</v>
      </c>
      <c r="O151" s="14">
        <f t="shared" si="7"/>
        <v>74975</v>
      </c>
      <c r="P151" s="11" t="s">
        <v>16</v>
      </c>
    </row>
    <row r="152" spans="1:16" x14ac:dyDescent="0.35">
      <c r="A152" s="11" t="s">
        <v>1031</v>
      </c>
      <c r="B152" s="12">
        <f t="shared" si="8"/>
        <v>46104</v>
      </c>
      <c r="C152" s="12">
        <f t="shared" si="9"/>
        <v>46113</v>
      </c>
      <c r="D152" s="11">
        <v>3259</v>
      </c>
      <c r="E152" s="11">
        <v>333</v>
      </c>
      <c r="F152" s="11">
        <v>3</v>
      </c>
      <c r="G152" s="21">
        <v>15</v>
      </c>
      <c r="H152" s="11"/>
      <c r="I152" s="11" t="s">
        <v>17</v>
      </c>
      <c r="J152" s="13">
        <v>15256476</v>
      </c>
      <c r="K152" s="21" t="s">
        <v>264</v>
      </c>
      <c r="L152" s="21" t="s">
        <v>267</v>
      </c>
      <c r="M152" s="22">
        <v>299900</v>
      </c>
      <c r="N152" s="15">
        <v>0.75</v>
      </c>
      <c r="O152" s="14">
        <f t="shared" si="7"/>
        <v>74975</v>
      </c>
      <c r="P152" s="11" t="s">
        <v>16</v>
      </c>
    </row>
    <row r="153" spans="1:16" x14ac:dyDescent="0.35">
      <c r="A153" s="11" t="s">
        <v>1031</v>
      </c>
      <c r="B153" s="12">
        <f t="shared" si="8"/>
        <v>46104</v>
      </c>
      <c r="C153" s="12">
        <f t="shared" si="9"/>
        <v>46113</v>
      </c>
      <c r="D153" s="11">
        <v>3259</v>
      </c>
      <c r="E153" s="11">
        <v>333</v>
      </c>
      <c r="F153" s="11">
        <v>3</v>
      </c>
      <c r="G153" s="21">
        <v>15</v>
      </c>
      <c r="H153" s="11"/>
      <c r="I153" s="11" t="s">
        <v>17</v>
      </c>
      <c r="J153" s="13">
        <v>15256485</v>
      </c>
      <c r="K153" s="21" t="s">
        <v>264</v>
      </c>
      <c r="L153" s="21" t="s">
        <v>268</v>
      </c>
      <c r="M153" s="22">
        <v>299900</v>
      </c>
      <c r="N153" s="15">
        <v>0.75</v>
      </c>
      <c r="O153" s="14">
        <f t="shared" si="7"/>
        <v>74975</v>
      </c>
      <c r="P153" s="11" t="s">
        <v>16</v>
      </c>
    </row>
    <row r="154" spans="1:16" x14ac:dyDescent="0.35">
      <c r="A154" s="11" t="s">
        <v>1031</v>
      </c>
      <c r="B154" s="12">
        <f t="shared" si="8"/>
        <v>46104</v>
      </c>
      <c r="C154" s="12">
        <f t="shared" si="9"/>
        <v>46113</v>
      </c>
      <c r="D154" s="11">
        <v>3259</v>
      </c>
      <c r="E154" s="11">
        <v>333</v>
      </c>
      <c r="F154" s="11">
        <v>3</v>
      </c>
      <c r="G154" s="21">
        <v>15</v>
      </c>
      <c r="H154" s="11"/>
      <c r="I154" s="11" t="s">
        <v>17</v>
      </c>
      <c r="J154" s="13">
        <v>15256494</v>
      </c>
      <c r="K154" s="21" t="s">
        <v>264</v>
      </c>
      <c r="L154" s="21" t="s">
        <v>269</v>
      </c>
      <c r="M154" s="22">
        <v>299900</v>
      </c>
      <c r="N154" s="15">
        <v>0.75</v>
      </c>
      <c r="O154" s="14">
        <f t="shared" si="7"/>
        <v>74975</v>
      </c>
      <c r="P154" s="11" t="s">
        <v>16</v>
      </c>
    </row>
    <row r="155" spans="1:16" x14ac:dyDescent="0.35">
      <c r="A155" s="11" t="s">
        <v>1031</v>
      </c>
      <c r="B155" s="12">
        <f t="shared" si="8"/>
        <v>46104</v>
      </c>
      <c r="C155" s="12">
        <f t="shared" si="9"/>
        <v>46113</v>
      </c>
      <c r="D155" s="11">
        <v>3259</v>
      </c>
      <c r="E155" s="11">
        <v>333</v>
      </c>
      <c r="F155" s="11">
        <v>3</v>
      </c>
      <c r="G155" s="21">
        <v>15</v>
      </c>
      <c r="H155" s="11"/>
      <c r="I155" s="11" t="s">
        <v>17</v>
      </c>
      <c r="J155" s="13">
        <v>15256501</v>
      </c>
      <c r="K155" s="21" t="s">
        <v>264</v>
      </c>
      <c r="L155" s="21" t="s">
        <v>270</v>
      </c>
      <c r="M155" s="22">
        <v>299900</v>
      </c>
      <c r="N155" s="15">
        <v>0.75</v>
      </c>
      <c r="O155" s="14">
        <f t="shared" si="7"/>
        <v>74975</v>
      </c>
      <c r="P155" s="11" t="s">
        <v>16</v>
      </c>
    </row>
    <row r="156" spans="1:16" x14ac:dyDescent="0.35">
      <c r="A156" s="11" t="s">
        <v>1031</v>
      </c>
      <c r="B156" s="12">
        <f t="shared" si="8"/>
        <v>46104</v>
      </c>
      <c r="C156" s="12">
        <f t="shared" si="9"/>
        <v>46113</v>
      </c>
      <c r="D156" s="11">
        <v>3259</v>
      </c>
      <c r="E156" s="11">
        <v>333</v>
      </c>
      <c r="F156" s="11">
        <v>3</v>
      </c>
      <c r="G156" s="21">
        <v>15</v>
      </c>
      <c r="H156" s="11"/>
      <c r="I156" s="11" t="s">
        <v>17</v>
      </c>
      <c r="J156" s="13">
        <v>15256510</v>
      </c>
      <c r="K156" s="21" t="s">
        <v>264</v>
      </c>
      <c r="L156" s="21" t="s">
        <v>311</v>
      </c>
      <c r="M156" s="22">
        <v>299900</v>
      </c>
      <c r="N156" s="15">
        <v>0.75</v>
      </c>
      <c r="O156" s="14">
        <f t="shared" si="7"/>
        <v>74975</v>
      </c>
      <c r="P156" s="11" t="s">
        <v>16</v>
      </c>
    </row>
    <row r="157" spans="1:16" x14ac:dyDescent="0.35">
      <c r="A157" s="11" t="s">
        <v>1031</v>
      </c>
      <c r="B157" s="12">
        <f t="shared" si="8"/>
        <v>46104</v>
      </c>
      <c r="C157" s="12">
        <f t="shared" si="9"/>
        <v>46113</v>
      </c>
      <c r="D157" s="11">
        <v>3259</v>
      </c>
      <c r="E157" s="11">
        <v>333</v>
      </c>
      <c r="F157" s="11">
        <v>3</v>
      </c>
      <c r="G157" s="21">
        <v>15</v>
      </c>
      <c r="H157" s="11"/>
      <c r="I157" s="11" t="s">
        <v>17</v>
      </c>
      <c r="J157" s="13">
        <v>15256529</v>
      </c>
      <c r="K157" s="21" t="s">
        <v>264</v>
      </c>
      <c r="L157" s="21" t="s">
        <v>312</v>
      </c>
      <c r="M157" s="22">
        <v>299900</v>
      </c>
      <c r="N157" s="15">
        <v>0.75</v>
      </c>
      <c r="O157" s="14">
        <f t="shared" si="7"/>
        <v>74975</v>
      </c>
      <c r="P157" s="11" t="s">
        <v>16</v>
      </c>
    </row>
    <row r="158" spans="1:16" x14ac:dyDescent="0.35">
      <c r="A158" s="11" t="s">
        <v>1031</v>
      </c>
      <c r="B158" s="12">
        <f t="shared" si="8"/>
        <v>46104</v>
      </c>
      <c r="C158" s="12">
        <f t="shared" si="9"/>
        <v>46113</v>
      </c>
      <c r="D158" s="11">
        <v>3259</v>
      </c>
      <c r="E158" s="11">
        <v>333</v>
      </c>
      <c r="F158" s="11">
        <v>3</v>
      </c>
      <c r="G158" s="21">
        <v>15</v>
      </c>
      <c r="H158" s="11"/>
      <c r="I158" s="11" t="s">
        <v>17</v>
      </c>
      <c r="J158" s="13">
        <v>15256538</v>
      </c>
      <c r="K158" s="21" t="s">
        <v>264</v>
      </c>
      <c r="L158" s="21" t="s">
        <v>313</v>
      </c>
      <c r="M158" s="22">
        <v>299900</v>
      </c>
      <c r="N158" s="15">
        <v>0.75</v>
      </c>
      <c r="O158" s="14">
        <f t="shared" si="7"/>
        <v>74975</v>
      </c>
      <c r="P158" s="11" t="s">
        <v>16</v>
      </c>
    </row>
    <row r="159" spans="1:16" x14ac:dyDescent="0.35">
      <c r="A159" s="11" t="s">
        <v>1031</v>
      </c>
      <c r="B159" s="12">
        <f t="shared" si="8"/>
        <v>46104</v>
      </c>
      <c r="C159" s="12">
        <f t="shared" si="9"/>
        <v>46113</v>
      </c>
      <c r="D159" s="11">
        <v>3259</v>
      </c>
      <c r="E159" s="11">
        <v>333</v>
      </c>
      <c r="F159" s="11">
        <v>3</v>
      </c>
      <c r="G159" s="21">
        <v>15</v>
      </c>
      <c r="H159" s="11"/>
      <c r="I159" s="11" t="s">
        <v>17</v>
      </c>
      <c r="J159" s="13">
        <v>15256547</v>
      </c>
      <c r="K159" s="21" t="s">
        <v>264</v>
      </c>
      <c r="L159" s="21" t="s">
        <v>314</v>
      </c>
      <c r="M159" s="22">
        <v>299900</v>
      </c>
      <c r="N159" s="15">
        <v>0.75</v>
      </c>
      <c r="O159" s="14">
        <f t="shared" si="7"/>
        <v>74975</v>
      </c>
      <c r="P159" s="11" t="s">
        <v>16</v>
      </c>
    </row>
    <row r="160" spans="1:16" x14ac:dyDescent="0.35">
      <c r="A160" s="11" t="s">
        <v>1031</v>
      </c>
      <c r="B160" s="12">
        <f t="shared" si="8"/>
        <v>46104</v>
      </c>
      <c r="C160" s="12">
        <f t="shared" si="9"/>
        <v>46113</v>
      </c>
      <c r="D160" s="11">
        <v>3259</v>
      </c>
      <c r="E160" s="11">
        <v>333</v>
      </c>
      <c r="F160" s="11">
        <v>3</v>
      </c>
      <c r="G160" s="21">
        <v>15</v>
      </c>
      <c r="H160" s="11"/>
      <c r="I160" s="11" t="s">
        <v>17</v>
      </c>
      <c r="J160" s="13">
        <v>15256556</v>
      </c>
      <c r="K160" s="21" t="s">
        <v>264</v>
      </c>
      <c r="L160" s="21" t="s">
        <v>315</v>
      </c>
      <c r="M160" s="22">
        <v>299900</v>
      </c>
      <c r="N160" s="15">
        <v>0.75</v>
      </c>
      <c r="O160" s="14">
        <f t="shared" si="7"/>
        <v>74975</v>
      </c>
      <c r="P160" s="11" t="s">
        <v>16</v>
      </c>
    </row>
    <row r="161" spans="1:16" x14ac:dyDescent="0.35">
      <c r="A161" s="11" t="s">
        <v>1031</v>
      </c>
      <c r="B161" s="12">
        <f t="shared" si="8"/>
        <v>46104</v>
      </c>
      <c r="C161" s="12">
        <f t="shared" si="9"/>
        <v>46113</v>
      </c>
      <c r="D161" s="11">
        <v>3259</v>
      </c>
      <c r="E161" s="11">
        <v>333</v>
      </c>
      <c r="F161" s="11">
        <v>3</v>
      </c>
      <c r="G161" s="21">
        <v>15</v>
      </c>
      <c r="H161" s="11"/>
      <c r="I161" s="11" t="s">
        <v>17</v>
      </c>
      <c r="J161" s="13">
        <v>15256565</v>
      </c>
      <c r="K161" s="21" t="s">
        <v>264</v>
      </c>
      <c r="L161" s="21" t="s">
        <v>316</v>
      </c>
      <c r="M161" s="22">
        <v>299900</v>
      </c>
      <c r="N161" s="15">
        <v>0.75</v>
      </c>
      <c r="O161" s="14">
        <f t="shared" si="7"/>
        <v>74975</v>
      </c>
      <c r="P161" s="11" t="s">
        <v>16</v>
      </c>
    </row>
    <row r="162" spans="1:16" s="23" customFormat="1" x14ac:dyDescent="0.35">
      <c r="A162" s="11" t="s">
        <v>1031</v>
      </c>
      <c r="B162" s="12">
        <f t="shared" si="8"/>
        <v>46104</v>
      </c>
      <c r="C162" s="12">
        <f t="shared" si="9"/>
        <v>46113</v>
      </c>
      <c r="D162" s="11">
        <v>3259</v>
      </c>
      <c r="E162" s="11">
        <v>333</v>
      </c>
      <c r="F162" s="11">
        <v>3</v>
      </c>
      <c r="G162" s="24">
        <v>5</v>
      </c>
      <c r="H162" s="25"/>
      <c r="I162" s="11" t="s">
        <v>17</v>
      </c>
      <c r="J162" s="11">
        <v>19551443</v>
      </c>
      <c r="K162" s="21" t="s">
        <v>365</v>
      </c>
      <c r="L162" s="11" t="s">
        <v>926</v>
      </c>
      <c r="M162" s="26">
        <v>279900</v>
      </c>
      <c r="N162" s="15">
        <v>0.75</v>
      </c>
      <c r="O162" s="14">
        <f t="shared" ref="O162" si="10">M162-(M162*N162)</f>
        <v>69975</v>
      </c>
      <c r="P162" s="11" t="s">
        <v>16</v>
      </c>
    </row>
    <row r="163" spans="1:16" s="27" customFormat="1" x14ac:dyDescent="0.35">
      <c r="A163" s="11" t="s">
        <v>1031</v>
      </c>
      <c r="B163" s="12">
        <f t="shared" si="8"/>
        <v>46104</v>
      </c>
      <c r="C163" s="12">
        <f t="shared" si="9"/>
        <v>46113</v>
      </c>
      <c r="D163" s="28">
        <v>3259</v>
      </c>
      <c r="E163" s="28">
        <v>333</v>
      </c>
      <c r="F163" s="28">
        <v>3</v>
      </c>
      <c r="G163" s="29">
        <v>14</v>
      </c>
      <c r="H163" s="29"/>
      <c r="I163" s="11" t="s">
        <v>17</v>
      </c>
      <c r="J163" s="29">
        <v>15390759</v>
      </c>
      <c r="K163" s="29" t="s">
        <v>164</v>
      </c>
      <c r="L163" s="29" t="s">
        <v>411</v>
      </c>
      <c r="M163" s="30">
        <v>219900</v>
      </c>
      <c r="N163" s="15">
        <v>0.75</v>
      </c>
      <c r="O163" s="32">
        <f>M163-(M163*N163)</f>
        <v>54975</v>
      </c>
      <c r="P163" s="28" t="s">
        <v>16</v>
      </c>
    </row>
    <row r="164" spans="1:16" s="27" customFormat="1" x14ac:dyDescent="0.35">
      <c r="A164" s="11" t="s">
        <v>1031</v>
      </c>
      <c r="B164" s="12">
        <f t="shared" si="8"/>
        <v>46104</v>
      </c>
      <c r="C164" s="12">
        <f t="shared" si="9"/>
        <v>46113</v>
      </c>
      <c r="D164" s="28">
        <v>3259</v>
      </c>
      <c r="E164" s="28">
        <v>333</v>
      </c>
      <c r="F164" s="28">
        <v>3</v>
      </c>
      <c r="G164" s="29">
        <v>14</v>
      </c>
      <c r="H164" s="29"/>
      <c r="I164" s="11" t="s">
        <v>17</v>
      </c>
      <c r="J164" s="29">
        <v>15390768</v>
      </c>
      <c r="K164" s="29" t="s">
        <v>164</v>
      </c>
      <c r="L164" s="29" t="s">
        <v>412</v>
      </c>
      <c r="M164" s="30">
        <v>219900</v>
      </c>
      <c r="N164" s="15">
        <v>0.75</v>
      </c>
      <c r="O164" s="32">
        <f t="shared" ref="O164:O204" si="11">M164-(M164*N164)</f>
        <v>54975</v>
      </c>
      <c r="P164" s="28" t="s">
        <v>16</v>
      </c>
    </row>
    <row r="165" spans="1:16" s="27" customFormat="1" x14ac:dyDescent="0.35">
      <c r="A165" s="11" t="s">
        <v>1031</v>
      </c>
      <c r="B165" s="12">
        <f t="shared" si="8"/>
        <v>46104</v>
      </c>
      <c r="C165" s="12">
        <f t="shared" si="9"/>
        <v>46113</v>
      </c>
      <c r="D165" s="28">
        <v>3259</v>
      </c>
      <c r="E165" s="28">
        <v>333</v>
      </c>
      <c r="F165" s="28">
        <v>3</v>
      </c>
      <c r="G165" s="29">
        <v>14</v>
      </c>
      <c r="H165" s="29"/>
      <c r="I165" s="11" t="s">
        <v>17</v>
      </c>
      <c r="J165" s="29">
        <v>15390777</v>
      </c>
      <c r="K165" s="29" t="s">
        <v>164</v>
      </c>
      <c r="L165" s="29" t="s">
        <v>413</v>
      </c>
      <c r="M165" s="30">
        <v>219900</v>
      </c>
      <c r="N165" s="15">
        <v>0.75</v>
      </c>
      <c r="O165" s="32">
        <f t="shared" si="11"/>
        <v>54975</v>
      </c>
      <c r="P165" s="28" t="s">
        <v>16</v>
      </c>
    </row>
    <row r="166" spans="1:16" s="27" customFormat="1" x14ac:dyDescent="0.35">
      <c r="A166" s="11" t="s">
        <v>1031</v>
      </c>
      <c r="B166" s="12">
        <f t="shared" si="8"/>
        <v>46104</v>
      </c>
      <c r="C166" s="12">
        <f t="shared" si="9"/>
        <v>46113</v>
      </c>
      <c r="D166" s="28">
        <v>3259</v>
      </c>
      <c r="E166" s="28">
        <v>333</v>
      </c>
      <c r="F166" s="28">
        <v>3</v>
      </c>
      <c r="G166" s="29">
        <v>14</v>
      </c>
      <c r="H166" s="29"/>
      <c r="I166" s="11" t="s">
        <v>17</v>
      </c>
      <c r="J166" s="29">
        <v>15390786</v>
      </c>
      <c r="K166" s="29" t="s">
        <v>164</v>
      </c>
      <c r="L166" s="29" t="s">
        <v>414</v>
      </c>
      <c r="M166" s="30">
        <v>219900</v>
      </c>
      <c r="N166" s="15">
        <v>0.75</v>
      </c>
      <c r="O166" s="32">
        <f t="shared" si="11"/>
        <v>54975</v>
      </c>
      <c r="P166" s="28" t="s">
        <v>16</v>
      </c>
    </row>
    <row r="167" spans="1:16" s="27" customFormat="1" x14ac:dyDescent="0.35">
      <c r="A167" s="11" t="s">
        <v>1031</v>
      </c>
      <c r="B167" s="12">
        <f t="shared" si="8"/>
        <v>46104</v>
      </c>
      <c r="C167" s="12">
        <f t="shared" si="9"/>
        <v>46113</v>
      </c>
      <c r="D167" s="28">
        <v>3259</v>
      </c>
      <c r="E167" s="28">
        <v>333</v>
      </c>
      <c r="F167" s="28">
        <v>3</v>
      </c>
      <c r="G167" s="29">
        <v>14</v>
      </c>
      <c r="H167" s="29"/>
      <c r="I167" s="11" t="s">
        <v>17</v>
      </c>
      <c r="J167" s="29">
        <v>15390795</v>
      </c>
      <c r="K167" s="29" t="s">
        <v>164</v>
      </c>
      <c r="L167" s="29" t="s">
        <v>415</v>
      </c>
      <c r="M167" s="30">
        <v>219900</v>
      </c>
      <c r="N167" s="15">
        <v>0.75</v>
      </c>
      <c r="O167" s="32">
        <f t="shared" si="11"/>
        <v>54975</v>
      </c>
      <c r="P167" s="28" t="s">
        <v>16</v>
      </c>
    </row>
    <row r="168" spans="1:16" s="27" customFormat="1" x14ac:dyDescent="0.35">
      <c r="A168" s="11" t="s">
        <v>1031</v>
      </c>
      <c r="B168" s="12">
        <f t="shared" si="8"/>
        <v>46104</v>
      </c>
      <c r="C168" s="12">
        <f t="shared" si="9"/>
        <v>46113</v>
      </c>
      <c r="D168" s="28">
        <v>3259</v>
      </c>
      <c r="E168" s="28">
        <v>333</v>
      </c>
      <c r="F168" s="28">
        <v>3</v>
      </c>
      <c r="G168" s="29">
        <v>14</v>
      </c>
      <c r="H168" s="29"/>
      <c r="I168" s="11" t="s">
        <v>17</v>
      </c>
      <c r="J168" s="29">
        <v>15390802</v>
      </c>
      <c r="K168" s="29" t="s">
        <v>164</v>
      </c>
      <c r="L168" s="29" t="s">
        <v>416</v>
      </c>
      <c r="M168" s="30">
        <v>219900</v>
      </c>
      <c r="N168" s="15">
        <v>0.75</v>
      </c>
      <c r="O168" s="32">
        <f t="shared" si="11"/>
        <v>54975</v>
      </c>
      <c r="P168" s="28" t="s">
        <v>16</v>
      </c>
    </row>
    <row r="169" spans="1:16" s="27" customFormat="1" x14ac:dyDescent="0.35">
      <c r="A169" s="11" t="s">
        <v>1031</v>
      </c>
      <c r="B169" s="12">
        <f t="shared" si="8"/>
        <v>46104</v>
      </c>
      <c r="C169" s="12">
        <f t="shared" si="9"/>
        <v>46113</v>
      </c>
      <c r="D169" s="28">
        <v>3259</v>
      </c>
      <c r="E169" s="28">
        <v>333</v>
      </c>
      <c r="F169" s="28">
        <v>3</v>
      </c>
      <c r="G169" s="29">
        <v>14</v>
      </c>
      <c r="H169" s="29"/>
      <c r="I169" s="11" t="s">
        <v>17</v>
      </c>
      <c r="J169" s="29">
        <v>45691172</v>
      </c>
      <c r="K169" s="29" t="s">
        <v>164</v>
      </c>
      <c r="L169" s="29" t="s">
        <v>417</v>
      </c>
      <c r="M169" s="30">
        <v>219900</v>
      </c>
      <c r="N169" s="15">
        <v>0.75</v>
      </c>
      <c r="O169" s="32">
        <f t="shared" si="11"/>
        <v>54975</v>
      </c>
      <c r="P169" s="28" t="s">
        <v>16</v>
      </c>
    </row>
    <row r="170" spans="1:16" s="27" customFormat="1" x14ac:dyDescent="0.35">
      <c r="A170" s="11" t="s">
        <v>1031</v>
      </c>
      <c r="B170" s="12">
        <f t="shared" si="8"/>
        <v>46104</v>
      </c>
      <c r="C170" s="12">
        <f t="shared" si="9"/>
        <v>46113</v>
      </c>
      <c r="D170" s="28">
        <v>3259</v>
      </c>
      <c r="E170" s="28">
        <v>333</v>
      </c>
      <c r="F170" s="28">
        <v>3</v>
      </c>
      <c r="G170" s="29">
        <v>14</v>
      </c>
      <c r="H170" s="29"/>
      <c r="I170" s="11" t="s">
        <v>17</v>
      </c>
      <c r="J170" s="29">
        <v>45691181</v>
      </c>
      <c r="K170" s="29" t="s">
        <v>164</v>
      </c>
      <c r="L170" s="29" t="s">
        <v>418</v>
      </c>
      <c r="M170" s="30">
        <v>219900</v>
      </c>
      <c r="N170" s="15">
        <v>0.75</v>
      </c>
      <c r="O170" s="32">
        <f t="shared" si="11"/>
        <v>54975</v>
      </c>
      <c r="P170" s="28" t="s">
        <v>16</v>
      </c>
    </row>
    <row r="171" spans="1:16" s="27" customFormat="1" x14ac:dyDescent="0.35">
      <c r="A171" s="11" t="s">
        <v>1031</v>
      </c>
      <c r="B171" s="12">
        <f t="shared" si="8"/>
        <v>46104</v>
      </c>
      <c r="C171" s="12">
        <f t="shared" si="9"/>
        <v>46113</v>
      </c>
      <c r="D171" s="28">
        <v>3259</v>
      </c>
      <c r="E171" s="28">
        <v>333</v>
      </c>
      <c r="F171" s="28">
        <v>3</v>
      </c>
      <c r="G171" s="29">
        <v>14</v>
      </c>
      <c r="H171" s="29"/>
      <c r="I171" s="11" t="s">
        <v>17</v>
      </c>
      <c r="J171" s="29">
        <v>45691190</v>
      </c>
      <c r="K171" s="29" t="s">
        <v>164</v>
      </c>
      <c r="L171" s="29" t="s">
        <v>419</v>
      </c>
      <c r="M171" s="30">
        <v>219900</v>
      </c>
      <c r="N171" s="15">
        <v>0.75</v>
      </c>
      <c r="O171" s="32">
        <f t="shared" si="11"/>
        <v>54975</v>
      </c>
      <c r="P171" s="28" t="s">
        <v>16</v>
      </c>
    </row>
    <row r="172" spans="1:16" s="27" customFormat="1" x14ac:dyDescent="0.35">
      <c r="A172" s="11" t="s">
        <v>1031</v>
      </c>
      <c r="B172" s="12">
        <f t="shared" si="8"/>
        <v>46104</v>
      </c>
      <c r="C172" s="12">
        <f t="shared" si="9"/>
        <v>46113</v>
      </c>
      <c r="D172" s="28">
        <v>3259</v>
      </c>
      <c r="E172" s="28">
        <v>333</v>
      </c>
      <c r="F172" s="28">
        <v>3</v>
      </c>
      <c r="G172" s="29">
        <v>14</v>
      </c>
      <c r="H172" s="29"/>
      <c r="I172" s="11" t="s">
        <v>17</v>
      </c>
      <c r="J172" s="29">
        <v>45691207</v>
      </c>
      <c r="K172" s="29" t="s">
        <v>164</v>
      </c>
      <c r="L172" s="29" t="s">
        <v>420</v>
      </c>
      <c r="M172" s="30">
        <v>219900</v>
      </c>
      <c r="N172" s="15">
        <v>0.75</v>
      </c>
      <c r="O172" s="32">
        <f t="shared" si="11"/>
        <v>54975</v>
      </c>
      <c r="P172" s="28" t="s">
        <v>16</v>
      </c>
    </row>
    <row r="173" spans="1:16" s="27" customFormat="1" x14ac:dyDescent="0.35">
      <c r="A173" s="11" t="s">
        <v>1031</v>
      </c>
      <c r="B173" s="12">
        <f t="shared" si="8"/>
        <v>46104</v>
      </c>
      <c r="C173" s="12">
        <f t="shared" si="9"/>
        <v>46113</v>
      </c>
      <c r="D173" s="28">
        <v>3259</v>
      </c>
      <c r="E173" s="28">
        <v>333</v>
      </c>
      <c r="F173" s="28">
        <v>3</v>
      </c>
      <c r="G173" s="29">
        <v>14</v>
      </c>
      <c r="H173" s="29"/>
      <c r="I173" s="11" t="s">
        <v>17</v>
      </c>
      <c r="J173" s="29">
        <v>45691216</v>
      </c>
      <c r="K173" s="29" t="s">
        <v>164</v>
      </c>
      <c r="L173" s="29" t="s">
        <v>421</v>
      </c>
      <c r="M173" s="30">
        <v>219900</v>
      </c>
      <c r="N173" s="15">
        <v>0.75</v>
      </c>
      <c r="O173" s="32">
        <f t="shared" si="11"/>
        <v>54975</v>
      </c>
      <c r="P173" s="28" t="s">
        <v>16</v>
      </c>
    </row>
    <row r="174" spans="1:16" s="27" customFormat="1" x14ac:dyDescent="0.35">
      <c r="A174" s="11" t="s">
        <v>1031</v>
      </c>
      <c r="B174" s="12">
        <f t="shared" si="8"/>
        <v>46104</v>
      </c>
      <c r="C174" s="12">
        <f t="shared" si="9"/>
        <v>46113</v>
      </c>
      <c r="D174" s="28">
        <v>3259</v>
      </c>
      <c r="E174" s="28">
        <v>333</v>
      </c>
      <c r="F174" s="28">
        <v>3</v>
      </c>
      <c r="G174" s="29">
        <v>14</v>
      </c>
      <c r="H174" s="29"/>
      <c r="I174" s="11" t="s">
        <v>17</v>
      </c>
      <c r="J174" s="29">
        <v>45691225</v>
      </c>
      <c r="K174" s="29" t="s">
        <v>164</v>
      </c>
      <c r="L174" s="29" t="s">
        <v>422</v>
      </c>
      <c r="M174" s="30">
        <v>219900</v>
      </c>
      <c r="N174" s="15">
        <v>0.75</v>
      </c>
      <c r="O174" s="32">
        <f t="shared" si="11"/>
        <v>54975</v>
      </c>
      <c r="P174" s="28" t="s">
        <v>16</v>
      </c>
    </row>
    <row r="175" spans="1:16" s="23" customFormat="1" x14ac:dyDescent="0.35">
      <c r="A175" s="11" t="s">
        <v>1031</v>
      </c>
      <c r="B175" s="12">
        <f t="shared" si="8"/>
        <v>46104</v>
      </c>
      <c r="C175" s="12">
        <f t="shared" si="9"/>
        <v>46113</v>
      </c>
      <c r="D175" s="28">
        <v>3259</v>
      </c>
      <c r="E175" s="28">
        <v>333</v>
      </c>
      <c r="F175" s="28">
        <v>3</v>
      </c>
      <c r="G175" s="29">
        <v>14</v>
      </c>
      <c r="H175" s="29"/>
      <c r="I175" s="11" t="s">
        <v>17</v>
      </c>
      <c r="J175" s="24">
        <v>15256190</v>
      </c>
      <c r="K175" s="24" t="s">
        <v>151</v>
      </c>
      <c r="L175" s="24" t="s">
        <v>152</v>
      </c>
      <c r="M175" s="33">
        <v>299900</v>
      </c>
      <c r="N175" s="15">
        <v>0.75</v>
      </c>
      <c r="O175" s="32">
        <f t="shared" si="11"/>
        <v>74975</v>
      </c>
      <c r="P175" s="28" t="s">
        <v>16</v>
      </c>
    </row>
    <row r="176" spans="1:16" s="23" customFormat="1" x14ac:dyDescent="0.35">
      <c r="A176" s="11" t="s">
        <v>1031</v>
      </c>
      <c r="B176" s="12">
        <f t="shared" si="8"/>
        <v>46104</v>
      </c>
      <c r="C176" s="12">
        <f t="shared" si="9"/>
        <v>46113</v>
      </c>
      <c r="D176" s="28">
        <v>3259</v>
      </c>
      <c r="E176" s="28">
        <v>333</v>
      </c>
      <c r="F176" s="28">
        <v>3</v>
      </c>
      <c r="G176" s="29">
        <v>14</v>
      </c>
      <c r="H176" s="29"/>
      <c r="I176" s="11" t="s">
        <v>17</v>
      </c>
      <c r="J176" s="24">
        <v>15256207</v>
      </c>
      <c r="K176" s="24" t="s">
        <v>151</v>
      </c>
      <c r="L176" s="24" t="s">
        <v>153</v>
      </c>
      <c r="M176" s="33">
        <v>299900</v>
      </c>
      <c r="N176" s="15">
        <v>0.75</v>
      </c>
      <c r="O176" s="32">
        <f t="shared" si="11"/>
        <v>74975</v>
      </c>
      <c r="P176" s="28" t="s">
        <v>16</v>
      </c>
    </row>
    <row r="177" spans="1:16" s="23" customFormat="1" x14ac:dyDescent="0.35">
      <c r="A177" s="11" t="s">
        <v>1031</v>
      </c>
      <c r="B177" s="12">
        <f t="shared" si="8"/>
        <v>46104</v>
      </c>
      <c r="C177" s="12">
        <f t="shared" si="9"/>
        <v>46113</v>
      </c>
      <c r="D177" s="28">
        <v>3259</v>
      </c>
      <c r="E177" s="28">
        <v>333</v>
      </c>
      <c r="F177" s="28">
        <v>3</v>
      </c>
      <c r="G177" s="29">
        <v>14</v>
      </c>
      <c r="H177" s="29"/>
      <c r="I177" s="11" t="s">
        <v>17</v>
      </c>
      <c r="J177" s="24">
        <v>15256216</v>
      </c>
      <c r="K177" s="24" t="s">
        <v>151</v>
      </c>
      <c r="L177" s="24" t="s">
        <v>154</v>
      </c>
      <c r="M177" s="33">
        <v>299900</v>
      </c>
      <c r="N177" s="15">
        <v>0.75</v>
      </c>
      <c r="O177" s="32">
        <f t="shared" si="11"/>
        <v>74975</v>
      </c>
      <c r="P177" s="28" t="s">
        <v>16</v>
      </c>
    </row>
    <row r="178" spans="1:16" s="23" customFormat="1" x14ac:dyDescent="0.35">
      <c r="A178" s="11" t="s">
        <v>1031</v>
      </c>
      <c r="B178" s="12">
        <f t="shared" si="8"/>
        <v>46104</v>
      </c>
      <c r="C178" s="12">
        <f t="shared" si="9"/>
        <v>46113</v>
      </c>
      <c r="D178" s="28">
        <v>3259</v>
      </c>
      <c r="E178" s="28">
        <v>333</v>
      </c>
      <c r="F178" s="28">
        <v>3</v>
      </c>
      <c r="G178" s="29">
        <v>14</v>
      </c>
      <c r="H178" s="29"/>
      <c r="I178" s="11" t="s">
        <v>17</v>
      </c>
      <c r="J178" s="24">
        <v>15256243</v>
      </c>
      <c r="K178" s="24" t="s">
        <v>151</v>
      </c>
      <c r="L178" s="24" t="s">
        <v>157</v>
      </c>
      <c r="M178" s="33">
        <v>299900</v>
      </c>
      <c r="N178" s="15">
        <v>0.75</v>
      </c>
      <c r="O178" s="32">
        <f t="shared" si="11"/>
        <v>74975</v>
      </c>
      <c r="P178" s="28" t="s">
        <v>16</v>
      </c>
    </row>
    <row r="179" spans="1:16" s="23" customFormat="1" x14ac:dyDescent="0.35">
      <c r="A179" s="11" t="s">
        <v>1031</v>
      </c>
      <c r="B179" s="12">
        <f t="shared" si="8"/>
        <v>46104</v>
      </c>
      <c r="C179" s="12">
        <f t="shared" si="9"/>
        <v>46113</v>
      </c>
      <c r="D179" s="28">
        <v>3259</v>
      </c>
      <c r="E179" s="28">
        <v>333</v>
      </c>
      <c r="F179" s="28">
        <v>3</v>
      </c>
      <c r="G179" s="29">
        <v>14</v>
      </c>
      <c r="H179" s="29"/>
      <c r="I179" s="11" t="s">
        <v>17</v>
      </c>
      <c r="J179" s="24">
        <v>15257046</v>
      </c>
      <c r="K179" s="24" t="s">
        <v>151</v>
      </c>
      <c r="L179" s="24" t="s">
        <v>159</v>
      </c>
      <c r="M179" s="33">
        <v>299900</v>
      </c>
      <c r="N179" s="15">
        <v>0.75</v>
      </c>
      <c r="O179" s="32">
        <f t="shared" si="11"/>
        <v>74975</v>
      </c>
      <c r="P179" s="28" t="s">
        <v>16</v>
      </c>
    </row>
    <row r="180" spans="1:16" s="23" customFormat="1" x14ac:dyDescent="0.35">
      <c r="A180" s="11" t="s">
        <v>1031</v>
      </c>
      <c r="B180" s="12">
        <f t="shared" si="8"/>
        <v>46104</v>
      </c>
      <c r="C180" s="12">
        <f t="shared" si="9"/>
        <v>46113</v>
      </c>
      <c r="D180" s="28">
        <v>3259</v>
      </c>
      <c r="E180" s="28">
        <v>333</v>
      </c>
      <c r="F180" s="28">
        <v>3</v>
      </c>
      <c r="G180" s="29">
        <v>14</v>
      </c>
      <c r="H180" s="29"/>
      <c r="I180" s="11" t="s">
        <v>17</v>
      </c>
      <c r="J180" s="24">
        <v>15257064</v>
      </c>
      <c r="K180" s="24" t="s">
        <v>151</v>
      </c>
      <c r="L180" s="24" t="s">
        <v>161</v>
      </c>
      <c r="M180" s="33">
        <v>299900</v>
      </c>
      <c r="N180" s="15">
        <v>0.75</v>
      </c>
      <c r="O180" s="32">
        <f t="shared" si="11"/>
        <v>74975</v>
      </c>
      <c r="P180" s="28" t="s">
        <v>16</v>
      </c>
    </row>
    <row r="181" spans="1:16" s="23" customFormat="1" x14ac:dyDescent="0.35">
      <c r="A181" s="11" t="s">
        <v>1031</v>
      </c>
      <c r="B181" s="12">
        <f t="shared" si="8"/>
        <v>46104</v>
      </c>
      <c r="C181" s="12">
        <f t="shared" si="9"/>
        <v>46113</v>
      </c>
      <c r="D181" s="28">
        <v>3259</v>
      </c>
      <c r="E181" s="28">
        <v>333</v>
      </c>
      <c r="F181" s="28">
        <v>3</v>
      </c>
      <c r="G181" s="29">
        <v>14</v>
      </c>
      <c r="H181" s="29"/>
      <c r="I181" s="11" t="s">
        <v>17</v>
      </c>
      <c r="J181" s="24">
        <v>15257073</v>
      </c>
      <c r="K181" s="24" t="s">
        <v>151</v>
      </c>
      <c r="L181" s="24" t="s">
        <v>162</v>
      </c>
      <c r="M181" s="33">
        <v>299900</v>
      </c>
      <c r="N181" s="15">
        <v>0.75</v>
      </c>
      <c r="O181" s="32">
        <f t="shared" si="11"/>
        <v>74975</v>
      </c>
      <c r="P181" s="28" t="s">
        <v>16</v>
      </c>
    </row>
    <row r="182" spans="1:16" s="23" customFormat="1" x14ac:dyDescent="0.35">
      <c r="A182" s="11" t="s">
        <v>1031</v>
      </c>
      <c r="B182" s="12">
        <f t="shared" si="8"/>
        <v>46104</v>
      </c>
      <c r="C182" s="12">
        <f t="shared" si="9"/>
        <v>46113</v>
      </c>
      <c r="D182" s="28">
        <v>3259</v>
      </c>
      <c r="E182" s="28">
        <v>333</v>
      </c>
      <c r="F182" s="28">
        <v>3</v>
      </c>
      <c r="G182" s="29">
        <v>14</v>
      </c>
      <c r="H182" s="29"/>
      <c r="I182" s="11" t="s">
        <v>17</v>
      </c>
      <c r="J182" s="24">
        <v>15257082</v>
      </c>
      <c r="K182" s="24" t="s">
        <v>151</v>
      </c>
      <c r="L182" s="24" t="s">
        <v>163</v>
      </c>
      <c r="M182" s="33">
        <v>299900</v>
      </c>
      <c r="N182" s="15">
        <v>0.75</v>
      </c>
      <c r="O182" s="32">
        <f t="shared" si="11"/>
        <v>74975</v>
      </c>
      <c r="P182" s="28" t="s">
        <v>16</v>
      </c>
    </row>
    <row r="183" spans="1:16" s="23" customFormat="1" x14ac:dyDescent="0.35">
      <c r="A183" s="11" t="s">
        <v>1031</v>
      </c>
      <c r="B183" s="12">
        <f t="shared" si="8"/>
        <v>46104</v>
      </c>
      <c r="C183" s="12">
        <f t="shared" si="9"/>
        <v>46113</v>
      </c>
      <c r="D183" s="11">
        <v>3259</v>
      </c>
      <c r="E183" s="11">
        <v>333</v>
      </c>
      <c r="F183" s="11">
        <v>3</v>
      </c>
      <c r="G183" s="21">
        <v>14</v>
      </c>
      <c r="H183" s="11"/>
      <c r="I183" s="11" t="s">
        <v>17</v>
      </c>
      <c r="J183" s="34">
        <v>15256225</v>
      </c>
      <c r="K183" s="21" t="s">
        <v>151</v>
      </c>
      <c r="L183" s="21" t="s">
        <v>155</v>
      </c>
      <c r="M183" s="22">
        <v>299900</v>
      </c>
      <c r="N183" s="15">
        <v>0.75</v>
      </c>
      <c r="O183" s="32">
        <f t="shared" si="11"/>
        <v>74975</v>
      </c>
      <c r="P183" s="28" t="s">
        <v>16</v>
      </c>
    </row>
    <row r="184" spans="1:16" s="23" customFormat="1" x14ac:dyDescent="0.35">
      <c r="A184" s="11" t="s">
        <v>1031</v>
      </c>
      <c r="B184" s="12">
        <f t="shared" si="8"/>
        <v>46104</v>
      </c>
      <c r="C184" s="12">
        <f t="shared" si="9"/>
        <v>46113</v>
      </c>
      <c r="D184" s="11">
        <v>3259</v>
      </c>
      <c r="E184" s="11">
        <v>333</v>
      </c>
      <c r="F184" s="11">
        <v>3</v>
      </c>
      <c r="G184" s="21">
        <v>14</v>
      </c>
      <c r="H184" s="11"/>
      <c r="I184" s="11" t="s">
        <v>17</v>
      </c>
      <c r="J184" s="34">
        <v>15256234</v>
      </c>
      <c r="K184" s="21" t="s">
        <v>151</v>
      </c>
      <c r="L184" s="21" t="s">
        <v>156</v>
      </c>
      <c r="M184" s="22">
        <v>299900</v>
      </c>
      <c r="N184" s="15">
        <v>0.75</v>
      </c>
      <c r="O184" s="32">
        <f t="shared" si="11"/>
        <v>74975</v>
      </c>
      <c r="P184" s="28" t="s">
        <v>16</v>
      </c>
    </row>
    <row r="185" spans="1:16" s="23" customFormat="1" x14ac:dyDescent="0.35">
      <c r="A185" s="11" t="s">
        <v>1031</v>
      </c>
      <c r="B185" s="12">
        <f t="shared" si="8"/>
        <v>46104</v>
      </c>
      <c r="C185" s="12">
        <f t="shared" si="9"/>
        <v>46113</v>
      </c>
      <c r="D185" s="11">
        <v>3259</v>
      </c>
      <c r="E185" s="11">
        <v>333</v>
      </c>
      <c r="F185" s="11">
        <v>3</v>
      </c>
      <c r="G185" s="21">
        <v>14</v>
      </c>
      <c r="H185" s="11"/>
      <c r="I185" s="11" t="s">
        <v>17</v>
      </c>
      <c r="J185" s="34">
        <v>15257037</v>
      </c>
      <c r="K185" s="21" t="s">
        <v>151</v>
      </c>
      <c r="L185" s="21" t="s">
        <v>158</v>
      </c>
      <c r="M185" s="22">
        <v>299900</v>
      </c>
      <c r="N185" s="15">
        <v>0.75</v>
      </c>
      <c r="O185" s="32">
        <f t="shared" si="11"/>
        <v>74975</v>
      </c>
      <c r="P185" s="28" t="s">
        <v>16</v>
      </c>
    </row>
    <row r="186" spans="1:16" s="23" customFormat="1" x14ac:dyDescent="0.35">
      <c r="A186" s="11" t="s">
        <v>1031</v>
      </c>
      <c r="B186" s="12">
        <f t="shared" si="8"/>
        <v>46104</v>
      </c>
      <c r="C186" s="12">
        <f t="shared" si="9"/>
        <v>46113</v>
      </c>
      <c r="D186" s="11">
        <v>3259</v>
      </c>
      <c r="E186" s="11">
        <v>333</v>
      </c>
      <c r="F186" s="11">
        <v>3</v>
      </c>
      <c r="G186" s="21">
        <v>14</v>
      </c>
      <c r="H186" s="11"/>
      <c r="I186" s="11" t="s">
        <v>17</v>
      </c>
      <c r="J186" s="34">
        <v>15257055</v>
      </c>
      <c r="K186" s="21" t="s">
        <v>151</v>
      </c>
      <c r="L186" s="21" t="s">
        <v>160</v>
      </c>
      <c r="M186" s="22">
        <v>299900</v>
      </c>
      <c r="N186" s="15">
        <v>0.75</v>
      </c>
      <c r="O186" s="32">
        <f t="shared" si="11"/>
        <v>74975</v>
      </c>
      <c r="P186" s="28" t="s">
        <v>16</v>
      </c>
    </row>
    <row r="187" spans="1:16" s="23" customFormat="1" x14ac:dyDescent="0.35">
      <c r="A187" s="11" t="s">
        <v>1031</v>
      </c>
      <c r="B187" s="12">
        <f t="shared" si="8"/>
        <v>46104</v>
      </c>
      <c r="C187" s="12">
        <f t="shared" si="9"/>
        <v>46113</v>
      </c>
      <c r="D187" s="28">
        <v>3259</v>
      </c>
      <c r="E187" s="28">
        <v>333</v>
      </c>
      <c r="F187" s="28">
        <v>3</v>
      </c>
      <c r="G187" s="29">
        <v>14</v>
      </c>
      <c r="H187" s="29"/>
      <c r="I187" s="11" t="s">
        <v>17</v>
      </c>
      <c r="J187" s="24">
        <v>17134504</v>
      </c>
      <c r="K187" s="24" t="s">
        <v>244</v>
      </c>
      <c r="L187" s="24" t="s">
        <v>245</v>
      </c>
      <c r="M187" s="33">
        <v>299900</v>
      </c>
      <c r="N187" s="15">
        <v>0.75</v>
      </c>
      <c r="O187" s="32">
        <f t="shared" si="11"/>
        <v>74975</v>
      </c>
      <c r="P187" s="28" t="s">
        <v>16</v>
      </c>
    </row>
    <row r="188" spans="1:16" s="23" customFormat="1" x14ac:dyDescent="0.35">
      <c r="A188" s="11" t="s">
        <v>1031</v>
      </c>
      <c r="B188" s="12">
        <f t="shared" si="8"/>
        <v>46104</v>
      </c>
      <c r="C188" s="12">
        <f t="shared" si="9"/>
        <v>46113</v>
      </c>
      <c r="D188" s="28">
        <v>3259</v>
      </c>
      <c r="E188" s="28">
        <v>333</v>
      </c>
      <c r="F188" s="28">
        <v>3</v>
      </c>
      <c r="G188" s="29">
        <v>14</v>
      </c>
      <c r="H188" s="29"/>
      <c r="I188" s="11" t="s">
        <v>17</v>
      </c>
      <c r="J188" s="24">
        <v>17134513</v>
      </c>
      <c r="K188" s="24" t="s">
        <v>244</v>
      </c>
      <c r="L188" s="24" t="s">
        <v>246</v>
      </c>
      <c r="M188" s="33">
        <v>299900</v>
      </c>
      <c r="N188" s="15">
        <v>0.75</v>
      </c>
      <c r="O188" s="32">
        <f t="shared" si="11"/>
        <v>74975</v>
      </c>
      <c r="P188" s="28" t="s">
        <v>16</v>
      </c>
    </row>
    <row r="189" spans="1:16" s="23" customFormat="1" x14ac:dyDescent="0.35">
      <c r="A189" s="11" t="s">
        <v>1031</v>
      </c>
      <c r="B189" s="12">
        <f t="shared" si="8"/>
        <v>46104</v>
      </c>
      <c r="C189" s="12">
        <f t="shared" si="9"/>
        <v>46113</v>
      </c>
      <c r="D189" s="28">
        <v>3259</v>
      </c>
      <c r="E189" s="28">
        <v>333</v>
      </c>
      <c r="F189" s="28">
        <v>3</v>
      </c>
      <c r="G189" s="29">
        <v>14</v>
      </c>
      <c r="H189" s="29"/>
      <c r="I189" s="11" t="s">
        <v>17</v>
      </c>
      <c r="J189" s="24">
        <v>17134522</v>
      </c>
      <c r="K189" s="24" t="s">
        <v>244</v>
      </c>
      <c r="L189" s="24" t="s">
        <v>247</v>
      </c>
      <c r="M189" s="33">
        <v>299900</v>
      </c>
      <c r="N189" s="15">
        <v>0.75</v>
      </c>
      <c r="O189" s="32">
        <f t="shared" si="11"/>
        <v>74975</v>
      </c>
      <c r="P189" s="28" t="s">
        <v>16</v>
      </c>
    </row>
    <row r="190" spans="1:16" s="23" customFormat="1" x14ac:dyDescent="0.35">
      <c r="A190" s="11" t="s">
        <v>1031</v>
      </c>
      <c r="B190" s="12">
        <f t="shared" si="8"/>
        <v>46104</v>
      </c>
      <c r="C190" s="12">
        <f t="shared" si="9"/>
        <v>46113</v>
      </c>
      <c r="D190" s="28">
        <v>3259</v>
      </c>
      <c r="E190" s="28">
        <v>333</v>
      </c>
      <c r="F190" s="28">
        <v>3</v>
      </c>
      <c r="G190" s="29">
        <v>14</v>
      </c>
      <c r="H190" s="29"/>
      <c r="I190" s="11" t="s">
        <v>17</v>
      </c>
      <c r="J190" s="24">
        <v>17134531</v>
      </c>
      <c r="K190" s="24" t="s">
        <v>244</v>
      </c>
      <c r="L190" s="24" t="s">
        <v>248</v>
      </c>
      <c r="M190" s="33">
        <v>299900</v>
      </c>
      <c r="N190" s="15">
        <v>0.75</v>
      </c>
      <c r="O190" s="32">
        <f t="shared" si="11"/>
        <v>74975</v>
      </c>
      <c r="P190" s="28" t="s">
        <v>16</v>
      </c>
    </row>
    <row r="191" spans="1:16" s="23" customFormat="1" x14ac:dyDescent="0.35">
      <c r="A191" s="11" t="s">
        <v>1031</v>
      </c>
      <c r="B191" s="12">
        <f t="shared" si="8"/>
        <v>46104</v>
      </c>
      <c r="C191" s="12">
        <f t="shared" si="9"/>
        <v>46113</v>
      </c>
      <c r="D191" s="28">
        <v>3259</v>
      </c>
      <c r="E191" s="28">
        <v>333</v>
      </c>
      <c r="F191" s="28">
        <v>3</v>
      </c>
      <c r="G191" s="29">
        <v>14</v>
      </c>
      <c r="H191" s="29"/>
      <c r="I191" s="11" t="s">
        <v>17</v>
      </c>
      <c r="J191" s="24">
        <v>17134540</v>
      </c>
      <c r="K191" s="24" t="s">
        <v>244</v>
      </c>
      <c r="L191" s="24" t="s">
        <v>249</v>
      </c>
      <c r="M191" s="33">
        <v>299900</v>
      </c>
      <c r="N191" s="15">
        <v>0.75</v>
      </c>
      <c r="O191" s="32">
        <f t="shared" si="11"/>
        <v>74975</v>
      </c>
      <c r="P191" s="28" t="s">
        <v>16</v>
      </c>
    </row>
    <row r="192" spans="1:16" s="23" customFormat="1" x14ac:dyDescent="0.35">
      <c r="A192" s="11" t="s">
        <v>1031</v>
      </c>
      <c r="B192" s="12">
        <f t="shared" si="8"/>
        <v>46104</v>
      </c>
      <c r="C192" s="12">
        <f t="shared" si="9"/>
        <v>46113</v>
      </c>
      <c r="D192" s="28">
        <v>3259</v>
      </c>
      <c r="E192" s="28">
        <v>333</v>
      </c>
      <c r="F192" s="28">
        <v>3</v>
      </c>
      <c r="G192" s="29">
        <v>14</v>
      </c>
      <c r="H192" s="29"/>
      <c r="I192" s="11" t="s">
        <v>17</v>
      </c>
      <c r="J192" s="24">
        <v>17134559</v>
      </c>
      <c r="K192" s="24" t="s">
        <v>244</v>
      </c>
      <c r="L192" s="24" t="s">
        <v>250</v>
      </c>
      <c r="M192" s="33">
        <v>299900</v>
      </c>
      <c r="N192" s="15">
        <v>0.75</v>
      </c>
      <c r="O192" s="32">
        <f t="shared" si="11"/>
        <v>74975</v>
      </c>
      <c r="P192" s="28" t="s">
        <v>16</v>
      </c>
    </row>
    <row r="193" spans="1:16" s="23" customFormat="1" x14ac:dyDescent="0.35">
      <c r="A193" s="11" t="s">
        <v>1031</v>
      </c>
      <c r="B193" s="12">
        <f t="shared" si="8"/>
        <v>46104</v>
      </c>
      <c r="C193" s="12">
        <f t="shared" si="9"/>
        <v>46113</v>
      </c>
      <c r="D193" s="28">
        <v>3259</v>
      </c>
      <c r="E193" s="28">
        <v>333</v>
      </c>
      <c r="F193" s="28">
        <v>3</v>
      </c>
      <c r="G193" s="29">
        <v>14</v>
      </c>
      <c r="H193" s="29"/>
      <c r="I193" s="11" t="s">
        <v>17</v>
      </c>
      <c r="J193" s="24">
        <v>17134568</v>
      </c>
      <c r="K193" s="24" t="s">
        <v>244</v>
      </c>
      <c r="L193" s="24" t="s">
        <v>251</v>
      </c>
      <c r="M193" s="33">
        <v>299900</v>
      </c>
      <c r="N193" s="15">
        <v>0.75</v>
      </c>
      <c r="O193" s="32">
        <f t="shared" si="11"/>
        <v>74975</v>
      </c>
      <c r="P193" s="28" t="s">
        <v>16</v>
      </c>
    </row>
    <row r="194" spans="1:16" s="23" customFormat="1" x14ac:dyDescent="0.35">
      <c r="A194" s="11" t="s">
        <v>1031</v>
      </c>
      <c r="B194" s="12">
        <f t="shared" si="8"/>
        <v>46104</v>
      </c>
      <c r="C194" s="12">
        <f t="shared" si="9"/>
        <v>46113</v>
      </c>
      <c r="D194" s="28">
        <v>3259</v>
      </c>
      <c r="E194" s="28">
        <v>333</v>
      </c>
      <c r="F194" s="28">
        <v>3</v>
      </c>
      <c r="G194" s="29">
        <v>14</v>
      </c>
      <c r="H194" s="29"/>
      <c r="I194" s="11" t="s">
        <v>17</v>
      </c>
      <c r="J194" s="24">
        <v>17134577</v>
      </c>
      <c r="K194" s="24" t="s">
        <v>244</v>
      </c>
      <c r="L194" s="24" t="s">
        <v>252</v>
      </c>
      <c r="M194" s="33">
        <v>299900</v>
      </c>
      <c r="N194" s="15">
        <v>0.75</v>
      </c>
      <c r="O194" s="32">
        <f t="shared" si="11"/>
        <v>74975</v>
      </c>
      <c r="P194" s="28" t="s">
        <v>16</v>
      </c>
    </row>
    <row r="195" spans="1:16" s="23" customFormat="1" x14ac:dyDescent="0.35">
      <c r="A195" s="11" t="s">
        <v>1031</v>
      </c>
      <c r="B195" s="12">
        <f t="shared" si="8"/>
        <v>46104</v>
      </c>
      <c r="C195" s="12">
        <f t="shared" si="9"/>
        <v>46113</v>
      </c>
      <c r="D195" s="28">
        <v>3259</v>
      </c>
      <c r="E195" s="28">
        <v>333</v>
      </c>
      <c r="F195" s="28">
        <v>3</v>
      </c>
      <c r="G195" s="29">
        <v>14</v>
      </c>
      <c r="H195" s="29"/>
      <c r="I195" s="11" t="s">
        <v>17</v>
      </c>
      <c r="J195" s="24">
        <v>17134586</v>
      </c>
      <c r="K195" s="24" t="s">
        <v>244</v>
      </c>
      <c r="L195" s="24" t="s">
        <v>253</v>
      </c>
      <c r="M195" s="33">
        <v>299900</v>
      </c>
      <c r="N195" s="15">
        <v>0.75</v>
      </c>
      <c r="O195" s="32">
        <f t="shared" si="11"/>
        <v>74975</v>
      </c>
      <c r="P195" s="28" t="s">
        <v>16</v>
      </c>
    </row>
    <row r="196" spans="1:16" s="23" customFormat="1" x14ac:dyDescent="0.35">
      <c r="A196" s="11" t="s">
        <v>1031</v>
      </c>
      <c r="B196" s="12">
        <f t="shared" ref="B196:C211" si="12">B195</f>
        <v>46104</v>
      </c>
      <c r="C196" s="12">
        <f t="shared" si="12"/>
        <v>46113</v>
      </c>
      <c r="D196" s="28">
        <v>3259</v>
      </c>
      <c r="E196" s="28">
        <v>333</v>
      </c>
      <c r="F196" s="28">
        <v>3</v>
      </c>
      <c r="G196" s="29">
        <v>14</v>
      </c>
      <c r="H196" s="29"/>
      <c r="I196" s="11" t="s">
        <v>17</v>
      </c>
      <c r="J196" s="24">
        <v>17134595</v>
      </c>
      <c r="K196" s="24" t="s">
        <v>244</v>
      </c>
      <c r="L196" s="24" t="s">
        <v>254</v>
      </c>
      <c r="M196" s="33">
        <v>299900</v>
      </c>
      <c r="N196" s="15">
        <v>0.75</v>
      </c>
      <c r="O196" s="32">
        <f t="shared" si="11"/>
        <v>74975</v>
      </c>
      <c r="P196" s="28" t="s">
        <v>16</v>
      </c>
    </row>
    <row r="197" spans="1:16" s="23" customFormat="1" x14ac:dyDescent="0.35">
      <c r="A197" s="11" t="s">
        <v>1031</v>
      </c>
      <c r="B197" s="12">
        <f t="shared" si="12"/>
        <v>46104</v>
      </c>
      <c r="C197" s="12">
        <f t="shared" si="12"/>
        <v>46113</v>
      </c>
      <c r="D197" s="28">
        <v>3259</v>
      </c>
      <c r="E197" s="28">
        <v>333</v>
      </c>
      <c r="F197" s="28">
        <v>3</v>
      </c>
      <c r="G197" s="29">
        <v>14</v>
      </c>
      <c r="H197" s="29"/>
      <c r="I197" s="11" t="s">
        <v>17</v>
      </c>
      <c r="J197" s="24">
        <v>17134602</v>
      </c>
      <c r="K197" s="24" t="s">
        <v>244</v>
      </c>
      <c r="L197" s="24" t="s">
        <v>255</v>
      </c>
      <c r="M197" s="33">
        <v>299900</v>
      </c>
      <c r="N197" s="15">
        <v>0.75</v>
      </c>
      <c r="O197" s="32">
        <f t="shared" si="11"/>
        <v>74975</v>
      </c>
      <c r="P197" s="28" t="s">
        <v>16</v>
      </c>
    </row>
    <row r="198" spans="1:16" s="23" customFormat="1" x14ac:dyDescent="0.35">
      <c r="A198" s="11" t="s">
        <v>1031</v>
      </c>
      <c r="B198" s="12">
        <f t="shared" si="12"/>
        <v>46104</v>
      </c>
      <c r="C198" s="12">
        <f t="shared" si="12"/>
        <v>46113</v>
      </c>
      <c r="D198" s="28">
        <v>3259</v>
      </c>
      <c r="E198" s="28">
        <v>333</v>
      </c>
      <c r="F198" s="28">
        <v>3</v>
      </c>
      <c r="G198" s="29">
        <v>14</v>
      </c>
      <c r="H198" s="29"/>
      <c r="I198" s="11" t="s">
        <v>17</v>
      </c>
      <c r="J198" s="24">
        <v>17134611</v>
      </c>
      <c r="K198" s="24" t="s">
        <v>244</v>
      </c>
      <c r="L198" s="24" t="s">
        <v>256</v>
      </c>
      <c r="M198" s="33">
        <v>299900</v>
      </c>
      <c r="N198" s="15">
        <v>0.75</v>
      </c>
      <c r="O198" s="32">
        <f t="shared" si="11"/>
        <v>74975</v>
      </c>
      <c r="P198" s="28" t="s">
        <v>16</v>
      </c>
    </row>
    <row r="199" spans="1:16" s="23" customFormat="1" x14ac:dyDescent="0.35">
      <c r="A199" s="11" t="s">
        <v>1031</v>
      </c>
      <c r="B199" s="12">
        <f t="shared" si="12"/>
        <v>46104</v>
      </c>
      <c r="C199" s="12">
        <f t="shared" si="12"/>
        <v>46113</v>
      </c>
      <c r="D199" s="28">
        <v>3259</v>
      </c>
      <c r="E199" s="28">
        <v>333</v>
      </c>
      <c r="F199" s="28">
        <v>3</v>
      </c>
      <c r="G199" s="29">
        <v>14</v>
      </c>
      <c r="H199" s="29"/>
      <c r="I199" s="11" t="s">
        <v>17</v>
      </c>
      <c r="J199" s="24">
        <v>18085502</v>
      </c>
      <c r="K199" s="24" t="s">
        <v>164</v>
      </c>
      <c r="L199" s="24" t="s">
        <v>257</v>
      </c>
      <c r="M199" s="33">
        <v>219900</v>
      </c>
      <c r="N199" s="15">
        <v>0.75</v>
      </c>
      <c r="O199" s="32">
        <f t="shared" si="11"/>
        <v>54975</v>
      </c>
      <c r="P199" s="28" t="s">
        <v>16</v>
      </c>
    </row>
    <row r="200" spans="1:16" s="23" customFormat="1" x14ac:dyDescent="0.35">
      <c r="A200" s="11" t="s">
        <v>1031</v>
      </c>
      <c r="B200" s="12">
        <f t="shared" si="12"/>
        <v>46104</v>
      </c>
      <c r="C200" s="12">
        <f t="shared" si="12"/>
        <v>46113</v>
      </c>
      <c r="D200" s="28">
        <v>3259</v>
      </c>
      <c r="E200" s="28">
        <v>333</v>
      </c>
      <c r="F200" s="28">
        <v>3</v>
      </c>
      <c r="G200" s="29">
        <v>14</v>
      </c>
      <c r="H200" s="29"/>
      <c r="I200" s="11" t="s">
        <v>17</v>
      </c>
      <c r="J200" s="24">
        <v>18085511</v>
      </c>
      <c r="K200" s="24" t="s">
        <v>164</v>
      </c>
      <c r="L200" s="24" t="s">
        <v>258</v>
      </c>
      <c r="M200" s="33">
        <v>219900</v>
      </c>
      <c r="N200" s="15">
        <v>0.75</v>
      </c>
      <c r="O200" s="32">
        <f t="shared" si="11"/>
        <v>54975</v>
      </c>
      <c r="P200" s="28" t="s">
        <v>16</v>
      </c>
    </row>
    <row r="201" spans="1:16" s="23" customFormat="1" x14ac:dyDescent="0.35">
      <c r="A201" s="11" t="s">
        <v>1031</v>
      </c>
      <c r="B201" s="12">
        <f t="shared" si="12"/>
        <v>46104</v>
      </c>
      <c r="C201" s="12">
        <f t="shared" si="12"/>
        <v>46113</v>
      </c>
      <c r="D201" s="28">
        <v>3259</v>
      </c>
      <c r="E201" s="28">
        <v>333</v>
      </c>
      <c r="F201" s="28">
        <v>3</v>
      </c>
      <c r="G201" s="29">
        <v>14</v>
      </c>
      <c r="H201" s="29"/>
      <c r="I201" s="11" t="s">
        <v>17</v>
      </c>
      <c r="J201" s="24">
        <v>18085520</v>
      </c>
      <c r="K201" s="24" t="s">
        <v>164</v>
      </c>
      <c r="L201" s="24" t="s">
        <v>259</v>
      </c>
      <c r="M201" s="33">
        <v>219900</v>
      </c>
      <c r="N201" s="15">
        <v>0.75</v>
      </c>
      <c r="O201" s="32">
        <f t="shared" si="11"/>
        <v>54975</v>
      </c>
      <c r="P201" s="28" t="s">
        <v>16</v>
      </c>
    </row>
    <row r="202" spans="1:16" s="23" customFormat="1" x14ac:dyDescent="0.35">
      <c r="A202" s="11" t="s">
        <v>1031</v>
      </c>
      <c r="B202" s="12">
        <f t="shared" si="12"/>
        <v>46104</v>
      </c>
      <c r="C202" s="12">
        <f t="shared" si="12"/>
        <v>46113</v>
      </c>
      <c r="D202" s="28">
        <v>3259</v>
      </c>
      <c r="E202" s="28">
        <v>333</v>
      </c>
      <c r="F202" s="28">
        <v>3</v>
      </c>
      <c r="G202" s="29">
        <v>14</v>
      </c>
      <c r="H202" s="29"/>
      <c r="I202" s="11" t="s">
        <v>17</v>
      </c>
      <c r="J202" s="24">
        <v>18085539</v>
      </c>
      <c r="K202" s="24" t="s">
        <v>164</v>
      </c>
      <c r="L202" s="24" t="s">
        <v>260</v>
      </c>
      <c r="M202" s="33">
        <v>219900</v>
      </c>
      <c r="N202" s="15">
        <v>0.75</v>
      </c>
      <c r="O202" s="32">
        <f t="shared" si="11"/>
        <v>54975</v>
      </c>
      <c r="P202" s="28" t="s">
        <v>16</v>
      </c>
    </row>
    <row r="203" spans="1:16" s="23" customFormat="1" x14ac:dyDescent="0.35">
      <c r="A203" s="11" t="s">
        <v>1031</v>
      </c>
      <c r="B203" s="12">
        <f t="shared" si="12"/>
        <v>46104</v>
      </c>
      <c r="C203" s="12">
        <f t="shared" si="12"/>
        <v>46113</v>
      </c>
      <c r="D203" s="28">
        <v>3259</v>
      </c>
      <c r="E203" s="28">
        <v>333</v>
      </c>
      <c r="F203" s="28">
        <v>3</v>
      </c>
      <c r="G203" s="29">
        <v>14</v>
      </c>
      <c r="H203" s="29"/>
      <c r="I203" s="11" t="s">
        <v>17</v>
      </c>
      <c r="J203" s="24">
        <v>18085548</v>
      </c>
      <c r="K203" s="24" t="s">
        <v>164</v>
      </c>
      <c r="L203" s="24" t="s">
        <v>261</v>
      </c>
      <c r="M203" s="33">
        <v>219900</v>
      </c>
      <c r="N203" s="15">
        <v>0.75</v>
      </c>
      <c r="O203" s="32">
        <f t="shared" si="11"/>
        <v>54975</v>
      </c>
      <c r="P203" s="28" t="s">
        <v>16</v>
      </c>
    </row>
    <row r="204" spans="1:16" s="23" customFormat="1" x14ac:dyDescent="0.35">
      <c r="A204" s="11" t="s">
        <v>1031</v>
      </c>
      <c r="B204" s="12">
        <f t="shared" si="12"/>
        <v>46104</v>
      </c>
      <c r="C204" s="12">
        <f t="shared" si="12"/>
        <v>46113</v>
      </c>
      <c r="D204" s="28">
        <v>3259</v>
      </c>
      <c r="E204" s="28">
        <v>333</v>
      </c>
      <c r="F204" s="28">
        <v>3</v>
      </c>
      <c r="G204" s="29">
        <v>14</v>
      </c>
      <c r="H204" s="29"/>
      <c r="I204" s="11" t="s">
        <v>17</v>
      </c>
      <c r="J204" s="35">
        <v>18085557</v>
      </c>
      <c r="K204" s="24" t="s">
        <v>164</v>
      </c>
      <c r="L204" s="24" t="s">
        <v>262</v>
      </c>
      <c r="M204" s="33">
        <v>219900</v>
      </c>
      <c r="N204" s="15">
        <v>0.75</v>
      </c>
      <c r="O204" s="32">
        <f t="shared" si="11"/>
        <v>54975</v>
      </c>
      <c r="P204" s="28" t="s">
        <v>16</v>
      </c>
    </row>
    <row r="205" spans="1:16" x14ac:dyDescent="0.35">
      <c r="A205" s="11" t="s">
        <v>1031</v>
      </c>
      <c r="B205" s="12">
        <f t="shared" si="12"/>
        <v>46104</v>
      </c>
      <c r="C205" s="12">
        <f t="shared" si="12"/>
        <v>46113</v>
      </c>
      <c r="D205" s="28">
        <v>3259</v>
      </c>
      <c r="E205" s="28">
        <v>333</v>
      </c>
      <c r="F205" s="28">
        <v>3</v>
      </c>
      <c r="G205" s="24"/>
      <c r="H205" s="25"/>
      <c r="I205" s="11" t="s">
        <v>17</v>
      </c>
      <c r="J205" s="36">
        <v>15257715</v>
      </c>
      <c r="K205" s="25" t="s">
        <v>171</v>
      </c>
      <c r="L205" s="25" t="s">
        <v>178</v>
      </c>
      <c r="M205" s="37">
        <v>369900</v>
      </c>
      <c r="N205" s="15">
        <v>0.75</v>
      </c>
      <c r="O205" s="32">
        <f t="shared" ref="O205:O215" si="13">M205-(M205*N205)</f>
        <v>92475</v>
      </c>
      <c r="P205" s="28" t="s">
        <v>16</v>
      </c>
    </row>
    <row r="206" spans="1:16" x14ac:dyDescent="0.35">
      <c r="A206" s="11" t="s">
        <v>1031</v>
      </c>
      <c r="B206" s="12">
        <f t="shared" si="12"/>
        <v>46104</v>
      </c>
      <c r="C206" s="12">
        <f t="shared" si="12"/>
        <v>46113</v>
      </c>
      <c r="D206" s="28">
        <v>3259</v>
      </c>
      <c r="E206" s="28">
        <v>333</v>
      </c>
      <c r="F206" s="28">
        <v>3</v>
      </c>
      <c r="G206" s="24"/>
      <c r="H206" s="25"/>
      <c r="I206" s="11" t="s">
        <v>17</v>
      </c>
      <c r="J206" s="36">
        <v>15257724</v>
      </c>
      <c r="K206" s="25" t="s">
        <v>171</v>
      </c>
      <c r="L206" s="25" t="s">
        <v>179</v>
      </c>
      <c r="M206" s="37">
        <v>369900</v>
      </c>
      <c r="N206" s="15">
        <v>0.75</v>
      </c>
      <c r="O206" s="32">
        <f t="shared" si="13"/>
        <v>92475</v>
      </c>
      <c r="P206" s="28" t="s">
        <v>16</v>
      </c>
    </row>
    <row r="207" spans="1:16" x14ac:dyDescent="0.35">
      <c r="A207" s="11" t="s">
        <v>1031</v>
      </c>
      <c r="B207" s="12">
        <f t="shared" si="12"/>
        <v>46104</v>
      </c>
      <c r="C207" s="12">
        <f t="shared" si="12"/>
        <v>46113</v>
      </c>
      <c r="D207" s="28">
        <v>3259</v>
      </c>
      <c r="E207" s="28">
        <v>333</v>
      </c>
      <c r="F207" s="28">
        <v>3</v>
      </c>
      <c r="G207" s="24"/>
      <c r="H207" s="25"/>
      <c r="I207" s="11" t="s">
        <v>17</v>
      </c>
      <c r="J207" s="36">
        <v>15257733</v>
      </c>
      <c r="K207" s="25" t="s">
        <v>171</v>
      </c>
      <c r="L207" s="25" t="s">
        <v>180</v>
      </c>
      <c r="M207" s="37">
        <v>369900</v>
      </c>
      <c r="N207" s="15">
        <v>0.75</v>
      </c>
      <c r="O207" s="32">
        <f t="shared" si="13"/>
        <v>92475</v>
      </c>
      <c r="P207" s="28" t="s">
        <v>16</v>
      </c>
    </row>
    <row r="208" spans="1:16" x14ac:dyDescent="0.35">
      <c r="A208" s="11" t="s">
        <v>1031</v>
      </c>
      <c r="B208" s="12">
        <f t="shared" si="12"/>
        <v>46104</v>
      </c>
      <c r="C208" s="12">
        <f t="shared" si="12"/>
        <v>46113</v>
      </c>
      <c r="D208" s="28">
        <v>3259</v>
      </c>
      <c r="E208" s="28">
        <v>333</v>
      </c>
      <c r="F208" s="28">
        <v>3</v>
      </c>
      <c r="G208" s="24"/>
      <c r="H208" s="25"/>
      <c r="I208" s="11" t="s">
        <v>17</v>
      </c>
      <c r="J208" s="36">
        <v>15257742</v>
      </c>
      <c r="K208" s="25" t="s">
        <v>171</v>
      </c>
      <c r="L208" s="25" t="s">
        <v>181</v>
      </c>
      <c r="M208" s="37">
        <v>369900</v>
      </c>
      <c r="N208" s="15">
        <v>0.75</v>
      </c>
      <c r="O208" s="32">
        <f t="shared" si="13"/>
        <v>92475</v>
      </c>
      <c r="P208" s="28" t="s">
        <v>16</v>
      </c>
    </row>
    <row r="209" spans="1:16" x14ac:dyDescent="0.35">
      <c r="A209" s="11" t="s">
        <v>1031</v>
      </c>
      <c r="B209" s="12">
        <f t="shared" si="12"/>
        <v>46104</v>
      </c>
      <c r="C209" s="12">
        <f t="shared" si="12"/>
        <v>46113</v>
      </c>
      <c r="D209" s="28">
        <v>3259</v>
      </c>
      <c r="E209" s="28">
        <v>333</v>
      </c>
      <c r="F209" s="28">
        <v>3</v>
      </c>
      <c r="G209" s="24"/>
      <c r="H209" s="25"/>
      <c r="I209" s="11" t="s">
        <v>17</v>
      </c>
      <c r="J209" s="36">
        <v>15257751</v>
      </c>
      <c r="K209" s="25" t="s">
        <v>171</v>
      </c>
      <c r="L209" s="25" t="s">
        <v>182</v>
      </c>
      <c r="M209" s="37">
        <v>369900</v>
      </c>
      <c r="N209" s="15">
        <v>0.75</v>
      </c>
      <c r="O209" s="32">
        <f t="shared" si="13"/>
        <v>92475</v>
      </c>
      <c r="P209" s="28" t="s">
        <v>16</v>
      </c>
    </row>
    <row r="210" spans="1:16" x14ac:dyDescent="0.35">
      <c r="A210" s="11" t="s">
        <v>1031</v>
      </c>
      <c r="B210" s="12">
        <f t="shared" si="12"/>
        <v>46104</v>
      </c>
      <c r="C210" s="12">
        <f t="shared" si="12"/>
        <v>46113</v>
      </c>
      <c r="D210" s="28">
        <v>3259</v>
      </c>
      <c r="E210" s="28">
        <v>333</v>
      </c>
      <c r="F210" s="28">
        <v>3</v>
      </c>
      <c r="G210" s="24"/>
      <c r="H210" s="25"/>
      <c r="I210" s="11" t="s">
        <v>17</v>
      </c>
      <c r="J210" s="36">
        <v>15257760</v>
      </c>
      <c r="K210" s="25" t="s">
        <v>171</v>
      </c>
      <c r="L210" s="25" t="s">
        <v>183</v>
      </c>
      <c r="M210" s="37">
        <v>369900</v>
      </c>
      <c r="N210" s="15">
        <v>0.75</v>
      </c>
      <c r="O210" s="32">
        <f t="shared" si="13"/>
        <v>92475</v>
      </c>
      <c r="P210" s="28" t="s">
        <v>16</v>
      </c>
    </row>
    <row r="211" spans="1:16" s="1" customFormat="1" x14ac:dyDescent="0.35">
      <c r="A211" s="11" t="s">
        <v>1031</v>
      </c>
      <c r="B211" s="12">
        <f t="shared" si="12"/>
        <v>46104</v>
      </c>
      <c r="C211" s="12">
        <f t="shared" si="12"/>
        <v>46113</v>
      </c>
      <c r="D211" s="28">
        <v>3259</v>
      </c>
      <c r="E211" s="28">
        <v>333</v>
      </c>
      <c r="F211" s="28">
        <v>3</v>
      </c>
      <c r="G211" s="24"/>
      <c r="H211" s="25"/>
      <c r="I211" s="11" t="s">
        <v>17</v>
      </c>
      <c r="J211" s="38">
        <v>15257162</v>
      </c>
      <c r="K211" s="11" t="s">
        <v>165</v>
      </c>
      <c r="L211" s="11" t="s">
        <v>166</v>
      </c>
      <c r="M211" s="14">
        <v>369900</v>
      </c>
      <c r="N211" s="15">
        <v>0.75</v>
      </c>
      <c r="O211" s="32">
        <f t="shared" si="13"/>
        <v>92475</v>
      </c>
      <c r="P211" s="28" t="s">
        <v>16</v>
      </c>
    </row>
    <row r="212" spans="1:16" s="1" customFormat="1" x14ac:dyDescent="0.35">
      <c r="A212" s="11" t="s">
        <v>1031</v>
      </c>
      <c r="B212" s="12">
        <f t="shared" ref="B212:C221" si="14">B211</f>
        <v>46104</v>
      </c>
      <c r="C212" s="12">
        <f t="shared" si="14"/>
        <v>46113</v>
      </c>
      <c r="D212" s="28">
        <v>3259</v>
      </c>
      <c r="E212" s="28">
        <v>333</v>
      </c>
      <c r="F212" s="28">
        <v>3</v>
      </c>
      <c r="G212" s="24"/>
      <c r="H212" s="25"/>
      <c r="I212" s="11" t="s">
        <v>17</v>
      </c>
      <c r="J212" s="38">
        <v>15257171</v>
      </c>
      <c r="K212" s="11" t="s">
        <v>165</v>
      </c>
      <c r="L212" s="11" t="s">
        <v>167</v>
      </c>
      <c r="M212" s="14">
        <v>369900</v>
      </c>
      <c r="N212" s="15">
        <v>0.75</v>
      </c>
      <c r="O212" s="32">
        <f t="shared" si="13"/>
        <v>92475</v>
      </c>
      <c r="P212" s="28" t="s">
        <v>16</v>
      </c>
    </row>
    <row r="213" spans="1:16" s="1" customFormat="1" x14ac:dyDescent="0.35">
      <c r="A213" s="11" t="s">
        <v>1031</v>
      </c>
      <c r="B213" s="12">
        <f t="shared" si="14"/>
        <v>46104</v>
      </c>
      <c r="C213" s="12">
        <f t="shared" si="14"/>
        <v>46113</v>
      </c>
      <c r="D213" s="28">
        <v>3259</v>
      </c>
      <c r="E213" s="28">
        <v>333</v>
      </c>
      <c r="F213" s="28">
        <v>3</v>
      </c>
      <c r="G213" s="24"/>
      <c r="H213" s="25"/>
      <c r="I213" s="11" t="s">
        <v>17</v>
      </c>
      <c r="J213" s="38">
        <v>15257180</v>
      </c>
      <c r="K213" s="11" t="s">
        <v>165</v>
      </c>
      <c r="L213" s="11" t="s">
        <v>168</v>
      </c>
      <c r="M213" s="14">
        <v>369900</v>
      </c>
      <c r="N213" s="15">
        <v>0.75</v>
      </c>
      <c r="O213" s="32">
        <f t="shared" si="13"/>
        <v>92475</v>
      </c>
      <c r="P213" s="28" t="s">
        <v>16</v>
      </c>
    </row>
    <row r="214" spans="1:16" s="1" customFormat="1" x14ac:dyDescent="0.35">
      <c r="A214" s="11" t="s">
        <v>1031</v>
      </c>
      <c r="B214" s="12">
        <f t="shared" si="14"/>
        <v>46104</v>
      </c>
      <c r="C214" s="12">
        <f t="shared" si="14"/>
        <v>46113</v>
      </c>
      <c r="D214" s="28">
        <v>3259</v>
      </c>
      <c r="E214" s="28">
        <v>333</v>
      </c>
      <c r="F214" s="28">
        <v>3</v>
      </c>
      <c r="G214" s="24"/>
      <c r="H214" s="25"/>
      <c r="I214" s="11" t="s">
        <v>17</v>
      </c>
      <c r="J214" s="38">
        <v>15257199</v>
      </c>
      <c r="K214" s="11" t="s">
        <v>165</v>
      </c>
      <c r="L214" s="11" t="s">
        <v>169</v>
      </c>
      <c r="M214" s="14">
        <v>369900</v>
      </c>
      <c r="N214" s="15">
        <v>0.75</v>
      </c>
      <c r="O214" s="32">
        <f t="shared" si="13"/>
        <v>92475</v>
      </c>
      <c r="P214" s="28" t="s">
        <v>16</v>
      </c>
    </row>
    <row r="215" spans="1:16" s="1" customFormat="1" x14ac:dyDescent="0.35">
      <c r="A215" s="11" t="s">
        <v>1031</v>
      </c>
      <c r="B215" s="12">
        <f t="shared" si="14"/>
        <v>46104</v>
      </c>
      <c r="C215" s="12">
        <f t="shared" si="14"/>
        <v>46113</v>
      </c>
      <c r="D215" s="28">
        <v>3259</v>
      </c>
      <c r="E215" s="28">
        <v>333</v>
      </c>
      <c r="F215" s="28">
        <v>3</v>
      </c>
      <c r="G215" s="24"/>
      <c r="H215" s="25"/>
      <c r="I215" s="11" t="s">
        <v>17</v>
      </c>
      <c r="J215" s="38">
        <v>15257206</v>
      </c>
      <c r="K215" s="11" t="s">
        <v>165</v>
      </c>
      <c r="L215" s="11" t="s">
        <v>170</v>
      </c>
      <c r="M215" s="14">
        <v>369900</v>
      </c>
      <c r="N215" s="15">
        <v>0.75</v>
      </c>
      <c r="O215" s="32">
        <f t="shared" si="13"/>
        <v>92475</v>
      </c>
      <c r="P215" s="28" t="s">
        <v>16</v>
      </c>
    </row>
    <row r="216" spans="1:16" s="1" customFormat="1" x14ac:dyDescent="0.35">
      <c r="A216" s="11" t="s">
        <v>1031</v>
      </c>
      <c r="B216" s="12">
        <f t="shared" si="14"/>
        <v>46104</v>
      </c>
      <c r="C216" s="12">
        <f t="shared" si="14"/>
        <v>46113</v>
      </c>
      <c r="D216" s="28">
        <v>3259</v>
      </c>
      <c r="E216" s="28">
        <v>333</v>
      </c>
      <c r="F216" s="28">
        <v>3</v>
      </c>
      <c r="G216" s="24"/>
      <c r="H216" s="25"/>
      <c r="I216" s="11" t="s">
        <v>17</v>
      </c>
      <c r="J216" s="13">
        <v>17124211</v>
      </c>
      <c r="K216" s="11" t="s">
        <v>384</v>
      </c>
      <c r="L216" s="11" t="s">
        <v>423</v>
      </c>
      <c r="M216" s="14">
        <v>369900</v>
      </c>
      <c r="N216" s="15">
        <v>0.75</v>
      </c>
      <c r="O216" s="32">
        <f t="shared" ref="O216:O221" si="15">M216-(M216*N216)</f>
        <v>92475</v>
      </c>
      <c r="P216" s="28" t="s">
        <v>16</v>
      </c>
    </row>
    <row r="217" spans="1:16" s="1" customFormat="1" x14ac:dyDescent="0.35">
      <c r="A217" s="11" t="s">
        <v>1031</v>
      </c>
      <c r="B217" s="12">
        <f t="shared" si="14"/>
        <v>46104</v>
      </c>
      <c r="C217" s="12">
        <f t="shared" si="14"/>
        <v>46113</v>
      </c>
      <c r="D217" s="28">
        <v>3259</v>
      </c>
      <c r="E217" s="28">
        <v>333</v>
      </c>
      <c r="F217" s="28">
        <v>3</v>
      </c>
      <c r="G217" s="24"/>
      <c r="H217" s="25"/>
      <c r="I217" s="11" t="s">
        <v>17</v>
      </c>
      <c r="J217" s="13">
        <v>17124220</v>
      </c>
      <c r="K217" s="11" t="s">
        <v>384</v>
      </c>
      <c r="L217" s="11" t="s">
        <v>424</v>
      </c>
      <c r="M217" s="14">
        <v>369900</v>
      </c>
      <c r="N217" s="15">
        <v>0.75</v>
      </c>
      <c r="O217" s="32">
        <f t="shared" si="15"/>
        <v>92475</v>
      </c>
      <c r="P217" s="28" t="s">
        <v>16</v>
      </c>
    </row>
    <row r="218" spans="1:16" s="1" customFormat="1" x14ac:dyDescent="0.35">
      <c r="A218" s="11" t="s">
        <v>1031</v>
      </c>
      <c r="B218" s="12">
        <f t="shared" si="14"/>
        <v>46104</v>
      </c>
      <c r="C218" s="12">
        <f t="shared" si="14"/>
        <v>46113</v>
      </c>
      <c r="D218" s="28">
        <v>3259</v>
      </c>
      <c r="E218" s="28">
        <v>333</v>
      </c>
      <c r="F218" s="28">
        <v>3</v>
      </c>
      <c r="G218" s="24"/>
      <c r="H218" s="25"/>
      <c r="I218" s="11" t="s">
        <v>17</v>
      </c>
      <c r="J218" s="13">
        <v>17124248</v>
      </c>
      <c r="K218" s="11" t="s">
        <v>384</v>
      </c>
      <c r="L218" s="11" t="s">
        <v>425</v>
      </c>
      <c r="M218" s="14">
        <v>369900</v>
      </c>
      <c r="N218" s="15">
        <v>0.75</v>
      </c>
      <c r="O218" s="32">
        <f t="shared" si="15"/>
        <v>92475</v>
      </c>
      <c r="P218" s="28" t="s">
        <v>16</v>
      </c>
    </row>
    <row r="219" spans="1:16" s="1" customFormat="1" x14ac:dyDescent="0.35">
      <c r="A219" s="11" t="s">
        <v>1031</v>
      </c>
      <c r="B219" s="12">
        <f t="shared" si="14"/>
        <v>46104</v>
      </c>
      <c r="C219" s="12">
        <f t="shared" si="14"/>
        <v>46113</v>
      </c>
      <c r="D219" s="28">
        <v>3259</v>
      </c>
      <c r="E219" s="28">
        <v>333</v>
      </c>
      <c r="F219" s="28">
        <v>3</v>
      </c>
      <c r="G219" s="24"/>
      <c r="H219" s="25"/>
      <c r="I219" s="11" t="s">
        <v>17</v>
      </c>
      <c r="J219" s="13">
        <v>17124257</v>
      </c>
      <c r="K219" s="11" t="s">
        <v>384</v>
      </c>
      <c r="L219" s="11" t="s">
        <v>426</v>
      </c>
      <c r="M219" s="14">
        <v>369900</v>
      </c>
      <c r="N219" s="15">
        <v>0.75</v>
      </c>
      <c r="O219" s="32">
        <f t="shared" si="15"/>
        <v>92475</v>
      </c>
      <c r="P219" s="28" t="s">
        <v>16</v>
      </c>
    </row>
    <row r="220" spans="1:16" s="1" customFormat="1" x14ac:dyDescent="0.35">
      <c r="A220" s="11" t="s">
        <v>1031</v>
      </c>
      <c r="B220" s="12">
        <f t="shared" si="14"/>
        <v>46104</v>
      </c>
      <c r="C220" s="12">
        <f t="shared" si="14"/>
        <v>46113</v>
      </c>
      <c r="D220" s="28">
        <v>3259</v>
      </c>
      <c r="E220" s="28">
        <v>333</v>
      </c>
      <c r="F220" s="28">
        <v>3</v>
      </c>
      <c r="G220" s="24"/>
      <c r="H220" s="25"/>
      <c r="I220" s="11" t="s">
        <v>17</v>
      </c>
      <c r="J220" s="13">
        <v>17124266</v>
      </c>
      <c r="K220" s="11" t="s">
        <v>384</v>
      </c>
      <c r="L220" s="11" t="s">
        <v>427</v>
      </c>
      <c r="M220" s="14">
        <v>369900</v>
      </c>
      <c r="N220" s="15">
        <v>0.75</v>
      </c>
      <c r="O220" s="32">
        <f t="shared" si="15"/>
        <v>92475</v>
      </c>
      <c r="P220" s="28" t="s">
        <v>16</v>
      </c>
    </row>
    <row r="221" spans="1:16" s="1" customFormat="1" x14ac:dyDescent="0.35">
      <c r="A221" s="11" t="s">
        <v>1031</v>
      </c>
      <c r="B221" s="12">
        <f t="shared" si="14"/>
        <v>46104</v>
      </c>
      <c r="C221" s="12">
        <f t="shared" si="14"/>
        <v>46113</v>
      </c>
      <c r="D221" s="28">
        <v>3259</v>
      </c>
      <c r="E221" s="28">
        <v>333</v>
      </c>
      <c r="F221" s="28">
        <v>3</v>
      </c>
      <c r="G221" s="24"/>
      <c r="H221" s="25"/>
      <c r="I221" s="11" t="s">
        <v>17</v>
      </c>
      <c r="J221" s="13">
        <v>17124275</v>
      </c>
      <c r="K221" s="11" t="s">
        <v>384</v>
      </c>
      <c r="L221" s="11" t="s">
        <v>428</v>
      </c>
      <c r="M221" s="14">
        <v>369900</v>
      </c>
      <c r="N221" s="15">
        <v>0.75</v>
      </c>
      <c r="O221" s="32">
        <f t="shared" si="15"/>
        <v>92475</v>
      </c>
      <c r="P221" s="28" t="s">
        <v>16</v>
      </c>
    </row>
  </sheetData>
  <autoFilter ref="A1:P161" xr:uid="{00000000-0009-0000-0000-000005000000}"/>
  <conditionalFormatting sqref="J1:J161">
    <cfRule type="duplicateValues" dxfId="878" priority="4782"/>
    <cfRule type="duplicateValues" dxfId="877" priority="4783"/>
    <cfRule type="duplicateValues" dxfId="876" priority="4784"/>
  </conditionalFormatting>
  <conditionalFormatting sqref="J1:J1048576">
    <cfRule type="duplicateValues" dxfId="875" priority="1"/>
  </conditionalFormatting>
  <conditionalFormatting sqref="J162">
    <cfRule type="duplicateValues" dxfId="874" priority="94"/>
    <cfRule type="duplicateValues" dxfId="873" priority="95"/>
    <cfRule type="duplicateValues" dxfId="872" priority="96"/>
    <cfRule type="duplicateValues" dxfId="871" priority="97"/>
    <cfRule type="duplicateValues" dxfId="870" priority="98"/>
    <cfRule type="duplicateValues" dxfId="869" priority="99"/>
    <cfRule type="duplicateValues" dxfId="868" priority="100"/>
    <cfRule type="duplicateValues" dxfId="867" priority="101"/>
    <cfRule type="duplicateValues" dxfId="866" priority="102"/>
    <cfRule type="duplicateValues" dxfId="865" priority="103"/>
  </conditionalFormatting>
  <conditionalFormatting sqref="J163:J174">
    <cfRule type="duplicateValues" dxfId="864" priority="59"/>
    <cfRule type="duplicateValues" dxfId="863" priority="60"/>
    <cfRule type="duplicateValues" dxfId="862" priority="61"/>
    <cfRule type="duplicateValues" dxfId="861" priority="62"/>
    <cfRule type="duplicateValues" dxfId="860" priority="63"/>
  </conditionalFormatting>
  <conditionalFormatting sqref="J163:J182 J187:J204">
    <cfRule type="duplicateValues" dxfId="859" priority="54"/>
    <cfRule type="duplicateValues" dxfId="858" priority="55"/>
  </conditionalFormatting>
  <conditionalFormatting sqref="J163:J204">
    <cfRule type="duplicateValues" dxfId="857" priority="46"/>
  </conditionalFormatting>
  <conditionalFormatting sqref="J176:J181">
    <cfRule type="duplicateValues" dxfId="856" priority="56"/>
    <cfRule type="duplicateValues" dxfId="855" priority="57"/>
  </conditionalFormatting>
  <conditionalFormatting sqref="J183:J186">
    <cfRule type="duplicateValues" dxfId="854" priority="47"/>
    <cfRule type="duplicateValues" dxfId="853" priority="48"/>
    <cfRule type="duplicateValues" dxfId="852" priority="49"/>
    <cfRule type="duplicateValues" dxfId="851" priority="50"/>
    <cfRule type="duplicateValues" dxfId="850" priority="51"/>
    <cfRule type="duplicateValues" dxfId="849" priority="52"/>
    <cfRule type="duplicateValues" dxfId="848" priority="53"/>
  </conditionalFormatting>
  <conditionalFormatting sqref="J187:J204 J182 J163:J175">
    <cfRule type="duplicateValues" dxfId="847" priority="58"/>
  </conditionalFormatting>
  <conditionalFormatting sqref="J205:J210 J1:J161">
    <cfRule type="duplicateValues" dxfId="846" priority="7025"/>
    <cfRule type="duplicateValues" dxfId="845" priority="7026"/>
    <cfRule type="duplicateValues" dxfId="844" priority="7027"/>
    <cfRule type="duplicateValues" dxfId="843" priority="7028"/>
    <cfRule type="duplicateValues" dxfId="842" priority="7029"/>
    <cfRule type="duplicateValues" dxfId="841" priority="7030"/>
    <cfRule type="duplicateValues" dxfId="840" priority="7031"/>
    <cfRule type="duplicateValues" dxfId="839" priority="7032"/>
    <cfRule type="duplicateValues" dxfId="838" priority="7033"/>
    <cfRule type="duplicateValues" dxfId="837" priority="7034"/>
  </conditionalFormatting>
  <conditionalFormatting sqref="J205:J210 J1:J162">
    <cfRule type="duplicateValues" dxfId="836" priority="7045"/>
    <cfRule type="duplicateValues" dxfId="835" priority="7046"/>
    <cfRule type="duplicateValues" dxfId="834" priority="7053"/>
    <cfRule type="duplicateValues" dxfId="833" priority="7054"/>
  </conditionalFormatting>
  <conditionalFormatting sqref="J205:J210">
    <cfRule type="duplicateValues" dxfId="832" priority="7049"/>
    <cfRule type="duplicateValues" dxfId="831" priority="7050"/>
  </conditionalFormatting>
  <conditionalFormatting sqref="J211:J215">
    <cfRule type="duplicateValues" dxfId="830" priority="24"/>
    <cfRule type="duplicateValues" dxfId="829" priority="25"/>
    <cfRule type="duplicateValues" dxfId="828" priority="26"/>
    <cfRule type="duplicateValues" dxfId="827" priority="27"/>
    <cfRule type="duplicateValues" dxfId="826" priority="28"/>
    <cfRule type="duplicateValues" dxfId="825" priority="29"/>
    <cfRule type="duplicateValues" dxfId="824" priority="30"/>
    <cfRule type="duplicateValues" dxfId="823" priority="31"/>
    <cfRule type="duplicateValues" dxfId="822" priority="32"/>
    <cfRule type="duplicateValues" dxfId="821" priority="33"/>
    <cfRule type="duplicateValues" dxfId="820" priority="34"/>
    <cfRule type="duplicateValues" dxfId="819" priority="35"/>
    <cfRule type="duplicateValues" dxfId="818" priority="36"/>
    <cfRule type="duplicateValues" dxfId="817" priority="37"/>
    <cfRule type="duplicateValues" dxfId="816" priority="38"/>
    <cfRule type="duplicateValues" dxfId="815" priority="39"/>
    <cfRule type="duplicateValues" dxfId="814" priority="40"/>
    <cfRule type="duplicateValues" dxfId="813" priority="41"/>
    <cfRule type="duplicateValues" dxfId="812" priority="42"/>
    <cfRule type="duplicateValues" dxfId="811" priority="43"/>
    <cfRule type="duplicateValues" dxfId="810" priority="44"/>
    <cfRule type="duplicateValues" dxfId="809" priority="45"/>
  </conditionalFormatting>
  <conditionalFormatting sqref="J216:J221">
    <cfRule type="duplicateValues" dxfId="808" priority="2"/>
    <cfRule type="duplicateValues" dxfId="807" priority="3"/>
    <cfRule type="duplicateValues" dxfId="806" priority="4"/>
    <cfRule type="duplicateValues" dxfId="805" priority="5"/>
    <cfRule type="duplicateValues" dxfId="804" priority="6"/>
    <cfRule type="duplicateValues" dxfId="803" priority="7"/>
    <cfRule type="duplicateValues" dxfId="802" priority="8"/>
    <cfRule type="duplicateValues" dxfId="801" priority="9"/>
    <cfRule type="duplicateValues" dxfId="800" priority="10"/>
    <cfRule type="duplicateValues" dxfId="799" priority="11"/>
    <cfRule type="duplicateValues" dxfId="798" priority="12"/>
    <cfRule type="duplicateValues" dxfId="797" priority="13"/>
    <cfRule type="duplicateValues" dxfId="796" priority="14"/>
    <cfRule type="duplicateValues" dxfId="795" priority="15"/>
    <cfRule type="duplicateValues" dxfId="794" priority="16"/>
    <cfRule type="duplicateValues" dxfId="793" priority="17"/>
    <cfRule type="duplicateValues" dxfId="792" priority="18"/>
    <cfRule type="duplicateValues" dxfId="791" priority="19"/>
    <cfRule type="duplicateValues" dxfId="790" priority="20"/>
    <cfRule type="duplicateValues" dxfId="789" priority="21"/>
    <cfRule type="duplicateValues" dxfId="788" priority="22"/>
    <cfRule type="duplicateValues" dxfId="787" priority="2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P117"/>
  <sheetViews>
    <sheetView zoomScale="47" workbookViewId="0">
      <selection activeCell="B2" sqref="B2:C3"/>
    </sheetView>
  </sheetViews>
  <sheetFormatPr defaultColWidth="8.81640625" defaultRowHeight="14.5" x14ac:dyDescent="0.35"/>
  <cols>
    <col min="1" max="1" width="33.453125" style="23" bestFit="1" customWidth="1"/>
    <col min="2" max="2" width="16.81640625" style="23" bestFit="1" customWidth="1"/>
    <col min="3" max="3" width="14.1796875" style="23" bestFit="1" customWidth="1"/>
    <col min="4" max="4" width="11.1796875" style="23" bestFit="1" customWidth="1"/>
    <col min="5" max="5" width="13.1796875" style="23" bestFit="1" customWidth="1"/>
    <col min="6" max="6" width="14.54296875" style="23" bestFit="1" customWidth="1"/>
    <col min="7" max="7" width="12" style="23" bestFit="1" customWidth="1"/>
    <col min="8" max="8" width="15" style="23" bestFit="1" customWidth="1"/>
    <col min="9" max="9" width="12.81640625" style="23" bestFit="1" customWidth="1"/>
    <col min="10" max="10" width="10.1796875" style="18" customWidth="1"/>
    <col min="11" max="11" width="13.7265625" style="39" bestFit="1" customWidth="1"/>
    <col min="12" max="12" width="98.54296875" style="39" bestFit="1" customWidth="1"/>
    <col min="13" max="13" width="21.26953125" style="40" bestFit="1" customWidth="1"/>
    <col min="14" max="14" width="13.453125" style="23" bestFit="1" customWidth="1"/>
    <col min="15" max="15" width="20.1796875" style="23" bestFit="1" customWidth="1"/>
    <col min="16" max="16" width="20.54296875" style="23" bestFit="1" customWidth="1"/>
    <col min="17" max="16384" width="8.81640625" style="23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41" t="s">
        <v>6</v>
      </c>
      <c r="K1" s="42" t="s">
        <v>7</v>
      </c>
      <c r="L1" s="42" t="s">
        <v>13</v>
      </c>
      <c r="M1" s="43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1032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25">
        <v>7</v>
      </c>
      <c r="H2" s="25"/>
      <c r="I2" s="11" t="s">
        <v>17</v>
      </c>
      <c r="J2" s="44">
        <v>19551765</v>
      </c>
      <c r="K2" s="45" t="s">
        <v>683</v>
      </c>
      <c r="L2" s="45" t="s">
        <v>675</v>
      </c>
      <c r="M2" s="33">
        <v>249900</v>
      </c>
      <c r="N2" s="31">
        <v>0.75</v>
      </c>
      <c r="O2" s="32">
        <f t="shared" ref="O2:O33" si="0">M2-(M2*N2)</f>
        <v>62475</v>
      </c>
      <c r="P2" s="28" t="s">
        <v>16</v>
      </c>
    </row>
    <row r="3" spans="1:16" x14ac:dyDescent="0.35">
      <c r="A3" s="11" t="s">
        <v>1032</v>
      </c>
      <c r="B3" s="12">
        <f t="shared" ref="B3:C3" si="1">B2</f>
        <v>46104</v>
      </c>
      <c r="C3" s="12">
        <f t="shared" si="1"/>
        <v>46113</v>
      </c>
      <c r="D3" s="11">
        <v>3259</v>
      </c>
      <c r="E3" s="11">
        <v>333</v>
      </c>
      <c r="F3" s="11">
        <v>3</v>
      </c>
      <c r="G3" s="25">
        <v>7</v>
      </c>
      <c r="H3" s="25"/>
      <c r="I3" s="11" t="s">
        <v>17</v>
      </c>
      <c r="J3" s="44">
        <v>19551774</v>
      </c>
      <c r="K3" s="45" t="s">
        <v>683</v>
      </c>
      <c r="L3" s="45" t="s">
        <v>676</v>
      </c>
      <c r="M3" s="33">
        <v>249900</v>
      </c>
      <c r="N3" s="31">
        <v>0.75</v>
      </c>
      <c r="O3" s="32">
        <f t="shared" si="0"/>
        <v>62475</v>
      </c>
      <c r="P3" s="28" t="s">
        <v>16</v>
      </c>
    </row>
    <row r="4" spans="1:16" x14ac:dyDescent="0.35">
      <c r="A4" s="11" t="s">
        <v>1032</v>
      </c>
      <c r="B4" s="12">
        <f t="shared" ref="B4:B34" si="2">B3</f>
        <v>46104</v>
      </c>
      <c r="C4" s="12">
        <f t="shared" ref="C4:C34" si="3">C3</f>
        <v>46113</v>
      </c>
      <c r="D4" s="11">
        <v>3259</v>
      </c>
      <c r="E4" s="11">
        <v>333</v>
      </c>
      <c r="F4" s="11">
        <v>3</v>
      </c>
      <c r="G4" s="25">
        <v>7</v>
      </c>
      <c r="H4" s="25"/>
      <c r="I4" s="11" t="s">
        <v>17</v>
      </c>
      <c r="J4" s="44">
        <v>19551792</v>
      </c>
      <c r="K4" s="45" t="s">
        <v>683</v>
      </c>
      <c r="L4" s="45" t="s">
        <v>677</v>
      </c>
      <c r="M4" s="33">
        <v>249900</v>
      </c>
      <c r="N4" s="31">
        <v>0.75</v>
      </c>
      <c r="O4" s="32">
        <f t="shared" si="0"/>
        <v>62475</v>
      </c>
      <c r="P4" s="28" t="s">
        <v>16</v>
      </c>
    </row>
    <row r="5" spans="1:16" x14ac:dyDescent="0.35">
      <c r="A5" s="11" t="s">
        <v>1032</v>
      </c>
      <c r="B5" s="12">
        <f t="shared" si="2"/>
        <v>46104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25">
        <v>7</v>
      </c>
      <c r="H5" s="25"/>
      <c r="I5" s="11" t="s">
        <v>17</v>
      </c>
      <c r="J5" s="44">
        <v>19551809</v>
      </c>
      <c r="K5" s="45" t="s">
        <v>683</v>
      </c>
      <c r="L5" s="45" t="s">
        <v>678</v>
      </c>
      <c r="M5" s="33">
        <v>249900</v>
      </c>
      <c r="N5" s="31">
        <v>0.75</v>
      </c>
      <c r="O5" s="32">
        <f t="shared" si="0"/>
        <v>62475</v>
      </c>
      <c r="P5" s="28" t="s">
        <v>16</v>
      </c>
    </row>
    <row r="6" spans="1:16" x14ac:dyDescent="0.35">
      <c r="A6" s="11" t="s">
        <v>1032</v>
      </c>
      <c r="B6" s="12">
        <f t="shared" si="2"/>
        <v>46104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25">
        <v>7</v>
      </c>
      <c r="H6" s="25"/>
      <c r="I6" s="11" t="s">
        <v>17</v>
      </c>
      <c r="J6" s="44">
        <v>19551818</v>
      </c>
      <c r="K6" s="45" t="s">
        <v>683</v>
      </c>
      <c r="L6" s="45" t="s">
        <v>679</v>
      </c>
      <c r="M6" s="33">
        <v>249900</v>
      </c>
      <c r="N6" s="31">
        <v>0.75</v>
      </c>
      <c r="O6" s="32">
        <f t="shared" si="0"/>
        <v>62475</v>
      </c>
      <c r="P6" s="28" t="s">
        <v>16</v>
      </c>
    </row>
    <row r="7" spans="1:16" x14ac:dyDescent="0.35">
      <c r="A7" s="11" t="s">
        <v>1032</v>
      </c>
      <c r="B7" s="12">
        <f t="shared" si="2"/>
        <v>46104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25">
        <v>7</v>
      </c>
      <c r="H7" s="25"/>
      <c r="I7" s="11" t="s">
        <v>17</v>
      </c>
      <c r="J7" s="44">
        <v>19551827</v>
      </c>
      <c r="K7" s="45" t="s">
        <v>683</v>
      </c>
      <c r="L7" s="45" t="s">
        <v>680</v>
      </c>
      <c r="M7" s="33">
        <v>249900</v>
      </c>
      <c r="N7" s="31">
        <v>0.75</v>
      </c>
      <c r="O7" s="32">
        <f t="shared" si="0"/>
        <v>62475</v>
      </c>
      <c r="P7" s="28" t="s">
        <v>16</v>
      </c>
    </row>
    <row r="8" spans="1:16" x14ac:dyDescent="0.35">
      <c r="A8" s="11" t="s">
        <v>1032</v>
      </c>
      <c r="B8" s="12">
        <f t="shared" si="2"/>
        <v>46104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25">
        <v>7</v>
      </c>
      <c r="H8" s="25"/>
      <c r="I8" s="11" t="s">
        <v>17</v>
      </c>
      <c r="J8" s="44">
        <v>19551836</v>
      </c>
      <c r="K8" s="45" t="s">
        <v>683</v>
      </c>
      <c r="L8" s="45" t="s">
        <v>681</v>
      </c>
      <c r="M8" s="33">
        <v>249900</v>
      </c>
      <c r="N8" s="31">
        <v>0.75</v>
      </c>
      <c r="O8" s="32">
        <f t="shared" si="0"/>
        <v>62475</v>
      </c>
      <c r="P8" s="28" t="s">
        <v>16</v>
      </c>
    </row>
    <row r="9" spans="1:16" x14ac:dyDescent="0.35">
      <c r="A9" s="11" t="s">
        <v>1032</v>
      </c>
      <c r="B9" s="12">
        <f t="shared" si="2"/>
        <v>46104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25">
        <v>7</v>
      </c>
      <c r="H9" s="25"/>
      <c r="I9" s="11" t="s">
        <v>17</v>
      </c>
      <c r="J9" s="44">
        <v>19551845</v>
      </c>
      <c r="K9" s="45" t="s">
        <v>683</v>
      </c>
      <c r="L9" s="45" t="s">
        <v>682</v>
      </c>
      <c r="M9" s="33">
        <v>249900</v>
      </c>
      <c r="N9" s="31">
        <v>0.75</v>
      </c>
      <c r="O9" s="32">
        <f t="shared" si="0"/>
        <v>62475</v>
      </c>
      <c r="P9" s="28" t="s">
        <v>16</v>
      </c>
    </row>
    <row r="10" spans="1:16" x14ac:dyDescent="0.35">
      <c r="A10" s="11" t="s">
        <v>1032</v>
      </c>
      <c r="B10" s="12">
        <f t="shared" si="2"/>
        <v>46104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25">
        <v>7</v>
      </c>
      <c r="H10" s="25"/>
      <c r="I10" s="11" t="s">
        <v>17</v>
      </c>
      <c r="J10" s="44">
        <v>76164979</v>
      </c>
      <c r="K10" s="45" t="s">
        <v>235</v>
      </c>
      <c r="L10" s="45" t="s">
        <v>433</v>
      </c>
      <c r="M10" s="33">
        <v>249900</v>
      </c>
      <c r="N10" s="31">
        <v>0.75</v>
      </c>
      <c r="O10" s="32">
        <f t="shared" si="0"/>
        <v>62475</v>
      </c>
      <c r="P10" s="28" t="s">
        <v>16</v>
      </c>
    </row>
    <row r="11" spans="1:16" x14ac:dyDescent="0.35">
      <c r="A11" s="11" t="s">
        <v>1032</v>
      </c>
      <c r="B11" s="12">
        <f t="shared" si="2"/>
        <v>46104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25">
        <v>7</v>
      </c>
      <c r="H11" s="25"/>
      <c r="I11" s="11" t="s">
        <v>17</v>
      </c>
      <c r="J11" s="44">
        <v>76164988</v>
      </c>
      <c r="K11" s="45" t="s">
        <v>235</v>
      </c>
      <c r="L11" s="45" t="s">
        <v>434</v>
      </c>
      <c r="M11" s="33">
        <v>249900</v>
      </c>
      <c r="N11" s="31">
        <v>0.75</v>
      </c>
      <c r="O11" s="32">
        <f t="shared" si="0"/>
        <v>62475</v>
      </c>
      <c r="P11" s="28" t="s">
        <v>16</v>
      </c>
    </row>
    <row r="12" spans="1:16" x14ac:dyDescent="0.35">
      <c r="A12" s="11" t="s">
        <v>1032</v>
      </c>
      <c r="B12" s="12">
        <f t="shared" si="2"/>
        <v>46104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25">
        <v>7</v>
      </c>
      <c r="H12" s="25"/>
      <c r="I12" s="11" t="s">
        <v>17</v>
      </c>
      <c r="J12" s="44">
        <v>76164997</v>
      </c>
      <c r="K12" s="45" t="s">
        <v>235</v>
      </c>
      <c r="L12" s="45" t="s">
        <v>435</v>
      </c>
      <c r="M12" s="33">
        <v>249900</v>
      </c>
      <c r="N12" s="31">
        <v>0.75</v>
      </c>
      <c r="O12" s="32">
        <f t="shared" si="0"/>
        <v>62475</v>
      </c>
      <c r="P12" s="28" t="s">
        <v>16</v>
      </c>
    </row>
    <row r="13" spans="1:16" x14ac:dyDescent="0.35">
      <c r="A13" s="11" t="s">
        <v>1032</v>
      </c>
      <c r="B13" s="12">
        <f t="shared" si="2"/>
        <v>46104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25">
        <v>7</v>
      </c>
      <c r="H13" s="25"/>
      <c r="I13" s="11" t="s">
        <v>17</v>
      </c>
      <c r="J13" s="44">
        <v>76165003</v>
      </c>
      <c r="K13" s="45" t="s">
        <v>235</v>
      </c>
      <c r="L13" s="45" t="s">
        <v>436</v>
      </c>
      <c r="M13" s="33">
        <v>249900</v>
      </c>
      <c r="N13" s="31">
        <v>0.75</v>
      </c>
      <c r="O13" s="32">
        <f t="shared" si="0"/>
        <v>62475</v>
      </c>
      <c r="P13" s="28" t="s">
        <v>16</v>
      </c>
    </row>
    <row r="14" spans="1:16" x14ac:dyDescent="0.35">
      <c r="A14" s="11" t="s">
        <v>1032</v>
      </c>
      <c r="B14" s="12">
        <f t="shared" si="2"/>
        <v>46104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25">
        <v>16</v>
      </c>
      <c r="H14" s="25"/>
      <c r="I14" s="11" t="s">
        <v>17</v>
      </c>
      <c r="J14" s="44">
        <v>76165058</v>
      </c>
      <c r="K14" s="45" t="s">
        <v>298</v>
      </c>
      <c r="L14" s="45" t="s">
        <v>437</v>
      </c>
      <c r="M14" s="46">
        <v>199900</v>
      </c>
      <c r="N14" s="31">
        <v>0.75</v>
      </c>
      <c r="O14" s="32">
        <f t="shared" si="0"/>
        <v>49975</v>
      </c>
      <c r="P14" s="28" t="s">
        <v>16</v>
      </c>
    </row>
    <row r="15" spans="1:16" x14ac:dyDescent="0.35">
      <c r="A15" s="11" t="s">
        <v>1032</v>
      </c>
      <c r="B15" s="12">
        <f t="shared" si="2"/>
        <v>46104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25">
        <v>16</v>
      </c>
      <c r="H15" s="25"/>
      <c r="I15" s="11" t="s">
        <v>17</v>
      </c>
      <c r="J15" s="44">
        <v>76165067</v>
      </c>
      <c r="K15" s="45" t="s">
        <v>298</v>
      </c>
      <c r="L15" s="45" t="s">
        <v>438</v>
      </c>
      <c r="M15" s="46">
        <v>199900</v>
      </c>
      <c r="N15" s="31">
        <v>0.75</v>
      </c>
      <c r="O15" s="32">
        <f t="shared" si="0"/>
        <v>49975</v>
      </c>
      <c r="P15" s="28" t="s">
        <v>16</v>
      </c>
    </row>
    <row r="16" spans="1:16" x14ac:dyDescent="0.35">
      <c r="A16" s="11" t="s">
        <v>1032</v>
      </c>
      <c r="B16" s="12">
        <f t="shared" si="2"/>
        <v>46104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25">
        <v>16</v>
      </c>
      <c r="H16" s="25"/>
      <c r="I16" s="11" t="s">
        <v>17</v>
      </c>
      <c r="J16" s="44">
        <v>76165076</v>
      </c>
      <c r="K16" s="45" t="s">
        <v>298</v>
      </c>
      <c r="L16" s="45" t="s">
        <v>439</v>
      </c>
      <c r="M16" s="46">
        <v>199900</v>
      </c>
      <c r="N16" s="31">
        <v>0.75</v>
      </c>
      <c r="O16" s="32">
        <f t="shared" si="0"/>
        <v>49975</v>
      </c>
      <c r="P16" s="28" t="s">
        <v>16</v>
      </c>
    </row>
    <row r="17" spans="1:16" x14ac:dyDescent="0.35">
      <c r="A17" s="11" t="s">
        <v>1032</v>
      </c>
      <c r="B17" s="12">
        <f t="shared" si="2"/>
        <v>46104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25">
        <v>16</v>
      </c>
      <c r="H17" s="25"/>
      <c r="I17" s="11" t="s">
        <v>17</v>
      </c>
      <c r="J17" s="44">
        <v>76165085</v>
      </c>
      <c r="K17" s="45" t="s">
        <v>298</v>
      </c>
      <c r="L17" s="45" t="s">
        <v>440</v>
      </c>
      <c r="M17" s="46">
        <v>199900</v>
      </c>
      <c r="N17" s="31">
        <v>0.75</v>
      </c>
      <c r="O17" s="32">
        <f t="shared" si="0"/>
        <v>49975</v>
      </c>
      <c r="P17" s="28" t="s">
        <v>16</v>
      </c>
    </row>
    <row r="18" spans="1:16" x14ac:dyDescent="0.35">
      <c r="A18" s="11" t="s">
        <v>1032</v>
      </c>
      <c r="B18" s="12">
        <f t="shared" si="2"/>
        <v>46104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25">
        <v>16</v>
      </c>
      <c r="H18" s="25"/>
      <c r="I18" s="11" t="s">
        <v>17</v>
      </c>
      <c r="J18" s="44">
        <v>76165094</v>
      </c>
      <c r="K18" s="45" t="s">
        <v>298</v>
      </c>
      <c r="L18" s="45" t="s">
        <v>441</v>
      </c>
      <c r="M18" s="46">
        <v>199900</v>
      </c>
      <c r="N18" s="31">
        <v>0.75</v>
      </c>
      <c r="O18" s="32">
        <f t="shared" si="0"/>
        <v>49975</v>
      </c>
      <c r="P18" s="28" t="s">
        <v>16</v>
      </c>
    </row>
    <row r="19" spans="1:16" x14ac:dyDescent="0.35">
      <c r="A19" s="11" t="s">
        <v>1032</v>
      </c>
      <c r="B19" s="12">
        <f t="shared" si="2"/>
        <v>46104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25">
        <v>16</v>
      </c>
      <c r="H19" s="25"/>
      <c r="I19" s="11" t="s">
        <v>17</v>
      </c>
      <c r="J19" s="44">
        <v>76165101</v>
      </c>
      <c r="K19" s="45" t="s">
        <v>298</v>
      </c>
      <c r="L19" s="45" t="s">
        <v>442</v>
      </c>
      <c r="M19" s="46">
        <v>199900</v>
      </c>
      <c r="N19" s="31">
        <v>0.75</v>
      </c>
      <c r="O19" s="32">
        <f t="shared" si="0"/>
        <v>49975</v>
      </c>
      <c r="P19" s="28" t="s">
        <v>16</v>
      </c>
    </row>
    <row r="20" spans="1:16" x14ac:dyDescent="0.35">
      <c r="A20" s="11" t="s">
        <v>1032</v>
      </c>
      <c r="B20" s="12">
        <f t="shared" si="2"/>
        <v>46104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25">
        <v>16</v>
      </c>
      <c r="H20" s="25"/>
      <c r="I20" s="11" t="s">
        <v>17</v>
      </c>
      <c r="J20" s="44">
        <v>76165110</v>
      </c>
      <c r="K20" s="45" t="s">
        <v>298</v>
      </c>
      <c r="L20" s="45" t="s">
        <v>443</v>
      </c>
      <c r="M20" s="46">
        <v>199900</v>
      </c>
      <c r="N20" s="31">
        <v>0.75</v>
      </c>
      <c r="O20" s="32">
        <f t="shared" si="0"/>
        <v>49975</v>
      </c>
      <c r="P20" s="28" t="s">
        <v>16</v>
      </c>
    </row>
    <row r="21" spans="1:16" x14ac:dyDescent="0.35">
      <c r="A21" s="11" t="s">
        <v>1032</v>
      </c>
      <c r="B21" s="12">
        <f t="shared" si="2"/>
        <v>46104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47">
        <v>16</v>
      </c>
      <c r="H21" s="47"/>
      <c r="I21" s="11" t="s">
        <v>17</v>
      </c>
      <c r="J21" s="48">
        <v>76165129</v>
      </c>
      <c r="K21" s="49" t="s">
        <v>298</v>
      </c>
      <c r="L21" s="49" t="s">
        <v>444</v>
      </c>
      <c r="M21" s="50">
        <v>199900</v>
      </c>
      <c r="N21" s="31">
        <v>0.75</v>
      </c>
      <c r="O21" s="32">
        <f t="shared" si="0"/>
        <v>49975</v>
      </c>
      <c r="P21" s="28" t="s">
        <v>16</v>
      </c>
    </row>
    <row r="22" spans="1:16" x14ac:dyDescent="0.35">
      <c r="A22" s="11" t="s">
        <v>1032</v>
      </c>
      <c r="B22" s="12">
        <f t="shared" si="2"/>
        <v>46104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25">
        <v>7</v>
      </c>
      <c r="H22" s="25"/>
      <c r="I22" s="11" t="s">
        <v>17</v>
      </c>
      <c r="J22" s="51">
        <v>15258198</v>
      </c>
      <c r="K22" s="45" t="s">
        <v>137</v>
      </c>
      <c r="L22" s="45" t="s">
        <v>138</v>
      </c>
      <c r="M22" s="33">
        <v>299900</v>
      </c>
      <c r="N22" s="31">
        <v>0.75</v>
      </c>
      <c r="O22" s="32">
        <f t="shared" si="0"/>
        <v>74975</v>
      </c>
      <c r="P22" s="28" t="s">
        <v>16</v>
      </c>
    </row>
    <row r="23" spans="1:16" x14ac:dyDescent="0.35">
      <c r="A23" s="11" t="s">
        <v>1032</v>
      </c>
      <c r="B23" s="12">
        <f t="shared" si="2"/>
        <v>46104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25">
        <v>7</v>
      </c>
      <c r="H23" s="25"/>
      <c r="I23" s="11" t="s">
        <v>17</v>
      </c>
      <c r="J23" s="51">
        <v>15258205</v>
      </c>
      <c r="K23" s="45" t="s">
        <v>137</v>
      </c>
      <c r="L23" s="45" t="s">
        <v>139</v>
      </c>
      <c r="M23" s="33">
        <v>299900</v>
      </c>
      <c r="N23" s="31">
        <v>0.75</v>
      </c>
      <c r="O23" s="32">
        <f t="shared" si="0"/>
        <v>74975</v>
      </c>
      <c r="P23" s="28" t="s">
        <v>16</v>
      </c>
    </row>
    <row r="24" spans="1:16" x14ac:dyDescent="0.35">
      <c r="A24" s="11" t="s">
        <v>1032</v>
      </c>
      <c r="B24" s="12">
        <f t="shared" si="2"/>
        <v>46104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25">
        <v>7</v>
      </c>
      <c r="H24" s="25"/>
      <c r="I24" s="11" t="s">
        <v>17</v>
      </c>
      <c r="J24" s="51">
        <v>15258214</v>
      </c>
      <c r="K24" s="45" t="s">
        <v>137</v>
      </c>
      <c r="L24" s="45" t="s">
        <v>140</v>
      </c>
      <c r="M24" s="33">
        <v>299900</v>
      </c>
      <c r="N24" s="31">
        <v>0.75</v>
      </c>
      <c r="O24" s="32">
        <f t="shared" si="0"/>
        <v>74975</v>
      </c>
      <c r="P24" s="28" t="s">
        <v>16</v>
      </c>
    </row>
    <row r="25" spans="1:16" x14ac:dyDescent="0.35">
      <c r="A25" s="11" t="s">
        <v>1032</v>
      </c>
      <c r="B25" s="12">
        <f t="shared" si="2"/>
        <v>46104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25">
        <v>7</v>
      </c>
      <c r="H25" s="25"/>
      <c r="I25" s="11" t="s">
        <v>17</v>
      </c>
      <c r="J25" s="51">
        <v>15258223</v>
      </c>
      <c r="K25" s="45" t="s">
        <v>137</v>
      </c>
      <c r="L25" s="45" t="s">
        <v>141</v>
      </c>
      <c r="M25" s="33">
        <v>299900</v>
      </c>
      <c r="N25" s="31">
        <v>0.75</v>
      </c>
      <c r="O25" s="32">
        <f t="shared" si="0"/>
        <v>74975</v>
      </c>
      <c r="P25" s="28" t="s">
        <v>16</v>
      </c>
    </row>
    <row r="26" spans="1:16" x14ac:dyDescent="0.35">
      <c r="A26" s="11" t="s">
        <v>1032</v>
      </c>
      <c r="B26" s="12">
        <f t="shared" si="2"/>
        <v>46104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25">
        <v>7</v>
      </c>
      <c r="H26" s="25"/>
      <c r="I26" s="11" t="s">
        <v>17</v>
      </c>
      <c r="J26" s="51">
        <v>15390811</v>
      </c>
      <c r="K26" s="45" t="s">
        <v>142</v>
      </c>
      <c r="L26" s="45" t="s">
        <v>143</v>
      </c>
      <c r="M26" s="33">
        <v>249900</v>
      </c>
      <c r="N26" s="31">
        <v>0.75</v>
      </c>
      <c r="O26" s="32">
        <f t="shared" si="0"/>
        <v>62475</v>
      </c>
      <c r="P26" s="28" t="s">
        <v>16</v>
      </c>
    </row>
    <row r="27" spans="1:16" x14ac:dyDescent="0.35">
      <c r="A27" s="11" t="s">
        <v>1032</v>
      </c>
      <c r="B27" s="12">
        <f t="shared" si="2"/>
        <v>46104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25">
        <v>7</v>
      </c>
      <c r="H27" s="25"/>
      <c r="I27" s="11" t="s">
        <v>17</v>
      </c>
      <c r="J27" s="51">
        <v>15390820</v>
      </c>
      <c r="K27" s="45" t="s">
        <v>142</v>
      </c>
      <c r="L27" s="45" t="s">
        <v>144</v>
      </c>
      <c r="M27" s="33">
        <v>249900</v>
      </c>
      <c r="N27" s="31">
        <v>0.75</v>
      </c>
      <c r="O27" s="32">
        <f t="shared" si="0"/>
        <v>62475</v>
      </c>
      <c r="P27" s="28" t="s">
        <v>16</v>
      </c>
    </row>
    <row r="28" spans="1:16" x14ac:dyDescent="0.35">
      <c r="A28" s="11" t="s">
        <v>1032</v>
      </c>
      <c r="B28" s="12">
        <f t="shared" si="2"/>
        <v>46104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25">
        <v>7</v>
      </c>
      <c r="H28" s="25"/>
      <c r="I28" s="11" t="s">
        <v>17</v>
      </c>
      <c r="J28" s="51">
        <v>15390839</v>
      </c>
      <c r="K28" s="45" t="s">
        <v>142</v>
      </c>
      <c r="L28" s="45" t="s">
        <v>145</v>
      </c>
      <c r="M28" s="33">
        <v>249900</v>
      </c>
      <c r="N28" s="31">
        <v>0.75</v>
      </c>
      <c r="O28" s="32">
        <f t="shared" si="0"/>
        <v>62475</v>
      </c>
      <c r="P28" s="28" t="s">
        <v>16</v>
      </c>
    </row>
    <row r="29" spans="1:16" x14ac:dyDescent="0.35">
      <c r="A29" s="11" t="s">
        <v>1032</v>
      </c>
      <c r="B29" s="12">
        <f t="shared" si="2"/>
        <v>46104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25">
        <v>7</v>
      </c>
      <c r="H29" s="25"/>
      <c r="I29" s="11" t="s">
        <v>17</v>
      </c>
      <c r="J29" s="51">
        <v>15390848</v>
      </c>
      <c r="K29" s="45" t="s">
        <v>142</v>
      </c>
      <c r="L29" s="45" t="s">
        <v>146</v>
      </c>
      <c r="M29" s="33">
        <v>249900</v>
      </c>
      <c r="N29" s="31">
        <v>0.75</v>
      </c>
      <c r="O29" s="32">
        <f t="shared" si="0"/>
        <v>62475</v>
      </c>
      <c r="P29" s="28" t="s">
        <v>16</v>
      </c>
    </row>
    <row r="30" spans="1:16" x14ac:dyDescent="0.35">
      <c r="A30" s="11" t="s">
        <v>1032</v>
      </c>
      <c r="B30" s="12">
        <f t="shared" si="2"/>
        <v>46104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25">
        <v>7</v>
      </c>
      <c r="H30" s="25"/>
      <c r="I30" s="11" t="s">
        <v>17</v>
      </c>
      <c r="J30" s="51">
        <v>15390857</v>
      </c>
      <c r="K30" s="45" t="s">
        <v>142</v>
      </c>
      <c r="L30" s="45" t="s">
        <v>147</v>
      </c>
      <c r="M30" s="33">
        <v>249900</v>
      </c>
      <c r="N30" s="31">
        <v>0.75</v>
      </c>
      <c r="O30" s="32">
        <f t="shared" si="0"/>
        <v>62475</v>
      </c>
      <c r="P30" s="28" t="s">
        <v>16</v>
      </c>
    </row>
    <row r="31" spans="1:16" x14ac:dyDescent="0.35">
      <c r="A31" s="11" t="s">
        <v>1032</v>
      </c>
      <c r="B31" s="12">
        <f t="shared" si="2"/>
        <v>46104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25">
        <v>7</v>
      </c>
      <c r="H31" s="25"/>
      <c r="I31" s="11" t="s">
        <v>17</v>
      </c>
      <c r="J31" s="51">
        <v>15390866</v>
      </c>
      <c r="K31" s="45" t="s">
        <v>142</v>
      </c>
      <c r="L31" s="45" t="s">
        <v>148</v>
      </c>
      <c r="M31" s="33">
        <v>249900</v>
      </c>
      <c r="N31" s="31">
        <v>0.75</v>
      </c>
      <c r="O31" s="32">
        <f t="shared" si="0"/>
        <v>62475</v>
      </c>
      <c r="P31" s="28" t="s">
        <v>16</v>
      </c>
    </row>
    <row r="32" spans="1:16" x14ac:dyDescent="0.35">
      <c r="A32" s="11" t="s">
        <v>1032</v>
      </c>
      <c r="B32" s="12">
        <f t="shared" si="2"/>
        <v>46104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25">
        <v>7</v>
      </c>
      <c r="H32" s="25"/>
      <c r="I32" s="11" t="s">
        <v>17</v>
      </c>
      <c r="J32" s="51">
        <v>15390875</v>
      </c>
      <c r="K32" s="45" t="s">
        <v>142</v>
      </c>
      <c r="L32" s="45" t="s">
        <v>149</v>
      </c>
      <c r="M32" s="33">
        <v>249900</v>
      </c>
      <c r="N32" s="31">
        <v>0.75</v>
      </c>
      <c r="O32" s="32">
        <f t="shared" si="0"/>
        <v>62475</v>
      </c>
      <c r="P32" s="28" t="s">
        <v>16</v>
      </c>
    </row>
    <row r="33" spans="1:16" x14ac:dyDescent="0.35">
      <c r="A33" s="11" t="s">
        <v>1032</v>
      </c>
      <c r="B33" s="12">
        <f t="shared" si="2"/>
        <v>46104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25">
        <v>7</v>
      </c>
      <c r="H33" s="25"/>
      <c r="I33" s="11" t="s">
        <v>17</v>
      </c>
      <c r="J33" s="51">
        <v>15390884</v>
      </c>
      <c r="K33" s="45" t="s">
        <v>142</v>
      </c>
      <c r="L33" s="45" t="s">
        <v>150</v>
      </c>
      <c r="M33" s="33">
        <v>249900</v>
      </c>
      <c r="N33" s="31">
        <v>0.75</v>
      </c>
      <c r="O33" s="32">
        <f t="shared" si="0"/>
        <v>62475</v>
      </c>
      <c r="P33" s="28" t="s">
        <v>16</v>
      </c>
    </row>
    <row r="34" spans="1:16" x14ac:dyDescent="0.35">
      <c r="A34" s="11" t="s">
        <v>1032</v>
      </c>
      <c r="B34" s="12">
        <f t="shared" si="2"/>
        <v>46104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25">
        <v>7</v>
      </c>
      <c r="H34" s="25"/>
      <c r="I34" s="11" t="s">
        <v>17</v>
      </c>
      <c r="J34" s="51">
        <v>17148446</v>
      </c>
      <c r="K34" s="45" t="s">
        <v>230</v>
      </c>
      <c r="L34" s="45" t="s">
        <v>231</v>
      </c>
      <c r="M34" s="33">
        <v>179900</v>
      </c>
      <c r="N34" s="31">
        <v>0.75</v>
      </c>
      <c r="O34" s="32">
        <f t="shared" ref="O34:O65" si="4">M34-(M34*N34)</f>
        <v>44975</v>
      </c>
      <c r="P34" s="28" t="s">
        <v>16</v>
      </c>
    </row>
    <row r="35" spans="1:16" x14ac:dyDescent="0.35">
      <c r="A35" s="11" t="s">
        <v>1032</v>
      </c>
      <c r="B35" s="12">
        <f t="shared" ref="B35:B66" si="5">B34</f>
        <v>46104</v>
      </c>
      <c r="C35" s="12">
        <f t="shared" ref="C35:C66" si="6">C34</f>
        <v>46113</v>
      </c>
      <c r="D35" s="11">
        <v>3259</v>
      </c>
      <c r="E35" s="11">
        <v>333</v>
      </c>
      <c r="F35" s="11">
        <v>3</v>
      </c>
      <c r="G35" s="25">
        <v>7</v>
      </c>
      <c r="H35" s="25"/>
      <c r="I35" s="11" t="s">
        <v>17</v>
      </c>
      <c r="J35" s="51">
        <v>17148455</v>
      </c>
      <c r="K35" s="45" t="s">
        <v>230</v>
      </c>
      <c r="L35" s="45" t="s">
        <v>232</v>
      </c>
      <c r="M35" s="33">
        <v>179900</v>
      </c>
      <c r="N35" s="31">
        <v>0.75</v>
      </c>
      <c r="O35" s="32">
        <f t="shared" si="4"/>
        <v>44975</v>
      </c>
      <c r="P35" s="28" t="s">
        <v>16</v>
      </c>
    </row>
    <row r="36" spans="1:16" x14ac:dyDescent="0.35">
      <c r="A36" s="11" t="s">
        <v>1032</v>
      </c>
      <c r="B36" s="12">
        <f t="shared" si="5"/>
        <v>46104</v>
      </c>
      <c r="C36" s="12">
        <f t="shared" si="6"/>
        <v>46113</v>
      </c>
      <c r="D36" s="11">
        <v>3259</v>
      </c>
      <c r="E36" s="11">
        <v>333</v>
      </c>
      <c r="F36" s="11">
        <v>3</v>
      </c>
      <c r="G36" s="25">
        <v>7</v>
      </c>
      <c r="H36" s="25"/>
      <c r="I36" s="11" t="s">
        <v>17</v>
      </c>
      <c r="J36" s="51">
        <v>17148464</v>
      </c>
      <c r="K36" s="45" t="s">
        <v>230</v>
      </c>
      <c r="L36" s="45" t="s">
        <v>233</v>
      </c>
      <c r="M36" s="33">
        <v>179900</v>
      </c>
      <c r="N36" s="31">
        <v>0.75</v>
      </c>
      <c r="O36" s="32">
        <f t="shared" si="4"/>
        <v>44975</v>
      </c>
      <c r="P36" s="28" t="s">
        <v>16</v>
      </c>
    </row>
    <row r="37" spans="1:16" x14ac:dyDescent="0.35">
      <c r="A37" s="11" t="s">
        <v>1032</v>
      </c>
      <c r="B37" s="12">
        <f t="shared" si="5"/>
        <v>46104</v>
      </c>
      <c r="C37" s="12">
        <f t="shared" si="6"/>
        <v>46113</v>
      </c>
      <c r="D37" s="11">
        <v>3259</v>
      </c>
      <c r="E37" s="11">
        <v>333</v>
      </c>
      <c r="F37" s="11">
        <v>3</v>
      </c>
      <c r="G37" s="25">
        <v>7</v>
      </c>
      <c r="H37" s="25"/>
      <c r="I37" s="11" t="s">
        <v>17</v>
      </c>
      <c r="J37" s="51">
        <v>17148473</v>
      </c>
      <c r="K37" s="45" t="s">
        <v>230</v>
      </c>
      <c r="L37" s="45" t="s">
        <v>234</v>
      </c>
      <c r="M37" s="33">
        <v>179900</v>
      </c>
      <c r="N37" s="31">
        <v>0.75</v>
      </c>
      <c r="O37" s="32">
        <f t="shared" si="4"/>
        <v>44975</v>
      </c>
      <c r="P37" s="28" t="s">
        <v>16</v>
      </c>
    </row>
    <row r="38" spans="1:16" x14ac:dyDescent="0.35">
      <c r="A38" s="11" t="s">
        <v>1032</v>
      </c>
      <c r="B38" s="12">
        <f t="shared" si="5"/>
        <v>46104</v>
      </c>
      <c r="C38" s="12">
        <f t="shared" si="6"/>
        <v>46113</v>
      </c>
      <c r="D38" s="11">
        <v>3259</v>
      </c>
      <c r="E38" s="11">
        <v>333</v>
      </c>
      <c r="F38" s="11">
        <v>3</v>
      </c>
      <c r="G38" s="25">
        <v>7</v>
      </c>
      <c r="H38" s="25"/>
      <c r="I38" s="11" t="s">
        <v>17</v>
      </c>
      <c r="J38" s="51">
        <v>21642108</v>
      </c>
      <c r="K38" s="45" t="s">
        <v>230</v>
      </c>
      <c r="L38" s="45" t="s">
        <v>656</v>
      </c>
      <c r="M38" s="33">
        <v>179900</v>
      </c>
      <c r="N38" s="31">
        <v>0.75</v>
      </c>
      <c r="O38" s="32">
        <f t="shared" si="4"/>
        <v>44975</v>
      </c>
      <c r="P38" s="28" t="s">
        <v>16</v>
      </c>
    </row>
    <row r="39" spans="1:16" x14ac:dyDescent="0.35">
      <c r="A39" s="11" t="s">
        <v>1032</v>
      </c>
      <c r="B39" s="12">
        <f t="shared" si="5"/>
        <v>46104</v>
      </c>
      <c r="C39" s="12">
        <f t="shared" si="6"/>
        <v>46113</v>
      </c>
      <c r="D39" s="11">
        <v>3259</v>
      </c>
      <c r="E39" s="11">
        <v>333</v>
      </c>
      <c r="F39" s="11">
        <v>3</v>
      </c>
      <c r="G39" s="25">
        <v>7</v>
      </c>
      <c r="H39" s="25"/>
      <c r="I39" s="11" t="s">
        <v>17</v>
      </c>
      <c r="J39" s="51">
        <v>21642117</v>
      </c>
      <c r="K39" s="45" t="s">
        <v>230</v>
      </c>
      <c r="L39" s="45" t="s">
        <v>657</v>
      </c>
      <c r="M39" s="33">
        <v>179900</v>
      </c>
      <c r="N39" s="31">
        <v>0.75</v>
      </c>
      <c r="O39" s="32">
        <f t="shared" si="4"/>
        <v>44975</v>
      </c>
      <c r="P39" s="28" t="s">
        <v>16</v>
      </c>
    </row>
    <row r="40" spans="1:16" x14ac:dyDescent="0.35">
      <c r="A40" s="11" t="s">
        <v>1032</v>
      </c>
      <c r="B40" s="12">
        <f t="shared" si="5"/>
        <v>46104</v>
      </c>
      <c r="C40" s="12">
        <f t="shared" si="6"/>
        <v>46113</v>
      </c>
      <c r="D40" s="11">
        <v>3259</v>
      </c>
      <c r="E40" s="11">
        <v>333</v>
      </c>
      <c r="F40" s="11">
        <v>3</v>
      </c>
      <c r="G40" s="25">
        <v>7</v>
      </c>
      <c r="H40" s="25"/>
      <c r="I40" s="11" t="s">
        <v>17</v>
      </c>
      <c r="J40" s="51">
        <v>21642126</v>
      </c>
      <c r="K40" s="45" t="s">
        <v>230</v>
      </c>
      <c r="L40" s="45" t="s">
        <v>658</v>
      </c>
      <c r="M40" s="33">
        <v>179900</v>
      </c>
      <c r="N40" s="31">
        <v>0.75</v>
      </c>
      <c r="O40" s="32">
        <f t="shared" si="4"/>
        <v>44975</v>
      </c>
      <c r="P40" s="28" t="s">
        <v>16</v>
      </c>
    </row>
    <row r="41" spans="1:16" x14ac:dyDescent="0.35">
      <c r="A41" s="11" t="s">
        <v>1032</v>
      </c>
      <c r="B41" s="12">
        <f t="shared" si="5"/>
        <v>46104</v>
      </c>
      <c r="C41" s="12">
        <f t="shared" si="6"/>
        <v>46113</v>
      </c>
      <c r="D41" s="11">
        <v>3259</v>
      </c>
      <c r="E41" s="11">
        <v>333</v>
      </c>
      <c r="F41" s="11">
        <v>3</v>
      </c>
      <c r="G41" s="25">
        <v>7</v>
      </c>
      <c r="H41" s="25"/>
      <c r="I41" s="11" t="s">
        <v>17</v>
      </c>
      <c r="J41" s="51">
        <v>21642135</v>
      </c>
      <c r="K41" s="45" t="s">
        <v>230</v>
      </c>
      <c r="L41" s="45" t="s">
        <v>659</v>
      </c>
      <c r="M41" s="33">
        <v>179900</v>
      </c>
      <c r="N41" s="31">
        <v>0.75</v>
      </c>
      <c r="O41" s="32">
        <f t="shared" si="4"/>
        <v>44975</v>
      </c>
      <c r="P41" s="28" t="s">
        <v>16</v>
      </c>
    </row>
    <row r="42" spans="1:16" x14ac:dyDescent="0.35">
      <c r="A42" s="11" t="s">
        <v>1032</v>
      </c>
      <c r="B42" s="12">
        <f t="shared" si="5"/>
        <v>46104</v>
      </c>
      <c r="C42" s="12">
        <f t="shared" si="6"/>
        <v>46113</v>
      </c>
      <c r="D42" s="11">
        <v>3259</v>
      </c>
      <c r="E42" s="11">
        <v>333</v>
      </c>
      <c r="F42" s="11">
        <v>3</v>
      </c>
      <c r="G42" s="25">
        <v>7</v>
      </c>
      <c r="H42" s="25"/>
      <c r="I42" s="11" t="s">
        <v>17</v>
      </c>
      <c r="J42" s="51">
        <v>81850173</v>
      </c>
      <c r="K42" s="45" t="s">
        <v>137</v>
      </c>
      <c r="L42" s="45" t="s">
        <v>236</v>
      </c>
      <c r="M42" s="33">
        <v>299900</v>
      </c>
      <c r="N42" s="31">
        <v>0.75</v>
      </c>
      <c r="O42" s="32">
        <f t="shared" si="4"/>
        <v>74975</v>
      </c>
      <c r="P42" s="28" t="s">
        <v>16</v>
      </c>
    </row>
    <row r="43" spans="1:16" x14ac:dyDescent="0.35">
      <c r="A43" s="11" t="s">
        <v>1032</v>
      </c>
      <c r="B43" s="12">
        <f t="shared" si="5"/>
        <v>46104</v>
      </c>
      <c r="C43" s="12">
        <f t="shared" si="6"/>
        <v>46113</v>
      </c>
      <c r="D43" s="11">
        <v>3259</v>
      </c>
      <c r="E43" s="11">
        <v>333</v>
      </c>
      <c r="F43" s="11">
        <v>3</v>
      </c>
      <c r="G43" s="25">
        <v>7</v>
      </c>
      <c r="H43" s="25"/>
      <c r="I43" s="11" t="s">
        <v>17</v>
      </c>
      <c r="J43" s="51">
        <v>81850182</v>
      </c>
      <c r="K43" s="45" t="s">
        <v>137</v>
      </c>
      <c r="L43" s="45" t="s">
        <v>237</v>
      </c>
      <c r="M43" s="33">
        <v>299900</v>
      </c>
      <c r="N43" s="31">
        <v>0.75</v>
      </c>
      <c r="O43" s="32">
        <f t="shared" si="4"/>
        <v>74975</v>
      </c>
      <c r="P43" s="28" t="s">
        <v>16</v>
      </c>
    </row>
    <row r="44" spans="1:16" x14ac:dyDescent="0.35">
      <c r="A44" s="11" t="s">
        <v>1032</v>
      </c>
      <c r="B44" s="12">
        <f t="shared" si="5"/>
        <v>46104</v>
      </c>
      <c r="C44" s="12">
        <f t="shared" si="6"/>
        <v>46113</v>
      </c>
      <c r="D44" s="11">
        <v>3259</v>
      </c>
      <c r="E44" s="11">
        <v>333</v>
      </c>
      <c r="F44" s="11">
        <v>3</v>
      </c>
      <c r="G44" s="25">
        <v>7</v>
      </c>
      <c r="H44" s="25"/>
      <c r="I44" s="11" t="s">
        <v>17</v>
      </c>
      <c r="J44" s="51">
        <v>81850191</v>
      </c>
      <c r="K44" s="45" t="s">
        <v>137</v>
      </c>
      <c r="L44" s="45" t="s">
        <v>238</v>
      </c>
      <c r="M44" s="33">
        <v>299900</v>
      </c>
      <c r="N44" s="31">
        <v>0.75</v>
      </c>
      <c r="O44" s="32">
        <f t="shared" si="4"/>
        <v>74975</v>
      </c>
      <c r="P44" s="28" t="s">
        <v>16</v>
      </c>
    </row>
    <row r="45" spans="1:16" x14ac:dyDescent="0.35">
      <c r="A45" s="11" t="s">
        <v>1032</v>
      </c>
      <c r="B45" s="12">
        <f t="shared" si="5"/>
        <v>46104</v>
      </c>
      <c r="C45" s="12">
        <f t="shared" si="6"/>
        <v>46113</v>
      </c>
      <c r="D45" s="11">
        <v>3259</v>
      </c>
      <c r="E45" s="11">
        <v>333</v>
      </c>
      <c r="F45" s="11">
        <v>3</v>
      </c>
      <c r="G45" s="25">
        <v>7</v>
      </c>
      <c r="H45" s="25"/>
      <c r="I45" s="11" t="s">
        <v>17</v>
      </c>
      <c r="J45" s="51">
        <v>81850208</v>
      </c>
      <c r="K45" s="45" t="s">
        <v>137</v>
      </c>
      <c r="L45" s="45" t="s">
        <v>239</v>
      </c>
      <c r="M45" s="33">
        <v>299900</v>
      </c>
      <c r="N45" s="31">
        <v>0.75</v>
      </c>
      <c r="O45" s="32">
        <f t="shared" si="4"/>
        <v>74975</v>
      </c>
      <c r="P45" s="28" t="s">
        <v>16</v>
      </c>
    </row>
    <row r="46" spans="1:16" x14ac:dyDescent="0.35">
      <c r="A46" s="11" t="s">
        <v>1032</v>
      </c>
      <c r="B46" s="12">
        <f t="shared" si="5"/>
        <v>46104</v>
      </c>
      <c r="C46" s="12">
        <f t="shared" si="6"/>
        <v>46113</v>
      </c>
      <c r="D46" s="11">
        <v>3259</v>
      </c>
      <c r="E46" s="11">
        <v>333</v>
      </c>
      <c r="F46" s="11">
        <v>3</v>
      </c>
      <c r="G46" s="25">
        <v>7</v>
      </c>
      <c r="H46" s="25"/>
      <c r="I46" s="11" t="s">
        <v>17</v>
      </c>
      <c r="J46" s="51">
        <v>81850333</v>
      </c>
      <c r="K46" s="45" t="s">
        <v>137</v>
      </c>
      <c r="L46" s="45" t="s">
        <v>240</v>
      </c>
      <c r="M46" s="33">
        <v>299900</v>
      </c>
      <c r="N46" s="31">
        <v>0.75</v>
      </c>
      <c r="O46" s="32">
        <f t="shared" si="4"/>
        <v>74975</v>
      </c>
      <c r="P46" s="28" t="s">
        <v>16</v>
      </c>
    </row>
    <row r="47" spans="1:16" x14ac:dyDescent="0.35">
      <c r="A47" s="11" t="s">
        <v>1032</v>
      </c>
      <c r="B47" s="12">
        <f t="shared" si="5"/>
        <v>46104</v>
      </c>
      <c r="C47" s="12">
        <f t="shared" si="6"/>
        <v>46113</v>
      </c>
      <c r="D47" s="11">
        <v>3259</v>
      </c>
      <c r="E47" s="11">
        <v>333</v>
      </c>
      <c r="F47" s="11">
        <v>3</v>
      </c>
      <c r="G47" s="25">
        <v>7</v>
      </c>
      <c r="H47" s="25"/>
      <c r="I47" s="11" t="s">
        <v>17</v>
      </c>
      <c r="J47" s="51">
        <v>81850342</v>
      </c>
      <c r="K47" s="45" t="s">
        <v>137</v>
      </c>
      <c r="L47" s="45" t="s">
        <v>241</v>
      </c>
      <c r="M47" s="33">
        <v>299900</v>
      </c>
      <c r="N47" s="31">
        <v>0.75</v>
      </c>
      <c r="O47" s="32">
        <f t="shared" si="4"/>
        <v>74975</v>
      </c>
      <c r="P47" s="28" t="s">
        <v>16</v>
      </c>
    </row>
    <row r="48" spans="1:16" x14ac:dyDescent="0.35">
      <c r="A48" s="11" t="s">
        <v>1032</v>
      </c>
      <c r="B48" s="12">
        <f t="shared" si="5"/>
        <v>46104</v>
      </c>
      <c r="C48" s="12">
        <f t="shared" si="6"/>
        <v>46113</v>
      </c>
      <c r="D48" s="11">
        <v>3259</v>
      </c>
      <c r="E48" s="11">
        <v>333</v>
      </c>
      <c r="F48" s="11">
        <v>3</v>
      </c>
      <c r="G48" s="25">
        <v>7</v>
      </c>
      <c r="H48" s="25"/>
      <c r="I48" s="11" t="s">
        <v>17</v>
      </c>
      <c r="J48" s="51">
        <v>81850351</v>
      </c>
      <c r="K48" s="45" t="s">
        <v>137</v>
      </c>
      <c r="L48" s="45" t="s">
        <v>242</v>
      </c>
      <c r="M48" s="33">
        <v>299900</v>
      </c>
      <c r="N48" s="31">
        <v>0.75</v>
      </c>
      <c r="O48" s="32">
        <f t="shared" si="4"/>
        <v>74975</v>
      </c>
      <c r="P48" s="28" t="s">
        <v>16</v>
      </c>
    </row>
    <row r="49" spans="1:16" x14ac:dyDescent="0.35">
      <c r="A49" s="11" t="s">
        <v>1032</v>
      </c>
      <c r="B49" s="12">
        <f t="shared" si="5"/>
        <v>46104</v>
      </c>
      <c r="C49" s="12">
        <f t="shared" si="6"/>
        <v>46113</v>
      </c>
      <c r="D49" s="11">
        <v>3259</v>
      </c>
      <c r="E49" s="11">
        <v>333</v>
      </c>
      <c r="F49" s="11">
        <v>3</v>
      </c>
      <c r="G49" s="25">
        <v>7</v>
      </c>
      <c r="H49" s="25"/>
      <c r="I49" s="11" t="s">
        <v>17</v>
      </c>
      <c r="J49" s="51">
        <v>81850360</v>
      </c>
      <c r="K49" s="45" t="s">
        <v>137</v>
      </c>
      <c r="L49" s="45" t="s">
        <v>243</v>
      </c>
      <c r="M49" s="33">
        <v>299900</v>
      </c>
      <c r="N49" s="31">
        <v>0.75</v>
      </c>
      <c r="O49" s="32">
        <f t="shared" si="4"/>
        <v>74975</v>
      </c>
      <c r="P49" s="28" t="s">
        <v>16</v>
      </c>
    </row>
    <row r="50" spans="1:16" x14ac:dyDescent="0.35">
      <c r="A50" s="11" t="s">
        <v>1032</v>
      </c>
      <c r="B50" s="12">
        <f t="shared" si="5"/>
        <v>46104</v>
      </c>
      <c r="C50" s="12">
        <f t="shared" si="6"/>
        <v>46113</v>
      </c>
      <c r="D50" s="11">
        <v>3259</v>
      </c>
      <c r="E50" s="11">
        <v>333</v>
      </c>
      <c r="F50" s="11">
        <v>3</v>
      </c>
      <c r="G50" s="25">
        <v>16</v>
      </c>
      <c r="H50" s="25"/>
      <c r="I50" s="11" t="s">
        <v>17</v>
      </c>
      <c r="J50" s="51">
        <v>15256994</v>
      </c>
      <c r="K50" s="45" t="s">
        <v>111</v>
      </c>
      <c r="L50" s="45" t="s">
        <v>112</v>
      </c>
      <c r="M50" s="33">
        <v>199900</v>
      </c>
      <c r="N50" s="31">
        <v>0.75</v>
      </c>
      <c r="O50" s="32">
        <f t="shared" si="4"/>
        <v>49975</v>
      </c>
      <c r="P50" s="28" t="s">
        <v>16</v>
      </c>
    </row>
    <row r="51" spans="1:16" x14ac:dyDescent="0.35">
      <c r="A51" s="11" t="s">
        <v>1032</v>
      </c>
      <c r="B51" s="12">
        <f t="shared" si="5"/>
        <v>46104</v>
      </c>
      <c r="C51" s="12">
        <f t="shared" si="6"/>
        <v>46113</v>
      </c>
      <c r="D51" s="11">
        <v>3259</v>
      </c>
      <c r="E51" s="11">
        <v>333</v>
      </c>
      <c r="F51" s="11">
        <v>3</v>
      </c>
      <c r="G51" s="25">
        <v>16</v>
      </c>
      <c r="H51" s="25"/>
      <c r="I51" s="11" t="s">
        <v>17</v>
      </c>
      <c r="J51" s="51">
        <v>15257000</v>
      </c>
      <c r="K51" s="45" t="s">
        <v>111</v>
      </c>
      <c r="L51" s="45" t="s">
        <v>113</v>
      </c>
      <c r="M51" s="33">
        <v>199900</v>
      </c>
      <c r="N51" s="31">
        <v>0.75</v>
      </c>
      <c r="O51" s="32">
        <f t="shared" si="4"/>
        <v>49975</v>
      </c>
      <c r="P51" s="28" t="s">
        <v>16</v>
      </c>
    </row>
    <row r="52" spans="1:16" x14ac:dyDescent="0.35">
      <c r="A52" s="11" t="s">
        <v>1032</v>
      </c>
      <c r="B52" s="12">
        <f t="shared" si="5"/>
        <v>46104</v>
      </c>
      <c r="C52" s="12">
        <f t="shared" si="6"/>
        <v>46113</v>
      </c>
      <c r="D52" s="11">
        <v>3259</v>
      </c>
      <c r="E52" s="11">
        <v>333</v>
      </c>
      <c r="F52" s="11">
        <v>3</v>
      </c>
      <c r="G52" s="25">
        <v>16</v>
      </c>
      <c r="H52" s="25"/>
      <c r="I52" s="11" t="s">
        <v>17</v>
      </c>
      <c r="J52" s="51">
        <v>15257019</v>
      </c>
      <c r="K52" s="45" t="s">
        <v>111</v>
      </c>
      <c r="L52" s="45" t="s">
        <v>114</v>
      </c>
      <c r="M52" s="33">
        <v>199900</v>
      </c>
      <c r="N52" s="31">
        <v>0.75</v>
      </c>
      <c r="O52" s="32">
        <f t="shared" si="4"/>
        <v>49975</v>
      </c>
      <c r="P52" s="28" t="s">
        <v>16</v>
      </c>
    </row>
    <row r="53" spans="1:16" x14ac:dyDescent="0.35">
      <c r="A53" s="11" t="s">
        <v>1032</v>
      </c>
      <c r="B53" s="12">
        <f t="shared" si="5"/>
        <v>46104</v>
      </c>
      <c r="C53" s="12">
        <f t="shared" si="6"/>
        <v>46113</v>
      </c>
      <c r="D53" s="11">
        <v>3259</v>
      </c>
      <c r="E53" s="11">
        <v>333</v>
      </c>
      <c r="F53" s="11">
        <v>3</v>
      </c>
      <c r="G53" s="25">
        <v>16</v>
      </c>
      <c r="H53" s="25"/>
      <c r="I53" s="11" t="s">
        <v>17</v>
      </c>
      <c r="J53" s="51">
        <v>15257028</v>
      </c>
      <c r="K53" s="45" t="s">
        <v>111</v>
      </c>
      <c r="L53" s="45" t="s">
        <v>115</v>
      </c>
      <c r="M53" s="33">
        <v>199900</v>
      </c>
      <c r="N53" s="31">
        <v>0.75</v>
      </c>
      <c r="O53" s="32">
        <f t="shared" si="4"/>
        <v>49975</v>
      </c>
      <c r="P53" s="28" t="s">
        <v>16</v>
      </c>
    </row>
    <row r="54" spans="1:16" x14ac:dyDescent="0.35">
      <c r="A54" s="11" t="s">
        <v>1032</v>
      </c>
      <c r="B54" s="12">
        <f t="shared" si="5"/>
        <v>46104</v>
      </c>
      <c r="C54" s="12">
        <f t="shared" si="6"/>
        <v>46113</v>
      </c>
      <c r="D54" s="11">
        <v>3259</v>
      </c>
      <c r="E54" s="11">
        <v>333</v>
      </c>
      <c r="F54" s="11">
        <v>3</v>
      </c>
      <c r="G54" s="25">
        <v>16</v>
      </c>
      <c r="H54" s="25"/>
      <c r="I54" s="11" t="s">
        <v>17</v>
      </c>
      <c r="J54" s="51">
        <v>15257555</v>
      </c>
      <c r="K54" s="45" t="s">
        <v>111</v>
      </c>
      <c r="L54" s="45" t="s">
        <v>116</v>
      </c>
      <c r="M54" s="33">
        <v>199900</v>
      </c>
      <c r="N54" s="31">
        <v>0.75</v>
      </c>
      <c r="O54" s="32">
        <f t="shared" si="4"/>
        <v>49975</v>
      </c>
      <c r="P54" s="28" t="s">
        <v>16</v>
      </c>
    </row>
    <row r="55" spans="1:16" x14ac:dyDescent="0.35">
      <c r="A55" s="11" t="s">
        <v>1032</v>
      </c>
      <c r="B55" s="12">
        <f t="shared" si="5"/>
        <v>46104</v>
      </c>
      <c r="C55" s="12">
        <f t="shared" si="6"/>
        <v>46113</v>
      </c>
      <c r="D55" s="11">
        <v>3259</v>
      </c>
      <c r="E55" s="11">
        <v>333</v>
      </c>
      <c r="F55" s="11">
        <v>3</v>
      </c>
      <c r="G55" s="25">
        <v>16</v>
      </c>
      <c r="H55" s="25"/>
      <c r="I55" s="11" t="s">
        <v>17</v>
      </c>
      <c r="J55" s="51">
        <v>15257564</v>
      </c>
      <c r="K55" s="45" t="s">
        <v>111</v>
      </c>
      <c r="L55" s="45" t="s">
        <v>117</v>
      </c>
      <c r="M55" s="33">
        <v>199900</v>
      </c>
      <c r="N55" s="31">
        <v>0.75</v>
      </c>
      <c r="O55" s="32">
        <f t="shared" si="4"/>
        <v>49975</v>
      </c>
      <c r="P55" s="28" t="s">
        <v>16</v>
      </c>
    </row>
    <row r="56" spans="1:16" x14ac:dyDescent="0.35">
      <c r="A56" s="11" t="s">
        <v>1032</v>
      </c>
      <c r="B56" s="12">
        <f t="shared" si="5"/>
        <v>46104</v>
      </c>
      <c r="C56" s="12">
        <f t="shared" si="6"/>
        <v>46113</v>
      </c>
      <c r="D56" s="11">
        <v>3259</v>
      </c>
      <c r="E56" s="11">
        <v>333</v>
      </c>
      <c r="F56" s="11">
        <v>3</v>
      </c>
      <c r="G56" s="25">
        <v>16</v>
      </c>
      <c r="H56" s="25"/>
      <c r="I56" s="11" t="s">
        <v>17</v>
      </c>
      <c r="J56" s="51">
        <v>15257573</v>
      </c>
      <c r="K56" s="45" t="s">
        <v>111</v>
      </c>
      <c r="L56" s="45" t="s">
        <v>118</v>
      </c>
      <c r="M56" s="33">
        <v>199900</v>
      </c>
      <c r="N56" s="31">
        <v>0.75</v>
      </c>
      <c r="O56" s="32">
        <f t="shared" si="4"/>
        <v>49975</v>
      </c>
      <c r="P56" s="28" t="s">
        <v>16</v>
      </c>
    </row>
    <row r="57" spans="1:16" x14ac:dyDescent="0.35">
      <c r="A57" s="11" t="s">
        <v>1032</v>
      </c>
      <c r="B57" s="12">
        <f t="shared" si="5"/>
        <v>46104</v>
      </c>
      <c r="C57" s="12">
        <f t="shared" si="6"/>
        <v>46113</v>
      </c>
      <c r="D57" s="11">
        <v>3259</v>
      </c>
      <c r="E57" s="11">
        <v>333</v>
      </c>
      <c r="F57" s="11">
        <v>3</v>
      </c>
      <c r="G57" s="25">
        <v>16</v>
      </c>
      <c r="H57" s="25"/>
      <c r="I57" s="11" t="s">
        <v>17</v>
      </c>
      <c r="J57" s="51">
        <v>15257582</v>
      </c>
      <c r="K57" s="45" t="s">
        <v>111</v>
      </c>
      <c r="L57" s="45" t="s">
        <v>119</v>
      </c>
      <c r="M57" s="33">
        <v>199900</v>
      </c>
      <c r="N57" s="31">
        <v>0.75</v>
      </c>
      <c r="O57" s="32">
        <f t="shared" si="4"/>
        <v>49975</v>
      </c>
      <c r="P57" s="28" t="s">
        <v>16</v>
      </c>
    </row>
    <row r="58" spans="1:16" x14ac:dyDescent="0.35">
      <c r="A58" s="11" t="s">
        <v>1032</v>
      </c>
      <c r="B58" s="12">
        <f t="shared" si="5"/>
        <v>46104</v>
      </c>
      <c r="C58" s="12">
        <f t="shared" si="6"/>
        <v>46113</v>
      </c>
      <c r="D58" s="11">
        <v>3259</v>
      </c>
      <c r="E58" s="11">
        <v>333</v>
      </c>
      <c r="F58" s="11">
        <v>3</v>
      </c>
      <c r="G58" s="25">
        <v>16</v>
      </c>
      <c r="H58" s="25"/>
      <c r="I58" s="11" t="s">
        <v>17</v>
      </c>
      <c r="J58" s="51">
        <v>15258134</v>
      </c>
      <c r="K58" s="45" t="s">
        <v>120</v>
      </c>
      <c r="L58" s="45" t="s">
        <v>121</v>
      </c>
      <c r="M58" s="33">
        <v>199900</v>
      </c>
      <c r="N58" s="31">
        <v>0.75</v>
      </c>
      <c r="O58" s="32">
        <f t="shared" si="4"/>
        <v>49975</v>
      </c>
      <c r="P58" s="28" t="s">
        <v>16</v>
      </c>
    </row>
    <row r="59" spans="1:16" x14ac:dyDescent="0.35">
      <c r="A59" s="11" t="s">
        <v>1032</v>
      </c>
      <c r="B59" s="12">
        <f t="shared" si="5"/>
        <v>46104</v>
      </c>
      <c r="C59" s="12">
        <f t="shared" si="6"/>
        <v>46113</v>
      </c>
      <c r="D59" s="11">
        <v>3259</v>
      </c>
      <c r="E59" s="11">
        <v>333</v>
      </c>
      <c r="F59" s="11">
        <v>3</v>
      </c>
      <c r="G59" s="25">
        <v>16</v>
      </c>
      <c r="H59" s="25"/>
      <c r="I59" s="11" t="s">
        <v>17</v>
      </c>
      <c r="J59" s="51">
        <v>15258143</v>
      </c>
      <c r="K59" s="45" t="s">
        <v>120</v>
      </c>
      <c r="L59" s="45" t="s">
        <v>122</v>
      </c>
      <c r="M59" s="33">
        <v>199900</v>
      </c>
      <c r="N59" s="31">
        <v>0.75</v>
      </c>
      <c r="O59" s="32">
        <f t="shared" si="4"/>
        <v>49975</v>
      </c>
      <c r="P59" s="28" t="s">
        <v>16</v>
      </c>
    </row>
    <row r="60" spans="1:16" x14ac:dyDescent="0.35">
      <c r="A60" s="11" t="s">
        <v>1032</v>
      </c>
      <c r="B60" s="12">
        <f t="shared" si="5"/>
        <v>46104</v>
      </c>
      <c r="C60" s="12">
        <f t="shared" si="6"/>
        <v>46113</v>
      </c>
      <c r="D60" s="11">
        <v>3259</v>
      </c>
      <c r="E60" s="11">
        <v>333</v>
      </c>
      <c r="F60" s="11">
        <v>3</v>
      </c>
      <c r="G60" s="25">
        <v>16</v>
      </c>
      <c r="H60" s="25"/>
      <c r="I60" s="11" t="s">
        <v>17</v>
      </c>
      <c r="J60" s="51">
        <v>15258152</v>
      </c>
      <c r="K60" s="45" t="s">
        <v>120</v>
      </c>
      <c r="L60" s="45" t="s">
        <v>123</v>
      </c>
      <c r="M60" s="33">
        <v>199900</v>
      </c>
      <c r="N60" s="31">
        <v>0.75</v>
      </c>
      <c r="O60" s="32">
        <f t="shared" si="4"/>
        <v>49975</v>
      </c>
      <c r="P60" s="28" t="s">
        <v>16</v>
      </c>
    </row>
    <row r="61" spans="1:16" x14ac:dyDescent="0.35">
      <c r="A61" s="11" t="s">
        <v>1032</v>
      </c>
      <c r="B61" s="12">
        <f t="shared" si="5"/>
        <v>46104</v>
      </c>
      <c r="C61" s="12">
        <f t="shared" si="6"/>
        <v>46113</v>
      </c>
      <c r="D61" s="11">
        <v>3259</v>
      </c>
      <c r="E61" s="11">
        <v>333</v>
      </c>
      <c r="F61" s="11">
        <v>3</v>
      </c>
      <c r="G61" s="25">
        <v>16</v>
      </c>
      <c r="H61" s="25"/>
      <c r="I61" s="11" t="s">
        <v>17</v>
      </c>
      <c r="J61" s="51">
        <v>15258161</v>
      </c>
      <c r="K61" s="45" t="s">
        <v>120</v>
      </c>
      <c r="L61" s="45" t="s">
        <v>124</v>
      </c>
      <c r="M61" s="33">
        <v>199900</v>
      </c>
      <c r="N61" s="31">
        <v>0.75</v>
      </c>
      <c r="O61" s="32">
        <f t="shared" si="4"/>
        <v>49975</v>
      </c>
      <c r="P61" s="28" t="s">
        <v>16</v>
      </c>
    </row>
    <row r="62" spans="1:16" x14ac:dyDescent="0.35">
      <c r="A62" s="11" t="s">
        <v>1032</v>
      </c>
      <c r="B62" s="12">
        <f t="shared" si="5"/>
        <v>46104</v>
      </c>
      <c r="C62" s="12">
        <f t="shared" si="6"/>
        <v>46113</v>
      </c>
      <c r="D62" s="11">
        <v>3259</v>
      </c>
      <c r="E62" s="11">
        <v>333</v>
      </c>
      <c r="F62" s="11">
        <v>3</v>
      </c>
      <c r="G62" s="25">
        <v>16</v>
      </c>
      <c r="H62" s="25"/>
      <c r="I62" s="11" t="s">
        <v>17</v>
      </c>
      <c r="J62" s="51">
        <v>15258241</v>
      </c>
      <c r="K62" s="45" t="s">
        <v>120</v>
      </c>
      <c r="L62" s="45" t="s">
        <v>128</v>
      </c>
      <c r="M62" s="33">
        <v>199900</v>
      </c>
      <c r="N62" s="31">
        <v>0.75</v>
      </c>
      <c r="O62" s="32">
        <f t="shared" si="4"/>
        <v>49975</v>
      </c>
      <c r="P62" s="28" t="s">
        <v>16</v>
      </c>
    </row>
    <row r="63" spans="1:16" x14ac:dyDescent="0.35">
      <c r="A63" s="11" t="s">
        <v>1032</v>
      </c>
      <c r="B63" s="12">
        <f t="shared" si="5"/>
        <v>46104</v>
      </c>
      <c r="C63" s="12">
        <f t="shared" si="6"/>
        <v>46113</v>
      </c>
      <c r="D63" s="11">
        <v>3259</v>
      </c>
      <c r="E63" s="11">
        <v>333</v>
      </c>
      <c r="F63" s="11">
        <v>3</v>
      </c>
      <c r="G63" s="25">
        <v>16</v>
      </c>
      <c r="H63" s="25"/>
      <c r="I63" s="11" t="s">
        <v>17</v>
      </c>
      <c r="J63" s="51">
        <v>15258250</v>
      </c>
      <c r="K63" s="45" t="s">
        <v>120</v>
      </c>
      <c r="L63" s="45" t="s">
        <v>129</v>
      </c>
      <c r="M63" s="33">
        <v>199900</v>
      </c>
      <c r="N63" s="31">
        <v>0.75</v>
      </c>
      <c r="O63" s="32">
        <f t="shared" si="4"/>
        <v>49975</v>
      </c>
      <c r="P63" s="28" t="s">
        <v>16</v>
      </c>
    </row>
    <row r="64" spans="1:16" x14ac:dyDescent="0.35">
      <c r="A64" s="11" t="s">
        <v>1032</v>
      </c>
      <c r="B64" s="12">
        <f t="shared" si="5"/>
        <v>46104</v>
      </c>
      <c r="C64" s="12">
        <f t="shared" si="6"/>
        <v>46113</v>
      </c>
      <c r="D64" s="11">
        <v>3259</v>
      </c>
      <c r="E64" s="11">
        <v>333</v>
      </c>
      <c r="F64" s="11">
        <v>3</v>
      </c>
      <c r="G64" s="25">
        <v>16</v>
      </c>
      <c r="H64" s="25"/>
      <c r="I64" s="11" t="s">
        <v>17</v>
      </c>
      <c r="J64" s="51">
        <v>15258269</v>
      </c>
      <c r="K64" s="45" t="s">
        <v>120</v>
      </c>
      <c r="L64" s="45" t="s">
        <v>130</v>
      </c>
      <c r="M64" s="33">
        <v>199900</v>
      </c>
      <c r="N64" s="31">
        <v>0.75</v>
      </c>
      <c r="O64" s="32">
        <f t="shared" si="4"/>
        <v>49975</v>
      </c>
      <c r="P64" s="28" t="s">
        <v>16</v>
      </c>
    </row>
    <row r="65" spans="1:16" x14ac:dyDescent="0.35">
      <c r="A65" s="11" t="s">
        <v>1032</v>
      </c>
      <c r="B65" s="12">
        <f t="shared" si="5"/>
        <v>46104</v>
      </c>
      <c r="C65" s="12">
        <f t="shared" si="6"/>
        <v>46113</v>
      </c>
      <c r="D65" s="11">
        <v>3259</v>
      </c>
      <c r="E65" s="11">
        <v>333</v>
      </c>
      <c r="F65" s="11">
        <v>3</v>
      </c>
      <c r="G65" s="25">
        <v>16</v>
      </c>
      <c r="H65" s="25"/>
      <c r="I65" s="11" t="s">
        <v>17</v>
      </c>
      <c r="J65" s="51">
        <v>15258303</v>
      </c>
      <c r="K65" s="45" t="s">
        <v>120</v>
      </c>
      <c r="L65" s="45" t="s">
        <v>134</v>
      </c>
      <c r="M65" s="33">
        <v>199900</v>
      </c>
      <c r="N65" s="31">
        <v>0.75</v>
      </c>
      <c r="O65" s="32">
        <f t="shared" si="4"/>
        <v>49975</v>
      </c>
      <c r="P65" s="28" t="s">
        <v>16</v>
      </c>
    </row>
    <row r="66" spans="1:16" x14ac:dyDescent="0.35">
      <c r="A66" s="11" t="s">
        <v>1032</v>
      </c>
      <c r="B66" s="12">
        <f t="shared" si="5"/>
        <v>46104</v>
      </c>
      <c r="C66" s="12">
        <f t="shared" si="6"/>
        <v>46113</v>
      </c>
      <c r="D66" s="11">
        <v>3259</v>
      </c>
      <c r="E66" s="11">
        <v>333</v>
      </c>
      <c r="F66" s="11">
        <v>3</v>
      </c>
      <c r="G66" s="25">
        <v>16</v>
      </c>
      <c r="H66" s="25"/>
      <c r="I66" s="11" t="s">
        <v>17</v>
      </c>
      <c r="J66" s="51">
        <v>15258312</v>
      </c>
      <c r="K66" s="45" t="s">
        <v>120</v>
      </c>
      <c r="L66" s="45" t="s">
        <v>135</v>
      </c>
      <c r="M66" s="33">
        <v>199900</v>
      </c>
      <c r="N66" s="31">
        <v>0.75</v>
      </c>
      <c r="O66" s="32">
        <f t="shared" ref="O66:O97" si="7">M66-(M66*N66)</f>
        <v>49975</v>
      </c>
      <c r="P66" s="28" t="s">
        <v>16</v>
      </c>
    </row>
    <row r="67" spans="1:16" x14ac:dyDescent="0.35">
      <c r="A67" s="11" t="s">
        <v>1032</v>
      </c>
      <c r="B67" s="12">
        <f t="shared" ref="B67:B98" si="8">B66</f>
        <v>46104</v>
      </c>
      <c r="C67" s="12">
        <f t="shared" ref="C67:C98" si="9">C66</f>
        <v>46113</v>
      </c>
      <c r="D67" s="11">
        <v>3259</v>
      </c>
      <c r="E67" s="11">
        <v>333</v>
      </c>
      <c r="F67" s="11">
        <v>3</v>
      </c>
      <c r="G67" s="25">
        <v>16</v>
      </c>
      <c r="H67" s="25"/>
      <c r="I67" s="11" t="s">
        <v>17</v>
      </c>
      <c r="J67" s="51">
        <v>15258321</v>
      </c>
      <c r="K67" s="45" t="s">
        <v>120</v>
      </c>
      <c r="L67" s="45" t="s">
        <v>136</v>
      </c>
      <c r="M67" s="33">
        <v>199900</v>
      </c>
      <c r="N67" s="31">
        <v>0.75</v>
      </c>
      <c r="O67" s="32">
        <f t="shared" si="7"/>
        <v>49975</v>
      </c>
      <c r="P67" s="28" t="s">
        <v>16</v>
      </c>
    </row>
    <row r="68" spans="1:16" x14ac:dyDescent="0.35">
      <c r="A68" s="11" t="s">
        <v>1032</v>
      </c>
      <c r="B68" s="12">
        <f t="shared" si="8"/>
        <v>46104</v>
      </c>
      <c r="C68" s="12">
        <f t="shared" si="9"/>
        <v>46113</v>
      </c>
      <c r="D68" s="11">
        <v>3259</v>
      </c>
      <c r="E68" s="11">
        <v>333</v>
      </c>
      <c r="F68" s="11">
        <v>3</v>
      </c>
      <c r="G68" s="25">
        <v>16</v>
      </c>
      <c r="H68" s="25"/>
      <c r="I68" s="11" t="s">
        <v>17</v>
      </c>
      <c r="J68" s="52">
        <v>15258278</v>
      </c>
      <c r="K68" s="53" t="s">
        <v>120</v>
      </c>
      <c r="L68" s="53" t="s">
        <v>131</v>
      </c>
      <c r="M68" s="33">
        <v>199900</v>
      </c>
      <c r="N68" s="31">
        <v>0.75</v>
      </c>
      <c r="O68" s="32">
        <f t="shared" si="7"/>
        <v>49975</v>
      </c>
      <c r="P68" s="28" t="s">
        <v>16</v>
      </c>
    </row>
    <row r="69" spans="1:16" x14ac:dyDescent="0.35">
      <c r="A69" s="11" t="s">
        <v>1032</v>
      </c>
      <c r="B69" s="12">
        <f t="shared" si="8"/>
        <v>46104</v>
      </c>
      <c r="C69" s="12">
        <f t="shared" si="9"/>
        <v>46113</v>
      </c>
      <c r="D69" s="11">
        <v>3259</v>
      </c>
      <c r="E69" s="11">
        <v>333</v>
      </c>
      <c r="F69" s="11">
        <v>3</v>
      </c>
      <c r="G69" s="25">
        <v>16</v>
      </c>
      <c r="H69" s="25"/>
      <c r="I69" s="11" t="s">
        <v>17</v>
      </c>
      <c r="J69" s="52">
        <v>15258287</v>
      </c>
      <c r="K69" s="53" t="s">
        <v>120</v>
      </c>
      <c r="L69" s="53" t="s">
        <v>132</v>
      </c>
      <c r="M69" s="33">
        <v>199900</v>
      </c>
      <c r="N69" s="31">
        <v>0.75</v>
      </c>
      <c r="O69" s="32">
        <f t="shared" si="7"/>
        <v>49975</v>
      </c>
      <c r="P69" s="28" t="s">
        <v>16</v>
      </c>
    </row>
    <row r="70" spans="1:16" x14ac:dyDescent="0.35">
      <c r="A70" s="11" t="s">
        <v>1032</v>
      </c>
      <c r="B70" s="12">
        <f t="shared" si="8"/>
        <v>46104</v>
      </c>
      <c r="C70" s="12">
        <f t="shared" si="9"/>
        <v>46113</v>
      </c>
      <c r="D70" s="11">
        <v>3259</v>
      </c>
      <c r="E70" s="11">
        <v>333</v>
      </c>
      <c r="F70" s="11">
        <v>3</v>
      </c>
      <c r="G70" s="25">
        <v>16</v>
      </c>
      <c r="H70" s="25"/>
      <c r="I70" s="11" t="s">
        <v>17</v>
      </c>
      <c r="J70" s="52">
        <v>15258296</v>
      </c>
      <c r="K70" s="53" t="s">
        <v>120</v>
      </c>
      <c r="L70" s="53" t="s">
        <v>133</v>
      </c>
      <c r="M70" s="33">
        <v>199900</v>
      </c>
      <c r="N70" s="31">
        <v>0.75</v>
      </c>
      <c r="O70" s="32">
        <f t="shared" si="7"/>
        <v>49975</v>
      </c>
      <c r="P70" s="28" t="s">
        <v>16</v>
      </c>
    </row>
    <row r="71" spans="1:16" x14ac:dyDescent="0.35">
      <c r="A71" s="11" t="s">
        <v>1032</v>
      </c>
      <c r="B71" s="12">
        <f t="shared" si="8"/>
        <v>46104</v>
      </c>
      <c r="C71" s="12">
        <f t="shared" si="9"/>
        <v>46113</v>
      </c>
      <c r="D71" s="11">
        <v>3259</v>
      </c>
      <c r="E71" s="11">
        <v>333</v>
      </c>
      <c r="F71" s="11">
        <v>3</v>
      </c>
      <c r="G71" s="25">
        <v>16</v>
      </c>
      <c r="H71" s="25"/>
      <c r="I71" s="11" t="s">
        <v>17</v>
      </c>
      <c r="J71" s="51">
        <v>17124346</v>
      </c>
      <c r="K71" s="45" t="s">
        <v>317</v>
      </c>
      <c r="L71" s="45" t="s">
        <v>318</v>
      </c>
      <c r="M71" s="33">
        <v>199900</v>
      </c>
      <c r="N71" s="31">
        <v>0.75</v>
      </c>
      <c r="O71" s="32">
        <f t="shared" si="7"/>
        <v>49975</v>
      </c>
      <c r="P71" s="28" t="s">
        <v>16</v>
      </c>
    </row>
    <row r="72" spans="1:16" x14ac:dyDescent="0.35">
      <c r="A72" s="11" t="s">
        <v>1032</v>
      </c>
      <c r="B72" s="12">
        <f t="shared" si="8"/>
        <v>46104</v>
      </c>
      <c r="C72" s="12">
        <f t="shared" si="9"/>
        <v>46113</v>
      </c>
      <c r="D72" s="11">
        <v>3259</v>
      </c>
      <c r="E72" s="11">
        <v>333</v>
      </c>
      <c r="F72" s="11">
        <v>3</v>
      </c>
      <c r="G72" s="25">
        <v>16</v>
      </c>
      <c r="H72" s="25"/>
      <c r="I72" s="11" t="s">
        <v>17</v>
      </c>
      <c r="J72" s="51">
        <v>17124355</v>
      </c>
      <c r="K72" s="45" t="s">
        <v>317</v>
      </c>
      <c r="L72" s="45" t="s">
        <v>319</v>
      </c>
      <c r="M72" s="33">
        <v>199900</v>
      </c>
      <c r="N72" s="31">
        <v>0.75</v>
      </c>
      <c r="O72" s="32">
        <f t="shared" si="7"/>
        <v>49975</v>
      </c>
      <c r="P72" s="28" t="s">
        <v>16</v>
      </c>
    </row>
    <row r="73" spans="1:16" x14ac:dyDescent="0.35">
      <c r="A73" s="11" t="s">
        <v>1032</v>
      </c>
      <c r="B73" s="12">
        <f t="shared" si="8"/>
        <v>46104</v>
      </c>
      <c r="C73" s="12">
        <f t="shared" si="9"/>
        <v>46113</v>
      </c>
      <c r="D73" s="11">
        <v>3259</v>
      </c>
      <c r="E73" s="11">
        <v>333</v>
      </c>
      <c r="F73" s="11">
        <v>3</v>
      </c>
      <c r="G73" s="25">
        <v>16</v>
      </c>
      <c r="H73" s="25"/>
      <c r="I73" s="11" t="s">
        <v>17</v>
      </c>
      <c r="J73" s="51">
        <v>17124364</v>
      </c>
      <c r="K73" s="45" t="s">
        <v>317</v>
      </c>
      <c r="L73" s="45" t="s">
        <v>320</v>
      </c>
      <c r="M73" s="33">
        <v>199900</v>
      </c>
      <c r="N73" s="31">
        <v>0.75</v>
      </c>
      <c r="O73" s="32">
        <f t="shared" si="7"/>
        <v>49975</v>
      </c>
      <c r="P73" s="28" t="s">
        <v>16</v>
      </c>
    </row>
    <row r="74" spans="1:16" x14ac:dyDescent="0.35">
      <c r="A74" s="11" t="s">
        <v>1032</v>
      </c>
      <c r="B74" s="12">
        <f t="shared" si="8"/>
        <v>46104</v>
      </c>
      <c r="C74" s="12">
        <f t="shared" si="9"/>
        <v>46113</v>
      </c>
      <c r="D74" s="11">
        <v>3259</v>
      </c>
      <c r="E74" s="11">
        <v>333</v>
      </c>
      <c r="F74" s="11">
        <v>3</v>
      </c>
      <c r="G74" s="25">
        <v>16</v>
      </c>
      <c r="H74" s="25"/>
      <c r="I74" s="11" t="s">
        <v>17</v>
      </c>
      <c r="J74" s="51">
        <v>17124373</v>
      </c>
      <c r="K74" s="45" t="s">
        <v>317</v>
      </c>
      <c r="L74" s="45" t="s">
        <v>321</v>
      </c>
      <c r="M74" s="33">
        <v>199900</v>
      </c>
      <c r="N74" s="31">
        <v>0.75</v>
      </c>
      <c r="O74" s="32">
        <f t="shared" si="7"/>
        <v>49975</v>
      </c>
      <c r="P74" s="28" t="s">
        <v>16</v>
      </c>
    </row>
    <row r="75" spans="1:16" x14ac:dyDescent="0.35">
      <c r="A75" s="11" t="s">
        <v>1032</v>
      </c>
      <c r="B75" s="12">
        <f t="shared" si="8"/>
        <v>46104</v>
      </c>
      <c r="C75" s="12">
        <f t="shared" si="9"/>
        <v>46113</v>
      </c>
      <c r="D75" s="11">
        <v>3259</v>
      </c>
      <c r="E75" s="11">
        <v>333</v>
      </c>
      <c r="F75" s="11">
        <v>3</v>
      </c>
      <c r="G75" s="25">
        <v>16</v>
      </c>
      <c r="H75" s="25"/>
      <c r="I75" s="11" t="s">
        <v>17</v>
      </c>
      <c r="J75" s="51">
        <v>17124382</v>
      </c>
      <c r="K75" s="45" t="s">
        <v>284</v>
      </c>
      <c r="L75" s="45" t="s">
        <v>322</v>
      </c>
      <c r="M75" s="33">
        <v>229900</v>
      </c>
      <c r="N75" s="31">
        <v>0.75</v>
      </c>
      <c r="O75" s="32">
        <f t="shared" si="7"/>
        <v>57475</v>
      </c>
      <c r="P75" s="28" t="s">
        <v>16</v>
      </c>
    </row>
    <row r="76" spans="1:16" x14ac:dyDescent="0.35">
      <c r="A76" s="11" t="s">
        <v>1032</v>
      </c>
      <c r="B76" s="12">
        <f t="shared" si="8"/>
        <v>46104</v>
      </c>
      <c r="C76" s="12">
        <f t="shared" si="9"/>
        <v>46113</v>
      </c>
      <c r="D76" s="11">
        <v>3259</v>
      </c>
      <c r="E76" s="11">
        <v>333</v>
      </c>
      <c r="F76" s="11">
        <v>3</v>
      </c>
      <c r="G76" s="25">
        <v>16</v>
      </c>
      <c r="H76" s="25"/>
      <c r="I76" s="11" t="s">
        <v>17</v>
      </c>
      <c r="J76" s="51">
        <v>17124391</v>
      </c>
      <c r="K76" s="45" t="s">
        <v>284</v>
      </c>
      <c r="L76" s="45" t="s">
        <v>323</v>
      </c>
      <c r="M76" s="33">
        <v>229900</v>
      </c>
      <c r="N76" s="31">
        <v>0.75</v>
      </c>
      <c r="O76" s="32">
        <f t="shared" si="7"/>
        <v>57475</v>
      </c>
      <c r="P76" s="28" t="s">
        <v>16</v>
      </c>
    </row>
    <row r="77" spans="1:16" x14ac:dyDescent="0.35">
      <c r="A77" s="11" t="s">
        <v>1032</v>
      </c>
      <c r="B77" s="12">
        <f t="shared" si="8"/>
        <v>46104</v>
      </c>
      <c r="C77" s="12">
        <f t="shared" si="9"/>
        <v>46113</v>
      </c>
      <c r="D77" s="11">
        <v>3259</v>
      </c>
      <c r="E77" s="11">
        <v>333</v>
      </c>
      <c r="F77" s="11">
        <v>3</v>
      </c>
      <c r="G77" s="25">
        <v>16</v>
      </c>
      <c r="H77" s="25"/>
      <c r="I77" s="11" t="s">
        <v>17</v>
      </c>
      <c r="J77" s="51">
        <v>17124408</v>
      </c>
      <c r="K77" s="45" t="s">
        <v>284</v>
      </c>
      <c r="L77" s="45" t="s">
        <v>324</v>
      </c>
      <c r="M77" s="33">
        <v>229900</v>
      </c>
      <c r="N77" s="31">
        <v>0.75</v>
      </c>
      <c r="O77" s="32">
        <f t="shared" si="7"/>
        <v>57475</v>
      </c>
      <c r="P77" s="28" t="s">
        <v>16</v>
      </c>
    </row>
    <row r="78" spans="1:16" x14ac:dyDescent="0.35">
      <c r="A78" s="11" t="s">
        <v>1032</v>
      </c>
      <c r="B78" s="12">
        <f t="shared" si="8"/>
        <v>46104</v>
      </c>
      <c r="C78" s="12">
        <f t="shared" si="9"/>
        <v>46113</v>
      </c>
      <c r="D78" s="11">
        <v>3259</v>
      </c>
      <c r="E78" s="11">
        <v>333</v>
      </c>
      <c r="F78" s="11">
        <v>3</v>
      </c>
      <c r="G78" s="25">
        <v>16</v>
      </c>
      <c r="H78" s="25"/>
      <c r="I78" s="11" t="s">
        <v>17</v>
      </c>
      <c r="J78" s="51">
        <v>17124417</v>
      </c>
      <c r="K78" s="45" t="s">
        <v>284</v>
      </c>
      <c r="L78" s="45" t="s">
        <v>325</v>
      </c>
      <c r="M78" s="33">
        <v>229900</v>
      </c>
      <c r="N78" s="31">
        <v>0.75</v>
      </c>
      <c r="O78" s="32">
        <f t="shared" si="7"/>
        <v>57475</v>
      </c>
      <c r="P78" s="28" t="s">
        <v>16</v>
      </c>
    </row>
    <row r="79" spans="1:16" x14ac:dyDescent="0.35">
      <c r="A79" s="11" t="s">
        <v>1032</v>
      </c>
      <c r="B79" s="12">
        <f t="shared" si="8"/>
        <v>46104</v>
      </c>
      <c r="C79" s="12">
        <f t="shared" si="9"/>
        <v>46113</v>
      </c>
      <c r="D79" s="11">
        <v>3259</v>
      </c>
      <c r="E79" s="11">
        <v>333</v>
      </c>
      <c r="F79" s="11">
        <v>3</v>
      </c>
      <c r="G79" s="25">
        <v>16</v>
      </c>
      <c r="H79" s="25"/>
      <c r="I79" s="11" t="s">
        <v>17</v>
      </c>
      <c r="J79" s="51">
        <v>17134620</v>
      </c>
      <c r="K79" s="45" t="s">
        <v>317</v>
      </c>
      <c r="L79" s="45" t="s">
        <v>326</v>
      </c>
      <c r="M79" s="33">
        <v>199900</v>
      </c>
      <c r="N79" s="31">
        <v>0.75</v>
      </c>
      <c r="O79" s="32">
        <f t="shared" si="7"/>
        <v>49975</v>
      </c>
      <c r="P79" s="28" t="s">
        <v>16</v>
      </c>
    </row>
    <row r="80" spans="1:16" x14ac:dyDescent="0.35">
      <c r="A80" s="11" t="s">
        <v>1032</v>
      </c>
      <c r="B80" s="12">
        <f t="shared" si="8"/>
        <v>46104</v>
      </c>
      <c r="C80" s="12">
        <f t="shared" si="9"/>
        <v>46113</v>
      </c>
      <c r="D80" s="11">
        <v>3259</v>
      </c>
      <c r="E80" s="11">
        <v>333</v>
      </c>
      <c r="F80" s="11">
        <v>3</v>
      </c>
      <c r="G80" s="25">
        <v>16</v>
      </c>
      <c r="H80" s="25"/>
      <c r="I80" s="11" t="s">
        <v>17</v>
      </c>
      <c r="J80" s="51">
        <v>17134639</v>
      </c>
      <c r="K80" s="45" t="s">
        <v>317</v>
      </c>
      <c r="L80" s="45" t="s">
        <v>327</v>
      </c>
      <c r="M80" s="33">
        <v>199900</v>
      </c>
      <c r="N80" s="31">
        <v>0.75</v>
      </c>
      <c r="O80" s="32">
        <f t="shared" si="7"/>
        <v>49975</v>
      </c>
      <c r="P80" s="28" t="s">
        <v>16</v>
      </c>
    </row>
    <row r="81" spans="1:16" x14ac:dyDescent="0.35">
      <c r="A81" s="11" t="s">
        <v>1032</v>
      </c>
      <c r="B81" s="12">
        <f t="shared" si="8"/>
        <v>46104</v>
      </c>
      <c r="C81" s="12">
        <f t="shared" si="9"/>
        <v>46113</v>
      </c>
      <c r="D81" s="11">
        <v>3259</v>
      </c>
      <c r="E81" s="11">
        <v>333</v>
      </c>
      <c r="F81" s="11">
        <v>3</v>
      </c>
      <c r="G81" s="25">
        <v>16</v>
      </c>
      <c r="H81" s="25"/>
      <c r="I81" s="11" t="s">
        <v>17</v>
      </c>
      <c r="J81" s="51">
        <v>17134648</v>
      </c>
      <c r="K81" s="45" t="s">
        <v>317</v>
      </c>
      <c r="L81" s="45" t="s">
        <v>328</v>
      </c>
      <c r="M81" s="33">
        <v>199900</v>
      </c>
      <c r="N81" s="31">
        <v>0.75</v>
      </c>
      <c r="O81" s="32">
        <f t="shared" si="7"/>
        <v>49975</v>
      </c>
      <c r="P81" s="28" t="s">
        <v>16</v>
      </c>
    </row>
    <row r="82" spans="1:16" x14ac:dyDescent="0.35">
      <c r="A82" s="11" t="s">
        <v>1032</v>
      </c>
      <c r="B82" s="12">
        <f t="shared" si="8"/>
        <v>46104</v>
      </c>
      <c r="C82" s="12">
        <f t="shared" si="9"/>
        <v>46113</v>
      </c>
      <c r="D82" s="11">
        <v>3259</v>
      </c>
      <c r="E82" s="11">
        <v>333</v>
      </c>
      <c r="F82" s="11">
        <v>3</v>
      </c>
      <c r="G82" s="25">
        <v>16</v>
      </c>
      <c r="H82" s="25"/>
      <c r="I82" s="11" t="s">
        <v>17</v>
      </c>
      <c r="J82" s="51">
        <v>17134657</v>
      </c>
      <c r="K82" s="45" t="s">
        <v>317</v>
      </c>
      <c r="L82" s="45" t="s">
        <v>329</v>
      </c>
      <c r="M82" s="33">
        <v>199900</v>
      </c>
      <c r="N82" s="31">
        <v>0.75</v>
      </c>
      <c r="O82" s="32">
        <f t="shared" si="7"/>
        <v>49975</v>
      </c>
      <c r="P82" s="28" t="s">
        <v>16</v>
      </c>
    </row>
    <row r="83" spans="1:16" x14ac:dyDescent="0.35">
      <c r="A83" s="11" t="s">
        <v>1032</v>
      </c>
      <c r="B83" s="12">
        <f t="shared" si="8"/>
        <v>46104</v>
      </c>
      <c r="C83" s="12">
        <f t="shared" si="9"/>
        <v>46113</v>
      </c>
      <c r="D83" s="11">
        <v>3259</v>
      </c>
      <c r="E83" s="11">
        <v>333</v>
      </c>
      <c r="F83" s="11">
        <v>3</v>
      </c>
      <c r="G83" s="25">
        <v>16</v>
      </c>
      <c r="H83" s="25"/>
      <c r="I83" s="11" t="s">
        <v>17</v>
      </c>
      <c r="J83" s="51">
        <v>17134666</v>
      </c>
      <c r="K83" s="45" t="s">
        <v>317</v>
      </c>
      <c r="L83" s="45" t="s">
        <v>330</v>
      </c>
      <c r="M83" s="33">
        <v>199900</v>
      </c>
      <c r="N83" s="31">
        <v>0.75</v>
      </c>
      <c r="O83" s="32">
        <f t="shared" si="7"/>
        <v>49975</v>
      </c>
      <c r="P83" s="28" t="s">
        <v>16</v>
      </c>
    </row>
    <row r="84" spans="1:16" x14ac:dyDescent="0.35">
      <c r="A84" s="11" t="s">
        <v>1032</v>
      </c>
      <c r="B84" s="12">
        <f t="shared" si="8"/>
        <v>46104</v>
      </c>
      <c r="C84" s="12">
        <f t="shared" si="9"/>
        <v>46113</v>
      </c>
      <c r="D84" s="11">
        <v>3259</v>
      </c>
      <c r="E84" s="11">
        <v>333</v>
      </c>
      <c r="F84" s="11">
        <v>3</v>
      </c>
      <c r="G84" s="25">
        <v>16</v>
      </c>
      <c r="H84" s="25"/>
      <c r="I84" s="11" t="s">
        <v>17</v>
      </c>
      <c r="J84" s="51">
        <v>17134675</v>
      </c>
      <c r="K84" s="45" t="s">
        <v>317</v>
      </c>
      <c r="L84" s="45" t="s">
        <v>331</v>
      </c>
      <c r="M84" s="33">
        <v>199900</v>
      </c>
      <c r="N84" s="31">
        <v>0.75</v>
      </c>
      <c r="O84" s="32">
        <f t="shared" si="7"/>
        <v>49975</v>
      </c>
      <c r="P84" s="28" t="s">
        <v>16</v>
      </c>
    </row>
    <row r="85" spans="1:16" x14ac:dyDescent="0.35">
      <c r="A85" s="11" t="s">
        <v>1032</v>
      </c>
      <c r="B85" s="12">
        <f t="shared" si="8"/>
        <v>46104</v>
      </c>
      <c r="C85" s="12">
        <f t="shared" si="9"/>
        <v>46113</v>
      </c>
      <c r="D85" s="11">
        <v>3259</v>
      </c>
      <c r="E85" s="11">
        <v>333</v>
      </c>
      <c r="F85" s="11">
        <v>3</v>
      </c>
      <c r="G85" s="25">
        <v>16</v>
      </c>
      <c r="H85" s="25"/>
      <c r="I85" s="11" t="s">
        <v>17</v>
      </c>
      <c r="J85" s="51">
        <v>17134684</v>
      </c>
      <c r="K85" s="45" t="s">
        <v>284</v>
      </c>
      <c r="L85" s="45" t="s">
        <v>285</v>
      </c>
      <c r="M85" s="33">
        <v>229900</v>
      </c>
      <c r="N85" s="31">
        <v>0.75</v>
      </c>
      <c r="O85" s="32">
        <f t="shared" si="7"/>
        <v>57475</v>
      </c>
      <c r="P85" s="28" t="s">
        <v>16</v>
      </c>
    </row>
    <row r="86" spans="1:16" x14ac:dyDescent="0.35">
      <c r="A86" s="11" t="s">
        <v>1032</v>
      </c>
      <c r="B86" s="12">
        <f t="shared" si="8"/>
        <v>46104</v>
      </c>
      <c r="C86" s="12">
        <f t="shared" si="9"/>
        <v>46113</v>
      </c>
      <c r="D86" s="11">
        <v>3259</v>
      </c>
      <c r="E86" s="11">
        <v>333</v>
      </c>
      <c r="F86" s="11">
        <v>3</v>
      </c>
      <c r="G86" s="25">
        <v>16</v>
      </c>
      <c r="H86" s="25"/>
      <c r="I86" s="11" t="s">
        <v>17</v>
      </c>
      <c r="J86" s="51">
        <v>17134693</v>
      </c>
      <c r="K86" s="45" t="s">
        <v>284</v>
      </c>
      <c r="L86" s="45" t="s">
        <v>286</v>
      </c>
      <c r="M86" s="33">
        <v>229900</v>
      </c>
      <c r="N86" s="31">
        <v>0.75</v>
      </c>
      <c r="O86" s="32">
        <f t="shared" si="7"/>
        <v>57475</v>
      </c>
      <c r="P86" s="28" t="s">
        <v>16</v>
      </c>
    </row>
    <row r="87" spans="1:16" x14ac:dyDescent="0.35">
      <c r="A87" s="11" t="s">
        <v>1032</v>
      </c>
      <c r="B87" s="12">
        <f t="shared" si="8"/>
        <v>46104</v>
      </c>
      <c r="C87" s="12">
        <f t="shared" si="9"/>
        <v>46113</v>
      </c>
      <c r="D87" s="11">
        <v>3259</v>
      </c>
      <c r="E87" s="11">
        <v>333</v>
      </c>
      <c r="F87" s="11">
        <v>3</v>
      </c>
      <c r="G87" s="25">
        <v>16</v>
      </c>
      <c r="H87" s="25"/>
      <c r="I87" s="11" t="s">
        <v>17</v>
      </c>
      <c r="J87" s="51">
        <v>17134700</v>
      </c>
      <c r="K87" s="45" t="s">
        <v>284</v>
      </c>
      <c r="L87" s="45" t="s">
        <v>287</v>
      </c>
      <c r="M87" s="33">
        <v>229900</v>
      </c>
      <c r="N87" s="31">
        <v>0.75</v>
      </c>
      <c r="O87" s="32">
        <f t="shared" si="7"/>
        <v>57475</v>
      </c>
      <c r="P87" s="28" t="s">
        <v>16</v>
      </c>
    </row>
    <row r="88" spans="1:16" x14ac:dyDescent="0.35">
      <c r="A88" s="11" t="s">
        <v>1032</v>
      </c>
      <c r="B88" s="12">
        <f t="shared" si="8"/>
        <v>46104</v>
      </c>
      <c r="C88" s="12">
        <f t="shared" si="9"/>
        <v>46113</v>
      </c>
      <c r="D88" s="11">
        <v>3259</v>
      </c>
      <c r="E88" s="11">
        <v>333</v>
      </c>
      <c r="F88" s="11">
        <v>3</v>
      </c>
      <c r="G88" s="25">
        <v>16</v>
      </c>
      <c r="H88" s="25"/>
      <c r="I88" s="11" t="s">
        <v>17</v>
      </c>
      <c r="J88" s="51">
        <v>17134719</v>
      </c>
      <c r="K88" s="45" t="s">
        <v>284</v>
      </c>
      <c r="L88" s="45" t="s">
        <v>288</v>
      </c>
      <c r="M88" s="33">
        <v>229900</v>
      </c>
      <c r="N88" s="31">
        <v>0.75</v>
      </c>
      <c r="O88" s="32">
        <f t="shared" si="7"/>
        <v>57475</v>
      </c>
      <c r="P88" s="28" t="s">
        <v>16</v>
      </c>
    </row>
    <row r="89" spans="1:16" x14ac:dyDescent="0.35">
      <c r="A89" s="11" t="s">
        <v>1032</v>
      </c>
      <c r="B89" s="12">
        <f t="shared" si="8"/>
        <v>46104</v>
      </c>
      <c r="C89" s="12">
        <f t="shared" si="9"/>
        <v>46113</v>
      </c>
      <c r="D89" s="11">
        <v>3259</v>
      </c>
      <c r="E89" s="11">
        <v>333</v>
      </c>
      <c r="F89" s="11">
        <v>3</v>
      </c>
      <c r="G89" s="25">
        <v>16</v>
      </c>
      <c r="H89" s="25"/>
      <c r="I89" s="11" t="s">
        <v>17</v>
      </c>
      <c r="J89" s="51">
        <v>17134728</v>
      </c>
      <c r="K89" s="45" t="s">
        <v>284</v>
      </c>
      <c r="L89" s="45" t="s">
        <v>289</v>
      </c>
      <c r="M89" s="33">
        <v>229900</v>
      </c>
      <c r="N89" s="31">
        <v>0.75</v>
      </c>
      <c r="O89" s="32">
        <f t="shared" si="7"/>
        <v>57475</v>
      </c>
      <c r="P89" s="28" t="s">
        <v>16</v>
      </c>
    </row>
    <row r="90" spans="1:16" x14ac:dyDescent="0.35">
      <c r="A90" s="11" t="s">
        <v>1032</v>
      </c>
      <c r="B90" s="12">
        <f t="shared" si="8"/>
        <v>46104</v>
      </c>
      <c r="C90" s="12">
        <f t="shared" si="9"/>
        <v>46113</v>
      </c>
      <c r="D90" s="11">
        <v>3259</v>
      </c>
      <c r="E90" s="11">
        <v>333</v>
      </c>
      <c r="F90" s="11">
        <v>3</v>
      </c>
      <c r="G90" s="25">
        <v>16</v>
      </c>
      <c r="H90" s="25"/>
      <c r="I90" s="11" t="s">
        <v>17</v>
      </c>
      <c r="J90" s="52">
        <v>17134737</v>
      </c>
      <c r="K90" s="53" t="s">
        <v>284</v>
      </c>
      <c r="L90" s="53" t="s">
        <v>290</v>
      </c>
      <c r="M90" s="33">
        <v>229900</v>
      </c>
      <c r="N90" s="31">
        <v>0.75</v>
      </c>
      <c r="O90" s="32">
        <f t="shared" si="7"/>
        <v>57475</v>
      </c>
      <c r="P90" s="28" t="s">
        <v>16</v>
      </c>
    </row>
    <row r="91" spans="1:16" x14ac:dyDescent="0.35">
      <c r="A91" s="11" t="s">
        <v>1032</v>
      </c>
      <c r="B91" s="12">
        <f t="shared" si="8"/>
        <v>46104</v>
      </c>
      <c r="C91" s="12">
        <f t="shared" si="9"/>
        <v>46113</v>
      </c>
      <c r="D91" s="11">
        <v>3259</v>
      </c>
      <c r="E91" s="11">
        <v>333</v>
      </c>
      <c r="F91" s="11">
        <v>3</v>
      </c>
      <c r="G91" s="25">
        <v>16</v>
      </c>
      <c r="H91" s="25"/>
      <c r="I91" s="11" t="s">
        <v>17</v>
      </c>
      <c r="J91" s="51">
        <v>17148400</v>
      </c>
      <c r="K91" s="45" t="s">
        <v>291</v>
      </c>
      <c r="L91" s="45" t="s">
        <v>292</v>
      </c>
      <c r="M91" s="33">
        <v>199900</v>
      </c>
      <c r="N91" s="31">
        <v>0.75</v>
      </c>
      <c r="O91" s="32">
        <f t="shared" si="7"/>
        <v>49975</v>
      </c>
      <c r="P91" s="28" t="s">
        <v>16</v>
      </c>
    </row>
    <row r="92" spans="1:16" x14ac:dyDescent="0.35">
      <c r="A92" s="11" t="s">
        <v>1032</v>
      </c>
      <c r="B92" s="12">
        <f t="shared" si="8"/>
        <v>46104</v>
      </c>
      <c r="C92" s="12">
        <f t="shared" si="9"/>
        <v>46113</v>
      </c>
      <c r="D92" s="11">
        <v>3259</v>
      </c>
      <c r="E92" s="11">
        <v>333</v>
      </c>
      <c r="F92" s="11">
        <v>3</v>
      </c>
      <c r="G92" s="25">
        <v>16</v>
      </c>
      <c r="H92" s="25"/>
      <c r="I92" s="11" t="s">
        <v>17</v>
      </c>
      <c r="J92" s="51">
        <v>17148419</v>
      </c>
      <c r="K92" s="45" t="s">
        <v>291</v>
      </c>
      <c r="L92" s="45" t="s">
        <v>293</v>
      </c>
      <c r="M92" s="33">
        <v>199900</v>
      </c>
      <c r="N92" s="31">
        <v>0.75</v>
      </c>
      <c r="O92" s="32">
        <f t="shared" si="7"/>
        <v>49975</v>
      </c>
      <c r="P92" s="28" t="s">
        <v>16</v>
      </c>
    </row>
    <row r="93" spans="1:16" x14ac:dyDescent="0.35">
      <c r="A93" s="11" t="s">
        <v>1032</v>
      </c>
      <c r="B93" s="12">
        <f t="shared" si="8"/>
        <v>46104</v>
      </c>
      <c r="C93" s="12">
        <f t="shared" si="9"/>
        <v>46113</v>
      </c>
      <c r="D93" s="11">
        <v>3259</v>
      </c>
      <c r="E93" s="11">
        <v>333</v>
      </c>
      <c r="F93" s="11">
        <v>3</v>
      </c>
      <c r="G93" s="25">
        <v>16</v>
      </c>
      <c r="H93" s="25"/>
      <c r="I93" s="11" t="s">
        <v>17</v>
      </c>
      <c r="J93" s="51">
        <v>17148437</v>
      </c>
      <c r="K93" s="45" t="s">
        <v>291</v>
      </c>
      <c r="L93" s="45" t="s">
        <v>295</v>
      </c>
      <c r="M93" s="33">
        <v>199900</v>
      </c>
      <c r="N93" s="31">
        <v>0.75</v>
      </c>
      <c r="O93" s="32">
        <f t="shared" si="7"/>
        <v>49975</v>
      </c>
      <c r="P93" s="28" t="s">
        <v>16</v>
      </c>
    </row>
    <row r="94" spans="1:16" x14ac:dyDescent="0.35">
      <c r="A94" s="11" t="s">
        <v>1032</v>
      </c>
      <c r="B94" s="12">
        <f t="shared" si="8"/>
        <v>46104</v>
      </c>
      <c r="C94" s="12">
        <f t="shared" si="9"/>
        <v>46113</v>
      </c>
      <c r="D94" s="11">
        <v>3259</v>
      </c>
      <c r="E94" s="11">
        <v>333</v>
      </c>
      <c r="F94" s="11">
        <v>3</v>
      </c>
      <c r="G94" s="25">
        <v>16</v>
      </c>
      <c r="H94" s="25"/>
      <c r="I94" s="11" t="s">
        <v>17</v>
      </c>
      <c r="J94" s="51">
        <v>18917390</v>
      </c>
      <c r="K94" s="45" t="s">
        <v>291</v>
      </c>
      <c r="L94" s="45" t="s">
        <v>296</v>
      </c>
      <c r="M94" s="33">
        <v>199900</v>
      </c>
      <c r="N94" s="31">
        <v>0.75</v>
      </c>
      <c r="O94" s="32">
        <f t="shared" si="7"/>
        <v>49975</v>
      </c>
      <c r="P94" s="28" t="s">
        <v>16</v>
      </c>
    </row>
    <row r="95" spans="1:16" x14ac:dyDescent="0.35">
      <c r="A95" s="11" t="s">
        <v>1032</v>
      </c>
      <c r="B95" s="12">
        <f t="shared" si="8"/>
        <v>46104</v>
      </c>
      <c r="C95" s="12">
        <f t="shared" si="9"/>
        <v>46113</v>
      </c>
      <c r="D95" s="11">
        <v>3259</v>
      </c>
      <c r="E95" s="11">
        <v>333</v>
      </c>
      <c r="F95" s="11">
        <v>3</v>
      </c>
      <c r="G95" s="25">
        <v>16</v>
      </c>
      <c r="H95" s="25"/>
      <c r="I95" s="11" t="s">
        <v>17</v>
      </c>
      <c r="J95" s="52">
        <v>17148428</v>
      </c>
      <c r="K95" s="53" t="s">
        <v>291</v>
      </c>
      <c r="L95" s="53" t="s">
        <v>294</v>
      </c>
      <c r="M95" s="33">
        <v>199900</v>
      </c>
      <c r="N95" s="31">
        <v>0.75</v>
      </c>
      <c r="O95" s="32">
        <f t="shared" si="7"/>
        <v>49975</v>
      </c>
      <c r="P95" s="28" t="s">
        <v>16</v>
      </c>
    </row>
    <row r="96" spans="1:16" x14ac:dyDescent="0.35">
      <c r="A96" s="11" t="s">
        <v>1032</v>
      </c>
      <c r="B96" s="12">
        <f t="shared" si="8"/>
        <v>46104</v>
      </c>
      <c r="C96" s="12">
        <f t="shared" si="9"/>
        <v>46113</v>
      </c>
      <c r="D96" s="11">
        <v>3259</v>
      </c>
      <c r="E96" s="11">
        <v>333</v>
      </c>
      <c r="F96" s="11">
        <v>3</v>
      </c>
      <c r="G96" s="25">
        <v>16</v>
      </c>
      <c r="H96" s="25"/>
      <c r="I96" s="11" t="s">
        <v>17</v>
      </c>
      <c r="J96" s="52">
        <v>18917407</v>
      </c>
      <c r="K96" s="53" t="s">
        <v>291</v>
      </c>
      <c r="L96" s="53" t="s">
        <v>297</v>
      </c>
      <c r="M96" s="33">
        <v>199900</v>
      </c>
      <c r="N96" s="31">
        <v>0.75</v>
      </c>
      <c r="O96" s="32">
        <f t="shared" si="7"/>
        <v>49975</v>
      </c>
      <c r="P96" s="28" t="s">
        <v>16</v>
      </c>
    </row>
    <row r="97" spans="1:16" x14ac:dyDescent="0.35">
      <c r="A97" s="11" t="s">
        <v>1032</v>
      </c>
      <c r="B97" s="12">
        <f t="shared" si="8"/>
        <v>46104</v>
      </c>
      <c r="C97" s="12">
        <f t="shared" si="9"/>
        <v>46113</v>
      </c>
      <c r="D97" s="11">
        <v>3259</v>
      </c>
      <c r="E97" s="11">
        <v>333</v>
      </c>
      <c r="F97" s="11">
        <v>3</v>
      </c>
      <c r="G97" s="25">
        <v>16</v>
      </c>
      <c r="H97" s="25"/>
      <c r="I97" s="11" t="s">
        <v>17</v>
      </c>
      <c r="J97" s="51">
        <v>19551612</v>
      </c>
      <c r="K97" s="45" t="s">
        <v>674</v>
      </c>
      <c r="L97" s="45" t="s">
        <v>664</v>
      </c>
      <c r="M97" s="33">
        <v>149900</v>
      </c>
      <c r="N97" s="31">
        <v>0.75</v>
      </c>
      <c r="O97" s="32">
        <f t="shared" si="7"/>
        <v>37475</v>
      </c>
      <c r="P97" s="28" t="s">
        <v>16</v>
      </c>
    </row>
    <row r="98" spans="1:16" x14ac:dyDescent="0.35">
      <c r="A98" s="11" t="s">
        <v>1032</v>
      </c>
      <c r="B98" s="12">
        <f t="shared" si="8"/>
        <v>46104</v>
      </c>
      <c r="C98" s="12">
        <f t="shared" si="9"/>
        <v>46113</v>
      </c>
      <c r="D98" s="11">
        <v>3259</v>
      </c>
      <c r="E98" s="11">
        <v>333</v>
      </c>
      <c r="F98" s="11">
        <v>3</v>
      </c>
      <c r="G98" s="25">
        <v>16</v>
      </c>
      <c r="H98" s="25"/>
      <c r="I98" s="11" t="s">
        <v>17</v>
      </c>
      <c r="J98" s="51">
        <v>19551621</v>
      </c>
      <c r="K98" s="45" t="s">
        <v>674</v>
      </c>
      <c r="L98" s="45" t="s">
        <v>665</v>
      </c>
      <c r="M98" s="33">
        <v>149900</v>
      </c>
      <c r="N98" s="31">
        <v>0.75</v>
      </c>
      <c r="O98" s="32">
        <f t="shared" ref="O98:O117" si="10">M98-(M98*N98)</f>
        <v>37475</v>
      </c>
      <c r="P98" s="28" t="s">
        <v>16</v>
      </c>
    </row>
    <row r="99" spans="1:16" x14ac:dyDescent="0.35">
      <c r="A99" s="11" t="s">
        <v>1032</v>
      </c>
      <c r="B99" s="12">
        <f t="shared" ref="B99:B117" si="11">B98</f>
        <v>46104</v>
      </c>
      <c r="C99" s="12">
        <f t="shared" ref="C99:C117" si="12">C98</f>
        <v>46113</v>
      </c>
      <c r="D99" s="11">
        <v>3259</v>
      </c>
      <c r="E99" s="11">
        <v>333</v>
      </c>
      <c r="F99" s="11">
        <v>3</v>
      </c>
      <c r="G99" s="25">
        <v>16</v>
      </c>
      <c r="H99" s="25"/>
      <c r="I99" s="11" t="s">
        <v>17</v>
      </c>
      <c r="J99" s="51">
        <v>19551649</v>
      </c>
      <c r="K99" s="45" t="s">
        <v>674</v>
      </c>
      <c r="L99" s="45" t="s">
        <v>666</v>
      </c>
      <c r="M99" s="33">
        <v>149900</v>
      </c>
      <c r="N99" s="31">
        <v>0.75</v>
      </c>
      <c r="O99" s="32">
        <f t="shared" si="10"/>
        <v>37475</v>
      </c>
      <c r="P99" s="28" t="s">
        <v>16</v>
      </c>
    </row>
    <row r="100" spans="1:16" x14ac:dyDescent="0.35">
      <c r="A100" s="11" t="s">
        <v>1032</v>
      </c>
      <c r="B100" s="12">
        <f t="shared" si="11"/>
        <v>46104</v>
      </c>
      <c r="C100" s="12">
        <f t="shared" si="12"/>
        <v>46113</v>
      </c>
      <c r="D100" s="11">
        <v>3259</v>
      </c>
      <c r="E100" s="11">
        <v>333</v>
      </c>
      <c r="F100" s="11">
        <v>3</v>
      </c>
      <c r="G100" s="25">
        <v>16</v>
      </c>
      <c r="H100" s="25"/>
      <c r="I100" s="11" t="s">
        <v>17</v>
      </c>
      <c r="J100" s="51">
        <v>19551658</v>
      </c>
      <c r="K100" s="45" t="s">
        <v>674</v>
      </c>
      <c r="L100" s="45" t="s">
        <v>667</v>
      </c>
      <c r="M100" s="33">
        <v>149900</v>
      </c>
      <c r="N100" s="31">
        <v>0.75</v>
      </c>
      <c r="O100" s="32">
        <f t="shared" si="10"/>
        <v>37475</v>
      </c>
      <c r="P100" s="28" t="s">
        <v>16</v>
      </c>
    </row>
    <row r="101" spans="1:16" x14ac:dyDescent="0.35">
      <c r="A101" s="11" t="s">
        <v>1032</v>
      </c>
      <c r="B101" s="12">
        <f t="shared" si="11"/>
        <v>46104</v>
      </c>
      <c r="C101" s="12">
        <f t="shared" si="12"/>
        <v>46113</v>
      </c>
      <c r="D101" s="11">
        <v>3259</v>
      </c>
      <c r="E101" s="11">
        <v>333</v>
      </c>
      <c r="F101" s="11">
        <v>3</v>
      </c>
      <c r="G101" s="25">
        <v>16</v>
      </c>
      <c r="H101" s="25"/>
      <c r="I101" s="11" t="s">
        <v>17</v>
      </c>
      <c r="J101" s="51">
        <v>19551667</v>
      </c>
      <c r="K101" s="45" t="s">
        <v>674</v>
      </c>
      <c r="L101" s="45" t="s">
        <v>668</v>
      </c>
      <c r="M101" s="33">
        <v>149900</v>
      </c>
      <c r="N101" s="31">
        <v>0.75</v>
      </c>
      <c r="O101" s="32">
        <f t="shared" si="10"/>
        <v>37475</v>
      </c>
      <c r="P101" s="28" t="s">
        <v>16</v>
      </c>
    </row>
    <row r="102" spans="1:16" x14ac:dyDescent="0.35">
      <c r="A102" s="11" t="s">
        <v>1032</v>
      </c>
      <c r="B102" s="12">
        <f t="shared" si="11"/>
        <v>46104</v>
      </c>
      <c r="C102" s="12">
        <f t="shared" si="12"/>
        <v>46113</v>
      </c>
      <c r="D102" s="11">
        <v>3259</v>
      </c>
      <c r="E102" s="11">
        <v>333</v>
      </c>
      <c r="F102" s="11">
        <v>3</v>
      </c>
      <c r="G102" s="25">
        <v>16</v>
      </c>
      <c r="H102" s="25"/>
      <c r="I102" s="11" t="s">
        <v>17</v>
      </c>
      <c r="J102" s="51">
        <v>19551676</v>
      </c>
      <c r="K102" s="45" t="s">
        <v>674</v>
      </c>
      <c r="L102" s="45" t="s">
        <v>669</v>
      </c>
      <c r="M102" s="33">
        <v>149900</v>
      </c>
      <c r="N102" s="31">
        <v>0.75</v>
      </c>
      <c r="O102" s="32">
        <f t="shared" si="10"/>
        <v>37475</v>
      </c>
      <c r="P102" s="28" t="s">
        <v>16</v>
      </c>
    </row>
    <row r="103" spans="1:16" x14ac:dyDescent="0.35">
      <c r="A103" s="11" t="s">
        <v>1032</v>
      </c>
      <c r="B103" s="12">
        <f t="shared" si="11"/>
        <v>46104</v>
      </c>
      <c r="C103" s="12">
        <f t="shared" si="12"/>
        <v>46113</v>
      </c>
      <c r="D103" s="11">
        <v>3259</v>
      </c>
      <c r="E103" s="11">
        <v>333</v>
      </c>
      <c r="F103" s="11">
        <v>3</v>
      </c>
      <c r="G103" s="25">
        <v>16</v>
      </c>
      <c r="H103" s="25"/>
      <c r="I103" s="11" t="s">
        <v>17</v>
      </c>
      <c r="J103" s="51">
        <v>87445145</v>
      </c>
      <c r="K103" s="45" t="s">
        <v>291</v>
      </c>
      <c r="L103" s="45" t="s">
        <v>299</v>
      </c>
      <c r="M103" s="33">
        <v>199900</v>
      </c>
      <c r="N103" s="31">
        <v>0.75</v>
      </c>
      <c r="O103" s="32">
        <f t="shared" si="10"/>
        <v>49975</v>
      </c>
      <c r="P103" s="28" t="s">
        <v>16</v>
      </c>
    </row>
    <row r="104" spans="1:16" x14ac:dyDescent="0.35">
      <c r="A104" s="11" t="s">
        <v>1032</v>
      </c>
      <c r="B104" s="12">
        <f t="shared" si="11"/>
        <v>46104</v>
      </c>
      <c r="C104" s="12">
        <f t="shared" si="12"/>
        <v>46113</v>
      </c>
      <c r="D104" s="11">
        <v>3259</v>
      </c>
      <c r="E104" s="11">
        <v>333</v>
      </c>
      <c r="F104" s="11">
        <v>3</v>
      </c>
      <c r="G104" s="25">
        <v>16</v>
      </c>
      <c r="H104" s="25"/>
      <c r="I104" s="11" t="s">
        <v>17</v>
      </c>
      <c r="J104" s="51">
        <v>87445154</v>
      </c>
      <c r="K104" s="45" t="s">
        <v>291</v>
      </c>
      <c r="L104" s="45" t="s">
        <v>300</v>
      </c>
      <c r="M104" s="33">
        <v>199900</v>
      </c>
      <c r="N104" s="31">
        <v>0.75</v>
      </c>
      <c r="O104" s="32">
        <f t="shared" si="10"/>
        <v>49975</v>
      </c>
      <c r="P104" s="28" t="s">
        <v>16</v>
      </c>
    </row>
    <row r="105" spans="1:16" x14ac:dyDescent="0.35">
      <c r="A105" s="11" t="s">
        <v>1032</v>
      </c>
      <c r="B105" s="12">
        <f t="shared" si="11"/>
        <v>46104</v>
      </c>
      <c r="C105" s="12">
        <f t="shared" si="12"/>
        <v>46113</v>
      </c>
      <c r="D105" s="11">
        <v>3259</v>
      </c>
      <c r="E105" s="11">
        <v>333</v>
      </c>
      <c r="F105" s="11">
        <v>3</v>
      </c>
      <c r="G105" s="25">
        <v>16</v>
      </c>
      <c r="H105" s="25"/>
      <c r="I105" s="11" t="s">
        <v>17</v>
      </c>
      <c r="J105" s="51">
        <v>87445163</v>
      </c>
      <c r="K105" s="45" t="s">
        <v>291</v>
      </c>
      <c r="L105" s="45" t="s">
        <v>301</v>
      </c>
      <c r="M105" s="33">
        <v>199900</v>
      </c>
      <c r="N105" s="31">
        <v>0.75</v>
      </c>
      <c r="O105" s="32">
        <f t="shared" si="10"/>
        <v>49975</v>
      </c>
      <c r="P105" s="28" t="s">
        <v>16</v>
      </c>
    </row>
    <row r="106" spans="1:16" x14ac:dyDescent="0.35">
      <c r="A106" s="11" t="s">
        <v>1032</v>
      </c>
      <c r="B106" s="12">
        <f t="shared" si="11"/>
        <v>46104</v>
      </c>
      <c r="C106" s="12">
        <f t="shared" si="12"/>
        <v>46113</v>
      </c>
      <c r="D106" s="11">
        <v>3259</v>
      </c>
      <c r="E106" s="11">
        <v>333</v>
      </c>
      <c r="F106" s="11">
        <v>3</v>
      </c>
      <c r="G106" s="25">
        <v>16</v>
      </c>
      <c r="H106" s="25"/>
      <c r="I106" s="11" t="s">
        <v>17</v>
      </c>
      <c r="J106" s="51">
        <v>87445172</v>
      </c>
      <c r="K106" s="45" t="s">
        <v>291</v>
      </c>
      <c r="L106" s="45" t="s">
        <v>302</v>
      </c>
      <c r="M106" s="33">
        <v>199900</v>
      </c>
      <c r="N106" s="31">
        <v>0.75</v>
      </c>
      <c r="O106" s="32">
        <f t="shared" si="10"/>
        <v>49975</v>
      </c>
      <c r="P106" s="28" t="s">
        <v>16</v>
      </c>
    </row>
    <row r="107" spans="1:16" x14ac:dyDescent="0.35">
      <c r="A107" s="11" t="s">
        <v>1032</v>
      </c>
      <c r="B107" s="12">
        <f t="shared" si="11"/>
        <v>46104</v>
      </c>
      <c r="C107" s="12">
        <f t="shared" si="12"/>
        <v>46113</v>
      </c>
      <c r="D107" s="11">
        <v>3259</v>
      </c>
      <c r="E107" s="11">
        <v>333</v>
      </c>
      <c r="F107" s="11">
        <v>3</v>
      </c>
      <c r="G107" s="25">
        <v>16</v>
      </c>
      <c r="H107" s="25"/>
      <c r="I107" s="11" t="s">
        <v>17</v>
      </c>
      <c r="J107" s="51">
        <v>87445529</v>
      </c>
      <c r="K107" s="45" t="s">
        <v>291</v>
      </c>
      <c r="L107" s="45" t="s">
        <v>303</v>
      </c>
      <c r="M107" s="33">
        <v>199900</v>
      </c>
      <c r="N107" s="31">
        <v>0.75</v>
      </c>
      <c r="O107" s="32">
        <f t="shared" si="10"/>
        <v>49975</v>
      </c>
      <c r="P107" s="28" t="s">
        <v>16</v>
      </c>
    </row>
    <row r="108" spans="1:16" x14ac:dyDescent="0.35">
      <c r="A108" s="11" t="s">
        <v>1032</v>
      </c>
      <c r="B108" s="12">
        <f t="shared" si="11"/>
        <v>46104</v>
      </c>
      <c r="C108" s="12">
        <f t="shared" si="12"/>
        <v>46113</v>
      </c>
      <c r="D108" s="11">
        <v>3259</v>
      </c>
      <c r="E108" s="11">
        <v>333</v>
      </c>
      <c r="F108" s="11">
        <v>3</v>
      </c>
      <c r="G108" s="25">
        <v>16</v>
      </c>
      <c r="H108" s="25"/>
      <c r="I108" s="11" t="s">
        <v>17</v>
      </c>
      <c r="J108" s="51">
        <v>87445538</v>
      </c>
      <c r="K108" s="45" t="s">
        <v>291</v>
      </c>
      <c r="L108" s="45" t="s">
        <v>304</v>
      </c>
      <c r="M108" s="33">
        <v>199900</v>
      </c>
      <c r="N108" s="31">
        <v>0.75</v>
      </c>
      <c r="O108" s="32">
        <f t="shared" si="10"/>
        <v>49975</v>
      </c>
      <c r="P108" s="28" t="s">
        <v>16</v>
      </c>
    </row>
    <row r="109" spans="1:16" x14ac:dyDescent="0.35">
      <c r="A109" s="11" t="s">
        <v>1032</v>
      </c>
      <c r="B109" s="12">
        <f t="shared" si="11"/>
        <v>46104</v>
      </c>
      <c r="C109" s="12">
        <f t="shared" si="12"/>
        <v>46113</v>
      </c>
      <c r="D109" s="11">
        <v>3259</v>
      </c>
      <c r="E109" s="11">
        <v>333</v>
      </c>
      <c r="F109" s="11">
        <v>3</v>
      </c>
      <c r="G109" s="25">
        <v>16</v>
      </c>
      <c r="H109" s="25"/>
      <c r="I109" s="11" t="s">
        <v>17</v>
      </c>
      <c r="J109" s="51">
        <v>87445547</v>
      </c>
      <c r="K109" s="45" t="s">
        <v>291</v>
      </c>
      <c r="L109" s="45" t="s">
        <v>305</v>
      </c>
      <c r="M109" s="33">
        <v>199900</v>
      </c>
      <c r="N109" s="31">
        <v>0.75</v>
      </c>
      <c r="O109" s="32">
        <f t="shared" si="10"/>
        <v>49975</v>
      </c>
      <c r="P109" s="28" t="s">
        <v>16</v>
      </c>
    </row>
    <row r="110" spans="1:16" x14ac:dyDescent="0.35">
      <c r="A110" s="11" t="s">
        <v>1032</v>
      </c>
      <c r="B110" s="12">
        <f t="shared" si="11"/>
        <v>46104</v>
      </c>
      <c r="C110" s="12">
        <f t="shared" si="12"/>
        <v>46113</v>
      </c>
      <c r="D110" s="11">
        <v>3259</v>
      </c>
      <c r="E110" s="11">
        <v>333</v>
      </c>
      <c r="F110" s="11">
        <v>3</v>
      </c>
      <c r="G110" s="25">
        <v>16</v>
      </c>
      <c r="H110" s="25"/>
      <c r="I110" s="11" t="s">
        <v>17</v>
      </c>
      <c r="J110" s="51">
        <v>87445556</v>
      </c>
      <c r="K110" s="45" t="s">
        <v>291</v>
      </c>
      <c r="L110" s="45" t="s">
        <v>306</v>
      </c>
      <c r="M110" s="33">
        <v>199900</v>
      </c>
      <c r="N110" s="31">
        <v>0.75</v>
      </c>
      <c r="O110" s="32">
        <f t="shared" si="10"/>
        <v>49975</v>
      </c>
      <c r="P110" s="28" t="s">
        <v>16</v>
      </c>
    </row>
    <row r="111" spans="1:16" x14ac:dyDescent="0.35">
      <c r="A111" s="11" t="s">
        <v>1032</v>
      </c>
      <c r="B111" s="12">
        <f t="shared" si="11"/>
        <v>46104</v>
      </c>
      <c r="C111" s="12">
        <f t="shared" si="12"/>
        <v>46113</v>
      </c>
      <c r="D111" s="11">
        <v>3259</v>
      </c>
      <c r="E111" s="11">
        <v>333</v>
      </c>
      <c r="F111" s="11">
        <v>3</v>
      </c>
      <c r="G111" s="25">
        <v>16</v>
      </c>
      <c r="H111" s="25"/>
      <c r="I111" s="11" t="s">
        <v>17</v>
      </c>
      <c r="J111" s="54">
        <v>15258170</v>
      </c>
      <c r="K111" s="53" t="s">
        <v>120</v>
      </c>
      <c r="L111" s="53" t="s">
        <v>125</v>
      </c>
      <c r="M111" s="22">
        <v>199900</v>
      </c>
      <c r="N111" s="31">
        <v>0.75</v>
      </c>
      <c r="O111" s="32">
        <f t="shared" si="10"/>
        <v>49975</v>
      </c>
      <c r="P111" s="28" t="s">
        <v>16</v>
      </c>
    </row>
    <row r="112" spans="1:16" x14ac:dyDescent="0.35">
      <c r="A112" s="11" t="s">
        <v>1032</v>
      </c>
      <c r="B112" s="12">
        <f t="shared" si="11"/>
        <v>46104</v>
      </c>
      <c r="C112" s="12">
        <f t="shared" si="12"/>
        <v>46113</v>
      </c>
      <c r="D112" s="11">
        <v>3259</v>
      </c>
      <c r="E112" s="11">
        <v>333</v>
      </c>
      <c r="F112" s="11">
        <v>3</v>
      </c>
      <c r="G112" s="25">
        <v>16</v>
      </c>
      <c r="H112" s="25"/>
      <c r="I112" s="11" t="s">
        <v>17</v>
      </c>
      <c r="J112" s="54">
        <v>15258189</v>
      </c>
      <c r="K112" s="53" t="s">
        <v>120</v>
      </c>
      <c r="L112" s="53" t="s">
        <v>126</v>
      </c>
      <c r="M112" s="22">
        <v>199900</v>
      </c>
      <c r="N112" s="31">
        <v>0.75</v>
      </c>
      <c r="O112" s="32">
        <f t="shared" si="10"/>
        <v>49975</v>
      </c>
      <c r="P112" s="28" t="s">
        <v>16</v>
      </c>
    </row>
    <row r="113" spans="1:16" x14ac:dyDescent="0.35">
      <c r="A113" s="11" t="s">
        <v>1032</v>
      </c>
      <c r="B113" s="12">
        <f t="shared" si="11"/>
        <v>46104</v>
      </c>
      <c r="C113" s="12">
        <f t="shared" si="12"/>
        <v>46113</v>
      </c>
      <c r="D113" s="11">
        <v>3259</v>
      </c>
      <c r="E113" s="11">
        <v>333</v>
      </c>
      <c r="F113" s="11">
        <v>3</v>
      </c>
      <c r="G113" s="25">
        <v>16</v>
      </c>
      <c r="H113" s="25"/>
      <c r="I113" s="11" t="s">
        <v>17</v>
      </c>
      <c r="J113" s="54">
        <v>15258232</v>
      </c>
      <c r="K113" s="53" t="s">
        <v>120</v>
      </c>
      <c r="L113" s="53" t="s">
        <v>127</v>
      </c>
      <c r="M113" s="22">
        <v>199900</v>
      </c>
      <c r="N113" s="31">
        <v>0.75</v>
      </c>
      <c r="O113" s="32">
        <f t="shared" si="10"/>
        <v>49975</v>
      </c>
      <c r="P113" s="28" t="s">
        <v>16</v>
      </c>
    </row>
    <row r="114" spans="1:16" s="1" customFormat="1" x14ac:dyDescent="0.35">
      <c r="A114" s="11" t="s">
        <v>1032</v>
      </c>
      <c r="B114" s="12">
        <f t="shared" si="11"/>
        <v>46104</v>
      </c>
      <c r="C114" s="12">
        <f t="shared" si="12"/>
        <v>46113</v>
      </c>
      <c r="D114" s="11">
        <v>3259</v>
      </c>
      <c r="E114" s="11">
        <v>333</v>
      </c>
      <c r="F114" s="11">
        <v>3</v>
      </c>
      <c r="G114" s="11">
        <v>7</v>
      </c>
      <c r="H114" s="11"/>
      <c r="I114" s="11"/>
      <c r="J114" s="28">
        <v>87445841</v>
      </c>
      <c r="K114" s="28" t="s">
        <v>230</v>
      </c>
      <c r="L114" s="28" t="s">
        <v>431</v>
      </c>
      <c r="M114" s="46">
        <v>179900</v>
      </c>
      <c r="N114" s="31">
        <v>0.75</v>
      </c>
      <c r="O114" s="32">
        <f t="shared" si="10"/>
        <v>44975</v>
      </c>
      <c r="P114" s="28" t="s">
        <v>16</v>
      </c>
    </row>
    <row r="115" spans="1:16" s="1" customFormat="1" x14ac:dyDescent="0.35">
      <c r="A115" s="11" t="s">
        <v>1032</v>
      </c>
      <c r="B115" s="12">
        <f t="shared" si="11"/>
        <v>46104</v>
      </c>
      <c r="C115" s="12">
        <f t="shared" si="12"/>
        <v>46113</v>
      </c>
      <c r="D115" s="11">
        <v>3259</v>
      </c>
      <c r="E115" s="11">
        <v>333</v>
      </c>
      <c r="F115" s="11">
        <v>3</v>
      </c>
      <c r="G115" s="11">
        <v>7</v>
      </c>
      <c r="H115" s="11"/>
      <c r="I115" s="11"/>
      <c r="J115" s="28">
        <v>87445832</v>
      </c>
      <c r="K115" s="28" t="s">
        <v>230</v>
      </c>
      <c r="L115" s="28" t="s">
        <v>430</v>
      </c>
      <c r="M115" s="46">
        <v>179900</v>
      </c>
      <c r="N115" s="31">
        <v>0.75</v>
      </c>
      <c r="O115" s="32">
        <f t="shared" si="10"/>
        <v>44975</v>
      </c>
      <c r="P115" s="28" t="s">
        <v>16</v>
      </c>
    </row>
    <row r="116" spans="1:16" s="1" customFormat="1" x14ac:dyDescent="0.35">
      <c r="A116" s="11" t="s">
        <v>1032</v>
      </c>
      <c r="B116" s="12">
        <f t="shared" si="11"/>
        <v>46104</v>
      </c>
      <c r="C116" s="12">
        <f t="shared" si="12"/>
        <v>46113</v>
      </c>
      <c r="D116" s="11">
        <v>3259</v>
      </c>
      <c r="E116" s="11">
        <v>333</v>
      </c>
      <c r="F116" s="11">
        <v>3</v>
      </c>
      <c r="G116" s="11">
        <v>7</v>
      </c>
      <c r="H116" s="11"/>
      <c r="I116" s="11"/>
      <c r="J116" s="28">
        <v>87445823</v>
      </c>
      <c r="K116" s="28" t="s">
        <v>230</v>
      </c>
      <c r="L116" s="28" t="s">
        <v>429</v>
      </c>
      <c r="M116" s="46">
        <v>179900</v>
      </c>
      <c r="N116" s="31">
        <v>0.75</v>
      </c>
      <c r="O116" s="32">
        <f t="shared" si="10"/>
        <v>44975</v>
      </c>
      <c r="P116" s="28" t="s">
        <v>16</v>
      </c>
    </row>
    <row r="117" spans="1:16" s="1" customFormat="1" x14ac:dyDescent="0.35">
      <c r="A117" s="11" t="s">
        <v>1032</v>
      </c>
      <c r="B117" s="12">
        <f t="shared" si="11"/>
        <v>46104</v>
      </c>
      <c r="C117" s="12">
        <f t="shared" si="12"/>
        <v>46113</v>
      </c>
      <c r="D117" s="11">
        <v>3259</v>
      </c>
      <c r="E117" s="11">
        <v>333</v>
      </c>
      <c r="F117" s="11">
        <v>3</v>
      </c>
      <c r="G117" s="11">
        <v>7</v>
      </c>
      <c r="H117" s="11"/>
      <c r="I117" s="11"/>
      <c r="J117" s="28">
        <v>87445850</v>
      </c>
      <c r="K117" s="28" t="s">
        <v>230</v>
      </c>
      <c r="L117" s="28" t="s">
        <v>432</v>
      </c>
      <c r="M117" s="46">
        <v>179900</v>
      </c>
      <c r="N117" s="31">
        <v>0.75</v>
      </c>
      <c r="O117" s="32">
        <f t="shared" si="10"/>
        <v>44975</v>
      </c>
      <c r="P117" s="28" t="s">
        <v>16</v>
      </c>
    </row>
  </sheetData>
  <autoFilter ref="A1:P1" xr:uid="{00000000-0009-0000-0000-000006000000}"/>
  <conditionalFormatting sqref="J1:J13">
    <cfRule type="duplicateValues" dxfId="786" priority="371"/>
    <cfRule type="duplicateValues" dxfId="785" priority="395"/>
    <cfRule type="duplicateValues" dxfId="784" priority="396"/>
    <cfRule type="duplicateValues" dxfId="783" priority="397"/>
    <cfRule type="duplicateValues" dxfId="782" priority="410"/>
  </conditionalFormatting>
  <conditionalFormatting sqref="J1:J21">
    <cfRule type="duplicateValues" dxfId="781" priority="876"/>
    <cfRule type="duplicateValues" dxfId="780" priority="877"/>
    <cfRule type="duplicateValues" dxfId="779" priority="878"/>
    <cfRule type="duplicateValues" dxfId="778" priority="879"/>
    <cfRule type="duplicateValues" dxfId="777" priority="883"/>
    <cfRule type="duplicateValues" dxfId="776" priority="1813"/>
    <cfRule type="duplicateValues" dxfId="775" priority="5057"/>
    <cfRule type="duplicateValues" dxfId="774" priority="5058"/>
  </conditionalFormatting>
  <conditionalFormatting sqref="J1:J110">
    <cfRule type="duplicateValues" dxfId="773" priority="5066"/>
  </conditionalFormatting>
  <conditionalFormatting sqref="J1:J113">
    <cfRule type="duplicateValues" dxfId="772" priority="5068"/>
    <cfRule type="duplicateValues" dxfId="771" priority="5069"/>
    <cfRule type="duplicateValues" dxfId="770" priority="7055"/>
    <cfRule type="duplicateValues" dxfId="769" priority="7056"/>
    <cfRule type="duplicateValues" dxfId="768" priority="7057"/>
  </conditionalFormatting>
  <conditionalFormatting sqref="J1:J117">
    <cfRule type="duplicateValues" dxfId="767" priority="7054"/>
  </conditionalFormatting>
  <conditionalFormatting sqref="J14:J21">
    <cfRule type="duplicateValues" dxfId="766" priority="882"/>
  </conditionalFormatting>
  <conditionalFormatting sqref="J22:J110">
    <cfRule type="duplicateValues" dxfId="765" priority="5075"/>
    <cfRule type="duplicateValues" dxfId="764" priority="5076"/>
    <cfRule type="duplicateValues" dxfId="763" priority="5077"/>
  </conditionalFormatting>
  <conditionalFormatting sqref="J38:J110">
    <cfRule type="duplicateValues" dxfId="762" priority="5081"/>
    <cfRule type="duplicateValues" dxfId="761" priority="5082"/>
  </conditionalFormatting>
  <conditionalFormatting sqref="J68:J70">
    <cfRule type="duplicateValues" dxfId="760" priority="272"/>
    <cfRule type="duplicateValues" dxfId="759" priority="273"/>
    <cfRule type="duplicateValues" dxfId="758" priority="274"/>
  </conditionalFormatting>
  <conditionalFormatting sqref="J90">
    <cfRule type="duplicateValues" dxfId="757" priority="269"/>
    <cfRule type="duplicateValues" dxfId="756" priority="270"/>
    <cfRule type="duplicateValues" dxfId="755" priority="271"/>
  </conditionalFormatting>
  <conditionalFormatting sqref="J95">
    <cfRule type="duplicateValues" dxfId="754" priority="266"/>
    <cfRule type="duplicateValues" dxfId="753" priority="267"/>
    <cfRule type="duplicateValues" dxfId="752" priority="268"/>
  </conditionalFormatting>
  <conditionalFormatting sqref="J96">
    <cfRule type="duplicateValues" dxfId="751" priority="263"/>
    <cfRule type="duplicateValues" dxfId="750" priority="264"/>
    <cfRule type="duplicateValues" dxfId="749" priority="265"/>
  </conditionalFormatting>
  <conditionalFormatting sqref="J111:J113">
    <cfRule type="duplicateValues" dxfId="748" priority="253"/>
    <cfRule type="duplicateValues" dxfId="747" priority="254"/>
    <cfRule type="duplicateValues" dxfId="746" priority="255"/>
    <cfRule type="duplicateValues" dxfId="745" priority="256"/>
    <cfRule type="duplicateValues" dxfId="744" priority="257"/>
    <cfRule type="duplicateValues" dxfId="743" priority="258"/>
    <cfRule type="duplicateValues" dxfId="742" priority="259"/>
    <cfRule type="duplicateValues" dxfId="741" priority="260"/>
    <cfRule type="duplicateValues" dxfId="740" priority="261"/>
  </conditionalFormatting>
  <conditionalFormatting sqref="J114:J117">
    <cfRule type="duplicateValues" dxfId="739" priority="35"/>
    <cfRule type="duplicateValues" dxfId="738" priority="36"/>
    <cfRule type="duplicateValues" dxfId="737" priority="37"/>
    <cfRule type="duplicateValues" dxfId="736" priority="38"/>
    <cfRule type="duplicateValues" dxfId="735" priority="39"/>
    <cfRule type="duplicateValues" dxfId="734" priority="40"/>
    <cfRule type="duplicateValues" dxfId="733" priority="41"/>
    <cfRule type="duplicateValues" dxfId="732" priority="42"/>
    <cfRule type="duplicateValues" dxfId="731" priority="43"/>
    <cfRule type="duplicateValues" dxfId="730" priority="44"/>
    <cfRule type="duplicateValues" dxfId="729" priority="45"/>
    <cfRule type="duplicateValues" dxfId="728" priority="46"/>
    <cfRule type="duplicateValues" dxfId="727" priority="47"/>
    <cfRule type="duplicateValues" dxfId="726" priority="48"/>
    <cfRule type="duplicateValues" dxfId="725" priority="49"/>
    <cfRule type="duplicateValues" dxfId="724" priority="50"/>
    <cfRule type="duplicateValues" dxfId="723" priority="51"/>
    <cfRule type="duplicateValues" dxfId="722" priority="52"/>
    <cfRule type="duplicateValues" dxfId="721" priority="5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P55"/>
  <sheetViews>
    <sheetView topLeftCell="A29" zoomScale="70" workbookViewId="0">
      <selection activeCell="B2" sqref="B2:C3"/>
    </sheetView>
  </sheetViews>
  <sheetFormatPr defaultColWidth="10" defaultRowHeight="14.5" x14ac:dyDescent="0.35"/>
  <cols>
    <col min="1" max="1" width="26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style="18" bestFit="1" customWidth="1"/>
    <col min="6" max="6" width="8.453125" style="18" bestFit="1" customWidth="1"/>
    <col min="7" max="7" width="5.7265625" style="18" bestFit="1" customWidth="1"/>
    <col min="8" max="8" width="8.54296875" bestFit="1" customWidth="1"/>
    <col min="9" max="9" width="6.7265625" bestFit="1" customWidth="1"/>
    <col min="10" max="10" width="8.81640625" style="18" bestFit="1" customWidth="1"/>
    <col min="11" max="11" width="10.453125" bestFit="1" customWidth="1"/>
    <col min="12" max="12" width="100.453125" bestFit="1" customWidth="1"/>
    <col min="13" max="13" width="14.81640625" style="5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" customFormat="1" ht="30.75" customHeight="1" x14ac:dyDescent="0.35">
      <c r="A1" s="56" t="s">
        <v>0</v>
      </c>
      <c r="B1" s="57" t="s">
        <v>15</v>
      </c>
      <c r="C1" s="57" t="s">
        <v>11</v>
      </c>
      <c r="D1" s="56" t="s">
        <v>1</v>
      </c>
      <c r="E1" s="58" t="s">
        <v>2</v>
      </c>
      <c r="F1" s="58" t="s">
        <v>12</v>
      </c>
      <c r="G1" s="58" t="s">
        <v>3</v>
      </c>
      <c r="H1" s="56" t="s">
        <v>4</v>
      </c>
      <c r="I1" s="56" t="s">
        <v>5</v>
      </c>
      <c r="J1" s="58" t="s">
        <v>6</v>
      </c>
      <c r="K1" s="56" t="s">
        <v>7</v>
      </c>
      <c r="L1" s="56" t="s">
        <v>13</v>
      </c>
      <c r="M1" s="59" t="s">
        <v>14</v>
      </c>
      <c r="N1" s="60" t="s">
        <v>8</v>
      </c>
      <c r="O1" s="61" t="s">
        <v>9</v>
      </c>
      <c r="P1" s="56" t="s">
        <v>10</v>
      </c>
    </row>
    <row r="2" spans="1:16" x14ac:dyDescent="0.35">
      <c r="A2" s="25" t="s">
        <v>1033</v>
      </c>
      <c r="B2" s="12">
        <v>46104</v>
      </c>
      <c r="C2" s="12">
        <v>46113</v>
      </c>
      <c r="D2" s="25">
        <v>3259</v>
      </c>
      <c r="E2" s="51">
        <v>333</v>
      </c>
      <c r="F2" s="51">
        <v>3</v>
      </c>
      <c r="G2" s="51">
        <v>15</v>
      </c>
      <c r="H2" s="25"/>
      <c r="I2" s="25" t="s">
        <v>17</v>
      </c>
      <c r="J2" s="51">
        <v>26769624</v>
      </c>
      <c r="K2" s="25" t="s">
        <v>343</v>
      </c>
      <c r="L2" s="25" t="s">
        <v>684</v>
      </c>
      <c r="M2" s="62">
        <v>219900</v>
      </c>
      <c r="N2" s="31">
        <v>0.75</v>
      </c>
      <c r="O2" s="32">
        <f t="shared" ref="O2:O33" si="0">M2-(M2*N2)</f>
        <v>54975</v>
      </c>
      <c r="P2" s="28" t="s">
        <v>16</v>
      </c>
    </row>
    <row r="3" spans="1:16" x14ac:dyDescent="0.35">
      <c r="A3" s="45" t="s">
        <v>1033</v>
      </c>
      <c r="B3" s="12">
        <f t="shared" ref="B3:C3" si="1">B2</f>
        <v>46104</v>
      </c>
      <c r="C3" s="12">
        <f t="shared" si="1"/>
        <v>46113</v>
      </c>
      <c r="D3" s="25">
        <v>3259</v>
      </c>
      <c r="E3" s="51">
        <v>333</v>
      </c>
      <c r="F3" s="51">
        <v>3</v>
      </c>
      <c r="G3" s="51">
        <v>15</v>
      </c>
      <c r="H3" s="25"/>
      <c r="I3" s="25" t="s">
        <v>17</v>
      </c>
      <c r="J3" s="51">
        <v>26769633</v>
      </c>
      <c r="K3" s="25" t="s">
        <v>343</v>
      </c>
      <c r="L3" s="25" t="s">
        <v>685</v>
      </c>
      <c r="M3" s="62">
        <v>219900</v>
      </c>
      <c r="N3" s="31">
        <v>0.75</v>
      </c>
      <c r="O3" s="32">
        <f t="shared" si="0"/>
        <v>54975</v>
      </c>
      <c r="P3" s="28" t="s">
        <v>16</v>
      </c>
    </row>
    <row r="4" spans="1:16" x14ac:dyDescent="0.35">
      <c r="A4" s="45" t="s">
        <v>1033</v>
      </c>
      <c r="B4" s="12">
        <f t="shared" ref="B4:C4" si="2">B3</f>
        <v>46104</v>
      </c>
      <c r="C4" s="12">
        <f t="shared" si="2"/>
        <v>46113</v>
      </c>
      <c r="D4" s="25">
        <v>3259</v>
      </c>
      <c r="E4" s="51">
        <v>333</v>
      </c>
      <c r="F4" s="51">
        <v>3</v>
      </c>
      <c r="G4" s="51">
        <v>15</v>
      </c>
      <c r="H4" s="25"/>
      <c r="I4" s="25" t="s">
        <v>17</v>
      </c>
      <c r="J4" s="51">
        <v>26769642</v>
      </c>
      <c r="K4" s="25" t="s">
        <v>343</v>
      </c>
      <c r="L4" s="25" t="s">
        <v>686</v>
      </c>
      <c r="M4" s="62">
        <v>219900</v>
      </c>
      <c r="N4" s="31">
        <v>0.75</v>
      </c>
      <c r="O4" s="32">
        <f t="shared" si="0"/>
        <v>54975</v>
      </c>
      <c r="P4" s="28" t="s">
        <v>16</v>
      </c>
    </row>
    <row r="5" spans="1:16" x14ac:dyDescent="0.35">
      <c r="A5" s="45" t="s">
        <v>1033</v>
      </c>
      <c r="B5" s="12">
        <f t="shared" ref="B5:C5" si="3">B4</f>
        <v>46104</v>
      </c>
      <c r="C5" s="12">
        <f t="shared" si="3"/>
        <v>46113</v>
      </c>
      <c r="D5" s="25">
        <v>3259</v>
      </c>
      <c r="E5" s="51">
        <v>333</v>
      </c>
      <c r="F5" s="51">
        <v>3</v>
      </c>
      <c r="G5" s="51">
        <v>15</v>
      </c>
      <c r="H5" s="25"/>
      <c r="I5" s="25" t="s">
        <v>17</v>
      </c>
      <c r="J5" s="51">
        <v>26769651</v>
      </c>
      <c r="K5" s="25" t="s">
        <v>343</v>
      </c>
      <c r="L5" s="25" t="s">
        <v>687</v>
      </c>
      <c r="M5" s="62">
        <v>219900</v>
      </c>
      <c r="N5" s="31">
        <v>0.75</v>
      </c>
      <c r="O5" s="32">
        <f t="shared" si="0"/>
        <v>54975</v>
      </c>
      <c r="P5" s="28" t="s">
        <v>16</v>
      </c>
    </row>
    <row r="6" spans="1:16" x14ac:dyDescent="0.35">
      <c r="A6" s="45" t="s">
        <v>1033</v>
      </c>
      <c r="B6" s="12">
        <f t="shared" ref="B6:C6" si="4">B5</f>
        <v>46104</v>
      </c>
      <c r="C6" s="12">
        <f t="shared" si="4"/>
        <v>46113</v>
      </c>
      <c r="D6" s="25">
        <v>3259</v>
      </c>
      <c r="E6" s="51">
        <v>333</v>
      </c>
      <c r="F6" s="51">
        <v>3</v>
      </c>
      <c r="G6" s="51">
        <v>15</v>
      </c>
      <c r="H6" s="25"/>
      <c r="I6" s="25" t="s">
        <v>17</v>
      </c>
      <c r="J6" s="51">
        <v>26769660</v>
      </c>
      <c r="K6" s="25" t="s">
        <v>343</v>
      </c>
      <c r="L6" s="25" t="s">
        <v>688</v>
      </c>
      <c r="M6" s="62">
        <v>219900</v>
      </c>
      <c r="N6" s="31">
        <v>0.75</v>
      </c>
      <c r="O6" s="32">
        <f t="shared" si="0"/>
        <v>54975</v>
      </c>
      <c r="P6" s="28" t="s">
        <v>16</v>
      </c>
    </row>
    <row r="7" spans="1:16" x14ac:dyDescent="0.35">
      <c r="A7" s="45" t="s">
        <v>1033</v>
      </c>
      <c r="B7" s="12">
        <f t="shared" ref="B7:C7" si="5">B6</f>
        <v>46104</v>
      </c>
      <c r="C7" s="12">
        <f t="shared" si="5"/>
        <v>46113</v>
      </c>
      <c r="D7" s="25">
        <v>3259</v>
      </c>
      <c r="E7" s="51">
        <v>333</v>
      </c>
      <c r="F7" s="51">
        <v>3</v>
      </c>
      <c r="G7" s="51">
        <v>15</v>
      </c>
      <c r="H7" s="25"/>
      <c r="I7" s="25" t="s">
        <v>17</v>
      </c>
      <c r="J7" s="51">
        <v>26769679</v>
      </c>
      <c r="K7" s="25" t="s">
        <v>343</v>
      </c>
      <c r="L7" s="25" t="s">
        <v>689</v>
      </c>
      <c r="M7" s="62">
        <v>219900</v>
      </c>
      <c r="N7" s="31">
        <v>0.75</v>
      </c>
      <c r="O7" s="32">
        <f t="shared" si="0"/>
        <v>54975</v>
      </c>
      <c r="P7" s="28" t="s">
        <v>16</v>
      </c>
    </row>
    <row r="8" spans="1:16" x14ac:dyDescent="0.35">
      <c r="A8" s="45" t="s">
        <v>1033</v>
      </c>
      <c r="B8" s="12">
        <f t="shared" ref="B8:C8" si="6">B7</f>
        <v>46104</v>
      </c>
      <c r="C8" s="12">
        <f t="shared" si="6"/>
        <v>46113</v>
      </c>
      <c r="D8" s="25">
        <v>3259</v>
      </c>
      <c r="E8" s="51">
        <v>333</v>
      </c>
      <c r="F8" s="51">
        <v>3</v>
      </c>
      <c r="G8" s="51">
        <v>15</v>
      </c>
      <c r="H8" s="25"/>
      <c r="I8" s="25" t="s">
        <v>17</v>
      </c>
      <c r="J8" s="51">
        <v>26769688</v>
      </c>
      <c r="K8" s="25" t="s">
        <v>343</v>
      </c>
      <c r="L8" s="25" t="s">
        <v>690</v>
      </c>
      <c r="M8" s="62">
        <v>219900</v>
      </c>
      <c r="N8" s="31">
        <v>0.75</v>
      </c>
      <c r="O8" s="32">
        <f t="shared" si="0"/>
        <v>54975</v>
      </c>
      <c r="P8" s="28" t="s">
        <v>16</v>
      </c>
    </row>
    <row r="9" spans="1:16" x14ac:dyDescent="0.35">
      <c r="A9" s="45" t="s">
        <v>1033</v>
      </c>
      <c r="B9" s="12">
        <f t="shared" ref="B9:C9" si="7">B8</f>
        <v>46104</v>
      </c>
      <c r="C9" s="12">
        <f t="shared" si="7"/>
        <v>46113</v>
      </c>
      <c r="D9" s="25">
        <v>3259</v>
      </c>
      <c r="E9" s="51">
        <v>333</v>
      </c>
      <c r="F9" s="51">
        <v>3</v>
      </c>
      <c r="G9" s="51">
        <v>15</v>
      </c>
      <c r="H9" s="25"/>
      <c r="I9" s="25" t="s">
        <v>17</v>
      </c>
      <c r="J9" s="51">
        <v>26769697</v>
      </c>
      <c r="K9" s="25" t="s">
        <v>343</v>
      </c>
      <c r="L9" s="25" t="s">
        <v>691</v>
      </c>
      <c r="M9" s="62">
        <v>219900</v>
      </c>
      <c r="N9" s="31">
        <v>0.75</v>
      </c>
      <c r="O9" s="32">
        <f t="shared" si="0"/>
        <v>54975</v>
      </c>
      <c r="P9" s="28" t="s">
        <v>16</v>
      </c>
    </row>
    <row r="10" spans="1:16" x14ac:dyDescent="0.35">
      <c r="A10" s="45" t="s">
        <v>1033</v>
      </c>
      <c r="B10" s="12">
        <f t="shared" ref="B10:C10" si="8">B9</f>
        <v>46104</v>
      </c>
      <c r="C10" s="12">
        <f t="shared" si="8"/>
        <v>46113</v>
      </c>
      <c r="D10" s="25">
        <v>3259</v>
      </c>
      <c r="E10" s="51">
        <v>333</v>
      </c>
      <c r="F10" s="51">
        <v>3</v>
      </c>
      <c r="G10" s="51">
        <v>15</v>
      </c>
      <c r="H10" s="25"/>
      <c r="I10" s="25" t="s">
        <v>17</v>
      </c>
      <c r="J10" s="51">
        <v>26769704</v>
      </c>
      <c r="K10" s="25" t="s">
        <v>343</v>
      </c>
      <c r="L10" s="25" t="s">
        <v>692</v>
      </c>
      <c r="M10" s="62">
        <v>219900</v>
      </c>
      <c r="N10" s="31">
        <v>0.75</v>
      </c>
      <c r="O10" s="32">
        <f t="shared" si="0"/>
        <v>54975</v>
      </c>
      <c r="P10" s="28" t="s">
        <v>16</v>
      </c>
    </row>
    <row r="11" spans="1:16" x14ac:dyDescent="0.35">
      <c r="A11" s="45" t="s">
        <v>1033</v>
      </c>
      <c r="B11" s="12">
        <f t="shared" ref="B11:C11" si="9">B10</f>
        <v>46104</v>
      </c>
      <c r="C11" s="12">
        <f t="shared" si="9"/>
        <v>46113</v>
      </c>
      <c r="D11" s="25">
        <v>3259</v>
      </c>
      <c r="E11" s="51">
        <v>333</v>
      </c>
      <c r="F11" s="51">
        <v>3</v>
      </c>
      <c r="G11" s="51">
        <v>15</v>
      </c>
      <c r="H11" s="25"/>
      <c r="I11" s="25" t="s">
        <v>17</v>
      </c>
      <c r="J11" s="51">
        <v>26769731</v>
      </c>
      <c r="K11" s="25" t="s">
        <v>343</v>
      </c>
      <c r="L11" s="25" t="s">
        <v>693</v>
      </c>
      <c r="M11" s="62">
        <v>219900</v>
      </c>
      <c r="N11" s="31">
        <v>0.75</v>
      </c>
      <c r="O11" s="32">
        <f t="shared" si="0"/>
        <v>54975</v>
      </c>
      <c r="P11" s="28" t="s">
        <v>16</v>
      </c>
    </row>
    <row r="12" spans="1:16" x14ac:dyDescent="0.35">
      <c r="A12" s="45" t="s">
        <v>1033</v>
      </c>
      <c r="B12" s="12">
        <f t="shared" ref="B12:C12" si="10">B11</f>
        <v>46104</v>
      </c>
      <c r="C12" s="12">
        <f t="shared" si="10"/>
        <v>46113</v>
      </c>
      <c r="D12" s="25">
        <v>3259</v>
      </c>
      <c r="E12" s="51">
        <v>333</v>
      </c>
      <c r="F12" s="51">
        <v>3</v>
      </c>
      <c r="G12" s="51">
        <v>15</v>
      </c>
      <c r="H12" s="25"/>
      <c r="I12" s="25" t="s">
        <v>17</v>
      </c>
      <c r="J12" s="51">
        <v>26769740</v>
      </c>
      <c r="K12" s="25" t="s">
        <v>343</v>
      </c>
      <c r="L12" s="25" t="s">
        <v>694</v>
      </c>
      <c r="M12" s="62">
        <v>219900</v>
      </c>
      <c r="N12" s="31">
        <v>0.75</v>
      </c>
      <c r="O12" s="32">
        <f t="shared" si="0"/>
        <v>54975</v>
      </c>
      <c r="P12" s="28" t="s">
        <v>16</v>
      </c>
    </row>
    <row r="13" spans="1:16" x14ac:dyDescent="0.35">
      <c r="A13" s="45" t="s">
        <v>1033</v>
      </c>
      <c r="B13" s="12">
        <f t="shared" ref="B13:C13" si="11">B12</f>
        <v>46104</v>
      </c>
      <c r="C13" s="12">
        <f t="shared" si="11"/>
        <v>46113</v>
      </c>
      <c r="D13" s="25">
        <v>3259</v>
      </c>
      <c r="E13" s="51">
        <v>333</v>
      </c>
      <c r="F13" s="51">
        <v>3</v>
      </c>
      <c r="G13" s="51">
        <v>15</v>
      </c>
      <c r="H13" s="25"/>
      <c r="I13" s="25" t="s">
        <v>17</v>
      </c>
      <c r="J13" s="51">
        <v>26769795</v>
      </c>
      <c r="K13" s="25" t="s">
        <v>343</v>
      </c>
      <c r="L13" s="25" t="s">
        <v>695</v>
      </c>
      <c r="M13" s="62">
        <v>219900</v>
      </c>
      <c r="N13" s="31">
        <v>0.75</v>
      </c>
      <c r="O13" s="32">
        <f t="shared" si="0"/>
        <v>54975</v>
      </c>
      <c r="P13" s="28" t="s">
        <v>16</v>
      </c>
    </row>
    <row r="14" spans="1:16" x14ac:dyDescent="0.35">
      <c r="A14" s="45" t="s">
        <v>1033</v>
      </c>
      <c r="B14" s="12">
        <f t="shared" ref="B14:C14" si="12">B13</f>
        <v>46104</v>
      </c>
      <c r="C14" s="12">
        <f t="shared" si="12"/>
        <v>46113</v>
      </c>
      <c r="D14" s="25">
        <v>3259</v>
      </c>
      <c r="E14" s="51">
        <v>333</v>
      </c>
      <c r="F14" s="51">
        <v>3</v>
      </c>
      <c r="G14" s="51">
        <v>15</v>
      </c>
      <c r="H14" s="25"/>
      <c r="I14" s="25" t="s">
        <v>17</v>
      </c>
      <c r="J14" s="51">
        <v>26770201</v>
      </c>
      <c r="K14" s="25" t="s">
        <v>345</v>
      </c>
      <c r="L14" s="25" t="s">
        <v>711</v>
      </c>
      <c r="M14" s="62">
        <v>219900</v>
      </c>
      <c r="N14" s="31">
        <v>0.75</v>
      </c>
      <c r="O14" s="32">
        <f t="shared" si="0"/>
        <v>54975</v>
      </c>
      <c r="P14" s="28" t="s">
        <v>16</v>
      </c>
    </row>
    <row r="15" spans="1:16" x14ac:dyDescent="0.35">
      <c r="A15" s="45" t="s">
        <v>1033</v>
      </c>
      <c r="B15" s="12">
        <f t="shared" ref="B15:C15" si="13">B14</f>
        <v>46104</v>
      </c>
      <c r="C15" s="12">
        <f t="shared" si="13"/>
        <v>46113</v>
      </c>
      <c r="D15" s="25">
        <v>3259</v>
      </c>
      <c r="E15" s="51">
        <v>333</v>
      </c>
      <c r="F15" s="51">
        <v>3</v>
      </c>
      <c r="G15" s="51">
        <v>15</v>
      </c>
      <c r="H15" s="25"/>
      <c r="I15" s="25" t="s">
        <v>17</v>
      </c>
      <c r="J15" s="51">
        <v>26770210</v>
      </c>
      <c r="K15" s="25" t="s">
        <v>345</v>
      </c>
      <c r="L15" s="25" t="s">
        <v>712</v>
      </c>
      <c r="M15" s="62">
        <v>219900</v>
      </c>
      <c r="N15" s="31">
        <v>0.75</v>
      </c>
      <c r="O15" s="32">
        <f t="shared" si="0"/>
        <v>54975</v>
      </c>
      <c r="P15" s="28" t="s">
        <v>16</v>
      </c>
    </row>
    <row r="16" spans="1:16" x14ac:dyDescent="0.35">
      <c r="A16" s="45" t="s">
        <v>1033</v>
      </c>
      <c r="B16" s="12">
        <f t="shared" ref="B16:C16" si="14">B15</f>
        <v>46104</v>
      </c>
      <c r="C16" s="12">
        <f t="shared" si="14"/>
        <v>46113</v>
      </c>
      <c r="D16" s="25">
        <v>3259</v>
      </c>
      <c r="E16" s="51">
        <v>333</v>
      </c>
      <c r="F16" s="51">
        <v>3</v>
      </c>
      <c r="G16" s="51">
        <v>15</v>
      </c>
      <c r="H16" s="25"/>
      <c r="I16" s="25" t="s">
        <v>17</v>
      </c>
      <c r="J16" s="51">
        <v>26770229</v>
      </c>
      <c r="K16" s="25" t="s">
        <v>345</v>
      </c>
      <c r="L16" s="25" t="s">
        <v>713</v>
      </c>
      <c r="M16" s="62">
        <v>219900</v>
      </c>
      <c r="N16" s="31">
        <v>0.75</v>
      </c>
      <c r="O16" s="32">
        <f t="shared" si="0"/>
        <v>54975</v>
      </c>
      <c r="P16" s="28" t="s">
        <v>16</v>
      </c>
    </row>
    <row r="17" spans="1:16" x14ac:dyDescent="0.35">
      <c r="A17" s="45" t="s">
        <v>1033</v>
      </c>
      <c r="B17" s="12">
        <f t="shared" ref="B17:C17" si="15">B16</f>
        <v>46104</v>
      </c>
      <c r="C17" s="12">
        <f t="shared" si="15"/>
        <v>46113</v>
      </c>
      <c r="D17" s="25">
        <v>3259</v>
      </c>
      <c r="E17" s="51">
        <v>333</v>
      </c>
      <c r="F17" s="51">
        <v>3</v>
      </c>
      <c r="G17" s="51">
        <v>15</v>
      </c>
      <c r="H17" s="25"/>
      <c r="I17" s="25" t="s">
        <v>17</v>
      </c>
      <c r="J17" s="51">
        <v>26770238</v>
      </c>
      <c r="K17" s="25" t="s">
        <v>345</v>
      </c>
      <c r="L17" s="25" t="s">
        <v>714</v>
      </c>
      <c r="M17" s="62">
        <v>219900</v>
      </c>
      <c r="N17" s="31">
        <v>0.75</v>
      </c>
      <c r="O17" s="32">
        <f t="shared" si="0"/>
        <v>54975</v>
      </c>
      <c r="P17" s="28" t="s">
        <v>16</v>
      </c>
    </row>
    <row r="18" spans="1:16" x14ac:dyDescent="0.35">
      <c r="A18" s="45" t="s">
        <v>1033</v>
      </c>
      <c r="B18" s="12">
        <f t="shared" ref="B18:C18" si="16">B17</f>
        <v>46104</v>
      </c>
      <c r="C18" s="12">
        <f t="shared" si="16"/>
        <v>46113</v>
      </c>
      <c r="D18" s="25">
        <v>3259</v>
      </c>
      <c r="E18" s="51">
        <v>333</v>
      </c>
      <c r="F18" s="51">
        <v>3</v>
      </c>
      <c r="G18" s="51">
        <v>15</v>
      </c>
      <c r="H18" s="25"/>
      <c r="I18" s="25" t="s">
        <v>17</v>
      </c>
      <c r="J18" s="51">
        <v>26772058</v>
      </c>
      <c r="K18" s="25" t="s">
        <v>345</v>
      </c>
      <c r="L18" s="25" t="s">
        <v>715</v>
      </c>
      <c r="M18" s="62">
        <v>219900</v>
      </c>
      <c r="N18" s="31">
        <v>0.75</v>
      </c>
      <c r="O18" s="32">
        <f t="shared" si="0"/>
        <v>54975</v>
      </c>
      <c r="P18" s="28" t="s">
        <v>16</v>
      </c>
    </row>
    <row r="19" spans="1:16" x14ac:dyDescent="0.35">
      <c r="A19" s="45" t="s">
        <v>1033</v>
      </c>
      <c r="B19" s="12">
        <f t="shared" ref="B19:C19" si="17">B18</f>
        <v>46104</v>
      </c>
      <c r="C19" s="12">
        <f t="shared" si="17"/>
        <v>46113</v>
      </c>
      <c r="D19" s="25">
        <v>3259</v>
      </c>
      <c r="E19" s="51">
        <v>333</v>
      </c>
      <c r="F19" s="51">
        <v>3</v>
      </c>
      <c r="G19" s="51">
        <v>15</v>
      </c>
      <c r="H19" s="25"/>
      <c r="I19" s="25" t="s">
        <v>17</v>
      </c>
      <c r="J19" s="51">
        <v>26772067</v>
      </c>
      <c r="K19" s="25" t="s">
        <v>345</v>
      </c>
      <c r="L19" s="25" t="s">
        <v>716</v>
      </c>
      <c r="M19" s="62">
        <v>219900</v>
      </c>
      <c r="N19" s="31">
        <v>0.75</v>
      </c>
      <c r="O19" s="32">
        <f t="shared" si="0"/>
        <v>54975</v>
      </c>
      <c r="P19" s="28" t="s">
        <v>16</v>
      </c>
    </row>
    <row r="20" spans="1:16" x14ac:dyDescent="0.35">
      <c r="A20" s="45" t="s">
        <v>1033</v>
      </c>
      <c r="B20" s="12">
        <f t="shared" ref="B20:C20" si="18">B19</f>
        <v>46104</v>
      </c>
      <c r="C20" s="12">
        <f t="shared" si="18"/>
        <v>46113</v>
      </c>
      <c r="D20" s="25">
        <v>3259</v>
      </c>
      <c r="E20" s="51">
        <v>333</v>
      </c>
      <c r="F20" s="51">
        <v>3</v>
      </c>
      <c r="G20" s="51">
        <v>15</v>
      </c>
      <c r="H20" s="25"/>
      <c r="I20" s="25" t="s">
        <v>17</v>
      </c>
      <c r="J20" s="51">
        <v>26772076</v>
      </c>
      <c r="K20" s="25" t="s">
        <v>345</v>
      </c>
      <c r="L20" s="25" t="s">
        <v>717</v>
      </c>
      <c r="M20" s="62">
        <v>219900</v>
      </c>
      <c r="N20" s="31">
        <v>0.75</v>
      </c>
      <c r="O20" s="32">
        <f t="shared" si="0"/>
        <v>54975</v>
      </c>
      <c r="P20" s="28" t="s">
        <v>16</v>
      </c>
    </row>
    <row r="21" spans="1:16" x14ac:dyDescent="0.35">
      <c r="A21" s="45" t="s">
        <v>1033</v>
      </c>
      <c r="B21" s="12">
        <f t="shared" ref="B21:C21" si="19">B20</f>
        <v>46104</v>
      </c>
      <c r="C21" s="12">
        <f t="shared" si="19"/>
        <v>46113</v>
      </c>
      <c r="D21" s="25">
        <v>3259</v>
      </c>
      <c r="E21" s="51">
        <v>333</v>
      </c>
      <c r="F21" s="51">
        <v>3</v>
      </c>
      <c r="G21" s="51">
        <v>15</v>
      </c>
      <c r="H21" s="25"/>
      <c r="I21" s="25" t="s">
        <v>17</v>
      </c>
      <c r="J21" s="51">
        <v>26772085</v>
      </c>
      <c r="K21" s="25" t="s">
        <v>345</v>
      </c>
      <c r="L21" s="25" t="s">
        <v>718</v>
      </c>
      <c r="M21" s="62">
        <v>219900</v>
      </c>
      <c r="N21" s="31">
        <v>0.75</v>
      </c>
      <c r="O21" s="32">
        <f t="shared" si="0"/>
        <v>54975</v>
      </c>
      <c r="P21" s="28" t="s">
        <v>16</v>
      </c>
    </row>
    <row r="22" spans="1:16" x14ac:dyDescent="0.35">
      <c r="A22" s="45" t="s">
        <v>1033</v>
      </c>
      <c r="B22" s="12">
        <f t="shared" ref="B22:C22" si="20">B21</f>
        <v>46104</v>
      </c>
      <c r="C22" s="12">
        <f t="shared" si="20"/>
        <v>46113</v>
      </c>
      <c r="D22" s="25">
        <v>3259</v>
      </c>
      <c r="E22" s="51">
        <v>333</v>
      </c>
      <c r="F22" s="51">
        <v>3</v>
      </c>
      <c r="G22" s="51">
        <v>15</v>
      </c>
      <c r="H22" s="25"/>
      <c r="I22" s="25" t="s">
        <v>17</v>
      </c>
      <c r="J22" s="51">
        <v>26772272</v>
      </c>
      <c r="K22" s="25" t="s">
        <v>345</v>
      </c>
      <c r="L22" s="25" t="s">
        <v>719</v>
      </c>
      <c r="M22" s="62">
        <v>219900</v>
      </c>
      <c r="N22" s="31">
        <v>0.75</v>
      </c>
      <c r="O22" s="32">
        <f t="shared" si="0"/>
        <v>54975</v>
      </c>
      <c r="P22" s="28" t="s">
        <v>16</v>
      </c>
    </row>
    <row r="23" spans="1:16" x14ac:dyDescent="0.35">
      <c r="A23" s="45" t="s">
        <v>1033</v>
      </c>
      <c r="B23" s="12">
        <f t="shared" ref="B23:C23" si="21">B22</f>
        <v>46104</v>
      </c>
      <c r="C23" s="12">
        <f t="shared" si="21"/>
        <v>46113</v>
      </c>
      <c r="D23" s="25">
        <v>3259</v>
      </c>
      <c r="E23" s="51">
        <v>333</v>
      </c>
      <c r="F23" s="51">
        <v>3</v>
      </c>
      <c r="G23" s="51">
        <v>15</v>
      </c>
      <c r="H23" s="25"/>
      <c r="I23" s="25" t="s">
        <v>17</v>
      </c>
      <c r="J23" s="51">
        <v>26772281</v>
      </c>
      <c r="K23" s="25" t="s">
        <v>345</v>
      </c>
      <c r="L23" s="25" t="s">
        <v>720</v>
      </c>
      <c r="M23" s="62">
        <v>219900</v>
      </c>
      <c r="N23" s="31">
        <v>0.75</v>
      </c>
      <c r="O23" s="32">
        <f t="shared" si="0"/>
        <v>54975</v>
      </c>
      <c r="P23" s="28" t="s">
        <v>16</v>
      </c>
    </row>
    <row r="24" spans="1:16" x14ac:dyDescent="0.35">
      <c r="A24" s="45" t="s">
        <v>1033</v>
      </c>
      <c r="B24" s="12">
        <f t="shared" ref="B24:C24" si="22">B23</f>
        <v>46104</v>
      </c>
      <c r="C24" s="12">
        <f t="shared" si="22"/>
        <v>46113</v>
      </c>
      <c r="D24" s="25">
        <v>3259</v>
      </c>
      <c r="E24" s="51">
        <v>333</v>
      </c>
      <c r="F24" s="51">
        <v>3</v>
      </c>
      <c r="G24" s="51">
        <v>15</v>
      </c>
      <c r="H24" s="25"/>
      <c r="I24" s="25" t="s">
        <v>17</v>
      </c>
      <c r="J24" s="51">
        <v>26772290</v>
      </c>
      <c r="K24" s="25" t="s">
        <v>345</v>
      </c>
      <c r="L24" s="25" t="s">
        <v>721</v>
      </c>
      <c r="M24" s="62">
        <v>219900</v>
      </c>
      <c r="N24" s="31">
        <v>0.75</v>
      </c>
      <c r="O24" s="32">
        <f t="shared" si="0"/>
        <v>54975</v>
      </c>
      <c r="P24" s="28" t="s">
        <v>16</v>
      </c>
    </row>
    <row r="25" spans="1:16" x14ac:dyDescent="0.35">
      <c r="A25" s="45" t="s">
        <v>1033</v>
      </c>
      <c r="B25" s="12">
        <f t="shared" ref="B25:C25" si="23">B24</f>
        <v>46104</v>
      </c>
      <c r="C25" s="12">
        <f t="shared" si="23"/>
        <v>46113</v>
      </c>
      <c r="D25" s="25">
        <v>3259</v>
      </c>
      <c r="E25" s="51">
        <v>333</v>
      </c>
      <c r="F25" s="51">
        <v>3</v>
      </c>
      <c r="G25" s="51">
        <v>15</v>
      </c>
      <c r="H25" s="25"/>
      <c r="I25" s="25" t="s">
        <v>17</v>
      </c>
      <c r="J25" s="51">
        <v>26772307</v>
      </c>
      <c r="K25" s="25" t="s">
        <v>345</v>
      </c>
      <c r="L25" s="25" t="s">
        <v>722</v>
      </c>
      <c r="M25" s="62">
        <v>219900</v>
      </c>
      <c r="N25" s="31">
        <v>0.75</v>
      </c>
      <c r="O25" s="32">
        <f t="shared" si="0"/>
        <v>54975</v>
      </c>
      <c r="P25" s="28" t="s">
        <v>16</v>
      </c>
    </row>
    <row r="26" spans="1:16" s="27" customFormat="1" x14ac:dyDescent="0.35">
      <c r="A26" s="45" t="s">
        <v>1033</v>
      </c>
      <c r="B26" s="12">
        <f t="shared" ref="B26:C26" si="24">B25</f>
        <v>46104</v>
      </c>
      <c r="C26" s="12">
        <f t="shared" si="24"/>
        <v>46113</v>
      </c>
      <c r="D26" s="63">
        <v>3259</v>
      </c>
      <c r="E26" s="64">
        <v>333</v>
      </c>
      <c r="F26" s="64">
        <v>3</v>
      </c>
      <c r="G26" s="65">
        <v>15</v>
      </c>
      <c r="H26" s="29"/>
      <c r="I26" s="29" t="s">
        <v>17</v>
      </c>
      <c r="J26" s="65">
        <v>50386724</v>
      </c>
      <c r="K26" s="29" t="s">
        <v>344</v>
      </c>
      <c r="L26" s="29" t="s">
        <v>748</v>
      </c>
      <c r="M26" s="66">
        <v>219900</v>
      </c>
      <c r="N26" s="31">
        <v>0.75</v>
      </c>
      <c r="O26" s="32">
        <f t="shared" si="0"/>
        <v>54975</v>
      </c>
      <c r="P26" s="28" t="s">
        <v>16</v>
      </c>
    </row>
    <row r="27" spans="1:16" s="27" customFormat="1" x14ac:dyDescent="0.35">
      <c r="A27" s="45" t="s">
        <v>1033</v>
      </c>
      <c r="B27" s="12">
        <f t="shared" ref="B27:C27" si="25">B26</f>
        <v>46104</v>
      </c>
      <c r="C27" s="12">
        <f t="shared" si="25"/>
        <v>46113</v>
      </c>
      <c r="D27" s="63">
        <v>3259</v>
      </c>
      <c r="E27" s="64">
        <v>333</v>
      </c>
      <c r="F27" s="64">
        <v>3</v>
      </c>
      <c r="G27" s="65">
        <v>15</v>
      </c>
      <c r="H27" s="29"/>
      <c r="I27" s="29" t="s">
        <v>17</v>
      </c>
      <c r="J27" s="65">
        <v>50386788</v>
      </c>
      <c r="K27" s="29" t="s">
        <v>344</v>
      </c>
      <c r="L27" s="29" t="s">
        <v>749</v>
      </c>
      <c r="M27" s="66">
        <v>219900</v>
      </c>
      <c r="N27" s="31">
        <v>0.75</v>
      </c>
      <c r="O27" s="32">
        <f t="shared" si="0"/>
        <v>54975</v>
      </c>
      <c r="P27" s="28" t="s">
        <v>16</v>
      </c>
    </row>
    <row r="28" spans="1:16" s="27" customFormat="1" x14ac:dyDescent="0.35">
      <c r="A28" s="45" t="s">
        <v>1033</v>
      </c>
      <c r="B28" s="12">
        <f t="shared" ref="B28:C28" si="26">B27</f>
        <v>46104</v>
      </c>
      <c r="C28" s="12">
        <f t="shared" si="26"/>
        <v>46113</v>
      </c>
      <c r="D28" s="63">
        <v>3259</v>
      </c>
      <c r="E28" s="64">
        <v>333</v>
      </c>
      <c r="F28" s="64">
        <v>3</v>
      </c>
      <c r="G28" s="65">
        <v>15</v>
      </c>
      <c r="H28" s="29"/>
      <c r="I28" s="29" t="s">
        <v>17</v>
      </c>
      <c r="J28" s="65">
        <v>50386859</v>
      </c>
      <c r="K28" s="29" t="s">
        <v>344</v>
      </c>
      <c r="L28" s="29" t="s">
        <v>750</v>
      </c>
      <c r="M28" s="66">
        <v>219900</v>
      </c>
      <c r="N28" s="31">
        <v>0.75</v>
      </c>
      <c r="O28" s="32">
        <f t="shared" si="0"/>
        <v>54975</v>
      </c>
      <c r="P28" s="28" t="s">
        <v>16</v>
      </c>
    </row>
    <row r="29" spans="1:16" s="27" customFormat="1" x14ac:dyDescent="0.35">
      <c r="A29" s="45" t="s">
        <v>1033</v>
      </c>
      <c r="B29" s="12">
        <f t="shared" ref="B29:C29" si="27">B28</f>
        <v>46104</v>
      </c>
      <c r="C29" s="12">
        <f t="shared" si="27"/>
        <v>46113</v>
      </c>
      <c r="D29" s="29">
        <v>3259</v>
      </c>
      <c r="E29" s="65">
        <v>333</v>
      </c>
      <c r="F29" s="65">
        <v>3</v>
      </c>
      <c r="G29" s="65">
        <v>15</v>
      </c>
      <c r="H29" s="29"/>
      <c r="I29" s="29" t="s">
        <v>17</v>
      </c>
      <c r="J29" s="67">
        <v>50386715</v>
      </c>
      <c r="K29" s="29" t="s">
        <v>344</v>
      </c>
      <c r="L29" s="29" t="s">
        <v>696</v>
      </c>
      <c r="M29" s="66">
        <v>219900</v>
      </c>
      <c r="N29" s="31">
        <v>0.75</v>
      </c>
      <c r="O29" s="32">
        <f t="shared" si="0"/>
        <v>54975</v>
      </c>
      <c r="P29" s="28" t="s">
        <v>16</v>
      </c>
    </row>
    <row r="30" spans="1:16" s="27" customFormat="1" x14ac:dyDescent="0.35">
      <c r="A30" s="45" t="s">
        <v>1033</v>
      </c>
      <c r="B30" s="12">
        <f t="shared" ref="B30:C30" si="28">B29</f>
        <v>46104</v>
      </c>
      <c r="C30" s="12">
        <f t="shared" si="28"/>
        <v>46113</v>
      </c>
      <c r="D30" s="29">
        <v>3259</v>
      </c>
      <c r="E30" s="65">
        <v>333</v>
      </c>
      <c r="F30" s="65">
        <v>3</v>
      </c>
      <c r="G30" s="65">
        <v>15</v>
      </c>
      <c r="H30" s="29"/>
      <c r="I30" s="29" t="s">
        <v>17</v>
      </c>
      <c r="J30" s="67">
        <v>50386733</v>
      </c>
      <c r="K30" s="29" t="s">
        <v>344</v>
      </c>
      <c r="L30" s="29" t="s">
        <v>697</v>
      </c>
      <c r="M30" s="66">
        <v>219900</v>
      </c>
      <c r="N30" s="31">
        <v>0.75</v>
      </c>
      <c r="O30" s="32">
        <f t="shared" si="0"/>
        <v>54975</v>
      </c>
      <c r="P30" s="28" t="s">
        <v>16</v>
      </c>
    </row>
    <row r="31" spans="1:16" s="27" customFormat="1" x14ac:dyDescent="0.35">
      <c r="A31" s="45" t="s">
        <v>1033</v>
      </c>
      <c r="B31" s="12">
        <f t="shared" ref="B31:C31" si="29">B30</f>
        <v>46104</v>
      </c>
      <c r="C31" s="12">
        <f t="shared" si="29"/>
        <v>46113</v>
      </c>
      <c r="D31" s="29">
        <v>3259</v>
      </c>
      <c r="E31" s="65">
        <v>333</v>
      </c>
      <c r="F31" s="65">
        <v>3</v>
      </c>
      <c r="G31" s="65">
        <v>15</v>
      </c>
      <c r="H31" s="29"/>
      <c r="I31" s="29" t="s">
        <v>17</v>
      </c>
      <c r="J31" s="67">
        <v>50386742</v>
      </c>
      <c r="K31" s="29" t="s">
        <v>344</v>
      </c>
      <c r="L31" s="29" t="s">
        <v>698</v>
      </c>
      <c r="M31" s="66">
        <v>219900</v>
      </c>
      <c r="N31" s="31">
        <v>0.75</v>
      </c>
      <c r="O31" s="32">
        <f t="shared" si="0"/>
        <v>54975</v>
      </c>
      <c r="P31" s="28" t="s">
        <v>16</v>
      </c>
    </row>
    <row r="32" spans="1:16" s="27" customFormat="1" x14ac:dyDescent="0.35">
      <c r="A32" s="45" t="s">
        <v>1033</v>
      </c>
      <c r="B32" s="12">
        <f t="shared" ref="B32:C32" si="30">B31</f>
        <v>46104</v>
      </c>
      <c r="C32" s="12">
        <f t="shared" si="30"/>
        <v>46113</v>
      </c>
      <c r="D32" s="29">
        <v>3259</v>
      </c>
      <c r="E32" s="65">
        <v>333</v>
      </c>
      <c r="F32" s="65">
        <v>3</v>
      </c>
      <c r="G32" s="65">
        <v>15</v>
      </c>
      <c r="H32" s="29"/>
      <c r="I32" s="29" t="s">
        <v>17</v>
      </c>
      <c r="J32" s="67">
        <v>50386751</v>
      </c>
      <c r="K32" s="29" t="s">
        <v>344</v>
      </c>
      <c r="L32" s="29" t="s">
        <v>699</v>
      </c>
      <c r="M32" s="66">
        <v>219900</v>
      </c>
      <c r="N32" s="31">
        <v>0.75</v>
      </c>
      <c r="O32" s="32">
        <f t="shared" si="0"/>
        <v>54975</v>
      </c>
      <c r="P32" s="28" t="s">
        <v>16</v>
      </c>
    </row>
    <row r="33" spans="1:16" s="27" customFormat="1" x14ac:dyDescent="0.35">
      <c r="A33" s="45" t="s">
        <v>1033</v>
      </c>
      <c r="B33" s="12">
        <f t="shared" ref="B33:C33" si="31">B32</f>
        <v>46104</v>
      </c>
      <c r="C33" s="12">
        <f t="shared" si="31"/>
        <v>46113</v>
      </c>
      <c r="D33" s="29">
        <v>3259</v>
      </c>
      <c r="E33" s="65">
        <v>333</v>
      </c>
      <c r="F33" s="65">
        <v>3</v>
      </c>
      <c r="G33" s="65">
        <v>15</v>
      </c>
      <c r="H33" s="29"/>
      <c r="I33" s="29" t="s">
        <v>17</v>
      </c>
      <c r="J33" s="67">
        <v>50386760</v>
      </c>
      <c r="K33" s="29" t="s">
        <v>344</v>
      </c>
      <c r="L33" s="29" t="s">
        <v>700</v>
      </c>
      <c r="M33" s="66">
        <v>219900</v>
      </c>
      <c r="N33" s="31">
        <v>0.75</v>
      </c>
      <c r="O33" s="32">
        <f t="shared" si="0"/>
        <v>54975</v>
      </c>
      <c r="P33" s="28" t="s">
        <v>16</v>
      </c>
    </row>
    <row r="34" spans="1:16" s="27" customFormat="1" x14ac:dyDescent="0.35">
      <c r="A34" s="45" t="s">
        <v>1033</v>
      </c>
      <c r="B34" s="12">
        <f t="shared" ref="B34:C34" si="32">B33</f>
        <v>46104</v>
      </c>
      <c r="C34" s="12">
        <f t="shared" si="32"/>
        <v>46113</v>
      </c>
      <c r="D34" s="29">
        <v>3259</v>
      </c>
      <c r="E34" s="65">
        <v>333</v>
      </c>
      <c r="F34" s="65">
        <v>3</v>
      </c>
      <c r="G34" s="65">
        <v>15</v>
      </c>
      <c r="H34" s="29"/>
      <c r="I34" s="29" t="s">
        <v>17</v>
      </c>
      <c r="J34" s="67">
        <v>50386779</v>
      </c>
      <c r="K34" s="29" t="s">
        <v>344</v>
      </c>
      <c r="L34" s="29" t="s">
        <v>701</v>
      </c>
      <c r="M34" s="66">
        <v>219900</v>
      </c>
      <c r="N34" s="31">
        <v>0.75</v>
      </c>
      <c r="O34" s="32">
        <f t="shared" ref="O34:O55" si="33">M34-(M34*N34)</f>
        <v>54975</v>
      </c>
      <c r="P34" s="28" t="s">
        <v>16</v>
      </c>
    </row>
    <row r="35" spans="1:16" s="27" customFormat="1" x14ac:dyDescent="0.35">
      <c r="A35" s="45" t="s">
        <v>1033</v>
      </c>
      <c r="B35" s="12">
        <f t="shared" ref="B35:C35" si="34">B34</f>
        <v>46104</v>
      </c>
      <c r="C35" s="12">
        <f t="shared" si="34"/>
        <v>46113</v>
      </c>
      <c r="D35" s="29">
        <v>3259</v>
      </c>
      <c r="E35" s="65">
        <v>333</v>
      </c>
      <c r="F35" s="65">
        <v>3</v>
      </c>
      <c r="G35" s="65">
        <v>15</v>
      </c>
      <c r="H35" s="29"/>
      <c r="I35" s="29" t="s">
        <v>17</v>
      </c>
      <c r="J35" s="67">
        <v>50386797</v>
      </c>
      <c r="K35" s="29" t="s">
        <v>344</v>
      </c>
      <c r="L35" s="29" t="s">
        <v>702</v>
      </c>
      <c r="M35" s="66">
        <v>219900</v>
      </c>
      <c r="N35" s="31">
        <v>0.75</v>
      </c>
      <c r="O35" s="32">
        <f t="shared" si="33"/>
        <v>54975</v>
      </c>
      <c r="P35" s="28" t="s">
        <v>16</v>
      </c>
    </row>
    <row r="36" spans="1:16" s="27" customFormat="1" x14ac:dyDescent="0.35">
      <c r="A36" s="45" t="s">
        <v>1033</v>
      </c>
      <c r="B36" s="12">
        <f t="shared" ref="B36:C36" si="35">B35</f>
        <v>46104</v>
      </c>
      <c r="C36" s="12">
        <f t="shared" si="35"/>
        <v>46113</v>
      </c>
      <c r="D36" s="29">
        <v>3259</v>
      </c>
      <c r="E36" s="65">
        <v>333</v>
      </c>
      <c r="F36" s="65">
        <v>3</v>
      </c>
      <c r="G36" s="65">
        <v>15</v>
      </c>
      <c r="H36" s="29"/>
      <c r="I36" s="29" t="s">
        <v>17</v>
      </c>
      <c r="J36" s="67">
        <v>50386813</v>
      </c>
      <c r="K36" s="29" t="s">
        <v>344</v>
      </c>
      <c r="L36" s="29" t="s">
        <v>703</v>
      </c>
      <c r="M36" s="66">
        <v>219900</v>
      </c>
      <c r="N36" s="31">
        <v>0.75</v>
      </c>
      <c r="O36" s="32">
        <f t="shared" si="33"/>
        <v>54975</v>
      </c>
      <c r="P36" s="28" t="s">
        <v>16</v>
      </c>
    </row>
    <row r="37" spans="1:16" s="27" customFormat="1" x14ac:dyDescent="0.35">
      <c r="A37" s="45" t="s">
        <v>1033</v>
      </c>
      <c r="B37" s="12">
        <f t="shared" ref="B37:C37" si="36">B36</f>
        <v>46104</v>
      </c>
      <c r="C37" s="12">
        <f t="shared" si="36"/>
        <v>46113</v>
      </c>
      <c r="D37" s="29">
        <v>3259</v>
      </c>
      <c r="E37" s="65">
        <v>333</v>
      </c>
      <c r="F37" s="65">
        <v>3</v>
      </c>
      <c r="G37" s="65">
        <v>15</v>
      </c>
      <c r="H37" s="29"/>
      <c r="I37" s="29" t="s">
        <v>17</v>
      </c>
      <c r="J37" s="67">
        <v>50386822</v>
      </c>
      <c r="K37" s="29" t="s">
        <v>344</v>
      </c>
      <c r="L37" s="29" t="s">
        <v>704</v>
      </c>
      <c r="M37" s="66">
        <v>219900</v>
      </c>
      <c r="N37" s="31">
        <v>0.75</v>
      </c>
      <c r="O37" s="32">
        <f t="shared" si="33"/>
        <v>54975</v>
      </c>
      <c r="P37" s="28" t="s">
        <v>16</v>
      </c>
    </row>
    <row r="38" spans="1:16" s="27" customFormat="1" x14ac:dyDescent="0.35">
      <c r="A38" s="45" t="s">
        <v>1033</v>
      </c>
      <c r="B38" s="12">
        <f t="shared" ref="B38:C38" si="37">B37</f>
        <v>46104</v>
      </c>
      <c r="C38" s="12">
        <f t="shared" si="37"/>
        <v>46113</v>
      </c>
      <c r="D38" s="29">
        <v>3259</v>
      </c>
      <c r="E38" s="65">
        <v>333</v>
      </c>
      <c r="F38" s="65">
        <v>3</v>
      </c>
      <c r="G38" s="65">
        <v>15</v>
      </c>
      <c r="H38" s="29"/>
      <c r="I38" s="29" t="s">
        <v>17</v>
      </c>
      <c r="J38" s="67">
        <v>50386831</v>
      </c>
      <c r="K38" s="29" t="s">
        <v>344</v>
      </c>
      <c r="L38" s="29" t="s">
        <v>705</v>
      </c>
      <c r="M38" s="66">
        <v>219900</v>
      </c>
      <c r="N38" s="31">
        <v>0.75</v>
      </c>
      <c r="O38" s="32">
        <f t="shared" si="33"/>
        <v>54975</v>
      </c>
      <c r="P38" s="28" t="s">
        <v>16</v>
      </c>
    </row>
    <row r="39" spans="1:16" s="27" customFormat="1" x14ac:dyDescent="0.35">
      <c r="A39" s="45" t="s">
        <v>1033</v>
      </c>
      <c r="B39" s="12">
        <f t="shared" ref="B39:C39" si="38">B38</f>
        <v>46104</v>
      </c>
      <c r="C39" s="12">
        <f t="shared" si="38"/>
        <v>46113</v>
      </c>
      <c r="D39" s="29">
        <v>3259</v>
      </c>
      <c r="E39" s="65">
        <v>333</v>
      </c>
      <c r="F39" s="65">
        <v>3</v>
      </c>
      <c r="G39" s="65">
        <v>15</v>
      </c>
      <c r="H39" s="29"/>
      <c r="I39" s="29" t="s">
        <v>17</v>
      </c>
      <c r="J39" s="67">
        <v>50386840</v>
      </c>
      <c r="K39" s="29" t="s">
        <v>344</v>
      </c>
      <c r="L39" s="29" t="s">
        <v>706</v>
      </c>
      <c r="M39" s="66">
        <v>219900</v>
      </c>
      <c r="N39" s="31">
        <v>0.75</v>
      </c>
      <c r="O39" s="32">
        <f t="shared" si="33"/>
        <v>54975</v>
      </c>
      <c r="P39" s="28" t="s">
        <v>16</v>
      </c>
    </row>
    <row r="40" spans="1:16" s="27" customFormat="1" x14ac:dyDescent="0.35">
      <c r="A40" s="45" t="s">
        <v>1033</v>
      </c>
      <c r="B40" s="12">
        <f t="shared" ref="B40:C40" si="39">B39</f>
        <v>46104</v>
      </c>
      <c r="C40" s="12">
        <f t="shared" si="39"/>
        <v>46113</v>
      </c>
      <c r="D40" s="29">
        <v>3259</v>
      </c>
      <c r="E40" s="65">
        <v>333</v>
      </c>
      <c r="F40" s="65">
        <v>3</v>
      </c>
      <c r="G40" s="65">
        <v>15</v>
      </c>
      <c r="H40" s="29"/>
      <c r="I40" s="29" t="s">
        <v>17</v>
      </c>
      <c r="J40" s="67">
        <v>50386868</v>
      </c>
      <c r="K40" s="29" t="s">
        <v>344</v>
      </c>
      <c r="L40" s="29" t="s">
        <v>707</v>
      </c>
      <c r="M40" s="66">
        <v>219900</v>
      </c>
      <c r="N40" s="31">
        <v>0.75</v>
      </c>
      <c r="O40" s="32">
        <f t="shared" si="33"/>
        <v>54975</v>
      </c>
      <c r="P40" s="28" t="s">
        <v>16</v>
      </c>
    </row>
    <row r="41" spans="1:16" s="27" customFormat="1" x14ac:dyDescent="0.35">
      <c r="A41" s="45" t="s">
        <v>1033</v>
      </c>
      <c r="B41" s="12">
        <f t="shared" ref="B41:C41" si="40">B40</f>
        <v>46104</v>
      </c>
      <c r="C41" s="12">
        <f t="shared" si="40"/>
        <v>46113</v>
      </c>
      <c r="D41" s="29">
        <v>3259</v>
      </c>
      <c r="E41" s="65">
        <v>333</v>
      </c>
      <c r="F41" s="65">
        <v>3</v>
      </c>
      <c r="G41" s="65">
        <v>15</v>
      </c>
      <c r="H41" s="29"/>
      <c r="I41" s="29" t="s">
        <v>17</v>
      </c>
      <c r="J41" s="67">
        <v>50386877</v>
      </c>
      <c r="K41" s="29" t="s">
        <v>344</v>
      </c>
      <c r="L41" s="29" t="s">
        <v>708</v>
      </c>
      <c r="M41" s="66">
        <v>219900</v>
      </c>
      <c r="N41" s="31">
        <v>0.75</v>
      </c>
      <c r="O41" s="32">
        <f t="shared" si="33"/>
        <v>54975</v>
      </c>
      <c r="P41" s="28" t="s">
        <v>16</v>
      </c>
    </row>
    <row r="42" spans="1:16" s="27" customFormat="1" x14ac:dyDescent="0.35">
      <c r="A42" s="45" t="s">
        <v>1033</v>
      </c>
      <c r="B42" s="12">
        <f t="shared" ref="B42:C42" si="41">B41</f>
        <v>46104</v>
      </c>
      <c r="C42" s="12">
        <f t="shared" si="41"/>
        <v>46113</v>
      </c>
      <c r="D42" s="29">
        <v>3259</v>
      </c>
      <c r="E42" s="65">
        <v>333</v>
      </c>
      <c r="F42" s="65">
        <v>3</v>
      </c>
      <c r="G42" s="65">
        <v>15</v>
      </c>
      <c r="H42" s="29"/>
      <c r="I42" s="29" t="s">
        <v>17</v>
      </c>
      <c r="J42" s="67">
        <v>50386886</v>
      </c>
      <c r="K42" s="29" t="s">
        <v>344</v>
      </c>
      <c r="L42" s="29" t="s">
        <v>709</v>
      </c>
      <c r="M42" s="66">
        <v>219900</v>
      </c>
      <c r="N42" s="31">
        <v>0.75</v>
      </c>
      <c r="O42" s="32">
        <f t="shared" si="33"/>
        <v>54975</v>
      </c>
      <c r="P42" s="28" t="s">
        <v>16</v>
      </c>
    </row>
    <row r="43" spans="1:16" s="27" customFormat="1" x14ac:dyDescent="0.35">
      <c r="A43" s="45" t="s">
        <v>1033</v>
      </c>
      <c r="B43" s="12">
        <f t="shared" ref="B43:C43" si="42">B42</f>
        <v>46104</v>
      </c>
      <c r="C43" s="12">
        <f t="shared" si="42"/>
        <v>46113</v>
      </c>
      <c r="D43" s="29">
        <v>3259</v>
      </c>
      <c r="E43" s="65">
        <v>333</v>
      </c>
      <c r="F43" s="65">
        <v>3</v>
      </c>
      <c r="G43" s="65">
        <v>15</v>
      </c>
      <c r="H43" s="29"/>
      <c r="I43" s="29" t="s">
        <v>17</v>
      </c>
      <c r="J43" s="67">
        <v>50386895</v>
      </c>
      <c r="K43" s="29" t="s">
        <v>344</v>
      </c>
      <c r="L43" s="29" t="s">
        <v>710</v>
      </c>
      <c r="M43" s="66">
        <v>219900</v>
      </c>
      <c r="N43" s="31">
        <v>0.75</v>
      </c>
      <c r="O43" s="32">
        <f t="shared" si="33"/>
        <v>54975</v>
      </c>
      <c r="P43" s="28" t="s">
        <v>16</v>
      </c>
    </row>
    <row r="44" spans="1:16" x14ac:dyDescent="0.35">
      <c r="A44" s="45" t="s">
        <v>1033</v>
      </c>
      <c r="B44" s="12">
        <f t="shared" ref="B44:C44" si="43">B43</f>
        <v>46104</v>
      </c>
      <c r="C44" s="12">
        <f t="shared" si="43"/>
        <v>46113</v>
      </c>
      <c r="D44" s="29">
        <v>3259</v>
      </c>
      <c r="E44" s="65">
        <v>333</v>
      </c>
      <c r="F44" s="65">
        <v>3</v>
      </c>
      <c r="G44" s="65">
        <v>15</v>
      </c>
      <c r="H44" s="29"/>
      <c r="I44" s="29" t="s">
        <v>17</v>
      </c>
      <c r="J44" s="51">
        <v>15256412</v>
      </c>
      <c r="K44" s="25" t="s">
        <v>263</v>
      </c>
      <c r="L44" s="25" t="s">
        <v>927</v>
      </c>
      <c r="M44" s="62">
        <v>199900</v>
      </c>
      <c r="N44" s="31">
        <v>0.75</v>
      </c>
      <c r="O44" s="32">
        <f t="shared" si="33"/>
        <v>49975</v>
      </c>
      <c r="P44" s="28" t="s">
        <v>16</v>
      </c>
    </row>
    <row r="45" spans="1:16" x14ac:dyDescent="0.35">
      <c r="A45" s="45" t="s">
        <v>1033</v>
      </c>
      <c r="B45" s="12">
        <f t="shared" ref="B45:C45" si="44">B44</f>
        <v>46104</v>
      </c>
      <c r="C45" s="12">
        <f t="shared" si="44"/>
        <v>46113</v>
      </c>
      <c r="D45" s="29">
        <v>3259</v>
      </c>
      <c r="E45" s="65">
        <v>333</v>
      </c>
      <c r="F45" s="65">
        <v>3</v>
      </c>
      <c r="G45" s="65">
        <v>15</v>
      </c>
      <c r="H45" s="29"/>
      <c r="I45" s="29" t="s">
        <v>17</v>
      </c>
      <c r="J45" s="51">
        <v>15256421</v>
      </c>
      <c r="K45" s="25" t="s">
        <v>263</v>
      </c>
      <c r="L45" s="25" t="s">
        <v>928</v>
      </c>
      <c r="M45" s="62">
        <v>199900</v>
      </c>
      <c r="N45" s="31">
        <v>0.75</v>
      </c>
      <c r="O45" s="32">
        <f t="shared" si="33"/>
        <v>49975</v>
      </c>
      <c r="P45" s="28" t="s">
        <v>16</v>
      </c>
    </row>
    <row r="46" spans="1:16" x14ac:dyDescent="0.35">
      <c r="A46" s="45" t="s">
        <v>1033</v>
      </c>
      <c r="B46" s="12">
        <f t="shared" ref="B46:C46" si="45">B45</f>
        <v>46104</v>
      </c>
      <c r="C46" s="12">
        <f t="shared" si="45"/>
        <v>46113</v>
      </c>
      <c r="D46" s="29">
        <v>3259</v>
      </c>
      <c r="E46" s="65">
        <v>333</v>
      </c>
      <c r="F46" s="65">
        <v>3</v>
      </c>
      <c r="G46" s="65">
        <v>15</v>
      </c>
      <c r="H46" s="29"/>
      <c r="I46" s="29" t="s">
        <v>17</v>
      </c>
      <c r="J46" s="51">
        <v>15256430</v>
      </c>
      <c r="K46" s="25" t="s">
        <v>263</v>
      </c>
      <c r="L46" s="25" t="s">
        <v>929</v>
      </c>
      <c r="M46" s="62">
        <v>199900</v>
      </c>
      <c r="N46" s="31">
        <v>0.75</v>
      </c>
      <c r="O46" s="32">
        <f t="shared" si="33"/>
        <v>49975</v>
      </c>
      <c r="P46" s="28" t="s">
        <v>16</v>
      </c>
    </row>
    <row r="47" spans="1:16" x14ac:dyDescent="0.35">
      <c r="A47" s="45" t="s">
        <v>1033</v>
      </c>
      <c r="B47" s="12">
        <f t="shared" ref="B47:C47" si="46">B46</f>
        <v>46104</v>
      </c>
      <c r="C47" s="12">
        <f t="shared" si="46"/>
        <v>46113</v>
      </c>
      <c r="D47" s="29">
        <v>3259</v>
      </c>
      <c r="E47" s="65">
        <v>333</v>
      </c>
      <c r="F47" s="65">
        <v>3</v>
      </c>
      <c r="G47" s="65">
        <v>15</v>
      </c>
      <c r="H47" s="29"/>
      <c r="I47" s="29" t="s">
        <v>17</v>
      </c>
      <c r="J47" s="51">
        <v>15256449</v>
      </c>
      <c r="K47" s="25" t="s">
        <v>263</v>
      </c>
      <c r="L47" s="25" t="s">
        <v>930</v>
      </c>
      <c r="M47" s="62">
        <v>199900</v>
      </c>
      <c r="N47" s="31">
        <v>0.75</v>
      </c>
      <c r="O47" s="32">
        <f t="shared" si="33"/>
        <v>49975</v>
      </c>
      <c r="P47" s="28" t="s">
        <v>16</v>
      </c>
    </row>
    <row r="48" spans="1:16" x14ac:dyDescent="0.35">
      <c r="A48" s="45" t="s">
        <v>1033</v>
      </c>
      <c r="B48" s="12">
        <f t="shared" ref="B48:C48" si="47">B47</f>
        <v>46104</v>
      </c>
      <c r="C48" s="12">
        <f t="shared" si="47"/>
        <v>46113</v>
      </c>
      <c r="D48" s="29">
        <v>3259</v>
      </c>
      <c r="E48" s="65">
        <v>333</v>
      </c>
      <c r="F48" s="65">
        <v>3</v>
      </c>
      <c r="G48" s="65">
        <v>15</v>
      </c>
      <c r="H48" s="29"/>
      <c r="I48" s="29" t="s">
        <v>17</v>
      </c>
      <c r="J48" s="51">
        <v>19198728</v>
      </c>
      <c r="K48" s="25" t="s">
        <v>263</v>
      </c>
      <c r="L48" s="25" t="s">
        <v>635</v>
      </c>
      <c r="M48" s="62">
        <v>199900</v>
      </c>
      <c r="N48" s="31">
        <v>0.75</v>
      </c>
      <c r="O48" s="32">
        <f t="shared" si="33"/>
        <v>49975</v>
      </c>
      <c r="P48" s="28" t="s">
        <v>16</v>
      </c>
    </row>
    <row r="49" spans="1:16" x14ac:dyDescent="0.35">
      <c r="A49" s="45" t="s">
        <v>1033</v>
      </c>
      <c r="B49" s="12">
        <f t="shared" ref="B49:C49" si="48">B48</f>
        <v>46104</v>
      </c>
      <c r="C49" s="12">
        <f t="shared" si="48"/>
        <v>46113</v>
      </c>
      <c r="D49" s="29">
        <v>3259</v>
      </c>
      <c r="E49" s="65">
        <v>333</v>
      </c>
      <c r="F49" s="65">
        <v>3</v>
      </c>
      <c r="G49" s="65">
        <v>15</v>
      </c>
      <c r="H49" s="29"/>
      <c r="I49" s="29" t="s">
        <v>17</v>
      </c>
      <c r="J49" s="51">
        <v>19198746</v>
      </c>
      <c r="K49" s="25" t="s">
        <v>263</v>
      </c>
      <c r="L49" s="25" t="s">
        <v>636</v>
      </c>
      <c r="M49" s="62">
        <v>199900</v>
      </c>
      <c r="N49" s="31">
        <v>0.75</v>
      </c>
      <c r="O49" s="32">
        <f t="shared" si="33"/>
        <v>49975</v>
      </c>
      <c r="P49" s="28" t="s">
        <v>16</v>
      </c>
    </row>
    <row r="50" spans="1:16" x14ac:dyDescent="0.35">
      <c r="A50" s="45" t="s">
        <v>1033</v>
      </c>
      <c r="B50" s="12">
        <f t="shared" ref="B50:C50" si="49">B49</f>
        <v>46104</v>
      </c>
      <c r="C50" s="12">
        <f t="shared" si="49"/>
        <v>46113</v>
      </c>
      <c r="D50" s="29">
        <v>3259</v>
      </c>
      <c r="E50" s="65">
        <v>333</v>
      </c>
      <c r="F50" s="65">
        <v>3</v>
      </c>
      <c r="G50" s="65">
        <v>15</v>
      </c>
      <c r="H50" s="29"/>
      <c r="I50" s="29" t="s">
        <v>17</v>
      </c>
      <c r="J50" s="51">
        <v>19198764</v>
      </c>
      <c r="K50" s="25" t="s">
        <v>263</v>
      </c>
      <c r="L50" s="25" t="s">
        <v>637</v>
      </c>
      <c r="M50" s="62">
        <v>199900</v>
      </c>
      <c r="N50" s="31">
        <v>0.75</v>
      </c>
      <c r="O50" s="32">
        <f t="shared" si="33"/>
        <v>49975</v>
      </c>
      <c r="P50" s="28" t="s">
        <v>16</v>
      </c>
    </row>
    <row r="51" spans="1:16" x14ac:dyDescent="0.35">
      <c r="A51" s="45" t="s">
        <v>1033</v>
      </c>
      <c r="B51" s="12">
        <f t="shared" ref="B51:C51" si="50">B50</f>
        <v>46104</v>
      </c>
      <c r="C51" s="12">
        <f t="shared" si="50"/>
        <v>46113</v>
      </c>
      <c r="D51" s="29">
        <v>3259</v>
      </c>
      <c r="E51" s="65">
        <v>333</v>
      </c>
      <c r="F51" s="65">
        <v>3</v>
      </c>
      <c r="G51" s="65">
        <v>15</v>
      </c>
      <c r="H51" s="29"/>
      <c r="I51" s="29" t="s">
        <v>17</v>
      </c>
      <c r="J51" s="51">
        <v>19198773</v>
      </c>
      <c r="K51" s="25" t="s">
        <v>263</v>
      </c>
      <c r="L51" s="25" t="s">
        <v>638</v>
      </c>
      <c r="M51" s="62">
        <v>199900</v>
      </c>
      <c r="N51" s="31">
        <v>0.75</v>
      </c>
      <c r="O51" s="32">
        <f t="shared" si="33"/>
        <v>49975</v>
      </c>
      <c r="P51" s="28" t="s">
        <v>16</v>
      </c>
    </row>
    <row r="52" spans="1:16" x14ac:dyDescent="0.35">
      <c r="A52" s="45" t="s">
        <v>1033</v>
      </c>
      <c r="B52" s="12">
        <f t="shared" ref="B52:C52" si="51">B51</f>
        <v>46104</v>
      </c>
      <c r="C52" s="12">
        <f t="shared" si="51"/>
        <v>46113</v>
      </c>
      <c r="D52" s="29">
        <v>3259</v>
      </c>
      <c r="E52" s="65">
        <v>333</v>
      </c>
      <c r="F52" s="65">
        <v>3</v>
      </c>
      <c r="G52" s="65">
        <v>15</v>
      </c>
      <c r="H52" s="29"/>
      <c r="I52" s="29" t="s">
        <v>17</v>
      </c>
      <c r="J52" s="51">
        <v>26786212</v>
      </c>
      <c r="K52" s="25" t="s">
        <v>263</v>
      </c>
      <c r="L52" s="25" t="s">
        <v>931</v>
      </c>
      <c r="M52" s="62">
        <v>199900</v>
      </c>
      <c r="N52" s="31">
        <v>0.75</v>
      </c>
      <c r="O52" s="32">
        <f t="shared" si="33"/>
        <v>49975</v>
      </c>
      <c r="P52" s="28" t="s">
        <v>16</v>
      </c>
    </row>
    <row r="53" spans="1:16" x14ac:dyDescent="0.35">
      <c r="A53" s="45" t="s">
        <v>1033</v>
      </c>
      <c r="B53" s="12">
        <f t="shared" ref="B53:C53" si="52">B52</f>
        <v>46104</v>
      </c>
      <c r="C53" s="12">
        <f t="shared" si="52"/>
        <v>46113</v>
      </c>
      <c r="D53" s="29">
        <v>3259</v>
      </c>
      <c r="E53" s="65">
        <v>333</v>
      </c>
      <c r="F53" s="65">
        <v>3</v>
      </c>
      <c r="G53" s="65">
        <v>15</v>
      </c>
      <c r="H53" s="29"/>
      <c r="I53" s="29" t="s">
        <v>17</v>
      </c>
      <c r="J53" s="51">
        <v>26786221</v>
      </c>
      <c r="K53" s="25" t="s">
        <v>263</v>
      </c>
      <c r="L53" s="25" t="s">
        <v>932</v>
      </c>
      <c r="M53" s="62">
        <v>199900</v>
      </c>
      <c r="N53" s="31">
        <v>0.75</v>
      </c>
      <c r="O53" s="32">
        <f t="shared" si="33"/>
        <v>49975</v>
      </c>
      <c r="P53" s="28" t="s">
        <v>16</v>
      </c>
    </row>
    <row r="54" spans="1:16" x14ac:dyDescent="0.35">
      <c r="A54" s="45" t="s">
        <v>1033</v>
      </c>
      <c r="B54" s="12">
        <f t="shared" ref="B54:C54" si="53">B53</f>
        <v>46104</v>
      </c>
      <c r="C54" s="12">
        <f t="shared" si="53"/>
        <v>46113</v>
      </c>
      <c r="D54" s="29">
        <v>3259</v>
      </c>
      <c r="E54" s="65">
        <v>333</v>
      </c>
      <c r="F54" s="65">
        <v>3</v>
      </c>
      <c r="G54" s="65">
        <v>15</v>
      </c>
      <c r="H54" s="29"/>
      <c r="I54" s="29" t="s">
        <v>17</v>
      </c>
      <c r="J54" s="51">
        <v>26788149</v>
      </c>
      <c r="K54" s="25" t="s">
        <v>263</v>
      </c>
      <c r="L54" s="25" t="s">
        <v>933</v>
      </c>
      <c r="M54" s="62">
        <v>199900</v>
      </c>
      <c r="N54" s="31">
        <v>0.75</v>
      </c>
      <c r="O54" s="32">
        <f t="shared" si="33"/>
        <v>49975</v>
      </c>
      <c r="P54" s="28" t="s">
        <v>16</v>
      </c>
    </row>
    <row r="55" spans="1:16" x14ac:dyDescent="0.35">
      <c r="A55" s="45" t="s">
        <v>1033</v>
      </c>
      <c r="B55" s="12">
        <f t="shared" ref="B55:C55" si="54">B54</f>
        <v>46104</v>
      </c>
      <c r="C55" s="12">
        <f t="shared" si="54"/>
        <v>46113</v>
      </c>
      <c r="D55" s="29">
        <v>3259</v>
      </c>
      <c r="E55" s="65">
        <v>333</v>
      </c>
      <c r="F55" s="65">
        <v>3</v>
      </c>
      <c r="G55" s="65">
        <v>15</v>
      </c>
      <c r="H55" s="29"/>
      <c r="I55" s="29" t="s">
        <v>17</v>
      </c>
      <c r="J55" s="51">
        <v>26789175</v>
      </c>
      <c r="K55" s="25" t="s">
        <v>263</v>
      </c>
      <c r="L55" s="25" t="s">
        <v>934</v>
      </c>
      <c r="M55" s="62">
        <v>199900</v>
      </c>
      <c r="N55" s="31">
        <v>0.75</v>
      </c>
      <c r="O55" s="32">
        <f t="shared" si="33"/>
        <v>49975</v>
      </c>
      <c r="P55" s="28" t="s">
        <v>16</v>
      </c>
    </row>
  </sheetData>
  <autoFilter ref="A1:P1" xr:uid="{00000000-0009-0000-0000-000007000000}"/>
  <conditionalFormatting sqref="J1">
    <cfRule type="duplicateValues" dxfId="720" priority="1562"/>
    <cfRule type="duplicateValues" dxfId="719" priority="1563"/>
  </conditionalFormatting>
  <conditionalFormatting sqref="J1:J25 J44:J1048576">
    <cfRule type="duplicateValues" dxfId="718" priority="5053"/>
    <cfRule type="duplicateValues" dxfId="717" priority="5054"/>
    <cfRule type="duplicateValues" dxfId="716" priority="5055"/>
    <cfRule type="duplicateValues" dxfId="715" priority="5056"/>
    <cfRule type="duplicateValues" dxfId="714" priority="5057"/>
  </conditionalFormatting>
  <conditionalFormatting sqref="J1:J1048576">
    <cfRule type="duplicateValues" dxfId="713" priority="1"/>
    <cfRule type="duplicateValues" dxfId="712" priority="5050"/>
  </conditionalFormatting>
  <conditionalFormatting sqref="J26:J27">
    <cfRule type="duplicateValues" dxfId="711" priority="11"/>
  </conditionalFormatting>
  <conditionalFormatting sqref="J26:J43">
    <cfRule type="duplicateValues" dxfId="710" priority="4"/>
    <cfRule type="duplicateValues" dxfId="709" priority="5"/>
    <cfRule type="duplicateValues" dxfId="708" priority="6"/>
    <cfRule type="duplicateValues" dxfId="707" priority="12"/>
    <cfRule type="duplicateValues" dxfId="706" priority="13"/>
    <cfRule type="duplicateValues" dxfId="705" priority="14"/>
    <cfRule type="duplicateValues" dxfId="704" priority="15"/>
    <cfRule type="duplicateValues" dxfId="703" priority="16"/>
    <cfRule type="duplicateValues" dxfId="702" priority="17"/>
    <cfRule type="duplicateValues" dxfId="701" priority="18"/>
    <cfRule type="duplicateValues" dxfId="700" priority="19"/>
    <cfRule type="duplicateValues" dxfId="699" priority="20"/>
    <cfRule type="duplicateValues" dxfId="698" priority="21"/>
    <cfRule type="duplicateValues" dxfId="697" priority="22"/>
    <cfRule type="duplicateValues" dxfId="696" priority="23"/>
    <cfRule type="duplicateValues" dxfId="695" priority="24"/>
  </conditionalFormatting>
  <conditionalFormatting sqref="J28:J43">
    <cfRule type="duplicateValues" dxfId="694" priority="7"/>
    <cfRule type="duplicateValues" dxfId="693" priority="8"/>
    <cfRule type="duplicateValues" dxfId="692" priority="9"/>
    <cfRule type="duplicateValues" dxfId="691" priority="10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95"/>
  <sheetViews>
    <sheetView zoomScale="55" workbookViewId="0">
      <selection activeCell="B2" sqref="B2:C3"/>
    </sheetView>
  </sheetViews>
  <sheetFormatPr defaultColWidth="21.81640625" defaultRowHeight="14.5" x14ac:dyDescent="0.35"/>
  <cols>
    <col min="1" max="1" width="27.54296875" style="23" bestFit="1" customWidth="1"/>
    <col min="2" max="2" width="10.81640625" style="23" bestFit="1" customWidth="1"/>
    <col min="3" max="3" width="10.1796875" style="23" bestFit="1" customWidth="1"/>
    <col min="4" max="4" width="5.1796875" style="23" bestFit="1" customWidth="1"/>
    <col min="5" max="5" width="7.1796875" style="23" bestFit="1" customWidth="1"/>
    <col min="6" max="6" width="8.453125" style="23" bestFit="1" customWidth="1"/>
    <col min="7" max="7" width="5.7265625" style="23" bestFit="1" customWidth="1"/>
    <col min="8" max="8" width="8.54296875" style="23" bestFit="1" customWidth="1"/>
    <col min="9" max="9" width="6.7265625" style="23" bestFit="1" customWidth="1"/>
    <col min="10" max="10" width="18.1796875" style="23" bestFit="1" customWidth="1"/>
    <col min="11" max="11" width="24" style="23" bestFit="1" customWidth="1"/>
    <col min="12" max="12" width="75.1796875" style="23" bestFit="1" customWidth="1"/>
    <col min="13" max="13" width="14.81640625" style="55" bestFit="1" customWidth="1"/>
    <col min="14" max="14" width="7.26953125" style="23" bestFit="1" customWidth="1"/>
    <col min="15" max="15" width="14" style="23" bestFit="1" customWidth="1"/>
    <col min="16" max="16" width="14.1796875" style="23" bestFit="1" customWidth="1"/>
    <col min="17" max="16384" width="21.81640625" style="23"/>
  </cols>
  <sheetData>
    <row r="1" spans="1:16" s="1" customFormat="1" ht="30.75" customHeight="1" x14ac:dyDescent="0.35">
      <c r="A1" s="56" t="s">
        <v>0</v>
      </c>
      <c r="B1" s="57" t="s">
        <v>15</v>
      </c>
      <c r="C1" s="57" t="s">
        <v>11</v>
      </c>
      <c r="D1" s="56" t="s">
        <v>1</v>
      </c>
      <c r="E1" s="56" t="s">
        <v>2</v>
      </c>
      <c r="F1" s="56" t="s">
        <v>12</v>
      </c>
      <c r="G1" s="56" t="s">
        <v>3</v>
      </c>
      <c r="H1" s="56" t="s">
        <v>4</v>
      </c>
      <c r="I1" s="56" t="s">
        <v>5</v>
      </c>
      <c r="J1" s="68" t="s">
        <v>6</v>
      </c>
      <c r="K1" s="56" t="s">
        <v>7</v>
      </c>
      <c r="L1" s="56" t="s">
        <v>13</v>
      </c>
      <c r="M1" s="59" t="s">
        <v>14</v>
      </c>
      <c r="N1" s="60" t="s">
        <v>8</v>
      </c>
      <c r="O1" s="61" t="s">
        <v>9</v>
      </c>
      <c r="P1" s="56" t="s">
        <v>10</v>
      </c>
    </row>
    <row r="2" spans="1:16" x14ac:dyDescent="0.35">
      <c r="A2" s="25" t="s">
        <v>1034</v>
      </c>
      <c r="B2" s="12">
        <v>46104</v>
      </c>
      <c r="C2" s="12">
        <v>46113</v>
      </c>
      <c r="D2" s="25">
        <v>3259</v>
      </c>
      <c r="E2" s="25">
        <v>333</v>
      </c>
      <c r="F2" s="25">
        <v>3</v>
      </c>
      <c r="G2" s="25">
        <v>6</v>
      </c>
      <c r="H2" s="25"/>
      <c r="I2" s="25" t="s">
        <v>17</v>
      </c>
      <c r="J2" s="69">
        <v>19199549</v>
      </c>
      <c r="K2" s="25" t="s">
        <v>339</v>
      </c>
      <c r="L2" s="25" t="s">
        <v>510</v>
      </c>
      <c r="M2" s="62">
        <v>279900</v>
      </c>
      <c r="N2" s="31">
        <v>0.75</v>
      </c>
      <c r="O2" s="32">
        <f t="shared" ref="O2:O33" si="0">M2-(M2*N2)</f>
        <v>69975</v>
      </c>
      <c r="P2" s="28" t="s">
        <v>16</v>
      </c>
    </row>
    <row r="3" spans="1:16" x14ac:dyDescent="0.35">
      <c r="A3" s="45" t="s">
        <v>1034</v>
      </c>
      <c r="B3" s="12">
        <f t="shared" ref="B3:C3" si="1">B2</f>
        <v>46104</v>
      </c>
      <c r="C3" s="12">
        <f t="shared" si="1"/>
        <v>46113</v>
      </c>
      <c r="D3" s="25">
        <v>3259</v>
      </c>
      <c r="E3" s="25">
        <v>333</v>
      </c>
      <c r="F3" s="25">
        <v>3</v>
      </c>
      <c r="G3" s="25">
        <v>6</v>
      </c>
      <c r="H3" s="25"/>
      <c r="I3" s="25" t="s">
        <v>17</v>
      </c>
      <c r="J3" s="69">
        <v>19199558</v>
      </c>
      <c r="K3" s="25" t="s">
        <v>339</v>
      </c>
      <c r="L3" s="25" t="s">
        <v>511</v>
      </c>
      <c r="M3" s="62">
        <v>279900</v>
      </c>
      <c r="N3" s="31">
        <v>0.75</v>
      </c>
      <c r="O3" s="32">
        <f t="shared" si="0"/>
        <v>69975</v>
      </c>
      <c r="P3" s="28" t="s">
        <v>16</v>
      </c>
    </row>
    <row r="4" spans="1:16" x14ac:dyDescent="0.35">
      <c r="A4" s="45" t="s">
        <v>1034</v>
      </c>
      <c r="B4" s="12">
        <f t="shared" ref="B4:C4" si="2">B3</f>
        <v>46104</v>
      </c>
      <c r="C4" s="12">
        <f t="shared" si="2"/>
        <v>46113</v>
      </c>
      <c r="D4" s="25">
        <v>3259</v>
      </c>
      <c r="E4" s="25">
        <v>333</v>
      </c>
      <c r="F4" s="25">
        <v>3</v>
      </c>
      <c r="G4" s="25">
        <v>6</v>
      </c>
      <c r="H4" s="25"/>
      <c r="I4" s="25" t="s">
        <v>17</v>
      </c>
      <c r="J4" s="69">
        <v>19199567</v>
      </c>
      <c r="K4" s="25" t="s">
        <v>339</v>
      </c>
      <c r="L4" s="25" t="s">
        <v>512</v>
      </c>
      <c r="M4" s="62">
        <v>279900</v>
      </c>
      <c r="N4" s="31">
        <v>0.75</v>
      </c>
      <c r="O4" s="32">
        <f t="shared" si="0"/>
        <v>69975</v>
      </c>
      <c r="P4" s="28" t="s">
        <v>16</v>
      </c>
    </row>
    <row r="5" spans="1:16" x14ac:dyDescent="0.35">
      <c r="A5" s="45" t="s">
        <v>1034</v>
      </c>
      <c r="B5" s="12">
        <f t="shared" ref="B5:C5" si="3">B4</f>
        <v>46104</v>
      </c>
      <c r="C5" s="12">
        <f t="shared" si="3"/>
        <v>46113</v>
      </c>
      <c r="D5" s="25">
        <v>3259</v>
      </c>
      <c r="E5" s="25">
        <v>333</v>
      </c>
      <c r="F5" s="25">
        <v>3</v>
      </c>
      <c r="G5" s="25">
        <v>6</v>
      </c>
      <c r="H5" s="25"/>
      <c r="I5" s="25" t="s">
        <v>17</v>
      </c>
      <c r="J5" s="69">
        <v>19199576</v>
      </c>
      <c r="K5" s="25" t="s">
        <v>339</v>
      </c>
      <c r="L5" s="25" t="s">
        <v>513</v>
      </c>
      <c r="M5" s="62">
        <v>279900</v>
      </c>
      <c r="N5" s="31">
        <v>0.75</v>
      </c>
      <c r="O5" s="32">
        <f t="shared" si="0"/>
        <v>69975</v>
      </c>
      <c r="P5" s="28" t="s">
        <v>16</v>
      </c>
    </row>
    <row r="6" spans="1:16" x14ac:dyDescent="0.35">
      <c r="A6" s="45" t="s">
        <v>1034</v>
      </c>
      <c r="B6" s="12">
        <f t="shared" ref="B6:C6" si="4">B5</f>
        <v>46104</v>
      </c>
      <c r="C6" s="12">
        <f t="shared" si="4"/>
        <v>46113</v>
      </c>
      <c r="D6" s="25">
        <v>3259</v>
      </c>
      <c r="E6" s="25">
        <v>333</v>
      </c>
      <c r="F6" s="25">
        <v>3</v>
      </c>
      <c r="G6" s="25">
        <v>6</v>
      </c>
      <c r="H6" s="25"/>
      <c r="I6" s="25" t="s">
        <v>17</v>
      </c>
      <c r="J6" s="69">
        <v>19199585</v>
      </c>
      <c r="K6" s="25" t="s">
        <v>339</v>
      </c>
      <c r="L6" s="25" t="s">
        <v>514</v>
      </c>
      <c r="M6" s="62">
        <v>279900</v>
      </c>
      <c r="N6" s="31">
        <v>0.75</v>
      </c>
      <c r="O6" s="32">
        <f t="shared" si="0"/>
        <v>69975</v>
      </c>
      <c r="P6" s="28" t="s">
        <v>16</v>
      </c>
    </row>
    <row r="7" spans="1:16" x14ac:dyDescent="0.35">
      <c r="A7" s="45" t="s">
        <v>1034</v>
      </c>
      <c r="B7" s="12">
        <f t="shared" ref="B7:C7" si="5">B6</f>
        <v>46104</v>
      </c>
      <c r="C7" s="12">
        <f t="shared" si="5"/>
        <v>46113</v>
      </c>
      <c r="D7" s="25">
        <v>3259</v>
      </c>
      <c r="E7" s="25">
        <v>333</v>
      </c>
      <c r="F7" s="25">
        <v>3</v>
      </c>
      <c r="G7" s="25">
        <v>6</v>
      </c>
      <c r="H7" s="25"/>
      <c r="I7" s="25" t="s">
        <v>17</v>
      </c>
      <c r="J7" s="69">
        <v>19199594</v>
      </c>
      <c r="K7" s="25" t="s">
        <v>339</v>
      </c>
      <c r="L7" s="25" t="s">
        <v>515</v>
      </c>
      <c r="M7" s="62">
        <v>279900</v>
      </c>
      <c r="N7" s="31">
        <v>0.75</v>
      </c>
      <c r="O7" s="32">
        <f t="shared" si="0"/>
        <v>69975</v>
      </c>
      <c r="P7" s="28" t="s">
        <v>16</v>
      </c>
    </row>
    <row r="8" spans="1:16" x14ac:dyDescent="0.35">
      <c r="A8" s="45" t="s">
        <v>1034</v>
      </c>
      <c r="B8" s="12">
        <f t="shared" ref="B8:C8" si="6">B7</f>
        <v>46104</v>
      </c>
      <c r="C8" s="12">
        <f t="shared" si="6"/>
        <v>46113</v>
      </c>
      <c r="D8" s="25">
        <v>3259</v>
      </c>
      <c r="E8" s="25">
        <v>333</v>
      </c>
      <c r="F8" s="25">
        <v>3</v>
      </c>
      <c r="G8" s="25">
        <v>6</v>
      </c>
      <c r="H8" s="25"/>
      <c r="I8" s="25" t="s">
        <v>17</v>
      </c>
      <c r="J8" s="69">
        <v>19199601</v>
      </c>
      <c r="K8" s="25" t="s">
        <v>339</v>
      </c>
      <c r="L8" s="25" t="s">
        <v>516</v>
      </c>
      <c r="M8" s="62">
        <v>279900</v>
      </c>
      <c r="N8" s="31">
        <v>0.75</v>
      </c>
      <c r="O8" s="32">
        <f t="shared" si="0"/>
        <v>69975</v>
      </c>
      <c r="P8" s="28" t="s">
        <v>16</v>
      </c>
    </row>
    <row r="9" spans="1:16" x14ac:dyDescent="0.35">
      <c r="A9" s="45" t="s">
        <v>1034</v>
      </c>
      <c r="B9" s="12">
        <f t="shared" ref="B9:C9" si="7">B8</f>
        <v>46104</v>
      </c>
      <c r="C9" s="12">
        <f t="shared" si="7"/>
        <v>46113</v>
      </c>
      <c r="D9" s="25">
        <v>3259</v>
      </c>
      <c r="E9" s="25">
        <v>333</v>
      </c>
      <c r="F9" s="25">
        <v>3</v>
      </c>
      <c r="G9" s="25">
        <v>6</v>
      </c>
      <c r="H9" s="25"/>
      <c r="I9" s="25" t="s">
        <v>17</v>
      </c>
      <c r="J9" s="69">
        <v>19199629</v>
      </c>
      <c r="K9" s="25" t="s">
        <v>339</v>
      </c>
      <c r="L9" s="25" t="s">
        <v>517</v>
      </c>
      <c r="M9" s="62">
        <v>279900</v>
      </c>
      <c r="N9" s="31">
        <v>0.75</v>
      </c>
      <c r="O9" s="32">
        <f t="shared" si="0"/>
        <v>69975</v>
      </c>
      <c r="P9" s="28" t="s">
        <v>16</v>
      </c>
    </row>
    <row r="10" spans="1:16" x14ac:dyDescent="0.35">
      <c r="A10" s="45" t="s">
        <v>1034</v>
      </c>
      <c r="B10" s="12">
        <f t="shared" ref="B10:C10" si="8">B9</f>
        <v>46104</v>
      </c>
      <c r="C10" s="12">
        <f t="shared" si="8"/>
        <v>46113</v>
      </c>
      <c r="D10" s="25">
        <v>3259</v>
      </c>
      <c r="E10" s="25">
        <v>333</v>
      </c>
      <c r="F10" s="25">
        <v>3</v>
      </c>
      <c r="G10" s="25">
        <v>6</v>
      </c>
      <c r="H10" s="25"/>
      <c r="I10" s="25" t="s">
        <v>17</v>
      </c>
      <c r="J10" s="69">
        <v>19199665</v>
      </c>
      <c r="K10" s="25" t="s">
        <v>339</v>
      </c>
      <c r="L10" s="25" t="s">
        <v>518</v>
      </c>
      <c r="M10" s="62">
        <v>279900</v>
      </c>
      <c r="N10" s="31">
        <v>0.75</v>
      </c>
      <c r="O10" s="32">
        <f t="shared" si="0"/>
        <v>69975</v>
      </c>
      <c r="P10" s="28" t="s">
        <v>16</v>
      </c>
    </row>
    <row r="11" spans="1:16" x14ac:dyDescent="0.35">
      <c r="A11" s="45" t="s">
        <v>1034</v>
      </c>
      <c r="B11" s="12">
        <f t="shared" ref="B11:C11" si="9">B10</f>
        <v>46104</v>
      </c>
      <c r="C11" s="12">
        <f t="shared" si="9"/>
        <v>46113</v>
      </c>
      <c r="D11" s="25">
        <v>3259</v>
      </c>
      <c r="E11" s="25">
        <v>333</v>
      </c>
      <c r="F11" s="25">
        <v>3</v>
      </c>
      <c r="G11" s="25">
        <v>6</v>
      </c>
      <c r="H11" s="25"/>
      <c r="I11" s="25" t="s">
        <v>17</v>
      </c>
      <c r="J11" s="69">
        <v>19199709</v>
      </c>
      <c r="K11" s="25" t="s">
        <v>339</v>
      </c>
      <c r="L11" s="25" t="s">
        <v>519</v>
      </c>
      <c r="M11" s="62">
        <v>279900</v>
      </c>
      <c r="N11" s="31">
        <v>0.75</v>
      </c>
      <c r="O11" s="32">
        <f t="shared" si="0"/>
        <v>69975</v>
      </c>
      <c r="P11" s="28" t="s">
        <v>16</v>
      </c>
    </row>
    <row r="12" spans="1:16" x14ac:dyDescent="0.35">
      <c r="A12" s="45" t="s">
        <v>1034</v>
      </c>
      <c r="B12" s="12">
        <f t="shared" ref="B12:C12" si="10">B11</f>
        <v>46104</v>
      </c>
      <c r="C12" s="12">
        <f t="shared" si="10"/>
        <v>46113</v>
      </c>
      <c r="D12" s="25">
        <v>3259</v>
      </c>
      <c r="E12" s="25">
        <v>333</v>
      </c>
      <c r="F12" s="25">
        <v>3</v>
      </c>
      <c r="G12" s="25">
        <v>6</v>
      </c>
      <c r="H12" s="25"/>
      <c r="I12" s="25" t="s">
        <v>17</v>
      </c>
      <c r="J12" s="69">
        <v>19199718</v>
      </c>
      <c r="K12" s="25" t="s">
        <v>339</v>
      </c>
      <c r="L12" s="25" t="s">
        <v>520</v>
      </c>
      <c r="M12" s="62">
        <v>279900</v>
      </c>
      <c r="N12" s="31">
        <v>0.75</v>
      </c>
      <c r="O12" s="32">
        <f t="shared" si="0"/>
        <v>69975</v>
      </c>
      <c r="P12" s="28" t="s">
        <v>16</v>
      </c>
    </row>
    <row r="13" spans="1:16" x14ac:dyDescent="0.35">
      <c r="A13" s="45" t="s">
        <v>1034</v>
      </c>
      <c r="B13" s="12">
        <f t="shared" ref="B13:C13" si="11">B12</f>
        <v>46104</v>
      </c>
      <c r="C13" s="12">
        <f t="shared" si="11"/>
        <v>46113</v>
      </c>
      <c r="D13" s="25">
        <v>3259</v>
      </c>
      <c r="E13" s="25">
        <v>333</v>
      </c>
      <c r="F13" s="25">
        <v>3</v>
      </c>
      <c r="G13" s="25">
        <v>6</v>
      </c>
      <c r="H13" s="25"/>
      <c r="I13" s="25" t="s">
        <v>17</v>
      </c>
      <c r="J13" s="69">
        <v>19199727</v>
      </c>
      <c r="K13" s="25" t="s">
        <v>339</v>
      </c>
      <c r="L13" s="25" t="s">
        <v>521</v>
      </c>
      <c r="M13" s="62">
        <v>279900</v>
      </c>
      <c r="N13" s="31">
        <v>0.75</v>
      </c>
      <c r="O13" s="32">
        <f t="shared" si="0"/>
        <v>69975</v>
      </c>
      <c r="P13" s="28" t="s">
        <v>16</v>
      </c>
    </row>
    <row r="14" spans="1:16" x14ac:dyDescent="0.35">
      <c r="A14" s="45" t="s">
        <v>1034</v>
      </c>
      <c r="B14" s="12">
        <f t="shared" ref="B14:C14" si="12">B13</f>
        <v>46104</v>
      </c>
      <c r="C14" s="12">
        <f t="shared" si="12"/>
        <v>46113</v>
      </c>
      <c r="D14" s="25">
        <v>3259</v>
      </c>
      <c r="E14" s="25">
        <v>333</v>
      </c>
      <c r="F14" s="25">
        <v>3</v>
      </c>
      <c r="G14" s="25">
        <v>6</v>
      </c>
      <c r="H14" s="25"/>
      <c r="I14" s="25" t="s">
        <v>17</v>
      </c>
      <c r="J14" s="69">
        <v>26769517</v>
      </c>
      <c r="K14" s="25" t="s">
        <v>341</v>
      </c>
      <c r="L14" s="25" t="s">
        <v>484</v>
      </c>
      <c r="M14" s="62">
        <v>279900</v>
      </c>
      <c r="N14" s="31">
        <v>0.75</v>
      </c>
      <c r="O14" s="32">
        <f t="shared" si="0"/>
        <v>69975</v>
      </c>
      <c r="P14" s="28" t="s">
        <v>16</v>
      </c>
    </row>
    <row r="15" spans="1:16" x14ac:dyDescent="0.35">
      <c r="A15" s="45" t="s">
        <v>1034</v>
      </c>
      <c r="B15" s="12">
        <f t="shared" ref="B15:C15" si="13">B14</f>
        <v>46104</v>
      </c>
      <c r="C15" s="12">
        <f t="shared" si="13"/>
        <v>46113</v>
      </c>
      <c r="D15" s="25">
        <v>3259</v>
      </c>
      <c r="E15" s="25">
        <v>333</v>
      </c>
      <c r="F15" s="25">
        <v>3</v>
      </c>
      <c r="G15" s="25">
        <v>6</v>
      </c>
      <c r="H15" s="25"/>
      <c r="I15" s="25" t="s">
        <v>17</v>
      </c>
      <c r="J15" s="69">
        <v>26769526</v>
      </c>
      <c r="K15" s="25" t="s">
        <v>341</v>
      </c>
      <c r="L15" s="25" t="s">
        <v>485</v>
      </c>
      <c r="M15" s="62">
        <v>279900</v>
      </c>
      <c r="N15" s="31">
        <v>0.75</v>
      </c>
      <c r="O15" s="32">
        <f t="shared" si="0"/>
        <v>69975</v>
      </c>
      <c r="P15" s="28" t="s">
        <v>16</v>
      </c>
    </row>
    <row r="16" spans="1:16" x14ac:dyDescent="0.35">
      <c r="A16" s="45" t="s">
        <v>1034</v>
      </c>
      <c r="B16" s="12">
        <f t="shared" ref="B16:C16" si="14">B15</f>
        <v>46104</v>
      </c>
      <c r="C16" s="12">
        <f t="shared" si="14"/>
        <v>46113</v>
      </c>
      <c r="D16" s="25">
        <v>3259</v>
      </c>
      <c r="E16" s="25">
        <v>333</v>
      </c>
      <c r="F16" s="25">
        <v>3</v>
      </c>
      <c r="G16" s="25">
        <v>6</v>
      </c>
      <c r="H16" s="25"/>
      <c r="I16" s="25" t="s">
        <v>17</v>
      </c>
      <c r="J16" s="69">
        <v>26769562</v>
      </c>
      <c r="K16" s="25" t="s">
        <v>341</v>
      </c>
      <c r="L16" s="25" t="s">
        <v>486</v>
      </c>
      <c r="M16" s="62">
        <v>279900</v>
      </c>
      <c r="N16" s="31">
        <v>0.75</v>
      </c>
      <c r="O16" s="32">
        <f t="shared" si="0"/>
        <v>69975</v>
      </c>
      <c r="P16" s="28" t="s">
        <v>16</v>
      </c>
    </row>
    <row r="17" spans="1:16" x14ac:dyDescent="0.35">
      <c r="A17" s="45" t="s">
        <v>1034</v>
      </c>
      <c r="B17" s="12">
        <f t="shared" ref="B17:C17" si="15">B16</f>
        <v>46104</v>
      </c>
      <c r="C17" s="12">
        <f t="shared" si="15"/>
        <v>46113</v>
      </c>
      <c r="D17" s="25">
        <v>3259</v>
      </c>
      <c r="E17" s="25">
        <v>333</v>
      </c>
      <c r="F17" s="25">
        <v>3</v>
      </c>
      <c r="G17" s="25">
        <v>6</v>
      </c>
      <c r="H17" s="25"/>
      <c r="I17" s="25" t="s">
        <v>17</v>
      </c>
      <c r="J17" s="69">
        <v>26769571</v>
      </c>
      <c r="K17" s="25" t="s">
        <v>341</v>
      </c>
      <c r="L17" s="25" t="s">
        <v>487</v>
      </c>
      <c r="M17" s="62">
        <v>279900</v>
      </c>
      <c r="N17" s="31">
        <v>0.75</v>
      </c>
      <c r="O17" s="32">
        <f t="shared" si="0"/>
        <v>69975</v>
      </c>
      <c r="P17" s="28" t="s">
        <v>16</v>
      </c>
    </row>
    <row r="18" spans="1:16" x14ac:dyDescent="0.35">
      <c r="A18" s="45" t="s">
        <v>1034</v>
      </c>
      <c r="B18" s="12">
        <f t="shared" ref="B18:C18" si="16">B17</f>
        <v>46104</v>
      </c>
      <c r="C18" s="12">
        <f t="shared" si="16"/>
        <v>46113</v>
      </c>
      <c r="D18" s="25">
        <v>3259</v>
      </c>
      <c r="E18" s="25">
        <v>333</v>
      </c>
      <c r="F18" s="25">
        <v>3</v>
      </c>
      <c r="G18" s="25">
        <v>6</v>
      </c>
      <c r="H18" s="25"/>
      <c r="I18" s="25" t="s">
        <v>17</v>
      </c>
      <c r="J18" s="69">
        <v>26769580</v>
      </c>
      <c r="K18" s="25" t="s">
        <v>341</v>
      </c>
      <c r="L18" s="25" t="s">
        <v>488</v>
      </c>
      <c r="M18" s="62">
        <v>279900</v>
      </c>
      <c r="N18" s="31">
        <v>0.75</v>
      </c>
      <c r="O18" s="32">
        <f t="shared" si="0"/>
        <v>69975</v>
      </c>
      <c r="P18" s="28" t="s">
        <v>16</v>
      </c>
    </row>
    <row r="19" spans="1:16" x14ac:dyDescent="0.35">
      <c r="A19" s="45" t="s">
        <v>1034</v>
      </c>
      <c r="B19" s="12">
        <f t="shared" ref="B19:C19" si="17">B18</f>
        <v>46104</v>
      </c>
      <c r="C19" s="12">
        <f t="shared" si="17"/>
        <v>46113</v>
      </c>
      <c r="D19" s="25">
        <v>3259</v>
      </c>
      <c r="E19" s="25">
        <v>333</v>
      </c>
      <c r="F19" s="25">
        <v>3</v>
      </c>
      <c r="G19" s="25">
        <v>6</v>
      </c>
      <c r="H19" s="25"/>
      <c r="I19" s="25" t="s">
        <v>17</v>
      </c>
      <c r="J19" s="69">
        <v>26769599</v>
      </c>
      <c r="K19" s="25" t="s">
        <v>341</v>
      </c>
      <c r="L19" s="25" t="s">
        <v>489</v>
      </c>
      <c r="M19" s="62">
        <v>279900</v>
      </c>
      <c r="N19" s="31">
        <v>0.75</v>
      </c>
      <c r="O19" s="32">
        <f t="shared" si="0"/>
        <v>69975</v>
      </c>
      <c r="P19" s="28" t="s">
        <v>16</v>
      </c>
    </row>
    <row r="20" spans="1:16" x14ac:dyDescent="0.35">
      <c r="A20" s="45" t="s">
        <v>1034</v>
      </c>
      <c r="B20" s="12">
        <f t="shared" ref="B20:C20" si="18">B19</f>
        <v>46104</v>
      </c>
      <c r="C20" s="12">
        <f t="shared" si="18"/>
        <v>46113</v>
      </c>
      <c r="D20" s="25">
        <v>3259</v>
      </c>
      <c r="E20" s="25">
        <v>333</v>
      </c>
      <c r="F20" s="25">
        <v>3</v>
      </c>
      <c r="G20" s="25">
        <v>6</v>
      </c>
      <c r="H20" s="25"/>
      <c r="I20" s="25" t="s">
        <v>17</v>
      </c>
      <c r="J20" s="69">
        <v>26769606</v>
      </c>
      <c r="K20" s="25" t="s">
        <v>341</v>
      </c>
      <c r="L20" s="25" t="s">
        <v>490</v>
      </c>
      <c r="M20" s="62">
        <v>279900</v>
      </c>
      <c r="N20" s="31">
        <v>0.75</v>
      </c>
      <c r="O20" s="32">
        <f t="shared" si="0"/>
        <v>69975</v>
      </c>
      <c r="P20" s="28" t="s">
        <v>16</v>
      </c>
    </row>
    <row r="21" spans="1:16" x14ac:dyDescent="0.35">
      <c r="A21" s="45" t="s">
        <v>1034</v>
      </c>
      <c r="B21" s="12">
        <f t="shared" ref="B21:C21" si="19">B20</f>
        <v>46104</v>
      </c>
      <c r="C21" s="12">
        <f t="shared" si="19"/>
        <v>46113</v>
      </c>
      <c r="D21" s="25">
        <v>3259</v>
      </c>
      <c r="E21" s="25">
        <v>333</v>
      </c>
      <c r="F21" s="25">
        <v>3</v>
      </c>
      <c r="G21" s="25">
        <v>6</v>
      </c>
      <c r="H21" s="25"/>
      <c r="I21" s="25" t="s">
        <v>17</v>
      </c>
      <c r="J21" s="69">
        <v>26769615</v>
      </c>
      <c r="K21" s="25" t="s">
        <v>341</v>
      </c>
      <c r="L21" s="25" t="s">
        <v>491</v>
      </c>
      <c r="M21" s="62">
        <v>279900</v>
      </c>
      <c r="N21" s="31">
        <v>0.75</v>
      </c>
      <c r="O21" s="32">
        <f t="shared" si="0"/>
        <v>69975</v>
      </c>
      <c r="P21" s="28" t="s">
        <v>16</v>
      </c>
    </row>
    <row r="22" spans="1:16" x14ac:dyDescent="0.35">
      <c r="A22" s="45" t="s">
        <v>1034</v>
      </c>
      <c r="B22" s="12">
        <f t="shared" ref="B22:C22" si="20">B21</f>
        <v>46104</v>
      </c>
      <c r="C22" s="12">
        <f t="shared" si="20"/>
        <v>46113</v>
      </c>
      <c r="D22" s="25">
        <v>3259</v>
      </c>
      <c r="E22" s="25">
        <v>333</v>
      </c>
      <c r="F22" s="25">
        <v>3</v>
      </c>
      <c r="G22" s="25">
        <v>6</v>
      </c>
      <c r="H22" s="25"/>
      <c r="I22" s="25" t="s">
        <v>17</v>
      </c>
      <c r="J22" s="69">
        <v>26772683</v>
      </c>
      <c r="K22" s="25" t="s">
        <v>338</v>
      </c>
      <c r="L22" s="25" t="s">
        <v>498</v>
      </c>
      <c r="M22" s="62">
        <v>279900</v>
      </c>
      <c r="N22" s="31">
        <v>0.75</v>
      </c>
      <c r="O22" s="32">
        <f t="shared" si="0"/>
        <v>69975</v>
      </c>
      <c r="P22" s="28" t="s">
        <v>16</v>
      </c>
    </row>
    <row r="23" spans="1:16" x14ac:dyDescent="0.35">
      <c r="A23" s="45" t="s">
        <v>1034</v>
      </c>
      <c r="B23" s="12">
        <f t="shared" ref="B23:C23" si="21">B22</f>
        <v>46104</v>
      </c>
      <c r="C23" s="12">
        <f t="shared" si="21"/>
        <v>46113</v>
      </c>
      <c r="D23" s="25">
        <v>3259</v>
      </c>
      <c r="E23" s="25">
        <v>333</v>
      </c>
      <c r="F23" s="25">
        <v>3</v>
      </c>
      <c r="G23" s="25">
        <v>6</v>
      </c>
      <c r="H23" s="25"/>
      <c r="I23" s="25" t="s">
        <v>17</v>
      </c>
      <c r="J23" s="69">
        <v>26772692</v>
      </c>
      <c r="K23" s="25" t="s">
        <v>338</v>
      </c>
      <c r="L23" s="25" t="s">
        <v>499</v>
      </c>
      <c r="M23" s="62">
        <v>279900</v>
      </c>
      <c r="N23" s="31">
        <v>0.75</v>
      </c>
      <c r="O23" s="32">
        <f t="shared" si="0"/>
        <v>69975</v>
      </c>
      <c r="P23" s="28" t="s">
        <v>16</v>
      </c>
    </row>
    <row r="24" spans="1:16" x14ac:dyDescent="0.35">
      <c r="A24" s="45" t="s">
        <v>1034</v>
      </c>
      <c r="B24" s="12">
        <f t="shared" ref="B24:C24" si="22">B23</f>
        <v>46104</v>
      </c>
      <c r="C24" s="12">
        <f t="shared" si="22"/>
        <v>46113</v>
      </c>
      <c r="D24" s="25">
        <v>3259</v>
      </c>
      <c r="E24" s="25">
        <v>333</v>
      </c>
      <c r="F24" s="25">
        <v>3</v>
      </c>
      <c r="G24" s="25">
        <v>6</v>
      </c>
      <c r="H24" s="25"/>
      <c r="I24" s="25" t="s">
        <v>17</v>
      </c>
      <c r="J24" s="69">
        <v>26772709</v>
      </c>
      <c r="K24" s="25" t="s">
        <v>338</v>
      </c>
      <c r="L24" s="25" t="s">
        <v>500</v>
      </c>
      <c r="M24" s="62">
        <v>279900</v>
      </c>
      <c r="N24" s="31">
        <v>0.75</v>
      </c>
      <c r="O24" s="32">
        <f t="shared" si="0"/>
        <v>69975</v>
      </c>
      <c r="P24" s="28" t="s">
        <v>16</v>
      </c>
    </row>
    <row r="25" spans="1:16" x14ac:dyDescent="0.35">
      <c r="A25" s="45" t="s">
        <v>1034</v>
      </c>
      <c r="B25" s="12">
        <f t="shared" ref="B25:C25" si="23">B24</f>
        <v>46104</v>
      </c>
      <c r="C25" s="12">
        <f t="shared" si="23"/>
        <v>46113</v>
      </c>
      <c r="D25" s="25">
        <v>3259</v>
      </c>
      <c r="E25" s="25">
        <v>333</v>
      </c>
      <c r="F25" s="25">
        <v>3</v>
      </c>
      <c r="G25" s="25">
        <v>6</v>
      </c>
      <c r="H25" s="25"/>
      <c r="I25" s="25" t="s">
        <v>17</v>
      </c>
      <c r="J25" s="69">
        <v>26772718</v>
      </c>
      <c r="K25" s="25" t="s">
        <v>338</v>
      </c>
      <c r="L25" s="25" t="s">
        <v>501</v>
      </c>
      <c r="M25" s="62">
        <v>279900</v>
      </c>
      <c r="N25" s="31">
        <v>0.75</v>
      </c>
      <c r="O25" s="32">
        <f t="shared" si="0"/>
        <v>69975</v>
      </c>
      <c r="P25" s="28" t="s">
        <v>16</v>
      </c>
    </row>
    <row r="26" spans="1:16" x14ac:dyDescent="0.35">
      <c r="A26" s="45" t="s">
        <v>1034</v>
      </c>
      <c r="B26" s="12">
        <f t="shared" ref="B26:C26" si="24">B25</f>
        <v>46104</v>
      </c>
      <c r="C26" s="12">
        <f t="shared" si="24"/>
        <v>46113</v>
      </c>
      <c r="D26" s="25">
        <v>3259</v>
      </c>
      <c r="E26" s="25">
        <v>333</v>
      </c>
      <c r="F26" s="25">
        <v>3</v>
      </c>
      <c r="G26" s="25">
        <v>6</v>
      </c>
      <c r="H26" s="25"/>
      <c r="I26" s="25" t="s">
        <v>17</v>
      </c>
      <c r="J26" s="69">
        <v>26772727</v>
      </c>
      <c r="K26" s="25" t="s">
        <v>338</v>
      </c>
      <c r="L26" s="25" t="s">
        <v>502</v>
      </c>
      <c r="M26" s="62">
        <v>279900</v>
      </c>
      <c r="N26" s="31">
        <v>0.75</v>
      </c>
      <c r="O26" s="32">
        <f t="shared" si="0"/>
        <v>69975</v>
      </c>
      <c r="P26" s="28" t="s">
        <v>16</v>
      </c>
    </row>
    <row r="27" spans="1:16" x14ac:dyDescent="0.35">
      <c r="A27" s="45" t="s">
        <v>1034</v>
      </c>
      <c r="B27" s="12">
        <f t="shared" ref="B27:C27" si="25">B26</f>
        <v>46104</v>
      </c>
      <c r="C27" s="12">
        <f t="shared" si="25"/>
        <v>46113</v>
      </c>
      <c r="D27" s="25">
        <v>3259</v>
      </c>
      <c r="E27" s="25">
        <v>333</v>
      </c>
      <c r="F27" s="25">
        <v>3</v>
      </c>
      <c r="G27" s="25">
        <v>6</v>
      </c>
      <c r="H27" s="25"/>
      <c r="I27" s="25" t="s">
        <v>17</v>
      </c>
      <c r="J27" s="69">
        <v>26772736</v>
      </c>
      <c r="K27" s="25" t="s">
        <v>338</v>
      </c>
      <c r="L27" s="25" t="s">
        <v>503</v>
      </c>
      <c r="M27" s="62">
        <v>279900</v>
      </c>
      <c r="N27" s="31">
        <v>0.75</v>
      </c>
      <c r="O27" s="32">
        <f t="shared" si="0"/>
        <v>69975</v>
      </c>
      <c r="P27" s="28" t="s">
        <v>16</v>
      </c>
    </row>
    <row r="28" spans="1:16" x14ac:dyDescent="0.35">
      <c r="A28" s="45" t="s">
        <v>1034</v>
      </c>
      <c r="B28" s="12">
        <f t="shared" ref="B28:C28" si="26">B27</f>
        <v>46104</v>
      </c>
      <c r="C28" s="12">
        <f t="shared" si="26"/>
        <v>46113</v>
      </c>
      <c r="D28" s="25">
        <v>3259</v>
      </c>
      <c r="E28" s="25">
        <v>333</v>
      </c>
      <c r="F28" s="25">
        <v>3</v>
      </c>
      <c r="G28" s="25">
        <v>6</v>
      </c>
      <c r="H28" s="25"/>
      <c r="I28" s="25" t="s">
        <v>17</v>
      </c>
      <c r="J28" s="69">
        <v>26772745</v>
      </c>
      <c r="K28" s="25" t="s">
        <v>338</v>
      </c>
      <c r="L28" s="25" t="s">
        <v>504</v>
      </c>
      <c r="M28" s="62">
        <v>279900</v>
      </c>
      <c r="N28" s="31">
        <v>0.75</v>
      </c>
      <c r="O28" s="32">
        <f t="shared" si="0"/>
        <v>69975</v>
      </c>
      <c r="P28" s="28" t="s">
        <v>16</v>
      </c>
    </row>
    <row r="29" spans="1:16" x14ac:dyDescent="0.35">
      <c r="A29" s="45" t="s">
        <v>1034</v>
      </c>
      <c r="B29" s="12">
        <f t="shared" ref="B29:C29" si="27">B28</f>
        <v>46104</v>
      </c>
      <c r="C29" s="12">
        <f t="shared" si="27"/>
        <v>46113</v>
      </c>
      <c r="D29" s="25">
        <v>3259</v>
      </c>
      <c r="E29" s="25">
        <v>333</v>
      </c>
      <c r="F29" s="25">
        <v>3</v>
      </c>
      <c r="G29" s="25">
        <v>6</v>
      </c>
      <c r="H29" s="25"/>
      <c r="I29" s="25" t="s">
        <v>17</v>
      </c>
      <c r="J29" s="69">
        <v>26772754</v>
      </c>
      <c r="K29" s="25" t="s">
        <v>338</v>
      </c>
      <c r="L29" s="25" t="s">
        <v>505</v>
      </c>
      <c r="M29" s="62">
        <v>279900</v>
      </c>
      <c r="N29" s="31">
        <v>0.75</v>
      </c>
      <c r="O29" s="32">
        <f t="shared" si="0"/>
        <v>69975</v>
      </c>
      <c r="P29" s="28" t="s">
        <v>16</v>
      </c>
    </row>
    <row r="30" spans="1:16" x14ac:dyDescent="0.35">
      <c r="A30" s="45" t="s">
        <v>1034</v>
      </c>
      <c r="B30" s="12">
        <f t="shared" ref="B30:C30" si="28">B29</f>
        <v>46104</v>
      </c>
      <c r="C30" s="12">
        <f t="shared" si="28"/>
        <v>46113</v>
      </c>
      <c r="D30" s="25">
        <v>3259</v>
      </c>
      <c r="E30" s="25">
        <v>333</v>
      </c>
      <c r="F30" s="25">
        <v>3</v>
      </c>
      <c r="G30" s="25">
        <v>6</v>
      </c>
      <c r="H30" s="25"/>
      <c r="I30" s="25" t="s">
        <v>17</v>
      </c>
      <c r="J30" s="69">
        <v>26773084</v>
      </c>
      <c r="K30" s="25" t="s">
        <v>338</v>
      </c>
      <c r="L30" s="25" t="s">
        <v>506</v>
      </c>
      <c r="M30" s="62">
        <v>279900</v>
      </c>
      <c r="N30" s="31">
        <v>0.75</v>
      </c>
      <c r="O30" s="32">
        <f t="shared" si="0"/>
        <v>69975</v>
      </c>
      <c r="P30" s="28" t="s">
        <v>16</v>
      </c>
    </row>
    <row r="31" spans="1:16" x14ac:dyDescent="0.35">
      <c r="A31" s="45" t="s">
        <v>1034</v>
      </c>
      <c r="B31" s="12">
        <f t="shared" ref="B31:C31" si="29">B30</f>
        <v>46104</v>
      </c>
      <c r="C31" s="12">
        <f t="shared" si="29"/>
        <v>46113</v>
      </c>
      <c r="D31" s="25">
        <v>3259</v>
      </c>
      <c r="E31" s="25">
        <v>333</v>
      </c>
      <c r="F31" s="25">
        <v>3</v>
      </c>
      <c r="G31" s="25">
        <v>6</v>
      </c>
      <c r="H31" s="25"/>
      <c r="I31" s="25" t="s">
        <v>17</v>
      </c>
      <c r="J31" s="69">
        <v>26773093</v>
      </c>
      <c r="K31" s="25" t="s">
        <v>338</v>
      </c>
      <c r="L31" s="25" t="s">
        <v>507</v>
      </c>
      <c r="M31" s="62">
        <v>279900</v>
      </c>
      <c r="N31" s="31">
        <v>0.75</v>
      </c>
      <c r="O31" s="32">
        <f t="shared" si="0"/>
        <v>69975</v>
      </c>
      <c r="P31" s="28" t="s">
        <v>16</v>
      </c>
    </row>
    <row r="32" spans="1:16" x14ac:dyDescent="0.35">
      <c r="A32" s="45" t="s">
        <v>1034</v>
      </c>
      <c r="B32" s="12">
        <f t="shared" ref="B32:C32" si="30">B31</f>
        <v>46104</v>
      </c>
      <c r="C32" s="12">
        <f t="shared" si="30"/>
        <v>46113</v>
      </c>
      <c r="D32" s="25">
        <v>3259</v>
      </c>
      <c r="E32" s="25">
        <v>333</v>
      </c>
      <c r="F32" s="25">
        <v>3</v>
      </c>
      <c r="G32" s="25">
        <v>6</v>
      </c>
      <c r="H32" s="25"/>
      <c r="I32" s="25" t="s">
        <v>17</v>
      </c>
      <c r="J32" s="69">
        <v>26773100</v>
      </c>
      <c r="K32" s="25" t="s">
        <v>338</v>
      </c>
      <c r="L32" s="25" t="s">
        <v>508</v>
      </c>
      <c r="M32" s="62">
        <v>279900</v>
      </c>
      <c r="N32" s="31">
        <v>0.75</v>
      </c>
      <c r="O32" s="32">
        <f t="shared" si="0"/>
        <v>69975</v>
      </c>
      <c r="P32" s="28" t="s">
        <v>16</v>
      </c>
    </row>
    <row r="33" spans="1:16" x14ac:dyDescent="0.35">
      <c r="A33" s="45" t="s">
        <v>1034</v>
      </c>
      <c r="B33" s="12">
        <f t="shared" ref="B33:C33" si="31">B32</f>
        <v>46104</v>
      </c>
      <c r="C33" s="12">
        <f t="shared" si="31"/>
        <v>46113</v>
      </c>
      <c r="D33" s="25">
        <v>3259</v>
      </c>
      <c r="E33" s="25">
        <v>333</v>
      </c>
      <c r="F33" s="25">
        <v>3</v>
      </c>
      <c r="G33" s="25">
        <v>6</v>
      </c>
      <c r="H33" s="25"/>
      <c r="I33" s="25" t="s">
        <v>17</v>
      </c>
      <c r="J33" s="69">
        <v>26773119</v>
      </c>
      <c r="K33" s="25" t="s">
        <v>338</v>
      </c>
      <c r="L33" s="25" t="s">
        <v>509</v>
      </c>
      <c r="M33" s="62">
        <v>279900</v>
      </c>
      <c r="N33" s="31">
        <v>0.75</v>
      </c>
      <c r="O33" s="32">
        <f t="shared" si="0"/>
        <v>69975</v>
      </c>
      <c r="P33" s="28" t="s">
        <v>16</v>
      </c>
    </row>
    <row r="34" spans="1:16" x14ac:dyDescent="0.35">
      <c r="A34" s="45" t="s">
        <v>1034</v>
      </c>
      <c r="B34" s="12">
        <f t="shared" ref="B34:C34" si="32">B33</f>
        <v>46104</v>
      </c>
      <c r="C34" s="12">
        <f t="shared" si="32"/>
        <v>46113</v>
      </c>
      <c r="D34" s="25">
        <v>3259</v>
      </c>
      <c r="E34" s="25">
        <v>333</v>
      </c>
      <c r="F34" s="25">
        <v>3</v>
      </c>
      <c r="G34" s="25">
        <v>6</v>
      </c>
      <c r="H34" s="25"/>
      <c r="I34" s="25" t="s">
        <v>17</v>
      </c>
      <c r="J34" s="69">
        <v>26782636</v>
      </c>
      <c r="K34" s="25" t="s">
        <v>48</v>
      </c>
      <c r="L34" s="25" t="s">
        <v>492</v>
      </c>
      <c r="M34" s="62">
        <v>279900</v>
      </c>
      <c r="N34" s="31">
        <v>0.75</v>
      </c>
      <c r="O34" s="32">
        <f t="shared" ref="O34:O65" si="33">M34-(M34*N34)</f>
        <v>69975</v>
      </c>
      <c r="P34" s="28" t="s">
        <v>16</v>
      </c>
    </row>
    <row r="35" spans="1:16" x14ac:dyDescent="0.35">
      <c r="A35" s="45" t="s">
        <v>1034</v>
      </c>
      <c r="B35" s="12">
        <f t="shared" ref="B35:C35" si="34">B34</f>
        <v>46104</v>
      </c>
      <c r="C35" s="12">
        <f t="shared" si="34"/>
        <v>46113</v>
      </c>
      <c r="D35" s="25">
        <v>3259</v>
      </c>
      <c r="E35" s="25">
        <v>333</v>
      </c>
      <c r="F35" s="25">
        <v>3</v>
      </c>
      <c r="G35" s="25">
        <v>6</v>
      </c>
      <c r="H35" s="25"/>
      <c r="I35" s="25" t="s">
        <v>17</v>
      </c>
      <c r="J35" s="69">
        <v>26783046</v>
      </c>
      <c r="K35" s="25" t="s">
        <v>48</v>
      </c>
      <c r="L35" s="25" t="s">
        <v>493</v>
      </c>
      <c r="M35" s="62">
        <v>279900</v>
      </c>
      <c r="N35" s="31">
        <v>0.75</v>
      </c>
      <c r="O35" s="32">
        <f t="shared" si="33"/>
        <v>69975</v>
      </c>
      <c r="P35" s="28" t="s">
        <v>16</v>
      </c>
    </row>
    <row r="36" spans="1:16" x14ac:dyDescent="0.35">
      <c r="A36" s="45" t="s">
        <v>1034</v>
      </c>
      <c r="B36" s="12">
        <f t="shared" ref="B36:C36" si="35">B35</f>
        <v>46104</v>
      </c>
      <c r="C36" s="12">
        <f t="shared" si="35"/>
        <v>46113</v>
      </c>
      <c r="D36" s="25">
        <v>3259</v>
      </c>
      <c r="E36" s="25">
        <v>333</v>
      </c>
      <c r="F36" s="25">
        <v>3</v>
      </c>
      <c r="G36" s="25">
        <v>6</v>
      </c>
      <c r="H36" s="25"/>
      <c r="I36" s="25" t="s">
        <v>17</v>
      </c>
      <c r="J36" s="69">
        <v>26784536</v>
      </c>
      <c r="K36" s="25" t="s">
        <v>48</v>
      </c>
      <c r="L36" s="25" t="s">
        <v>494</v>
      </c>
      <c r="M36" s="62">
        <v>279900</v>
      </c>
      <c r="N36" s="31">
        <v>0.75</v>
      </c>
      <c r="O36" s="32">
        <f t="shared" si="33"/>
        <v>69975</v>
      </c>
      <c r="P36" s="28" t="s">
        <v>16</v>
      </c>
    </row>
    <row r="37" spans="1:16" x14ac:dyDescent="0.35">
      <c r="A37" s="45" t="s">
        <v>1034</v>
      </c>
      <c r="B37" s="12">
        <f t="shared" ref="B37:C37" si="36">B36</f>
        <v>46104</v>
      </c>
      <c r="C37" s="12">
        <f t="shared" si="36"/>
        <v>46113</v>
      </c>
      <c r="D37" s="25">
        <v>3259</v>
      </c>
      <c r="E37" s="25">
        <v>333</v>
      </c>
      <c r="F37" s="25">
        <v>3</v>
      </c>
      <c r="G37" s="25">
        <v>6</v>
      </c>
      <c r="H37" s="25"/>
      <c r="I37" s="25" t="s">
        <v>17</v>
      </c>
      <c r="J37" s="69">
        <v>26784545</v>
      </c>
      <c r="K37" s="25" t="s">
        <v>48</v>
      </c>
      <c r="L37" s="25" t="s">
        <v>495</v>
      </c>
      <c r="M37" s="62">
        <v>279900</v>
      </c>
      <c r="N37" s="31">
        <v>0.75</v>
      </c>
      <c r="O37" s="32">
        <f t="shared" si="33"/>
        <v>69975</v>
      </c>
      <c r="P37" s="28" t="s">
        <v>16</v>
      </c>
    </row>
    <row r="38" spans="1:16" x14ac:dyDescent="0.35">
      <c r="A38" s="45" t="s">
        <v>1034</v>
      </c>
      <c r="B38" s="12">
        <f t="shared" ref="B38:C38" si="37">B37</f>
        <v>46104</v>
      </c>
      <c r="C38" s="12">
        <f t="shared" si="37"/>
        <v>46113</v>
      </c>
      <c r="D38" s="25">
        <v>3259</v>
      </c>
      <c r="E38" s="25">
        <v>333</v>
      </c>
      <c r="F38" s="25">
        <v>3</v>
      </c>
      <c r="G38" s="25">
        <v>6</v>
      </c>
      <c r="H38" s="25"/>
      <c r="I38" s="25" t="s">
        <v>17</v>
      </c>
      <c r="J38" s="69">
        <v>26785133</v>
      </c>
      <c r="K38" s="25" t="s">
        <v>48</v>
      </c>
      <c r="L38" s="25" t="s">
        <v>496</v>
      </c>
      <c r="M38" s="62">
        <v>279900</v>
      </c>
      <c r="N38" s="31">
        <v>0.75</v>
      </c>
      <c r="O38" s="32">
        <f t="shared" si="33"/>
        <v>69975</v>
      </c>
      <c r="P38" s="28" t="s">
        <v>16</v>
      </c>
    </row>
    <row r="39" spans="1:16" x14ac:dyDescent="0.35">
      <c r="A39" s="45" t="s">
        <v>1034</v>
      </c>
      <c r="B39" s="12">
        <f t="shared" ref="B39:C39" si="38">B38</f>
        <v>46104</v>
      </c>
      <c r="C39" s="12">
        <f t="shared" si="38"/>
        <v>46113</v>
      </c>
      <c r="D39" s="25">
        <v>3259</v>
      </c>
      <c r="E39" s="25">
        <v>333</v>
      </c>
      <c r="F39" s="25">
        <v>3</v>
      </c>
      <c r="G39" s="25">
        <v>6</v>
      </c>
      <c r="H39" s="25"/>
      <c r="I39" s="25" t="s">
        <v>17</v>
      </c>
      <c r="J39" s="69">
        <v>26785142</v>
      </c>
      <c r="K39" s="25" t="s">
        <v>48</v>
      </c>
      <c r="L39" s="25" t="s">
        <v>497</v>
      </c>
      <c r="M39" s="62">
        <v>279900</v>
      </c>
      <c r="N39" s="31">
        <v>0.75</v>
      </c>
      <c r="O39" s="32">
        <f t="shared" si="33"/>
        <v>69975</v>
      </c>
      <c r="P39" s="28" t="s">
        <v>16</v>
      </c>
    </row>
    <row r="40" spans="1:16" x14ac:dyDescent="0.35">
      <c r="A40" s="45" t="s">
        <v>1034</v>
      </c>
      <c r="B40" s="12">
        <f t="shared" ref="B40:C40" si="39">B39</f>
        <v>46104</v>
      </c>
      <c r="C40" s="12">
        <f t="shared" si="39"/>
        <v>46113</v>
      </c>
      <c r="D40" s="25">
        <v>3259</v>
      </c>
      <c r="E40" s="25">
        <v>333</v>
      </c>
      <c r="F40" s="25">
        <v>3</v>
      </c>
      <c r="G40" s="25">
        <v>6</v>
      </c>
      <c r="H40" s="25"/>
      <c r="I40" s="25" t="s">
        <v>17</v>
      </c>
      <c r="J40" s="69">
        <v>26789184</v>
      </c>
      <c r="K40" s="25" t="s">
        <v>339</v>
      </c>
      <c r="L40" s="25" t="s">
        <v>522</v>
      </c>
      <c r="M40" s="62">
        <v>279900</v>
      </c>
      <c r="N40" s="31">
        <v>0.75</v>
      </c>
      <c r="O40" s="32">
        <f t="shared" si="33"/>
        <v>69975</v>
      </c>
      <c r="P40" s="28" t="s">
        <v>16</v>
      </c>
    </row>
    <row r="41" spans="1:16" x14ac:dyDescent="0.35">
      <c r="A41" s="45" t="s">
        <v>1034</v>
      </c>
      <c r="B41" s="12">
        <f t="shared" ref="B41:C41" si="40">B40</f>
        <v>46104</v>
      </c>
      <c r="C41" s="12">
        <f t="shared" si="40"/>
        <v>46113</v>
      </c>
      <c r="D41" s="25">
        <v>3259</v>
      </c>
      <c r="E41" s="25">
        <v>333</v>
      </c>
      <c r="F41" s="25">
        <v>3</v>
      </c>
      <c r="G41" s="25">
        <v>6</v>
      </c>
      <c r="H41" s="25"/>
      <c r="I41" s="25" t="s">
        <v>17</v>
      </c>
      <c r="J41" s="69">
        <v>26789193</v>
      </c>
      <c r="K41" s="25" t="s">
        <v>339</v>
      </c>
      <c r="L41" s="25" t="s">
        <v>523</v>
      </c>
      <c r="M41" s="62">
        <v>279900</v>
      </c>
      <c r="N41" s="31">
        <v>0.75</v>
      </c>
      <c r="O41" s="32">
        <f t="shared" si="33"/>
        <v>69975</v>
      </c>
      <c r="P41" s="28" t="s">
        <v>16</v>
      </c>
    </row>
    <row r="42" spans="1:16" x14ac:dyDescent="0.35">
      <c r="A42" s="45" t="s">
        <v>1034</v>
      </c>
      <c r="B42" s="12">
        <f t="shared" ref="B42:C42" si="41">B41</f>
        <v>46104</v>
      </c>
      <c r="C42" s="12">
        <f t="shared" si="41"/>
        <v>46113</v>
      </c>
      <c r="D42" s="25">
        <v>3259</v>
      </c>
      <c r="E42" s="25">
        <v>333</v>
      </c>
      <c r="F42" s="25">
        <v>3</v>
      </c>
      <c r="G42" s="25">
        <v>6</v>
      </c>
      <c r="H42" s="25"/>
      <c r="I42" s="25" t="s">
        <v>17</v>
      </c>
      <c r="J42" s="69">
        <v>26789200</v>
      </c>
      <c r="K42" s="25" t="s">
        <v>339</v>
      </c>
      <c r="L42" s="25" t="s">
        <v>524</v>
      </c>
      <c r="M42" s="62">
        <v>279900</v>
      </c>
      <c r="N42" s="31">
        <v>0.75</v>
      </c>
      <c r="O42" s="32">
        <f t="shared" si="33"/>
        <v>69975</v>
      </c>
      <c r="P42" s="28" t="s">
        <v>16</v>
      </c>
    </row>
    <row r="43" spans="1:16" x14ac:dyDescent="0.35">
      <c r="A43" s="45" t="s">
        <v>1034</v>
      </c>
      <c r="B43" s="12">
        <f t="shared" ref="B43:C43" si="42">B42</f>
        <v>46104</v>
      </c>
      <c r="C43" s="12">
        <f t="shared" si="42"/>
        <v>46113</v>
      </c>
      <c r="D43" s="25">
        <v>3259</v>
      </c>
      <c r="E43" s="25">
        <v>333</v>
      </c>
      <c r="F43" s="25">
        <v>3</v>
      </c>
      <c r="G43" s="25">
        <v>6</v>
      </c>
      <c r="H43" s="25"/>
      <c r="I43" s="25" t="s">
        <v>17</v>
      </c>
      <c r="J43" s="69">
        <v>26789219</v>
      </c>
      <c r="K43" s="25" t="s">
        <v>339</v>
      </c>
      <c r="L43" s="25" t="s">
        <v>525</v>
      </c>
      <c r="M43" s="62">
        <v>279900</v>
      </c>
      <c r="N43" s="31">
        <v>0.75</v>
      </c>
      <c r="O43" s="32">
        <f t="shared" si="33"/>
        <v>69975</v>
      </c>
      <c r="P43" s="28" t="s">
        <v>16</v>
      </c>
    </row>
    <row r="44" spans="1:16" x14ac:dyDescent="0.35">
      <c r="A44" s="45" t="s">
        <v>1034</v>
      </c>
      <c r="B44" s="12">
        <f t="shared" ref="B44:C44" si="43">B43</f>
        <v>46104</v>
      </c>
      <c r="C44" s="12">
        <f t="shared" si="43"/>
        <v>46113</v>
      </c>
      <c r="D44" s="25">
        <v>3259</v>
      </c>
      <c r="E44" s="25">
        <v>333</v>
      </c>
      <c r="F44" s="25">
        <v>3</v>
      </c>
      <c r="G44" s="25">
        <v>6</v>
      </c>
      <c r="H44" s="25"/>
      <c r="I44" s="25" t="s">
        <v>17</v>
      </c>
      <c r="J44" s="69">
        <v>26789228</v>
      </c>
      <c r="K44" s="25" t="s">
        <v>339</v>
      </c>
      <c r="L44" s="25" t="s">
        <v>526</v>
      </c>
      <c r="M44" s="62">
        <v>279900</v>
      </c>
      <c r="N44" s="31">
        <v>0.75</v>
      </c>
      <c r="O44" s="32">
        <f t="shared" si="33"/>
        <v>69975</v>
      </c>
      <c r="P44" s="28" t="s">
        <v>16</v>
      </c>
    </row>
    <row r="45" spans="1:16" x14ac:dyDescent="0.35">
      <c r="A45" s="45" t="s">
        <v>1034</v>
      </c>
      <c r="B45" s="12">
        <f t="shared" ref="B45:C45" si="44">B44</f>
        <v>46104</v>
      </c>
      <c r="C45" s="12">
        <f t="shared" si="44"/>
        <v>46113</v>
      </c>
      <c r="D45" s="25">
        <v>3259</v>
      </c>
      <c r="E45" s="25">
        <v>333</v>
      </c>
      <c r="F45" s="25">
        <v>3</v>
      </c>
      <c r="G45" s="25">
        <v>6</v>
      </c>
      <c r="H45" s="25"/>
      <c r="I45" s="25" t="s">
        <v>17</v>
      </c>
      <c r="J45" s="69">
        <v>26789237</v>
      </c>
      <c r="K45" s="25" t="s">
        <v>339</v>
      </c>
      <c r="L45" s="25" t="s">
        <v>527</v>
      </c>
      <c r="M45" s="62">
        <v>279900</v>
      </c>
      <c r="N45" s="31">
        <v>0.75</v>
      </c>
      <c r="O45" s="32">
        <f t="shared" si="33"/>
        <v>69975</v>
      </c>
      <c r="P45" s="28" t="s">
        <v>16</v>
      </c>
    </row>
    <row r="46" spans="1:16" x14ac:dyDescent="0.35">
      <c r="A46" s="45" t="s">
        <v>1034</v>
      </c>
      <c r="B46" s="12">
        <f t="shared" ref="B46:C46" si="45">B45</f>
        <v>46104</v>
      </c>
      <c r="C46" s="12">
        <f t="shared" si="45"/>
        <v>46113</v>
      </c>
      <c r="D46" s="25">
        <v>3259</v>
      </c>
      <c r="E46" s="25">
        <v>333</v>
      </c>
      <c r="F46" s="25">
        <v>3</v>
      </c>
      <c r="G46" s="25">
        <v>6</v>
      </c>
      <c r="H46" s="25"/>
      <c r="I46" s="25" t="s">
        <v>17</v>
      </c>
      <c r="J46" s="69">
        <v>26789246</v>
      </c>
      <c r="K46" s="25" t="s">
        <v>339</v>
      </c>
      <c r="L46" s="25" t="s">
        <v>528</v>
      </c>
      <c r="M46" s="62">
        <v>279900</v>
      </c>
      <c r="N46" s="31">
        <v>0.75</v>
      </c>
      <c r="O46" s="32">
        <f t="shared" si="33"/>
        <v>69975</v>
      </c>
      <c r="P46" s="28" t="s">
        <v>16</v>
      </c>
    </row>
    <row r="47" spans="1:16" x14ac:dyDescent="0.35">
      <c r="A47" s="45" t="s">
        <v>1034</v>
      </c>
      <c r="B47" s="12">
        <f t="shared" ref="B47:C47" si="46">B46</f>
        <v>46104</v>
      </c>
      <c r="C47" s="12">
        <f t="shared" si="46"/>
        <v>46113</v>
      </c>
      <c r="D47" s="25">
        <v>3259</v>
      </c>
      <c r="E47" s="25">
        <v>333</v>
      </c>
      <c r="F47" s="25">
        <v>3</v>
      </c>
      <c r="G47" s="25">
        <v>6</v>
      </c>
      <c r="H47" s="25"/>
      <c r="I47" s="25" t="s">
        <v>17</v>
      </c>
      <c r="J47" s="69">
        <v>26789853</v>
      </c>
      <c r="K47" s="25" t="s">
        <v>339</v>
      </c>
      <c r="L47" s="25" t="s">
        <v>529</v>
      </c>
      <c r="M47" s="62">
        <v>279900</v>
      </c>
      <c r="N47" s="31">
        <v>0.75</v>
      </c>
      <c r="O47" s="32">
        <f t="shared" si="33"/>
        <v>69975</v>
      </c>
      <c r="P47" s="28" t="s">
        <v>16</v>
      </c>
    </row>
    <row r="48" spans="1:16" x14ac:dyDescent="0.35">
      <c r="A48" s="45" t="s">
        <v>1034</v>
      </c>
      <c r="B48" s="12">
        <f t="shared" ref="B48:C48" si="47">B47</f>
        <v>46104</v>
      </c>
      <c r="C48" s="12">
        <f t="shared" si="47"/>
        <v>46113</v>
      </c>
      <c r="D48" s="25">
        <v>3259</v>
      </c>
      <c r="E48" s="25">
        <v>333</v>
      </c>
      <c r="F48" s="25">
        <v>3</v>
      </c>
      <c r="G48" s="25">
        <v>6</v>
      </c>
      <c r="H48" s="25"/>
      <c r="I48" s="25" t="s">
        <v>17</v>
      </c>
      <c r="J48" s="69">
        <v>26790074</v>
      </c>
      <c r="K48" s="25" t="s">
        <v>339</v>
      </c>
      <c r="L48" s="25" t="s">
        <v>530</v>
      </c>
      <c r="M48" s="62">
        <v>279900</v>
      </c>
      <c r="N48" s="31">
        <v>0.75</v>
      </c>
      <c r="O48" s="32">
        <f t="shared" si="33"/>
        <v>69975</v>
      </c>
      <c r="P48" s="28" t="s">
        <v>16</v>
      </c>
    </row>
    <row r="49" spans="1:16" x14ac:dyDescent="0.35">
      <c r="A49" s="45" t="s">
        <v>1034</v>
      </c>
      <c r="B49" s="12">
        <f t="shared" ref="B49:C49" si="48">B48</f>
        <v>46104</v>
      </c>
      <c r="C49" s="12">
        <f t="shared" si="48"/>
        <v>46113</v>
      </c>
      <c r="D49" s="25">
        <v>3259</v>
      </c>
      <c r="E49" s="25">
        <v>333</v>
      </c>
      <c r="F49" s="25">
        <v>3</v>
      </c>
      <c r="G49" s="25">
        <v>6</v>
      </c>
      <c r="H49" s="25"/>
      <c r="I49" s="25" t="s">
        <v>17</v>
      </c>
      <c r="J49" s="69">
        <v>26790083</v>
      </c>
      <c r="K49" s="25" t="s">
        <v>339</v>
      </c>
      <c r="L49" s="25" t="s">
        <v>531</v>
      </c>
      <c r="M49" s="62">
        <v>279900</v>
      </c>
      <c r="N49" s="31">
        <v>0.75</v>
      </c>
      <c r="O49" s="32">
        <f t="shared" si="33"/>
        <v>69975</v>
      </c>
      <c r="P49" s="28" t="s">
        <v>16</v>
      </c>
    </row>
    <row r="50" spans="1:16" x14ac:dyDescent="0.35">
      <c r="A50" s="45" t="s">
        <v>1034</v>
      </c>
      <c r="B50" s="12">
        <f t="shared" ref="B50:C50" si="49">B49</f>
        <v>46104</v>
      </c>
      <c r="C50" s="12">
        <f t="shared" si="49"/>
        <v>46113</v>
      </c>
      <c r="D50" s="25">
        <v>3259</v>
      </c>
      <c r="E50" s="25">
        <v>333</v>
      </c>
      <c r="F50" s="25">
        <v>3</v>
      </c>
      <c r="G50" s="25">
        <v>6</v>
      </c>
      <c r="H50" s="25"/>
      <c r="I50" s="25" t="s">
        <v>17</v>
      </c>
      <c r="J50" s="69">
        <v>26790092</v>
      </c>
      <c r="K50" s="25" t="s">
        <v>339</v>
      </c>
      <c r="L50" s="25" t="s">
        <v>532</v>
      </c>
      <c r="M50" s="62">
        <v>279900</v>
      </c>
      <c r="N50" s="31">
        <v>0.75</v>
      </c>
      <c r="O50" s="32">
        <f t="shared" si="33"/>
        <v>69975</v>
      </c>
      <c r="P50" s="28" t="s">
        <v>16</v>
      </c>
    </row>
    <row r="51" spans="1:16" x14ac:dyDescent="0.35">
      <c r="A51" s="45" t="s">
        <v>1034</v>
      </c>
      <c r="B51" s="12">
        <f t="shared" ref="B51:C51" si="50">B50</f>
        <v>46104</v>
      </c>
      <c r="C51" s="12">
        <f t="shared" si="50"/>
        <v>46113</v>
      </c>
      <c r="D51" s="25">
        <v>3259</v>
      </c>
      <c r="E51" s="25">
        <v>333</v>
      </c>
      <c r="F51" s="25">
        <v>3</v>
      </c>
      <c r="G51" s="25">
        <v>6</v>
      </c>
      <c r="H51" s="25"/>
      <c r="I51" s="25" t="s">
        <v>17</v>
      </c>
      <c r="J51" s="69">
        <v>26790109</v>
      </c>
      <c r="K51" s="25" t="s">
        <v>339</v>
      </c>
      <c r="L51" s="25" t="s">
        <v>533</v>
      </c>
      <c r="M51" s="62">
        <v>279900</v>
      </c>
      <c r="N51" s="31">
        <v>0.75</v>
      </c>
      <c r="O51" s="32">
        <f t="shared" si="33"/>
        <v>69975</v>
      </c>
      <c r="P51" s="28" t="s">
        <v>16</v>
      </c>
    </row>
    <row r="52" spans="1:16" x14ac:dyDescent="0.35">
      <c r="A52" s="45" t="s">
        <v>1034</v>
      </c>
      <c r="B52" s="12">
        <f t="shared" ref="B52:C52" si="51">B51</f>
        <v>46104</v>
      </c>
      <c r="C52" s="12">
        <f t="shared" si="51"/>
        <v>46113</v>
      </c>
      <c r="D52" s="25">
        <v>3259</v>
      </c>
      <c r="E52" s="25">
        <v>333</v>
      </c>
      <c r="F52" s="25">
        <v>3</v>
      </c>
      <c r="G52" s="25">
        <v>6</v>
      </c>
      <c r="H52" s="25"/>
      <c r="I52" s="25" t="s">
        <v>17</v>
      </c>
      <c r="J52" s="69">
        <v>50386091</v>
      </c>
      <c r="K52" s="25" t="s">
        <v>342</v>
      </c>
      <c r="L52" s="25" t="s">
        <v>534</v>
      </c>
      <c r="M52" s="62">
        <v>279900</v>
      </c>
      <c r="N52" s="31">
        <v>0.75</v>
      </c>
      <c r="O52" s="32">
        <f t="shared" si="33"/>
        <v>69975</v>
      </c>
      <c r="P52" s="28" t="s">
        <v>16</v>
      </c>
    </row>
    <row r="53" spans="1:16" x14ac:dyDescent="0.35">
      <c r="A53" s="45" t="s">
        <v>1034</v>
      </c>
      <c r="B53" s="12">
        <f t="shared" ref="B53:C53" si="52">B52</f>
        <v>46104</v>
      </c>
      <c r="C53" s="12">
        <f t="shared" si="52"/>
        <v>46113</v>
      </c>
      <c r="D53" s="25">
        <v>3259</v>
      </c>
      <c r="E53" s="25">
        <v>333</v>
      </c>
      <c r="F53" s="25">
        <v>3</v>
      </c>
      <c r="G53" s="25">
        <v>6</v>
      </c>
      <c r="H53" s="25"/>
      <c r="I53" s="25" t="s">
        <v>17</v>
      </c>
      <c r="J53" s="69">
        <v>50386117</v>
      </c>
      <c r="K53" s="25" t="s">
        <v>342</v>
      </c>
      <c r="L53" s="25" t="s">
        <v>535</v>
      </c>
      <c r="M53" s="62">
        <v>279900</v>
      </c>
      <c r="N53" s="31">
        <v>0.75</v>
      </c>
      <c r="O53" s="32">
        <f t="shared" si="33"/>
        <v>69975</v>
      </c>
      <c r="P53" s="28" t="s">
        <v>16</v>
      </c>
    </row>
    <row r="54" spans="1:16" x14ac:dyDescent="0.35">
      <c r="A54" s="45" t="s">
        <v>1034</v>
      </c>
      <c r="B54" s="12">
        <f t="shared" ref="B54:C54" si="53">B53</f>
        <v>46104</v>
      </c>
      <c r="C54" s="12">
        <f t="shared" si="53"/>
        <v>46113</v>
      </c>
      <c r="D54" s="25">
        <v>3259</v>
      </c>
      <c r="E54" s="25">
        <v>333</v>
      </c>
      <c r="F54" s="25">
        <v>3</v>
      </c>
      <c r="G54" s="25">
        <v>6</v>
      </c>
      <c r="H54" s="25"/>
      <c r="I54" s="25" t="s">
        <v>17</v>
      </c>
      <c r="J54" s="69">
        <v>50386135</v>
      </c>
      <c r="K54" s="25" t="s">
        <v>342</v>
      </c>
      <c r="L54" s="25" t="s">
        <v>536</v>
      </c>
      <c r="M54" s="62">
        <v>279900</v>
      </c>
      <c r="N54" s="31">
        <v>0.75</v>
      </c>
      <c r="O54" s="32">
        <f t="shared" si="33"/>
        <v>69975</v>
      </c>
      <c r="P54" s="28" t="s">
        <v>16</v>
      </c>
    </row>
    <row r="55" spans="1:16" x14ac:dyDescent="0.35">
      <c r="A55" s="45" t="s">
        <v>1034</v>
      </c>
      <c r="B55" s="12">
        <f t="shared" ref="B55:C55" si="54">B54</f>
        <v>46104</v>
      </c>
      <c r="C55" s="12">
        <f t="shared" si="54"/>
        <v>46113</v>
      </c>
      <c r="D55" s="25">
        <v>3259</v>
      </c>
      <c r="E55" s="25">
        <v>333</v>
      </c>
      <c r="F55" s="25">
        <v>3</v>
      </c>
      <c r="G55" s="25">
        <v>6</v>
      </c>
      <c r="H55" s="25"/>
      <c r="I55" s="25" t="s">
        <v>17</v>
      </c>
      <c r="J55" s="69">
        <v>50386144</v>
      </c>
      <c r="K55" s="25" t="s">
        <v>342</v>
      </c>
      <c r="L55" s="25" t="s">
        <v>537</v>
      </c>
      <c r="M55" s="62">
        <v>279900</v>
      </c>
      <c r="N55" s="31">
        <v>0.75</v>
      </c>
      <c r="O55" s="32">
        <f t="shared" si="33"/>
        <v>69975</v>
      </c>
      <c r="P55" s="28" t="s">
        <v>16</v>
      </c>
    </row>
    <row r="56" spans="1:16" x14ac:dyDescent="0.35">
      <c r="A56" s="45" t="s">
        <v>1034</v>
      </c>
      <c r="B56" s="12">
        <f t="shared" ref="B56:C56" si="55">B55</f>
        <v>46104</v>
      </c>
      <c r="C56" s="12">
        <f t="shared" si="55"/>
        <v>46113</v>
      </c>
      <c r="D56" s="25">
        <v>3259</v>
      </c>
      <c r="E56" s="25">
        <v>333</v>
      </c>
      <c r="F56" s="25">
        <v>3</v>
      </c>
      <c r="G56" s="25">
        <v>6</v>
      </c>
      <c r="H56" s="25"/>
      <c r="I56" s="25" t="s">
        <v>17</v>
      </c>
      <c r="J56" s="69">
        <v>50386153</v>
      </c>
      <c r="K56" s="25" t="s">
        <v>342</v>
      </c>
      <c r="L56" s="25" t="s">
        <v>538</v>
      </c>
      <c r="M56" s="62">
        <v>279900</v>
      </c>
      <c r="N56" s="31">
        <v>0.75</v>
      </c>
      <c r="O56" s="32">
        <f t="shared" si="33"/>
        <v>69975</v>
      </c>
      <c r="P56" s="28" t="s">
        <v>16</v>
      </c>
    </row>
    <row r="57" spans="1:16" x14ac:dyDescent="0.35">
      <c r="A57" s="45" t="s">
        <v>1034</v>
      </c>
      <c r="B57" s="12">
        <f t="shared" ref="B57:C57" si="56">B56</f>
        <v>46104</v>
      </c>
      <c r="C57" s="12">
        <f t="shared" si="56"/>
        <v>46113</v>
      </c>
      <c r="D57" s="25">
        <v>3259</v>
      </c>
      <c r="E57" s="25">
        <v>333</v>
      </c>
      <c r="F57" s="25">
        <v>3</v>
      </c>
      <c r="G57" s="25">
        <v>6</v>
      </c>
      <c r="H57" s="25"/>
      <c r="I57" s="25" t="s">
        <v>17</v>
      </c>
      <c r="J57" s="69">
        <v>50386171</v>
      </c>
      <c r="K57" s="25" t="s">
        <v>342</v>
      </c>
      <c r="L57" s="25" t="s">
        <v>539</v>
      </c>
      <c r="M57" s="62">
        <v>279900</v>
      </c>
      <c r="N57" s="31">
        <v>0.75</v>
      </c>
      <c r="O57" s="32">
        <f t="shared" si="33"/>
        <v>69975</v>
      </c>
      <c r="P57" s="28" t="s">
        <v>16</v>
      </c>
    </row>
    <row r="58" spans="1:16" x14ac:dyDescent="0.35">
      <c r="A58" s="45" t="s">
        <v>1034</v>
      </c>
      <c r="B58" s="12">
        <f t="shared" ref="B58:C58" si="57">B57</f>
        <v>46104</v>
      </c>
      <c r="C58" s="12">
        <f t="shared" si="57"/>
        <v>46113</v>
      </c>
      <c r="D58" s="25">
        <v>3259</v>
      </c>
      <c r="E58" s="25">
        <v>333</v>
      </c>
      <c r="F58" s="25">
        <v>3</v>
      </c>
      <c r="G58" s="25">
        <v>6</v>
      </c>
      <c r="H58" s="25"/>
      <c r="I58" s="25" t="s">
        <v>17</v>
      </c>
      <c r="J58" s="25">
        <v>17123963</v>
      </c>
      <c r="K58" s="25" t="s">
        <v>204</v>
      </c>
      <c r="L58" s="25" t="s">
        <v>445</v>
      </c>
      <c r="M58" s="62">
        <v>369900</v>
      </c>
      <c r="N58" s="31">
        <v>0.75</v>
      </c>
      <c r="O58" s="32">
        <f t="shared" si="33"/>
        <v>92475</v>
      </c>
      <c r="P58" s="28" t="s">
        <v>16</v>
      </c>
    </row>
    <row r="59" spans="1:16" x14ac:dyDescent="0.35">
      <c r="A59" s="45" t="s">
        <v>1034</v>
      </c>
      <c r="B59" s="12">
        <f t="shared" ref="B59:C59" si="58">B58</f>
        <v>46104</v>
      </c>
      <c r="C59" s="12">
        <f t="shared" si="58"/>
        <v>46113</v>
      </c>
      <c r="D59" s="25">
        <v>3259</v>
      </c>
      <c r="E59" s="25">
        <v>333</v>
      </c>
      <c r="F59" s="25">
        <v>3</v>
      </c>
      <c r="G59" s="25">
        <v>6</v>
      </c>
      <c r="H59" s="25"/>
      <c r="I59" s="25" t="s">
        <v>17</v>
      </c>
      <c r="J59" s="25">
        <v>17123972</v>
      </c>
      <c r="K59" s="25" t="s">
        <v>204</v>
      </c>
      <c r="L59" s="25" t="s">
        <v>446</v>
      </c>
      <c r="M59" s="62">
        <v>369900</v>
      </c>
      <c r="N59" s="31">
        <v>0.75</v>
      </c>
      <c r="O59" s="32">
        <f t="shared" si="33"/>
        <v>92475</v>
      </c>
      <c r="P59" s="28" t="s">
        <v>16</v>
      </c>
    </row>
    <row r="60" spans="1:16" x14ac:dyDescent="0.35">
      <c r="A60" s="45" t="s">
        <v>1034</v>
      </c>
      <c r="B60" s="12">
        <f t="shared" ref="B60:C60" si="59">B59</f>
        <v>46104</v>
      </c>
      <c r="C60" s="12">
        <f t="shared" si="59"/>
        <v>46113</v>
      </c>
      <c r="D60" s="25">
        <v>3259</v>
      </c>
      <c r="E60" s="25">
        <v>333</v>
      </c>
      <c r="F60" s="25">
        <v>3</v>
      </c>
      <c r="G60" s="25">
        <v>6</v>
      </c>
      <c r="H60" s="25"/>
      <c r="I60" s="25" t="s">
        <v>17</v>
      </c>
      <c r="J60" s="25">
        <v>17123981</v>
      </c>
      <c r="K60" s="25" t="s">
        <v>204</v>
      </c>
      <c r="L60" s="25" t="s">
        <v>447</v>
      </c>
      <c r="M60" s="62">
        <v>369900</v>
      </c>
      <c r="N60" s="31">
        <v>0.75</v>
      </c>
      <c r="O60" s="32">
        <f t="shared" si="33"/>
        <v>92475</v>
      </c>
      <c r="P60" s="28" t="s">
        <v>16</v>
      </c>
    </row>
    <row r="61" spans="1:16" x14ac:dyDescent="0.35">
      <c r="A61" s="45" t="s">
        <v>1034</v>
      </c>
      <c r="B61" s="12">
        <f t="shared" ref="B61:C61" si="60">B60</f>
        <v>46104</v>
      </c>
      <c r="C61" s="12">
        <f t="shared" si="60"/>
        <v>46113</v>
      </c>
      <c r="D61" s="25">
        <v>3259</v>
      </c>
      <c r="E61" s="25">
        <v>333</v>
      </c>
      <c r="F61" s="25">
        <v>3</v>
      </c>
      <c r="G61" s="25">
        <v>6</v>
      </c>
      <c r="H61" s="25"/>
      <c r="I61" s="25" t="s">
        <v>17</v>
      </c>
      <c r="J61" s="25">
        <v>17123990</v>
      </c>
      <c r="K61" s="25" t="s">
        <v>204</v>
      </c>
      <c r="L61" s="25" t="s">
        <v>448</v>
      </c>
      <c r="M61" s="62">
        <v>369900</v>
      </c>
      <c r="N61" s="31">
        <v>0.75</v>
      </c>
      <c r="O61" s="32">
        <f t="shared" si="33"/>
        <v>92475</v>
      </c>
      <c r="P61" s="28" t="s">
        <v>16</v>
      </c>
    </row>
    <row r="62" spans="1:16" x14ac:dyDescent="0.35">
      <c r="A62" s="45" t="s">
        <v>1034</v>
      </c>
      <c r="B62" s="12">
        <f t="shared" ref="B62:C62" si="61">B61</f>
        <v>46104</v>
      </c>
      <c r="C62" s="12">
        <f t="shared" si="61"/>
        <v>46113</v>
      </c>
      <c r="D62" s="25">
        <v>3259</v>
      </c>
      <c r="E62" s="25">
        <v>333</v>
      </c>
      <c r="F62" s="25">
        <v>3</v>
      </c>
      <c r="G62" s="25">
        <v>6</v>
      </c>
      <c r="H62" s="25"/>
      <c r="I62" s="25" t="s">
        <v>17</v>
      </c>
      <c r="J62" s="25">
        <v>17124006</v>
      </c>
      <c r="K62" s="25" t="s">
        <v>204</v>
      </c>
      <c r="L62" s="25" t="s">
        <v>449</v>
      </c>
      <c r="M62" s="62">
        <v>369900</v>
      </c>
      <c r="N62" s="31">
        <v>0.75</v>
      </c>
      <c r="O62" s="32">
        <f t="shared" si="33"/>
        <v>92475</v>
      </c>
      <c r="P62" s="28" t="s">
        <v>16</v>
      </c>
    </row>
    <row r="63" spans="1:16" x14ac:dyDescent="0.35">
      <c r="A63" s="45" t="s">
        <v>1034</v>
      </c>
      <c r="B63" s="12">
        <f t="shared" ref="B63:C63" si="62">B62</f>
        <v>46104</v>
      </c>
      <c r="C63" s="12">
        <f t="shared" si="62"/>
        <v>46113</v>
      </c>
      <c r="D63" s="25">
        <v>3259</v>
      </c>
      <c r="E63" s="25">
        <v>333</v>
      </c>
      <c r="F63" s="25">
        <v>3</v>
      </c>
      <c r="G63" s="25">
        <v>6</v>
      </c>
      <c r="H63" s="25"/>
      <c r="I63" s="25" t="s">
        <v>17</v>
      </c>
      <c r="J63" s="25">
        <v>17124015</v>
      </c>
      <c r="K63" s="25" t="s">
        <v>204</v>
      </c>
      <c r="L63" s="25" t="s">
        <v>450</v>
      </c>
      <c r="M63" s="62">
        <v>369900</v>
      </c>
      <c r="N63" s="31">
        <v>0.75</v>
      </c>
      <c r="O63" s="32">
        <f t="shared" si="33"/>
        <v>92475</v>
      </c>
      <c r="P63" s="28" t="s">
        <v>16</v>
      </c>
    </row>
    <row r="64" spans="1:16" x14ac:dyDescent="0.35">
      <c r="A64" s="45" t="s">
        <v>1034</v>
      </c>
      <c r="B64" s="12">
        <f t="shared" ref="B64:C64" si="63">B63</f>
        <v>46104</v>
      </c>
      <c r="C64" s="12">
        <f t="shared" si="63"/>
        <v>46113</v>
      </c>
      <c r="D64" s="25">
        <v>3259</v>
      </c>
      <c r="E64" s="25">
        <v>333</v>
      </c>
      <c r="F64" s="25">
        <v>3</v>
      </c>
      <c r="G64" s="25">
        <v>6</v>
      </c>
      <c r="H64" s="25"/>
      <c r="I64" s="25" t="s">
        <v>17</v>
      </c>
      <c r="J64" s="25">
        <v>19198782</v>
      </c>
      <c r="K64" s="25" t="s">
        <v>204</v>
      </c>
      <c r="L64" s="25" t="s">
        <v>451</v>
      </c>
      <c r="M64" s="62">
        <v>369900</v>
      </c>
      <c r="N64" s="31">
        <v>0.75</v>
      </c>
      <c r="O64" s="32">
        <f t="shared" si="33"/>
        <v>92475</v>
      </c>
      <c r="P64" s="28" t="s">
        <v>16</v>
      </c>
    </row>
    <row r="65" spans="1:16" x14ac:dyDescent="0.35">
      <c r="A65" s="45" t="s">
        <v>1034</v>
      </c>
      <c r="B65" s="12">
        <f t="shared" ref="B65:C65" si="64">B64</f>
        <v>46104</v>
      </c>
      <c r="C65" s="12">
        <f t="shared" si="64"/>
        <v>46113</v>
      </c>
      <c r="D65" s="25">
        <v>3259</v>
      </c>
      <c r="E65" s="25">
        <v>333</v>
      </c>
      <c r="F65" s="25">
        <v>3</v>
      </c>
      <c r="G65" s="25">
        <v>6</v>
      </c>
      <c r="H65" s="25"/>
      <c r="I65" s="25" t="s">
        <v>17</v>
      </c>
      <c r="J65" s="25">
        <v>19198791</v>
      </c>
      <c r="K65" s="25" t="s">
        <v>204</v>
      </c>
      <c r="L65" s="25" t="s">
        <v>452</v>
      </c>
      <c r="M65" s="62">
        <v>369900</v>
      </c>
      <c r="N65" s="31">
        <v>0.75</v>
      </c>
      <c r="O65" s="32">
        <f t="shared" si="33"/>
        <v>92475</v>
      </c>
      <c r="P65" s="28" t="s">
        <v>16</v>
      </c>
    </row>
    <row r="66" spans="1:16" x14ac:dyDescent="0.35">
      <c r="A66" s="45" t="s">
        <v>1034</v>
      </c>
      <c r="B66" s="12">
        <f t="shared" ref="B66:C66" si="65">B65</f>
        <v>46104</v>
      </c>
      <c r="C66" s="12">
        <f t="shared" si="65"/>
        <v>46113</v>
      </c>
      <c r="D66" s="25">
        <v>3259</v>
      </c>
      <c r="E66" s="25">
        <v>333</v>
      </c>
      <c r="F66" s="25">
        <v>3</v>
      </c>
      <c r="G66" s="25">
        <v>6</v>
      </c>
      <c r="H66" s="25"/>
      <c r="I66" s="25" t="s">
        <v>17</v>
      </c>
      <c r="J66" s="25">
        <v>19198817</v>
      </c>
      <c r="K66" s="25" t="s">
        <v>204</v>
      </c>
      <c r="L66" s="25" t="s">
        <v>453</v>
      </c>
      <c r="M66" s="62">
        <v>369900</v>
      </c>
      <c r="N66" s="31">
        <v>0.75</v>
      </c>
      <c r="O66" s="32">
        <f t="shared" ref="O66:O95" si="66">M66-(M66*N66)</f>
        <v>92475</v>
      </c>
      <c r="P66" s="28" t="s">
        <v>16</v>
      </c>
    </row>
    <row r="67" spans="1:16" x14ac:dyDescent="0.35">
      <c r="A67" s="45" t="s">
        <v>1034</v>
      </c>
      <c r="B67" s="12">
        <f t="shared" ref="B67:C67" si="67">B66</f>
        <v>46104</v>
      </c>
      <c r="C67" s="12">
        <f t="shared" si="67"/>
        <v>46113</v>
      </c>
      <c r="D67" s="25">
        <v>3259</v>
      </c>
      <c r="E67" s="25">
        <v>333</v>
      </c>
      <c r="F67" s="25">
        <v>3</v>
      </c>
      <c r="G67" s="25">
        <v>6</v>
      </c>
      <c r="H67" s="25"/>
      <c r="I67" s="25" t="s">
        <v>17</v>
      </c>
      <c r="J67" s="25">
        <v>19198826</v>
      </c>
      <c r="K67" s="25" t="s">
        <v>204</v>
      </c>
      <c r="L67" s="25" t="s">
        <v>454</v>
      </c>
      <c r="M67" s="62">
        <v>369900</v>
      </c>
      <c r="N67" s="31">
        <v>0.75</v>
      </c>
      <c r="O67" s="32">
        <f t="shared" si="66"/>
        <v>92475</v>
      </c>
      <c r="P67" s="28" t="s">
        <v>16</v>
      </c>
    </row>
    <row r="68" spans="1:16" x14ac:dyDescent="0.35">
      <c r="A68" s="45" t="s">
        <v>1034</v>
      </c>
      <c r="B68" s="12">
        <f t="shared" ref="B68:C68" si="68">B67</f>
        <v>46104</v>
      </c>
      <c r="C68" s="12">
        <f t="shared" si="68"/>
        <v>46113</v>
      </c>
      <c r="D68" s="25">
        <v>3259</v>
      </c>
      <c r="E68" s="25">
        <v>333</v>
      </c>
      <c r="F68" s="25">
        <v>3</v>
      </c>
      <c r="G68" s="25">
        <v>6</v>
      </c>
      <c r="H68" s="25"/>
      <c r="I68" s="25" t="s">
        <v>17</v>
      </c>
      <c r="J68" s="25">
        <v>19198835</v>
      </c>
      <c r="K68" s="25" t="s">
        <v>204</v>
      </c>
      <c r="L68" s="25" t="s">
        <v>455</v>
      </c>
      <c r="M68" s="62">
        <v>369900</v>
      </c>
      <c r="N68" s="31">
        <v>0.75</v>
      </c>
      <c r="O68" s="32">
        <f t="shared" si="66"/>
        <v>92475</v>
      </c>
      <c r="P68" s="28" t="s">
        <v>16</v>
      </c>
    </row>
    <row r="69" spans="1:16" x14ac:dyDescent="0.35">
      <c r="A69" s="45" t="s">
        <v>1034</v>
      </c>
      <c r="B69" s="12">
        <f t="shared" ref="B69:C69" si="69">B68</f>
        <v>46104</v>
      </c>
      <c r="C69" s="12">
        <f t="shared" si="69"/>
        <v>46113</v>
      </c>
      <c r="D69" s="25">
        <v>3259</v>
      </c>
      <c r="E69" s="25">
        <v>333</v>
      </c>
      <c r="F69" s="25">
        <v>3</v>
      </c>
      <c r="G69" s="25">
        <v>6</v>
      </c>
      <c r="H69" s="25"/>
      <c r="I69" s="25" t="s">
        <v>17</v>
      </c>
      <c r="J69" s="25">
        <v>19198844</v>
      </c>
      <c r="K69" s="25" t="s">
        <v>204</v>
      </c>
      <c r="L69" s="25" t="s">
        <v>456</v>
      </c>
      <c r="M69" s="62">
        <v>369900</v>
      </c>
      <c r="N69" s="31">
        <v>0.75</v>
      </c>
      <c r="O69" s="32">
        <f t="shared" si="66"/>
        <v>92475</v>
      </c>
      <c r="P69" s="28" t="s">
        <v>16</v>
      </c>
    </row>
    <row r="70" spans="1:16" x14ac:dyDescent="0.35">
      <c r="A70" s="45" t="s">
        <v>1034</v>
      </c>
      <c r="B70" s="12">
        <f t="shared" ref="B70:C70" si="70">B69</f>
        <v>46104</v>
      </c>
      <c r="C70" s="12">
        <f t="shared" si="70"/>
        <v>46113</v>
      </c>
      <c r="D70" s="25">
        <v>3259</v>
      </c>
      <c r="E70" s="25">
        <v>333</v>
      </c>
      <c r="F70" s="25">
        <v>3</v>
      </c>
      <c r="G70" s="25">
        <v>6</v>
      </c>
      <c r="H70" s="25"/>
      <c r="I70" s="25" t="s">
        <v>17</v>
      </c>
      <c r="J70" s="25">
        <v>19198853</v>
      </c>
      <c r="K70" s="25" t="s">
        <v>471</v>
      </c>
      <c r="L70" s="25" t="s">
        <v>472</v>
      </c>
      <c r="M70" s="62">
        <v>399900</v>
      </c>
      <c r="N70" s="31">
        <v>0.75</v>
      </c>
      <c r="O70" s="32">
        <f t="shared" si="66"/>
        <v>99975</v>
      </c>
      <c r="P70" s="28" t="s">
        <v>16</v>
      </c>
    </row>
    <row r="71" spans="1:16" x14ac:dyDescent="0.35">
      <c r="A71" s="45" t="s">
        <v>1034</v>
      </c>
      <c r="B71" s="12">
        <f t="shared" ref="B71:C71" si="71">B70</f>
        <v>46104</v>
      </c>
      <c r="C71" s="12">
        <f t="shared" si="71"/>
        <v>46113</v>
      </c>
      <c r="D71" s="25">
        <v>3259</v>
      </c>
      <c r="E71" s="25">
        <v>333</v>
      </c>
      <c r="F71" s="25">
        <v>3</v>
      </c>
      <c r="G71" s="25">
        <v>6</v>
      </c>
      <c r="H71" s="25"/>
      <c r="I71" s="25" t="s">
        <v>17</v>
      </c>
      <c r="J71" s="25">
        <v>19198960</v>
      </c>
      <c r="K71" s="25" t="s">
        <v>471</v>
      </c>
      <c r="L71" s="25" t="s">
        <v>473</v>
      </c>
      <c r="M71" s="62">
        <v>399900</v>
      </c>
      <c r="N71" s="31">
        <v>0.75</v>
      </c>
      <c r="O71" s="32">
        <f t="shared" si="66"/>
        <v>99975</v>
      </c>
      <c r="P71" s="28" t="s">
        <v>16</v>
      </c>
    </row>
    <row r="72" spans="1:16" x14ac:dyDescent="0.35">
      <c r="A72" s="45" t="s">
        <v>1034</v>
      </c>
      <c r="B72" s="12">
        <f t="shared" ref="B72:C72" si="72">B71</f>
        <v>46104</v>
      </c>
      <c r="C72" s="12">
        <f t="shared" si="72"/>
        <v>46113</v>
      </c>
      <c r="D72" s="25">
        <v>3259</v>
      </c>
      <c r="E72" s="25">
        <v>333</v>
      </c>
      <c r="F72" s="25">
        <v>3</v>
      </c>
      <c r="G72" s="25">
        <v>6</v>
      </c>
      <c r="H72" s="25"/>
      <c r="I72" s="25" t="s">
        <v>17</v>
      </c>
      <c r="J72" s="25">
        <v>19198979</v>
      </c>
      <c r="K72" s="25" t="s">
        <v>471</v>
      </c>
      <c r="L72" s="25" t="s">
        <v>474</v>
      </c>
      <c r="M72" s="62">
        <v>399900</v>
      </c>
      <c r="N72" s="31">
        <v>0.75</v>
      </c>
      <c r="O72" s="32">
        <f t="shared" si="66"/>
        <v>99975</v>
      </c>
      <c r="P72" s="28" t="s">
        <v>16</v>
      </c>
    </row>
    <row r="73" spans="1:16" x14ac:dyDescent="0.35">
      <c r="A73" s="45" t="s">
        <v>1034</v>
      </c>
      <c r="B73" s="12">
        <f t="shared" ref="B73:C73" si="73">B72</f>
        <v>46104</v>
      </c>
      <c r="C73" s="12">
        <f t="shared" si="73"/>
        <v>46113</v>
      </c>
      <c r="D73" s="25">
        <v>3259</v>
      </c>
      <c r="E73" s="25">
        <v>333</v>
      </c>
      <c r="F73" s="25">
        <v>3</v>
      </c>
      <c r="G73" s="25">
        <v>6</v>
      </c>
      <c r="H73" s="25"/>
      <c r="I73" s="25" t="s">
        <v>17</v>
      </c>
      <c r="J73" s="25">
        <v>19198988</v>
      </c>
      <c r="K73" s="25" t="s">
        <v>471</v>
      </c>
      <c r="L73" s="25" t="s">
        <v>475</v>
      </c>
      <c r="M73" s="62">
        <v>399900</v>
      </c>
      <c r="N73" s="31">
        <v>0.75</v>
      </c>
      <c r="O73" s="32">
        <f t="shared" si="66"/>
        <v>99975</v>
      </c>
      <c r="P73" s="28" t="s">
        <v>16</v>
      </c>
    </row>
    <row r="74" spans="1:16" x14ac:dyDescent="0.35">
      <c r="A74" s="45" t="s">
        <v>1034</v>
      </c>
      <c r="B74" s="12">
        <f t="shared" ref="B74:C74" si="74">B73</f>
        <v>46104</v>
      </c>
      <c r="C74" s="12">
        <f t="shared" si="74"/>
        <v>46113</v>
      </c>
      <c r="D74" s="25">
        <v>3259</v>
      </c>
      <c r="E74" s="25">
        <v>333</v>
      </c>
      <c r="F74" s="25">
        <v>3</v>
      </c>
      <c r="G74" s="25">
        <v>6</v>
      </c>
      <c r="H74" s="25"/>
      <c r="I74" s="25" t="s">
        <v>17</v>
      </c>
      <c r="J74" s="25">
        <v>19198997</v>
      </c>
      <c r="K74" s="25" t="s">
        <v>471</v>
      </c>
      <c r="L74" s="25" t="s">
        <v>476</v>
      </c>
      <c r="M74" s="62">
        <v>399900</v>
      </c>
      <c r="N74" s="31">
        <v>0.75</v>
      </c>
      <c r="O74" s="32">
        <f t="shared" si="66"/>
        <v>99975</v>
      </c>
      <c r="P74" s="28" t="s">
        <v>16</v>
      </c>
    </row>
    <row r="75" spans="1:16" x14ac:dyDescent="0.35">
      <c r="A75" s="45" t="s">
        <v>1034</v>
      </c>
      <c r="B75" s="12">
        <f t="shared" ref="B75:C75" si="75">B74</f>
        <v>46104</v>
      </c>
      <c r="C75" s="12">
        <f t="shared" si="75"/>
        <v>46113</v>
      </c>
      <c r="D75" s="25">
        <v>3259</v>
      </c>
      <c r="E75" s="25">
        <v>333</v>
      </c>
      <c r="F75" s="25">
        <v>3</v>
      </c>
      <c r="G75" s="25">
        <v>6</v>
      </c>
      <c r="H75" s="25"/>
      <c r="I75" s="25" t="s">
        <v>17</v>
      </c>
      <c r="J75" s="25">
        <v>19199003</v>
      </c>
      <c r="K75" s="25" t="s">
        <v>471</v>
      </c>
      <c r="L75" s="25" t="s">
        <v>477</v>
      </c>
      <c r="M75" s="62">
        <v>399900</v>
      </c>
      <c r="N75" s="31">
        <v>0.75</v>
      </c>
      <c r="O75" s="32">
        <f t="shared" si="66"/>
        <v>99975</v>
      </c>
      <c r="P75" s="28" t="s">
        <v>16</v>
      </c>
    </row>
    <row r="76" spans="1:16" x14ac:dyDescent="0.35">
      <c r="A76" s="45" t="s">
        <v>1034</v>
      </c>
      <c r="B76" s="12">
        <f t="shared" ref="B76:C76" si="76">B75</f>
        <v>46104</v>
      </c>
      <c r="C76" s="12">
        <f t="shared" si="76"/>
        <v>46113</v>
      </c>
      <c r="D76" s="25">
        <v>3259</v>
      </c>
      <c r="E76" s="25">
        <v>333</v>
      </c>
      <c r="F76" s="25">
        <v>3</v>
      </c>
      <c r="G76" s="25">
        <v>6</v>
      </c>
      <c r="H76" s="25"/>
      <c r="I76" s="25" t="s">
        <v>17</v>
      </c>
      <c r="J76" s="25">
        <v>19199012</v>
      </c>
      <c r="K76" s="25" t="s">
        <v>471</v>
      </c>
      <c r="L76" s="25" t="s">
        <v>478</v>
      </c>
      <c r="M76" s="62">
        <v>399900</v>
      </c>
      <c r="N76" s="31">
        <v>0.75</v>
      </c>
      <c r="O76" s="32">
        <f t="shared" si="66"/>
        <v>99975</v>
      </c>
      <c r="P76" s="28" t="s">
        <v>16</v>
      </c>
    </row>
    <row r="77" spans="1:16" x14ac:dyDescent="0.35">
      <c r="A77" s="45" t="s">
        <v>1034</v>
      </c>
      <c r="B77" s="12">
        <f t="shared" ref="B77:C77" si="77">B76</f>
        <v>46104</v>
      </c>
      <c r="C77" s="12">
        <f t="shared" si="77"/>
        <v>46113</v>
      </c>
      <c r="D77" s="25">
        <v>3259</v>
      </c>
      <c r="E77" s="25">
        <v>333</v>
      </c>
      <c r="F77" s="25">
        <v>3</v>
      </c>
      <c r="G77" s="25">
        <v>6</v>
      </c>
      <c r="H77" s="25"/>
      <c r="I77" s="25" t="s">
        <v>17</v>
      </c>
      <c r="J77" s="25">
        <v>19199021</v>
      </c>
      <c r="K77" s="25" t="s">
        <v>471</v>
      </c>
      <c r="L77" s="25" t="s">
        <v>479</v>
      </c>
      <c r="M77" s="62">
        <v>399900</v>
      </c>
      <c r="N77" s="31">
        <v>0.75</v>
      </c>
      <c r="O77" s="32">
        <f t="shared" si="66"/>
        <v>99975</v>
      </c>
      <c r="P77" s="28" t="s">
        <v>16</v>
      </c>
    </row>
    <row r="78" spans="1:16" x14ac:dyDescent="0.35">
      <c r="A78" s="45" t="s">
        <v>1034</v>
      </c>
      <c r="B78" s="12">
        <f t="shared" ref="B78:C78" si="78">B77</f>
        <v>46104</v>
      </c>
      <c r="C78" s="12">
        <f t="shared" si="78"/>
        <v>46113</v>
      </c>
      <c r="D78" s="25">
        <v>3259</v>
      </c>
      <c r="E78" s="25">
        <v>333</v>
      </c>
      <c r="F78" s="25">
        <v>3</v>
      </c>
      <c r="G78" s="25">
        <v>6</v>
      </c>
      <c r="H78" s="25"/>
      <c r="I78" s="25" t="s">
        <v>17</v>
      </c>
      <c r="J78" s="25">
        <v>19199030</v>
      </c>
      <c r="K78" s="25" t="s">
        <v>471</v>
      </c>
      <c r="L78" s="25" t="s">
        <v>480</v>
      </c>
      <c r="M78" s="62">
        <v>399900</v>
      </c>
      <c r="N78" s="31">
        <v>0.75</v>
      </c>
      <c r="O78" s="32">
        <f t="shared" si="66"/>
        <v>99975</v>
      </c>
      <c r="P78" s="28" t="s">
        <v>16</v>
      </c>
    </row>
    <row r="79" spans="1:16" x14ac:dyDescent="0.35">
      <c r="A79" s="45" t="s">
        <v>1034</v>
      </c>
      <c r="B79" s="12">
        <f t="shared" ref="B79:C79" si="79">B78</f>
        <v>46104</v>
      </c>
      <c r="C79" s="12">
        <f t="shared" si="79"/>
        <v>46113</v>
      </c>
      <c r="D79" s="25">
        <v>3259</v>
      </c>
      <c r="E79" s="25">
        <v>333</v>
      </c>
      <c r="F79" s="25">
        <v>3</v>
      </c>
      <c r="G79" s="25">
        <v>6</v>
      </c>
      <c r="H79" s="25"/>
      <c r="I79" s="25" t="s">
        <v>17</v>
      </c>
      <c r="J79" s="25">
        <v>19199049</v>
      </c>
      <c r="K79" s="25" t="s">
        <v>471</v>
      </c>
      <c r="L79" s="25" t="s">
        <v>481</v>
      </c>
      <c r="M79" s="62">
        <v>399900</v>
      </c>
      <c r="N79" s="31">
        <v>0.75</v>
      </c>
      <c r="O79" s="32">
        <f t="shared" si="66"/>
        <v>99975</v>
      </c>
      <c r="P79" s="28" t="s">
        <v>16</v>
      </c>
    </row>
    <row r="80" spans="1:16" x14ac:dyDescent="0.35">
      <c r="A80" s="45" t="s">
        <v>1034</v>
      </c>
      <c r="B80" s="12">
        <f t="shared" ref="B80:C80" si="80">B79</f>
        <v>46104</v>
      </c>
      <c r="C80" s="12">
        <f t="shared" si="80"/>
        <v>46113</v>
      </c>
      <c r="D80" s="25">
        <v>3259</v>
      </c>
      <c r="E80" s="25">
        <v>333</v>
      </c>
      <c r="F80" s="25">
        <v>3</v>
      </c>
      <c r="G80" s="25">
        <v>6</v>
      </c>
      <c r="H80" s="25"/>
      <c r="I80" s="25" t="s">
        <v>17</v>
      </c>
      <c r="J80" s="25">
        <v>19199058</v>
      </c>
      <c r="K80" s="25" t="s">
        <v>471</v>
      </c>
      <c r="L80" s="25" t="s">
        <v>482</v>
      </c>
      <c r="M80" s="62">
        <v>399900</v>
      </c>
      <c r="N80" s="31">
        <v>0.75</v>
      </c>
      <c r="O80" s="32">
        <f t="shared" si="66"/>
        <v>99975</v>
      </c>
      <c r="P80" s="28" t="s">
        <v>16</v>
      </c>
    </row>
    <row r="81" spans="1:16" x14ac:dyDescent="0.35">
      <c r="A81" s="45" t="s">
        <v>1034</v>
      </c>
      <c r="B81" s="12">
        <f t="shared" ref="B81:C81" si="81">B80</f>
        <v>46104</v>
      </c>
      <c r="C81" s="12">
        <f t="shared" si="81"/>
        <v>46113</v>
      </c>
      <c r="D81" s="25">
        <v>3259</v>
      </c>
      <c r="E81" s="25">
        <v>333</v>
      </c>
      <c r="F81" s="25">
        <v>3</v>
      </c>
      <c r="G81" s="25">
        <v>6</v>
      </c>
      <c r="H81" s="25"/>
      <c r="I81" s="25" t="s">
        <v>17</v>
      </c>
      <c r="J81" s="25">
        <v>19199110</v>
      </c>
      <c r="K81" s="25" t="s">
        <v>471</v>
      </c>
      <c r="L81" s="25" t="s">
        <v>483</v>
      </c>
      <c r="M81" s="62">
        <v>399900</v>
      </c>
      <c r="N81" s="31">
        <v>0.75</v>
      </c>
      <c r="O81" s="32">
        <f t="shared" si="66"/>
        <v>99975</v>
      </c>
      <c r="P81" s="28" t="s">
        <v>16</v>
      </c>
    </row>
    <row r="82" spans="1:16" x14ac:dyDescent="0.35">
      <c r="A82" s="45" t="s">
        <v>1034</v>
      </c>
      <c r="B82" s="12">
        <f t="shared" ref="B82:C82" si="82">B81</f>
        <v>46104</v>
      </c>
      <c r="C82" s="12">
        <f t="shared" si="82"/>
        <v>46113</v>
      </c>
      <c r="D82" s="25">
        <v>3259</v>
      </c>
      <c r="E82" s="25">
        <v>333</v>
      </c>
      <c r="F82" s="25">
        <v>3</v>
      </c>
      <c r="G82" s="25">
        <v>6</v>
      </c>
      <c r="H82" s="25"/>
      <c r="I82" s="25" t="s">
        <v>17</v>
      </c>
      <c r="J82" s="25">
        <v>19199478</v>
      </c>
      <c r="K82" s="25" t="s">
        <v>204</v>
      </c>
      <c r="L82" s="25" t="s">
        <v>457</v>
      </c>
      <c r="M82" s="62">
        <v>369900</v>
      </c>
      <c r="N82" s="31">
        <v>0.75</v>
      </c>
      <c r="O82" s="32">
        <f t="shared" si="66"/>
        <v>92475</v>
      </c>
      <c r="P82" s="28" t="s">
        <v>16</v>
      </c>
    </row>
    <row r="83" spans="1:16" x14ac:dyDescent="0.35">
      <c r="A83" s="45" t="s">
        <v>1034</v>
      </c>
      <c r="B83" s="12">
        <f t="shared" ref="B83:C83" si="83">B82</f>
        <v>46104</v>
      </c>
      <c r="C83" s="12">
        <f t="shared" si="83"/>
        <v>46113</v>
      </c>
      <c r="D83" s="25">
        <v>3259</v>
      </c>
      <c r="E83" s="25">
        <v>333</v>
      </c>
      <c r="F83" s="25">
        <v>3</v>
      </c>
      <c r="G83" s="25">
        <v>6</v>
      </c>
      <c r="H83" s="25"/>
      <c r="I83" s="25" t="s">
        <v>17</v>
      </c>
      <c r="J83" s="25">
        <v>19199487</v>
      </c>
      <c r="K83" s="25" t="s">
        <v>204</v>
      </c>
      <c r="L83" s="25" t="s">
        <v>458</v>
      </c>
      <c r="M83" s="62">
        <v>369900</v>
      </c>
      <c r="N83" s="31">
        <v>0.75</v>
      </c>
      <c r="O83" s="32">
        <f t="shared" si="66"/>
        <v>92475</v>
      </c>
      <c r="P83" s="28" t="s">
        <v>16</v>
      </c>
    </row>
    <row r="84" spans="1:16" x14ac:dyDescent="0.35">
      <c r="A84" s="45" t="s">
        <v>1034</v>
      </c>
      <c r="B84" s="12">
        <f t="shared" ref="B84:C84" si="84">B83</f>
        <v>46104</v>
      </c>
      <c r="C84" s="12">
        <f t="shared" si="84"/>
        <v>46113</v>
      </c>
      <c r="D84" s="25">
        <v>3259</v>
      </c>
      <c r="E84" s="25">
        <v>333</v>
      </c>
      <c r="F84" s="25">
        <v>3</v>
      </c>
      <c r="G84" s="25">
        <v>6</v>
      </c>
      <c r="H84" s="25"/>
      <c r="I84" s="25" t="s">
        <v>17</v>
      </c>
      <c r="J84" s="25">
        <v>19199496</v>
      </c>
      <c r="K84" s="25" t="s">
        <v>204</v>
      </c>
      <c r="L84" s="25" t="s">
        <v>459</v>
      </c>
      <c r="M84" s="62">
        <v>369900</v>
      </c>
      <c r="N84" s="31">
        <v>0.75</v>
      </c>
      <c r="O84" s="32">
        <f t="shared" si="66"/>
        <v>92475</v>
      </c>
      <c r="P84" s="28" t="s">
        <v>16</v>
      </c>
    </row>
    <row r="85" spans="1:16" x14ac:dyDescent="0.35">
      <c r="A85" s="45" t="s">
        <v>1034</v>
      </c>
      <c r="B85" s="12">
        <f t="shared" ref="B85:C85" si="85">B84</f>
        <v>46104</v>
      </c>
      <c r="C85" s="12">
        <f t="shared" si="85"/>
        <v>46113</v>
      </c>
      <c r="D85" s="25">
        <v>3259</v>
      </c>
      <c r="E85" s="25">
        <v>333</v>
      </c>
      <c r="F85" s="25">
        <v>3</v>
      </c>
      <c r="G85" s="25">
        <v>6</v>
      </c>
      <c r="H85" s="25"/>
      <c r="I85" s="25" t="s">
        <v>17</v>
      </c>
      <c r="J85" s="25">
        <v>19199503</v>
      </c>
      <c r="K85" s="25" t="s">
        <v>204</v>
      </c>
      <c r="L85" s="25" t="s">
        <v>460</v>
      </c>
      <c r="M85" s="62">
        <v>369900</v>
      </c>
      <c r="N85" s="31">
        <v>0.75</v>
      </c>
      <c r="O85" s="32">
        <f t="shared" si="66"/>
        <v>92475</v>
      </c>
      <c r="P85" s="28" t="s">
        <v>16</v>
      </c>
    </row>
    <row r="86" spans="1:16" x14ac:dyDescent="0.35">
      <c r="A86" s="45" t="s">
        <v>1034</v>
      </c>
      <c r="B86" s="12">
        <f t="shared" ref="B86:C86" si="86">B85</f>
        <v>46104</v>
      </c>
      <c r="C86" s="12">
        <f t="shared" si="86"/>
        <v>46113</v>
      </c>
      <c r="D86" s="25">
        <v>3259</v>
      </c>
      <c r="E86" s="25">
        <v>333</v>
      </c>
      <c r="F86" s="25">
        <v>3</v>
      </c>
      <c r="G86" s="25">
        <v>6</v>
      </c>
      <c r="H86" s="25"/>
      <c r="I86" s="25" t="s">
        <v>17</v>
      </c>
      <c r="J86" s="25">
        <v>19199521</v>
      </c>
      <c r="K86" s="25" t="s">
        <v>204</v>
      </c>
      <c r="L86" s="25" t="s">
        <v>461</v>
      </c>
      <c r="M86" s="62">
        <v>369900</v>
      </c>
      <c r="N86" s="31">
        <v>0.75</v>
      </c>
      <c r="O86" s="32">
        <f t="shared" si="66"/>
        <v>92475</v>
      </c>
      <c r="P86" s="28" t="s">
        <v>16</v>
      </c>
    </row>
    <row r="87" spans="1:16" x14ac:dyDescent="0.35">
      <c r="A87" s="45" t="s">
        <v>1034</v>
      </c>
      <c r="B87" s="12">
        <f t="shared" ref="B87:C87" si="87">B86</f>
        <v>46104</v>
      </c>
      <c r="C87" s="12">
        <f t="shared" si="87"/>
        <v>46113</v>
      </c>
      <c r="D87" s="25">
        <v>3259</v>
      </c>
      <c r="E87" s="25">
        <v>333</v>
      </c>
      <c r="F87" s="25">
        <v>3</v>
      </c>
      <c r="G87" s="25">
        <v>6</v>
      </c>
      <c r="H87" s="25"/>
      <c r="I87" s="25" t="s">
        <v>17</v>
      </c>
      <c r="J87" s="25">
        <v>19199530</v>
      </c>
      <c r="K87" s="25" t="s">
        <v>204</v>
      </c>
      <c r="L87" s="25" t="s">
        <v>462</v>
      </c>
      <c r="M87" s="62">
        <v>369900</v>
      </c>
      <c r="N87" s="31">
        <v>0.75</v>
      </c>
      <c r="O87" s="32">
        <f t="shared" si="66"/>
        <v>92475</v>
      </c>
      <c r="P87" s="28" t="s">
        <v>16</v>
      </c>
    </row>
    <row r="88" spans="1:16" x14ac:dyDescent="0.35">
      <c r="A88" s="45" t="s">
        <v>1034</v>
      </c>
      <c r="B88" s="12">
        <f t="shared" ref="B88:C88" si="88">B87</f>
        <v>46104</v>
      </c>
      <c r="C88" s="12">
        <f t="shared" si="88"/>
        <v>46113</v>
      </c>
      <c r="D88" s="25">
        <v>3259</v>
      </c>
      <c r="E88" s="25">
        <v>333</v>
      </c>
      <c r="F88" s="25">
        <v>3</v>
      </c>
      <c r="G88" s="25">
        <v>6</v>
      </c>
      <c r="H88" s="25"/>
      <c r="I88" s="25" t="s">
        <v>17</v>
      </c>
      <c r="J88" s="25">
        <v>19199736</v>
      </c>
      <c r="K88" s="25" t="s">
        <v>43</v>
      </c>
      <c r="L88" s="25" t="s">
        <v>463</v>
      </c>
      <c r="M88" s="62">
        <v>369900</v>
      </c>
      <c r="N88" s="31">
        <v>0.75</v>
      </c>
      <c r="O88" s="32">
        <f t="shared" si="66"/>
        <v>92475</v>
      </c>
      <c r="P88" s="28" t="s">
        <v>16</v>
      </c>
    </row>
    <row r="89" spans="1:16" x14ac:dyDescent="0.35">
      <c r="A89" s="45" t="s">
        <v>1034</v>
      </c>
      <c r="B89" s="12">
        <f t="shared" ref="B89:C89" si="89">B88</f>
        <v>46104</v>
      </c>
      <c r="C89" s="12">
        <f t="shared" si="89"/>
        <v>46113</v>
      </c>
      <c r="D89" s="25">
        <v>3259</v>
      </c>
      <c r="E89" s="25">
        <v>333</v>
      </c>
      <c r="F89" s="25">
        <v>3</v>
      </c>
      <c r="G89" s="25">
        <v>6</v>
      </c>
      <c r="H89" s="25"/>
      <c r="I89" s="25" t="s">
        <v>17</v>
      </c>
      <c r="J89" s="25">
        <v>19199745</v>
      </c>
      <c r="K89" s="25" t="s">
        <v>43</v>
      </c>
      <c r="L89" s="25" t="s">
        <v>464</v>
      </c>
      <c r="M89" s="62">
        <v>369900</v>
      </c>
      <c r="N89" s="31">
        <v>0.75</v>
      </c>
      <c r="O89" s="32">
        <f t="shared" si="66"/>
        <v>92475</v>
      </c>
      <c r="P89" s="28" t="s">
        <v>16</v>
      </c>
    </row>
    <row r="90" spans="1:16" x14ac:dyDescent="0.35">
      <c r="A90" s="45" t="s">
        <v>1034</v>
      </c>
      <c r="B90" s="12">
        <f t="shared" ref="B90:C90" si="90">B89</f>
        <v>46104</v>
      </c>
      <c r="C90" s="12">
        <f t="shared" si="90"/>
        <v>46113</v>
      </c>
      <c r="D90" s="25">
        <v>3259</v>
      </c>
      <c r="E90" s="25">
        <v>333</v>
      </c>
      <c r="F90" s="25">
        <v>3</v>
      </c>
      <c r="G90" s="25">
        <v>6</v>
      </c>
      <c r="H90" s="25"/>
      <c r="I90" s="25" t="s">
        <v>17</v>
      </c>
      <c r="J90" s="25">
        <v>19199754</v>
      </c>
      <c r="K90" s="25" t="s">
        <v>43</v>
      </c>
      <c r="L90" s="25" t="s">
        <v>465</v>
      </c>
      <c r="M90" s="62">
        <v>369900</v>
      </c>
      <c r="N90" s="31">
        <v>0.75</v>
      </c>
      <c r="O90" s="32">
        <f t="shared" si="66"/>
        <v>92475</v>
      </c>
      <c r="P90" s="28" t="s">
        <v>16</v>
      </c>
    </row>
    <row r="91" spans="1:16" x14ac:dyDescent="0.35">
      <c r="A91" s="45" t="s">
        <v>1034</v>
      </c>
      <c r="B91" s="12">
        <f t="shared" ref="B91:C91" si="91">B90</f>
        <v>46104</v>
      </c>
      <c r="C91" s="12">
        <f t="shared" si="91"/>
        <v>46113</v>
      </c>
      <c r="D91" s="25">
        <v>3259</v>
      </c>
      <c r="E91" s="25">
        <v>333</v>
      </c>
      <c r="F91" s="25">
        <v>3</v>
      </c>
      <c r="G91" s="25">
        <v>6</v>
      </c>
      <c r="H91" s="25"/>
      <c r="I91" s="25" t="s">
        <v>17</v>
      </c>
      <c r="J91" s="25">
        <v>19199807</v>
      </c>
      <c r="K91" s="25" t="s">
        <v>43</v>
      </c>
      <c r="L91" s="25" t="s">
        <v>466</v>
      </c>
      <c r="M91" s="62">
        <v>369900</v>
      </c>
      <c r="N91" s="31">
        <v>0.75</v>
      </c>
      <c r="O91" s="32">
        <f t="shared" si="66"/>
        <v>92475</v>
      </c>
      <c r="P91" s="28" t="s">
        <v>16</v>
      </c>
    </row>
    <row r="92" spans="1:16" x14ac:dyDescent="0.35">
      <c r="A92" s="45" t="s">
        <v>1034</v>
      </c>
      <c r="B92" s="12">
        <f t="shared" ref="B92:C92" si="92">B91</f>
        <v>46104</v>
      </c>
      <c r="C92" s="12">
        <f t="shared" si="92"/>
        <v>46113</v>
      </c>
      <c r="D92" s="25">
        <v>3259</v>
      </c>
      <c r="E92" s="25">
        <v>333</v>
      </c>
      <c r="F92" s="25">
        <v>3</v>
      </c>
      <c r="G92" s="25">
        <v>6</v>
      </c>
      <c r="H92" s="25"/>
      <c r="I92" s="25" t="s">
        <v>17</v>
      </c>
      <c r="J92" s="25">
        <v>19199861</v>
      </c>
      <c r="K92" s="25" t="s">
        <v>43</v>
      </c>
      <c r="L92" s="25" t="s">
        <v>467</v>
      </c>
      <c r="M92" s="62">
        <v>369900</v>
      </c>
      <c r="N92" s="31">
        <v>0.75</v>
      </c>
      <c r="O92" s="32">
        <f t="shared" si="66"/>
        <v>92475</v>
      </c>
      <c r="P92" s="28" t="s">
        <v>16</v>
      </c>
    </row>
    <row r="93" spans="1:16" x14ac:dyDescent="0.35">
      <c r="A93" s="45" t="s">
        <v>1034</v>
      </c>
      <c r="B93" s="12">
        <f t="shared" ref="B93:C93" si="93">B92</f>
        <v>46104</v>
      </c>
      <c r="C93" s="12">
        <f t="shared" si="93"/>
        <v>46113</v>
      </c>
      <c r="D93" s="25">
        <v>3259</v>
      </c>
      <c r="E93" s="25">
        <v>333</v>
      </c>
      <c r="F93" s="25">
        <v>3</v>
      </c>
      <c r="G93" s="25">
        <v>6</v>
      </c>
      <c r="H93" s="25"/>
      <c r="I93" s="25" t="s">
        <v>17</v>
      </c>
      <c r="J93" s="25">
        <v>19199870</v>
      </c>
      <c r="K93" s="25" t="s">
        <v>43</v>
      </c>
      <c r="L93" s="25" t="s">
        <v>468</v>
      </c>
      <c r="M93" s="62">
        <v>369900</v>
      </c>
      <c r="N93" s="31">
        <v>0.75</v>
      </c>
      <c r="O93" s="32">
        <f t="shared" si="66"/>
        <v>92475</v>
      </c>
      <c r="P93" s="28" t="s">
        <v>16</v>
      </c>
    </row>
    <row r="94" spans="1:16" x14ac:dyDescent="0.35">
      <c r="A94" s="45" t="s">
        <v>1034</v>
      </c>
      <c r="B94" s="12">
        <f t="shared" ref="B94:C94" si="94">B93</f>
        <v>46104</v>
      </c>
      <c r="C94" s="12">
        <f t="shared" si="94"/>
        <v>46113</v>
      </c>
      <c r="D94" s="25">
        <v>3259</v>
      </c>
      <c r="E94" s="25">
        <v>333</v>
      </c>
      <c r="F94" s="25">
        <v>3</v>
      </c>
      <c r="G94" s="25">
        <v>6</v>
      </c>
      <c r="H94" s="25"/>
      <c r="I94" s="25" t="s">
        <v>17</v>
      </c>
      <c r="J94" s="25">
        <v>19199889</v>
      </c>
      <c r="K94" s="25" t="s">
        <v>43</v>
      </c>
      <c r="L94" s="25" t="s">
        <v>469</v>
      </c>
      <c r="M94" s="62">
        <v>369900</v>
      </c>
      <c r="N94" s="31">
        <v>0.75</v>
      </c>
      <c r="O94" s="32">
        <f t="shared" si="66"/>
        <v>92475</v>
      </c>
      <c r="P94" s="28" t="s">
        <v>16</v>
      </c>
    </row>
    <row r="95" spans="1:16" x14ac:dyDescent="0.35">
      <c r="A95" s="45" t="s">
        <v>1034</v>
      </c>
      <c r="B95" s="12">
        <f t="shared" ref="B95:C95" si="95">B94</f>
        <v>46104</v>
      </c>
      <c r="C95" s="12">
        <f t="shared" si="95"/>
        <v>46113</v>
      </c>
      <c r="D95" s="25">
        <v>3259</v>
      </c>
      <c r="E95" s="25">
        <v>333</v>
      </c>
      <c r="F95" s="25">
        <v>3</v>
      </c>
      <c r="G95" s="25">
        <v>6</v>
      </c>
      <c r="H95" s="25"/>
      <c r="I95" s="25" t="s">
        <v>17</v>
      </c>
      <c r="J95" s="25">
        <v>19199898</v>
      </c>
      <c r="K95" s="25" t="s">
        <v>43</v>
      </c>
      <c r="L95" s="25" t="s">
        <v>470</v>
      </c>
      <c r="M95" s="62">
        <v>369900</v>
      </c>
      <c r="N95" s="31">
        <v>0.75</v>
      </c>
      <c r="O95" s="32">
        <f t="shared" si="66"/>
        <v>92475</v>
      </c>
      <c r="P95" s="28" t="s">
        <v>16</v>
      </c>
    </row>
  </sheetData>
  <autoFilter ref="A1:P1" xr:uid="{00000000-0009-0000-0000-000008000000}"/>
  <conditionalFormatting sqref="J1">
    <cfRule type="duplicateValues" dxfId="690" priority="1541"/>
    <cfRule type="duplicateValues" dxfId="689" priority="1542"/>
    <cfRule type="duplicateValues" dxfId="688" priority="1543"/>
  </conditionalFormatting>
  <conditionalFormatting sqref="J1:J1048576">
    <cfRule type="duplicateValues" dxfId="687" priority="1"/>
    <cfRule type="duplicateValues" dxfId="686" priority="2"/>
    <cfRule type="duplicateValues" dxfId="685" priority="3"/>
    <cfRule type="duplicateValues" dxfId="684" priority="4"/>
    <cfRule type="duplicateValues" dxfId="683" priority="1538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59"/>
  <sheetViews>
    <sheetView topLeftCell="F1" zoomScale="70" workbookViewId="0">
      <pane ySplit="1" topLeftCell="A33" activePane="bottomLeft" state="frozen"/>
      <selection activeCell="J445" sqref="J445"/>
      <selection pane="bottomLeft" activeCell="N3" sqref="N3:N59"/>
    </sheetView>
  </sheetViews>
  <sheetFormatPr defaultColWidth="8.7265625" defaultRowHeight="14.5" x14ac:dyDescent="0.35"/>
  <cols>
    <col min="1" max="1" width="20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7265625" style="1" bestFit="1" customWidth="1"/>
    <col min="11" max="11" width="12.54296875" style="1" bestFit="1" customWidth="1"/>
    <col min="12" max="12" width="98.26953125" style="1" bestFit="1" customWidth="1"/>
    <col min="13" max="13" width="20.54296875" style="3" bestFit="1" customWidth="1"/>
    <col min="14" max="14" width="18" style="4" bestFit="1" customWidth="1"/>
    <col min="15" max="15" width="19.54296875" style="3" bestFit="1" customWidth="1"/>
    <col min="16" max="16" width="19.7265625" style="1" bestFit="1" customWidth="1"/>
    <col min="17" max="16384" width="8.7265625" style="1"/>
  </cols>
  <sheetData>
    <row r="1" spans="1:16" ht="29.25" customHeight="1" x14ac:dyDescent="0.35">
      <c r="A1" s="5" t="s">
        <v>0</v>
      </c>
      <c r="B1" s="70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1035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17</v>
      </c>
      <c r="J2" s="25">
        <v>15256252</v>
      </c>
      <c r="K2" s="25" t="s">
        <v>377</v>
      </c>
      <c r="L2" s="25" t="s">
        <v>378</v>
      </c>
      <c r="M2" s="37">
        <v>279900</v>
      </c>
      <c r="N2" s="31">
        <v>0.75</v>
      </c>
      <c r="O2" s="32">
        <f t="shared" ref="O2:O33" si="0">M2-(M2*N2)</f>
        <v>69975</v>
      </c>
      <c r="P2" s="28" t="s">
        <v>16</v>
      </c>
    </row>
    <row r="3" spans="1:16" x14ac:dyDescent="0.35">
      <c r="A3" s="11" t="s">
        <v>1035</v>
      </c>
      <c r="B3" s="12">
        <f>B2</f>
        <v>46104</v>
      </c>
      <c r="C3" s="12">
        <f t="shared" ref="B3:C3" si="1">C2</f>
        <v>46113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17</v>
      </c>
      <c r="J3" s="25">
        <v>15256270</v>
      </c>
      <c r="K3" s="25" t="s">
        <v>377</v>
      </c>
      <c r="L3" s="25" t="s">
        <v>380</v>
      </c>
      <c r="M3" s="37">
        <v>279900</v>
      </c>
      <c r="N3" s="31">
        <v>0.75</v>
      </c>
      <c r="O3" s="32">
        <f t="shared" si="0"/>
        <v>69975</v>
      </c>
      <c r="P3" s="28" t="s">
        <v>16</v>
      </c>
    </row>
    <row r="4" spans="1:16" x14ac:dyDescent="0.35">
      <c r="A4" s="11" t="s">
        <v>1035</v>
      </c>
      <c r="B4" s="12">
        <f t="shared" ref="B4:C35" si="2">B3</f>
        <v>46104</v>
      </c>
      <c r="C4" s="12">
        <f t="shared" si="2"/>
        <v>46113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17</v>
      </c>
      <c r="J4" s="25">
        <v>15256289</v>
      </c>
      <c r="K4" s="25" t="s">
        <v>377</v>
      </c>
      <c r="L4" s="25" t="s">
        <v>381</v>
      </c>
      <c r="M4" s="37">
        <v>279900</v>
      </c>
      <c r="N4" s="31">
        <v>0.75</v>
      </c>
      <c r="O4" s="32">
        <f t="shared" si="0"/>
        <v>69975</v>
      </c>
      <c r="P4" s="28" t="s">
        <v>16</v>
      </c>
    </row>
    <row r="5" spans="1:16" x14ac:dyDescent="0.35">
      <c r="A5" s="11" t="s">
        <v>1035</v>
      </c>
      <c r="B5" s="12">
        <f t="shared" si="2"/>
        <v>46104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17</v>
      </c>
      <c r="J5" s="25">
        <v>15256298</v>
      </c>
      <c r="K5" s="25" t="s">
        <v>377</v>
      </c>
      <c r="L5" s="25" t="s">
        <v>382</v>
      </c>
      <c r="M5" s="37">
        <v>279900</v>
      </c>
      <c r="N5" s="31">
        <v>0.75</v>
      </c>
      <c r="O5" s="32">
        <f t="shared" si="0"/>
        <v>69975</v>
      </c>
      <c r="P5" s="28" t="s">
        <v>16</v>
      </c>
    </row>
    <row r="6" spans="1:16" x14ac:dyDescent="0.35">
      <c r="A6" s="11" t="s">
        <v>1035</v>
      </c>
      <c r="B6" s="12">
        <f t="shared" si="2"/>
        <v>46104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17</v>
      </c>
      <c r="J6" s="25">
        <v>15256305</v>
      </c>
      <c r="K6" s="25" t="s">
        <v>377</v>
      </c>
      <c r="L6" s="25" t="s">
        <v>383</v>
      </c>
      <c r="M6" s="37">
        <v>279900</v>
      </c>
      <c r="N6" s="31">
        <v>0.75</v>
      </c>
      <c r="O6" s="32">
        <f t="shared" si="0"/>
        <v>69975</v>
      </c>
      <c r="P6" s="28" t="s">
        <v>16</v>
      </c>
    </row>
    <row r="7" spans="1:16" x14ac:dyDescent="0.35">
      <c r="A7" s="11" t="s">
        <v>1035</v>
      </c>
      <c r="B7" s="12">
        <f t="shared" si="2"/>
        <v>46104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17</v>
      </c>
      <c r="J7" s="25">
        <v>15257091</v>
      </c>
      <c r="K7" s="25" t="s">
        <v>165</v>
      </c>
      <c r="L7" s="25" t="s">
        <v>935</v>
      </c>
      <c r="M7" s="37">
        <v>279900</v>
      </c>
      <c r="N7" s="31">
        <v>0.75</v>
      </c>
      <c r="O7" s="32">
        <f t="shared" si="0"/>
        <v>69975</v>
      </c>
      <c r="P7" s="28" t="s">
        <v>16</v>
      </c>
    </row>
    <row r="8" spans="1:16" x14ac:dyDescent="0.35">
      <c r="A8" s="11" t="s">
        <v>1035</v>
      </c>
      <c r="B8" s="12">
        <f t="shared" si="2"/>
        <v>46104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17</v>
      </c>
      <c r="J8" s="25">
        <v>15257108</v>
      </c>
      <c r="K8" s="25" t="s">
        <v>165</v>
      </c>
      <c r="L8" s="25" t="s">
        <v>936</v>
      </c>
      <c r="M8" s="37">
        <v>279900</v>
      </c>
      <c r="N8" s="31">
        <v>0.75</v>
      </c>
      <c r="O8" s="32">
        <f t="shared" si="0"/>
        <v>69975</v>
      </c>
      <c r="P8" s="28" t="s">
        <v>16</v>
      </c>
    </row>
    <row r="9" spans="1:16" x14ac:dyDescent="0.35">
      <c r="A9" s="11" t="s">
        <v>1035</v>
      </c>
      <c r="B9" s="12">
        <f t="shared" si="2"/>
        <v>46104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17</v>
      </c>
      <c r="J9" s="25">
        <v>15257117</v>
      </c>
      <c r="K9" s="25" t="s">
        <v>165</v>
      </c>
      <c r="L9" s="25" t="s">
        <v>937</v>
      </c>
      <c r="M9" s="37">
        <v>279900</v>
      </c>
      <c r="N9" s="31">
        <v>0.75</v>
      </c>
      <c r="O9" s="32">
        <f t="shared" si="0"/>
        <v>69975</v>
      </c>
      <c r="P9" s="28" t="s">
        <v>16</v>
      </c>
    </row>
    <row r="10" spans="1:16" x14ac:dyDescent="0.35">
      <c r="A10" s="11" t="s">
        <v>1035</v>
      </c>
      <c r="B10" s="12">
        <f t="shared" si="2"/>
        <v>46104</v>
      </c>
      <c r="C10" s="12">
        <f t="shared" si="2"/>
        <v>46113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17</v>
      </c>
      <c r="J10" s="25">
        <v>15257126</v>
      </c>
      <c r="K10" s="25" t="s">
        <v>165</v>
      </c>
      <c r="L10" s="25" t="s">
        <v>938</v>
      </c>
      <c r="M10" s="37">
        <v>279900</v>
      </c>
      <c r="N10" s="31">
        <v>0.75</v>
      </c>
      <c r="O10" s="32">
        <f t="shared" si="0"/>
        <v>69975</v>
      </c>
      <c r="P10" s="28" t="s">
        <v>16</v>
      </c>
    </row>
    <row r="11" spans="1:16" x14ac:dyDescent="0.35">
      <c r="A11" s="11" t="s">
        <v>1035</v>
      </c>
      <c r="B11" s="12">
        <f t="shared" si="2"/>
        <v>46104</v>
      </c>
      <c r="C11" s="12">
        <f t="shared" si="2"/>
        <v>46113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17</v>
      </c>
      <c r="J11" s="25">
        <v>15257135</v>
      </c>
      <c r="K11" s="25" t="s">
        <v>165</v>
      </c>
      <c r="L11" s="25" t="s">
        <v>939</v>
      </c>
      <c r="M11" s="37">
        <v>279900</v>
      </c>
      <c r="N11" s="31">
        <v>0.75</v>
      </c>
      <c r="O11" s="32">
        <f t="shared" si="0"/>
        <v>69975</v>
      </c>
      <c r="P11" s="28" t="s">
        <v>16</v>
      </c>
    </row>
    <row r="12" spans="1:16" x14ac:dyDescent="0.35">
      <c r="A12" s="11" t="s">
        <v>1035</v>
      </c>
      <c r="B12" s="12">
        <f t="shared" si="2"/>
        <v>46104</v>
      </c>
      <c r="C12" s="12">
        <f t="shared" si="2"/>
        <v>46113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17</v>
      </c>
      <c r="J12" s="25">
        <v>15257144</v>
      </c>
      <c r="K12" s="25" t="s">
        <v>165</v>
      </c>
      <c r="L12" s="25" t="s">
        <v>940</v>
      </c>
      <c r="M12" s="37">
        <v>279900</v>
      </c>
      <c r="N12" s="31">
        <v>0.75</v>
      </c>
      <c r="O12" s="32">
        <f t="shared" si="0"/>
        <v>69975</v>
      </c>
      <c r="P12" s="28" t="s">
        <v>16</v>
      </c>
    </row>
    <row r="13" spans="1:16" x14ac:dyDescent="0.35">
      <c r="A13" s="11" t="s">
        <v>1035</v>
      </c>
      <c r="B13" s="12">
        <f t="shared" si="2"/>
        <v>46104</v>
      </c>
      <c r="C13" s="12">
        <f t="shared" si="2"/>
        <v>46113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17</v>
      </c>
      <c r="J13" s="25">
        <v>15257215</v>
      </c>
      <c r="K13" s="25" t="s">
        <v>352</v>
      </c>
      <c r="L13" s="25" t="s">
        <v>353</v>
      </c>
      <c r="M13" s="37">
        <v>279900</v>
      </c>
      <c r="N13" s="31">
        <v>0.75</v>
      </c>
      <c r="O13" s="32">
        <f t="shared" si="0"/>
        <v>69975</v>
      </c>
      <c r="P13" s="28" t="s">
        <v>16</v>
      </c>
    </row>
    <row r="14" spans="1:16" x14ac:dyDescent="0.35">
      <c r="A14" s="11" t="s">
        <v>1035</v>
      </c>
      <c r="B14" s="12">
        <f t="shared" si="2"/>
        <v>46104</v>
      </c>
      <c r="C14" s="12">
        <f t="shared" si="2"/>
        <v>46113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17</v>
      </c>
      <c r="J14" s="25">
        <v>15257233</v>
      </c>
      <c r="K14" s="25" t="s">
        <v>352</v>
      </c>
      <c r="L14" s="25" t="s">
        <v>355</v>
      </c>
      <c r="M14" s="37">
        <v>279900</v>
      </c>
      <c r="N14" s="31">
        <v>0.75</v>
      </c>
      <c r="O14" s="32">
        <f t="shared" si="0"/>
        <v>69975</v>
      </c>
      <c r="P14" s="28" t="s">
        <v>16</v>
      </c>
    </row>
    <row r="15" spans="1:16" x14ac:dyDescent="0.35">
      <c r="A15" s="11" t="s">
        <v>1035</v>
      </c>
      <c r="B15" s="12">
        <f t="shared" si="2"/>
        <v>46104</v>
      </c>
      <c r="C15" s="12">
        <f t="shared" si="2"/>
        <v>46113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17</v>
      </c>
      <c r="J15" s="25">
        <v>15257242</v>
      </c>
      <c r="K15" s="25" t="s">
        <v>352</v>
      </c>
      <c r="L15" s="25" t="s">
        <v>356</v>
      </c>
      <c r="M15" s="37">
        <v>279900</v>
      </c>
      <c r="N15" s="31">
        <v>0.75</v>
      </c>
      <c r="O15" s="32">
        <f t="shared" si="0"/>
        <v>69975</v>
      </c>
      <c r="P15" s="28" t="s">
        <v>16</v>
      </c>
    </row>
    <row r="16" spans="1:16" x14ac:dyDescent="0.35">
      <c r="A16" s="11" t="s">
        <v>1035</v>
      </c>
      <c r="B16" s="12">
        <f t="shared" si="2"/>
        <v>46104</v>
      </c>
      <c r="C16" s="12">
        <f t="shared" si="2"/>
        <v>46113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17</v>
      </c>
      <c r="J16" s="25">
        <v>15257251</v>
      </c>
      <c r="K16" s="25" t="s">
        <v>352</v>
      </c>
      <c r="L16" s="25" t="s">
        <v>357</v>
      </c>
      <c r="M16" s="37">
        <v>279900</v>
      </c>
      <c r="N16" s="31">
        <v>0.75</v>
      </c>
      <c r="O16" s="32">
        <f t="shared" si="0"/>
        <v>69975</v>
      </c>
      <c r="P16" s="28" t="s">
        <v>16</v>
      </c>
    </row>
    <row r="17" spans="1:16" x14ac:dyDescent="0.35">
      <c r="A17" s="11" t="s">
        <v>1035</v>
      </c>
      <c r="B17" s="12">
        <f t="shared" si="2"/>
        <v>46104</v>
      </c>
      <c r="C17" s="12">
        <f t="shared" si="2"/>
        <v>46113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17</v>
      </c>
      <c r="J17" s="25">
        <v>15257260</v>
      </c>
      <c r="K17" s="25" t="s">
        <v>352</v>
      </c>
      <c r="L17" s="25" t="s">
        <v>358</v>
      </c>
      <c r="M17" s="37">
        <v>279900</v>
      </c>
      <c r="N17" s="31">
        <v>0.75</v>
      </c>
      <c r="O17" s="32">
        <f t="shared" si="0"/>
        <v>69975</v>
      </c>
      <c r="P17" s="28" t="s">
        <v>16</v>
      </c>
    </row>
    <row r="18" spans="1:16" x14ac:dyDescent="0.35">
      <c r="A18" s="11" t="s">
        <v>1035</v>
      </c>
      <c r="B18" s="12">
        <f t="shared" si="2"/>
        <v>46104</v>
      </c>
      <c r="C18" s="12">
        <f t="shared" si="2"/>
        <v>46113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17</v>
      </c>
      <c r="J18" s="71">
        <v>15257224</v>
      </c>
      <c r="K18" s="21" t="s">
        <v>352</v>
      </c>
      <c r="L18" s="21" t="s">
        <v>354</v>
      </c>
      <c r="M18" s="37">
        <v>279900</v>
      </c>
      <c r="N18" s="31">
        <v>0.75</v>
      </c>
      <c r="O18" s="32">
        <f t="shared" si="0"/>
        <v>69975</v>
      </c>
      <c r="P18" s="28" t="s">
        <v>16</v>
      </c>
    </row>
    <row r="19" spans="1:16" x14ac:dyDescent="0.35">
      <c r="A19" s="11" t="s">
        <v>1035</v>
      </c>
      <c r="B19" s="12">
        <f t="shared" si="2"/>
        <v>46104</v>
      </c>
      <c r="C19" s="12">
        <f t="shared" si="2"/>
        <v>46113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17</v>
      </c>
      <c r="J19" s="25">
        <v>17124159</v>
      </c>
      <c r="K19" s="25" t="s">
        <v>1024</v>
      </c>
      <c r="L19" s="25" t="s">
        <v>1025</v>
      </c>
      <c r="M19" s="37">
        <v>279900</v>
      </c>
      <c r="N19" s="31">
        <v>0.75</v>
      </c>
      <c r="O19" s="32">
        <f t="shared" si="0"/>
        <v>69975</v>
      </c>
      <c r="P19" s="28" t="s">
        <v>16</v>
      </c>
    </row>
    <row r="20" spans="1:16" x14ac:dyDescent="0.35">
      <c r="A20" s="11" t="s">
        <v>1035</v>
      </c>
      <c r="B20" s="12">
        <f t="shared" si="2"/>
        <v>46104</v>
      </c>
      <c r="C20" s="12">
        <f t="shared" si="2"/>
        <v>46113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17</v>
      </c>
      <c r="J20" s="25">
        <v>17124168</v>
      </c>
      <c r="K20" s="25" t="s">
        <v>1024</v>
      </c>
      <c r="L20" s="25" t="s">
        <v>1026</v>
      </c>
      <c r="M20" s="37">
        <v>279900</v>
      </c>
      <c r="N20" s="31">
        <v>0.75</v>
      </c>
      <c r="O20" s="32">
        <f t="shared" si="0"/>
        <v>69975</v>
      </c>
      <c r="P20" s="28" t="s">
        <v>16</v>
      </c>
    </row>
    <row r="21" spans="1:16" x14ac:dyDescent="0.35">
      <c r="A21" s="11" t="s">
        <v>1035</v>
      </c>
      <c r="B21" s="12">
        <f t="shared" si="2"/>
        <v>46104</v>
      </c>
      <c r="C21" s="12">
        <f t="shared" si="2"/>
        <v>46113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17</v>
      </c>
      <c r="J21" s="25">
        <v>17124177</v>
      </c>
      <c r="K21" s="25" t="s">
        <v>1024</v>
      </c>
      <c r="L21" s="25" t="s">
        <v>1027</v>
      </c>
      <c r="M21" s="37">
        <v>279900</v>
      </c>
      <c r="N21" s="31">
        <v>0.75</v>
      </c>
      <c r="O21" s="32">
        <f t="shared" si="0"/>
        <v>69975</v>
      </c>
      <c r="P21" s="28" t="s">
        <v>16</v>
      </c>
    </row>
    <row r="22" spans="1:16" x14ac:dyDescent="0.35">
      <c r="A22" s="11" t="s">
        <v>1035</v>
      </c>
      <c r="B22" s="12">
        <f t="shared" si="2"/>
        <v>46104</v>
      </c>
      <c r="C22" s="12">
        <f t="shared" si="2"/>
        <v>46113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17</v>
      </c>
      <c r="J22" s="25">
        <v>17124186</v>
      </c>
      <c r="K22" s="25" t="s">
        <v>1024</v>
      </c>
      <c r="L22" s="25" t="s">
        <v>1028</v>
      </c>
      <c r="M22" s="37">
        <v>279900</v>
      </c>
      <c r="N22" s="31">
        <v>0.75</v>
      </c>
      <c r="O22" s="32">
        <f t="shared" si="0"/>
        <v>69975</v>
      </c>
      <c r="P22" s="28" t="s">
        <v>16</v>
      </c>
    </row>
    <row r="23" spans="1:16" x14ac:dyDescent="0.35">
      <c r="A23" s="11" t="s">
        <v>1035</v>
      </c>
      <c r="B23" s="12">
        <f t="shared" si="2"/>
        <v>46104</v>
      </c>
      <c r="C23" s="12">
        <f t="shared" si="2"/>
        <v>46113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17</v>
      </c>
      <c r="J23" s="25">
        <v>17124195</v>
      </c>
      <c r="K23" s="25" t="s">
        <v>1024</v>
      </c>
      <c r="L23" s="25" t="s">
        <v>1029</v>
      </c>
      <c r="M23" s="37">
        <v>279900</v>
      </c>
      <c r="N23" s="31">
        <v>0.75</v>
      </c>
      <c r="O23" s="32">
        <f t="shared" si="0"/>
        <v>69975</v>
      </c>
      <c r="P23" s="28" t="s">
        <v>16</v>
      </c>
    </row>
    <row r="24" spans="1:16" x14ac:dyDescent="0.35">
      <c r="A24" s="11" t="s">
        <v>1035</v>
      </c>
      <c r="B24" s="12">
        <f t="shared" si="2"/>
        <v>46104</v>
      </c>
      <c r="C24" s="12">
        <f t="shared" si="2"/>
        <v>46113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17</v>
      </c>
      <c r="J24" s="25">
        <v>17124202</v>
      </c>
      <c r="K24" s="25" t="s">
        <v>1024</v>
      </c>
      <c r="L24" s="25" t="s">
        <v>1030</v>
      </c>
      <c r="M24" s="37">
        <v>279900</v>
      </c>
      <c r="N24" s="31">
        <v>0.75</v>
      </c>
      <c r="O24" s="32">
        <f t="shared" si="0"/>
        <v>69975</v>
      </c>
      <c r="P24" s="28" t="s">
        <v>16</v>
      </c>
    </row>
    <row r="25" spans="1:16" x14ac:dyDescent="0.35">
      <c r="A25" s="11" t="s">
        <v>1035</v>
      </c>
      <c r="B25" s="12">
        <f t="shared" si="2"/>
        <v>46104</v>
      </c>
      <c r="C25" s="12">
        <f t="shared" si="2"/>
        <v>46113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17</v>
      </c>
      <c r="J25" s="25">
        <v>17124284</v>
      </c>
      <c r="K25" s="25" t="s">
        <v>384</v>
      </c>
      <c r="L25" s="25" t="s">
        <v>385</v>
      </c>
      <c r="M25" s="37">
        <v>279900</v>
      </c>
      <c r="N25" s="31">
        <v>0.75</v>
      </c>
      <c r="O25" s="32">
        <f t="shared" si="0"/>
        <v>69975</v>
      </c>
      <c r="P25" s="28" t="s">
        <v>16</v>
      </c>
    </row>
    <row r="26" spans="1:16" x14ac:dyDescent="0.35">
      <c r="A26" s="11" t="s">
        <v>1035</v>
      </c>
      <c r="B26" s="12">
        <f t="shared" si="2"/>
        <v>46104</v>
      </c>
      <c r="C26" s="12">
        <f t="shared" si="2"/>
        <v>46113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17</v>
      </c>
      <c r="J26" s="25">
        <v>17124293</v>
      </c>
      <c r="K26" s="25" t="s">
        <v>384</v>
      </c>
      <c r="L26" s="25" t="s">
        <v>386</v>
      </c>
      <c r="M26" s="37">
        <v>279900</v>
      </c>
      <c r="N26" s="31">
        <v>0.75</v>
      </c>
      <c r="O26" s="32">
        <f t="shared" si="0"/>
        <v>69975</v>
      </c>
      <c r="P26" s="28" t="s">
        <v>16</v>
      </c>
    </row>
    <row r="27" spans="1:16" x14ac:dyDescent="0.35">
      <c r="A27" s="11" t="s">
        <v>1035</v>
      </c>
      <c r="B27" s="12">
        <f t="shared" si="2"/>
        <v>46104</v>
      </c>
      <c r="C27" s="12">
        <f t="shared" si="2"/>
        <v>46113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17</v>
      </c>
      <c r="J27" s="25">
        <v>17124300</v>
      </c>
      <c r="K27" s="25" t="s">
        <v>384</v>
      </c>
      <c r="L27" s="25" t="s">
        <v>387</v>
      </c>
      <c r="M27" s="37">
        <v>279900</v>
      </c>
      <c r="N27" s="31">
        <v>0.75</v>
      </c>
      <c r="O27" s="32">
        <f t="shared" si="0"/>
        <v>69975</v>
      </c>
      <c r="P27" s="28" t="s">
        <v>16</v>
      </c>
    </row>
    <row r="28" spans="1:16" x14ac:dyDescent="0.35">
      <c r="A28" s="11" t="s">
        <v>1035</v>
      </c>
      <c r="B28" s="12">
        <f t="shared" si="2"/>
        <v>46104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17</v>
      </c>
      <c r="J28" s="25">
        <v>17124319</v>
      </c>
      <c r="K28" s="25" t="s">
        <v>384</v>
      </c>
      <c r="L28" s="25" t="s">
        <v>388</v>
      </c>
      <c r="M28" s="37">
        <v>279900</v>
      </c>
      <c r="N28" s="31">
        <v>0.75</v>
      </c>
      <c r="O28" s="32">
        <f t="shared" si="0"/>
        <v>69975</v>
      </c>
      <c r="P28" s="28" t="s">
        <v>16</v>
      </c>
    </row>
    <row r="29" spans="1:16" x14ac:dyDescent="0.35">
      <c r="A29" s="11" t="s">
        <v>1035</v>
      </c>
      <c r="B29" s="12">
        <f t="shared" si="2"/>
        <v>46104</v>
      </c>
      <c r="C29" s="12">
        <f t="shared" si="2"/>
        <v>46113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17</v>
      </c>
      <c r="J29" s="25">
        <v>17124328</v>
      </c>
      <c r="K29" s="25" t="s">
        <v>384</v>
      </c>
      <c r="L29" s="25" t="s">
        <v>389</v>
      </c>
      <c r="M29" s="37">
        <v>279900</v>
      </c>
      <c r="N29" s="31">
        <v>0.75</v>
      </c>
      <c r="O29" s="32">
        <f t="shared" si="0"/>
        <v>69975</v>
      </c>
      <c r="P29" s="28" t="s">
        <v>16</v>
      </c>
    </row>
    <row r="30" spans="1:16" x14ac:dyDescent="0.35">
      <c r="A30" s="11" t="s">
        <v>1035</v>
      </c>
      <c r="B30" s="12">
        <f t="shared" si="2"/>
        <v>46104</v>
      </c>
      <c r="C30" s="12">
        <f t="shared" si="2"/>
        <v>46113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17</v>
      </c>
      <c r="J30" s="25">
        <v>17124337</v>
      </c>
      <c r="K30" s="25" t="s">
        <v>384</v>
      </c>
      <c r="L30" s="25" t="s">
        <v>390</v>
      </c>
      <c r="M30" s="37">
        <v>279900</v>
      </c>
      <c r="N30" s="31">
        <v>0.75</v>
      </c>
      <c r="O30" s="32">
        <f t="shared" si="0"/>
        <v>69975</v>
      </c>
      <c r="P30" s="28" t="s">
        <v>16</v>
      </c>
    </row>
    <row r="31" spans="1:16" x14ac:dyDescent="0.35">
      <c r="A31" s="11" t="s">
        <v>1035</v>
      </c>
      <c r="B31" s="12">
        <f t="shared" si="2"/>
        <v>46104</v>
      </c>
      <c r="C31" s="12">
        <f t="shared" si="2"/>
        <v>46113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17</v>
      </c>
      <c r="J31" s="25">
        <v>19550980</v>
      </c>
      <c r="K31" s="25" t="s">
        <v>391</v>
      </c>
      <c r="L31" s="25" t="s">
        <v>392</v>
      </c>
      <c r="M31" s="37">
        <v>279900</v>
      </c>
      <c r="N31" s="31">
        <v>0.75</v>
      </c>
      <c r="O31" s="32">
        <f t="shared" si="0"/>
        <v>69975</v>
      </c>
      <c r="P31" s="28" t="s">
        <v>16</v>
      </c>
    </row>
    <row r="32" spans="1:16" x14ac:dyDescent="0.35">
      <c r="A32" s="11" t="s">
        <v>1035</v>
      </c>
      <c r="B32" s="12">
        <f t="shared" si="2"/>
        <v>46104</v>
      </c>
      <c r="C32" s="12">
        <f t="shared" si="2"/>
        <v>46113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17</v>
      </c>
      <c r="J32" s="25">
        <v>19550999</v>
      </c>
      <c r="K32" s="25" t="s">
        <v>391</v>
      </c>
      <c r="L32" s="25" t="s">
        <v>393</v>
      </c>
      <c r="M32" s="37">
        <v>279900</v>
      </c>
      <c r="N32" s="31">
        <v>0.75</v>
      </c>
      <c r="O32" s="32">
        <f t="shared" si="0"/>
        <v>69975</v>
      </c>
      <c r="P32" s="28" t="s">
        <v>16</v>
      </c>
    </row>
    <row r="33" spans="1:16" x14ac:dyDescent="0.35">
      <c r="A33" s="11" t="s">
        <v>1035</v>
      </c>
      <c r="B33" s="12">
        <f t="shared" si="2"/>
        <v>46104</v>
      </c>
      <c r="C33" s="12">
        <f t="shared" si="2"/>
        <v>46113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17</v>
      </c>
      <c r="J33" s="25">
        <v>19551005</v>
      </c>
      <c r="K33" s="25" t="s">
        <v>391</v>
      </c>
      <c r="L33" s="25" t="s">
        <v>394</v>
      </c>
      <c r="M33" s="37">
        <v>279900</v>
      </c>
      <c r="N33" s="31">
        <v>0.75</v>
      </c>
      <c r="O33" s="32">
        <f t="shared" si="0"/>
        <v>69975</v>
      </c>
      <c r="P33" s="28" t="s">
        <v>16</v>
      </c>
    </row>
    <row r="34" spans="1:16" x14ac:dyDescent="0.35">
      <c r="A34" s="11" t="s">
        <v>1035</v>
      </c>
      <c r="B34" s="12">
        <f t="shared" si="2"/>
        <v>46104</v>
      </c>
      <c r="C34" s="12">
        <f t="shared" si="2"/>
        <v>46113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17</v>
      </c>
      <c r="J34" s="25">
        <v>19551014</v>
      </c>
      <c r="K34" s="25" t="s">
        <v>391</v>
      </c>
      <c r="L34" s="25" t="s">
        <v>395</v>
      </c>
      <c r="M34" s="37">
        <v>279900</v>
      </c>
      <c r="N34" s="31">
        <v>0.75</v>
      </c>
      <c r="O34" s="32">
        <f t="shared" ref="O34:O59" si="3">M34-(M34*N34)</f>
        <v>69975</v>
      </c>
      <c r="P34" s="28" t="s">
        <v>16</v>
      </c>
    </row>
    <row r="35" spans="1:16" x14ac:dyDescent="0.35">
      <c r="A35" s="11" t="s">
        <v>1035</v>
      </c>
      <c r="B35" s="12">
        <f t="shared" si="2"/>
        <v>46104</v>
      </c>
      <c r="C35" s="12">
        <f t="shared" si="2"/>
        <v>46113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17</v>
      </c>
      <c r="J35" s="25">
        <v>19551023</v>
      </c>
      <c r="K35" s="25" t="s">
        <v>391</v>
      </c>
      <c r="L35" s="25" t="s">
        <v>396</v>
      </c>
      <c r="M35" s="37">
        <v>279900</v>
      </c>
      <c r="N35" s="31">
        <v>0.75</v>
      </c>
      <c r="O35" s="32">
        <f t="shared" si="3"/>
        <v>69975</v>
      </c>
      <c r="P35" s="28" t="s">
        <v>16</v>
      </c>
    </row>
    <row r="36" spans="1:16" x14ac:dyDescent="0.35">
      <c r="A36" s="11" t="s">
        <v>1035</v>
      </c>
      <c r="B36" s="12">
        <f t="shared" ref="B36:C59" si="4">B35</f>
        <v>46104</v>
      </c>
      <c r="C36" s="12">
        <f t="shared" si="4"/>
        <v>46113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17</v>
      </c>
      <c r="J36" s="25">
        <v>19551032</v>
      </c>
      <c r="K36" s="25" t="s">
        <v>391</v>
      </c>
      <c r="L36" s="25" t="s">
        <v>397</v>
      </c>
      <c r="M36" s="37">
        <v>279900</v>
      </c>
      <c r="N36" s="31">
        <v>0.75</v>
      </c>
      <c r="O36" s="32">
        <f t="shared" si="3"/>
        <v>69975</v>
      </c>
      <c r="P36" s="28" t="s">
        <v>16</v>
      </c>
    </row>
    <row r="37" spans="1:16" x14ac:dyDescent="0.35">
      <c r="A37" s="11" t="s">
        <v>1035</v>
      </c>
      <c r="B37" s="12">
        <f t="shared" si="4"/>
        <v>46104</v>
      </c>
      <c r="C37" s="12">
        <f t="shared" si="4"/>
        <v>46113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17</v>
      </c>
      <c r="J37" s="25">
        <v>19551041</v>
      </c>
      <c r="K37" s="25" t="s">
        <v>391</v>
      </c>
      <c r="L37" s="25" t="s">
        <v>398</v>
      </c>
      <c r="M37" s="37">
        <v>279900</v>
      </c>
      <c r="N37" s="31">
        <v>0.75</v>
      </c>
      <c r="O37" s="32">
        <f t="shared" si="3"/>
        <v>69975</v>
      </c>
      <c r="P37" s="28" t="s">
        <v>16</v>
      </c>
    </row>
    <row r="38" spans="1:16" x14ac:dyDescent="0.35">
      <c r="A38" s="11" t="s">
        <v>1035</v>
      </c>
      <c r="B38" s="12">
        <f t="shared" si="4"/>
        <v>46104</v>
      </c>
      <c r="C38" s="12">
        <f t="shared" si="4"/>
        <v>46113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17</v>
      </c>
      <c r="J38" s="25">
        <v>19551050</v>
      </c>
      <c r="K38" s="25" t="s">
        <v>391</v>
      </c>
      <c r="L38" s="25" t="s">
        <v>399</v>
      </c>
      <c r="M38" s="37">
        <v>279900</v>
      </c>
      <c r="N38" s="31">
        <v>0.75</v>
      </c>
      <c r="O38" s="32">
        <f t="shared" si="3"/>
        <v>69975</v>
      </c>
      <c r="P38" s="28" t="s">
        <v>16</v>
      </c>
    </row>
    <row r="39" spans="1:16" x14ac:dyDescent="0.35">
      <c r="A39" s="11" t="s">
        <v>1035</v>
      </c>
      <c r="B39" s="12">
        <f t="shared" si="4"/>
        <v>46104</v>
      </c>
      <c r="C39" s="12">
        <f t="shared" si="4"/>
        <v>46113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17</v>
      </c>
      <c r="J39" s="25">
        <v>19551069</v>
      </c>
      <c r="K39" s="25" t="s">
        <v>391</v>
      </c>
      <c r="L39" s="25" t="s">
        <v>400</v>
      </c>
      <c r="M39" s="37">
        <v>279900</v>
      </c>
      <c r="N39" s="31">
        <v>0.75</v>
      </c>
      <c r="O39" s="32">
        <f t="shared" si="3"/>
        <v>69975</v>
      </c>
      <c r="P39" s="28" t="s">
        <v>16</v>
      </c>
    </row>
    <row r="40" spans="1:16" x14ac:dyDescent="0.35">
      <c r="A40" s="11" t="s">
        <v>1035</v>
      </c>
      <c r="B40" s="12">
        <f t="shared" si="4"/>
        <v>46104</v>
      </c>
      <c r="C40" s="12">
        <f t="shared" si="4"/>
        <v>46113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17</v>
      </c>
      <c r="J40" s="25">
        <v>19551078</v>
      </c>
      <c r="K40" s="25" t="s">
        <v>391</v>
      </c>
      <c r="L40" s="25" t="s">
        <v>401</v>
      </c>
      <c r="M40" s="37">
        <v>279900</v>
      </c>
      <c r="N40" s="31">
        <v>0.75</v>
      </c>
      <c r="O40" s="32">
        <f t="shared" si="3"/>
        <v>69975</v>
      </c>
      <c r="P40" s="28" t="s">
        <v>16</v>
      </c>
    </row>
    <row r="41" spans="1:16" x14ac:dyDescent="0.35">
      <c r="A41" s="11" t="s">
        <v>1035</v>
      </c>
      <c r="B41" s="12">
        <f t="shared" si="4"/>
        <v>46104</v>
      </c>
      <c r="C41" s="12">
        <f t="shared" si="4"/>
        <v>46113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17</v>
      </c>
      <c r="J41" s="25">
        <v>19551087</v>
      </c>
      <c r="K41" s="25" t="s">
        <v>391</v>
      </c>
      <c r="L41" s="25" t="s">
        <v>402</v>
      </c>
      <c r="M41" s="37">
        <v>279900</v>
      </c>
      <c r="N41" s="31">
        <v>0.75</v>
      </c>
      <c r="O41" s="32">
        <f t="shared" si="3"/>
        <v>69975</v>
      </c>
      <c r="P41" s="28" t="s">
        <v>16</v>
      </c>
    </row>
    <row r="42" spans="1:16" x14ac:dyDescent="0.35">
      <c r="A42" s="11" t="s">
        <v>1035</v>
      </c>
      <c r="B42" s="12">
        <f t="shared" si="4"/>
        <v>46104</v>
      </c>
      <c r="C42" s="12">
        <f t="shared" si="4"/>
        <v>46113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17</v>
      </c>
      <c r="J42" s="25">
        <v>19551149</v>
      </c>
      <c r="K42" s="25" t="s">
        <v>391</v>
      </c>
      <c r="L42" s="25" t="s">
        <v>403</v>
      </c>
      <c r="M42" s="37">
        <v>279900</v>
      </c>
      <c r="N42" s="31">
        <v>0.75</v>
      </c>
      <c r="O42" s="32">
        <f t="shared" si="3"/>
        <v>69975</v>
      </c>
      <c r="P42" s="28" t="s">
        <v>16</v>
      </c>
    </row>
    <row r="43" spans="1:16" x14ac:dyDescent="0.35">
      <c r="A43" s="11" t="s">
        <v>1035</v>
      </c>
      <c r="B43" s="12">
        <f t="shared" si="4"/>
        <v>46104</v>
      </c>
      <c r="C43" s="12">
        <f t="shared" si="4"/>
        <v>46113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17</v>
      </c>
      <c r="J43" s="25">
        <v>19551158</v>
      </c>
      <c r="K43" s="25" t="s">
        <v>404</v>
      </c>
      <c r="L43" s="25" t="s">
        <v>405</v>
      </c>
      <c r="M43" s="37">
        <v>279900</v>
      </c>
      <c r="N43" s="31">
        <v>0.75</v>
      </c>
      <c r="O43" s="32">
        <f t="shared" si="3"/>
        <v>69975</v>
      </c>
      <c r="P43" s="28" t="s">
        <v>16</v>
      </c>
    </row>
    <row r="44" spans="1:16" x14ac:dyDescent="0.35">
      <c r="A44" s="11" t="s">
        <v>1035</v>
      </c>
      <c r="B44" s="12">
        <f t="shared" si="4"/>
        <v>46104</v>
      </c>
      <c r="C44" s="12">
        <f t="shared" si="4"/>
        <v>46113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17</v>
      </c>
      <c r="J44" s="25">
        <v>19551167</v>
      </c>
      <c r="K44" s="25" t="s">
        <v>404</v>
      </c>
      <c r="L44" s="25" t="s">
        <v>406</v>
      </c>
      <c r="M44" s="37">
        <v>279900</v>
      </c>
      <c r="N44" s="31">
        <v>0.75</v>
      </c>
      <c r="O44" s="32">
        <f t="shared" si="3"/>
        <v>69975</v>
      </c>
      <c r="P44" s="28" t="s">
        <v>16</v>
      </c>
    </row>
    <row r="45" spans="1:16" x14ac:dyDescent="0.35">
      <c r="A45" s="11" t="s">
        <v>1035</v>
      </c>
      <c r="B45" s="12">
        <f t="shared" si="4"/>
        <v>46104</v>
      </c>
      <c r="C45" s="12">
        <f t="shared" si="4"/>
        <v>46113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17</v>
      </c>
      <c r="J45" s="25">
        <v>19551185</v>
      </c>
      <c r="K45" s="25" t="s">
        <v>404</v>
      </c>
      <c r="L45" s="25" t="s">
        <v>407</v>
      </c>
      <c r="M45" s="37">
        <v>279900</v>
      </c>
      <c r="N45" s="31">
        <v>0.75</v>
      </c>
      <c r="O45" s="32">
        <f t="shared" si="3"/>
        <v>69975</v>
      </c>
      <c r="P45" s="28" t="s">
        <v>16</v>
      </c>
    </row>
    <row r="46" spans="1:16" x14ac:dyDescent="0.35">
      <c r="A46" s="11" t="s">
        <v>1035</v>
      </c>
      <c r="B46" s="12">
        <f t="shared" si="4"/>
        <v>46104</v>
      </c>
      <c r="C46" s="12">
        <f t="shared" si="4"/>
        <v>46113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17</v>
      </c>
      <c r="J46" s="25">
        <v>19551229</v>
      </c>
      <c r="K46" s="25" t="s">
        <v>404</v>
      </c>
      <c r="L46" s="25" t="s">
        <v>408</v>
      </c>
      <c r="M46" s="37">
        <v>279900</v>
      </c>
      <c r="N46" s="31">
        <v>0.75</v>
      </c>
      <c r="O46" s="32">
        <f t="shared" si="3"/>
        <v>69975</v>
      </c>
      <c r="P46" s="28" t="s">
        <v>16</v>
      </c>
    </row>
    <row r="47" spans="1:16" x14ac:dyDescent="0.35">
      <c r="A47" s="11" t="s">
        <v>1035</v>
      </c>
      <c r="B47" s="12">
        <f t="shared" si="4"/>
        <v>46104</v>
      </c>
      <c r="C47" s="12">
        <f t="shared" si="4"/>
        <v>46113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17</v>
      </c>
      <c r="J47" s="25">
        <v>19551238</v>
      </c>
      <c r="K47" s="25" t="s">
        <v>404</v>
      </c>
      <c r="L47" s="25" t="s">
        <v>409</v>
      </c>
      <c r="M47" s="37">
        <v>279900</v>
      </c>
      <c r="N47" s="31">
        <v>0.75</v>
      </c>
      <c r="O47" s="32">
        <f t="shared" si="3"/>
        <v>69975</v>
      </c>
      <c r="P47" s="28" t="s">
        <v>16</v>
      </c>
    </row>
    <row r="48" spans="1:16" x14ac:dyDescent="0.35">
      <c r="A48" s="11" t="s">
        <v>1035</v>
      </c>
      <c r="B48" s="12">
        <f t="shared" si="4"/>
        <v>46104</v>
      </c>
      <c r="C48" s="12">
        <f t="shared" si="4"/>
        <v>46113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17</v>
      </c>
      <c r="J48" s="25">
        <v>19551247</v>
      </c>
      <c r="K48" s="25" t="s">
        <v>404</v>
      </c>
      <c r="L48" s="25" t="s">
        <v>410</v>
      </c>
      <c r="M48" s="37">
        <v>279900</v>
      </c>
      <c r="N48" s="31">
        <v>0.75</v>
      </c>
      <c r="O48" s="32">
        <f t="shared" si="3"/>
        <v>69975</v>
      </c>
      <c r="P48" s="28" t="s">
        <v>16</v>
      </c>
    </row>
    <row r="49" spans="1:16" x14ac:dyDescent="0.35">
      <c r="A49" s="11" t="s">
        <v>1035</v>
      </c>
      <c r="B49" s="12">
        <f t="shared" si="4"/>
        <v>46104</v>
      </c>
      <c r="C49" s="12">
        <f t="shared" si="4"/>
        <v>46113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17</v>
      </c>
      <c r="J49" s="25">
        <v>19551256</v>
      </c>
      <c r="K49" s="25" t="s">
        <v>365</v>
      </c>
      <c r="L49" s="25" t="s">
        <v>366</v>
      </c>
      <c r="M49" s="37">
        <v>279900</v>
      </c>
      <c r="N49" s="31">
        <v>0.75</v>
      </c>
      <c r="O49" s="32">
        <f t="shared" si="3"/>
        <v>69975</v>
      </c>
      <c r="P49" s="28" t="s">
        <v>16</v>
      </c>
    </row>
    <row r="50" spans="1:16" x14ac:dyDescent="0.35">
      <c r="A50" s="11" t="s">
        <v>1035</v>
      </c>
      <c r="B50" s="12">
        <f t="shared" si="4"/>
        <v>46104</v>
      </c>
      <c r="C50" s="12">
        <f t="shared" si="4"/>
        <v>46113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17</v>
      </c>
      <c r="J50" s="25">
        <v>19551274</v>
      </c>
      <c r="K50" s="25" t="s">
        <v>365</v>
      </c>
      <c r="L50" s="25" t="s">
        <v>367</v>
      </c>
      <c r="M50" s="37">
        <v>279900</v>
      </c>
      <c r="N50" s="31">
        <v>0.75</v>
      </c>
      <c r="O50" s="32">
        <f t="shared" si="3"/>
        <v>69975</v>
      </c>
      <c r="P50" s="28" t="s">
        <v>16</v>
      </c>
    </row>
    <row r="51" spans="1:16" x14ac:dyDescent="0.35">
      <c r="A51" s="11" t="s">
        <v>1035</v>
      </c>
      <c r="B51" s="12">
        <f t="shared" si="4"/>
        <v>46104</v>
      </c>
      <c r="C51" s="12">
        <f t="shared" si="4"/>
        <v>46113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17</v>
      </c>
      <c r="J51" s="25">
        <v>19551327</v>
      </c>
      <c r="K51" s="25" t="s">
        <v>365</v>
      </c>
      <c r="L51" s="25" t="s">
        <v>368</v>
      </c>
      <c r="M51" s="37">
        <v>279900</v>
      </c>
      <c r="N51" s="31">
        <v>0.75</v>
      </c>
      <c r="O51" s="32">
        <f t="shared" si="3"/>
        <v>69975</v>
      </c>
      <c r="P51" s="28" t="s">
        <v>16</v>
      </c>
    </row>
    <row r="52" spans="1:16" x14ac:dyDescent="0.35">
      <c r="A52" s="11" t="s">
        <v>1035</v>
      </c>
      <c r="B52" s="12">
        <f t="shared" si="4"/>
        <v>46104</v>
      </c>
      <c r="C52" s="12">
        <f t="shared" si="4"/>
        <v>46113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17</v>
      </c>
      <c r="J52" s="25">
        <v>19551336</v>
      </c>
      <c r="K52" s="25" t="s">
        <v>365</v>
      </c>
      <c r="L52" s="25" t="s">
        <v>369</v>
      </c>
      <c r="M52" s="37">
        <v>279900</v>
      </c>
      <c r="N52" s="31">
        <v>0.75</v>
      </c>
      <c r="O52" s="32">
        <f t="shared" si="3"/>
        <v>69975</v>
      </c>
      <c r="P52" s="28" t="s">
        <v>16</v>
      </c>
    </row>
    <row r="53" spans="1:16" x14ac:dyDescent="0.35">
      <c r="A53" s="11" t="s">
        <v>1035</v>
      </c>
      <c r="B53" s="12">
        <f t="shared" si="4"/>
        <v>46104</v>
      </c>
      <c r="C53" s="12">
        <f t="shared" si="4"/>
        <v>46113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17</v>
      </c>
      <c r="J53" s="25">
        <v>19551345</v>
      </c>
      <c r="K53" s="25" t="s">
        <v>365</v>
      </c>
      <c r="L53" s="25" t="s">
        <v>370</v>
      </c>
      <c r="M53" s="37">
        <v>279900</v>
      </c>
      <c r="N53" s="31">
        <v>0.75</v>
      </c>
      <c r="O53" s="32">
        <f t="shared" si="3"/>
        <v>69975</v>
      </c>
      <c r="P53" s="28" t="s">
        <v>16</v>
      </c>
    </row>
    <row r="54" spans="1:16" x14ac:dyDescent="0.35">
      <c r="A54" s="11" t="s">
        <v>1035</v>
      </c>
      <c r="B54" s="12">
        <f t="shared" si="4"/>
        <v>46104</v>
      </c>
      <c r="C54" s="12">
        <f t="shared" si="4"/>
        <v>46113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17</v>
      </c>
      <c r="J54" s="25">
        <v>19551407</v>
      </c>
      <c r="K54" s="25" t="s">
        <v>365</v>
      </c>
      <c r="L54" s="25" t="s">
        <v>371</v>
      </c>
      <c r="M54" s="37">
        <v>279900</v>
      </c>
      <c r="N54" s="31">
        <v>0.75</v>
      </c>
      <c r="O54" s="32">
        <f t="shared" si="3"/>
        <v>69975</v>
      </c>
      <c r="P54" s="28" t="s">
        <v>16</v>
      </c>
    </row>
    <row r="55" spans="1:16" x14ac:dyDescent="0.35">
      <c r="A55" s="11" t="s">
        <v>1035</v>
      </c>
      <c r="B55" s="12">
        <f t="shared" si="4"/>
        <v>46104</v>
      </c>
      <c r="C55" s="12">
        <f t="shared" si="4"/>
        <v>46113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17</v>
      </c>
      <c r="J55" s="25">
        <v>19551416</v>
      </c>
      <c r="K55" s="25" t="s">
        <v>365</v>
      </c>
      <c r="L55" s="25" t="s">
        <v>372</v>
      </c>
      <c r="M55" s="37">
        <v>279900</v>
      </c>
      <c r="N55" s="31">
        <v>0.75</v>
      </c>
      <c r="O55" s="32">
        <f t="shared" si="3"/>
        <v>69975</v>
      </c>
      <c r="P55" s="28" t="s">
        <v>16</v>
      </c>
    </row>
    <row r="56" spans="1:16" x14ac:dyDescent="0.35">
      <c r="A56" s="11" t="s">
        <v>1035</v>
      </c>
      <c r="B56" s="12">
        <f t="shared" si="4"/>
        <v>46104</v>
      </c>
      <c r="C56" s="12">
        <f t="shared" si="4"/>
        <v>46113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17</v>
      </c>
      <c r="J56" s="25">
        <v>19551434</v>
      </c>
      <c r="K56" s="25" t="s">
        <v>365</v>
      </c>
      <c r="L56" s="25" t="s">
        <v>373</v>
      </c>
      <c r="M56" s="37">
        <v>279900</v>
      </c>
      <c r="N56" s="31">
        <v>0.75</v>
      </c>
      <c r="O56" s="32">
        <f t="shared" si="3"/>
        <v>69975</v>
      </c>
      <c r="P56" s="28" t="s">
        <v>16</v>
      </c>
    </row>
    <row r="57" spans="1:16" x14ac:dyDescent="0.35">
      <c r="A57" s="11" t="s">
        <v>1035</v>
      </c>
      <c r="B57" s="12">
        <f t="shared" si="4"/>
        <v>46104</v>
      </c>
      <c r="C57" s="12">
        <f t="shared" si="4"/>
        <v>46113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17</v>
      </c>
      <c r="J57" s="25">
        <v>19551514</v>
      </c>
      <c r="K57" s="25" t="s">
        <v>365</v>
      </c>
      <c r="L57" s="25" t="s">
        <v>374</v>
      </c>
      <c r="M57" s="37">
        <v>279900</v>
      </c>
      <c r="N57" s="31">
        <v>0.75</v>
      </c>
      <c r="O57" s="32">
        <f t="shared" si="3"/>
        <v>69975</v>
      </c>
      <c r="P57" s="28" t="s">
        <v>16</v>
      </c>
    </row>
    <row r="58" spans="1:16" x14ac:dyDescent="0.35">
      <c r="A58" s="11" t="s">
        <v>1035</v>
      </c>
      <c r="B58" s="12">
        <f t="shared" si="4"/>
        <v>46104</v>
      </c>
      <c r="C58" s="12">
        <f t="shared" si="4"/>
        <v>46113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17</v>
      </c>
      <c r="J58" s="25">
        <v>19551523</v>
      </c>
      <c r="K58" s="25" t="s">
        <v>365</v>
      </c>
      <c r="L58" s="25" t="s">
        <v>375</v>
      </c>
      <c r="M58" s="37">
        <v>279900</v>
      </c>
      <c r="N58" s="31">
        <v>0.75</v>
      </c>
      <c r="O58" s="32">
        <f t="shared" si="3"/>
        <v>69975</v>
      </c>
      <c r="P58" s="28" t="s">
        <v>16</v>
      </c>
    </row>
    <row r="59" spans="1:16" x14ac:dyDescent="0.35">
      <c r="A59" s="11" t="s">
        <v>1035</v>
      </c>
      <c r="B59" s="12">
        <f t="shared" si="4"/>
        <v>46104</v>
      </c>
      <c r="C59" s="12">
        <f t="shared" si="4"/>
        <v>46113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17</v>
      </c>
      <c r="J59" s="25">
        <v>19551532</v>
      </c>
      <c r="K59" s="25" t="s">
        <v>365</v>
      </c>
      <c r="L59" s="25" t="s">
        <v>376</v>
      </c>
      <c r="M59" s="37">
        <v>279900</v>
      </c>
      <c r="N59" s="31">
        <v>0.75</v>
      </c>
      <c r="O59" s="32">
        <f t="shared" si="3"/>
        <v>69975</v>
      </c>
      <c r="P59" s="28" t="s">
        <v>16</v>
      </c>
    </row>
  </sheetData>
  <autoFilter ref="A1:P58" xr:uid="{00000000-0009-0000-0000-000009000000}"/>
  <conditionalFormatting sqref="J1 J18">
    <cfRule type="duplicateValues" dxfId="682" priority="6933"/>
    <cfRule type="duplicateValues" dxfId="681" priority="6934"/>
    <cfRule type="duplicateValues" dxfId="680" priority="6935"/>
    <cfRule type="duplicateValues" dxfId="679" priority="6936"/>
    <cfRule type="duplicateValues" dxfId="678" priority="6937"/>
    <cfRule type="duplicateValues" dxfId="677" priority="6938"/>
    <cfRule type="duplicateValues" dxfId="676" priority="6939"/>
    <cfRule type="duplicateValues" dxfId="675" priority="6940"/>
    <cfRule type="duplicateValues" dxfId="674" priority="6941"/>
    <cfRule type="duplicateValues" dxfId="673" priority="6942"/>
    <cfRule type="duplicateValues" dxfId="672" priority="6943"/>
  </conditionalFormatting>
  <conditionalFormatting sqref="J1:J1048576">
    <cfRule type="duplicateValues" dxfId="671" priority="1"/>
    <cfRule type="duplicateValues" dxfId="670" priority="6944"/>
    <cfRule type="duplicateValues" dxfId="669" priority="6945"/>
    <cfRule type="duplicateValues" dxfId="668" priority="6946"/>
    <cfRule type="duplicateValues" dxfId="667" priority="6947"/>
    <cfRule type="duplicateValues" dxfId="666" priority="6948"/>
    <cfRule type="duplicateValues" dxfId="665" priority="6949"/>
    <cfRule type="duplicateValues" dxfId="664" priority="6950"/>
    <cfRule type="duplicateValues" dxfId="663" priority="6951"/>
    <cfRule type="duplicateValues" dxfId="662" priority="6952"/>
    <cfRule type="duplicateValues" dxfId="661" priority="6953"/>
    <cfRule type="duplicateValues" dxfId="660" priority="6954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P143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33.26953125" style="23" bestFit="1" customWidth="1"/>
    <col min="2" max="2" width="10.453125" style="23" bestFit="1" customWidth="1"/>
    <col min="3" max="3" width="10.1796875" style="23" bestFit="1" customWidth="1"/>
    <col min="4" max="9" width="8.7265625" style="23"/>
    <col min="10" max="10" width="9" style="23" customWidth="1"/>
    <col min="11" max="11" width="11.54296875" style="23" bestFit="1" customWidth="1"/>
    <col min="12" max="12" width="79.54296875" style="23" bestFit="1" customWidth="1"/>
    <col min="13" max="13" width="14.453125" style="55" bestFit="1" customWidth="1"/>
    <col min="14" max="14" width="8.7265625" style="23"/>
    <col min="15" max="15" width="13.453125" style="23" bestFit="1" customWidth="1"/>
    <col min="16" max="16" width="14.26953125" style="23" bestFit="1" customWidth="1"/>
    <col min="17" max="16384" width="8.7265625" style="23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2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1036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73"/>
      <c r="H2" s="73">
        <v>6</v>
      </c>
      <c r="I2" s="11" t="s">
        <v>17</v>
      </c>
      <c r="J2" s="73">
        <v>16752482</v>
      </c>
      <c r="K2" s="73" t="s">
        <v>190</v>
      </c>
      <c r="L2" s="73" t="s">
        <v>554</v>
      </c>
      <c r="M2" s="74">
        <v>279900</v>
      </c>
      <c r="N2" s="31">
        <v>0.75</v>
      </c>
      <c r="O2" s="32">
        <f t="shared" ref="O2:O33" si="0">M2-(M2*N2)</f>
        <v>69975</v>
      </c>
      <c r="P2" s="28" t="s">
        <v>16</v>
      </c>
    </row>
    <row r="3" spans="1:16" x14ac:dyDescent="0.35">
      <c r="A3" s="11" t="s">
        <v>1036</v>
      </c>
      <c r="B3" s="12">
        <f>B2</f>
        <v>46104</v>
      </c>
      <c r="C3" s="12">
        <f t="shared" ref="C3" si="1">C2</f>
        <v>46113</v>
      </c>
      <c r="D3" s="11">
        <v>3259</v>
      </c>
      <c r="E3" s="11">
        <v>333</v>
      </c>
      <c r="F3" s="11">
        <v>3</v>
      </c>
      <c r="G3" s="73"/>
      <c r="H3" s="73">
        <v>6</v>
      </c>
      <c r="I3" s="11" t="s">
        <v>17</v>
      </c>
      <c r="J3" s="73">
        <v>16752491</v>
      </c>
      <c r="K3" s="73" t="s">
        <v>190</v>
      </c>
      <c r="L3" s="73" t="s">
        <v>555</v>
      </c>
      <c r="M3" s="74">
        <v>279900</v>
      </c>
      <c r="N3" s="31">
        <v>0.75</v>
      </c>
      <c r="O3" s="32">
        <f t="shared" si="0"/>
        <v>69975</v>
      </c>
      <c r="P3" s="28" t="s">
        <v>16</v>
      </c>
    </row>
    <row r="4" spans="1:16" x14ac:dyDescent="0.35">
      <c r="A4" s="11" t="s">
        <v>1036</v>
      </c>
      <c r="B4" s="12">
        <f t="shared" ref="B4:B67" si="2">B3</f>
        <v>46104</v>
      </c>
      <c r="C4" s="12">
        <f t="shared" ref="C4:C67" si="3">C3</f>
        <v>46113</v>
      </c>
      <c r="D4" s="11">
        <v>3259</v>
      </c>
      <c r="E4" s="11">
        <v>333</v>
      </c>
      <c r="F4" s="11">
        <v>3</v>
      </c>
      <c r="G4" s="73"/>
      <c r="H4" s="73">
        <v>6</v>
      </c>
      <c r="I4" s="11" t="s">
        <v>17</v>
      </c>
      <c r="J4" s="73">
        <v>16752508</v>
      </c>
      <c r="K4" s="73" t="s">
        <v>190</v>
      </c>
      <c r="L4" s="73" t="s">
        <v>556</v>
      </c>
      <c r="M4" s="74">
        <v>279900</v>
      </c>
      <c r="N4" s="31">
        <v>0.75</v>
      </c>
      <c r="O4" s="32">
        <f t="shared" si="0"/>
        <v>69975</v>
      </c>
      <c r="P4" s="28" t="s">
        <v>16</v>
      </c>
    </row>
    <row r="5" spans="1:16" x14ac:dyDescent="0.35">
      <c r="A5" s="11" t="s">
        <v>1036</v>
      </c>
      <c r="B5" s="12">
        <f t="shared" si="2"/>
        <v>46104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73"/>
      <c r="H5" s="73">
        <v>6</v>
      </c>
      <c r="I5" s="11" t="s">
        <v>17</v>
      </c>
      <c r="J5" s="73">
        <v>16752517</v>
      </c>
      <c r="K5" s="73" t="s">
        <v>190</v>
      </c>
      <c r="L5" s="73" t="s">
        <v>557</v>
      </c>
      <c r="M5" s="74">
        <v>279900</v>
      </c>
      <c r="N5" s="31">
        <v>0.75</v>
      </c>
      <c r="O5" s="32">
        <f t="shared" si="0"/>
        <v>69975</v>
      </c>
      <c r="P5" s="28" t="s">
        <v>16</v>
      </c>
    </row>
    <row r="6" spans="1:16" x14ac:dyDescent="0.35">
      <c r="A6" s="11" t="s">
        <v>1036</v>
      </c>
      <c r="B6" s="12">
        <f t="shared" si="2"/>
        <v>46104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73"/>
      <c r="H6" s="73">
        <v>6</v>
      </c>
      <c r="I6" s="11" t="s">
        <v>17</v>
      </c>
      <c r="J6" s="73">
        <v>16752526</v>
      </c>
      <c r="K6" s="73" t="s">
        <v>190</v>
      </c>
      <c r="L6" s="73" t="s">
        <v>558</v>
      </c>
      <c r="M6" s="74">
        <v>279900</v>
      </c>
      <c r="N6" s="31">
        <v>0.75</v>
      </c>
      <c r="O6" s="32">
        <f t="shared" si="0"/>
        <v>69975</v>
      </c>
      <c r="P6" s="28" t="s">
        <v>16</v>
      </c>
    </row>
    <row r="7" spans="1:16" x14ac:dyDescent="0.35">
      <c r="A7" s="11" t="s">
        <v>1036</v>
      </c>
      <c r="B7" s="12">
        <f t="shared" si="2"/>
        <v>46104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73"/>
      <c r="H7" s="73">
        <v>6</v>
      </c>
      <c r="I7" s="11" t="s">
        <v>17</v>
      </c>
      <c r="J7" s="73">
        <v>16752535</v>
      </c>
      <c r="K7" s="73" t="s">
        <v>190</v>
      </c>
      <c r="L7" s="73" t="s">
        <v>559</v>
      </c>
      <c r="M7" s="74">
        <v>279900</v>
      </c>
      <c r="N7" s="31">
        <v>0.75</v>
      </c>
      <c r="O7" s="32">
        <f t="shared" si="0"/>
        <v>69975</v>
      </c>
      <c r="P7" s="28" t="s">
        <v>16</v>
      </c>
    </row>
    <row r="8" spans="1:16" x14ac:dyDescent="0.35">
      <c r="A8" s="11" t="s">
        <v>1036</v>
      </c>
      <c r="B8" s="12">
        <f t="shared" si="2"/>
        <v>46104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73"/>
      <c r="H8" s="73">
        <v>6</v>
      </c>
      <c r="I8" s="11" t="s">
        <v>17</v>
      </c>
      <c r="J8" s="73">
        <v>16752544</v>
      </c>
      <c r="K8" s="73" t="s">
        <v>190</v>
      </c>
      <c r="L8" s="73" t="s">
        <v>560</v>
      </c>
      <c r="M8" s="74">
        <v>279900</v>
      </c>
      <c r="N8" s="31">
        <v>0.75</v>
      </c>
      <c r="O8" s="32">
        <f t="shared" si="0"/>
        <v>69975</v>
      </c>
      <c r="P8" s="28" t="s">
        <v>16</v>
      </c>
    </row>
    <row r="9" spans="1:16" x14ac:dyDescent="0.35">
      <c r="A9" s="11" t="s">
        <v>1036</v>
      </c>
      <c r="B9" s="12">
        <f t="shared" si="2"/>
        <v>46104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25"/>
      <c r="H9" s="73">
        <v>6</v>
      </c>
      <c r="I9" s="11" t="s">
        <v>17</v>
      </c>
      <c r="J9" s="25">
        <v>16752553</v>
      </c>
      <c r="K9" s="25" t="s">
        <v>190</v>
      </c>
      <c r="L9" s="25" t="s">
        <v>561</v>
      </c>
      <c r="M9" s="62">
        <v>279900</v>
      </c>
      <c r="N9" s="31">
        <v>0.75</v>
      </c>
      <c r="O9" s="32">
        <f t="shared" si="0"/>
        <v>69975</v>
      </c>
      <c r="P9" s="28" t="s">
        <v>16</v>
      </c>
    </row>
    <row r="10" spans="1:16" x14ac:dyDescent="0.35">
      <c r="A10" s="11" t="s">
        <v>1036</v>
      </c>
      <c r="B10" s="12">
        <f t="shared" si="2"/>
        <v>46104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25"/>
      <c r="H10" s="73">
        <v>6</v>
      </c>
      <c r="I10" s="11" t="s">
        <v>17</v>
      </c>
      <c r="J10" s="25">
        <v>16752562</v>
      </c>
      <c r="K10" s="25" t="s">
        <v>190</v>
      </c>
      <c r="L10" s="25" t="s">
        <v>562</v>
      </c>
      <c r="M10" s="62">
        <v>279900</v>
      </c>
      <c r="N10" s="31">
        <v>0.75</v>
      </c>
      <c r="O10" s="32">
        <f t="shared" si="0"/>
        <v>69975</v>
      </c>
      <c r="P10" s="28" t="s">
        <v>16</v>
      </c>
    </row>
    <row r="11" spans="1:16" x14ac:dyDescent="0.35">
      <c r="A11" s="11" t="s">
        <v>1036</v>
      </c>
      <c r="B11" s="12">
        <f t="shared" si="2"/>
        <v>46104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25"/>
      <c r="H11" s="73">
        <v>6</v>
      </c>
      <c r="I11" s="11" t="s">
        <v>17</v>
      </c>
      <c r="J11" s="25">
        <v>16752571</v>
      </c>
      <c r="K11" s="25" t="s">
        <v>190</v>
      </c>
      <c r="L11" s="25" t="s">
        <v>563</v>
      </c>
      <c r="M11" s="62">
        <v>279900</v>
      </c>
      <c r="N11" s="31">
        <v>0.75</v>
      </c>
      <c r="O11" s="32">
        <f t="shared" si="0"/>
        <v>69975</v>
      </c>
      <c r="P11" s="28" t="s">
        <v>16</v>
      </c>
    </row>
    <row r="12" spans="1:16" x14ac:dyDescent="0.35">
      <c r="A12" s="11" t="s">
        <v>1036</v>
      </c>
      <c r="B12" s="12">
        <f t="shared" si="2"/>
        <v>46104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25"/>
      <c r="H12" s="73">
        <v>6</v>
      </c>
      <c r="I12" s="11" t="s">
        <v>17</v>
      </c>
      <c r="J12" s="25">
        <v>16752580</v>
      </c>
      <c r="K12" s="25" t="s">
        <v>190</v>
      </c>
      <c r="L12" s="25" t="s">
        <v>564</v>
      </c>
      <c r="M12" s="62">
        <v>279900</v>
      </c>
      <c r="N12" s="31">
        <v>0.75</v>
      </c>
      <c r="O12" s="32">
        <f t="shared" si="0"/>
        <v>69975</v>
      </c>
      <c r="P12" s="28" t="s">
        <v>16</v>
      </c>
    </row>
    <row r="13" spans="1:16" x14ac:dyDescent="0.35">
      <c r="A13" s="11" t="s">
        <v>1036</v>
      </c>
      <c r="B13" s="12">
        <f t="shared" si="2"/>
        <v>46104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25"/>
      <c r="H13" s="73">
        <v>6</v>
      </c>
      <c r="I13" s="11" t="s">
        <v>17</v>
      </c>
      <c r="J13" s="25">
        <v>16752599</v>
      </c>
      <c r="K13" s="25" t="s">
        <v>190</v>
      </c>
      <c r="L13" s="25" t="s">
        <v>565</v>
      </c>
      <c r="M13" s="62">
        <v>279900</v>
      </c>
      <c r="N13" s="31">
        <v>0.75</v>
      </c>
      <c r="O13" s="32">
        <f t="shared" si="0"/>
        <v>69975</v>
      </c>
      <c r="P13" s="28" t="s">
        <v>16</v>
      </c>
    </row>
    <row r="14" spans="1:16" x14ac:dyDescent="0.35">
      <c r="A14" s="11" t="s">
        <v>1036</v>
      </c>
      <c r="B14" s="12">
        <f t="shared" si="2"/>
        <v>46104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25"/>
      <c r="H14" s="73">
        <v>6</v>
      </c>
      <c r="I14" s="11" t="s">
        <v>17</v>
      </c>
      <c r="J14" s="25">
        <v>26785151</v>
      </c>
      <c r="K14" s="25" t="s">
        <v>48</v>
      </c>
      <c r="L14" s="25" t="s">
        <v>566</v>
      </c>
      <c r="M14" s="62">
        <v>279900</v>
      </c>
      <c r="N14" s="31">
        <v>0.75</v>
      </c>
      <c r="O14" s="32">
        <f t="shared" si="0"/>
        <v>69975</v>
      </c>
      <c r="P14" s="28" t="s">
        <v>16</v>
      </c>
    </row>
    <row r="15" spans="1:16" x14ac:dyDescent="0.35">
      <c r="A15" s="11" t="s">
        <v>1036</v>
      </c>
      <c r="B15" s="12">
        <f t="shared" si="2"/>
        <v>46104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25"/>
      <c r="H15" s="73">
        <v>6</v>
      </c>
      <c r="I15" s="11" t="s">
        <v>17</v>
      </c>
      <c r="J15" s="25">
        <v>26785160</v>
      </c>
      <c r="K15" s="25" t="s">
        <v>48</v>
      </c>
      <c r="L15" s="25" t="s">
        <v>567</v>
      </c>
      <c r="M15" s="62">
        <v>279900</v>
      </c>
      <c r="N15" s="31">
        <v>0.75</v>
      </c>
      <c r="O15" s="32">
        <f t="shared" si="0"/>
        <v>69975</v>
      </c>
      <c r="P15" s="28" t="s">
        <v>16</v>
      </c>
    </row>
    <row r="16" spans="1:16" x14ac:dyDescent="0.35">
      <c r="A16" s="11" t="s">
        <v>1036</v>
      </c>
      <c r="B16" s="12">
        <f t="shared" si="2"/>
        <v>46104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25"/>
      <c r="H16" s="73">
        <v>6</v>
      </c>
      <c r="I16" s="11" t="s">
        <v>17</v>
      </c>
      <c r="J16" s="25">
        <v>26786178</v>
      </c>
      <c r="K16" s="25" t="s">
        <v>48</v>
      </c>
      <c r="L16" s="25" t="s">
        <v>568</v>
      </c>
      <c r="M16" s="62">
        <v>279900</v>
      </c>
      <c r="N16" s="31">
        <v>0.75</v>
      </c>
      <c r="O16" s="32">
        <f t="shared" si="0"/>
        <v>69975</v>
      </c>
      <c r="P16" s="28" t="s">
        <v>16</v>
      </c>
    </row>
    <row r="17" spans="1:16" x14ac:dyDescent="0.35">
      <c r="A17" s="11" t="s">
        <v>1036</v>
      </c>
      <c r="B17" s="12">
        <f t="shared" si="2"/>
        <v>46104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25"/>
      <c r="H17" s="73">
        <v>6</v>
      </c>
      <c r="I17" s="11" t="s">
        <v>17</v>
      </c>
      <c r="J17" s="25">
        <v>26786187</v>
      </c>
      <c r="K17" s="25" t="s">
        <v>48</v>
      </c>
      <c r="L17" s="25" t="s">
        <v>569</v>
      </c>
      <c r="M17" s="62">
        <v>279900</v>
      </c>
      <c r="N17" s="31">
        <v>0.75</v>
      </c>
      <c r="O17" s="32">
        <f t="shared" si="0"/>
        <v>69975</v>
      </c>
      <c r="P17" s="28" t="s">
        <v>16</v>
      </c>
    </row>
    <row r="18" spans="1:16" x14ac:dyDescent="0.35">
      <c r="A18" s="11" t="s">
        <v>1036</v>
      </c>
      <c r="B18" s="12">
        <f t="shared" si="2"/>
        <v>46104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25"/>
      <c r="H18" s="73">
        <v>6</v>
      </c>
      <c r="I18" s="11" t="s">
        <v>17</v>
      </c>
      <c r="J18" s="25">
        <v>26786196</v>
      </c>
      <c r="K18" s="25" t="s">
        <v>48</v>
      </c>
      <c r="L18" s="25" t="s">
        <v>570</v>
      </c>
      <c r="M18" s="62">
        <v>279900</v>
      </c>
      <c r="N18" s="31">
        <v>0.75</v>
      </c>
      <c r="O18" s="32">
        <f t="shared" si="0"/>
        <v>69975</v>
      </c>
      <c r="P18" s="28" t="s">
        <v>16</v>
      </c>
    </row>
    <row r="19" spans="1:16" x14ac:dyDescent="0.35">
      <c r="A19" s="11" t="s">
        <v>1036</v>
      </c>
      <c r="B19" s="12">
        <f t="shared" si="2"/>
        <v>46104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25"/>
      <c r="H19" s="73">
        <v>6</v>
      </c>
      <c r="I19" s="11" t="s">
        <v>17</v>
      </c>
      <c r="J19" s="25">
        <v>26786203</v>
      </c>
      <c r="K19" s="25" t="s">
        <v>48</v>
      </c>
      <c r="L19" s="25" t="s">
        <v>571</v>
      </c>
      <c r="M19" s="62">
        <v>279900</v>
      </c>
      <c r="N19" s="31">
        <v>0.75</v>
      </c>
      <c r="O19" s="32">
        <f t="shared" si="0"/>
        <v>69975</v>
      </c>
      <c r="P19" s="28" t="s">
        <v>16</v>
      </c>
    </row>
    <row r="20" spans="1:16" x14ac:dyDescent="0.35">
      <c r="A20" s="11" t="s">
        <v>1036</v>
      </c>
      <c r="B20" s="12">
        <f t="shared" si="2"/>
        <v>46104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25"/>
      <c r="H20" s="73">
        <v>6</v>
      </c>
      <c r="I20" s="11" t="s">
        <v>17</v>
      </c>
      <c r="J20" s="25">
        <v>50386037</v>
      </c>
      <c r="K20" s="25" t="s">
        <v>584</v>
      </c>
      <c r="L20" s="25" t="s">
        <v>585</v>
      </c>
      <c r="M20" s="62">
        <v>279900</v>
      </c>
      <c r="N20" s="31">
        <v>0.75</v>
      </c>
      <c r="O20" s="32">
        <f t="shared" si="0"/>
        <v>69975</v>
      </c>
      <c r="P20" s="28" t="s">
        <v>16</v>
      </c>
    </row>
    <row r="21" spans="1:16" x14ac:dyDescent="0.35">
      <c r="A21" s="11" t="s">
        <v>1036</v>
      </c>
      <c r="B21" s="12">
        <f t="shared" si="2"/>
        <v>46104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25"/>
      <c r="H21" s="73">
        <v>6</v>
      </c>
      <c r="I21" s="11" t="s">
        <v>17</v>
      </c>
      <c r="J21" s="25">
        <v>50386046</v>
      </c>
      <c r="K21" s="25" t="s">
        <v>584</v>
      </c>
      <c r="L21" s="25" t="s">
        <v>586</v>
      </c>
      <c r="M21" s="62">
        <v>279900</v>
      </c>
      <c r="N21" s="31">
        <v>0.75</v>
      </c>
      <c r="O21" s="32">
        <f t="shared" si="0"/>
        <v>69975</v>
      </c>
      <c r="P21" s="28" t="s">
        <v>16</v>
      </c>
    </row>
    <row r="22" spans="1:16" x14ac:dyDescent="0.35">
      <c r="A22" s="11" t="s">
        <v>1036</v>
      </c>
      <c r="B22" s="12">
        <f t="shared" si="2"/>
        <v>46104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25"/>
      <c r="H22" s="73">
        <v>6</v>
      </c>
      <c r="I22" s="11" t="s">
        <v>17</v>
      </c>
      <c r="J22" s="25">
        <v>50386055</v>
      </c>
      <c r="K22" s="25" t="s">
        <v>584</v>
      </c>
      <c r="L22" s="25" t="s">
        <v>587</v>
      </c>
      <c r="M22" s="62">
        <v>279900</v>
      </c>
      <c r="N22" s="31">
        <v>0.75</v>
      </c>
      <c r="O22" s="32">
        <f t="shared" si="0"/>
        <v>69975</v>
      </c>
      <c r="P22" s="28" t="s">
        <v>16</v>
      </c>
    </row>
    <row r="23" spans="1:16" x14ac:dyDescent="0.35">
      <c r="A23" s="11" t="s">
        <v>1036</v>
      </c>
      <c r="B23" s="12">
        <f t="shared" si="2"/>
        <v>46104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25"/>
      <c r="H23" s="73">
        <v>6</v>
      </c>
      <c r="I23" s="11" t="s">
        <v>17</v>
      </c>
      <c r="J23" s="25">
        <v>50386064</v>
      </c>
      <c r="K23" s="25" t="s">
        <v>584</v>
      </c>
      <c r="L23" s="25" t="s">
        <v>588</v>
      </c>
      <c r="M23" s="62">
        <v>279900</v>
      </c>
      <c r="N23" s="31">
        <v>0.75</v>
      </c>
      <c r="O23" s="32">
        <f t="shared" si="0"/>
        <v>69975</v>
      </c>
      <c r="P23" s="28" t="s">
        <v>16</v>
      </c>
    </row>
    <row r="24" spans="1:16" x14ac:dyDescent="0.35">
      <c r="A24" s="11" t="s">
        <v>1036</v>
      </c>
      <c r="B24" s="12">
        <f t="shared" si="2"/>
        <v>46104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25"/>
      <c r="H24" s="73">
        <v>6</v>
      </c>
      <c r="I24" s="11" t="s">
        <v>17</v>
      </c>
      <c r="J24" s="25">
        <v>50386073</v>
      </c>
      <c r="K24" s="25" t="s">
        <v>584</v>
      </c>
      <c r="L24" s="25" t="s">
        <v>589</v>
      </c>
      <c r="M24" s="62">
        <v>279900</v>
      </c>
      <c r="N24" s="31">
        <v>0.75</v>
      </c>
      <c r="O24" s="32">
        <f t="shared" si="0"/>
        <v>69975</v>
      </c>
      <c r="P24" s="28" t="s">
        <v>16</v>
      </c>
    </row>
    <row r="25" spans="1:16" x14ac:dyDescent="0.35">
      <c r="A25" s="11" t="s">
        <v>1036</v>
      </c>
      <c r="B25" s="12">
        <f t="shared" si="2"/>
        <v>46104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25"/>
      <c r="H25" s="73">
        <v>6</v>
      </c>
      <c r="I25" s="11" t="s">
        <v>17</v>
      </c>
      <c r="J25" s="25">
        <v>50386082</v>
      </c>
      <c r="K25" s="25" t="s">
        <v>584</v>
      </c>
      <c r="L25" s="25" t="s">
        <v>590</v>
      </c>
      <c r="M25" s="62">
        <v>279900</v>
      </c>
      <c r="N25" s="31">
        <v>0.75</v>
      </c>
      <c r="O25" s="32">
        <f t="shared" si="0"/>
        <v>69975</v>
      </c>
      <c r="P25" s="28" t="s">
        <v>16</v>
      </c>
    </row>
    <row r="26" spans="1:16" x14ac:dyDescent="0.35">
      <c r="A26" s="11" t="s">
        <v>1036</v>
      </c>
      <c r="B26" s="12">
        <f t="shared" si="2"/>
        <v>46104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25"/>
      <c r="H26" s="73">
        <v>6</v>
      </c>
      <c r="I26" s="11" t="s">
        <v>17</v>
      </c>
      <c r="J26" s="25">
        <v>50386126</v>
      </c>
      <c r="K26" s="25" t="s">
        <v>342</v>
      </c>
      <c r="L26" s="25" t="s">
        <v>610</v>
      </c>
      <c r="M26" s="62">
        <v>279900</v>
      </c>
      <c r="N26" s="31">
        <v>0.75</v>
      </c>
      <c r="O26" s="32">
        <f t="shared" si="0"/>
        <v>69975</v>
      </c>
      <c r="P26" s="28" t="s">
        <v>16</v>
      </c>
    </row>
    <row r="27" spans="1:16" x14ac:dyDescent="0.35">
      <c r="A27" s="11" t="s">
        <v>1036</v>
      </c>
      <c r="B27" s="12">
        <f t="shared" si="2"/>
        <v>46104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25"/>
      <c r="H27" s="73">
        <v>6</v>
      </c>
      <c r="I27" s="11" t="s">
        <v>17</v>
      </c>
      <c r="J27" s="25">
        <v>50386162</v>
      </c>
      <c r="K27" s="25" t="s">
        <v>342</v>
      </c>
      <c r="L27" s="25" t="s">
        <v>611</v>
      </c>
      <c r="M27" s="62">
        <v>279900</v>
      </c>
      <c r="N27" s="31">
        <v>0.75</v>
      </c>
      <c r="O27" s="32">
        <f t="shared" si="0"/>
        <v>69975</v>
      </c>
      <c r="P27" s="28" t="s">
        <v>16</v>
      </c>
    </row>
    <row r="28" spans="1:16" x14ac:dyDescent="0.35">
      <c r="A28" s="11" t="s">
        <v>1036</v>
      </c>
      <c r="B28" s="12">
        <f t="shared" si="2"/>
        <v>46104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25"/>
      <c r="H28" s="73">
        <v>6</v>
      </c>
      <c r="I28" s="11" t="s">
        <v>17</v>
      </c>
      <c r="J28" s="25">
        <v>50386251</v>
      </c>
      <c r="K28" s="25" t="s">
        <v>624</v>
      </c>
      <c r="L28" s="25" t="s">
        <v>625</v>
      </c>
      <c r="M28" s="62">
        <v>279900</v>
      </c>
      <c r="N28" s="31">
        <v>0.75</v>
      </c>
      <c r="O28" s="32">
        <f t="shared" si="0"/>
        <v>69975</v>
      </c>
      <c r="P28" s="28" t="s">
        <v>16</v>
      </c>
    </row>
    <row r="29" spans="1:16" x14ac:dyDescent="0.35">
      <c r="A29" s="11" t="s">
        <v>1036</v>
      </c>
      <c r="B29" s="12">
        <f t="shared" si="2"/>
        <v>46104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25"/>
      <c r="H29" s="73">
        <v>6</v>
      </c>
      <c r="I29" s="11" t="s">
        <v>17</v>
      </c>
      <c r="J29" s="25">
        <v>50386260</v>
      </c>
      <c r="K29" s="25" t="s">
        <v>624</v>
      </c>
      <c r="L29" s="25" t="s">
        <v>626</v>
      </c>
      <c r="M29" s="62">
        <v>279900</v>
      </c>
      <c r="N29" s="31">
        <v>0.75</v>
      </c>
      <c r="O29" s="32">
        <f t="shared" si="0"/>
        <v>69975</v>
      </c>
      <c r="P29" s="28" t="s">
        <v>16</v>
      </c>
    </row>
    <row r="30" spans="1:16" x14ac:dyDescent="0.35">
      <c r="A30" s="11" t="s">
        <v>1036</v>
      </c>
      <c r="B30" s="12">
        <f t="shared" si="2"/>
        <v>46104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25"/>
      <c r="H30" s="73">
        <v>6</v>
      </c>
      <c r="I30" s="11" t="s">
        <v>17</v>
      </c>
      <c r="J30" s="25">
        <v>50386279</v>
      </c>
      <c r="K30" s="25" t="s">
        <v>624</v>
      </c>
      <c r="L30" s="25" t="s">
        <v>627</v>
      </c>
      <c r="M30" s="62">
        <v>279900</v>
      </c>
      <c r="N30" s="31">
        <v>0.75</v>
      </c>
      <c r="O30" s="32">
        <f t="shared" si="0"/>
        <v>69975</v>
      </c>
      <c r="P30" s="28" t="s">
        <v>16</v>
      </c>
    </row>
    <row r="31" spans="1:16" x14ac:dyDescent="0.35">
      <c r="A31" s="11" t="s">
        <v>1036</v>
      </c>
      <c r="B31" s="12">
        <f t="shared" si="2"/>
        <v>46104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25"/>
      <c r="H31" s="73">
        <v>6</v>
      </c>
      <c r="I31" s="11" t="s">
        <v>17</v>
      </c>
      <c r="J31" s="25">
        <v>50386288</v>
      </c>
      <c r="K31" s="25" t="s">
        <v>624</v>
      </c>
      <c r="L31" s="25" t="s">
        <v>628</v>
      </c>
      <c r="M31" s="62">
        <v>279900</v>
      </c>
      <c r="N31" s="31">
        <v>0.75</v>
      </c>
      <c r="O31" s="32">
        <f t="shared" si="0"/>
        <v>69975</v>
      </c>
      <c r="P31" s="28" t="s">
        <v>16</v>
      </c>
    </row>
    <row r="32" spans="1:16" x14ac:dyDescent="0.35">
      <c r="A32" s="11" t="s">
        <v>1036</v>
      </c>
      <c r="B32" s="12">
        <f t="shared" si="2"/>
        <v>46104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25"/>
      <c r="H32" s="73">
        <v>6</v>
      </c>
      <c r="I32" s="11" t="s">
        <v>17</v>
      </c>
      <c r="J32" s="25">
        <v>50386297</v>
      </c>
      <c r="K32" s="25" t="s">
        <v>624</v>
      </c>
      <c r="L32" s="25" t="s">
        <v>629</v>
      </c>
      <c r="M32" s="62">
        <v>279900</v>
      </c>
      <c r="N32" s="31">
        <v>0.75</v>
      </c>
      <c r="O32" s="32">
        <f t="shared" si="0"/>
        <v>69975</v>
      </c>
      <c r="P32" s="28" t="s">
        <v>16</v>
      </c>
    </row>
    <row r="33" spans="1:16" x14ac:dyDescent="0.35">
      <c r="A33" s="11" t="s">
        <v>1036</v>
      </c>
      <c r="B33" s="12">
        <f t="shared" si="2"/>
        <v>46104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25"/>
      <c r="H33" s="73">
        <v>6</v>
      </c>
      <c r="I33" s="11" t="s">
        <v>17</v>
      </c>
      <c r="J33" s="25">
        <v>50386313</v>
      </c>
      <c r="K33" s="25" t="s">
        <v>624</v>
      </c>
      <c r="L33" s="25" t="s">
        <v>630</v>
      </c>
      <c r="M33" s="62">
        <v>279900</v>
      </c>
      <c r="N33" s="31">
        <v>0.75</v>
      </c>
      <c r="O33" s="32">
        <f t="shared" si="0"/>
        <v>69975</v>
      </c>
      <c r="P33" s="28" t="s">
        <v>16</v>
      </c>
    </row>
    <row r="34" spans="1:16" x14ac:dyDescent="0.35">
      <c r="A34" s="11" t="s">
        <v>1036</v>
      </c>
      <c r="B34" s="12">
        <f t="shared" si="2"/>
        <v>46104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25"/>
      <c r="H34" s="73">
        <v>6</v>
      </c>
      <c r="I34" s="11" t="s">
        <v>17</v>
      </c>
      <c r="J34" s="25">
        <v>50386322</v>
      </c>
      <c r="K34" s="25" t="s">
        <v>48</v>
      </c>
      <c r="L34" s="25" t="s">
        <v>572</v>
      </c>
      <c r="M34" s="62">
        <v>279900</v>
      </c>
      <c r="N34" s="31">
        <v>0.75</v>
      </c>
      <c r="O34" s="32">
        <f t="shared" ref="O34:O65" si="4">M34-(M34*N34)</f>
        <v>69975</v>
      </c>
      <c r="P34" s="28" t="s">
        <v>16</v>
      </c>
    </row>
    <row r="35" spans="1:16" x14ac:dyDescent="0.35">
      <c r="A35" s="11" t="s">
        <v>1036</v>
      </c>
      <c r="B35" s="12">
        <f t="shared" si="2"/>
        <v>46104</v>
      </c>
      <c r="C35" s="12">
        <f t="shared" si="3"/>
        <v>46113</v>
      </c>
      <c r="D35" s="11">
        <v>3259</v>
      </c>
      <c r="E35" s="11">
        <v>333</v>
      </c>
      <c r="F35" s="11">
        <v>3</v>
      </c>
      <c r="G35" s="25"/>
      <c r="H35" s="73">
        <v>6</v>
      </c>
      <c r="I35" s="11" t="s">
        <v>17</v>
      </c>
      <c r="J35" s="25">
        <v>50386331</v>
      </c>
      <c r="K35" s="25" t="s">
        <v>48</v>
      </c>
      <c r="L35" s="25" t="s">
        <v>573</v>
      </c>
      <c r="M35" s="62">
        <v>279900</v>
      </c>
      <c r="N35" s="31">
        <v>0.75</v>
      </c>
      <c r="O35" s="32">
        <f t="shared" si="4"/>
        <v>69975</v>
      </c>
      <c r="P35" s="28" t="s">
        <v>16</v>
      </c>
    </row>
    <row r="36" spans="1:16" x14ac:dyDescent="0.35">
      <c r="A36" s="11" t="s">
        <v>1036</v>
      </c>
      <c r="B36" s="12">
        <f t="shared" si="2"/>
        <v>46104</v>
      </c>
      <c r="C36" s="12">
        <f t="shared" si="3"/>
        <v>46113</v>
      </c>
      <c r="D36" s="11">
        <v>3259</v>
      </c>
      <c r="E36" s="11">
        <v>333</v>
      </c>
      <c r="F36" s="11">
        <v>3</v>
      </c>
      <c r="G36" s="25"/>
      <c r="H36" s="73">
        <v>6</v>
      </c>
      <c r="I36" s="11" t="s">
        <v>17</v>
      </c>
      <c r="J36" s="25">
        <v>50386340</v>
      </c>
      <c r="K36" s="25" t="s">
        <v>48</v>
      </c>
      <c r="L36" s="25" t="s">
        <v>574</v>
      </c>
      <c r="M36" s="62">
        <v>279900</v>
      </c>
      <c r="N36" s="31">
        <v>0.75</v>
      </c>
      <c r="O36" s="32">
        <f t="shared" si="4"/>
        <v>69975</v>
      </c>
      <c r="P36" s="28" t="s">
        <v>16</v>
      </c>
    </row>
    <row r="37" spans="1:16" x14ac:dyDescent="0.35">
      <c r="A37" s="11" t="s">
        <v>1036</v>
      </c>
      <c r="B37" s="12">
        <f t="shared" si="2"/>
        <v>46104</v>
      </c>
      <c r="C37" s="12">
        <f t="shared" si="3"/>
        <v>46113</v>
      </c>
      <c r="D37" s="11">
        <v>3259</v>
      </c>
      <c r="E37" s="11">
        <v>333</v>
      </c>
      <c r="F37" s="11">
        <v>3</v>
      </c>
      <c r="G37" s="25"/>
      <c r="H37" s="73">
        <v>6</v>
      </c>
      <c r="I37" s="11" t="s">
        <v>17</v>
      </c>
      <c r="J37" s="25">
        <v>50386359</v>
      </c>
      <c r="K37" s="25" t="s">
        <v>48</v>
      </c>
      <c r="L37" s="25" t="s">
        <v>575</v>
      </c>
      <c r="M37" s="62">
        <v>279900</v>
      </c>
      <c r="N37" s="31">
        <v>0.75</v>
      </c>
      <c r="O37" s="32">
        <f t="shared" si="4"/>
        <v>69975</v>
      </c>
      <c r="P37" s="28" t="s">
        <v>16</v>
      </c>
    </row>
    <row r="38" spans="1:16" x14ac:dyDescent="0.35">
      <c r="A38" s="11" t="s">
        <v>1036</v>
      </c>
      <c r="B38" s="12">
        <f t="shared" si="2"/>
        <v>46104</v>
      </c>
      <c r="C38" s="12">
        <f t="shared" si="3"/>
        <v>46113</v>
      </c>
      <c r="D38" s="11">
        <v>3259</v>
      </c>
      <c r="E38" s="11">
        <v>333</v>
      </c>
      <c r="F38" s="11">
        <v>3</v>
      </c>
      <c r="G38" s="25"/>
      <c r="H38" s="73">
        <v>6</v>
      </c>
      <c r="I38" s="11" t="s">
        <v>17</v>
      </c>
      <c r="J38" s="25">
        <v>50386368</v>
      </c>
      <c r="K38" s="25" t="s">
        <v>48</v>
      </c>
      <c r="L38" s="25" t="s">
        <v>576</v>
      </c>
      <c r="M38" s="62">
        <v>279900</v>
      </c>
      <c r="N38" s="31">
        <v>0.75</v>
      </c>
      <c r="O38" s="32">
        <f t="shared" si="4"/>
        <v>69975</v>
      </c>
      <c r="P38" s="28" t="s">
        <v>16</v>
      </c>
    </row>
    <row r="39" spans="1:16" x14ac:dyDescent="0.35">
      <c r="A39" s="11" t="s">
        <v>1036</v>
      </c>
      <c r="B39" s="12">
        <f t="shared" si="2"/>
        <v>46104</v>
      </c>
      <c r="C39" s="12">
        <f t="shared" si="3"/>
        <v>46113</v>
      </c>
      <c r="D39" s="11">
        <v>3259</v>
      </c>
      <c r="E39" s="11">
        <v>333</v>
      </c>
      <c r="F39" s="11">
        <v>3</v>
      </c>
      <c r="G39" s="25"/>
      <c r="H39" s="73">
        <v>6</v>
      </c>
      <c r="I39" s="11" t="s">
        <v>17</v>
      </c>
      <c r="J39" s="25">
        <v>50386377</v>
      </c>
      <c r="K39" s="25" t="s">
        <v>48</v>
      </c>
      <c r="L39" s="25" t="s">
        <v>577</v>
      </c>
      <c r="M39" s="62">
        <v>279900</v>
      </c>
      <c r="N39" s="31">
        <v>0.75</v>
      </c>
      <c r="O39" s="32">
        <f t="shared" si="4"/>
        <v>69975</v>
      </c>
      <c r="P39" s="28" t="s">
        <v>16</v>
      </c>
    </row>
    <row r="40" spans="1:16" x14ac:dyDescent="0.35">
      <c r="A40" s="11" t="s">
        <v>1036</v>
      </c>
      <c r="B40" s="12">
        <f t="shared" si="2"/>
        <v>46104</v>
      </c>
      <c r="C40" s="12">
        <f t="shared" si="3"/>
        <v>46113</v>
      </c>
      <c r="D40" s="11">
        <v>3259</v>
      </c>
      <c r="E40" s="11">
        <v>333</v>
      </c>
      <c r="F40" s="11">
        <v>3</v>
      </c>
      <c r="G40" s="25"/>
      <c r="H40" s="73">
        <v>6</v>
      </c>
      <c r="I40" s="11" t="s">
        <v>17</v>
      </c>
      <c r="J40" s="25">
        <v>50386386</v>
      </c>
      <c r="K40" s="25" t="s">
        <v>48</v>
      </c>
      <c r="L40" s="25" t="s">
        <v>578</v>
      </c>
      <c r="M40" s="62">
        <v>279900</v>
      </c>
      <c r="N40" s="31">
        <v>0.75</v>
      </c>
      <c r="O40" s="32">
        <f t="shared" si="4"/>
        <v>69975</v>
      </c>
      <c r="P40" s="28" t="s">
        <v>16</v>
      </c>
    </row>
    <row r="41" spans="1:16" x14ac:dyDescent="0.35">
      <c r="A41" s="11" t="s">
        <v>1036</v>
      </c>
      <c r="B41" s="12">
        <f t="shared" si="2"/>
        <v>46104</v>
      </c>
      <c r="C41" s="12">
        <f t="shared" si="3"/>
        <v>46113</v>
      </c>
      <c r="D41" s="11">
        <v>3259</v>
      </c>
      <c r="E41" s="11">
        <v>333</v>
      </c>
      <c r="F41" s="11">
        <v>3</v>
      </c>
      <c r="G41" s="25"/>
      <c r="H41" s="73">
        <v>6</v>
      </c>
      <c r="I41" s="11" t="s">
        <v>17</v>
      </c>
      <c r="J41" s="25">
        <v>50386395</v>
      </c>
      <c r="K41" s="25" t="s">
        <v>48</v>
      </c>
      <c r="L41" s="25" t="s">
        <v>579</v>
      </c>
      <c r="M41" s="62">
        <v>279900</v>
      </c>
      <c r="N41" s="31">
        <v>0.75</v>
      </c>
      <c r="O41" s="32">
        <f t="shared" si="4"/>
        <v>69975</v>
      </c>
      <c r="P41" s="28" t="s">
        <v>16</v>
      </c>
    </row>
    <row r="42" spans="1:16" x14ac:dyDescent="0.35">
      <c r="A42" s="11" t="s">
        <v>1036</v>
      </c>
      <c r="B42" s="12">
        <f t="shared" si="2"/>
        <v>46104</v>
      </c>
      <c r="C42" s="12">
        <f t="shared" si="3"/>
        <v>46113</v>
      </c>
      <c r="D42" s="11">
        <v>3259</v>
      </c>
      <c r="E42" s="11">
        <v>333</v>
      </c>
      <c r="F42" s="11">
        <v>3</v>
      </c>
      <c r="G42" s="25"/>
      <c r="H42" s="73">
        <v>6</v>
      </c>
      <c r="I42" s="11" t="s">
        <v>17</v>
      </c>
      <c r="J42" s="25">
        <v>50386411</v>
      </c>
      <c r="K42" s="25" t="s">
        <v>48</v>
      </c>
      <c r="L42" s="25" t="s">
        <v>580</v>
      </c>
      <c r="M42" s="62">
        <v>279900</v>
      </c>
      <c r="N42" s="31">
        <v>0.75</v>
      </c>
      <c r="O42" s="32">
        <f t="shared" si="4"/>
        <v>69975</v>
      </c>
      <c r="P42" s="28" t="s">
        <v>16</v>
      </c>
    </row>
    <row r="43" spans="1:16" x14ac:dyDescent="0.35">
      <c r="A43" s="11" t="s">
        <v>1036</v>
      </c>
      <c r="B43" s="12">
        <f t="shared" si="2"/>
        <v>46104</v>
      </c>
      <c r="C43" s="12">
        <f t="shared" si="3"/>
        <v>46113</v>
      </c>
      <c r="D43" s="11">
        <v>3259</v>
      </c>
      <c r="E43" s="11">
        <v>333</v>
      </c>
      <c r="F43" s="11">
        <v>3</v>
      </c>
      <c r="G43" s="25"/>
      <c r="H43" s="73">
        <v>6</v>
      </c>
      <c r="I43" s="11" t="s">
        <v>17</v>
      </c>
      <c r="J43" s="25">
        <v>50386420</v>
      </c>
      <c r="K43" s="25" t="s">
        <v>48</v>
      </c>
      <c r="L43" s="25" t="s">
        <v>581</v>
      </c>
      <c r="M43" s="62">
        <v>279900</v>
      </c>
      <c r="N43" s="31">
        <v>0.75</v>
      </c>
      <c r="O43" s="32">
        <f t="shared" si="4"/>
        <v>69975</v>
      </c>
      <c r="P43" s="28" t="s">
        <v>16</v>
      </c>
    </row>
    <row r="44" spans="1:16" x14ac:dyDescent="0.35">
      <c r="A44" s="11" t="s">
        <v>1036</v>
      </c>
      <c r="B44" s="12">
        <f t="shared" si="2"/>
        <v>46104</v>
      </c>
      <c r="C44" s="12">
        <f t="shared" si="3"/>
        <v>46113</v>
      </c>
      <c r="D44" s="11">
        <v>3259</v>
      </c>
      <c r="E44" s="11">
        <v>333</v>
      </c>
      <c r="F44" s="11">
        <v>3</v>
      </c>
      <c r="G44" s="25"/>
      <c r="H44" s="73">
        <v>6</v>
      </c>
      <c r="I44" s="11" t="s">
        <v>17</v>
      </c>
      <c r="J44" s="25">
        <v>50386439</v>
      </c>
      <c r="K44" s="25" t="s">
        <v>48</v>
      </c>
      <c r="L44" s="25" t="s">
        <v>582</v>
      </c>
      <c r="M44" s="62">
        <v>279900</v>
      </c>
      <c r="N44" s="31">
        <v>0.75</v>
      </c>
      <c r="O44" s="32">
        <f t="shared" si="4"/>
        <v>69975</v>
      </c>
      <c r="P44" s="28" t="s">
        <v>16</v>
      </c>
    </row>
    <row r="45" spans="1:16" x14ac:dyDescent="0.35">
      <c r="A45" s="11" t="s">
        <v>1036</v>
      </c>
      <c r="B45" s="12">
        <f t="shared" si="2"/>
        <v>46104</v>
      </c>
      <c r="C45" s="12">
        <f t="shared" si="3"/>
        <v>46113</v>
      </c>
      <c r="D45" s="11">
        <v>3259</v>
      </c>
      <c r="E45" s="11">
        <v>333</v>
      </c>
      <c r="F45" s="11">
        <v>3</v>
      </c>
      <c r="G45" s="25"/>
      <c r="H45" s="73">
        <v>6</v>
      </c>
      <c r="I45" s="11" t="s">
        <v>17</v>
      </c>
      <c r="J45" s="25">
        <v>50386448</v>
      </c>
      <c r="K45" s="25" t="s">
        <v>48</v>
      </c>
      <c r="L45" s="25" t="s">
        <v>583</v>
      </c>
      <c r="M45" s="62">
        <v>279900</v>
      </c>
      <c r="N45" s="31">
        <v>0.75</v>
      </c>
      <c r="O45" s="32">
        <f t="shared" si="4"/>
        <v>69975</v>
      </c>
      <c r="P45" s="28" t="s">
        <v>16</v>
      </c>
    </row>
    <row r="46" spans="1:16" x14ac:dyDescent="0.35">
      <c r="A46" s="11" t="s">
        <v>1036</v>
      </c>
      <c r="B46" s="12">
        <f t="shared" si="2"/>
        <v>46104</v>
      </c>
      <c r="C46" s="12">
        <f t="shared" si="3"/>
        <v>46113</v>
      </c>
      <c r="D46" s="11">
        <v>3259</v>
      </c>
      <c r="E46" s="11">
        <v>333</v>
      </c>
      <c r="F46" s="11">
        <v>3</v>
      </c>
      <c r="G46" s="25"/>
      <c r="H46" s="73">
        <v>6</v>
      </c>
      <c r="I46" s="11" t="s">
        <v>17</v>
      </c>
      <c r="J46" s="25">
        <v>50386457</v>
      </c>
      <c r="K46" s="25" t="s">
        <v>597</v>
      </c>
      <c r="L46" s="25" t="s">
        <v>598</v>
      </c>
      <c r="M46" s="62">
        <v>279900</v>
      </c>
      <c r="N46" s="31">
        <v>0.75</v>
      </c>
      <c r="O46" s="32">
        <f t="shared" si="4"/>
        <v>69975</v>
      </c>
      <c r="P46" s="28" t="s">
        <v>16</v>
      </c>
    </row>
    <row r="47" spans="1:16" x14ac:dyDescent="0.35">
      <c r="A47" s="11" t="s">
        <v>1036</v>
      </c>
      <c r="B47" s="12">
        <f t="shared" si="2"/>
        <v>46104</v>
      </c>
      <c r="C47" s="12">
        <f t="shared" si="3"/>
        <v>46113</v>
      </c>
      <c r="D47" s="11">
        <v>3259</v>
      </c>
      <c r="E47" s="11">
        <v>333</v>
      </c>
      <c r="F47" s="11">
        <v>3</v>
      </c>
      <c r="G47" s="25"/>
      <c r="H47" s="73">
        <v>6</v>
      </c>
      <c r="I47" s="11" t="s">
        <v>17</v>
      </c>
      <c r="J47" s="25">
        <v>50386466</v>
      </c>
      <c r="K47" s="25" t="s">
        <v>597</v>
      </c>
      <c r="L47" s="25" t="s">
        <v>599</v>
      </c>
      <c r="M47" s="62">
        <v>279900</v>
      </c>
      <c r="N47" s="31">
        <v>0.75</v>
      </c>
      <c r="O47" s="32">
        <f t="shared" si="4"/>
        <v>69975</v>
      </c>
      <c r="P47" s="28" t="s">
        <v>16</v>
      </c>
    </row>
    <row r="48" spans="1:16" x14ac:dyDescent="0.35">
      <c r="A48" s="11" t="s">
        <v>1036</v>
      </c>
      <c r="B48" s="12">
        <f t="shared" si="2"/>
        <v>46104</v>
      </c>
      <c r="C48" s="12">
        <f t="shared" si="3"/>
        <v>46113</v>
      </c>
      <c r="D48" s="11">
        <v>3259</v>
      </c>
      <c r="E48" s="11">
        <v>333</v>
      </c>
      <c r="F48" s="11">
        <v>3</v>
      </c>
      <c r="G48" s="25"/>
      <c r="H48" s="73">
        <v>6</v>
      </c>
      <c r="I48" s="11" t="s">
        <v>17</v>
      </c>
      <c r="J48" s="25">
        <v>50386475</v>
      </c>
      <c r="K48" s="25" t="s">
        <v>597</v>
      </c>
      <c r="L48" s="25" t="s">
        <v>600</v>
      </c>
      <c r="M48" s="62">
        <v>279900</v>
      </c>
      <c r="N48" s="31">
        <v>0.75</v>
      </c>
      <c r="O48" s="32">
        <f t="shared" si="4"/>
        <v>69975</v>
      </c>
      <c r="P48" s="28" t="s">
        <v>16</v>
      </c>
    </row>
    <row r="49" spans="1:16" x14ac:dyDescent="0.35">
      <c r="A49" s="11" t="s">
        <v>1036</v>
      </c>
      <c r="B49" s="12">
        <f t="shared" si="2"/>
        <v>46104</v>
      </c>
      <c r="C49" s="12">
        <f t="shared" si="3"/>
        <v>46113</v>
      </c>
      <c r="D49" s="11">
        <v>3259</v>
      </c>
      <c r="E49" s="11">
        <v>333</v>
      </c>
      <c r="F49" s="11">
        <v>3</v>
      </c>
      <c r="G49" s="25"/>
      <c r="H49" s="73">
        <v>6</v>
      </c>
      <c r="I49" s="11" t="s">
        <v>17</v>
      </c>
      <c r="J49" s="25">
        <v>50386484</v>
      </c>
      <c r="K49" s="25" t="s">
        <v>597</v>
      </c>
      <c r="L49" s="25" t="s">
        <v>601</v>
      </c>
      <c r="M49" s="62">
        <v>279900</v>
      </c>
      <c r="N49" s="31">
        <v>0.75</v>
      </c>
      <c r="O49" s="32">
        <f t="shared" si="4"/>
        <v>69975</v>
      </c>
      <c r="P49" s="28" t="s">
        <v>16</v>
      </c>
    </row>
    <row r="50" spans="1:16" x14ac:dyDescent="0.35">
      <c r="A50" s="11" t="s">
        <v>1036</v>
      </c>
      <c r="B50" s="12">
        <f t="shared" si="2"/>
        <v>46104</v>
      </c>
      <c r="C50" s="12">
        <f t="shared" si="3"/>
        <v>46113</v>
      </c>
      <c r="D50" s="11">
        <v>3259</v>
      </c>
      <c r="E50" s="11">
        <v>333</v>
      </c>
      <c r="F50" s="11">
        <v>3</v>
      </c>
      <c r="G50" s="25"/>
      <c r="H50" s="73">
        <v>6</v>
      </c>
      <c r="I50" s="11" t="s">
        <v>17</v>
      </c>
      <c r="J50" s="25">
        <v>50386493</v>
      </c>
      <c r="K50" s="25" t="s">
        <v>597</v>
      </c>
      <c r="L50" s="25" t="s">
        <v>602</v>
      </c>
      <c r="M50" s="62">
        <v>279900</v>
      </c>
      <c r="N50" s="31">
        <v>0.75</v>
      </c>
      <c r="O50" s="32">
        <f t="shared" si="4"/>
        <v>69975</v>
      </c>
      <c r="P50" s="28" t="s">
        <v>16</v>
      </c>
    </row>
    <row r="51" spans="1:16" x14ac:dyDescent="0.35">
      <c r="A51" s="11" t="s">
        <v>1036</v>
      </c>
      <c r="B51" s="12">
        <f t="shared" si="2"/>
        <v>46104</v>
      </c>
      <c r="C51" s="12">
        <f t="shared" si="3"/>
        <v>46113</v>
      </c>
      <c r="D51" s="11">
        <v>3259</v>
      </c>
      <c r="E51" s="11">
        <v>333</v>
      </c>
      <c r="F51" s="11">
        <v>3</v>
      </c>
      <c r="G51" s="25"/>
      <c r="H51" s="73">
        <v>6</v>
      </c>
      <c r="I51" s="11" t="s">
        <v>17</v>
      </c>
      <c r="J51" s="25">
        <v>50386500</v>
      </c>
      <c r="K51" s="25" t="s">
        <v>597</v>
      </c>
      <c r="L51" s="25" t="s">
        <v>603</v>
      </c>
      <c r="M51" s="62">
        <v>279900</v>
      </c>
      <c r="N51" s="31">
        <v>0.75</v>
      </c>
      <c r="O51" s="32">
        <f t="shared" si="4"/>
        <v>69975</v>
      </c>
      <c r="P51" s="28" t="s">
        <v>16</v>
      </c>
    </row>
    <row r="52" spans="1:16" x14ac:dyDescent="0.35">
      <c r="A52" s="11" t="s">
        <v>1036</v>
      </c>
      <c r="B52" s="12">
        <f t="shared" si="2"/>
        <v>46104</v>
      </c>
      <c r="C52" s="12">
        <f t="shared" si="3"/>
        <v>46113</v>
      </c>
      <c r="D52" s="11">
        <v>3259</v>
      </c>
      <c r="E52" s="11">
        <v>333</v>
      </c>
      <c r="F52" s="11">
        <v>3</v>
      </c>
      <c r="G52" s="25"/>
      <c r="H52" s="73">
        <v>6</v>
      </c>
      <c r="I52" s="11" t="s">
        <v>17</v>
      </c>
      <c r="J52" s="25">
        <v>50386519</v>
      </c>
      <c r="K52" s="25" t="s">
        <v>597</v>
      </c>
      <c r="L52" s="25" t="s">
        <v>604</v>
      </c>
      <c r="M52" s="62">
        <v>279900</v>
      </c>
      <c r="N52" s="31">
        <v>0.75</v>
      </c>
      <c r="O52" s="32">
        <f t="shared" si="4"/>
        <v>69975</v>
      </c>
      <c r="P52" s="28" t="s">
        <v>16</v>
      </c>
    </row>
    <row r="53" spans="1:16" x14ac:dyDescent="0.35">
      <c r="A53" s="11" t="s">
        <v>1036</v>
      </c>
      <c r="B53" s="12">
        <f t="shared" si="2"/>
        <v>46104</v>
      </c>
      <c r="C53" s="12">
        <f t="shared" si="3"/>
        <v>46113</v>
      </c>
      <c r="D53" s="11">
        <v>3259</v>
      </c>
      <c r="E53" s="11">
        <v>333</v>
      </c>
      <c r="F53" s="11">
        <v>3</v>
      </c>
      <c r="G53" s="25"/>
      <c r="H53" s="73">
        <v>6</v>
      </c>
      <c r="I53" s="11" t="s">
        <v>17</v>
      </c>
      <c r="J53" s="25">
        <v>50386528</v>
      </c>
      <c r="K53" s="25" t="s">
        <v>597</v>
      </c>
      <c r="L53" s="25" t="s">
        <v>605</v>
      </c>
      <c r="M53" s="62">
        <v>279900</v>
      </c>
      <c r="N53" s="31">
        <v>0.75</v>
      </c>
      <c r="O53" s="32">
        <f t="shared" si="4"/>
        <v>69975</v>
      </c>
      <c r="P53" s="28" t="s">
        <v>16</v>
      </c>
    </row>
    <row r="54" spans="1:16" x14ac:dyDescent="0.35">
      <c r="A54" s="11" t="s">
        <v>1036</v>
      </c>
      <c r="B54" s="12">
        <f t="shared" si="2"/>
        <v>46104</v>
      </c>
      <c r="C54" s="12">
        <f t="shared" si="3"/>
        <v>46113</v>
      </c>
      <c r="D54" s="11">
        <v>3259</v>
      </c>
      <c r="E54" s="11">
        <v>333</v>
      </c>
      <c r="F54" s="11">
        <v>3</v>
      </c>
      <c r="G54" s="25"/>
      <c r="H54" s="73">
        <v>6</v>
      </c>
      <c r="I54" s="11" t="s">
        <v>17</v>
      </c>
      <c r="J54" s="25">
        <v>50386537</v>
      </c>
      <c r="K54" s="25" t="s">
        <v>597</v>
      </c>
      <c r="L54" s="25" t="s">
        <v>606</v>
      </c>
      <c r="M54" s="62">
        <v>279900</v>
      </c>
      <c r="N54" s="31">
        <v>0.75</v>
      </c>
      <c r="O54" s="32">
        <f t="shared" si="4"/>
        <v>69975</v>
      </c>
      <c r="P54" s="28" t="s">
        <v>16</v>
      </c>
    </row>
    <row r="55" spans="1:16" x14ac:dyDescent="0.35">
      <c r="A55" s="11" t="s">
        <v>1036</v>
      </c>
      <c r="B55" s="12">
        <f t="shared" si="2"/>
        <v>46104</v>
      </c>
      <c r="C55" s="12">
        <f t="shared" si="3"/>
        <v>46113</v>
      </c>
      <c r="D55" s="11">
        <v>3259</v>
      </c>
      <c r="E55" s="11">
        <v>333</v>
      </c>
      <c r="F55" s="11">
        <v>3</v>
      </c>
      <c r="G55" s="25"/>
      <c r="H55" s="73">
        <v>6</v>
      </c>
      <c r="I55" s="11" t="s">
        <v>17</v>
      </c>
      <c r="J55" s="25">
        <v>50386546</v>
      </c>
      <c r="K55" s="25" t="s">
        <v>597</v>
      </c>
      <c r="L55" s="25" t="s">
        <v>607</v>
      </c>
      <c r="M55" s="62">
        <v>279900</v>
      </c>
      <c r="N55" s="31">
        <v>0.75</v>
      </c>
      <c r="O55" s="32">
        <f t="shared" si="4"/>
        <v>69975</v>
      </c>
      <c r="P55" s="28" t="s">
        <v>16</v>
      </c>
    </row>
    <row r="56" spans="1:16" x14ac:dyDescent="0.35">
      <c r="A56" s="11" t="s">
        <v>1036</v>
      </c>
      <c r="B56" s="12">
        <f t="shared" si="2"/>
        <v>46104</v>
      </c>
      <c r="C56" s="12">
        <f t="shared" si="3"/>
        <v>46113</v>
      </c>
      <c r="D56" s="11">
        <v>3259</v>
      </c>
      <c r="E56" s="11">
        <v>333</v>
      </c>
      <c r="F56" s="11">
        <v>3</v>
      </c>
      <c r="G56" s="25"/>
      <c r="H56" s="73">
        <v>6</v>
      </c>
      <c r="I56" s="11" t="s">
        <v>17</v>
      </c>
      <c r="J56" s="25">
        <v>50386555</v>
      </c>
      <c r="K56" s="25" t="s">
        <v>597</v>
      </c>
      <c r="L56" s="25" t="s">
        <v>608</v>
      </c>
      <c r="M56" s="62">
        <v>279900</v>
      </c>
      <c r="N56" s="31">
        <v>0.75</v>
      </c>
      <c r="O56" s="32">
        <f t="shared" si="4"/>
        <v>69975</v>
      </c>
      <c r="P56" s="28" t="s">
        <v>16</v>
      </c>
    </row>
    <row r="57" spans="1:16" x14ac:dyDescent="0.35">
      <c r="A57" s="11" t="s">
        <v>1036</v>
      </c>
      <c r="B57" s="12">
        <f t="shared" si="2"/>
        <v>46104</v>
      </c>
      <c r="C57" s="12">
        <f t="shared" si="3"/>
        <v>46113</v>
      </c>
      <c r="D57" s="11">
        <v>3259</v>
      </c>
      <c r="E57" s="11">
        <v>333</v>
      </c>
      <c r="F57" s="11">
        <v>3</v>
      </c>
      <c r="G57" s="25"/>
      <c r="H57" s="73">
        <v>6</v>
      </c>
      <c r="I57" s="11" t="s">
        <v>17</v>
      </c>
      <c r="J57" s="25">
        <v>50386564</v>
      </c>
      <c r="K57" s="25" t="s">
        <v>597</v>
      </c>
      <c r="L57" s="25" t="s">
        <v>609</v>
      </c>
      <c r="M57" s="62">
        <v>279900</v>
      </c>
      <c r="N57" s="31">
        <v>0.75</v>
      </c>
      <c r="O57" s="32">
        <f t="shared" si="4"/>
        <v>69975</v>
      </c>
      <c r="P57" s="28" t="s">
        <v>16</v>
      </c>
    </row>
    <row r="58" spans="1:16" x14ac:dyDescent="0.35">
      <c r="A58" s="11" t="s">
        <v>1036</v>
      </c>
      <c r="B58" s="12">
        <f t="shared" si="2"/>
        <v>46104</v>
      </c>
      <c r="C58" s="12">
        <f t="shared" si="3"/>
        <v>46113</v>
      </c>
      <c r="D58" s="11">
        <v>3259</v>
      </c>
      <c r="E58" s="11">
        <v>333</v>
      </c>
      <c r="F58" s="11">
        <v>3</v>
      </c>
      <c r="G58" s="25"/>
      <c r="H58" s="73">
        <v>6</v>
      </c>
      <c r="I58" s="11" t="s">
        <v>17</v>
      </c>
      <c r="J58" s="25">
        <v>50390648</v>
      </c>
      <c r="K58" s="25" t="s">
        <v>584</v>
      </c>
      <c r="L58" s="25" t="s">
        <v>591</v>
      </c>
      <c r="M58" s="62">
        <v>279900</v>
      </c>
      <c r="N58" s="31">
        <v>0.75</v>
      </c>
      <c r="O58" s="32">
        <f t="shared" si="4"/>
        <v>69975</v>
      </c>
      <c r="P58" s="28" t="s">
        <v>16</v>
      </c>
    </row>
    <row r="59" spans="1:16" x14ac:dyDescent="0.35">
      <c r="A59" s="11" t="s">
        <v>1036</v>
      </c>
      <c r="B59" s="12">
        <f t="shared" si="2"/>
        <v>46104</v>
      </c>
      <c r="C59" s="12">
        <f t="shared" si="3"/>
        <v>46113</v>
      </c>
      <c r="D59" s="11">
        <v>3259</v>
      </c>
      <c r="E59" s="11">
        <v>333</v>
      </c>
      <c r="F59" s="11">
        <v>3</v>
      </c>
      <c r="G59" s="25"/>
      <c r="H59" s="73">
        <v>6</v>
      </c>
      <c r="I59" s="11" t="s">
        <v>17</v>
      </c>
      <c r="J59" s="25">
        <v>50390657</v>
      </c>
      <c r="K59" s="25" t="s">
        <v>584</v>
      </c>
      <c r="L59" s="25" t="s">
        <v>592</v>
      </c>
      <c r="M59" s="62">
        <v>279900</v>
      </c>
      <c r="N59" s="31">
        <v>0.75</v>
      </c>
      <c r="O59" s="32">
        <f t="shared" si="4"/>
        <v>69975</v>
      </c>
      <c r="P59" s="28" t="s">
        <v>16</v>
      </c>
    </row>
    <row r="60" spans="1:16" x14ac:dyDescent="0.35">
      <c r="A60" s="11" t="s">
        <v>1036</v>
      </c>
      <c r="B60" s="12">
        <f t="shared" si="2"/>
        <v>46104</v>
      </c>
      <c r="C60" s="12">
        <f t="shared" si="3"/>
        <v>46113</v>
      </c>
      <c r="D60" s="11">
        <v>3259</v>
      </c>
      <c r="E60" s="11">
        <v>333</v>
      </c>
      <c r="F60" s="11">
        <v>3</v>
      </c>
      <c r="G60" s="25"/>
      <c r="H60" s="73">
        <v>6</v>
      </c>
      <c r="I60" s="11" t="s">
        <v>17</v>
      </c>
      <c r="J60" s="25">
        <v>50390666</v>
      </c>
      <c r="K60" s="25" t="s">
        <v>584</v>
      </c>
      <c r="L60" s="25" t="s">
        <v>593</v>
      </c>
      <c r="M60" s="62">
        <v>279900</v>
      </c>
      <c r="N60" s="31">
        <v>0.75</v>
      </c>
      <c r="O60" s="32">
        <f t="shared" si="4"/>
        <v>69975</v>
      </c>
      <c r="P60" s="28" t="s">
        <v>16</v>
      </c>
    </row>
    <row r="61" spans="1:16" x14ac:dyDescent="0.35">
      <c r="A61" s="11" t="s">
        <v>1036</v>
      </c>
      <c r="B61" s="12">
        <f t="shared" si="2"/>
        <v>46104</v>
      </c>
      <c r="C61" s="12">
        <f t="shared" si="3"/>
        <v>46113</v>
      </c>
      <c r="D61" s="11">
        <v>3259</v>
      </c>
      <c r="E61" s="11">
        <v>333</v>
      </c>
      <c r="F61" s="11">
        <v>3</v>
      </c>
      <c r="G61" s="25"/>
      <c r="H61" s="73">
        <v>6</v>
      </c>
      <c r="I61" s="11" t="s">
        <v>17</v>
      </c>
      <c r="J61" s="25">
        <v>50390675</v>
      </c>
      <c r="K61" s="25" t="s">
        <v>584</v>
      </c>
      <c r="L61" s="25" t="s">
        <v>594</v>
      </c>
      <c r="M61" s="62">
        <v>279900</v>
      </c>
      <c r="N61" s="31">
        <v>0.75</v>
      </c>
      <c r="O61" s="32">
        <f t="shared" si="4"/>
        <v>69975</v>
      </c>
      <c r="P61" s="28" t="s">
        <v>16</v>
      </c>
    </row>
    <row r="62" spans="1:16" x14ac:dyDescent="0.35">
      <c r="A62" s="11" t="s">
        <v>1036</v>
      </c>
      <c r="B62" s="12">
        <f t="shared" si="2"/>
        <v>46104</v>
      </c>
      <c r="C62" s="12">
        <f t="shared" si="3"/>
        <v>46113</v>
      </c>
      <c r="D62" s="11">
        <v>3259</v>
      </c>
      <c r="E62" s="11">
        <v>333</v>
      </c>
      <c r="F62" s="11">
        <v>3</v>
      </c>
      <c r="G62" s="25"/>
      <c r="H62" s="73">
        <v>6</v>
      </c>
      <c r="I62" s="11" t="s">
        <v>17</v>
      </c>
      <c r="J62" s="25">
        <v>50390684</v>
      </c>
      <c r="K62" s="25" t="s">
        <v>584</v>
      </c>
      <c r="L62" s="25" t="s">
        <v>595</v>
      </c>
      <c r="M62" s="62">
        <v>279900</v>
      </c>
      <c r="N62" s="31">
        <v>0.75</v>
      </c>
      <c r="O62" s="32">
        <f t="shared" si="4"/>
        <v>69975</v>
      </c>
      <c r="P62" s="28" t="s">
        <v>16</v>
      </c>
    </row>
    <row r="63" spans="1:16" x14ac:dyDescent="0.35">
      <c r="A63" s="11" t="s">
        <v>1036</v>
      </c>
      <c r="B63" s="12">
        <f t="shared" si="2"/>
        <v>46104</v>
      </c>
      <c r="C63" s="12">
        <f t="shared" si="3"/>
        <v>46113</v>
      </c>
      <c r="D63" s="11">
        <v>3259</v>
      </c>
      <c r="E63" s="11">
        <v>333</v>
      </c>
      <c r="F63" s="11">
        <v>3</v>
      </c>
      <c r="G63" s="25"/>
      <c r="H63" s="73">
        <v>6</v>
      </c>
      <c r="I63" s="11" t="s">
        <v>17</v>
      </c>
      <c r="J63" s="25">
        <v>50390693</v>
      </c>
      <c r="K63" s="25" t="s">
        <v>584</v>
      </c>
      <c r="L63" s="25" t="s">
        <v>596</v>
      </c>
      <c r="M63" s="62">
        <v>279900</v>
      </c>
      <c r="N63" s="31">
        <v>0.75</v>
      </c>
      <c r="O63" s="32">
        <f t="shared" si="4"/>
        <v>69975</v>
      </c>
      <c r="P63" s="28" t="s">
        <v>16</v>
      </c>
    </row>
    <row r="64" spans="1:16" x14ac:dyDescent="0.35">
      <c r="A64" s="11" t="s">
        <v>1036</v>
      </c>
      <c r="B64" s="12">
        <f t="shared" si="2"/>
        <v>46104</v>
      </c>
      <c r="C64" s="12">
        <f t="shared" si="3"/>
        <v>46113</v>
      </c>
      <c r="D64" s="11">
        <v>3259</v>
      </c>
      <c r="E64" s="11">
        <v>333</v>
      </c>
      <c r="F64" s="11">
        <v>3</v>
      </c>
      <c r="G64" s="25"/>
      <c r="H64" s="73">
        <v>6</v>
      </c>
      <c r="I64" s="11" t="s">
        <v>17</v>
      </c>
      <c r="J64" s="25">
        <v>51919772</v>
      </c>
      <c r="K64" s="25" t="s">
        <v>340</v>
      </c>
      <c r="L64" s="25" t="s">
        <v>612</v>
      </c>
      <c r="M64" s="62">
        <v>279900</v>
      </c>
      <c r="N64" s="31">
        <v>0.75</v>
      </c>
      <c r="O64" s="32">
        <f t="shared" si="4"/>
        <v>69975</v>
      </c>
      <c r="P64" s="28" t="s">
        <v>16</v>
      </c>
    </row>
    <row r="65" spans="1:16" x14ac:dyDescent="0.35">
      <c r="A65" s="11" t="s">
        <v>1036</v>
      </c>
      <c r="B65" s="12">
        <f t="shared" si="2"/>
        <v>46104</v>
      </c>
      <c r="C65" s="12">
        <f t="shared" si="3"/>
        <v>46113</v>
      </c>
      <c r="D65" s="11">
        <v>3259</v>
      </c>
      <c r="E65" s="11">
        <v>333</v>
      </c>
      <c r="F65" s="11">
        <v>3</v>
      </c>
      <c r="G65" s="25"/>
      <c r="H65" s="73">
        <v>6</v>
      </c>
      <c r="I65" s="11" t="s">
        <v>17</v>
      </c>
      <c r="J65" s="25">
        <v>51919781</v>
      </c>
      <c r="K65" s="25" t="s">
        <v>340</v>
      </c>
      <c r="L65" s="25" t="s">
        <v>613</v>
      </c>
      <c r="M65" s="62">
        <v>279900</v>
      </c>
      <c r="N65" s="31">
        <v>0.75</v>
      </c>
      <c r="O65" s="32">
        <f t="shared" si="4"/>
        <v>69975</v>
      </c>
      <c r="P65" s="28" t="s">
        <v>16</v>
      </c>
    </row>
    <row r="66" spans="1:16" x14ac:dyDescent="0.35">
      <c r="A66" s="11" t="s">
        <v>1036</v>
      </c>
      <c r="B66" s="12">
        <f t="shared" si="2"/>
        <v>46104</v>
      </c>
      <c r="C66" s="12">
        <f t="shared" si="3"/>
        <v>46113</v>
      </c>
      <c r="D66" s="11">
        <v>3259</v>
      </c>
      <c r="E66" s="11">
        <v>333</v>
      </c>
      <c r="F66" s="11">
        <v>3</v>
      </c>
      <c r="G66" s="25"/>
      <c r="H66" s="73">
        <v>6</v>
      </c>
      <c r="I66" s="11" t="s">
        <v>17</v>
      </c>
      <c r="J66" s="25">
        <v>51919790</v>
      </c>
      <c r="K66" s="25" t="s">
        <v>340</v>
      </c>
      <c r="L66" s="25" t="s">
        <v>614</v>
      </c>
      <c r="M66" s="62">
        <v>279900</v>
      </c>
      <c r="N66" s="31">
        <v>0.75</v>
      </c>
      <c r="O66" s="32">
        <f t="shared" ref="O66:O97" si="5">M66-(M66*N66)</f>
        <v>69975</v>
      </c>
      <c r="P66" s="28" t="s">
        <v>16</v>
      </c>
    </row>
    <row r="67" spans="1:16" x14ac:dyDescent="0.35">
      <c r="A67" s="11" t="s">
        <v>1036</v>
      </c>
      <c r="B67" s="12">
        <f t="shared" si="2"/>
        <v>46104</v>
      </c>
      <c r="C67" s="12">
        <f t="shared" si="3"/>
        <v>46113</v>
      </c>
      <c r="D67" s="11">
        <v>3259</v>
      </c>
      <c r="E67" s="11">
        <v>333</v>
      </c>
      <c r="F67" s="11">
        <v>3</v>
      </c>
      <c r="G67" s="25"/>
      <c r="H67" s="73">
        <v>6</v>
      </c>
      <c r="I67" s="11" t="s">
        <v>17</v>
      </c>
      <c r="J67" s="25">
        <v>51919807</v>
      </c>
      <c r="K67" s="25" t="s">
        <v>340</v>
      </c>
      <c r="L67" s="25" t="s">
        <v>615</v>
      </c>
      <c r="M67" s="62">
        <v>279900</v>
      </c>
      <c r="N67" s="31">
        <v>0.75</v>
      </c>
      <c r="O67" s="32">
        <f t="shared" si="5"/>
        <v>69975</v>
      </c>
      <c r="P67" s="28" t="s">
        <v>16</v>
      </c>
    </row>
    <row r="68" spans="1:16" x14ac:dyDescent="0.35">
      <c r="A68" s="11" t="s">
        <v>1036</v>
      </c>
      <c r="B68" s="12">
        <f t="shared" ref="B68:B131" si="6">B67</f>
        <v>46104</v>
      </c>
      <c r="C68" s="12">
        <f t="shared" ref="C68:C131" si="7">C67</f>
        <v>46113</v>
      </c>
      <c r="D68" s="11">
        <v>3259</v>
      </c>
      <c r="E68" s="11">
        <v>333</v>
      </c>
      <c r="F68" s="11">
        <v>3</v>
      </c>
      <c r="G68" s="25"/>
      <c r="H68" s="73">
        <v>6</v>
      </c>
      <c r="I68" s="11" t="s">
        <v>17</v>
      </c>
      <c r="J68" s="25">
        <v>51919816</v>
      </c>
      <c r="K68" s="25" t="s">
        <v>340</v>
      </c>
      <c r="L68" s="25" t="s">
        <v>616</v>
      </c>
      <c r="M68" s="62">
        <v>279900</v>
      </c>
      <c r="N68" s="31">
        <v>0.75</v>
      </c>
      <c r="O68" s="32">
        <f t="shared" si="5"/>
        <v>69975</v>
      </c>
      <c r="P68" s="28" t="s">
        <v>16</v>
      </c>
    </row>
    <row r="69" spans="1:16" x14ac:dyDescent="0.35">
      <c r="A69" s="11" t="s">
        <v>1036</v>
      </c>
      <c r="B69" s="12">
        <f t="shared" si="6"/>
        <v>46104</v>
      </c>
      <c r="C69" s="12">
        <f t="shared" si="7"/>
        <v>46113</v>
      </c>
      <c r="D69" s="11">
        <v>3259</v>
      </c>
      <c r="E69" s="11">
        <v>333</v>
      </c>
      <c r="F69" s="11">
        <v>3</v>
      </c>
      <c r="G69" s="25"/>
      <c r="H69" s="73">
        <v>6</v>
      </c>
      <c r="I69" s="11" t="s">
        <v>17</v>
      </c>
      <c r="J69" s="25">
        <v>51919825</v>
      </c>
      <c r="K69" s="25" t="s">
        <v>340</v>
      </c>
      <c r="L69" s="25" t="s">
        <v>617</v>
      </c>
      <c r="M69" s="62">
        <v>279900</v>
      </c>
      <c r="N69" s="31">
        <v>0.75</v>
      </c>
      <c r="O69" s="32">
        <f t="shared" si="5"/>
        <v>69975</v>
      </c>
      <c r="P69" s="28" t="s">
        <v>16</v>
      </c>
    </row>
    <row r="70" spans="1:16" x14ac:dyDescent="0.35">
      <c r="A70" s="11" t="s">
        <v>1036</v>
      </c>
      <c r="B70" s="12">
        <f t="shared" si="6"/>
        <v>46104</v>
      </c>
      <c r="C70" s="12">
        <f t="shared" si="7"/>
        <v>46113</v>
      </c>
      <c r="D70" s="11">
        <v>3259</v>
      </c>
      <c r="E70" s="11">
        <v>333</v>
      </c>
      <c r="F70" s="11">
        <v>3</v>
      </c>
      <c r="G70" s="25"/>
      <c r="H70" s="73">
        <v>6</v>
      </c>
      <c r="I70" s="11" t="s">
        <v>17</v>
      </c>
      <c r="J70" s="25">
        <v>51919834</v>
      </c>
      <c r="K70" s="25" t="s">
        <v>340</v>
      </c>
      <c r="L70" s="25" t="s">
        <v>618</v>
      </c>
      <c r="M70" s="62">
        <v>279900</v>
      </c>
      <c r="N70" s="31">
        <v>0.75</v>
      </c>
      <c r="O70" s="32">
        <f t="shared" si="5"/>
        <v>69975</v>
      </c>
      <c r="P70" s="28" t="s">
        <v>16</v>
      </c>
    </row>
    <row r="71" spans="1:16" x14ac:dyDescent="0.35">
      <c r="A71" s="11" t="s">
        <v>1036</v>
      </c>
      <c r="B71" s="12">
        <f t="shared" si="6"/>
        <v>46104</v>
      </c>
      <c r="C71" s="12">
        <f t="shared" si="7"/>
        <v>46113</v>
      </c>
      <c r="D71" s="11">
        <v>3259</v>
      </c>
      <c r="E71" s="11">
        <v>333</v>
      </c>
      <c r="F71" s="11">
        <v>3</v>
      </c>
      <c r="G71" s="25"/>
      <c r="H71" s="73">
        <v>6</v>
      </c>
      <c r="I71" s="11" t="s">
        <v>17</v>
      </c>
      <c r="J71" s="25">
        <v>51919843</v>
      </c>
      <c r="K71" s="25" t="s">
        <v>340</v>
      </c>
      <c r="L71" s="25" t="s">
        <v>619</v>
      </c>
      <c r="M71" s="62">
        <v>279900</v>
      </c>
      <c r="N71" s="31">
        <v>0.75</v>
      </c>
      <c r="O71" s="32">
        <f t="shared" si="5"/>
        <v>69975</v>
      </c>
      <c r="P71" s="28" t="s">
        <v>16</v>
      </c>
    </row>
    <row r="72" spans="1:16" x14ac:dyDescent="0.35">
      <c r="A72" s="11" t="s">
        <v>1036</v>
      </c>
      <c r="B72" s="12">
        <f t="shared" si="6"/>
        <v>46104</v>
      </c>
      <c r="C72" s="12">
        <f t="shared" si="7"/>
        <v>46113</v>
      </c>
      <c r="D72" s="11">
        <v>3259</v>
      </c>
      <c r="E72" s="11">
        <v>333</v>
      </c>
      <c r="F72" s="11">
        <v>3</v>
      </c>
      <c r="G72" s="25"/>
      <c r="H72" s="73">
        <v>6</v>
      </c>
      <c r="I72" s="11" t="s">
        <v>17</v>
      </c>
      <c r="J72" s="25">
        <v>51919852</v>
      </c>
      <c r="K72" s="25" t="s">
        <v>340</v>
      </c>
      <c r="L72" s="25" t="s">
        <v>620</v>
      </c>
      <c r="M72" s="62">
        <v>279900</v>
      </c>
      <c r="N72" s="31">
        <v>0.75</v>
      </c>
      <c r="O72" s="32">
        <f t="shared" si="5"/>
        <v>69975</v>
      </c>
      <c r="P72" s="28" t="s">
        <v>16</v>
      </c>
    </row>
    <row r="73" spans="1:16" x14ac:dyDescent="0.35">
      <c r="A73" s="11" t="s">
        <v>1036</v>
      </c>
      <c r="B73" s="12">
        <f t="shared" si="6"/>
        <v>46104</v>
      </c>
      <c r="C73" s="12">
        <f t="shared" si="7"/>
        <v>46113</v>
      </c>
      <c r="D73" s="11">
        <v>3259</v>
      </c>
      <c r="E73" s="11">
        <v>333</v>
      </c>
      <c r="F73" s="11">
        <v>3</v>
      </c>
      <c r="G73" s="25"/>
      <c r="H73" s="73">
        <v>6</v>
      </c>
      <c r="I73" s="11" t="s">
        <v>17</v>
      </c>
      <c r="J73" s="25">
        <v>51919861</v>
      </c>
      <c r="K73" s="25" t="s">
        <v>340</v>
      </c>
      <c r="L73" s="25" t="s">
        <v>621</v>
      </c>
      <c r="M73" s="62">
        <v>279900</v>
      </c>
      <c r="N73" s="31">
        <v>0.75</v>
      </c>
      <c r="O73" s="32">
        <f t="shared" si="5"/>
        <v>69975</v>
      </c>
      <c r="P73" s="28" t="s">
        <v>16</v>
      </c>
    </row>
    <row r="74" spans="1:16" x14ac:dyDescent="0.35">
      <c r="A74" s="11" t="s">
        <v>1036</v>
      </c>
      <c r="B74" s="12">
        <f t="shared" si="6"/>
        <v>46104</v>
      </c>
      <c r="C74" s="12">
        <f t="shared" si="7"/>
        <v>46113</v>
      </c>
      <c r="D74" s="11">
        <v>3259</v>
      </c>
      <c r="E74" s="11">
        <v>333</v>
      </c>
      <c r="F74" s="11">
        <v>3</v>
      </c>
      <c r="G74" s="25"/>
      <c r="H74" s="73">
        <v>6</v>
      </c>
      <c r="I74" s="11" t="s">
        <v>17</v>
      </c>
      <c r="J74" s="25">
        <v>51919870</v>
      </c>
      <c r="K74" s="25" t="s">
        <v>340</v>
      </c>
      <c r="L74" s="25" t="s">
        <v>622</v>
      </c>
      <c r="M74" s="62">
        <v>279900</v>
      </c>
      <c r="N74" s="31">
        <v>0.75</v>
      </c>
      <c r="O74" s="32">
        <f t="shared" si="5"/>
        <v>69975</v>
      </c>
      <c r="P74" s="28" t="s">
        <v>16</v>
      </c>
    </row>
    <row r="75" spans="1:16" x14ac:dyDescent="0.35">
      <c r="A75" s="11" t="s">
        <v>1036</v>
      </c>
      <c r="B75" s="12">
        <f t="shared" si="6"/>
        <v>46104</v>
      </c>
      <c r="C75" s="12">
        <f t="shared" si="7"/>
        <v>46113</v>
      </c>
      <c r="D75" s="11">
        <v>3259</v>
      </c>
      <c r="E75" s="11">
        <v>333</v>
      </c>
      <c r="F75" s="11">
        <v>3</v>
      </c>
      <c r="G75" s="25"/>
      <c r="H75" s="73">
        <v>6</v>
      </c>
      <c r="I75" s="11" t="s">
        <v>17</v>
      </c>
      <c r="J75" s="25">
        <v>51919889</v>
      </c>
      <c r="K75" s="25" t="s">
        <v>340</v>
      </c>
      <c r="L75" s="25" t="s">
        <v>623</v>
      </c>
      <c r="M75" s="62">
        <v>279900</v>
      </c>
      <c r="N75" s="31">
        <v>0.75</v>
      </c>
      <c r="O75" s="32">
        <f t="shared" si="5"/>
        <v>69975</v>
      </c>
      <c r="P75" s="28" t="s">
        <v>16</v>
      </c>
    </row>
    <row r="76" spans="1:16" x14ac:dyDescent="0.35">
      <c r="A76" s="11" t="s">
        <v>1036</v>
      </c>
      <c r="B76" s="12">
        <f t="shared" si="6"/>
        <v>46104</v>
      </c>
      <c r="C76" s="12">
        <f t="shared" si="7"/>
        <v>46113</v>
      </c>
      <c r="D76" s="11">
        <v>3259</v>
      </c>
      <c r="E76" s="11">
        <v>333</v>
      </c>
      <c r="F76" s="11">
        <v>3</v>
      </c>
      <c r="G76" s="25"/>
      <c r="H76" s="73">
        <v>6</v>
      </c>
      <c r="I76" s="11" t="s">
        <v>17</v>
      </c>
      <c r="J76" s="25">
        <v>54385254</v>
      </c>
      <c r="K76" s="25" t="s">
        <v>835</v>
      </c>
      <c r="L76" s="25" t="s">
        <v>836</v>
      </c>
      <c r="M76" s="62">
        <v>279900</v>
      </c>
      <c r="N76" s="31">
        <v>0.75</v>
      </c>
      <c r="O76" s="32">
        <f t="shared" si="5"/>
        <v>69975</v>
      </c>
      <c r="P76" s="28" t="s">
        <v>16</v>
      </c>
    </row>
    <row r="77" spans="1:16" x14ac:dyDescent="0.35">
      <c r="A77" s="11" t="s">
        <v>1036</v>
      </c>
      <c r="B77" s="12">
        <f t="shared" si="6"/>
        <v>46104</v>
      </c>
      <c r="C77" s="12">
        <f t="shared" si="7"/>
        <v>46113</v>
      </c>
      <c r="D77" s="11">
        <v>3259</v>
      </c>
      <c r="E77" s="11">
        <v>333</v>
      </c>
      <c r="F77" s="11">
        <v>3</v>
      </c>
      <c r="G77" s="25"/>
      <c r="H77" s="73">
        <v>6</v>
      </c>
      <c r="I77" s="11" t="s">
        <v>17</v>
      </c>
      <c r="J77" s="25">
        <v>54385263</v>
      </c>
      <c r="K77" s="25" t="s">
        <v>835</v>
      </c>
      <c r="L77" s="25" t="s">
        <v>837</v>
      </c>
      <c r="M77" s="62">
        <v>279900</v>
      </c>
      <c r="N77" s="31">
        <v>0.75</v>
      </c>
      <c r="O77" s="32">
        <f t="shared" si="5"/>
        <v>69975</v>
      </c>
      <c r="P77" s="28" t="s">
        <v>16</v>
      </c>
    </row>
    <row r="78" spans="1:16" x14ac:dyDescent="0.35">
      <c r="A78" s="11" t="s">
        <v>1036</v>
      </c>
      <c r="B78" s="12">
        <f t="shared" si="6"/>
        <v>46104</v>
      </c>
      <c r="C78" s="12">
        <f t="shared" si="7"/>
        <v>46113</v>
      </c>
      <c r="D78" s="11">
        <v>3259</v>
      </c>
      <c r="E78" s="11">
        <v>333</v>
      </c>
      <c r="F78" s="11">
        <v>3</v>
      </c>
      <c r="G78" s="25"/>
      <c r="H78" s="73">
        <v>6</v>
      </c>
      <c r="I78" s="11" t="s">
        <v>17</v>
      </c>
      <c r="J78" s="25">
        <v>54385272</v>
      </c>
      <c r="K78" s="25" t="s">
        <v>835</v>
      </c>
      <c r="L78" s="25" t="s">
        <v>838</v>
      </c>
      <c r="M78" s="62">
        <v>279900</v>
      </c>
      <c r="N78" s="31">
        <v>0.75</v>
      </c>
      <c r="O78" s="32">
        <f t="shared" si="5"/>
        <v>69975</v>
      </c>
      <c r="P78" s="28" t="s">
        <v>16</v>
      </c>
    </row>
    <row r="79" spans="1:16" x14ac:dyDescent="0.35">
      <c r="A79" s="11" t="s">
        <v>1036</v>
      </c>
      <c r="B79" s="12">
        <f t="shared" si="6"/>
        <v>46104</v>
      </c>
      <c r="C79" s="12">
        <f t="shared" si="7"/>
        <v>46113</v>
      </c>
      <c r="D79" s="11">
        <v>3259</v>
      </c>
      <c r="E79" s="11">
        <v>333</v>
      </c>
      <c r="F79" s="11">
        <v>3</v>
      </c>
      <c r="G79" s="25"/>
      <c r="H79" s="73">
        <v>6</v>
      </c>
      <c r="I79" s="11" t="s">
        <v>17</v>
      </c>
      <c r="J79" s="25">
        <v>54385281</v>
      </c>
      <c r="K79" s="25" t="s">
        <v>835</v>
      </c>
      <c r="L79" s="25" t="s">
        <v>839</v>
      </c>
      <c r="M79" s="62">
        <v>279900</v>
      </c>
      <c r="N79" s="31">
        <v>0.75</v>
      </c>
      <c r="O79" s="32">
        <f t="shared" si="5"/>
        <v>69975</v>
      </c>
      <c r="P79" s="28" t="s">
        <v>16</v>
      </c>
    </row>
    <row r="80" spans="1:16" x14ac:dyDescent="0.35">
      <c r="A80" s="11" t="s">
        <v>1036</v>
      </c>
      <c r="B80" s="12">
        <f t="shared" si="6"/>
        <v>46104</v>
      </c>
      <c r="C80" s="12">
        <f t="shared" si="7"/>
        <v>46113</v>
      </c>
      <c r="D80" s="11">
        <v>3259</v>
      </c>
      <c r="E80" s="11">
        <v>333</v>
      </c>
      <c r="F80" s="11">
        <v>3</v>
      </c>
      <c r="G80" s="25"/>
      <c r="H80" s="73">
        <v>6</v>
      </c>
      <c r="I80" s="11" t="s">
        <v>17</v>
      </c>
      <c r="J80" s="25">
        <v>54385290</v>
      </c>
      <c r="K80" s="25" t="s">
        <v>835</v>
      </c>
      <c r="L80" s="25" t="s">
        <v>840</v>
      </c>
      <c r="M80" s="62">
        <v>279900</v>
      </c>
      <c r="N80" s="31">
        <v>0.75</v>
      </c>
      <c r="O80" s="32">
        <f t="shared" si="5"/>
        <v>69975</v>
      </c>
      <c r="P80" s="28" t="s">
        <v>16</v>
      </c>
    </row>
    <row r="81" spans="1:16" x14ac:dyDescent="0.35">
      <c r="A81" s="11" t="s">
        <v>1036</v>
      </c>
      <c r="B81" s="12">
        <f t="shared" si="6"/>
        <v>46104</v>
      </c>
      <c r="C81" s="12">
        <f t="shared" si="7"/>
        <v>46113</v>
      </c>
      <c r="D81" s="11">
        <v>3259</v>
      </c>
      <c r="E81" s="11">
        <v>333</v>
      </c>
      <c r="F81" s="11">
        <v>3</v>
      </c>
      <c r="G81" s="25"/>
      <c r="H81" s="73">
        <v>6</v>
      </c>
      <c r="I81" s="11" t="s">
        <v>17</v>
      </c>
      <c r="J81" s="25">
        <v>54385307</v>
      </c>
      <c r="K81" s="25" t="s">
        <v>835</v>
      </c>
      <c r="L81" s="25" t="s">
        <v>841</v>
      </c>
      <c r="M81" s="62">
        <v>279900</v>
      </c>
      <c r="N81" s="31">
        <v>0.75</v>
      </c>
      <c r="O81" s="32">
        <f t="shared" si="5"/>
        <v>69975</v>
      </c>
      <c r="P81" s="28" t="s">
        <v>16</v>
      </c>
    </row>
    <row r="82" spans="1:16" x14ac:dyDescent="0.35">
      <c r="A82" s="11" t="s">
        <v>1036</v>
      </c>
      <c r="B82" s="12">
        <f t="shared" si="6"/>
        <v>46104</v>
      </c>
      <c r="C82" s="12">
        <f t="shared" si="7"/>
        <v>46113</v>
      </c>
      <c r="D82" s="11">
        <v>3259</v>
      </c>
      <c r="E82" s="11">
        <v>333</v>
      </c>
      <c r="F82" s="11">
        <v>3</v>
      </c>
      <c r="G82" s="25"/>
      <c r="H82" s="73">
        <v>6</v>
      </c>
      <c r="I82" s="11" t="s">
        <v>17</v>
      </c>
      <c r="J82" s="25">
        <v>54385316</v>
      </c>
      <c r="K82" s="25" t="s">
        <v>835</v>
      </c>
      <c r="L82" s="25" t="s">
        <v>842</v>
      </c>
      <c r="M82" s="62">
        <v>279900</v>
      </c>
      <c r="N82" s="31">
        <v>0.75</v>
      </c>
      <c r="O82" s="32">
        <f t="shared" si="5"/>
        <v>69975</v>
      </c>
      <c r="P82" s="28" t="s">
        <v>16</v>
      </c>
    </row>
    <row r="83" spans="1:16" x14ac:dyDescent="0.35">
      <c r="A83" s="11" t="s">
        <v>1036</v>
      </c>
      <c r="B83" s="12">
        <f t="shared" si="6"/>
        <v>46104</v>
      </c>
      <c r="C83" s="12">
        <f t="shared" si="7"/>
        <v>46113</v>
      </c>
      <c r="D83" s="11">
        <v>3259</v>
      </c>
      <c r="E83" s="11">
        <v>333</v>
      </c>
      <c r="F83" s="11">
        <v>3</v>
      </c>
      <c r="G83" s="25"/>
      <c r="H83" s="73">
        <v>6</v>
      </c>
      <c r="I83" s="11" t="s">
        <v>17</v>
      </c>
      <c r="J83" s="25">
        <v>54385325</v>
      </c>
      <c r="K83" s="25" t="s">
        <v>835</v>
      </c>
      <c r="L83" s="25" t="s">
        <v>843</v>
      </c>
      <c r="M83" s="62">
        <v>279900</v>
      </c>
      <c r="N83" s="31">
        <v>0.75</v>
      </c>
      <c r="O83" s="32">
        <f t="shared" si="5"/>
        <v>69975</v>
      </c>
      <c r="P83" s="28" t="s">
        <v>16</v>
      </c>
    </row>
    <row r="84" spans="1:16" x14ac:dyDescent="0.35">
      <c r="A84" s="11" t="s">
        <v>1036</v>
      </c>
      <c r="B84" s="12">
        <f t="shared" si="6"/>
        <v>46104</v>
      </c>
      <c r="C84" s="12">
        <f t="shared" si="7"/>
        <v>46113</v>
      </c>
      <c r="D84" s="11">
        <v>3259</v>
      </c>
      <c r="E84" s="11">
        <v>333</v>
      </c>
      <c r="F84" s="11">
        <v>3</v>
      </c>
      <c r="G84" s="25"/>
      <c r="H84" s="73">
        <v>6</v>
      </c>
      <c r="I84" s="11" t="s">
        <v>17</v>
      </c>
      <c r="J84" s="25">
        <v>54385334</v>
      </c>
      <c r="K84" s="25" t="s">
        <v>835</v>
      </c>
      <c r="L84" s="25" t="s">
        <v>844</v>
      </c>
      <c r="M84" s="62">
        <v>279900</v>
      </c>
      <c r="N84" s="31">
        <v>0.75</v>
      </c>
      <c r="O84" s="32">
        <f t="shared" si="5"/>
        <v>69975</v>
      </c>
      <c r="P84" s="28" t="s">
        <v>16</v>
      </c>
    </row>
    <row r="85" spans="1:16" x14ac:dyDescent="0.35">
      <c r="A85" s="11" t="s">
        <v>1036</v>
      </c>
      <c r="B85" s="12">
        <f t="shared" si="6"/>
        <v>46104</v>
      </c>
      <c r="C85" s="12">
        <f t="shared" si="7"/>
        <v>46113</v>
      </c>
      <c r="D85" s="11">
        <v>3259</v>
      </c>
      <c r="E85" s="11">
        <v>333</v>
      </c>
      <c r="F85" s="11">
        <v>3</v>
      </c>
      <c r="G85" s="25"/>
      <c r="H85" s="73">
        <v>6</v>
      </c>
      <c r="I85" s="11" t="s">
        <v>17</v>
      </c>
      <c r="J85" s="25">
        <v>54385343</v>
      </c>
      <c r="K85" s="25" t="s">
        <v>835</v>
      </c>
      <c r="L85" s="25" t="s">
        <v>845</v>
      </c>
      <c r="M85" s="62">
        <v>279900</v>
      </c>
      <c r="N85" s="31">
        <v>0.75</v>
      </c>
      <c r="O85" s="32">
        <f t="shared" si="5"/>
        <v>69975</v>
      </c>
      <c r="P85" s="28" t="s">
        <v>16</v>
      </c>
    </row>
    <row r="86" spans="1:16" x14ac:dyDescent="0.35">
      <c r="A86" s="11" t="s">
        <v>1036</v>
      </c>
      <c r="B86" s="12">
        <f t="shared" si="6"/>
        <v>46104</v>
      </c>
      <c r="C86" s="12">
        <f t="shared" si="7"/>
        <v>46113</v>
      </c>
      <c r="D86" s="11">
        <v>3259</v>
      </c>
      <c r="E86" s="11">
        <v>333</v>
      </c>
      <c r="F86" s="11">
        <v>3</v>
      </c>
      <c r="G86" s="25"/>
      <c r="H86" s="73">
        <v>6</v>
      </c>
      <c r="I86" s="11" t="s">
        <v>17</v>
      </c>
      <c r="J86" s="25">
        <v>54385352</v>
      </c>
      <c r="K86" s="25" t="s">
        <v>835</v>
      </c>
      <c r="L86" s="25" t="s">
        <v>846</v>
      </c>
      <c r="M86" s="62">
        <v>279900</v>
      </c>
      <c r="N86" s="31">
        <v>0.75</v>
      </c>
      <c r="O86" s="32">
        <f t="shared" si="5"/>
        <v>69975</v>
      </c>
      <c r="P86" s="28" t="s">
        <v>16</v>
      </c>
    </row>
    <row r="87" spans="1:16" x14ac:dyDescent="0.35">
      <c r="A87" s="11" t="s">
        <v>1036</v>
      </c>
      <c r="B87" s="12">
        <f t="shared" si="6"/>
        <v>46104</v>
      </c>
      <c r="C87" s="12">
        <f t="shared" si="7"/>
        <v>46113</v>
      </c>
      <c r="D87" s="11">
        <v>3259</v>
      </c>
      <c r="E87" s="11">
        <v>333</v>
      </c>
      <c r="F87" s="11">
        <v>3</v>
      </c>
      <c r="G87" s="25"/>
      <c r="H87" s="73">
        <v>6</v>
      </c>
      <c r="I87" s="11" t="s">
        <v>17</v>
      </c>
      <c r="J87" s="25">
        <v>54385361</v>
      </c>
      <c r="K87" s="25" t="s">
        <v>835</v>
      </c>
      <c r="L87" s="25" t="s">
        <v>847</v>
      </c>
      <c r="M87" s="62">
        <v>279900</v>
      </c>
      <c r="N87" s="31">
        <v>0.75</v>
      </c>
      <c r="O87" s="32">
        <f t="shared" si="5"/>
        <v>69975</v>
      </c>
      <c r="P87" s="28" t="s">
        <v>16</v>
      </c>
    </row>
    <row r="88" spans="1:16" x14ac:dyDescent="0.35">
      <c r="A88" s="11" t="s">
        <v>1036</v>
      </c>
      <c r="B88" s="12">
        <f t="shared" si="6"/>
        <v>46104</v>
      </c>
      <c r="C88" s="12">
        <f t="shared" si="7"/>
        <v>46113</v>
      </c>
      <c r="D88" s="11">
        <v>3259</v>
      </c>
      <c r="E88" s="11">
        <v>333</v>
      </c>
      <c r="F88" s="11">
        <v>3</v>
      </c>
      <c r="G88" s="25"/>
      <c r="H88" s="73">
        <v>6</v>
      </c>
      <c r="I88" s="11" t="s">
        <v>17</v>
      </c>
      <c r="J88" s="25">
        <v>54385370</v>
      </c>
      <c r="K88" s="25" t="s">
        <v>835</v>
      </c>
      <c r="L88" s="25" t="s">
        <v>848</v>
      </c>
      <c r="M88" s="62">
        <v>279900</v>
      </c>
      <c r="N88" s="31">
        <v>0.75</v>
      </c>
      <c r="O88" s="32">
        <f t="shared" si="5"/>
        <v>69975</v>
      </c>
      <c r="P88" s="28" t="s">
        <v>16</v>
      </c>
    </row>
    <row r="89" spans="1:16" x14ac:dyDescent="0.35">
      <c r="A89" s="11" t="s">
        <v>1036</v>
      </c>
      <c r="B89" s="12">
        <f t="shared" si="6"/>
        <v>46104</v>
      </c>
      <c r="C89" s="12">
        <f t="shared" si="7"/>
        <v>46113</v>
      </c>
      <c r="D89" s="11">
        <v>3259</v>
      </c>
      <c r="E89" s="11">
        <v>333</v>
      </c>
      <c r="F89" s="11">
        <v>3</v>
      </c>
      <c r="G89" s="25"/>
      <c r="H89" s="73">
        <v>6</v>
      </c>
      <c r="I89" s="11" t="s">
        <v>17</v>
      </c>
      <c r="J89" s="25">
        <v>54385389</v>
      </c>
      <c r="K89" s="25" t="s">
        <v>835</v>
      </c>
      <c r="L89" s="25" t="s">
        <v>849</v>
      </c>
      <c r="M89" s="62">
        <v>279900</v>
      </c>
      <c r="N89" s="31">
        <v>0.75</v>
      </c>
      <c r="O89" s="32">
        <f t="shared" si="5"/>
        <v>69975</v>
      </c>
      <c r="P89" s="28" t="s">
        <v>16</v>
      </c>
    </row>
    <row r="90" spans="1:16" x14ac:dyDescent="0.35">
      <c r="A90" s="11" t="s">
        <v>1036</v>
      </c>
      <c r="B90" s="12">
        <f t="shared" si="6"/>
        <v>46104</v>
      </c>
      <c r="C90" s="12">
        <f t="shared" si="7"/>
        <v>46113</v>
      </c>
      <c r="D90" s="11">
        <v>3259</v>
      </c>
      <c r="E90" s="11">
        <v>333</v>
      </c>
      <c r="F90" s="11">
        <v>3</v>
      </c>
      <c r="G90" s="25"/>
      <c r="H90" s="73">
        <v>6</v>
      </c>
      <c r="I90" s="11" t="s">
        <v>17</v>
      </c>
      <c r="J90" s="25">
        <v>54385398</v>
      </c>
      <c r="K90" s="25" t="s">
        <v>835</v>
      </c>
      <c r="L90" s="25" t="s">
        <v>850</v>
      </c>
      <c r="M90" s="62">
        <v>279900</v>
      </c>
      <c r="N90" s="31">
        <v>0.75</v>
      </c>
      <c r="O90" s="32">
        <f t="shared" si="5"/>
        <v>69975</v>
      </c>
      <c r="P90" s="28" t="s">
        <v>16</v>
      </c>
    </row>
    <row r="91" spans="1:16" x14ac:dyDescent="0.35">
      <c r="A91" s="11" t="s">
        <v>1036</v>
      </c>
      <c r="B91" s="12">
        <f t="shared" si="6"/>
        <v>46104</v>
      </c>
      <c r="C91" s="12">
        <f t="shared" si="7"/>
        <v>46113</v>
      </c>
      <c r="D91" s="11">
        <v>3259</v>
      </c>
      <c r="E91" s="11">
        <v>333</v>
      </c>
      <c r="F91" s="11">
        <v>3</v>
      </c>
      <c r="G91" s="25"/>
      <c r="H91" s="73">
        <v>6</v>
      </c>
      <c r="I91" s="11" t="s">
        <v>17</v>
      </c>
      <c r="J91" s="25">
        <v>54385405</v>
      </c>
      <c r="K91" s="25" t="s">
        <v>835</v>
      </c>
      <c r="L91" s="25" t="s">
        <v>851</v>
      </c>
      <c r="M91" s="62">
        <v>279900</v>
      </c>
      <c r="N91" s="31">
        <v>0.75</v>
      </c>
      <c r="O91" s="32">
        <f t="shared" si="5"/>
        <v>69975</v>
      </c>
      <c r="P91" s="28" t="s">
        <v>16</v>
      </c>
    </row>
    <row r="92" spans="1:16" x14ac:dyDescent="0.35">
      <c r="A92" s="11" t="s">
        <v>1036</v>
      </c>
      <c r="B92" s="12">
        <f t="shared" si="6"/>
        <v>46104</v>
      </c>
      <c r="C92" s="12">
        <f t="shared" si="7"/>
        <v>46113</v>
      </c>
      <c r="D92" s="11">
        <v>3259</v>
      </c>
      <c r="E92" s="11">
        <v>333</v>
      </c>
      <c r="F92" s="11">
        <v>3</v>
      </c>
      <c r="G92" s="25"/>
      <c r="H92" s="73">
        <v>6</v>
      </c>
      <c r="I92" s="11" t="s">
        <v>17</v>
      </c>
      <c r="J92" s="25">
        <v>54385414</v>
      </c>
      <c r="K92" s="25" t="s">
        <v>835</v>
      </c>
      <c r="L92" s="25" t="s">
        <v>852</v>
      </c>
      <c r="M92" s="62">
        <v>279900</v>
      </c>
      <c r="N92" s="31">
        <v>0.75</v>
      </c>
      <c r="O92" s="32">
        <f t="shared" si="5"/>
        <v>69975</v>
      </c>
      <c r="P92" s="28" t="s">
        <v>16</v>
      </c>
    </row>
    <row r="93" spans="1:16" x14ac:dyDescent="0.35">
      <c r="A93" s="11" t="s">
        <v>1036</v>
      </c>
      <c r="B93" s="12">
        <f t="shared" si="6"/>
        <v>46104</v>
      </c>
      <c r="C93" s="12">
        <f t="shared" si="7"/>
        <v>46113</v>
      </c>
      <c r="D93" s="11">
        <v>3259</v>
      </c>
      <c r="E93" s="11">
        <v>333</v>
      </c>
      <c r="F93" s="11">
        <v>3</v>
      </c>
      <c r="G93" s="25"/>
      <c r="H93" s="73">
        <v>6</v>
      </c>
      <c r="I93" s="11" t="s">
        <v>17</v>
      </c>
      <c r="J93" s="25">
        <v>54385423</v>
      </c>
      <c r="K93" s="25" t="s">
        <v>835</v>
      </c>
      <c r="L93" s="25" t="s">
        <v>853</v>
      </c>
      <c r="M93" s="62">
        <v>279900</v>
      </c>
      <c r="N93" s="31">
        <v>0.75</v>
      </c>
      <c r="O93" s="32">
        <f t="shared" si="5"/>
        <v>69975</v>
      </c>
      <c r="P93" s="28" t="s">
        <v>16</v>
      </c>
    </row>
    <row r="94" spans="1:16" x14ac:dyDescent="0.35">
      <c r="A94" s="11" t="s">
        <v>1036</v>
      </c>
      <c r="B94" s="12">
        <f t="shared" si="6"/>
        <v>46104</v>
      </c>
      <c r="C94" s="12">
        <f t="shared" si="7"/>
        <v>46113</v>
      </c>
      <c r="D94" s="11">
        <v>3259</v>
      </c>
      <c r="E94" s="11">
        <v>333</v>
      </c>
      <c r="F94" s="11">
        <v>3</v>
      </c>
      <c r="G94" s="25"/>
      <c r="H94" s="73">
        <v>6</v>
      </c>
      <c r="I94" s="11" t="s">
        <v>17</v>
      </c>
      <c r="J94" s="25">
        <v>54698265</v>
      </c>
      <c r="K94" s="25" t="s">
        <v>854</v>
      </c>
      <c r="L94" s="25" t="s">
        <v>855</v>
      </c>
      <c r="M94" s="62">
        <v>279900</v>
      </c>
      <c r="N94" s="31">
        <v>0.75</v>
      </c>
      <c r="O94" s="32">
        <f t="shared" si="5"/>
        <v>69975</v>
      </c>
      <c r="P94" s="28" t="s">
        <v>16</v>
      </c>
    </row>
    <row r="95" spans="1:16" x14ac:dyDescent="0.35">
      <c r="A95" s="11" t="s">
        <v>1036</v>
      </c>
      <c r="B95" s="12">
        <f t="shared" si="6"/>
        <v>46104</v>
      </c>
      <c r="C95" s="12">
        <f t="shared" si="7"/>
        <v>46113</v>
      </c>
      <c r="D95" s="11">
        <v>3259</v>
      </c>
      <c r="E95" s="11">
        <v>333</v>
      </c>
      <c r="F95" s="11">
        <v>3</v>
      </c>
      <c r="G95" s="25"/>
      <c r="H95" s="73">
        <v>6</v>
      </c>
      <c r="I95" s="11" t="s">
        <v>17</v>
      </c>
      <c r="J95" s="25">
        <v>54698274</v>
      </c>
      <c r="K95" s="25" t="s">
        <v>854</v>
      </c>
      <c r="L95" s="25" t="s">
        <v>856</v>
      </c>
      <c r="M95" s="62">
        <v>279900</v>
      </c>
      <c r="N95" s="31">
        <v>0.75</v>
      </c>
      <c r="O95" s="32">
        <f t="shared" si="5"/>
        <v>69975</v>
      </c>
      <c r="P95" s="28" t="s">
        <v>16</v>
      </c>
    </row>
    <row r="96" spans="1:16" x14ac:dyDescent="0.35">
      <c r="A96" s="11" t="s">
        <v>1036</v>
      </c>
      <c r="B96" s="12">
        <f t="shared" si="6"/>
        <v>46104</v>
      </c>
      <c r="C96" s="12">
        <f t="shared" si="7"/>
        <v>46113</v>
      </c>
      <c r="D96" s="11">
        <v>3259</v>
      </c>
      <c r="E96" s="11">
        <v>333</v>
      </c>
      <c r="F96" s="11">
        <v>3</v>
      </c>
      <c r="G96" s="25"/>
      <c r="H96" s="73">
        <v>6</v>
      </c>
      <c r="I96" s="11" t="s">
        <v>17</v>
      </c>
      <c r="J96" s="25">
        <v>54698283</v>
      </c>
      <c r="K96" s="25" t="s">
        <v>854</v>
      </c>
      <c r="L96" s="25" t="s">
        <v>857</v>
      </c>
      <c r="M96" s="62">
        <v>279900</v>
      </c>
      <c r="N96" s="31">
        <v>0.75</v>
      </c>
      <c r="O96" s="32">
        <f t="shared" si="5"/>
        <v>69975</v>
      </c>
      <c r="P96" s="28" t="s">
        <v>16</v>
      </c>
    </row>
    <row r="97" spans="1:16" x14ac:dyDescent="0.35">
      <c r="A97" s="11" t="s">
        <v>1036</v>
      </c>
      <c r="B97" s="12">
        <f t="shared" si="6"/>
        <v>46104</v>
      </c>
      <c r="C97" s="12">
        <f t="shared" si="7"/>
        <v>46113</v>
      </c>
      <c r="D97" s="11">
        <v>3259</v>
      </c>
      <c r="E97" s="11">
        <v>333</v>
      </c>
      <c r="F97" s="11">
        <v>3</v>
      </c>
      <c r="G97" s="25"/>
      <c r="H97" s="73">
        <v>6</v>
      </c>
      <c r="I97" s="11" t="s">
        <v>17</v>
      </c>
      <c r="J97" s="25">
        <v>54698292</v>
      </c>
      <c r="K97" s="25" t="s">
        <v>854</v>
      </c>
      <c r="L97" s="25" t="s">
        <v>858</v>
      </c>
      <c r="M97" s="62">
        <v>279900</v>
      </c>
      <c r="N97" s="31">
        <v>0.75</v>
      </c>
      <c r="O97" s="32">
        <f t="shared" si="5"/>
        <v>69975</v>
      </c>
      <c r="P97" s="28" t="s">
        <v>16</v>
      </c>
    </row>
    <row r="98" spans="1:16" x14ac:dyDescent="0.35">
      <c r="A98" s="11" t="s">
        <v>1036</v>
      </c>
      <c r="B98" s="12">
        <f t="shared" si="6"/>
        <v>46104</v>
      </c>
      <c r="C98" s="12">
        <f t="shared" si="7"/>
        <v>46113</v>
      </c>
      <c r="D98" s="11">
        <v>3259</v>
      </c>
      <c r="E98" s="11">
        <v>333</v>
      </c>
      <c r="F98" s="11">
        <v>3</v>
      </c>
      <c r="G98" s="25"/>
      <c r="H98" s="73">
        <v>6</v>
      </c>
      <c r="I98" s="11" t="s">
        <v>17</v>
      </c>
      <c r="J98" s="25">
        <v>54698309</v>
      </c>
      <c r="K98" s="25" t="s">
        <v>854</v>
      </c>
      <c r="L98" s="25" t="s">
        <v>859</v>
      </c>
      <c r="M98" s="62">
        <v>279900</v>
      </c>
      <c r="N98" s="31">
        <v>0.75</v>
      </c>
      <c r="O98" s="32">
        <f t="shared" ref="O98:O129" si="8">M98-(M98*N98)</f>
        <v>69975</v>
      </c>
      <c r="P98" s="28" t="s">
        <v>16</v>
      </c>
    </row>
    <row r="99" spans="1:16" x14ac:dyDescent="0.35">
      <c r="A99" s="11" t="s">
        <v>1036</v>
      </c>
      <c r="B99" s="12">
        <f t="shared" si="6"/>
        <v>46104</v>
      </c>
      <c r="C99" s="12">
        <f t="shared" si="7"/>
        <v>46113</v>
      </c>
      <c r="D99" s="11">
        <v>3259</v>
      </c>
      <c r="E99" s="11">
        <v>333</v>
      </c>
      <c r="F99" s="11">
        <v>3</v>
      </c>
      <c r="G99" s="25"/>
      <c r="H99" s="73">
        <v>6</v>
      </c>
      <c r="I99" s="11" t="s">
        <v>17</v>
      </c>
      <c r="J99" s="25">
        <v>54698318</v>
      </c>
      <c r="K99" s="25" t="s">
        <v>854</v>
      </c>
      <c r="L99" s="25" t="s">
        <v>860</v>
      </c>
      <c r="M99" s="62">
        <v>279900</v>
      </c>
      <c r="N99" s="31">
        <v>0.75</v>
      </c>
      <c r="O99" s="32">
        <f t="shared" si="8"/>
        <v>69975</v>
      </c>
      <c r="P99" s="28" t="s">
        <v>16</v>
      </c>
    </row>
    <row r="100" spans="1:16" x14ac:dyDescent="0.35">
      <c r="A100" s="11" t="s">
        <v>1036</v>
      </c>
      <c r="B100" s="12">
        <f t="shared" si="6"/>
        <v>46104</v>
      </c>
      <c r="C100" s="12">
        <f t="shared" si="7"/>
        <v>46113</v>
      </c>
      <c r="D100" s="11">
        <v>3259</v>
      </c>
      <c r="E100" s="11">
        <v>333</v>
      </c>
      <c r="F100" s="11">
        <v>3</v>
      </c>
      <c r="G100" s="25"/>
      <c r="H100" s="73">
        <v>6</v>
      </c>
      <c r="I100" s="11" t="s">
        <v>17</v>
      </c>
      <c r="J100" s="25">
        <v>54698327</v>
      </c>
      <c r="K100" s="25" t="s">
        <v>854</v>
      </c>
      <c r="L100" s="25" t="s">
        <v>861</v>
      </c>
      <c r="M100" s="62">
        <v>279900</v>
      </c>
      <c r="N100" s="31">
        <v>0.75</v>
      </c>
      <c r="O100" s="32">
        <f t="shared" si="8"/>
        <v>69975</v>
      </c>
      <c r="P100" s="28" t="s">
        <v>16</v>
      </c>
    </row>
    <row r="101" spans="1:16" x14ac:dyDescent="0.35">
      <c r="A101" s="11" t="s">
        <v>1036</v>
      </c>
      <c r="B101" s="12">
        <f t="shared" si="6"/>
        <v>46104</v>
      </c>
      <c r="C101" s="12">
        <f t="shared" si="7"/>
        <v>46113</v>
      </c>
      <c r="D101" s="11">
        <v>3259</v>
      </c>
      <c r="E101" s="11">
        <v>333</v>
      </c>
      <c r="F101" s="11">
        <v>3</v>
      </c>
      <c r="G101" s="25"/>
      <c r="H101" s="73">
        <v>6</v>
      </c>
      <c r="I101" s="11" t="s">
        <v>17</v>
      </c>
      <c r="J101" s="25">
        <v>54698336</v>
      </c>
      <c r="K101" s="25" t="s">
        <v>854</v>
      </c>
      <c r="L101" s="25" t="s">
        <v>862</v>
      </c>
      <c r="M101" s="62">
        <v>279900</v>
      </c>
      <c r="N101" s="31">
        <v>0.75</v>
      </c>
      <c r="O101" s="32">
        <f t="shared" si="8"/>
        <v>69975</v>
      </c>
      <c r="P101" s="28" t="s">
        <v>16</v>
      </c>
    </row>
    <row r="102" spans="1:16" x14ac:dyDescent="0.35">
      <c r="A102" s="11" t="s">
        <v>1036</v>
      </c>
      <c r="B102" s="12">
        <f t="shared" si="6"/>
        <v>46104</v>
      </c>
      <c r="C102" s="12">
        <f t="shared" si="7"/>
        <v>46113</v>
      </c>
      <c r="D102" s="11">
        <v>3259</v>
      </c>
      <c r="E102" s="11">
        <v>333</v>
      </c>
      <c r="F102" s="11">
        <v>3</v>
      </c>
      <c r="G102" s="25"/>
      <c r="H102" s="73">
        <v>6</v>
      </c>
      <c r="I102" s="11" t="s">
        <v>17</v>
      </c>
      <c r="J102" s="25">
        <v>54698345</v>
      </c>
      <c r="K102" s="25" t="s">
        <v>854</v>
      </c>
      <c r="L102" s="25" t="s">
        <v>863</v>
      </c>
      <c r="M102" s="62">
        <v>279900</v>
      </c>
      <c r="N102" s="31">
        <v>0.75</v>
      </c>
      <c r="O102" s="32">
        <f t="shared" si="8"/>
        <v>69975</v>
      </c>
      <c r="P102" s="28" t="s">
        <v>16</v>
      </c>
    </row>
    <row r="103" spans="1:16" x14ac:dyDescent="0.35">
      <c r="A103" s="11" t="s">
        <v>1036</v>
      </c>
      <c r="B103" s="12">
        <f t="shared" si="6"/>
        <v>46104</v>
      </c>
      <c r="C103" s="12">
        <f t="shared" si="7"/>
        <v>46113</v>
      </c>
      <c r="D103" s="11">
        <v>3259</v>
      </c>
      <c r="E103" s="11">
        <v>333</v>
      </c>
      <c r="F103" s="11">
        <v>3</v>
      </c>
      <c r="G103" s="25"/>
      <c r="H103" s="73">
        <v>6</v>
      </c>
      <c r="I103" s="11" t="s">
        <v>17</v>
      </c>
      <c r="J103" s="25">
        <v>54698354</v>
      </c>
      <c r="K103" s="25" t="s">
        <v>854</v>
      </c>
      <c r="L103" s="25" t="s">
        <v>864</v>
      </c>
      <c r="M103" s="62">
        <v>279900</v>
      </c>
      <c r="N103" s="31">
        <v>0.75</v>
      </c>
      <c r="O103" s="32">
        <f t="shared" si="8"/>
        <v>69975</v>
      </c>
      <c r="P103" s="28" t="s">
        <v>16</v>
      </c>
    </row>
    <row r="104" spans="1:16" x14ac:dyDescent="0.35">
      <c r="A104" s="11" t="s">
        <v>1036</v>
      </c>
      <c r="B104" s="12">
        <f t="shared" si="6"/>
        <v>46104</v>
      </c>
      <c r="C104" s="12">
        <f t="shared" si="7"/>
        <v>46113</v>
      </c>
      <c r="D104" s="11">
        <v>3259</v>
      </c>
      <c r="E104" s="11">
        <v>333</v>
      </c>
      <c r="F104" s="11">
        <v>3</v>
      </c>
      <c r="G104" s="25"/>
      <c r="H104" s="73">
        <v>6</v>
      </c>
      <c r="I104" s="11" t="s">
        <v>17</v>
      </c>
      <c r="J104" s="25">
        <v>54698363</v>
      </c>
      <c r="K104" s="25" t="s">
        <v>854</v>
      </c>
      <c r="L104" s="25" t="s">
        <v>865</v>
      </c>
      <c r="M104" s="62">
        <v>279900</v>
      </c>
      <c r="N104" s="31">
        <v>0.75</v>
      </c>
      <c r="O104" s="32">
        <f t="shared" si="8"/>
        <v>69975</v>
      </c>
      <c r="P104" s="28" t="s">
        <v>16</v>
      </c>
    </row>
    <row r="105" spans="1:16" x14ac:dyDescent="0.35">
      <c r="A105" s="11" t="s">
        <v>1036</v>
      </c>
      <c r="B105" s="12">
        <f t="shared" si="6"/>
        <v>46104</v>
      </c>
      <c r="C105" s="12">
        <f t="shared" si="7"/>
        <v>46113</v>
      </c>
      <c r="D105" s="11">
        <v>3259</v>
      </c>
      <c r="E105" s="11">
        <v>333</v>
      </c>
      <c r="F105" s="11">
        <v>3</v>
      </c>
      <c r="G105" s="25"/>
      <c r="H105" s="73">
        <v>6</v>
      </c>
      <c r="I105" s="11" t="s">
        <v>17</v>
      </c>
      <c r="J105" s="25">
        <v>54698372</v>
      </c>
      <c r="K105" s="25" t="s">
        <v>854</v>
      </c>
      <c r="L105" s="25" t="s">
        <v>866</v>
      </c>
      <c r="M105" s="62">
        <v>279900</v>
      </c>
      <c r="N105" s="31">
        <v>0.75</v>
      </c>
      <c r="O105" s="32">
        <f t="shared" si="8"/>
        <v>69975</v>
      </c>
      <c r="P105" s="28" t="s">
        <v>16</v>
      </c>
    </row>
    <row r="106" spans="1:16" x14ac:dyDescent="0.35">
      <c r="A106" s="11" t="s">
        <v>1036</v>
      </c>
      <c r="B106" s="12">
        <f t="shared" si="6"/>
        <v>46104</v>
      </c>
      <c r="C106" s="12">
        <f t="shared" si="7"/>
        <v>46113</v>
      </c>
      <c r="D106" s="11">
        <v>3259</v>
      </c>
      <c r="E106" s="11">
        <v>333</v>
      </c>
      <c r="F106" s="11">
        <v>3</v>
      </c>
      <c r="G106" s="25"/>
      <c r="H106" s="73">
        <v>6</v>
      </c>
      <c r="I106" s="11" t="s">
        <v>17</v>
      </c>
      <c r="J106" s="25">
        <v>54698381</v>
      </c>
      <c r="K106" s="25" t="s">
        <v>854</v>
      </c>
      <c r="L106" s="25" t="s">
        <v>867</v>
      </c>
      <c r="M106" s="62">
        <v>279900</v>
      </c>
      <c r="N106" s="31">
        <v>0.75</v>
      </c>
      <c r="O106" s="32">
        <f t="shared" si="8"/>
        <v>69975</v>
      </c>
      <c r="P106" s="28" t="s">
        <v>16</v>
      </c>
    </row>
    <row r="107" spans="1:16" x14ac:dyDescent="0.35">
      <c r="A107" s="11" t="s">
        <v>1036</v>
      </c>
      <c r="B107" s="12">
        <f t="shared" si="6"/>
        <v>46104</v>
      </c>
      <c r="C107" s="12">
        <f t="shared" si="7"/>
        <v>46113</v>
      </c>
      <c r="D107" s="11">
        <v>3259</v>
      </c>
      <c r="E107" s="11">
        <v>333</v>
      </c>
      <c r="F107" s="11">
        <v>3</v>
      </c>
      <c r="G107" s="25"/>
      <c r="H107" s="73">
        <v>6</v>
      </c>
      <c r="I107" s="11" t="s">
        <v>17</v>
      </c>
      <c r="J107" s="25">
        <v>54698390</v>
      </c>
      <c r="K107" s="25" t="s">
        <v>854</v>
      </c>
      <c r="L107" s="25" t="s">
        <v>868</v>
      </c>
      <c r="M107" s="62">
        <v>279900</v>
      </c>
      <c r="N107" s="31">
        <v>0.75</v>
      </c>
      <c r="O107" s="32">
        <f t="shared" si="8"/>
        <v>69975</v>
      </c>
      <c r="P107" s="28" t="s">
        <v>16</v>
      </c>
    </row>
    <row r="108" spans="1:16" x14ac:dyDescent="0.35">
      <c r="A108" s="11" t="s">
        <v>1036</v>
      </c>
      <c r="B108" s="12">
        <f t="shared" si="6"/>
        <v>46104</v>
      </c>
      <c r="C108" s="12">
        <f t="shared" si="7"/>
        <v>46113</v>
      </c>
      <c r="D108" s="11">
        <v>3259</v>
      </c>
      <c r="E108" s="11">
        <v>333</v>
      </c>
      <c r="F108" s="11">
        <v>3</v>
      </c>
      <c r="G108" s="25"/>
      <c r="H108" s="73">
        <v>6</v>
      </c>
      <c r="I108" s="11" t="s">
        <v>17</v>
      </c>
      <c r="J108" s="25">
        <v>54698407</v>
      </c>
      <c r="K108" s="25" t="s">
        <v>854</v>
      </c>
      <c r="L108" s="25" t="s">
        <v>869</v>
      </c>
      <c r="M108" s="62">
        <v>279900</v>
      </c>
      <c r="N108" s="31">
        <v>0.75</v>
      </c>
      <c r="O108" s="32">
        <f t="shared" si="8"/>
        <v>69975</v>
      </c>
      <c r="P108" s="28" t="s">
        <v>16</v>
      </c>
    </row>
    <row r="109" spans="1:16" x14ac:dyDescent="0.35">
      <c r="A109" s="11" t="s">
        <v>1036</v>
      </c>
      <c r="B109" s="12">
        <f t="shared" si="6"/>
        <v>46104</v>
      </c>
      <c r="C109" s="12">
        <f t="shared" si="7"/>
        <v>46113</v>
      </c>
      <c r="D109" s="11">
        <v>3259</v>
      </c>
      <c r="E109" s="11">
        <v>333</v>
      </c>
      <c r="F109" s="11">
        <v>3</v>
      </c>
      <c r="G109" s="25"/>
      <c r="H109" s="73">
        <v>6</v>
      </c>
      <c r="I109" s="11" t="s">
        <v>17</v>
      </c>
      <c r="J109" s="25">
        <v>54698416</v>
      </c>
      <c r="K109" s="25" t="s">
        <v>854</v>
      </c>
      <c r="L109" s="25" t="s">
        <v>870</v>
      </c>
      <c r="M109" s="62">
        <v>279900</v>
      </c>
      <c r="N109" s="31">
        <v>0.75</v>
      </c>
      <c r="O109" s="32">
        <f t="shared" si="8"/>
        <v>69975</v>
      </c>
      <c r="P109" s="28" t="s">
        <v>16</v>
      </c>
    </row>
    <row r="110" spans="1:16" x14ac:dyDescent="0.35">
      <c r="A110" s="11" t="s">
        <v>1036</v>
      </c>
      <c r="B110" s="12">
        <f t="shared" si="6"/>
        <v>46104</v>
      </c>
      <c r="C110" s="12">
        <f t="shared" si="7"/>
        <v>46113</v>
      </c>
      <c r="D110" s="11">
        <v>3259</v>
      </c>
      <c r="E110" s="11">
        <v>333</v>
      </c>
      <c r="F110" s="11">
        <v>3</v>
      </c>
      <c r="G110" s="25"/>
      <c r="H110" s="73">
        <v>6</v>
      </c>
      <c r="I110" s="11" t="s">
        <v>17</v>
      </c>
      <c r="J110" s="25">
        <v>54698425</v>
      </c>
      <c r="K110" s="25" t="s">
        <v>854</v>
      </c>
      <c r="L110" s="25" t="s">
        <v>871</v>
      </c>
      <c r="M110" s="62">
        <v>279900</v>
      </c>
      <c r="N110" s="31">
        <v>0.75</v>
      </c>
      <c r="O110" s="32">
        <f t="shared" si="8"/>
        <v>69975</v>
      </c>
      <c r="P110" s="28" t="s">
        <v>16</v>
      </c>
    </row>
    <row r="111" spans="1:16" x14ac:dyDescent="0.35">
      <c r="A111" s="11" t="s">
        <v>1036</v>
      </c>
      <c r="B111" s="12">
        <f t="shared" si="6"/>
        <v>46104</v>
      </c>
      <c r="C111" s="12">
        <f t="shared" si="7"/>
        <v>46113</v>
      </c>
      <c r="D111" s="11">
        <v>3259</v>
      </c>
      <c r="E111" s="11">
        <v>333</v>
      </c>
      <c r="F111" s="11">
        <v>3</v>
      </c>
      <c r="G111" s="25"/>
      <c r="H111" s="73">
        <v>6</v>
      </c>
      <c r="I111" s="11" t="s">
        <v>17</v>
      </c>
      <c r="J111" s="25">
        <v>54698434</v>
      </c>
      <c r="K111" s="25" t="s">
        <v>854</v>
      </c>
      <c r="L111" s="25" t="s">
        <v>873</v>
      </c>
      <c r="M111" s="62">
        <v>279900</v>
      </c>
      <c r="N111" s="31">
        <v>0.75</v>
      </c>
      <c r="O111" s="32">
        <f t="shared" si="8"/>
        <v>69975</v>
      </c>
      <c r="P111" s="28" t="s">
        <v>16</v>
      </c>
    </row>
    <row r="112" spans="1:16" x14ac:dyDescent="0.35">
      <c r="A112" s="11" t="s">
        <v>1036</v>
      </c>
      <c r="B112" s="12">
        <f t="shared" si="6"/>
        <v>46104</v>
      </c>
      <c r="C112" s="12">
        <f t="shared" si="7"/>
        <v>46113</v>
      </c>
      <c r="D112" s="11">
        <v>3259</v>
      </c>
      <c r="E112" s="11">
        <v>333</v>
      </c>
      <c r="F112" s="11">
        <v>3</v>
      </c>
      <c r="G112" s="25"/>
      <c r="H112" s="25">
        <v>15</v>
      </c>
      <c r="I112" s="11" t="s">
        <v>17</v>
      </c>
      <c r="J112" s="25">
        <v>15256378</v>
      </c>
      <c r="K112" s="25" t="s">
        <v>263</v>
      </c>
      <c r="L112" s="25" t="s">
        <v>631</v>
      </c>
      <c r="M112" s="62">
        <v>199900</v>
      </c>
      <c r="N112" s="31">
        <v>0.75</v>
      </c>
      <c r="O112" s="32">
        <f t="shared" si="8"/>
        <v>49975</v>
      </c>
      <c r="P112" s="28" t="s">
        <v>16</v>
      </c>
    </row>
    <row r="113" spans="1:16" x14ac:dyDescent="0.35">
      <c r="A113" s="11" t="s">
        <v>1036</v>
      </c>
      <c r="B113" s="12">
        <f t="shared" si="6"/>
        <v>46104</v>
      </c>
      <c r="C113" s="12">
        <f t="shared" si="7"/>
        <v>46113</v>
      </c>
      <c r="D113" s="11">
        <v>3259</v>
      </c>
      <c r="E113" s="11">
        <v>333</v>
      </c>
      <c r="F113" s="11">
        <v>3</v>
      </c>
      <c r="G113" s="25"/>
      <c r="H113" s="25">
        <v>15</v>
      </c>
      <c r="I113" s="11" t="s">
        <v>17</v>
      </c>
      <c r="J113" s="25">
        <v>15256387</v>
      </c>
      <c r="K113" s="25" t="s">
        <v>263</v>
      </c>
      <c r="L113" s="25" t="s">
        <v>632</v>
      </c>
      <c r="M113" s="62">
        <v>199900</v>
      </c>
      <c r="N113" s="31">
        <v>0.75</v>
      </c>
      <c r="O113" s="32">
        <f t="shared" si="8"/>
        <v>49975</v>
      </c>
      <c r="P113" s="28" t="s">
        <v>16</v>
      </c>
    </row>
    <row r="114" spans="1:16" x14ac:dyDescent="0.35">
      <c r="A114" s="11" t="s">
        <v>1036</v>
      </c>
      <c r="B114" s="12">
        <f t="shared" si="6"/>
        <v>46104</v>
      </c>
      <c r="C114" s="12">
        <f t="shared" si="7"/>
        <v>46113</v>
      </c>
      <c r="D114" s="11">
        <v>3259</v>
      </c>
      <c r="E114" s="11">
        <v>333</v>
      </c>
      <c r="F114" s="11">
        <v>3</v>
      </c>
      <c r="G114" s="25"/>
      <c r="H114" s="25">
        <v>15</v>
      </c>
      <c r="I114" s="11" t="s">
        <v>17</v>
      </c>
      <c r="J114" s="25">
        <v>15256396</v>
      </c>
      <c r="K114" s="25" t="s">
        <v>263</v>
      </c>
      <c r="L114" s="25" t="s">
        <v>633</v>
      </c>
      <c r="M114" s="62">
        <v>199900</v>
      </c>
      <c r="N114" s="31">
        <v>0.75</v>
      </c>
      <c r="O114" s="32">
        <f t="shared" si="8"/>
        <v>49975</v>
      </c>
      <c r="P114" s="28" t="s">
        <v>16</v>
      </c>
    </row>
    <row r="115" spans="1:16" x14ac:dyDescent="0.35">
      <c r="A115" s="11" t="s">
        <v>1036</v>
      </c>
      <c r="B115" s="12">
        <f t="shared" si="6"/>
        <v>46104</v>
      </c>
      <c r="C115" s="12">
        <f t="shared" si="7"/>
        <v>46113</v>
      </c>
      <c r="D115" s="11">
        <v>3259</v>
      </c>
      <c r="E115" s="11">
        <v>333</v>
      </c>
      <c r="F115" s="11">
        <v>3</v>
      </c>
      <c r="G115" s="25"/>
      <c r="H115" s="25">
        <v>15</v>
      </c>
      <c r="I115" s="11" t="s">
        <v>17</v>
      </c>
      <c r="J115" s="25">
        <v>15256403</v>
      </c>
      <c r="K115" s="25" t="s">
        <v>263</v>
      </c>
      <c r="L115" s="25" t="s">
        <v>634</v>
      </c>
      <c r="M115" s="62">
        <v>199900</v>
      </c>
      <c r="N115" s="31">
        <v>0.75</v>
      </c>
      <c r="O115" s="32">
        <f t="shared" si="8"/>
        <v>49975</v>
      </c>
      <c r="P115" s="28" t="s">
        <v>16</v>
      </c>
    </row>
    <row r="116" spans="1:16" x14ac:dyDescent="0.35">
      <c r="A116" s="11" t="s">
        <v>1036</v>
      </c>
      <c r="B116" s="12">
        <f t="shared" si="6"/>
        <v>46104</v>
      </c>
      <c r="C116" s="12">
        <f t="shared" si="7"/>
        <v>46113</v>
      </c>
      <c r="D116" s="11">
        <v>3259</v>
      </c>
      <c r="E116" s="11">
        <v>333</v>
      </c>
      <c r="F116" s="11">
        <v>3</v>
      </c>
      <c r="G116" s="25"/>
      <c r="H116" s="25">
        <v>15</v>
      </c>
      <c r="I116" s="11" t="s">
        <v>17</v>
      </c>
      <c r="J116" s="25">
        <v>21337886</v>
      </c>
      <c r="K116" s="25" t="s">
        <v>263</v>
      </c>
      <c r="L116" s="25" t="s">
        <v>639</v>
      </c>
      <c r="M116" s="62">
        <v>199900</v>
      </c>
      <c r="N116" s="31">
        <v>0.75</v>
      </c>
      <c r="O116" s="32">
        <f t="shared" si="8"/>
        <v>49975</v>
      </c>
      <c r="P116" s="28" t="s">
        <v>16</v>
      </c>
    </row>
    <row r="117" spans="1:16" x14ac:dyDescent="0.35">
      <c r="A117" s="11" t="s">
        <v>1036</v>
      </c>
      <c r="B117" s="12">
        <f t="shared" si="6"/>
        <v>46104</v>
      </c>
      <c r="C117" s="12">
        <f t="shared" si="7"/>
        <v>46113</v>
      </c>
      <c r="D117" s="11">
        <v>3259</v>
      </c>
      <c r="E117" s="11">
        <v>333</v>
      </c>
      <c r="F117" s="11">
        <v>3</v>
      </c>
      <c r="G117" s="25"/>
      <c r="H117" s="25">
        <v>15</v>
      </c>
      <c r="I117" s="11" t="s">
        <v>17</v>
      </c>
      <c r="J117" s="25">
        <v>21338670</v>
      </c>
      <c r="K117" s="25" t="s">
        <v>263</v>
      </c>
      <c r="L117" s="25" t="s">
        <v>640</v>
      </c>
      <c r="M117" s="62">
        <v>199900</v>
      </c>
      <c r="N117" s="31">
        <v>0.75</v>
      </c>
      <c r="O117" s="32">
        <f t="shared" si="8"/>
        <v>49975</v>
      </c>
      <c r="P117" s="28" t="s">
        <v>16</v>
      </c>
    </row>
    <row r="118" spans="1:16" x14ac:dyDescent="0.35">
      <c r="A118" s="11" t="s">
        <v>1036</v>
      </c>
      <c r="B118" s="12">
        <f t="shared" si="6"/>
        <v>46104</v>
      </c>
      <c r="C118" s="12">
        <f t="shared" si="7"/>
        <v>46113</v>
      </c>
      <c r="D118" s="11">
        <v>3259</v>
      </c>
      <c r="E118" s="11">
        <v>333</v>
      </c>
      <c r="F118" s="11">
        <v>3</v>
      </c>
      <c r="G118" s="25"/>
      <c r="H118" s="25">
        <v>15</v>
      </c>
      <c r="I118" s="11" t="s">
        <v>17</v>
      </c>
      <c r="J118" s="25">
        <v>21338689</v>
      </c>
      <c r="K118" s="25" t="s">
        <v>263</v>
      </c>
      <c r="L118" s="25" t="s">
        <v>641</v>
      </c>
      <c r="M118" s="62">
        <v>199900</v>
      </c>
      <c r="N118" s="31">
        <v>0.75</v>
      </c>
      <c r="O118" s="32">
        <f t="shared" si="8"/>
        <v>49975</v>
      </c>
      <c r="P118" s="28" t="s">
        <v>16</v>
      </c>
    </row>
    <row r="119" spans="1:16" x14ac:dyDescent="0.35">
      <c r="A119" s="11" t="s">
        <v>1036</v>
      </c>
      <c r="B119" s="12">
        <f t="shared" si="6"/>
        <v>46104</v>
      </c>
      <c r="C119" s="12">
        <f t="shared" si="7"/>
        <v>46113</v>
      </c>
      <c r="D119" s="11">
        <v>3259</v>
      </c>
      <c r="E119" s="11">
        <v>333</v>
      </c>
      <c r="F119" s="11">
        <v>3</v>
      </c>
      <c r="G119" s="25"/>
      <c r="H119" s="25">
        <v>15</v>
      </c>
      <c r="I119" s="11" t="s">
        <v>17</v>
      </c>
      <c r="J119" s="25">
        <v>21338698</v>
      </c>
      <c r="K119" s="25" t="s">
        <v>263</v>
      </c>
      <c r="L119" s="25" t="s">
        <v>642</v>
      </c>
      <c r="M119" s="62">
        <v>199900</v>
      </c>
      <c r="N119" s="31">
        <v>0.75</v>
      </c>
      <c r="O119" s="32">
        <f t="shared" si="8"/>
        <v>49975</v>
      </c>
      <c r="P119" s="28" t="s">
        <v>16</v>
      </c>
    </row>
    <row r="120" spans="1:16" x14ac:dyDescent="0.35">
      <c r="A120" s="11" t="s">
        <v>1036</v>
      </c>
      <c r="B120" s="12">
        <f t="shared" si="6"/>
        <v>46104</v>
      </c>
      <c r="C120" s="12">
        <f t="shared" si="7"/>
        <v>46113</v>
      </c>
      <c r="D120" s="11">
        <v>3259</v>
      </c>
      <c r="E120" s="11">
        <v>333</v>
      </c>
      <c r="F120" s="11">
        <v>3</v>
      </c>
      <c r="G120" s="25"/>
      <c r="H120" s="25">
        <v>15</v>
      </c>
      <c r="I120" s="11" t="s">
        <v>17</v>
      </c>
      <c r="J120" s="25">
        <v>50386573</v>
      </c>
      <c r="K120" s="25" t="s">
        <v>747</v>
      </c>
      <c r="L120" s="25" t="s">
        <v>723</v>
      </c>
      <c r="M120" s="62">
        <v>199900</v>
      </c>
      <c r="N120" s="31">
        <v>0.75</v>
      </c>
      <c r="O120" s="32">
        <f t="shared" si="8"/>
        <v>49975</v>
      </c>
      <c r="P120" s="28" t="s">
        <v>16</v>
      </c>
    </row>
    <row r="121" spans="1:16" x14ac:dyDescent="0.35">
      <c r="A121" s="11" t="s">
        <v>1036</v>
      </c>
      <c r="B121" s="12">
        <f t="shared" si="6"/>
        <v>46104</v>
      </c>
      <c r="C121" s="12">
        <f t="shared" si="7"/>
        <v>46113</v>
      </c>
      <c r="D121" s="11">
        <v>3259</v>
      </c>
      <c r="E121" s="11">
        <v>333</v>
      </c>
      <c r="F121" s="11">
        <v>3</v>
      </c>
      <c r="G121" s="25"/>
      <c r="H121" s="25">
        <v>15</v>
      </c>
      <c r="I121" s="11" t="s">
        <v>17</v>
      </c>
      <c r="J121" s="25">
        <v>50386582</v>
      </c>
      <c r="K121" s="25" t="s">
        <v>747</v>
      </c>
      <c r="L121" s="25" t="s">
        <v>724</v>
      </c>
      <c r="M121" s="62">
        <v>199900</v>
      </c>
      <c r="N121" s="31">
        <v>0.75</v>
      </c>
      <c r="O121" s="32">
        <f t="shared" si="8"/>
        <v>49975</v>
      </c>
      <c r="P121" s="28" t="s">
        <v>16</v>
      </c>
    </row>
    <row r="122" spans="1:16" x14ac:dyDescent="0.35">
      <c r="A122" s="11" t="s">
        <v>1036</v>
      </c>
      <c r="B122" s="12">
        <f t="shared" si="6"/>
        <v>46104</v>
      </c>
      <c r="C122" s="12">
        <f t="shared" si="7"/>
        <v>46113</v>
      </c>
      <c r="D122" s="11">
        <v>3259</v>
      </c>
      <c r="E122" s="11">
        <v>333</v>
      </c>
      <c r="F122" s="11">
        <v>3</v>
      </c>
      <c r="G122" s="25"/>
      <c r="H122" s="25">
        <v>15</v>
      </c>
      <c r="I122" s="11" t="s">
        <v>17</v>
      </c>
      <c r="J122" s="25">
        <v>50386591</v>
      </c>
      <c r="K122" s="25" t="s">
        <v>747</v>
      </c>
      <c r="L122" s="25" t="s">
        <v>725</v>
      </c>
      <c r="M122" s="62">
        <v>199900</v>
      </c>
      <c r="N122" s="31">
        <v>0.75</v>
      </c>
      <c r="O122" s="32">
        <f t="shared" si="8"/>
        <v>49975</v>
      </c>
      <c r="P122" s="28" t="s">
        <v>16</v>
      </c>
    </row>
    <row r="123" spans="1:16" x14ac:dyDescent="0.35">
      <c r="A123" s="11" t="s">
        <v>1036</v>
      </c>
      <c r="B123" s="12">
        <f t="shared" si="6"/>
        <v>46104</v>
      </c>
      <c r="C123" s="12">
        <f t="shared" si="7"/>
        <v>46113</v>
      </c>
      <c r="D123" s="11">
        <v>3259</v>
      </c>
      <c r="E123" s="11">
        <v>333</v>
      </c>
      <c r="F123" s="11">
        <v>3</v>
      </c>
      <c r="G123" s="25"/>
      <c r="H123" s="25">
        <v>15</v>
      </c>
      <c r="I123" s="11" t="s">
        <v>17</v>
      </c>
      <c r="J123" s="25">
        <v>50386617</v>
      </c>
      <c r="K123" s="25" t="s">
        <v>747</v>
      </c>
      <c r="L123" s="25" t="s">
        <v>726</v>
      </c>
      <c r="M123" s="62">
        <v>199900</v>
      </c>
      <c r="N123" s="31">
        <v>0.75</v>
      </c>
      <c r="O123" s="32">
        <f t="shared" si="8"/>
        <v>49975</v>
      </c>
      <c r="P123" s="28" t="s">
        <v>16</v>
      </c>
    </row>
    <row r="124" spans="1:16" x14ac:dyDescent="0.35">
      <c r="A124" s="11" t="s">
        <v>1036</v>
      </c>
      <c r="B124" s="12">
        <f t="shared" si="6"/>
        <v>46104</v>
      </c>
      <c r="C124" s="12">
        <f t="shared" si="7"/>
        <v>46113</v>
      </c>
      <c r="D124" s="11">
        <v>3259</v>
      </c>
      <c r="E124" s="11">
        <v>333</v>
      </c>
      <c r="F124" s="11">
        <v>3</v>
      </c>
      <c r="G124" s="25"/>
      <c r="H124" s="25">
        <v>15</v>
      </c>
      <c r="I124" s="11" t="s">
        <v>17</v>
      </c>
      <c r="J124" s="25">
        <v>50386626</v>
      </c>
      <c r="K124" s="25" t="s">
        <v>747</v>
      </c>
      <c r="L124" s="25" t="s">
        <v>727</v>
      </c>
      <c r="M124" s="62">
        <v>199900</v>
      </c>
      <c r="N124" s="31">
        <v>0.75</v>
      </c>
      <c r="O124" s="32">
        <f t="shared" si="8"/>
        <v>49975</v>
      </c>
      <c r="P124" s="28" t="s">
        <v>16</v>
      </c>
    </row>
    <row r="125" spans="1:16" x14ac:dyDescent="0.35">
      <c r="A125" s="11" t="s">
        <v>1036</v>
      </c>
      <c r="B125" s="12">
        <f t="shared" si="6"/>
        <v>46104</v>
      </c>
      <c r="C125" s="12">
        <f t="shared" si="7"/>
        <v>46113</v>
      </c>
      <c r="D125" s="11">
        <v>3259</v>
      </c>
      <c r="E125" s="11">
        <v>333</v>
      </c>
      <c r="F125" s="11">
        <v>3</v>
      </c>
      <c r="G125" s="25"/>
      <c r="H125" s="25">
        <v>15</v>
      </c>
      <c r="I125" s="11" t="s">
        <v>17</v>
      </c>
      <c r="J125" s="25">
        <v>50386635</v>
      </c>
      <c r="K125" s="25" t="s">
        <v>747</v>
      </c>
      <c r="L125" s="25" t="s">
        <v>728</v>
      </c>
      <c r="M125" s="62">
        <v>199900</v>
      </c>
      <c r="N125" s="31">
        <v>0.75</v>
      </c>
      <c r="O125" s="32">
        <f t="shared" si="8"/>
        <v>49975</v>
      </c>
      <c r="P125" s="28" t="s">
        <v>16</v>
      </c>
    </row>
    <row r="126" spans="1:16" x14ac:dyDescent="0.35">
      <c r="A126" s="11" t="s">
        <v>1036</v>
      </c>
      <c r="B126" s="12">
        <f t="shared" si="6"/>
        <v>46104</v>
      </c>
      <c r="C126" s="12">
        <f t="shared" si="7"/>
        <v>46113</v>
      </c>
      <c r="D126" s="11">
        <v>3259</v>
      </c>
      <c r="E126" s="11">
        <v>333</v>
      </c>
      <c r="F126" s="11">
        <v>3</v>
      </c>
      <c r="G126" s="25"/>
      <c r="H126" s="25">
        <v>15</v>
      </c>
      <c r="I126" s="11" t="s">
        <v>17</v>
      </c>
      <c r="J126" s="25">
        <v>50386644</v>
      </c>
      <c r="K126" s="25" t="s">
        <v>747</v>
      </c>
      <c r="L126" s="25" t="s">
        <v>729</v>
      </c>
      <c r="M126" s="62">
        <v>199900</v>
      </c>
      <c r="N126" s="31">
        <v>0.75</v>
      </c>
      <c r="O126" s="32">
        <f t="shared" si="8"/>
        <v>49975</v>
      </c>
      <c r="P126" s="28" t="s">
        <v>16</v>
      </c>
    </row>
    <row r="127" spans="1:16" x14ac:dyDescent="0.35">
      <c r="A127" s="11" t="s">
        <v>1036</v>
      </c>
      <c r="B127" s="12">
        <f t="shared" si="6"/>
        <v>46104</v>
      </c>
      <c r="C127" s="12">
        <f t="shared" si="7"/>
        <v>46113</v>
      </c>
      <c r="D127" s="11">
        <v>3259</v>
      </c>
      <c r="E127" s="11">
        <v>333</v>
      </c>
      <c r="F127" s="11">
        <v>3</v>
      </c>
      <c r="G127" s="25"/>
      <c r="H127" s="25">
        <v>15</v>
      </c>
      <c r="I127" s="11" t="s">
        <v>17</v>
      </c>
      <c r="J127" s="25">
        <v>50386653</v>
      </c>
      <c r="K127" s="25" t="s">
        <v>747</v>
      </c>
      <c r="L127" s="25" t="s">
        <v>730</v>
      </c>
      <c r="M127" s="62">
        <v>199900</v>
      </c>
      <c r="N127" s="31">
        <v>0.75</v>
      </c>
      <c r="O127" s="32">
        <f t="shared" si="8"/>
        <v>49975</v>
      </c>
      <c r="P127" s="28" t="s">
        <v>16</v>
      </c>
    </row>
    <row r="128" spans="1:16" x14ac:dyDescent="0.35">
      <c r="A128" s="11" t="s">
        <v>1036</v>
      </c>
      <c r="B128" s="12">
        <f t="shared" si="6"/>
        <v>46104</v>
      </c>
      <c r="C128" s="12">
        <f t="shared" si="7"/>
        <v>46113</v>
      </c>
      <c r="D128" s="11">
        <v>3259</v>
      </c>
      <c r="E128" s="11">
        <v>333</v>
      </c>
      <c r="F128" s="11">
        <v>3</v>
      </c>
      <c r="G128" s="25"/>
      <c r="H128" s="25">
        <v>15</v>
      </c>
      <c r="I128" s="11" t="s">
        <v>17</v>
      </c>
      <c r="J128" s="25">
        <v>50386662</v>
      </c>
      <c r="K128" s="25" t="s">
        <v>747</v>
      </c>
      <c r="L128" s="25" t="s">
        <v>731</v>
      </c>
      <c r="M128" s="62">
        <v>199900</v>
      </c>
      <c r="N128" s="31">
        <v>0.75</v>
      </c>
      <c r="O128" s="32">
        <f t="shared" si="8"/>
        <v>49975</v>
      </c>
      <c r="P128" s="28" t="s">
        <v>16</v>
      </c>
    </row>
    <row r="129" spans="1:16" x14ac:dyDescent="0.35">
      <c r="A129" s="11" t="s">
        <v>1036</v>
      </c>
      <c r="B129" s="12">
        <f t="shared" si="6"/>
        <v>46104</v>
      </c>
      <c r="C129" s="12">
        <f t="shared" si="7"/>
        <v>46113</v>
      </c>
      <c r="D129" s="11">
        <v>3259</v>
      </c>
      <c r="E129" s="11">
        <v>333</v>
      </c>
      <c r="F129" s="11">
        <v>3</v>
      </c>
      <c r="G129" s="25"/>
      <c r="H129" s="25">
        <v>15</v>
      </c>
      <c r="I129" s="11" t="s">
        <v>17</v>
      </c>
      <c r="J129" s="25">
        <v>50386671</v>
      </c>
      <c r="K129" s="25" t="s">
        <v>747</v>
      </c>
      <c r="L129" s="25" t="s">
        <v>732</v>
      </c>
      <c r="M129" s="62">
        <v>199900</v>
      </c>
      <c r="N129" s="31">
        <v>0.75</v>
      </c>
      <c r="O129" s="32">
        <f t="shared" si="8"/>
        <v>49975</v>
      </c>
      <c r="P129" s="28" t="s">
        <v>16</v>
      </c>
    </row>
    <row r="130" spans="1:16" x14ac:dyDescent="0.35">
      <c r="A130" s="11" t="s">
        <v>1036</v>
      </c>
      <c r="B130" s="12">
        <f t="shared" si="6"/>
        <v>46104</v>
      </c>
      <c r="C130" s="12">
        <f t="shared" si="7"/>
        <v>46113</v>
      </c>
      <c r="D130" s="11">
        <v>3259</v>
      </c>
      <c r="E130" s="11">
        <v>333</v>
      </c>
      <c r="F130" s="11">
        <v>3</v>
      </c>
      <c r="G130" s="25"/>
      <c r="H130" s="25">
        <v>15</v>
      </c>
      <c r="I130" s="11" t="s">
        <v>17</v>
      </c>
      <c r="J130" s="25">
        <v>50386680</v>
      </c>
      <c r="K130" s="25" t="s">
        <v>747</v>
      </c>
      <c r="L130" s="25" t="s">
        <v>733</v>
      </c>
      <c r="M130" s="62">
        <v>199900</v>
      </c>
      <c r="N130" s="31">
        <v>0.75</v>
      </c>
      <c r="O130" s="32">
        <f t="shared" ref="O130:O143" si="9">M130-(M130*N130)</f>
        <v>49975</v>
      </c>
      <c r="P130" s="28" t="s">
        <v>16</v>
      </c>
    </row>
    <row r="131" spans="1:16" x14ac:dyDescent="0.35">
      <c r="A131" s="11" t="s">
        <v>1036</v>
      </c>
      <c r="B131" s="12">
        <f t="shared" si="6"/>
        <v>46104</v>
      </c>
      <c r="C131" s="12">
        <f t="shared" si="7"/>
        <v>46113</v>
      </c>
      <c r="D131" s="11">
        <v>3259</v>
      </c>
      <c r="E131" s="11">
        <v>333</v>
      </c>
      <c r="F131" s="11">
        <v>3</v>
      </c>
      <c r="G131" s="25"/>
      <c r="H131" s="25">
        <v>15</v>
      </c>
      <c r="I131" s="11" t="s">
        <v>17</v>
      </c>
      <c r="J131" s="25">
        <v>50386699</v>
      </c>
      <c r="K131" s="25" t="s">
        <v>747</v>
      </c>
      <c r="L131" s="25" t="s">
        <v>734</v>
      </c>
      <c r="M131" s="62">
        <v>199900</v>
      </c>
      <c r="N131" s="31">
        <v>0.75</v>
      </c>
      <c r="O131" s="32">
        <f t="shared" si="9"/>
        <v>49975</v>
      </c>
      <c r="P131" s="28" t="s">
        <v>16</v>
      </c>
    </row>
    <row r="132" spans="1:16" x14ac:dyDescent="0.35">
      <c r="A132" s="11" t="s">
        <v>1036</v>
      </c>
      <c r="B132" s="12">
        <f t="shared" ref="B132:B143" si="10">B131</f>
        <v>46104</v>
      </c>
      <c r="C132" s="12">
        <f t="shared" ref="C132:C143" si="11">C131</f>
        <v>46113</v>
      </c>
      <c r="D132" s="11">
        <v>3259</v>
      </c>
      <c r="E132" s="11">
        <v>333</v>
      </c>
      <c r="F132" s="11">
        <v>3</v>
      </c>
      <c r="G132" s="25"/>
      <c r="H132" s="25">
        <v>15</v>
      </c>
      <c r="I132" s="11" t="s">
        <v>17</v>
      </c>
      <c r="J132" s="25">
        <v>53195827</v>
      </c>
      <c r="K132" s="25" t="s">
        <v>747</v>
      </c>
      <c r="L132" s="25" t="s">
        <v>735</v>
      </c>
      <c r="M132" s="62">
        <v>199900</v>
      </c>
      <c r="N132" s="31">
        <v>0.75</v>
      </c>
      <c r="O132" s="32">
        <f t="shared" si="9"/>
        <v>49975</v>
      </c>
      <c r="P132" s="28" t="s">
        <v>16</v>
      </c>
    </row>
    <row r="133" spans="1:16" x14ac:dyDescent="0.35">
      <c r="A133" s="11" t="s">
        <v>1036</v>
      </c>
      <c r="B133" s="12">
        <f t="shared" si="10"/>
        <v>46104</v>
      </c>
      <c r="C133" s="12">
        <f t="shared" si="11"/>
        <v>46113</v>
      </c>
      <c r="D133" s="11">
        <v>3259</v>
      </c>
      <c r="E133" s="11">
        <v>333</v>
      </c>
      <c r="F133" s="11">
        <v>3</v>
      </c>
      <c r="G133" s="25"/>
      <c r="H133" s="25">
        <v>15</v>
      </c>
      <c r="I133" s="11" t="s">
        <v>17</v>
      </c>
      <c r="J133" s="25">
        <v>53195836</v>
      </c>
      <c r="K133" s="25" t="s">
        <v>747</v>
      </c>
      <c r="L133" s="25" t="s">
        <v>736</v>
      </c>
      <c r="M133" s="62">
        <v>199900</v>
      </c>
      <c r="N133" s="31">
        <v>0.75</v>
      </c>
      <c r="O133" s="32">
        <f t="shared" si="9"/>
        <v>49975</v>
      </c>
      <c r="P133" s="28" t="s">
        <v>16</v>
      </c>
    </row>
    <row r="134" spans="1:16" x14ac:dyDescent="0.35">
      <c r="A134" s="11" t="s">
        <v>1036</v>
      </c>
      <c r="B134" s="12">
        <f t="shared" si="10"/>
        <v>46104</v>
      </c>
      <c r="C134" s="12">
        <f t="shared" si="11"/>
        <v>46113</v>
      </c>
      <c r="D134" s="11">
        <v>3259</v>
      </c>
      <c r="E134" s="11">
        <v>333</v>
      </c>
      <c r="F134" s="11">
        <v>3</v>
      </c>
      <c r="G134" s="25"/>
      <c r="H134" s="25">
        <v>15</v>
      </c>
      <c r="I134" s="11" t="s">
        <v>17</v>
      </c>
      <c r="J134" s="25">
        <v>53195845</v>
      </c>
      <c r="K134" s="25" t="s">
        <v>747</v>
      </c>
      <c r="L134" s="25" t="s">
        <v>737</v>
      </c>
      <c r="M134" s="62">
        <v>199900</v>
      </c>
      <c r="N134" s="31">
        <v>0.75</v>
      </c>
      <c r="O134" s="32">
        <f t="shared" si="9"/>
        <v>49975</v>
      </c>
      <c r="P134" s="28" t="s">
        <v>16</v>
      </c>
    </row>
    <row r="135" spans="1:16" x14ac:dyDescent="0.35">
      <c r="A135" s="11" t="s">
        <v>1036</v>
      </c>
      <c r="B135" s="12">
        <f t="shared" si="10"/>
        <v>46104</v>
      </c>
      <c r="C135" s="12">
        <f t="shared" si="11"/>
        <v>46113</v>
      </c>
      <c r="D135" s="11">
        <v>3259</v>
      </c>
      <c r="E135" s="11">
        <v>333</v>
      </c>
      <c r="F135" s="11">
        <v>3</v>
      </c>
      <c r="G135" s="25"/>
      <c r="H135" s="25">
        <v>15</v>
      </c>
      <c r="I135" s="11" t="s">
        <v>17</v>
      </c>
      <c r="J135" s="25">
        <v>53195854</v>
      </c>
      <c r="K135" s="25" t="s">
        <v>747</v>
      </c>
      <c r="L135" s="25" t="s">
        <v>738</v>
      </c>
      <c r="M135" s="62">
        <v>199900</v>
      </c>
      <c r="N135" s="31">
        <v>0.75</v>
      </c>
      <c r="O135" s="32">
        <f t="shared" si="9"/>
        <v>49975</v>
      </c>
      <c r="P135" s="28" t="s">
        <v>16</v>
      </c>
    </row>
    <row r="136" spans="1:16" x14ac:dyDescent="0.35">
      <c r="A136" s="11" t="s">
        <v>1036</v>
      </c>
      <c r="B136" s="12">
        <f t="shared" si="10"/>
        <v>46104</v>
      </c>
      <c r="C136" s="12">
        <f t="shared" si="11"/>
        <v>46113</v>
      </c>
      <c r="D136" s="11">
        <v>3259</v>
      </c>
      <c r="E136" s="11">
        <v>333</v>
      </c>
      <c r="F136" s="11">
        <v>3</v>
      </c>
      <c r="G136" s="25"/>
      <c r="H136" s="25">
        <v>15</v>
      </c>
      <c r="I136" s="11" t="s">
        <v>17</v>
      </c>
      <c r="J136" s="25">
        <v>53195863</v>
      </c>
      <c r="K136" s="25" t="s">
        <v>747</v>
      </c>
      <c r="L136" s="25" t="s">
        <v>739</v>
      </c>
      <c r="M136" s="62">
        <v>199900</v>
      </c>
      <c r="N136" s="31">
        <v>0.75</v>
      </c>
      <c r="O136" s="32">
        <f t="shared" si="9"/>
        <v>49975</v>
      </c>
      <c r="P136" s="28" t="s">
        <v>16</v>
      </c>
    </row>
    <row r="137" spans="1:16" x14ac:dyDescent="0.35">
      <c r="A137" s="11" t="s">
        <v>1036</v>
      </c>
      <c r="B137" s="12">
        <f t="shared" si="10"/>
        <v>46104</v>
      </c>
      <c r="C137" s="12">
        <f t="shared" si="11"/>
        <v>46113</v>
      </c>
      <c r="D137" s="11">
        <v>3259</v>
      </c>
      <c r="E137" s="11">
        <v>333</v>
      </c>
      <c r="F137" s="11">
        <v>3</v>
      </c>
      <c r="G137" s="25"/>
      <c r="H137" s="25">
        <v>15</v>
      </c>
      <c r="I137" s="11" t="s">
        <v>17</v>
      </c>
      <c r="J137" s="25">
        <v>53195872</v>
      </c>
      <c r="K137" s="25" t="s">
        <v>747</v>
      </c>
      <c r="L137" s="25" t="s">
        <v>740</v>
      </c>
      <c r="M137" s="62">
        <v>199900</v>
      </c>
      <c r="N137" s="31">
        <v>0.75</v>
      </c>
      <c r="O137" s="32">
        <f t="shared" si="9"/>
        <v>49975</v>
      </c>
      <c r="P137" s="28" t="s">
        <v>16</v>
      </c>
    </row>
    <row r="138" spans="1:16" x14ac:dyDescent="0.35">
      <c r="A138" s="11" t="s">
        <v>1036</v>
      </c>
      <c r="B138" s="12">
        <f t="shared" si="10"/>
        <v>46104</v>
      </c>
      <c r="C138" s="12">
        <f t="shared" si="11"/>
        <v>46113</v>
      </c>
      <c r="D138" s="11">
        <v>3259</v>
      </c>
      <c r="E138" s="11">
        <v>333</v>
      </c>
      <c r="F138" s="11">
        <v>3</v>
      </c>
      <c r="G138" s="25"/>
      <c r="H138" s="25">
        <v>15</v>
      </c>
      <c r="I138" s="11" t="s">
        <v>17</v>
      </c>
      <c r="J138" s="25">
        <v>53195881</v>
      </c>
      <c r="K138" s="25" t="s">
        <v>747</v>
      </c>
      <c r="L138" s="25" t="s">
        <v>741</v>
      </c>
      <c r="M138" s="62">
        <v>199900</v>
      </c>
      <c r="N138" s="31">
        <v>0.75</v>
      </c>
      <c r="O138" s="32">
        <f t="shared" si="9"/>
        <v>49975</v>
      </c>
      <c r="P138" s="28" t="s">
        <v>16</v>
      </c>
    </row>
    <row r="139" spans="1:16" x14ac:dyDescent="0.35">
      <c r="A139" s="11" t="s">
        <v>1036</v>
      </c>
      <c r="B139" s="12">
        <f t="shared" si="10"/>
        <v>46104</v>
      </c>
      <c r="C139" s="12">
        <f t="shared" si="11"/>
        <v>46113</v>
      </c>
      <c r="D139" s="11">
        <v>3259</v>
      </c>
      <c r="E139" s="11">
        <v>333</v>
      </c>
      <c r="F139" s="11">
        <v>3</v>
      </c>
      <c r="G139" s="25"/>
      <c r="H139" s="25">
        <v>15</v>
      </c>
      <c r="I139" s="11" t="s">
        <v>17</v>
      </c>
      <c r="J139" s="25">
        <v>53195890</v>
      </c>
      <c r="K139" s="25" t="s">
        <v>747</v>
      </c>
      <c r="L139" s="25" t="s">
        <v>742</v>
      </c>
      <c r="M139" s="62">
        <v>199900</v>
      </c>
      <c r="N139" s="31">
        <v>0.75</v>
      </c>
      <c r="O139" s="32">
        <f t="shared" si="9"/>
        <v>49975</v>
      </c>
      <c r="P139" s="28" t="s">
        <v>16</v>
      </c>
    </row>
    <row r="140" spans="1:16" x14ac:dyDescent="0.35">
      <c r="A140" s="11" t="s">
        <v>1036</v>
      </c>
      <c r="B140" s="12">
        <f t="shared" si="10"/>
        <v>46104</v>
      </c>
      <c r="C140" s="12">
        <f t="shared" si="11"/>
        <v>46113</v>
      </c>
      <c r="D140" s="11">
        <v>3259</v>
      </c>
      <c r="E140" s="11">
        <v>333</v>
      </c>
      <c r="F140" s="11">
        <v>3</v>
      </c>
      <c r="G140" s="25"/>
      <c r="H140" s="25">
        <v>15</v>
      </c>
      <c r="I140" s="11" t="s">
        <v>17</v>
      </c>
      <c r="J140" s="25">
        <v>53195907</v>
      </c>
      <c r="K140" s="25" t="s">
        <v>747</v>
      </c>
      <c r="L140" s="25" t="s">
        <v>743</v>
      </c>
      <c r="M140" s="62">
        <v>199900</v>
      </c>
      <c r="N140" s="31">
        <v>0.75</v>
      </c>
      <c r="O140" s="32">
        <f t="shared" si="9"/>
        <v>49975</v>
      </c>
      <c r="P140" s="28" t="s">
        <v>16</v>
      </c>
    </row>
    <row r="141" spans="1:16" x14ac:dyDescent="0.35">
      <c r="A141" s="11" t="s">
        <v>1036</v>
      </c>
      <c r="B141" s="12">
        <f t="shared" si="10"/>
        <v>46104</v>
      </c>
      <c r="C141" s="12">
        <f t="shared" si="11"/>
        <v>46113</v>
      </c>
      <c r="D141" s="11">
        <v>3259</v>
      </c>
      <c r="E141" s="11">
        <v>333</v>
      </c>
      <c r="F141" s="11">
        <v>3</v>
      </c>
      <c r="G141" s="25"/>
      <c r="H141" s="25">
        <v>15</v>
      </c>
      <c r="I141" s="11" t="s">
        <v>17</v>
      </c>
      <c r="J141" s="25">
        <v>53195916</v>
      </c>
      <c r="K141" s="25" t="s">
        <v>747</v>
      </c>
      <c r="L141" s="25" t="s">
        <v>744</v>
      </c>
      <c r="M141" s="62">
        <v>199900</v>
      </c>
      <c r="N141" s="31">
        <v>0.75</v>
      </c>
      <c r="O141" s="32">
        <f t="shared" si="9"/>
        <v>49975</v>
      </c>
      <c r="P141" s="28" t="s">
        <v>16</v>
      </c>
    </row>
    <row r="142" spans="1:16" x14ac:dyDescent="0.35">
      <c r="A142" s="11" t="s">
        <v>1036</v>
      </c>
      <c r="B142" s="12">
        <f t="shared" si="10"/>
        <v>46104</v>
      </c>
      <c r="C142" s="12">
        <f t="shared" si="11"/>
        <v>46113</v>
      </c>
      <c r="D142" s="11">
        <v>3259</v>
      </c>
      <c r="E142" s="11">
        <v>333</v>
      </c>
      <c r="F142" s="11">
        <v>3</v>
      </c>
      <c r="G142" s="25"/>
      <c r="H142" s="25">
        <v>15</v>
      </c>
      <c r="I142" s="11" t="s">
        <v>17</v>
      </c>
      <c r="J142" s="25">
        <v>53195925</v>
      </c>
      <c r="K142" s="25" t="s">
        <v>747</v>
      </c>
      <c r="L142" s="25" t="s">
        <v>745</v>
      </c>
      <c r="M142" s="62">
        <v>199900</v>
      </c>
      <c r="N142" s="31">
        <v>0.75</v>
      </c>
      <c r="O142" s="32">
        <f t="shared" si="9"/>
        <v>49975</v>
      </c>
      <c r="P142" s="28" t="s">
        <v>16</v>
      </c>
    </row>
    <row r="143" spans="1:16" x14ac:dyDescent="0.35">
      <c r="A143" s="11" t="s">
        <v>1036</v>
      </c>
      <c r="B143" s="12">
        <f t="shared" si="10"/>
        <v>46104</v>
      </c>
      <c r="C143" s="12">
        <f t="shared" si="11"/>
        <v>46113</v>
      </c>
      <c r="D143" s="11">
        <v>3259</v>
      </c>
      <c r="E143" s="11">
        <v>333</v>
      </c>
      <c r="F143" s="11">
        <v>3</v>
      </c>
      <c r="G143" s="25"/>
      <c r="H143" s="25">
        <v>15</v>
      </c>
      <c r="I143" s="11" t="s">
        <v>17</v>
      </c>
      <c r="J143" s="25">
        <v>53195934</v>
      </c>
      <c r="K143" s="25" t="s">
        <v>747</v>
      </c>
      <c r="L143" s="25" t="s">
        <v>746</v>
      </c>
      <c r="M143" s="62">
        <v>199900</v>
      </c>
      <c r="N143" s="31">
        <v>0.75</v>
      </c>
      <c r="O143" s="32">
        <f t="shared" si="9"/>
        <v>49975</v>
      </c>
      <c r="P143" s="28" t="s">
        <v>16</v>
      </c>
    </row>
  </sheetData>
  <conditionalFormatting sqref="J1">
    <cfRule type="duplicateValues" dxfId="659" priority="11"/>
    <cfRule type="duplicateValues" dxfId="658" priority="12"/>
  </conditionalFormatting>
  <conditionalFormatting sqref="J1:J8">
    <cfRule type="duplicateValues" dxfId="657" priority="5065"/>
    <cfRule type="duplicateValues" dxfId="656" priority="5066"/>
    <cfRule type="duplicateValues" dxfId="655" priority="5067"/>
    <cfRule type="duplicateValues" dxfId="654" priority="5068"/>
    <cfRule type="duplicateValues" dxfId="653" priority="5069"/>
    <cfRule type="duplicateValues" dxfId="652" priority="5070"/>
    <cfRule type="duplicateValues" dxfId="651" priority="5071"/>
  </conditionalFormatting>
  <conditionalFormatting sqref="J1:J143">
    <cfRule type="duplicateValues" dxfId="650" priority="5461"/>
  </conditionalFormatting>
  <conditionalFormatting sqref="J1:J1048576">
    <cfRule type="duplicateValues" dxfId="649" priority="1"/>
  </conditionalFormatting>
  <conditionalFormatting sqref="L1">
    <cfRule type="duplicateValues" dxfId="648" priority="9"/>
    <cfRule type="duplicateValues" dxfId="647" priority="1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P14"/>
  <sheetViews>
    <sheetView zoomScale="60" workbookViewId="0">
      <selection activeCell="B4" sqref="B4"/>
    </sheetView>
  </sheetViews>
  <sheetFormatPr defaultColWidth="8.54296875" defaultRowHeight="14.5" x14ac:dyDescent="0.35"/>
  <cols>
    <col min="1" max="1" width="26.81640625" style="23" bestFit="1" customWidth="1"/>
    <col min="2" max="3" width="10.81640625" style="23" bestFit="1" customWidth="1"/>
    <col min="4" max="4" width="5.1796875" style="23" bestFit="1" customWidth="1"/>
    <col min="5" max="5" width="7.1796875" style="23" bestFit="1" customWidth="1"/>
    <col min="6" max="6" width="8.453125" style="23" bestFit="1" customWidth="1"/>
    <col min="7" max="7" width="5.7265625" style="23" bestFit="1" customWidth="1"/>
    <col min="8" max="8" width="8.54296875" style="23"/>
    <col min="9" max="9" width="6.7265625" style="23" bestFit="1" customWidth="1"/>
    <col min="10" max="10" width="11.7265625" style="23" bestFit="1" customWidth="1"/>
    <col min="11" max="11" width="10.453125" style="23" bestFit="1" customWidth="1"/>
    <col min="12" max="12" width="94" style="23" bestFit="1" customWidth="1"/>
    <col min="13" max="13" width="16.1796875" style="23" bestFit="1" customWidth="1"/>
    <col min="14" max="14" width="7.26953125" style="23" bestFit="1" customWidth="1"/>
    <col min="15" max="15" width="19.54296875" style="23" bestFit="1" customWidth="1"/>
    <col min="16" max="16" width="14.1796875" style="23" bestFit="1" customWidth="1"/>
    <col min="17" max="16384" width="8.54296875" style="23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2" t="s">
        <v>14</v>
      </c>
      <c r="N1" s="10" t="s">
        <v>8</v>
      </c>
      <c r="O1" s="9" t="s">
        <v>9</v>
      </c>
      <c r="P1" s="5" t="s">
        <v>10</v>
      </c>
    </row>
    <row r="2" spans="1:16" s="17" customFormat="1" x14ac:dyDescent="0.35">
      <c r="A2" s="35" t="s">
        <v>1037</v>
      </c>
      <c r="B2" s="12">
        <v>46104</v>
      </c>
      <c r="C2" s="12">
        <v>46113</v>
      </c>
      <c r="D2" s="21">
        <v>3259</v>
      </c>
      <c r="E2" s="21">
        <v>333</v>
      </c>
      <c r="F2" s="21">
        <v>3</v>
      </c>
      <c r="G2" s="24">
        <v>5</v>
      </c>
      <c r="H2" s="24">
        <v>80300</v>
      </c>
      <c r="I2" s="24" t="s">
        <v>17</v>
      </c>
      <c r="J2" s="24">
        <v>51916882</v>
      </c>
      <c r="K2" s="24" t="s">
        <v>540</v>
      </c>
      <c r="L2" s="24" t="s">
        <v>541</v>
      </c>
      <c r="M2" s="76">
        <v>279900</v>
      </c>
      <c r="N2" s="31">
        <v>0.75</v>
      </c>
      <c r="O2" s="32">
        <f t="shared" ref="O2:O14" si="0">M2-(M2*N2)</f>
        <v>69975</v>
      </c>
      <c r="P2" s="28" t="s">
        <v>16</v>
      </c>
    </row>
    <row r="3" spans="1:16" s="17" customFormat="1" x14ac:dyDescent="0.35">
      <c r="A3" s="35" t="s">
        <v>1037</v>
      </c>
      <c r="B3" s="12">
        <f>B2</f>
        <v>46104</v>
      </c>
      <c r="C3" s="12">
        <f t="shared" ref="C3" si="1">C2</f>
        <v>46113</v>
      </c>
      <c r="D3" s="21">
        <v>3259</v>
      </c>
      <c r="E3" s="21">
        <v>333</v>
      </c>
      <c r="F3" s="21">
        <v>3</v>
      </c>
      <c r="G3" s="24">
        <v>5</v>
      </c>
      <c r="H3" s="24">
        <v>80300</v>
      </c>
      <c r="I3" s="24" t="s">
        <v>17</v>
      </c>
      <c r="J3" s="24">
        <v>51916891</v>
      </c>
      <c r="K3" s="24" t="s">
        <v>540</v>
      </c>
      <c r="L3" s="24" t="s">
        <v>542</v>
      </c>
      <c r="M3" s="76">
        <v>279900</v>
      </c>
      <c r="N3" s="31">
        <v>0.75</v>
      </c>
      <c r="O3" s="32">
        <f t="shared" si="0"/>
        <v>69975</v>
      </c>
      <c r="P3" s="28" t="s">
        <v>16</v>
      </c>
    </row>
    <row r="4" spans="1:16" s="17" customFormat="1" x14ac:dyDescent="0.35">
      <c r="A4" s="35" t="s">
        <v>1037</v>
      </c>
      <c r="B4" s="75">
        <f t="shared" ref="B4:B14" si="2">B3</f>
        <v>46104</v>
      </c>
      <c r="C4" s="75">
        <f t="shared" ref="C4:C14" si="3">C3</f>
        <v>46113</v>
      </c>
      <c r="D4" s="21">
        <v>3259</v>
      </c>
      <c r="E4" s="21">
        <v>333</v>
      </c>
      <c r="F4" s="21">
        <v>3</v>
      </c>
      <c r="G4" s="24">
        <v>5</v>
      </c>
      <c r="H4" s="24">
        <v>80300</v>
      </c>
      <c r="I4" s="24" t="s">
        <v>17</v>
      </c>
      <c r="J4" s="24">
        <v>51916908</v>
      </c>
      <c r="K4" s="24" t="s">
        <v>540</v>
      </c>
      <c r="L4" s="24" t="s">
        <v>543</v>
      </c>
      <c r="M4" s="76">
        <v>279900</v>
      </c>
      <c r="N4" s="31">
        <v>0.75</v>
      </c>
      <c r="O4" s="32">
        <f t="shared" si="0"/>
        <v>69975</v>
      </c>
      <c r="P4" s="28" t="s">
        <v>16</v>
      </c>
    </row>
    <row r="5" spans="1:16" s="17" customFormat="1" x14ac:dyDescent="0.35">
      <c r="A5" s="35" t="s">
        <v>1037</v>
      </c>
      <c r="B5" s="75">
        <f t="shared" si="2"/>
        <v>46104</v>
      </c>
      <c r="C5" s="75">
        <f t="shared" si="3"/>
        <v>46113</v>
      </c>
      <c r="D5" s="21">
        <v>3259</v>
      </c>
      <c r="E5" s="21">
        <v>333</v>
      </c>
      <c r="F5" s="21">
        <v>3</v>
      </c>
      <c r="G5" s="24">
        <v>5</v>
      </c>
      <c r="H5" s="24">
        <v>80300</v>
      </c>
      <c r="I5" s="24" t="s">
        <v>17</v>
      </c>
      <c r="J5" s="24">
        <v>51916917</v>
      </c>
      <c r="K5" s="24" t="s">
        <v>540</v>
      </c>
      <c r="L5" s="24" t="s">
        <v>544</v>
      </c>
      <c r="M5" s="76">
        <v>279900</v>
      </c>
      <c r="N5" s="31">
        <v>0.75</v>
      </c>
      <c r="O5" s="32">
        <f t="shared" si="0"/>
        <v>69975</v>
      </c>
      <c r="P5" s="28" t="s">
        <v>16</v>
      </c>
    </row>
    <row r="6" spans="1:16" s="17" customFormat="1" x14ac:dyDescent="0.35">
      <c r="A6" s="35" t="s">
        <v>1037</v>
      </c>
      <c r="B6" s="75">
        <f t="shared" si="2"/>
        <v>46104</v>
      </c>
      <c r="C6" s="75">
        <f t="shared" si="3"/>
        <v>46113</v>
      </c>
      <c r="D6" s="21">
        <v>3259</v>
      </c>
      <c r="E6" s="21">
        <v>333</v>
      </c>
      <c r="F6" s="21">
        <v>3</v>
      </c>
      <c r="G6" s="24">
        <v>5</v>
      </c>
      <c r="H6" s="24">
        <v>80300</v>
      </c>
      <c r="I6" s="24" t="s">
        <v>17</v>
      </c>
      <c r="J6" s="24">
        <v>51916926</v>
      </c>
      <c r="K6" s="24" t="s">
        <v>540</v>
      </c>
      <c r="L6" s="24" t="s">
        <v>545</v>
      </c>
      <c r="M6" s="76">
        <v>279900</v>
      </c>
      <c r="N6" s="31">
        <v>0.75</v>
      </c>
      <c r="O6" s="32">
        <f t="shared" si="0"/>
        <v>69975</v>
      </c>
      <c r="P6" s="28" t="s">
        <v>16</v>
      </c>
    </row>
    <row r="7" spans="1:16" s="17" customFormat="1" x14ac:dyDescent="0.35">
      <c r="A7" s="35" t="s">
        <v>1037</v>
      </c>
      <c r="B7" s="75">
        <f t="shared" si="2"/>
        <v>46104</v>
      </c>
      <c r="C7" s="75">
        <f t="shared" si="3"/>
        <v>46113</v>
      </c>
      <c r="D7" s="21">
        <v>3259</v>
      </c>
      <c r="E7" s="21">
        <v>333</v>
      </c>
      <c r="F7" s="21">
        <v>3</v>
      </c>
      <c r="G7" s="24">
        <v>5</v>
      </c>
      <c r="H7" s="24">
        <v>80300</v>
      </c>
      <c r="I7" s="24" t="s">
        <v>17</v>
      </c>
      <c r="J7" s="24">
        <v>51916935</v>
      </c>
      <c r="K7" s="24" t="s">
        <v>540</v>
      </c>
      <c r="L7" s="24" t="s">
        <v>546</v>
      </c>
      <c r="M7" s="76">
        <v>279900</v>
      </c>
      <c r="N7" s="31">
        <v>0.75</v>
      </c>
      <c r="O7" s="32">
        <f t="shared" si="0"/>
        <v>69975</v>
      </c>
      <c r="P7" s="28" t="s">
        <v>16</v>
      </c>
    </row>
    <row r="8" spans="1:16" s="17" customFormat="1" x14ac:dyDescent="0.35">
      <c r="A8" s="35" t="s">
        <v>1037</v>
      </c>
      <c r="B8" s="75">
        <f t="shared" si="2"/>
        <v>46104</v>
      </c>
      <c r="C8" s="75">
        <f t="shared" si="3"/>
        <v>46113</v>
      </c>
      <c r="D8" s="21">
        <v>3259</v>
      </c>
      <c r="E8" s="21">
        <v>333</v>
      </c>
      <c r="F8" s="21">
        <v>3</v>
      </c>
      <c r="G8" s="24">
        <v>5</v>
      </c>
      <c r="H8" s="24">
        <v>80300</v>
      </c>
      <c r="I8" s="24" t="s">
        <v>17</v>
      </c>
      <c r="J8" s="24">
        <v>15256261</v>
      </c>
      <c r="K8" s="24" t="s">
        <v>377</v>
      </c>
      <c r="L8" s="24" t="s">
        <v>379</v>
      </c>
      <c r="M8" s="76">
        <v>279900</v>
      </c>
      <c r="N8" s="31">
        <v>0.75</v>
      </c>
      <c r="O8" s="32">
        <f t="shared" si="0"/>
        <v>69975</v>
      </c>
      <c r="P8" s="28" t="s">
        <v>16</v>
      </c>
    </row>
    <row r="9" spans="1:16" s="17" customFormat="1" x14ac:dyDescent="0.35">
      <c r="A9" s="35" t="s">
        <v>1037</v>
      </c>
      <c r="B9" s="75">
        <f t="shared" si="2"/>
        <v>46104</v>
      </c>
      <c r="C9" s="75">
        <f t="shared" si="3"/>
        <v>46113</v>
      </c>
      <c r="D9" s="21">
        <v>3259</v>
      </c>
      <c r="E9" s="21">
        <v>333</v>
      </c>
      <c r="F9" s="21">
        <v>3</v>
      </c>
      <c r="G9" s="24">
        <v>5</v>
      </c>
      <c r="H9" s="24">
        <v>80300</v>
      </c>
      <c r="I9" s="24" t="s">
        <v>17</v>
      </c>
      <c r="J9" s="24">
        <v>51916828</v>
      </c>
      <c r="K9" s="24" t="s">
        <v>547</v>
      </c>
      <c r="L9" s="24" t="s">
        <v>548</v>
      </c>
      <c r="M9" s="76">
        <v>279900</v>
      </c>
      <c r="N9" s="31">
        <v>0.75</v>
      </c>
      <c r="O9" s="32">
        <f t="shared" si="0"/>
        <v>69975</v>
      </c>
      <c r="P9" s="28" t="s">
        <v>16</v>
      </c>
    </row>
    <row r="10" spans="1:16" s="17" customFormat="1" x14ac:dyDescent="0.35">
      <c r="A10" s="35" t="s">
        <v>1037</v>
      </c>
      <c r="B10" s="75">
        <f t="shared" si="2"/>
        <v>46104</v>
      </c>
      <c r="C10" s="75">
        <f t="shared" si="3"/>
        <v>46113</v>
      </c>
      <c r="D10" s="21">
        <v>3259</v>
      </c>
      <c r="E10" s="21">
        <v>333</v>
      </c>
      <c r="F10" s="21">
        <v>3</v>
      </c>
      <c r="G10" s="24">
        <v>5</v>
      </c>
      <c r="H10" s="24">
        <v>80300</v>
      </c>
      <c r="I10" s="24" t="s">
        <v>17</v>
      </c>
      <c r="J10" s="24">
        <v>51916837</v>
      </c>
      <c r="K10" s="24" t="s">
        <v>547</v>
      </c>
      <c r="L10" s="24" t="s">
        <v>549</v>
      </c>
      <c r="M10" s="76">
        <v>279900</v>
      </c>
      <c r="N10" s="31">
        <v>0.75</v>
      </c>
      <c r="O10" s="32">
        <f t="shared" si="0"/>
        <v>69975</v>
      </c>
      <c r="P10" s="28" t="s">
        <v>16</v>
      </c>
    </row>
    <row r="11" spans="1:16" s="17" customFormat="1" x14ac:dyDescent="0.35">
      <c r="A11" s="35" t="s">
        <v>1037</v>
      </c>
      <c r="B11" s="75">
        <f t="shared" si="2"/>
        <v>46104</v>
      </c>
      <c r="C11" s="75">
        <f t="shared" si="3"/>
        <v>46113</v>
      </c>
      <c r="D11" s="21">
        <v>3259</v>
      </c>
      <c r="E11" s="21">
        <v>333</v>
      </c>
      <c r="F11" s="21">
        <v>3</v>
      </c>
      <c r="G11" s="24">
        <v>5</v>
      </c>
      <c r="H11" s="24">
        <v>80300</v>
      </c>
      <c r="I11" s="24" t="s">
        <v>17</v>
      </c>
      <c r="J11" s="24">
        <v>51916846</v>
      </c>
      <c r="K11" s="24" t="s">
        <v>547</v>
      </c>
      <c r="L11" s="24" t="s">
        <v>550</v>
      </c>
      <c r="M11" s="76">
        <v>279900</v>
      </c>
      <c r="N11" s="31">
        <v>0.75</v>
      </c>
      <c r="O11" s="32">
        <f t="shared" si="0"/>
        <v>69975</v>
      </c>
      <c r="P11" s="28" t="s">
        <v>16</v>
      </c>
    </row>
    <row r="12" spans="1:16" s="17" customFormat="1" x14ac:dyDescent="0.35">
      <c r="A12" s="35" t="s">
        <v>1037</v>
      </c>
      <c r="B12" s="75">
        <f t="shared" si="2"/>
        <v>46104</v>
      </c>
      <c r="C12" s="75">
        <f t="shared" si="3"/>
        <v>46113</v>
      </c>
      <c r="D12" s="21">
        <v>3259</v>
      </c>
      <c r="E12" s="21">
        <v>333</v>
      </c>
      <c r="F12" s="21">
        <v>3</v>
      </c>
      <c r="G12" s="24">
        <v>5</v>
      </c>
      <c r="H12" s="24">
        <v>80300</v>
      </c>
      <c r="I12" s="24" t="s">
        <v>17</v>
      </c>
      <c r="J12" s="24">
        <v>51916855</v>
      </c>
      <c r="K12" s="24" t="s">
        <v>547</v>
      </c>
      <c r="L12" s="24" t="s">
        <v>551</v>
      </c>
      <c r="M12" s="76">
        <v>279900</v>
      </c>
      <c r="N12" s="31">
        <v>0.75</v>
      </c>
      <c r="O12" s="32">
        <f t="shared" si="0"/>
        <v>69975</v>
      </c>
      <c r="P12" s="28" t="s">
        <v>16</v>
      </c>
    </row>
    <row r="13" spans="1:16" s="17" customFormat="1" x14ac:dyDescent="0.35">
      <c r="A13" s="35" t="s">
        <v>1037</v>
      </c>
      <c r="B13" s="75">
        <f t="shared" si="2"/>
        <v>46104</v>
      </c>
      <c r="C13" s="75">
        <f t="shared" si="3"/>
        <v>46113</v>
      </c>
      <c r="D13" s="21">
        <v>3259</v>
      </c>
      <c r="E13" s="21">
        <v>333</v>
      </c>
      <c r="F13" s="21">
        <v>3</v>
      </c>
      <c r="G13" s="24">
        <v>5</v>
      </c>
      <c r="H13" s="24">
        <v>80300</v>
      </c>
      <c r="I13" s="24" t="s">
        <v>17</v>
      </c>
      <c r="J13" s="24">
        <v>51916864</v>
      </c>
      <c r="K13" s="24" t="s">
        <v>547</v>
      </c>
      <c r="L13" s="24" t="s">
        <v>552</v>
      </c>
      <c r="M13" s="76">
        <v>279900</v>
      </c>
      <c r="N13" s="31">
        <v>0.75</v>
      </c>
      <c r="O13" s="32">
        <f t="shared" si="0"/>
        <v>69975</v>
      </c>
      <c r="P13" s="28" t="s">
        <v>16</v>
      </c>
    </row>
    <row r="14" spans="1:16" s="17" customFormat="1" x14ac:dyDescent="0.35">
      <c r="A14" s="35" t="s">
        <v>1037</v>
      </c>
      <c r="B14" s="75">
        <f t="shared" si="2"/>
        <v>46104</v>
      </c>
      <c r="C14" s="75">
        <f t="shared" si="3"/>
        <v>46113</v>
      </c>
      <c r="D14" s="21">
        <v>3259</v>
      </c>
      <c r="E14" s="21">
        <v>333</v>
      </c>
      <c r="F14" s="21">
        <v>3</v>
      </c>
      <c r="G14" s="24">
        <v>5</v>
      </c>
      <c r="H14" s="24">
        <v>80300</v>
      </c>
      <c r="I14" s="24" t="s">
        <v>17</v>
      </c>
      <c r="J14" s="24">
        <v>51916873</v>
      </c>
      <c r="K14" s="24" t="s">
        <v>547</v>
      </c>
      <c r="L14" s="24" t="s">
        <v>553</v>
      </c>
      <c r="M14" s="76">
        <v>279900</v>
      </c>
      <c r="N14" s="31">
        <v>0.75</v>
      </c>
      <c r="O14" s="32">
        <f t="shared" si="0"/>
        <v>69975</v>
      </c>
      <c r="P14" s="28" t="s">
        <v>16</v>
      </c>
    </row>
  </sheetData>
  <autoFilter ref="A1:P1" xr:uid="{00000000-0009-0000-0000-00000B000000}"/>
  <conditionalFormatting sqref="J1">
    <cfRule type="duplicateValues" dxfId="646" priority="85"/>
    <cfRule type="duplicateValues" dxfId="645" priority="86"/>
  </conditionalFormatting>
  <conditionalFormatting sqref="J1:J14">
    <cfRule type="duplicateValues" dxfId="644" priority="4362"/>
    <cfRule type="duplicateValues" dxfId="643" priority="4363"/>
    <cfRule type="duplicateValues" dxfId="642" priority="4364"/>
    <cfRule type="duplicateValues" dxfId="641" priority="4365"/>
    <cfRule type="duplicateValues" dxfId="640" priority="4366"/>
    <cfRule type="duplicateValues" dxfId="639" priority="4367"/>
    <cfRule type="duplicateValues" dxfId="638" priority="4368"/>
    <cfRule type="duplicateValues" dxfId="637" priority="4369"/>
    <cfRule type="duplicateValues" dxfId="636" priority="4370"/>
    <cfRule type="duplicateValues" dxfId="635" priority="4371"/>
    <cfRule type="duplicateValues" dxfId="634" priority="4372"/>
    <cfRule type="duplicateValues" dxfId="633" priority="4373"/>
    <cfRule type="duplicateValues" dxfId="632" priority="4374"/>
    <cfRule type="duplicateValues" dxfId="631" priority="4375"/>
  </conditionalFormatting>
  <conditionalFormatting sqref="J1:J1048576">
    <cfRule type="duplicateValues" dxfId="630" priority="1"/>
    <cfRule type="duplicateValues" dxfId="629" priority="2"/>
    <cfRule type="duplicateValues" dxfId="628" priority="4376"/>
    <cfRule type="duplicateValues" dxfId="627" priority="4377"/>
  </conditionalFormatting>
  <conditionalFormatting sqref="J2:J14">
    <cfRule type="duplicateValues" dxfId="626" priority="4382"/>
    <cfRule type="duplicateValues" dxfId="625" priority="4383"/>
    <cfRule type="duplicateValues" dxfId="624" priority="438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P41"/>
  <sheetViews>
    <sheetView zoomScale="52" workbookViewId="0">
      <selection activeCell="B2" sqref="B2:C3"/>
    </sheetView>
  </sheetViews>
  <sheetFormatPr defaultColWidth="8.54296875" defaultRowHeight="14.5" x14ac:dyDescent="0.35"/>
  <cols>
    <col min="1" max="1" width="49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54296875" style="1" bestFit="1" customWidth="1"/>
    <col min="11" max="11" width="11.453125" style="1" bestFit="1" customWidth="1"/>
    <col min="12" max="12" width="84.7265625" style="1" bestFit="1" customWidth="1"/>
    <col min="13" max="13" width="20.453125" style="3" bestFit="1" customWidth="1"/>
    <col min="14" max="14" width="18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1038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11">
        <v>7</v>
      </c>
      <c r="H2" s="25">
        <v>81572</v>
      </c>
      <c r="I2" s="11" t="s">
        <v>17</v>
      </c>
      <c r="J2" s="11">
        <v>52331458</v>
      </c>
      <c r="K2" s="11" t="s">
        <v>643</v>
      </c>
      <c r="L2" s="21" t="s">
        <v>644</v>
      </c>
      <c r="M2" s="14">
        <v>249900</v>
      </c>
      <c r="N2" s="31">
        <v>0.75</v>
      </c>
      <c r="O2" s="32">
        <f t="shared" ref="O2:O41" si="0">M2-(M2*N2)</f>
        <v>62475</v>
      </c>
      <c r="P2" s="28" t="s">
        <v>16</v>
      </c>
    </row>
    <row r="3" spans="1:16" x14ac:dyDescent="0.35">
      <c r="A3" s="11" t="s">
        <v>1038</v>
      </c>
      <c r="B3" s="12">
        <f>B2</f>
        <v>46104</v>
      </c>
      <c r="C3" s="12">
        <f t="shared" ref="C3" si="1">C2</f>
        <v>46113</v>
      </c>
      <c r="D3" s="11">
        <v>3259</v>
      </c>
      <c r="E3" s="11">
        <v>333</v>
      </c>
      <c r="F3" s="11">
        <v>3</v>
      </c>
      <c r="G3" s="11">
        <v>7</v>
      </c>
      <c r="H3" s="25">
        <v>81572</v>
      </c>
      <c r="I3" s="11" t="s">
        <v>17</v>
      </c>
      <c r="J3" s="11">
        <v>52331467</v>
      </c>
      <c r="K3" s="11" t="s">
        <v>643</v>
      </c>
      <c r="L3" s="21" t="s">
        <v>645</v>
      </c>
      <c r="M3" s="14">
        <v>249900</v>
      </c>
      <c r="N3" s="31">
        <v>0.75</v>
      </c>
      <c r="O3" s="32">
        <f t="shared" si="0"/>
        <v>62475</v>
      </c>
      <c r="P3" s="28" t="s">
        <v>16</v>
      </c>
    </row>
    <row r="4" spans="1:16" x14ac:dyDescent="0.35">
      <c r="A4" s="11" t="s">
        <v>1038</v>
      </c>
      <c r="B4" s="12">
        <f t="shared" ref="B4:B37" si="2">B3</f>
        <v>46104</v>
      </c>
      <c r="C4" s="12">
        <f t="shared" ref="C4:C37" si="3">C3</f>
        <v>46113</v>
      </c>
      <c r="D4" s="11">
        <v>3259</v>
      </c>
      <c r="E4" s="11">
        <v>333</v>
      </c>
      <c r="F4" s="11">
        <v>3</v>
      </c>
      <c r="G4" s="11">
        <v>7</v>
      </c>
      <c r="H4" s="25">
        <v>81572</v>
      </c>
      <c r="I4" s="11" t="s">
        <v>17</v>
      </c>
      <c r="J4" s="11">
        <v>52331476</v>
      </c>
      <c r="K4" s="11" t="s">
        <v>643</v>
      </c>
      <c r="L4" s="21" t="s">
        <v>646</v>
      </c>
      <c r="M4" s="14">
        <v>249900</v>
      </c>
      <c r="N4" s="31">
        <v>0.75</v>
      </c>
      <c r="O4" s="32">
        <f t="shared" si="0"/>
        <v>62475</v>
      </c>
      <c r="P4" s="28" t="s">
        <v>16</v>
      </c>
    </row>
    <row r="5" spans="1:16" x14ac:dyDescent="0.35">
      <c r="A5" s="11" t="s">
        <v>1038</v>
      </c>
      <c r="B5" s="12">
        <f t="shared" si="2"/>
        <v>46104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11">
        <v>7</v>
      </c>
      <c r="H5" s="25">
        <v>81572</v>
      </c>
      <c r="I5" s="11" t="s">
        <v>17</v>
      </c>
      <c r="J5" s="11">
        <v>52331485</v>
      </c>
      <c r="K5" s="11" t="s">
        <v>643</v>
      </c>
      <c r="L5" s="21" t="s">
        <v>647</v>
      </c>
      <c r="M5" s="14">
        <v>249900</v>
      </c>
      <c r="N5" s="31">
        <v>0.75</v>
      </c>
      <c r="O5" s="32">
        <f t="shared" si="0"/>
        <v>62475</v>
      </c>
      <c r="P5" s="28" t="s">
        <v>16</v>
      </c>
    </row>
    <row r="6" spans="1:16" x14ac:dyDescent="0.35">
      <c r="A6" s="11" t="s">
        <v>1038</v>
      </c>
      <c r="B6" s="12">
        <f t="shared" si="2"/>
        <v>46104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11">
        <v>7</v>
      </c>
      <c r="H6" s="25">
        <v>81572</v>
      </c>
      <c r="I6" s="11" t="s">
        <v>17</v>
      </c>
      <c r="J6" s="11">
        <v>52331494</v>
      </c>
      <c r="K6" s="11" t="s">
        <v>643</v>
      </c>
      <c r="L6" s="21" t="s">
        <v>648</v>
      </c>
      <c r="M6" s="14">
        <v>249900</v>
      </c>
      <c r="N6" s="31">
        <v>0.75</v>
      </c>
      <c r="O6" s="32">
        <f t="shared" si="0"/>
        <v>62475</v>
      </c>
      <c r="P6" s="28" t="s">
        <v>16</v>
      </c>
    </row>
    <row r="7" spans="1:16" x14ac:dyDescent="0.35">
      <c r="A7" s="11" t="s">
        <v>1038</v>
      </c>
      <c r="B7" s="12">
        <f t="shared" si="2"/>
        <v>46104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11">
        <v>7</v>
      </c>
      <c r="H7" s="25">
        <v>81572</v>
      </c>
      <c r="I7" s="11" t="s">
        <v>17</v>
      </c>
      <c r="J7" s="11">
        <v>52331501</v>
      </c>
      <c r="K7" s="11" t="s">
        <v>643</v>
      </c>
      <c r="L7" s="21" t="s">
        <v>649</v>
      </c>
      <c r="M7" s="14">
        <v>249900</v>
      </c>
      <c r="N7" s="31">
        <v>0.75</v>
      </c>
      <c r="O7" s="32">
        <f t="shared" si="0"/>
        <v>62475</v>
      </c>
      <c r="P7" s="28" t="s">
        <v>16</v>
      </c>
    </row>
    <row r="8" spans="1:16" x14ac:dyDescent="0.35">
      <c r="A8" s="11" t="s">
        <v>1038</v>
      </c>
      <c r="B8" s="12">
        <f t="shared" si="2"/>
        <v>46104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11">
        <v>7</v>
      </c>
      <c r="H8" s="25">
        <v>81572</v>
      </c>
      <c r="I8" s="11" t="s">
        <v>17</v>
      </c>
      <c r="J8" s="11">
        <v>52331510</v>
      </c>
      <c r="K8" s="11" t="s">
        <v>643</v>
      </c>
      <c r="L8" s="21" t="s">
        <v>650</v>
      </c>
      <c r="M8" s="14">
        <v>249900</v>
      </c>
      <c r="N8" s="31">
        <v>0.75</v>
      </c>
      <c r="O8" s="32">
        <f t="shared" si="0"/>
        <v>62475</v>
      </c>
      <c r="P8" s="28" t="s">
        <v>16</v>
      </c>
    </row>
    <row r="9" spans="1:16" x14ac:dyDescent="0.35">
      <c r="A9" s="11" t="s">
        <v>1038</v>
      </c>
      <c r="B9" s="12">
        <f t="shared" si="2"/>
        <v>46104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11">
        <v>7</v>
      </c>
      <c r="H9" s="25">
        <v>81572</v>
      </c>
      <c r="I9" s="11" t="s">
        <v>17</v>
      </c>
      <c r="J9" s="11">
        <v>52331529</v>
      </c>
      <c r="K9" s="11" t="s">
        <v>643</v>
      </c>
      <c r="L9" s="21" t="s">
        <v>651</v>
      </c>
      <c r="M9" s="14">
        <v>249900</v>
      </c>
      <c r="N9" s="31">
        <v>0.75</v>
      </c>
      <c r="O9" s="32">
        <f t="shared" si="0"/>
        <v>62475</v>
      </c>
      <c r="P9" s="28" t="s">
        <v>16</v>
      </c>
    </row>
    <row r="10" spans="1:16" x14ac:dyDescent="0.35">
      <c r="A10" s="11" t="s">
        <v>1038</v>
      </c>
      <c r="B10" s="12">
        <f t="shared" si="2"/>
        <v>46104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11">
        <v>7</v>
      </c>
      <c r="H10" s="25">
        <v>81572</v>
      </c>
      <c r="I10" s="11" t="s">
        <v>17</v>
      </c>
      <c r="J10" s="11">
        <v>52331538</v>
      </c>
      <c r="K10" s="11" t="s">
        <v>643</v>
      </c>
      <c r="L10" s="21" t="s">
        <v>652</v>
      </c>
      <c r="M10" s="14">
        <v>249900</v>
      </c>
      <c r="N10" s="31">
        <v>0.75</v>
      </c>
      <c r="O10" s="32">
        <f t="shared" si="0"/>
        <v>62475</v>
      </c>
      <c r="P10" s="28" t="s">
        <v>16</v>
      </c>
    </row>
    <row r="11" spans="1:16" x14ac:dyDescent="0.35">
      <c r="A11" s="11" t="s">
        <v>1038</v>
      </c>
      <c r="B11" s="12">
        <f t="shared" si="2"/>
        <v>46104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11">
        <v>7</v>
      </c>
      <c r="H11" s="25">
        <v>81572</v>
      </c>
      <c r="I11" s="11" t="s">
        <v>17</v>
      </c>
      <c r="J11" s="11">
        <v>52331547</v>
      </c>
      <c r="K11" s="11" t="s">
        <v>643</v>
      </c>
      <c r="L11" s="21" t="s">
        <v>653</v>
      </c>
      <c r="M11" s="14">
        <v>249900</v>
      </c>
      <c r="N11" s="31">
        <v>0.75</v>
      </c>
      <c r="O11" s="32">
        <f t="shared" si="0"/>
        <v>62475</v>
      </c>
      <c r="P11" s="28" t="s">
        <v>16</v>
      </c>
    </row>
    <row r="12" spans="1:16" x14ac:dyDescent="0.35">
      <c r="A12" s="11" t="s">
        <v>1038</v>
      </c>
      <c r="B12" s="12">
        <f t="shared" si="2"/>
        <v>46104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11">
        <v>7</v>
      </c>
      <c r="H12" s="25">
        <v>81572</v>
      </c>
      <c r="I12" s="11" t="s">
        <v>17</v>
      </c>
      <c r="J12" s="11">
        <v>52331556</v>
      </c>
      <c r="K12" s="11" t="s">
        <v>643</v>
      </c>
      <c r="L12" s="21" t="s">
        <v>654</v>
      </c>
      <c r="M12" s="14">
        <v>249900</v>
      </c>
      <c r="N12" s="31">
        <v>0.75</v>
      </c>
      <c r="O12" s="32">
        <f t="shared" si="0"/>
        <v>62475</v>
      </c>
      <c r="P12" s="28" t="s">
        <v>16</v>
      </c>
    </row>
    <row r="13" spans="1:16" x14ac:dyDescent="0.35">
      <c r="A13" s="11" t="s">
        <v>1038</v>
      </c>
      <c r="B13" s="12">
        <f t="shared" si="2"/>
        <v>46104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11">
        <v>7</v>
      </c>
      <c r="H13" s="25">
        <v>81572</v>
      </c>
      <c r="I13" s="11" t="s">
        <v>17</v>
      </c>
      <c r="J13" s="11">
        <v>52331565</v>
      </c>
      <c r="K13" s="11" t="s">
        <v>643</v>
      </c>
      <c r="L13" s="21" t="s">
        <v>655</v>
      </c>
      <c r="M13" s="14">
        <v>249900</v>
      </c>
      <c r="N13" s="31">
        <v>0.75</v>
      </c>
      <c r="O13" s="32">
        <f t="shared" si="0"/>
        <v>62475</v>
      </c>
      <c r="P13" s="28" t="s">
        <v>16</v>
      </c>
    </row>
    <row r="14" spans="1:16" s="23" customFormat="1" x14ac:dyDescent="0.35">
      <c r="A14" s="11" t="s">
        <v>1038</v>
      </c>
      <c r="B14" s="12">
        <f t="shared" si="2"/>
        <v>46104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11">
        <v>16</v>
      </c>
      <c r="H14" s="25">
        <v>81515</v>
      </c>
      <c r="I14" s="11" t="s">
        <v>17</v>
      </c>
      <c r="J14" s="25">
        <v>51879020</v>
      </c>
      <c r="K14" s="25" t="s">
        <v>763</v>
      </c>
      <c r="L14" s="25" t="s">
        <v>785</v>
      </c>
      <c r="M14" s="62">
        <v>199900</v>
      </c>
      <c r="N14" s="31">
        <v>0.75</v>
      </c>
      <c r="O14" s="32">
        <f t="shared" si="0"/>
        <v>49975</v>
      </c>
      <c r="P14" s="28" t="s">
        <v>16</v>
      </c>
    </row>
    <row r="15" spans="1:16" s="23" customFormat="1" x14ac:dyDescent="0.35">
      <c r="A15" s="11" t="s">
        <v>1038</v>
      </c>
      <c r="B15" s="12">
        <f t="shared" si="2"/>
        <v>46104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11">
        <v>16</v>
      </c>
      <c r="H15" s="25">
        <v>81515</v>
      </c>
      <c r="I15" s="11" t="s">
        <v>17</v>
      </c>
      <c r="J15" s="25">
        <v>51879039</v>
      </c>
      <c r="K15" s="25" t="s">
        <v>763</v>
      </c>
      <c r="L15" s="25" t="s">
        <v>786</v>
      </c>
      <c r="M15" s="62">
        <v>199900</v>
      </c>
      <c r="N15" s="31">
        <v>0.75</v>
      </c>
      <c r="O15" s="32">
        <f t="shared" si="0"/>
        <v>49975</v>
      </c>
      <c r="P15" s="28" t="s">
        <v>16</v>
      </c>
    </row>
    <row r="16" spans="1:16" s="23" customFormat="1" x14ac:dyDescent="0.35">
      <c r="A16" s="11" t="s">
        <v>1038</v>
      </c>
      <c r="B16" s="12">
        <f t="shared" si="2"/>
        <v>46104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11">
        <v>16</v>
      </c>
      <c r="H16" s="25">
        <v>81515</v>
      </c>
      <c r="I16" s="11" t="s">
        <v>17</v>
      </c>
      <c r="J16" s="25">
        <v>51879048</v>
      </c>
      <c r="K16" s="25" t="s">
        <v>763</v>
      </c>
      <c r="L16" s="25" t="s">
        <v>787</v>
      </c>
      <c r="M16" s="62">
        <v>199900</v>
      </c>
      <c r="N16" s="31">
        <v>0.75</v>
      </c>
      <c r="O16" s="32">
        <f t="shared" si="0"/>
        <v>49975</v>
      </c>
      <c r="P16" s="28" t="s">
        <v>16</v>
      </c>
    </row>
    <row r="17" spans="1:16" s="23" customFormat="1" x14ac:dyDescent="0.35">
      <c r="A17" s="11" t="s">
        <v>1038</v>
      </c>
      <c r="B17" s="12">
        <f t="shared" si="2"/>
        <v>46104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11">
        <v>16</v>
      </c>
      <c r="H17" s="25">
        <v>81515</v>
      </c>
      <c r="I17" s="11" t="s">
        <v>17</v>
      </c>
      <c r="J17" s="25">
        <v>51879057</v>
      </c>
      <c r="K17" s="25" t="s">
        <v>763</v>
      </c>
      <c r="L17" s="25" t="s">
        <v>788</v>
      </c>
      <c r="M17" s="62">
        <v>199900</v>
      </c>
      <c r="N17" s="31">
        <v>0.75</v>
      </c>
      <c r="O17" s="32">
        <f t="shared" si="0"/>
        <v>49975</v>
      </c>
      <c r="P17" s="28" t="s">
        <v>16</v>
      </c>
    </row>
    <row r="18" spans="1:16" s="23" customFormat="1" x14ac:dyDescent="0.35">
      <c r="A18" s="11" t="s">
        <v>1038</v>
      </c>
      <c r="B18" s="12">
        <f t="shared" si="2"/>
        <v>46104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11">
        <v>16</v>
      </c>
      <c r="H18" s="25">
        <v>81515</v>
      </c>
      <c r="I18" s="11" t="s">
        <v>17</v>
      </c>
      <c r="J18" s="25">
        <v>51879066</v>
      </c>
      <c r="K18" s="25" t="s">
        <v>763</v>
      </c>
      <c r="L18" s="25" t="s">
        <v>764</v>
      </c>
      <c r="M18" s="62">
        <v>199900</v>
      </c>
      <c r="N18" s="31">
        <v>0.75</v>
      </c>
      <c r="O18" s="32">
        <f t="shared" si="0"/>
        <v>49975</v>
      </c>
      <c r="P18" s="28" t="s">
        <v>16</v>
      </c>
    </row>
    <row r="19" spans="1:16" s="23" customFormat="1" x14ac:dyDescent="0.35">
      <c r="A19" s="11" t="s">
        <v>1038</v>
      </c>
      <c r="B19" s="12">
        <f t="shared" si="2"/>
        <v>46104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11">
        <v>16</v>
      </c>
      <c r="H19" s="25">
        <v>81515</v>
      </c>
      <c r="I19" s="11" t="s">
        <v>17</v>
      </c>
      <c r="J19" s="25">
        <v>51879075</v>
      </c>
      <c r="K19" s="25" t="s">
        <v>763</v>
      </c>
      <c r="L19" s="25" t="s">
        <v>765</v>
      </c>
      <c r="M19" s="62">
        <v>199900</v>
      </c>
      <c r="N19" s="31">
        <v>0.75</v>
      </c>
      <c r="O19" s="32">
        <f t="shared" si="0"/>
        <v>49975</v>
      </c>
      <c r="P19" s="28" t="s">
        <v>16</v>
      </c>
    </row>
    <row r="20" spans="1:16" s="23" customFormat="1" x14ac:dyDescent="0.35">
      <c r="A20" s="11" t="s">
        <v>1038</v>
      </c>
      <c r="B20" s="12">
        <f t="shared" si="2"/>
        <v>46104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11">
        <v>16</v>
      </c>
      <c r="H20" s="25">
        <v>81515</v>
      </c>
      <c r="I20" s="11" t="s">
        <v>17</v>
      </c>
      <c r="J20" s="25">
        <v>51879084</v>
      </c>
      <c r="K20" s="25" t="s">
        <v>763</v>
      </c>
      <c r="L20" s="25" t="s">
        <v>766</v>
      </c>
      <c r="M20" s="62">
        <v>199900</v>
      </c>
      <c r="N20" s="31">
        <v>0.75</v>
      </c>
      <c r="O20" s="32">
        <f t="shared" si="0"/>
        <v>49975</v>
      </c>
      <c r="P20" s="28" t="s">
        <v>16</v>
      </c>
    </row>
    <row r="21" spans="1:16" s="23" customFormat="1" x14ac:dyDescent="0.35">
      <c r="A21" s="11" t="s">
        <v>1038</v>
      </c>
      <c r="B21" s="12">
        <f t="shared" si="2"/>
        <v>46104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11">
        <v>16</v>
      </c>
      <c r="H21" s="25">
        <v>81515</v>
      </c>
      <c r="I21" s="11" t="s">
        <v>17</v>
      </c>
      <c r="J21" s="25">
        <v>51879093</v>
      </c>
      <c r="K21" s="25" t="s">
        <v>763</v>
      </c>
      <c r="L21" s="25" t="s">
        <v>767</v>
      </c>
      <c r="M21" s="62">
        <v>199900</v>
      </c>
      <c r="N21" s="31">
        <v>0.75</v>
      </c>
      <c r="O21" s="32">
        <f t="shared" si="0"/>
        <v>49975</v>
      </c>
      <c r="P21" s="28" t="s">
        <v>16</v>
      </c>
    </row>
    <row r="22" spans="1:16" s="23" customFormat="1" x14ac:dyDescent="0.35">
      <c r="A22" s="11" t="s">
        <v>1038</v>
      </c>
      <c r="B22" s="12">
        <f t="shared" si="2"/>
        <v>46104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11">
        <v>16</v>
      </c>
      <c r="H22" s="25">
        <v>81515</v>
      </c>
      <c r="I22" s="11" t="s">
        <v>17</v>
      </c>
      <c r="J22" s="25">
        <v>51879100</v>
      </c>
      <c r="K22" s="25" t="s">
        <v>763</v>
      </c>
      <c r="L22" s="25" t="s">
        <v>768</v>
      </c>
      <c r="M22" s="62">
        <v>199900</v>
      </c>
      <c r="N22" s="31">
        <v>0.75</v>
      </c>
      <c r="O22" s="32">
        <f t="shared" si="0"/>
        <v>49975</v>
      </c>
      <c r="P22" s="28" t="s">
        <v>16</v>
      </c>
    </row>
    <row r="23" spans="1:16" s="23" customFormat="1" x14ac:dyDescent="0.35">
      <c r="A23" s="11" t="s">
        <v>1038</v>
      </c>
      <c r="B23" s="12">
        <f t="shared" si="2"/>
        <v>46104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11">
        <v>16</v>
      </c>
      <c r="H23" s="25">
        <v>81515</v>
      </c>
      <c r="I23" s="11" t="s">
        <v>17</v>
      </c>
      <c r="J23" s="25">
        <v>51879119</v>
      </c>
      <c r="K23" s="25" t="s">
        <v>763</v>
      </c>
      <c r="L23" s="25" t="s">
        <v>769</v>
      </c>
      <c r="M23" s="62">
        <v>199900</v>
      </c>
      <c r="N23" s="31">
        <v>0.75</v>
      </c>
      <c r="O23" s="32">
        <f t="shared" si="0"/>
        <v>49975</v>
      </c>
      <c r="P23" s="28" t="s">
        <v>16</v>
      </c>
    </row>
    <row r="24" spans="1:16" s="23" customFormat="1" x14ac:dyDescent="0.35">
      <c r="A24" s="11" t="s">
        <v>1038</v>
      </c>
      <c r="B24" s="12">
        <f t="shared" si="2"/>
        <v>46104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11">
        <v>16</v>
      </c>
      <c r="H24" s="25">
        <v>81515</v>
      </c>
      <c r="I24" s="11" t="s">
        <v>17</v>
      </c>
      <c r="J24" s="25">
        <v>51879128</v>
      </c>
      <c r="K24" s="25" t="s">
        <v>763</v>
      </c>
      <c r="L24" s="25" t="s">
        <v>770</v>
      </c>
      <c r="M24" s="62">
        <v>199900</v>
      </c>
      <c r="N24" s="31">
        <v>0.75</v>
      </c>
      <c r="O24" s="32">
        <f t="shared" si="0"/>
        <v>49975</v>
      </c>
      <c r="P24" s="28" t="s">
        <v>16</v>
      </c>
    </row>
    <row r="25" spans="1:16" s="23" customFormat="1" x14ac:dyDescent="0.35">
      <c r="A25" s="11" t="s">
        <v>1038</v>
      </c>
      <c r="B25" s="12">
        <f t="shared" si="2"/>
        <v>46104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11">
        <v>16</v>
      </c>
      <c r="H25" s="25">
        <v>81515</v>
      </c>
      <c r="I25" s="11" t="s">
        <v>17</v>
      </c>
      <c r="J25" s="25">
        <v>51879137</v>
      </c>
      <c r="K25" s="25" t="s">
        <v>763</v>
      </c>
      <c r="L25" s="25" t="s">
        <v>771</v>
      </c>
      <c r="M25" s="62">
        <v>199900</v>
      </c>
      <c r="N25" s="31">
        <v>0.75</v>
      </c>
      <c r="O25" s="32">
        <f t="shared" si="0"/>
        <v>49975</v>
      </c>
      <c r="P25" s="28" t="s">
        <v>16</v>
      </c>
    </row>
    <row r="26" spans="1:16" s="23" customFormat="1" x14ac:dyDescent="0.35">
      <c r="A26" s="11" t="s">
        <v>1038</v>
      </c>
      <c r="B26" s="12">
        <f t="shared" si="2"/>
        <v>46104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11">
        <v>16</v>
      </c>
      <c r="H26" s="25">
        <v>81572</v>
      </c>
      <c r="I26" s="11" t="s">
        <v>17</v>
      </c>
      <c r="J26" s="25">
        <v>52331332</v>
      </c>
      <c r="K26" s="25" t="s">
        <v>772</v>
      </c>
      <c r="L26" s="25" t="s">
        <v>773</v>
      </c>
      <c r="M26" s="62">
        <v>229900</v>
      </c>
      <c r="N26" s="31">
        <v>0.75</v>
      </c>
      <c r="O26" s="32">
        <f t="shared" si="0"/>
        <v>57475</v>
      </c>
      <c r="P26" s="28" t="s">
        <v>16</v>
      </c>
    </row>
    <row r="27" spans="1:16" s="23" customFormat="1" x14ac:dyDescent="0.35">
      <c r="A27" s="11" t="s">
        <v>1038</v>
      </c>
      <c r="B27" s="12">
        <f t="shared" si="2"/>
        <v>46104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11">
        <v>16</v>
      </c>
      <c r="H27" s="25">
        <v>81572</v>
      </c>
      <c r="I27" s="11" t="s">
        <v>17</v>
      </c>
      <c r="J27" s="25">
        <v>52331341</v>
      </c>
      <c r="K27" s="25" t="s">
        <v>772</v>
      </c>
      <c r="L27" s="25" t="s">
        <v>774</v>
      </c>
      <c r="M27" s="62">
        <v>229900</v>
      </c>
      <c r="N27" s="31">
        <v>0.75</v>
      </c>
      <c r="O27" s="32">
        <f t="shared" si="0"/>
        <v>57475</v>
      </c>
      <c r="P27" s="28" t="s">
        <v>16</v>
      </c>
    </row>
    <row r="28" spans="1:16" s="23" customFormat="1" x14ac:dyDescent="0.35">
      <c r="A28" s="11" t="s">
        <v>1038</v>
      </c>
      <c r="B28" s="12">
        <f t="shared" si="2"/>
        <v>46104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11">
        <v>16</v>
      </c>
      <c r="H28" s="25">
        <v>81572</v>
      </c>
      <c r="I28" s="11" t="s">
        <v>17</v>
      </c>
      <c r="J28" s="25">
        <v>52331350</v>
      </c>
      <c r="K28" s="25" t="s">
        <v>772</v>
      </c>
      <c r="L28" s="25" t="s">
        <v>775</v>
      </c>
      <c r="M28" s="62">
        <v>229900</v>
      </c>
      <c r="N28" s="31">
        <v>0.75</v>
      </c>
      <c r="O28" s="32">
        <f t="shared" si="0"/>
        <v>57475</v>
      </c>
      <c r="P28" s="28" t="s">
        <v>16</v>
      </c>
    </row>
    <row r="29" spans="1:16" s="23" customFormat="1" x14ac:dyDescent="0.35">
      <c r="A29" s="11" t="s">
        <v>1038</v>
      </c>
      <c r="B29" s="12">
        <f t="shared" si="2"/>
        <v>46104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11">
        <v>16</v>
      </c>
      <c r="H29" s="25">
        <v>81572</v>
      </c>
      <c r="I29" s="11" t="s">
        <v>17</v>
      </c>
      <c r="J29" s="25">
        <v>52331369</v>
      </c>
      <c r="K29" s="25" t="s">
        <v>772</v>
      </c>
      <c r="L29" s="25" t="s">
        <v>776</v>
      </c>
      <c r="M29" s="62">
        <v>229900</v>
      </c>
      <c r="N29" s="31">
        <v>0.75</v>
      </c>
      <c r="O29" s="32">
        <f t="shared" si="0"/>
        <v>57475</v>
      </c>
      <c r="P29" s="28" t="s">
        <v>16</v>
      </c>
    </row>
    <row r="30" spans="1:16" s="23" customFormat="1" x14ac:dyDescent="0.35">
      <c r="A30" s="11" t="s">
        <v>1038</v>
      </c>
      <c r="B30" s="12">
        <f t="shared" si="2"/>
        <v>46104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11">
        <v>16</v>
      </c>
      <c r="H30" s="25">
        <v>81572</v>
      </c>
      <c r="I30" s="11" t="s">
        <v>17</v>
      </c>
      <c r="J30" s="25">
        <v>52331378</v>
      </c>
      <c r="K30" s="25" t="s">
        <v>772</v>
      </c>
      <c r="L30" s="25" t="s">
        <v>777</v>
      </c>
      <c r="M30" s="62">
        <v>229900</v>
      </c>
      <c r="N30" s="31">
        <v>0.75</v>
      </c>
      <c r="O30" s="32">
        <f t="shared" si="0"/>
        <v>57475</v>
      </c>
      <c r="P30" s="28" t="s">
        <v>16</v>
      </c>
    </row>
    <row r="31" spans="1:16" s="23" customFormat="1" x14ac:dyDescent="0.35">
      <c r="A31" s="11" t="s">
        <v>1038</v>
      </c>
      <c r="B31" s="12">
        <f t="shared" si="2"/>
        <v>46104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11">
        <v>16</v>
      </c>
      <c r="H31" s="25">
        <v>81572</v>
      </c>
      <c r="I31" s="11" t="s">
        <v>17</v>
      </c>
      <c r="J31" s="25">
        <v>52331387</v>
      </c>
      <c r="K31" s="25" t="s">
        <v>772</v>
      </c>
      <c r="L31" s="25" t="s">
        <v>778</v>
      </c>
      <c r="M31" s="62">
        <v>229900</v>
      </c>
      <c r="N31" s="31">
        <v>0.75</v>
      </c>
      <c r="O31" s="32">
        <f t="shared" si="0"/>
        <v>57475</v>
      </c>
      <c r="P31" s="28" t="s">
        <v>16</v>
      </c>
    </row>
    <row r="32" spans="1:16" s="23" customFormat="1" x14ac:dyDescent="0.35">
      <c r="A32" s="11" t="s">
        <v>1038</v>
      </c>
      <c r="B32" s="12">
        <f t="shared" si="2"/>
        <v>46104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11">
        <v>16</v>
      </c>
      <c r="H32" s="25">
        <v>81572</v>
      </c>
      <c r="I32" s="11" t="s">
        <v>17</v>
      </c>
      <c r="J32" s="25">
        <v>52331396</v>
      </c>
      <c r="K32" s="25" t="s">
        <v>772</v>
      </c>
      <c r="L32" s="25" t="s">
        <v>779</v>
      </c>
      <c r="M32" s="62">
        <v>229900</v>
      </c>
      <c r="N32" s="31">
        <v>0.75</v>
      </c>
      <c r="O32" s="32">
        <f t="shared" si="0"/>
        <v>57475</v>
      </c>
      <c r="P32" s="28" t="s">
        <v>16</v>
      </c>
    </row>
    <row r="33" spans="1:16" s="23" customFormat="1" x14ac:dyDescent="0.35">
      <c r="A33" s="11" t="s">
        <v>1038</v>
      </c>
      <c r="B33" s="12">
        <f t="shared" si="2"/>
        <v>46104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11">
        <v>16</v>
      </c>
      <c r="H33" s="25">
        <v>81572</v>
      </c>
      <c r="I33" s="11" t="s">
        <v>17</v>
      </c>
      <c r="J33" s="25">
        <v>52331403</v>
      </c>
      <c r="K33" s="25" t="s">
        <v>772</v>
      </c>
      <c r="L33" s="25" t="s">
        <v>780</v>
      </c>
      <c r="M33" s="62">
        <v>229900</v>
      </c>
      <c r="N33" s="31">
        <v>0.75</v>
      </c>
      <c r="O33" s="32">
        <f t="shared" si="0"/>
        <v>57475</v>
      </c>
      <c r="P33" s="28" t="s">
        <v>16</v>
      </c>
    </row>
    <row r="34" spans="1:16" s="23" customFormat="1" x14ac:dyDescent="0.35">
      <c r="A34" s="11" t="s">
        <v>1038</v>
      </c>
      <c r="B34" s="12">
        <f t="shared" si="2"/>
        <v>46104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11">
        <v>16</v>
      </c>
      <c r="H34" s="25">
        <v>81572</v>
      </c>
      <c r="I34" s="11" t="s">
        <v>17</v>
      </c>
      <c r="J34" s="25">
        <v>52331412</v>
      </c>
      <c r="K34" s="25" t="s">
        <v>772</v>
      </c>
      <c r="L34" s="25" t="s">
        <v>789</v>
      </c>
      <c r="M34" s="62">
        <v>229900</v>
      </c>
      <c r="N34" s="31">
        <v>0.75</v>
      </c>
      <c r="O34" s="32">
        <f t="shared" si="0"/>
        <v>57475</v>
      </c>
      <c r="P34" s="28" t="s">
        <v>16</v>
      </c>
    </row>
    <row r="35" spans="1:16" s="23" customFormat="1" x14ac:dyDescent="0.35">
      <c r="A35" s="11" t="s">
        <v>1038</v>
      </c>
      <c r="B35" s="12">
        <f t="shared" si="2"/>
        <v>46104</v>
      </c>
      <c r="C35" s="12">
        <f t="shared" si="3"/>
        <v>46113</v>
      </c>
      <c r="D35" s="11">
        <v>3259</v>
      </c>
      <c r="E35" s="11">
        <v>333</v>
      </c>
      <c r="F35" s="11">
        <v>3</v>
      </c>
      <c r="G35" s="11">
        <v>16</v>
      </c>
      <c r="H35" s="25">
        <v>81572</v>
      </c>
      <c r="I35" s="11" t="s">
        <v>17</v>
      </c>
      <c r="J35" s="25">
        <v>52331421</v>
      </c>
      <c r="K35" s="25" t="s">
        <v>772</v>
      </c>
      <c r="L35" s="25" t="s">
        <v>790</v>
      </c>
      <c r="M35" s="62">
        <v>229900</v>
      </c>
      <c r="N35" s="31">
        <v>0.75</v>
      </c>
      <c r="O35" s="32">
        <f t="shared" si="0"/>
        <v>57475</v>
      </c>
      <c r="P35" s="28" t="s">
        <v>16</v>
      </c>
    </row>
    <row r="36" spans="1:16" s="23" customFormat="1" x14ac:dyDescent="0.35">
      <c r="A36" s="11" t="s">
        <v>1038</v>
      </c>
      <c r="B36" s="12">
        <f t="shared" si="2"/>
        <v>46104</v>
      </c>
      <c r="C36" s="12">
        <f t="shared" si="3"/>
        <v>46113</v>
      </c>
      <c r="D36" s="11">
        <v>3259</v>
      </c>
      <c r="E36" s="11">
        <v>333</v>
      </c>
      <c r="F36" s="11">
        <v>3</v>
      </c>
      <c r="G36" s="11">
        <v>16</v>
      </c>
      <c r="H36" s="25">
        <v>81572</v>
      </c>
      <c r="I36" s="11" t="s">
        <v>17</v>
      </c>
      <c r="J36" s="25">
        <v>52331430</v>
      </c>
      <c r="K36" s="25" t="s">
        <v>772</v>
      </c>
      <c r="L36" s="25" t="s">
        <v>791</v>
      </c>
      <c r="M36" s="62">
        <v>229900</v>
      </c>
      <c r="N36" s="31">
        <v>0.75</v>
      </c>
      <c r="O36" s="32">
        <f t="shared" si="0"/>
        <v>57475</v>
      </c>
      <c r="P36" s="28" t="s">
        <v>16</v>
      </c>
    </row>
    <row r="37" spans="1:16" s="23" customFormat="1" x14ac:dyDescent="0.35">
      <c r="A37" s="11" t="s">
        <v>1038</v>
      </c>
      <c r="B37" s="12">
        <f t="shared" si="2"/>
        <v>46104</v>
      </c>
      <c r="C37" s="12">
        <f t="shared" si="3"/>
        <v>46113</v>
      </c>
      <c r="D37" s="11">
        <v>3259</v>
      </c>
      <c r="E37" s="11">
        <v>333</v>
      </c>
      <c r="F37" s="11">
        <v>3</v>
      </c>
      <c r="G37" s="11">
        <v>16</v>
      </c>
      <c r="H37" s="25">
        <v>81572</v>
      </c>
      <c r="I37" s="11" t="s">
        <v>17</v>
      </c>
      <c r="J37" s="25">
        <v>52331449</v>
      </c>
      <c r="K37" s="25" t="s">
        <v>772</v>
      </c>
      <c r="L37" s="25" t="s">
        <v>792</v>
      </c>
      <c r="M37" s="62">
        <v>229900</v>
      </c>
      <c r="N37" s="31">
        <v>0.75</v>
      </c>
      <c r="O37" s="32">
        <f t="shared" si="0"/>
        <v>57475</v>
      </c>
      <c r="P37" s="28" t="s">
        <v>16</v>
      </c>
    </row>
    <row r="38" spans="1:16" s="23" customFormat="1" x14ac:dyDescent="0.35">
      <c r="A38" s="11" t="s">
        <v>1038</v>
      </c>
      <c r="B38" s="12">
        <f t="shared" ref="B38:B41" si="4">B37</f>
        <v>46104</v>
      </c>
      <c r="C38" s="12">
        <f t="shared" ref="C38:C41" si="5">C37</f>
        <v>46113</v>
      </c>
      <c r="D38" s="11">
        <v>3259</v>
      </c>
      <c r="E38" s="11">
        <v>333</v>
      </c>
      <c r="F38" s="11">
        <v>3</v>
      </c>
      <c r="G38" s="11">
        <v>16</v>
      </c>
      <c r="H38" s="25">
        <v>81515</v>
      </c>
      <c r="I38" s="11" t="s">
        <v>17</v>
      </c>
      <c r="J38" s="47">
        <v>51916800</v>
      </c>
      <c r="K38" s="47" t="s">
        <v>674</v>
      </c>
      <c r="L38" s="47" t="s">
        <v>761</v>
      </c>
      <c r="M38" s="77">
        <v>149900</v>
      </c>
      <c r="N38" s="31">
        <v>0.75</v>
      </c>
      <c r="O38" s="32">
        <f t="shared" si="0"/>
        <v>37475</v>
      </c>
      <c r="P38" s="28" t="s">
        <v>16</v>
      </c>
    </row>
    <row r="39" spans="1:16" s="23" customFormat="1" x14ac:dyDescent="0.35">
      <c r="A39" s="11" t="s">
        <v>1038</v>
      </c>
      <c r="B39" s="12">
        <f t="shared" si="4"/>
        <v>46104</v>
      </c>
      <c r="C39" s="12">
        <f t="shared" si="5"/>
        <v>46113</v>
      </c>
      <c r="D39" s="11">
        <v>3259</v>
      </c>
      <c r="E39" s="11">
        <v>333</v>
      </c>
      <c r="F39" s="11">
        <v>3</v>
      </c>
      <c r="G39" s="11">
        <v>16</v>
      </c>
      <c r="H39" s="25">
        <v>81515</v>
      </c>
      <c r="I39" s="11" t="s">
        <v>17</v>
      </c>
      <c r="J39" s="47">
        <v>51916793</v>
      </c>
      <c r="K39" s="47" t="s">
        <v>674</v>
      </c>
      <c r="L39" s="47" t="s">
        <v>760</v>
      </c>
      <c r="M39" s="77">
        <v>149900</v>
      </c>
      <c r="N39" s="31">
        <v>0.75</v>
      </c>
      <c r="O39" s="32">
        <f t="shared" si="0"/>
        <v>37475</v>
      </c>
      <c r="P39" s="28" t="s">
        <v>16</v>
      </c>
    </row>
    <row r="40" spans="1:16" s="23" customFormat="1" x14ac:dyDescent="0.35">
      <c r="A40" s="11" t="s">
        <v>1038</v>
      </c>
      <c r="B40" s="12">
        <f t="shared" si="4"/>
        <v>46104</v>
      </c>
      <c r="C40" s="12">
        <f t="shared" si="5"/>
        <v>46113</v>
      </c>
      <c r="D40" s="11">
        <v>3259</v>
      </c>
      <c r="E40" s="11">
        <v>333</v>
      </c>
      <c r="F40" s="11">
        <v>3</v>
      </c>
      <c r="G40" s="11">
        <v>16</v>
      </c>
      <c r="H40" s="25">
        <v>81515</v>
      </c>
      <c r="I40" s="11" t="s">
        <v>17</v>
      </c>
      <c r="J40" s="47">
        <v>51916784</v>
      </c>
      <c r="K40" s="47" t="s">
        <v>674</v>
      </c>
      <c r="L40" s="47" t="s">
        <v>759</v>
      </c>
      <c r="M40" s="77">
        <v>149900</v>
      </c>
      <c r="N40" s="31">
        <v>0.75</v>
      </c>
      <c r="O40" s="32">
        <f t="shared" si="0"/>
        <v>37475</v>
      </c>
      <c r="P40" s="28" t="s">
        <v>16</v>
      </c>
    </row>
    <row r="41" spans="1:16" s="23" customFormat="1" x14ac:dyDescent="0.35">
      <c r="A41" s="11" t="s">
        <v>1038</v>
      </c>
      <c r="B41" s="12">
        <f t="shared" si="4"/>
        <v>46104</v>
      </c>
      <c r="C41" s="12">
        <f t="shared" si="5"/>
        <v>46113</v>
      </c>
      <c r="D41" s="11">
        <v>3259</v>
      </c>
      <c r="E41" s="11">
        <v>333</v>
      </c>
      <c r="F41" s="11">
        <v>3</v>
      </c>
      <c r="G41" s="11">
        <v>16</v>
      </c>
      <c r="H41" s="25">
        <v>81515</v>
      </c>
      <c r="I41" s="11" t="s">
        <v>17</v>
      </c>
      <c r="J41" s="47">
        <v>51916819</v>
      </c>
      <c r="K41" s="47" t="s">
        <v>674</v>
      </c>
      <c r="L41" s="47" t="s">
        <v>762</v>
      </c>
      <c r="M41" s="77">
        <v>149900</v>
      </c>
      <c r="N41" s="31">
        <v>0.75</v>
      </c>
      <c r="O41" s="32">
        <f t="shared" si="0"/>
        <v>37475</v>
      </c>
      <c r="P41" s="28" t="s">
        <v>16</v>
      </c>
    </row>
  </sheetData>
  <autoFilter ref="A1:P1" xr:uid="{00000000-0009-0000-0000-00000C000000}"/>
  <conditionalFormatting sqref="J1:J13">
    <cfRule type="duplicateValues" dxfId="623" priority="538"/>
    <cfRule type="duplicateValues" dxfId="622" priority="539"/>
  </conditionalFormatting>
  <conditionalFormatting sqref="J1:J37">
    <cfRule type="duplicateValues" dxfId="621" priority="561"/>
    <cfRule type="duplicateValues" dxfId="620" priority="562"/>
    <cfRule type="duplicateValues" dxfId="619" priority="563"/>
    <cfRule type="duplicateValues" dxfId="618" priority="564"/>
    <cfRule type="duplicateValues" dxfId="617" priority="565"/>
    <cfRule type="duplicateValues" dxfId="616" priority="566"/>
    <cfRule type="duplicateValues" dxfId="615" priority="567"/>
    <cfRule type="duplicateValues" dxfId="614" priority="568"/>
    <cfRule type="duplicateValues" dxfId="613" priority="569"/>
    <cfRule type="duplicateValues" dxfId="612" priority="570"/>
    <cfRule type="duplicateValues" dxfId="611" priority="571"/>
    <cfRule type="duplicateValues" dxfId="610" priority="572"/>
    <cfRule type="duplicateValues" dxfId="609" priority="573"/>
    <cfRule type="duplicateValues" dxfId="608" priority="574"/>
    <cfRule type="duplicateValues" dxfId="607" priority="5056"/>
  </conditionalFormatting>
  <conditionalFormatting sqref="J1:J41 J46:J1048576">
    <cfRule type="duplicateValues" dxfId="606" priority="1"/>
    <cfRule type="duplicateValues" dxfId="605" priority="5222"/>
  </conditionalFormatting>
  <conditionalFormatting sqref="J1:J41">
    <cfRule type="duplicateValues" dxfId="604" priority="5054"/>
    <cfRule type="duplicateValues" dxfId="603" priority="5057"/>
    <cfRule type="duplicateValues" dxfId="602" priority="5058"/>
    <cfRule type="duplicateValues" dxfId="601" priority="5059"/>
  </conditionalFormatting>
  <conditionalFormatting sqref="J38:J41">
    <cfRule type="duplicateValues" dxfId="600" priority="49"/>
    <cfRule type="duplicateValues" dxfId="599" priority="50"/>
    <cfRule type="duplicateValues" dxfId="598" priority="51"/>
    <cfRule type="duplicateValues" dxfId="597" priority="52"/>
    <cfRule type="duplicateValues" dxfId="596" priority="53"/>
    <cfRule type="duplicateValues" dxfId="595" priority="54"/>
    <cfRule type="duplicateValues" dxfId="594" priority="55"/>
    <cfRule type="duplicateValues" dxfId="593" priority="56"/>
    <cfRule type="duplicateValues" dxfId="592" priority="57"/>
    <cfRule type="duplicateValues" dxfId="591" priority="58"/>
    <cfRule type="duplicateValues" dxfId="590" priority="59"/>
    <cfRule type="duplicateValues" dxfId="589" priority="60"/>
    <cfRule type="duplicateValues" dxfId="588" priority="61"/>
    <cfRule type="duplicateValues" dxfId="587" priority="62"/>
    <cfRule type="duplicateValues" dxfId="586" priority="63"/>
    <cfRule type="duplicateValues" dxfId="585" priority="64"/>
    <cfRule type="duplicateValues" dxfId="584" priority="65"/>
    <cfRule type="duplicateValues" dxfId="583" priority="66"/>
    <cfRule type="duplicateValues" dxfId="582" priority="67"/>
    <cfRule type="duplicateValues" dxfId="581" priority="82"/>
    <cfRule type="duplicateValues" dxfId="580" priority="83"/>
    <cfRule type="duplicateValues" dxfId="579" priority="84"/>
    <cfRule type="duplicateValues" dxfId="578" priority="85"/>
    <cfRule type="duplicateValues" dxfId="577" priority="86"/>
    <cfRule type="duplicateValues" dxfId="576" priority="8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P29"/>
  <sheetViews>
    <sheetView zoomScale="55" workbookViewId="0">
      <selection activeCell="N3" sqref="N3:N29"/>
    </sheetView>
  </sheetViews>
  <sheetFormatPr defaultColWidth="8.7265625" defaultRowHeight="14.5" x14ac:dyDescent="0.35"/>
  <cols>
    <col min="1" max="1" width="27.7265625" style="23" bestFit="1" customWidth="1"/>
    <col min="2" max="2" width="10.453125" style="23" bestFit="1" customWidth="1"/>
    <col min="3" max="3" width="10.1796875" style="23" bestFit="1" customWidth="1"/>
    <col min="4" max="9" width="8.7265625" style="23"/>
    <col min="10" max="10" width="8.81640625" style="16" bestFit="1" customWidth="1"/>
    <col min="11" max="11" width="9.453125" style="16" bestFit="1" customWidth="1"/>
    <col min="12" max="12" width="81.1796875" style="16" bestFit="1" customWidth="1"/>
    <col min="13" max="13" width="14.453125" style="16" bestFit="1" customWidth="1"/>
    <col min="14" max="14" width="7.453125" style="23" bestFit="1" customWidth="1"/>
    <col min="15" max="15" width="13.453125" style="23" bestFit="1" customWidth="1"/>
    <col min="16" max="16" width="14.26953125" style="23" customWidth="1"/>
    <col min="17" max="16384" width="8.7265625" style="23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1039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73">
        <v>16</v>
      </c>
      <c r="H2" s="73"/>
      <c r="I2" s="11" t="s">
        <v>17</v>
      </c>
      <c r="J2" s="73">
        <v>53686921</v>
      </c>
      <c r="K2" s="73" t="s">
        <v>810</v>
      </c>
      <c r="L2" s="73" t="s">
        <v>811</v>
      </c>
      <c r="M2" s="78">
        <v>229900</v>
      </c>
      <c r="N2" s="31">
        <v>0.75</v>
      </c>
      <c r="O2" s="32">
        <f>M2-(M2*N2)</f>
        <v>57475</v>
      </c>
      <c r="P2" s="28" t="s">
        <v>16</v>
      </c>
    </row>
    <row r="3" spans="1:16" x14ac:dyDescent="0.35">
      <c r="A3" s="11" t="s">
        <v>1039</v>
      </c>
      <c r="B3" s="12">
        <f>B2</f>
        <v>46104</v>
      </c>
      <c r="C3" s="12">
        <f t="shared" ref="C3" si="0">C2</f>
        <v>46113</v>
      </c>
      <c r="D3" s="11">
        <v>3259</v>
      </c>
      <c r="E3" s="11">
        <v>333</v>
      </c>
      <c r="F3" s="11">
        <v>3</v>
      </c>
      <c r="G3" s="73">
        <v>16</v>
      </c>
      <c r="H3" s="73"/>
      <c r="I3" s="11" t="s">
        <v>17</v>
      </c>
      <c r="J3" s="73">
        <v>53686930</v>
      </c>
      <c r="K3" s="73" t="s">
        <v>810</v>
      </c>
      <c r="L3" s="73" t="s">
        <v>812</v>
      </c>
      <c r="M3" s="78">
        <v>229900</v>
      </c>
      <c r="N3" s="31">
        <v>0.75</v>
      </c>
      <c r="O3" s="32">
        <f t="shared" ref="O3:O20" si="1">M3-(M3*N3)</f>
        <v>57475</v>
      </c>
      <c r="P3" s="28" t="s">
        <v>16</v>
      </c>
    </row>
    <row r="4" spans="1:16" x14ac:dyDescent="0.35">
      <c r="A4" s="11" t="s">
        <v>1039</v>
      </c>
      <c r="B4" s="12">
        <f t="shared" ref="B4:B29" si="2">B3</f>
        <v>46104</v>
      </c>
      <c r="C4" s="12">
        <f t="shared" ref="C4:C29" si="3">C3</f>
        <v>46113</v>
      </c>
      <c r="D4" s="11">
        <v>3259</v>
      </c>
      <c r="E4" s="11">
        <v>333</v>
      </c>
      <c r="F4" s="11">
        <v>3</v>
      </c>
      <c r="G4" s="73">
        <v>16</v>
      </c>
      <c r="H4" s="73"/>
      <c r="I4" s="11" t="s">
        <v>17</v>
      </c>
      <c r="J4" s="73">
        <v>53686949</v>
      </c>
      <c r="K4" s="73" t="s">
        <v>810</v>
      </c>
      <c r="L4" s="73" t="s">
        <v>813</v>
      </c>
      <c r="M4" s="78">
        <v>229900</v>
      </c>
      <c r="N4" s="31">
        <v>0.75</v>
      </c>
      <c r="O4" s="32">
        <f t="shared" si="1"/>
        <v>57475</v>
      </c>
      <c r="P4" s="28" t="s">
        <v>16</v>
      </c>
    </row>
    <row r="5" spans="1:16" x14ac:dyDescent="0.35">
      <c r="A5" s="11" t="s">
        <v>1039</v>
      </c>
      <c r="B5" s="12">
        <f t="shared" si="2"/>
        <v>46104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73">
        <v>16</v>
      </c>
      <c r="H5" s="73"/>
      <c r="I5" s="11" t="s">
        <v>17</v>
      </c>
      <c r="J5" s="73">
        <v>53686958</v>
      </c>
      <c r="K5" s="73" t="s">
        <v>810</v>
      </c>
      <c r="L5" s="73" t="s">
        <v>814</v>
      </c>
      <c r="M5" s="78">
        <v>229900</v>
      </c>
      <c r="N5" s="31">
        <v>0.75</v>
      </c>
      <c r="O5" s="32">
        <f t="shared" si="1"/>
        <v>57475</v>
      </c>
      <c r="P5" s="28" t="s">
        <v>16</v>
      </c>
    </row>
    <row r="6" spans="1:16" x14ac:dyDescent="0.35">
      <c r="A6" s="11" t="s">
        <v>1039</v>
      </c>
      <c r="B6" s="12">
        <f t="shared" si="2"/>
        <v>46104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73">
        <v>16</v>
      </c>
      <c r="H6" s="73"/>
      <c r="I6" s="11" t="s">
        <v>17</v>
      </c>
      <c r="J6" s="73">
        <v>53686967</v>
      </c>
      <c r="K6" s="73" t="s">
        <v>810</v>
      </c>
      <c r="L6" s="73" t="s">
        <v>815</v>
      </c>
      <c r="M6" s="78">
        <v>229900</v>
      </c>
      <c r="N6" s="31">
        <v>0.75</v>
      </c>
      <c r="O6" s="32">
        <f t="shared" si="1"/>
        <v>57475</v>
      </c>
      <c r="P6" s="28" t="s">
        <v>16</v>
      </c>
    </row>
    <row r="7" spans="1:16" x14ac:dyDescent="0.35">
      <c r="A7" s="11" t="s">
        <v>1039</v>
      </c>
      <c r="B7" s="12">
        <f t="shared" si="2"/>
        <v>46104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73">
        <v>16</v>
      </c>
      <c r="H7" s="73"/>
      <c r="I7" s="11" t="s">
        <v>17</v>
      </c>
      <c r="J7" s="73">
        <v>53686976</v>
      </c>
      <c r="K7" s="73" t="s">
        <v>810</v>
      </c>
      <c r="L7" s="73" t="s">
        <v>816</v>
      </c>
      <c r="M7" s="78">
        <v>229900</v>
      </c>
      <c r="N7" s="31">
        <v>0.75</v>
      </c>
      <c r="O7" s="32">
        <f t="shared" si="1"/>
        <v>57475</v>
      </c>
      <c r="P7" s="28" t="s">
        <v>16</v>
      </c>
    </row>
    <row r="8" spans="1:16" x14ac:dyDescent="0.35">
      <c r="A8" s="11" t="s">
        <v>1039</v>
      </c>
      <c r="B8" s="12">
        <f t="shared" si="2"/>
        <v>46104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73">
        <v>16</v>
      </c>
      <c r="H8" s="73"/>
      <c r="I8" s="11" t="s">
        <v>17</v>
      </c>
      <c r="J8" s="73">
        <v>53686985</v>
      </c>
      <c r="K8" s="73" t="s">
        <v>810</v>
      </c>
      <c r="L8" s="73" t="s">
        <v>817</v>
      </c>
      <c r="M8" s="78">
        <v>229900</v>
      </c>
      <c r="N8" s="31">
        <v>0.75</v>
      </c>
      <c r="O8" s="32">
        <f t="shared" si="1"/>
        <v>57475</v>
      </c>
      <c r="P8" s="28" t="s">
        <v>16</v>
      </c>
    </row>
    <row r="9" spans="1:16" x14ac:dyDescent="0.35">
      <c r="A9" s="11" t="s">
        <v>1039</v>
      </c>
      <c r="B9" s="12">
        <f t="shared" si="2"/>
        <v>46104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73">
        <v>16</v>
      </c>
      <c r="H9" s="73"/>
      <c r="I9" s="11" t="s">
        <v>17</v>
      </c>
      <c r="J9" s="73">
        <v>53686994</v>
      </c>
      <c r="K9" s="73" t="s">
        <v>810</v>
      </c>
      <c r="L9" s="73" t="s">
        <v>818</v>
      </c>
      <c r="M9" s="78">
        <v>229900</v>
      </c>
      <c r="N9" s="31">
        <v>0.75</v>
      </c>
      <c r="O9" s="32">
        <f t="shared" si="1"/>
        <v>57475</v>
      </c>
      <c r="P9" s="28" t="s">
        <v>16</v>
      </c>
    </row>
    <row r="10" spans="1:16" x14ac:dyDescent="0.35">
      <c r="A10" s="11" t="s">
        <v>1039</v>
      </c>
      <c r="B10" s="12">
        <f t="shared" si="2"/>
        <v>46104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73">
        <v>16</v>
      </c>
      <c r="H10" s="73"/>
      <c r="I10" s="11" t="s">
        <v>17</v>
      </c>
      <c r="J10" s="73">
        <v>53687528</v>
      </c>
      <c r="K10" s="73" t="s">
        <v>810</v>
      </c>
      <c r="L10" s="73" t="s">
        <v>819</v>
      </c>
      <c r="M10" s="78">
        <v>229900</v>
      </c>
      <c r="N10" s="31">
        <v>0.75</v>
      </c>
      <c r="O10" s="32">
        <f t="shared" si="1"/>
        <v>57475</v>
      </c>
      <c r="P10" s="28" t="s">
        <v>16</v>
      </c>
    </row>
    <row r="11" spans="1:16" x14ac:dyDescent="0.35">
      <c r="A11" s="11" t="s">
        <v>1039</v>
      </c>
      <c r="B11" s="12">
        <f t="shared" si="2"/>
        <v>46104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73">
        <v>16</v>
      </c>
      <c r="H11" s="73"/>
      <c r="I11" s="11" t="s">
        <v>17</v>
      </c>
      <c r="J11" s="73">
        <v>53687537</v>
      </c>
      <c r="K11" s="73" t="s">
        <v>810</v>
      </c>
      <c r="L11" s="73" t="s">
        <v>820</v>
      </c>
      <c r="M11" s="78">
        <v>229900</v>
      </c>
      <c r="N11" s="31">
        <v>0.75</v>
      </c>
      <c r="O11" s="32">
        <f t="shared" si="1"/>
        <v>57475</v>
      </c>
      <c r="P11" s="28" t="s">
        <v>16</v>
      </c>
    </row>
    <row r="12" spans="1:16" x14ac:dyDescent="0.35">
      <c r="A12" s="11" t="s">
        <v>1039</v>
      </c>
      <c r="B12" s="12">
        <f t="shared" si="2"/>
        <v>46104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73">
        <v>16</v>
      </c>
      <c r="H12" s="73"/>
      <c r="I12" s="11" t="s">
        <v>17</v>
      </c>
      <c r="J12" s="73">
        <v>53687546</v>
      </c>
      <c r="K12" s="73" t="s">
        <v>810</v>
      </c>
      <c r="L12" s="73" t="s">
        <v>821</v>
      </c>
      <c r="M12" s="78">
        <v>229900</v>
      </c>
      <c r="N12" s="31">
        <v>0.75</v>
      </c>
      <c r="O12" s="32">
        <f t="shared" si="1"/>
        <v>57475</v>
      </c>
      <c r="P12" s="28" t="s">
        <v>16</v>
      </c>
    </row>
    <row r="13" spans="1:16" x14ac:dyDescent="0.35">
      <c r="A13" s="11" t="s">
        <v>1039</v>
      </c>
      <c r="B13" s="12">
        <f t="shared" si="2"/>
        <v>46104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73">
        <v>16</v>
      </c>
      <c r="H13" s="73"/>
      <c r="I13" s="11" t="s">
        <v>17</v>
      </c>
      <c r="J13" s="73">
        <v>53687555</v>
      </c>
      <c r="K13" s="73" t="s">
        <v>810</v>
      </c>
      <c r="L13" s="73" t="s">
        <v>822</v>
      </c>
      <c r="M13" s="78">
        <v>229900</v>
      </c>
      <c r="N13" s="31">
        <v>0.75</v>
      </c>
      <c r="O13" s="32">
        <f t="shared" si="1"/>
        <v>57475</v>
      </c>
      <c r="P13" s="28" t="s">
        <v>16</v>
      </c>
    </row>
    <row r="14" spans="1:16" x14ac:dyDescent="0.35">
      <c r="A14" s="11" t="s">
        <v>1039</v>
      </c>
      <c r="B14" s="12">
        <f t="shared" si="2"/>
        <v>46104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73">
        <v>16</v>
      </c>
      <c r="H14" s="73"/>
      <c r="I14" s="11" t="s">
        <v>17</v>
      </c>
      <c r="J14" s="73">
        <v>53687564</v>
      </c>
      <c r="K14" s="73" t="s">
        <v>810</v>
      </c>
      <c r="L14" s="73" t="s">
        <v>823</v>
      </c>
      <c r="M14" s="78">
        <v>229900</v>
      </c>
      <c r="N14" s="31">
        <v>0.75</v>
      </c>
      <c r="O14" s="32">
        <f t="shared" si="1"/>
        <v>57475</v>
      </c>
      <c r="P14" s="28" t="s">
        <v>16</v>
      </c>
    </row>
    <row r="15" spans="1:16" x14ac:dyDescent="0.35">
      <c r="A15" s="11" t="s">
        <v>1039</v>
      </c>
      <c r="B15" s="12">
        <f t="shared" si="2"/>
        <v>46104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73">
        <v>16</v>
      </c>
      <c r="H15" s="73"/>
      <c r="I15" s="11" t="s">
        <v>17</v>
      </c>
      <c r="J15" s="73">
        <v>53687573</v>
      </c>
      <c r="K15" s="73" t="s">
        <v>810</v>
      </c>
      <c r="L15" s="73" t="s">
        <v>824</v>
      </c>
      <c r="M15" s="78">
        <v>229900</v>
      </c>
      <c r="N15" s="31">
        <v>0.75</v>
      </c>
      <c r="O15" s="32">
        <f t="shared" si="1"/>
        <v>57475</v>
      </c>
      <c r="P15" s="28" t="s">
        <v>16</v>
      </c>
    </row>
    <row r="16" spans="1:16" x14ac:dyDescent="0.35">
      <c r="A16" s="11" t="s">
        <v>1039</v>
      </c>
      <c r="B16" s="12">
        <f t="shared" si="2"/>
        <v>46104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73">
        <v>16</v>
      </c>
      <c r="H16" s="73"/>
      <c r="I16" s="11" t="s">
        <v>17</v>
      </c>
      <c r="J16" s="73">
        <v>53687582</v>
      </c>
      <c r="K16" s="73" t="s">
        <v>810</v>
      </c>
      <c r="L16" s="73" t="s">
        <v>825</v>
      </c>
      <c r="M16" s="78">
        <v>229900</v>
      </c>
      <c r="N16" s="31">
        <v>0.75</v>
      </c>
      <c r="O16" s="32">
        <f t="shared" si="1"/>
        <v>57475</v>
      </c>
      <c r="P16" s="28" t="s">
        <v>16</v>
      </c>
    </row>
    <row r="17" spans="1:16" x14ac:dyDescent="0.35">
      <c r="A17" s="11" t="s">
        <v>1039</v>
      </c>
      <c r="B17" s="12">
        <f t="shared" si="2"/>
        <v>46104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73">
        <v>16</v>
      </c>
      <c r="H17" s="73"/>
      <c r="I17" s="11" t="s">
        <v>17</v>
      </c>
      <c r="J17" s="73">
        <v>53687591</v>
      </c>
      <c r="K17" s="73" t="s">
        <v>810</v>
      </c>
      <c r="L17" s="73" t="s">
        <v>826</v>
      </c>
      <c r="M17" s="78">
        <v>229900</v>
      </c>
      <c r="N17" s="31">
        <v>0.75</v>
      </c>
      <c r="O17" s="32">
        <f t="shared" si="1"/>
        <v>57475</v>
      </c>
      <c r="P17" s="28" t="s">
        <v>16</v>
      </c>
    </row>
    <row r="18" spans="1:16" x14ac:dyDescent="0.35">
      <c r="A18" s="11" t="s">
        <v>1039</v>
      </c>
      <c r="B18" s="12">
        <f t="shared" si="2"/>
        <v>46104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73">
        <v>16</v>
      </c>
      <c r="H18" s="73"/>
      <c r="I18" s="11" t="s">
        <v>17</v>
      </c>
      <c r="J18" s="73">
        <v>53687608</v>
      </c>
      <c r="K18" s="73" t="s">
        <v>810</v>
      </c>
      <c r="L18" s="73" t="s">
        <v>827</v>
      </c>
      <c r="M18" s="78">
        <v>229900</v>
      </c>
      <c r="N18" s="31">
        <v>0.75</v>
      </c>
      <c r="O18" s="32">
        <f t="shared" si="1"/>
        <v>57475</v>
      </c>
      <c r="P18" s="28" t="s">
        <v>16</v>
      </c>
    </row>
    <row r="19" spans="1:16" x14ac:dyDescent="0.35">
      <c r="A19" s="11" t="s">
        <v>1039</v>
      </c>
      <c r="B19" s="12">
        <f t="shared" si="2"/>
        <v>46104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73">
        <v>16</v>
      </c>
      <c r="H19" s="73"/>
      <c r="I19" s="11" t="s">
        <v>17</v>
      </c>
      <c r="J19" s="73">
        <v>53687617</v>
      </c>
      <c r="K19" s="73" t="s">
        <v>810</v>
      </c>
      <c r="L19" s="73" t="s">
        <v>828</v>
      </c>
      <c r="M19" s="78">
        <v>229900</v>
      </c>
      <c r="N19" s="31">
        <v>0.75</v>
      </c>
      <c r="O19" s="32">
        <f t="shared" si="1"/>
        <v>57475</v>
      </c>
      <c r="P19" s="28" t="s">
        <v>16</v>
      </c>
    </row>
    <row r="20" spans="1:16" x14ac:dyDescent="0.35">
      <c r="A20" s="11" t="s">
        <v>1039</v>
      </c>
      <c r="B20" s="12">
        <f t="shared" si="2"/>
        <v>46104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73">
        <v>16</v>
      </c>
      <c r="H20" s="73"/>
      <c r="I20" s="11" t="s">
        <v>17</v>
      </c>
      <c r="J20" s="73">
        <v>53687626</v>
      </c>
      <c r="K20" s="73" t="s">
        <v>810</v>
      </c>
      <c r="L20" s="73" t="s">
        <v>829</v>
      </c>
      <c r="M20" s="78">
        <v>229900</v>
      </c>
      <c r="N20" s="31">
        <v>0.75</v>
      </c>
      <c r="O20" s="32">
        <f t="shared" si="1"/>
        <v>57475</v>
      </c>
      <c r="P20" s="28" t="s">
        <v>16</v>
      </c>
    </row>
    <row r="21" spans="1:16" x14ac:dyDescent="0.35">
      <c r="A21" s="11" t="s">
        <v>1039</v>
      </c>
      <c r="B21" s="12">
        <f t="shared" si="2"/>
        <v>46104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73">
        <v>16</v>
      </c>
      <c r="H21" s="73"/>
      <c r="I21" s="11" t="s">
        <v>17</v>
      </c>
      <c r="J21" s="73">
        <v>53687635</v>
      </c>
      <c r="K21" s="73" t="s">
        <v>810</v>
      </c>
      <c r="L21" s="73" t="s">
        <v>830</v>
      </c>
      <c r="M21" s="78">
        <v>229900</v>
      </c>
      <c r="N21" s="31">
        <v>0.75</v>
      </c>
      <c r="O21" s="32">
        <f t="shared" ref="O21:O29" si="4">M21-(M21*N21)</f>
        <v>57475</v>
      </c>
      <c r="P21" s="28" t="s">
        <v>16</v>
      </c>
    </row>
    <row r="22" spans="1:16" x14ac:dyDescent="0.35">
      <c r="A22" s="11" t="s">
        <v>1039</v>
      </c>
      <c r="B22" s="12">
        <f t="shared" si="2"/>
        <v>46104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73">
        <v>16</v>
      </c>
      <c r="H22" s="73"/>
      <c r="I22" s="11" t="s">
        <v>17</v>
      </c>
      <c r="J22" s="73">
        <v>53687644</v>
      </c>
      <c r="K22" s="73" t="s">
        <v>810</v>
      </c>
      <c r="L22" s="73" t="s">
        <v>831</v>
      </c>
      <c r="M22" s="78">
        <v>229900</v>
      </c>
      <c r="N22" s="31">
        <v>0.75</v>
      </c>
      <c r="O22" s="32">
        <f t="shared" si="4"/>
        <v>57475</v>
      </c>
      <c r="P22" s="28" t="s">
        <v>16</v>
      </c>
    </row>
    <row r="23" spans="1:16" x14ac:dyDescent="0.35">
      <c r="A23" s="11" t="s">
        <v>1039</v>
      </c>
      <c r="B23" s="12">
        <f t="shared" si="2"/>
        <v>46104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73">
        <v>16</v>
      </c>
      <c r="H23" s="73"/>
      <c r="I23" s="11" t="s">
        <v>17</v>
      </c>
      <c r="J23" s="73">
        <v>53687653</v>
      </c>
      <c r="K23" s="73" t="s">
        <v>810</v>
      </c>
      <c r="L23" s="73" t="s">
        <v>832</v>
      </c>
      <c r="M23" s="78">
        <v>229900</v>
      </c>
      <c r="N23" s="31">
        <v>0.75</v>
      </c>
      <c r="O23" s="32">
        <f t="shared" si="4"/>
        <v>57475</v>
      </c>
      <c r="P23" s="28" t="s">
        <v>16</v>
      </c>
    </row>
    <row r="24" spans="1:16" x14ac:dyDescent="0.35">
      <c r="A24" s="11" t="s">
        <v>1039</v>
      </c>
      <c r="B24" s="12">
        <f t="shared" si="2"/>
        <v>46104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73">
        <v>16</v>
      </c>
      <c r="H24" s="73"/>
      <c r="I24" s="11" t="s">
        <v>17</v>
      </c>
      <c r="J24" s="73">
        <v>53687662</v>
      </c>
      <c r="K24" s="73" t="s">
        <v>810</v>
      </c>
      <c r="L24" s="73" t="s">
        <v>833</v>
      </c>
      <c r="M24" s="78">
        <v>229900</v>
      </c>
      <c r="N24" s="31">
        <v>0.75</v>
      </c>
      <c r="O24" s="32">
        <f t="shared" si="4"/>
        <v>57475</v>
      </c>
      <c r="P24" s="28" t="s">
        <v>16</v>
      </c>
    </row>
    <row r="25" spans="1:16" x14ac:dyDescent="0.35">
      <c r="A25" s="11" t="s">
        <v>1039</v>
      </c>
      <c r="B25" s="12">
        <f t="shared" si="2"/>
        <v>46104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73">
        <v>16</v>
      </c>
      <c r="H25" s="73"/>
      <c r="I25" s="11" t="s">
        <v>17</v>
      </c>
      <c r="J25" s="73">
        <v>53687671</v>
      </c>
      <c r="K25" s="73" t="s">
        <v>810</v>
      </c>
      <c r="L25" s="73" t="s">
        <v>834</v>
      </c>
      <c r="M25" s="78">
        <v>229900</v>
      </c>
      <c r="N25" s="31">
        <v>0.75</v>
      </c>
      <c r="O25" s="32">
        <f t="shared" si="4"/>
        <v>57475</v>
      </c>
      <c r="P25" s="28" t="s">
        <v>16</v>
      </c>
    </row>
    <row r="26" spans="1:16" x14ac:dyDescent="0.35">
      <c r="A26" s="11" t="s">
        <v>1039</v>
      </c>
      <c r="B26" s="12">
        <f t="shared" si="2"/>
        <v>46104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73">
        <v>16</v>
      </c>
      <c r="H26" s="73"/>
      <c r="I26" s="11" t="s">
        <v>17</v>
      </c>
      <c r="J26" s="79">
        <v>53687706</v>
      </c>
      <c r="K26" s="79" t="s">
        <v>674</v>
      </c>
      <c r="L26" s="79" t="s">
        <v>795</v>
      </c>
      <c r="M26" s="77">
        <v>149900</v>
      </c>
      <c r="N26" s="31">
        <v>0.75</v>
      </c>
      <c r="O26" s="32">
        <f t="shared" si="4"/>
        <v>37475</v>
      </c>
      <c r="P26" s="28" t="s">
        <v>16</v>
      </c>
    </row>
    <row r="27" spans="1:16" x14ac:dyDescent="0.35">
      <c r="A27" s="11" t="s">
        <v>1039</v>
      </c>
      <c r="B27" s="12">
        <f t="shared" si="2"/>
        <v>46104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73">
        <v>16</v>
      </c>
      <c r="H27" s="73"/>
      <c r="I27" s="11" t="s">
        <v>17</v>
      </c>
      <c r="J27" s="79">
        <v>53687699</v>
      </c>
      <c r="K27" s="79" t="s">
        <v>674</v>
      </c>
      <c r="L27" s="79" t="s">
        <v>794</v>
      </c>
      <c r="M27" s="77">
        <v>149900</v>
      </c>
      <c r="N27" s="31">
        <v>0.75</v>
      </c>
      <c r="O27" s="32">
        <f t="shared" si="4"/>
        <v>37475</v>
      </c>
      <c r="P27" s="28" t="s">
        <v>16</v>
      </c>
    </row>
    <row r="28" spans="1:16" x14ac:dyDescent="0.35">
      <c r="A28" s="11" t="s">
        <v>1039</v>
      </c>
      <c r="B28" s="12">
        <f t="shared" si="2"/>
        <v>46104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73">
        <v>16</v>
      </c>
      <c r="H28" s="73"/>
      <c r="I28" s="11" t="s">
        <v>17</v>
      </c>
      <c r="J28" s="79">
        <v>53687680</v>
      </c>
      <c r="K28" s="79" t="s">
        <v>674</v>
      </c>
      <c r="L28" s="79" t="s">
        <v>793</v>
      </c>
      <c r="M28" s="77">
        <v>149900</v>
      </c>
      <c r="N28" s="31">
        <v>0.75</v>
      </c>
      <c r="O28" s="32">
        <f t="shared" si="4"/>
        <v>37475</v>
      </c>
      <c r="P28" s="28" t="s">
        <v>16</v>
      </c>
    </row>
    <row r="29" spans="1:16" x14ac:dyDescent="0.35">
      <c r="A29" s="11" t="s">
        <v>1039</v>
      </c>
      <c r="B29" s="12">
        <f t="shared" si="2"/>
        <v>46104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73">
        <v>16</v>
      </c>
      <c r="H29" s="73"/>
      <c r="I29" s="11" t="s">
        <v>17</v>
      </c>
      <c r="J29" s="79">
        <v>53687715</v>
      </c>
      <c r="K29" s="79" t="s">
        <v>674</v>
      </c>
      <c r="L29" s="79" t="s">
        <v>796</v>
      </c>
      <c r="M29" s="77">
        <v>149900</v>
      </c>
      <c r="N29" s="31">
        <v>0.75</v>
      </c>
      <c r="O29" s="32">
        <f t="shared" si="4"/>
        <v>37475</v>
      </c>
      <c r="P29" s="28" t="s">
        <v>16</v>
      </c>
    </row>
  </sheetData>
  <conditionalFormatting sqref="J1">
    <cfRule type="duplicateValues" dxfId="575" priority="50"/>
    <cfRule type="duplicateValues" dxfId="574" priority="51"/>
  </conditionalFormatting>
  <conditionalFormatting sqref="J1:J25">
    <cfRule type="duplicateValues" dxfId="573" priority="566"/>
    <cfRule type="duplicateValues" dxfId="572" priority="567"/>
    <cfRule type="duplicateValues" dxfId="571" priority="568"/>
    <cfRule type="duplicateValues" dxfId="570" priority="569"/>
    <cfRule type="duplicateValues" dxfId="569" priority="807"/>
    <cfRule type="duplicateValues" dxfId="568" priority="808"/>
    <cfRule type="duplicateValues" dxfId="567" priority="870"/>
    <cfRule type="duplicateValues" dxfId="566" priority="871"/>
    <cfRule type="duplicateValues" dxfId="565" priority="938"/>
    <cfRule type="duplicateValues" dxfId="564" priority="7000"/>
  </conditionalFormatting>
  <conditionalFormatting sqref="J1:J29">
    <cfRule type="duplicateValues" dxfId="563" priority="7001"/>
  </conditionalFormatting>
  <conditionalFormatting sqref="J26:J29">
    <cfRule type="duplicateValues" dxfId="562" priority="8"/>
    <cfRule type="duplicateValues" dxfId="561" priority="9"/>
    <cfRule type="duplicateValues" dxfId="560" priority="10"/>
    <cfRule type="duplicateValues" dxfId="559" priority="11"/>
    <cfRule type="duplicateValues" dxfId="558" priority="12"/>
    <cfRule type="duplicateValues" dxfId="557" priority="13"/>
    <cfRule type="duplicateValues" dxfId="556" priority="14"/>
    <cfRule type="duplicateValues" dxfId="555" priority="15"/>
    <cfRule type="duplicateValues" dxfId="554" priority="16"/>
    <cfRule type="duplicateValues" dxfId="553" priority="17"/>
    <cfRule type="duplicateValues" dxfId="552" priority="18"/>
    <cfRule type="duplicateValues" dxfId="551" priority="19"/>
    <cfRule type="duplicateValues" dxfId="550" priority="20"/>
    <cfRule type="duplicateValues" dxfId="549" priority="21"/>
    <cfRule type="duplicateValues" dxfId="548" priority="22"/>
    <cfRule type="duplicateValues" dxfId="547" priority="23"/>
    <cfRule type="duplicateValues" dxfId="546" priority="24"/>
    <cfRule type="duplicateValues" dxfId="545" priority="25"/>
    <cfRule type="duplicateValues" dxfId="544" priority="26"/>
    <cfRule type="duplicateValues" dxfId="543" priority="27"/>
  </conditionalFormatting>
  <conditionalFormatting sqref="L1">
    <cfRule type="duplicateValues" dxfId="542" priority="48"/>
    <cfRule type="duplicateValues" dxfId="541" priority="49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P17"/>
  <sheetViews>
    <sheetView zoomScale="55" zoomScaleNormal="55" workbookViewId="0">
      <selection activeCell="B2" sqref="B2:C3"/>
    </sheetView>
  </sheetViews>
  <sheetFormatPr defaultColWidth="8.7265625" defaultRowHeight="14.5" x14ac:dyDescent="0.35"/>
  <cols>
    <col min="1" max="1" width="27.7265625" style="23" bestFit="1" customWidth="1"/>
    <col min="2" max="2" width="10.453125" style="23" bestFit="1" customWidth="1"/>
    <col min="3" max="3" width="10.1796875" style="23" bestFit="1" customWidth="1"/>
    <col min="4" max="9" width="8.7265625" style="23"/>
    <col min="10" max="10" width="8.81640625" style="23" bestFit="1" customWidth="1"/>
    <col min="11" max="11" width="9.453125" style="23" bestFit="1" customWidth="1"/>
    <col min="12" max="12" width="79.54296875" style="23" bestFit="1" customWidth="1"/>
    <col min="13" max="13" width="14.453125" style="23" bestFit="1" customWidth="1"/>
    <col min="14" max="14" width="8.7265625" style="23"/>
    <col min="15" max="15" width="13.453125" style="23" bestFit="1" customWidth="1"/>
    <col min="16" max="16" width="14.26953125" style="23" bestFit="1" customWidth="1"/>
    <col min="17" max="16384" width="8.7265625" style="23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1040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73">
        <v>7</v>
      </c>
      <c r="H2" s="73"/>
      <c r="I2" s="11" t="s">
        <v>17</v>
      </c>
      <c r="J2" s="73">
        <v>53687000</v>
      </c>
      <c r="K2" s="73" t="s">
        <v>797</v>
      </c>
      <c r="L2" s="73" t="s">
        <v>798</v>
      </c>
      <c r="M2" s="78">
        <v>279900</v>
      </c>
      <c r="N2" s="31">
        <v>0.75</v>
      </c>
      <c r="O2" s="32">
        <f>M2-(M2*N2)</f>
        <v>69975</v>
      </c>
      <c r="P2" s="28" t="s">
        <v>16</v>
      </c>
    </row>
    <row r="3" spans="1:16" x14ac:dyDescent="0.35">
      <c r="A3" s="11" t="s">
        <v>1040</v>
      </c>
      <c r="B3" s="12">
        <f>B2</f>
        <v>46104</v>
      </c>
      <c r="C3" s="12">
        <f t="shared" ref="C3" si="0">C2</f>
        <v>46113</v>
      </c>
      <c r="D3" s="11">
        <v>3259</v>
      </c>
      <c r="E3" s="11">
        <v>333</v>
      </c>
      <c r="F3" s="11">
        <v>3</v>
      </c>
      <c r="G3" s="73">
        <v>7</v>
      </c>
      <c r="H3" s="73"/>
      <c r="I3" s="11" t="s">
        <v>17</v>
      </c>
      <c r="J3" s="73">
        <v>53687019</v>
      </c>
      <c r="K3" s="73" t="s">
        <v>797</v>
      </c>
      <c r="L3" s="73" t="s">
        <v>799</v>
      </c>
      <c r="M3" s="78">
        <v>279900</v>
      </c>
      <c r="N3" s="31">
        <v>0.75</v>
      </c>
      <c r="O3" s="32">
        <f t="shared" ref="O3:O11" si="1">M3-(M3*N3)</f>
        <v>69975</v>
      </c>
      <c r="P3" s="28" t="s">
        <v>16</v>
      </c>
    </row>
    <row r="4" spans="1:16" x14ac:dyDescent="0.35">
      <c r="A4" s="11" t="s">
        <v>1040</v>
      </c>
      <c r="B4" s="12">
        <f t="shared" ref="B4:C4" si="2">B3</f>
        <v>46104</v>
      </c>
      <c r="C4" s="12">
        <f t="shared" si="2"/>
        <v>46113</v>
      </c>
      <c r="D4" s="11">
        <v>3259</v>
      </c>
      <c r="E4" s="11">
        <v>333</v>
      </c>
      <c r="F4" s="11">
        <v>3</v>
      </c>
      <c r="G4" s="73">
        <v>7</v>
      </c>
      <c r="H4" s="73"/>
      <c r="I4" s="11" t="s">
        <v>17</v>
      </c>
      <c r="J4" s="73">
        <v>53687028</v>
      </c>
      <c r="K4" s="73" t="s">
        <v>797</v>
      </c>
      <c r="L4" s="73" t="s">
        <v>800</v>
      </c>
      <c r="M4" s="78">
        <v>279900</v>
      </c>
      <c r="N4" s="31">
        <v>0.75</v>
      </c>
      <c r="O4" s="32">
        <f t="shared" si="1"/>
        <v>69975</v>
      </c>
      <c r="P4" s="28" t="s">
        <v>16</v>
      </c>
    </row>
    <row r="5" spans="1:16" x14ac:dyDescent="0.35">
      <c r="A5" s="11" t="s">
        <v>1040</v>
      </c>
      <c r="B5" s="12">
        <f t="shared" ref="B5:C5" si="3">B4</f>
        <v>46104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73">
        <v>7</v>
      </c>
      <c r="H5" s="73"/>
      <c r="I5" s="11" t="s">
        <v>17</v>
      </c>
      <c r="J5" s="73">
        <v>53687037</v>
      </c>
      <c r="K5" s="73" t="s">
        <v>797</v>
      </c>
      <c r="L5" s="73" t="s">
        <v>801</v>
      </c>
      <c r="M5" s="78">
        <v>279900</v>
      </c>
      <c r="N5" s="31">
        <v>0.75</v>
      </c>
      <c r="O5" s="32">
        <f t="shared" si="1"/>
        <v>69975</v>
      </c>
      <c r="P5" s="28" t="s">
        <v>16</v>
      </c>
    </row>
    <row r="6" spans="1:16" x14ac:dyDescent="0.35">
      <c r="A6" s="11" t="s">
        <v>1040</v>
      </c>
      <c r="B6" s="12">
        <f t="shared" ref="B6:C6" si="4">B5</f>
        <v>46104</v>
      </c>
      <c r="C6" s="12">
        <f t="shared" si="4"/>
        <v>46113</v>
      </c>
      <c r="D6" s="11">
        <v>3259</v>
      </c>
      <c r="E6" s="11">
        <v>333</v>
      </c>
      <c r="F6" s="11">
        <v>3</v>
      </c>
      <c r="G6" s="73">
        <v>7</v>
      </c>
      <c r="H6" s="73"/>
      <c r="I6" s="11" t="s">
        <v>17</v>
      </c>
      <c r="J6" s="73">
        <v>53687126</v>
      </c>
      <c r="K6" s="73" t="s">
        <v>797</v>
      </c>
      <c r="L6" s="73" t="s">
        <v>802</v>
      </c>
      <c r="M6" s="78">
        <v>279900</v>
      </c>
      <c r="N6" s="31">
        <v>0.75</v>
      </c>
      <c r="O6" s="32">
        <f t="shared" si="1"/>
        <v>69975</v>
      </c>
      <c r="P6" s="28" t="s">
        <v>16</v>
      </c>
    </row>
    <row r="7" spans="1:16" x14ac:dyDescent="0.35">
      <c r="A7" s="11" t="s">
        <v>1040</v>
      </c>
      <c r="B7" s="12">
        <f t="shared" ref="B7:C7" si="5">B6</f>
        <v>46104</v>
      </c>
      <c r="C7" s="12">
        <f t="shared" si="5"/>
        <v>46113</v>
      </c>
      <c r="D7" s="11">
        <v>3259</v>
      </c>
      <c r="E7" s="11">
        <v>333</v>
      </c>
      <c r="F7" s="11">
        <v>3</v>
      </c>
      <c r="G7" s="73">
        <v>7</v>
      </c>
      <c r="H7" s="73"/>
      <c r="I7" s="11" t="s">
        <v>17</v>
      </c>
      <c r="J7" s="73">
        <v>53687135</v>
      </c>
      <c r="K7" s="73" t="s">
        <v>797</v>
      </c>
      <c r="L7" s="73" t="s">
        <v>803</v>
      </c>
      <c r="M7" s="78">
        <v>279900</v>
      </c>
      <c r="N7" s="31">
        <v>0.75</v>
      </c>
      <c r="O7" s="32">
        <f t="shared" si="1"/>
        <v>69975</v>
      </c>
      <c r="P7" s="28" t="s">
        <v>16</v>
      </c>
    </row>
    <row r="8" spans="1:16" x14ac:dyDescent="0.35">
      <c r="A8" s="11" t="s">
        <v>1040</v>
      </c>
      <c r="B8" s="12">
        <f t="shared" ref="B8:C8" si="6">B7</f>
        <v>46104</v>
      </c>
      <c r="C8" s="12">
        <f t="shared" si="6"/>
        <v>46113</v>
      </c>
      <c r="D8" s="11">
        <v>3259</v>
      </c>
      <c r="E8" s="11">
        <v>333</v>
      </c>
      <c r="F8" s="11">
        <v>3</v>
      </c>
      <c r="G8" s="73">
        <v>7</v>
      </c>
      <c r="H8" s="73"/>
      <c r="I8" s="11" t="s">
        <v>17</v>
      </c>
      <c r="J8" s="73">
        <v>53687144</v>
      </c>
      <c r="K8" s="73" t="s">
        <v>797</v>
      </c>
      <c r="L8" s="73" t="s">
        <v>804</v>
      </c>
      <c r="M8" s="78">
        <v>279900</v>
      </c>
      <c r="N8" s="31">
        <v>0.75</v>
      </c>
      <c r="O8" s="32">
        <f t="shared" si="1"/>
        <v>69975</v>
      </c>
      <c r="P8" s="28" t="s">
        <v>16</v>
      </c>
    </row>
    <row r="9" spans="1:16" x14ac:dyDescent="0.35">
      <c r="A9" s="11" t="s">
        <v>1040</v>
      </c>
      <c r="B9" s="12">
        <f t="shared" ref="B9:C9" si="7">B8</f>
        <v>46104</v>
      </c>
      <c r="C9" s="12">
        <f t="shared" si="7"/>
        <v>46113</v>
      </c>
      <c r="D9" s="11">
        <v>3259</v>
      </c>
      <c r="E9" s="11">
        <v>333</v>
      </c>
      <c r="F9" s="11">
        <v>3</v>
      </c>
      <c r="G9" s="73">
        <v>7</v>
      </c>
      <c r="H9" s="73"/>
      <c r="I9" s="11" t="s">
        <v>17</v>
      </c>
      <c r="J9" s="73">
        <v>53687153</v>
      </c>
      <c r="K9" s="73" t="s">
        <v>797</v>
      </c>
      <c r="L9" s="73" t="s">
        <v>805</v>
      </c>
      <c r="M9" s="78">
        <v>279900</v>
      </c>
      <c r="N9" s="31">
        <v>0.75</v>
      </c>
      <c r="O9" s="32">
        <f t="shared" si="1"/>
        <v>69975</v>
      </c>
      <c r="P9" s="28" t="s">
        <v>16</v>
      </c>
    </row>
    <row r="10" spans="1:16" x14ac:dyDescent="0.35">
      <c r="A10" s="11" t="s">
        <v>1040</v>
      </c>
      <c r="B10" s="12">
        <f t="shared" ref="B10:C10" si="8">B9</f>
        <v>46104</v>
      </c>
      <c r="C10" s="12">
        <f t="shared" si="8"/>
        <v>46113</v>
      </c>
      <c r="D10" s="11">
        <v>3259</v>
      </c>
      <c r="E10" s="11">
        <v>333</v>
      </c>
      <c r="F10" s="11">
        <v>3</v>
      </c>
      <c r="G10" s="73">
        <v>7</v>
      </c>
      <c r="H10" s="73"/>
      <c r="I10" s="11" t="s">
        <v>17</v>
      </c>
      <c r="J10" s="73">
        <v>53687162</v>
      </c>
      <c r="K10" s="73" t="s">
        <v>797</v>
      </c>
      <c r="L10" s="73" t="s">
        <v>806</v>
      </c>
      <c r="M10" s="78">
        <v>279900</v>
      </c>
      <c r="N10" s="31">
        <v>0.75</v>
      </c>
      <c r="O10" s="32">
        <f t="shared" si="1"/>
        <v>69975</v>
      </c>
      <c r="P10" s="28" t="s">
        <v>16</v>
      </c>
    </row>
    <row r="11" spans="1:16" x14ac:dyDescent="0.35">
      <c r="A11" s="11" t="s">
        <v>1040</v>
      </c>
      <c r="B11" s="12">
        <f t="shared" ref="B11:C11" si="9">B10</f>
        <v>46104</v>
      </c>
      <c r="C11" s="12">
        <f t="shared" si="9"/>
        <v>46113</v>
      </c>
      <c r="D11" s="11">
        <v>3259</v>
      </c>
      <c r="E11" s="11">
        <v>333</v>
      </c>
      <c r="F11" s="11">
        <v>3</v>
      </c>
      <c r="G11" s="73">
        <v>7</v>
      </c>
      <c r="H11" s="73"/>
      <c r="I11" s="11" t="s">
        <v>17</v>
      </c>
      <c r="J11" s="73">
        <v>53687171</v>
      </c>
      <c r="K11" s="73" t="s">
        <v>797</v>
      </c>
      <c r="L11" s="73" t="s">
        <v>807</v>
      </c>
      <c r="M11" s="78">
        <v>279900</v>
      </c>
      <c r="N11" s="31">
        <v>0.75</v>
      </c>
      <c r="O11" s="32">
        <f t="shared" si="1"/>
        <v>69975</v>
      </c>
      <c r="P11" s="28" t="s">
        <v>16</v>
      </c>
    </row>
    <row r="12" spans="1:16" x14ac:dyDescent="0.35">
      <c r="A12" s="11" t="s">
        <v>1040</v>
      </c>
      <c r="B12" s="12">
        <f t="shared" ref="B12:C12" si="10">B11</f>
        <v>46104</v>
      </c>
      <c r="C12" s="12">
        <f t="shared" si="10"/>
        <v>46113</v>
      </c>
      <c r="D12" s="11">
        <v>3259</v>
      </c>
      <c r="E12" s="11">
        <v>333</v>
      </c>
      <c r="F12" s="11">
        <v>3</v>
      </c>
      <c r="G12" s="73">
        <v>7</v>
      </c>
      <c r="H12" s="73"/>
      <c r="I12" s="11" t="s">
        <v>17</v>
      </c>
      <c r="J12" s="73">
        <v>53687180</v>
      </c>
      <c r="K12" s="73" t="s">
        <v>797</v>
      </c>
      <c r="L12" s="73" t="s">
        <v>808</v>
      </c>
      <c r="M12" s="78">
        <v>279900</v>
      </c>
      <c r="N12" s="31">
        <v>0.75</v>
      </c>
      <c r="O12" s="32">
        <f t="shared" ref="O12:O17" si="11">M12-(M12*N12)</f>
        <v>69975</v>
      </c>
      <c r="P12" s="28" t="s">
        <v>16</v>
      </c>
    </row>
    <row r="13" spans="1:16" x14ac:dyDescent="0.35">
      <c r="A13" s="11" t="s">
        <v>1040</v>
      </c>
      <c r="B13" s="12">
        <f t="shared" ref="B13:C13" si="12">B12</f>
        <v>46104</v>
      </c>
      <c r="C13" s="12">
        <f t="shared" si="12"/>
        <v>46113</v>
      </c>
      <c r="D13" s="11">
        <v>3259</v>
      </c>
      <c r="E13" s="11">
        <v>333</v>
      </c>
      <c r="F13" s="11">
        <v>3</v>
      </c>
      <c r="G13" s="73">
        <v>7</v>
      </c>
      <c r="H13" s="73"/>
      <c r="I13" s="11" t="s">
        <v>17</v>
      </c>
      <c r="J13" s="73">
        <v>53687199</v>
      </c>
      <c r="K13" s="73" t="s">
        <v>797</v>
      </c>
      <c r="L13" s="73" t="s">
        <v>809</v>
      </c>
      <c r="M13" s="78">
        <v>279900</v>
      </c>
      <c r="N13" s="31">
        <v>0.75</v>
      </c>
      <c r="O13" s="32">
        <f t="shared" si="11"/>
        <v>69975</v>
      </c>
      <c r="P13" s="28" t="s">
        <v>16</v>
      </c>
    </row>
    <row r="14" spans="1:16" x14ac:dyDescent="0.35">
      <c r="A14" s="11" t="s">
        <v>1040</v>
      </c>
      <c r="B14" s="12">
        <f t="shared" ref="B14:C14" si="13">B13</f>
        <v>46104</v>
      </c>
      <c r="C14" s="12">
        <f t="shared" si="13"/>
        <v>46113</v>
      </c>
      <c r="D14" s="11">
        <v>3259</v>
      </c>
      <c r="E14" s="11">
        <v>333</v>
      </c>
      <c r="F14" s="11">
        <v>3</v>
      </c>
      <c r="G14" s="73">
        <v>7</v>
      </c>
      <c r="H14" s="73"/>
      <c r="I14" s="11" t="s">
        <v>17</v>
      </c>
      <c r="J14" s="79">
        <v>53687340</v>
      </c>
      <c r="K14" s="79" t="s">
        <v>230</v>
      </c>
      <c r="L14" s="79" t="s">
        <v>783</v>
      </c>
      <c r="M14" s="77">
        <v>179900</v>
      </c>
      <c r="N14" s="31">
        <v>0.75</v>
      </c>
      <c r="O14" s="32">
        <f t="shared" si="11"/>
        <v>44975</v>
      </c>
      <c r="P14" s="28" t="s">
        <v>16</v>
      </c>
    </row>
    <row r="15" spans="1:16" x14ac:dyDescent="0.35">
      <c r="A15" s="11" t="s">
        <v>1040</v>
      </c>
      <c r="B15" s="12">
        <f t="shared" ref="B15:C15" si="14">B14</f>
        <v>46104</v>
      </c>
      <c r="C15" s="12">
        <f t="shared" si="14"/>
        <v>46113</v>
      </c>
      <c r="D15" s="11">
        <v>3259</v>
      </c>
      <c r="E15" s="11">
        <v>333</v>
      </c>
      <c r="F15" s="11">
        <v>3</v>
      </c>
      <c r="G15" s="73">
        <v>7</v>
      </c>
      <c r="H15" s="73"/>
      <c r="I15" s="11" t="s">
        <v>17</v>
      </c>
      <c r="J15" s="79">
        <v>53687331</v>
      </c>
      <c r="K15" s="79" t="s">
        <v>230</v>
      </c>
      <c r="L15" s="79" t="s">
        <v>782</v>
      </c>
      <c r="M15" s="77">
        <v>179900</v>
      </c>
      <c r="N15" s="31">
        <v>0.75</v>
      </c>
      <c r="O15" s="32">
        <f t="shared" si="11"/>
        <v>44975</v>
      </c>
      <c r="P15" s="28" t="s">
        <v>16</v>
      </c>
    </row>
    <row r="16" spans="1:16" x14ac:dyDescent="0.35">
      <c r="A16" s="11" t="s">
        <v>1040</v>
      </c>
      <c r="B16" s="12">
        <f t="shared" ref="B16:C16" si="15">B15</f>
        <v>46104</v>
      </c>
      <c r="C16" s="12">
        <f t="shared" si="15"/>
        <v>46113</v>
      </c>
      <c r="D16" s="11">
        <v>3259</v>
      </c>
      <c r="E16" s="11">
        <v>333</v>
      </c>
      <c r="F16" s="11">
        <v>3</v>
      </c>
      <c r="G16" s="73">
        <v>7</v>
      </c>
      <c r="H16" s="73"/>
      <c r="I16" s="11" t="s">
        <v>17</v>
      </c>
      <c r="J16" s="79">
        <v>53687322</v>
      </c>
      <c r="K16" s="79" t="s">
        <v>230</v>
      </c>
      <c r="L16" s="79" t="s">
        <v>781</v>
      </c>
      <c r="M16" s="77">
        <v>179900</v>
      </c>
      <c r="N16" s="31">
        <v>0.75</v>
      </c>
      <c r="O16" s="32">
        <f t="shared" si="11"/>
        <v>44975</v>
      </c>
      <c r="P16" s="28" t="s">
        <v>16</v>
      </c>
    </row>
    <row r="17" spans="1:16" x14ac:dyDescent="0.35">
      <c r="A17" s="11" t="s">
        <v>1040</v>
      </c>
      <c r="B17" s="12">
        <f t="shared" ref="B17:C17" si="16">B16</f>
        <v>46104</v>
      </c>
      <c r="C17" s="12">
        <f t="shared" si="16"/>
        <v>46113</v>
      </c>
      <c r="D17" s="11">
        <v>3259</v>
      </c>
      <c r="E17" s="11">
        <v>333</v>
      </c>
      <c r="F17" s="11">
        <v>3</v>
      </c>
      <c r="G17" s="73">
        <v>7</v>
      </c>
      <c r="H17" s="73"/>
      <c r="I17" s="11" t="s">
        <v>17</v>
      </c>
      <c r="J17" s="79">
        <v>53687359</v>
      </c>
      <c r="K17" s="79" t="s">
        <v>230</v>
      </c>
      <c r="L17" s="79" t="s">
        <v>784</v>
      </c>
      <c r="M17" s="77">
        <v>179900</v>
      </c>
      <c r="N17" s="31">
        <v>0.75</v>
      </c>
      <c r="O17" s="32">
        <f t="shared" si="11"/>
        <v>44975</v>
      </c>
      <c r="P17" s="28" t="s">
        <v>16</v>
      </c>
    </row>
  </sheetData>
  <conditionalFormatting sqref="J1">
    <cfRule type="duplicateValues" dxfId="540" priority="48"/>
    <cfRule type="duplicateValues" dxfId="539" priority="49"/>
  </conditionalFormatting>
  <conditionalFormatting sqref="J1:J13">
    <cfRule type="duplicateValues" dxfId="538" priority="560"/>
    <cfRule type="duplicateValues" dxfId="537" priority="561"/>
    <cfRule type="duplicateValues" dxfId="536" priority="562"/>
    <cfRule type="duplicateValues" dxfId="535" priority="563"/>
    <cfRule type="duplicateValues" dxfId="534" priority="847"/>
    <cfRule type="duplicateValues" dxfId="533" priority="849"/>
    <cfRule type="duplicateValues" dxfId="532" priority="930"/>
    <cfRule type="duplicateValues" dxfId="531" priority="7002"/>
  </conditionalFormatting>
  <conditionalFormatting sqref="J14:J17">
    <cfRule type="duplicateValues" dxfId="530" priority="1"/>
    <cfRule type="duplicateValues" dxfId="529" priority="2"/>
    <cfRule type="duplicateValues" dxfId="528" priority="3"/>
    <cfRule type="duplicateValues" dxfId="527" priority="4"/>
    <cfRule type="duplicateValues" dxfId="526" priority="5"/>
    <cfRule type="duplicateValues" dxfId="525" priority="6"/>
    <cfRule type="duplicateValues" dxfId="524" priority="7"/>
    <cfRule type="duplicateValues" dxfId="523" priority="8"/>
    <cfRule type="duplicateValues" dxfId="522" priority="9"/>
    <cfRule type="duplicateValues" dxfId="521" priority="10"/>
    <cfRule type="duplicateValues" dxfId="520" priority="11"/>
    <cfRule type="duplicateValues" dxfId="519" priority="12"/>
    <cfRule type="duplicateValues" dxfId="518" priority="13"/>
    <cfRule type="duplicateValues" dxfId="517" priority="14"/>
    <cfRule type="duplicateValues" dxfId="516" priority="15"/>
    <cfRule type="duplicateValues" dxfId="515" priority="16"/>
    <cfRule type="duplicateValues" dxfId="514" priority="17"/>
    <cfRule type="duplicateValues" dxfId="513" priority="18"/>
    <cfRule type="duplicateValues" dxfId="512" priority="19"/>
    <cfRule type="duplicateValues" dxfId="511" priority="20"/>
  </conditionalFormatting>
  <conditionalFormatting sqref="L1">
    <cfRule type="duplicateValues" dxfId="510" priority="46"/>
    <cfRule type="duplicateValues" dxfId="509" priority="47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P26"/>
  <sheetViews>
    <sheetView tabSelected="1" zoomScale="55" workbookViewId="0">
      <selection activeCell="H36" sqref="H36"/>
    </sheetView>
  </sheetViews>
  <sheetFormatPr defaultColWidth="21.54296875" defaultRowHeight="14.5" x14ac:dyDescent="0.35"/>
  <cols>
    <col min="1" max="1" width="35.7265625" style="23" bestFit="1" customWidth="1"/>
    <col min="2" max="2" width="15.81640625" style="23" bestFit="1" customWidth="1"/>
    <col min="3" max="3" width="12.26953125" style="23" bestFit="1" customWidth="1"/>
    <col min="4" max="4" width="5.1796875" style="23" bestFit="1" customWidth="1"/>
    <col min="5" max="5" width="7.1796875" style="23" bestFit="1" customWidth="1"/>
    <col min="6" max="6" width="8.453125" style="23" bestFit="1" customWidth="1"/>
    <col min="7" max="7" width="5.7265625" style="23" bestFit="1" customWidth="1"/>
    <col min="8" max="8" width="8.54296875" style="23" bestFit="1" customWidth="1"/>
    <col min="9" max="9" width="6.7265625" style="23" customWidth="1"/>
    <col min="10" max="10" width="9.81640625" style="23" bestFit="1" customWidth="1"/>
    <col min="11" max="11" width="14.81640625" style="23" customWidth="1"/>
    <col min="12" max="12" width="98.26953125" style="23" bestFit="1" customWidth="1"/>
    <col min="13" max="13" width="14.81640625" style="55" bestFit="1" customWidth="1"/>
    <col min="14" max="14" width="7.26953125" style="23" bestFit="1" customWidth="1"/>
    <col min="15" max="15" width="14" style="23" bestFit="1" customWidth="1"/>
    <col min="16" max="16" width="21.54296875" style="23" customWidth="1"/>
    <col min="17" max="16384" width="21.54296875" style="23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2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0" t="s">
        <v>1041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11"/>
      <c r="H2" s="25"/>
      <c r="I2" s="11" t="s">
        <v>17</v>
      </c>
      <c r="J2" s="25">
        <v>53687402</v>
      </c>
      <c r="K2" s="25" t="s">
        <v>872</v>
      </c>
      <c r="L2" s="25" t="s">
        <v>874</v>
      </c>
      <c r="M2" s="62">
        <v>149900</v>
      </c>
      <c r="N2" s="81" t="s">
        <v>332</v>
      </c>
      <c r="O2" s="82">
        <v>99000</v>
      </c>
      <c r="P2" s="81" t="s">
        <v>333</v>
      </c>
    </row>
    <row r="3" spans="1:16" x14ac:dyDescent="0.35">
      <c r="A3" s="80" t="s">
        <v>1041</v>
      </c>
      <c r="B3" s="12">
        <f>B2</f>
        <v>46104</v>
      </c>
      <c r="C3" s="12">
        <f t="shared" ref="C3:C26" si="0">C2</f>
        <v>46113</v>
      </c>
      <c r="D3" s="11">
        <v>3259</v>
      </c>
      <c r="E3" s="11">
        <v>333</v>
      </c>
      <c r="F3" s="11">
        <v>3</v>
      </c>
      <c r="G3" s="11"/>
      <c r="H3" s="25"/>
      <c r="I3" s="11" t="s">
        <v>17</v>
      </c>
      <c r="J3" s="25">
        <v>53687411</v>
      </c>
      <c r="K3" s="25" t="s">
        <v>872</v>
      </c>
      <c r="L3" s="25" t="s">
        <v>875</v>
      </c>
      <c r="M3" s="62">
        <v>149900</v>
      </c>
      <c r="N3" s="81" t="s">
        <v>332</v>
      </c>
      <c r="O3" s="82">
        <v>99000</v>
      </c>
      <c r="P3" s="81" t="s">
        <v>333</v>
      </c>
    </row>
    <row r="4" spans="1:16" x14ac:dyDescent="0.35">
      <c r="A4" s="80" t="s">
        <v>1041</v>
      </c>
      <c r="B4" s="12">
        <f t="shared" ref="B4:B26" si="1">B3</f>
        <v>46104</v>
      </c>
      <c r="C4" s="12">
        <f t="shared" si="0"/>
        <v>46113</v>
      </c>
      <c r="D4" s="11">
        <v>3259</v>
      </c>
      <c r="E4" s="11">
        <v>333</v>
      </c>
      <c r="F4" s="11">
        <v>3</v>
      </c>
      <c r="G4" s="11"/>
      <c r="H4" s="25"/>
      <c r="I4" s="11" t="s">
        <v>17</v>
      </c>
      <c r="J4" s="25">
        <v>53687420</v>
      </c>
      <c r="K4" s="25" t="s">
        <v>872</v>
      </c>
      <c r="L4" s="25" t="s">
        <v>876</v>
      </c>
      <c r="M4" s="62">
        <v>149900</v>
      </c>
      <c r="N4" s="81" t="s">
        <v>332</v>
      </c>
      <c r="O4" s="82">
        <v>99000</v>
      </c>
      <c r="P4" s="81" t="s">
        <v>333</v>
      </c>
    </row>
    <row r="5" spans="1:16" x14ac:dyDescent="0.35">
      <c r="A5" s="80" t="s">
        <v>1041</v>
      </c>
      <c r="B5" s="12">
        <f t="shared" si="1"/>
        <v>46104</v>
      </c>
      <c r="C5" s="12">
        <f t="shared" si="0"/>
        <v>46113</v>
      </c>
      <c r="D5" s="11">
        <v>3259</v>
      </c>
      <c r="E5" s="11">
        <v>333</v>
      </c>
      <c r="F5" s="11">
        <v>3</v>
      </c>
      <c r="G5" s="11"/>
      <c r="H5" s="25"/>
      <c r="I5" s="11" t="s">
        <v>17</v>
      </c>
      <c r="J5" s="25">
        <v>53687439</v>
      </c>
      <c r="K5" s="25" t="s">
        <v>872</v>
      </c>
      <c r="L5" s="25" t="s">
        <v>877</v>
      </c>
      <c r="M5" s="62">
        <v>149900</v>
      </c>
      <c r="N5" s="81" t="s">
        <v>332</v>
      </c>
      <c r="O5" s="82">
        <v>99000</v>
      </c>
      <c r="P5" s="81" t="s">
        <v>333</v>
      </c>
    </row>
    <row r="6" spans="1:16" x14ac:dyDescent="0.35">
      <c r="A6" s="80" t="s">
        <v>1041</v>
      </c>
      <c r="B6" s="12">
        <f t="shared" si="1"/>
        <v>46104</v>
      </c>
      <c r="C6" s="12">
        <f t="shared" si="0"/>
        <v>46113</v>
      </c>
      <c r="D6" s="11">
        <v>3259</v>
      </c>
      <c r="E6" s="11">
        <v>333</v>
      </c>
      <c r="F6" s="11">
        <v>3</v>
      </c>
      <c r="G6" s="11"/>
      <c r="H6" s="25"/>
      <c r="I6" s="11" t="s">
        <v>17</v>
      </c>
      <c r="J6" s="25">
        <v>53687484</v>
      </c>
      <c r="K6" s="25" t="s">
        <v>872</v>
      </c>
      <c r="L6" s="25" t="s">
        <v>878</v>
      </c>
      <c r="M6" s="62">
        <v>149900</v>
      </c>
      <c r="N6" s="81" t="s">
        <v>332</v>
      </c>
      <c r="O6" s="82">
        <v>99000</v>
      </c>
      <c r="P6" s="81" t="s">
        <v>333</v>
      </c>
    </row>
    <row r="7" spans="1:16" x14ac:dyDescent="0.35">
      <c r="A7" s="80" t="s">
        <v>1041</v>
      </c>
      <c r="B7" s="12">
        <f t="shared" si="1"/>
        <v>46104</v>
      </c>
      <c r="C7" s="12">
        <f t="shared" si="0"/>
        <v>46113</v>
      </c>
      <c r="D7" s="11">
        <v>3259</v>
      </c>
      <c r="E7" s="11">
        <v>333</v>
      </c>
      <c r="F7" s="11">
        <v>3</v>
      </c>
      <c r="G7" s="11"/>
      <c r="H7" s="25"/>
      <c r="I7" s="11" t="s">
        <v>17</v>
      </c>
      <c r="J7" s="25">
        <v>53687493</v>
      </c>
      <c r="K7" s="25" t="s">
        <v>872</v>
      </c>
      <c r="L7" s="25" t="s">
        <v>879</v>
      </c>
      <c r="M7" s="62">
        <v>149900</v>
      </c>
      <c r="N7" s="81" t="s">
        <v>332</v>
      </c>
      <c r="O7" s="82">
        <v>99000</v>
      </c>
      <c r="P7" s="81" t="s">
        <v>333</v>
      </c>
    </row>
    <row r="8" spans="1:16" x14ac:dyDescent="0.35">
      <c r="A8" s="80" t="s">
        <v>1041</v>
      </c>
      <c r="B8" s="12">
        <f t="shared" si="1"/>
        <v>46104</v>
      </c>
      <c r="C8" s="12">
        <f t="shared" si="0"/>
        <v>46113</v>
      </c>
      <c r="D8" s="11">
        <v>3259</v>
      </c>
      <c r="E8" s="11">
        <v>333</v>
      </c>
      <c r="F8" s="11">
        <v>3</v>
      </c>
      <c r="G8" s="11"/>
      <c r="H8" s="25"/>
      <c r="I8" s="11" t="s">
        <v>17</v>
      </c>
      <c r="J8" s="25">
        <v>53687500</v>
      </c>
      <c r="K8" s="25" t="s">
        <v>872</v>
      </c>
      <c r="L8" s="25" t="s">
        <v>880</v>
      </c>
      <c r="M8" s="62">
        <v>149900</v>
      </c>
      <c r="N8" s="81" t="s">
        <v>332</v>
      </c>
      <c r="O8" s="82">
        <v>99000</v>
      </c>
      <c r="P8" s="81" t="s">
        <v>333</v>
      </c>
    </row>
    <row r="9" spans="1:16" x14ac:dyDescent="0.35">
      <c r="A9" s="80" t="s">
        <v>1041</v>
      </c>
      <c r="B9" s="12">
        <f t="shared" si="1"/>
        <v>46104</v>
      </c>
      <c r="C9" s="12">
        <f t="shared" si="0"/>
        <v>46113</v>
      </c>
      <c r="D9" s="11">
        <v>3259</v>
      </c>
      <c r="E9" s="11">
        <v>333</v>
      </c>
      <c r="F9" s="11">
        <v>3</v>
      </c>
      <c r="G9" s="11"/>
      <c r="H9" s="25"/>
      <c r="I9" s="11" t="s">
        <v>17</v>
      </c>
      <c r="J9" s="25">
        <v>53687519</v>
      </c>
      <c r="K9" s="25" t="s">
        <v>872</v>
      </c>
      <c r="L9" s="25" t="s">
        <v>881</v>
      </c>
      <c r="M9" s="62">
        <v>149900</v>
      </c>
      <c r="N9" s="81" t="s">
        <v>332</v>
      </c>
      <c r="O9" s="82">
        <v>99000</v>
      </c>
      <c r="P9" s="81" t="s">
        <v>333</v>
      </c>
    </row>
    <row r="10" spans="1:16" s="39" customFormat="1" x14ac:dyDescent="0.35">
      <c r="A10" s="80" t="s">
        <v>1041</v>
      </c>
      <c r="B10" s="12">
        <f t="shared" si="1"/>
        <v>46104</v>
      </c>
      <c r="C10" s="12">
        <f t="shared" si="0"/>
        <v>46113</v>
      </c>
      <c r="D10" s="11">
        <v>3259</v>
      </c>
      <c r="E10" s="11">
        <v>333</v>
      </c>
      <c r="F10" s="11">
        <v>3</v>
      </c>
      <c r="G10" s="11"/>
      <c r="H10" s="45"/>
      <c r="I10" s="11" t="s">
        <v>17</v>
      </c>
      <c r="J10" s="45">
        <v>19551685</v>
      </c>
      <c r="K10" s="45" t="s">
        <v>674</v>
      </c>
      <c r="L10" s="45" t="s">
        <v>670</v>
      </c>
      <c r="M10" s="62">
        <v>149900</v>
      </c>
      <c r="N10" s="81" t="s">
        <v>332</v>
      </c>
      <c r="O10" s="82">
        <v>99000</v>
      </c>
      <c r="P10" s="81" t="s">
        <v>333</v>
      </c>
    </row>
    <row r="11" spans="1:16" s="39" customFormat="1" x14ac:dyDescent="0.35">
      <c r="A11" s="80" t="s">
        <v>1041</v>
      </c>
      <c r="B11" s="12">
        <f t="shared" si="1"/>
        <v>46104</v>
      </c>
      <c r="C11" s="12">
        <f t="shared" si="0"/>
        <v>46113</v>
      </c>
      <c r="D11" s="11">
        <v>3259</v>
      </c>
      <c r="E11" s="11">
        <v>333</v>
      </c>
      <c r="F11" s="11">
        <v>3</v>
      </c>
      <c r="G11" s="11"/>
      <c r="H11" s="45"/>
      <c r="I11" s="11" t="s">
        <v>17</v>
      </c>
      <c r="J11" s="45">
        <v>19551694</v>
      </c>
      <c r="K11" s="45" t="s">
        <v>674</v>
      </c>
      <c r="L11" s="45" t="s">
        <v>671</v>
      </c>
      <c r="M11" s="62">
        <v>149900</v>
      </c>
      <c r="N11" s="81" t="s">
        <v>332</v>
      </c>
      <c r="O11" s="82">
        <v>99000</v>
      </c>
      <c r="P11" s="81" t="s">
        <v>333</v>
      </c>
    </row>
    <row r="12" spans="1:16" s="39" customFormat="1" x14ac:dyDescent="0.35">
      <c r="A12" s="80" t="s">
        <v>1041</v>
      </c>
      <c r="B12" s="12">
        <f t="shared" si="1"/>
        <v>46104</v>
      </c>
      <c r="C12" s="12">
        <f t="shared" si="0"/>
        <v>46113</v>
      </c>
      <c r="D12" s="11">
        <v>3259</v>
      </c>
      <c r="E12" s="11">
        <v>333</v>
      </c>
      <c r="F12" s="11">
        <v>3</v>
      </c>
      <c r="G12" s="11"/>
      <c r="H12" s="45"/>
      <c r="I12" s="11" t="s">
        <v>17</v>
      </c>
      <c r="J12" s="45">
        <v>19551701</v>
      </c>
      <c r="K12" s="45" t="s">
        <v>674</v>
      </c>
      <c r="L12" s="45" t="s">
        <v>672</v>
      </c>
      <c r="M12" s="62">
        <v>149900</v>
      </c>
      <c r="N12" s="81" t="s">
        <v>332</v>
      </c>
      <c r="O12" s="82">
        <v>99000</v>
      </c>
      <c r="P12" s="81" t="s">
        <v>333</v>
      </c>
    </row>
    <row r="13" spans="1:16" s="39" customFormat="1" x14ac:dyDescent="0.35">
      <c r="A13" s="80" t="s">
        <v>1041</v>
      </c>
      <c r="B13" s="12">
        <f t="shared" si="1"/>
        <v>46104</v>
      </c>
      <c r="C13" s="12">
        <f t="shared" si="0"/>
        <v>46113</v>
      </c>
      <c r="D13" s="11">
        <v>3259</v>
      </c>
      <c r="E13" s="11">
        <v>333</v>
      </c>
      <c r="F13" s="11">
        <v>3</v>
      </c>
      <c r="G13" s="11"/>
      <c r="H13" s="45"/>
      <c r="I13" s="11" t="s">
        <v>17</v>
      </c>
      <c r="J13" s="45">
        <v>19551710</v>
      </c>
      <c r="K13" s="45" t="s">
        <v>674</v>
      </c>
      <c r="L13" s="45" t="s">
        <v>673</v>
      </c>
      <c r="M13" s="62">
        <v>149900</v>
      </c>
      <c r="N13" s="81" t="s">
        <v>332</v>
      </c>
      <c r="O13" s="82">
        <v>99000</v>
      </c>
      <c r="P13" s="81" t="s">
        <v>333</v>
      </c>
    </row>
    <row r="14" spans="1:16" s="39" customFormat="1" x14ac:dyDescent="0.35">
      <c r="A14" s="80" t="s">
        <v>1041</v>
      </c>
      <c r="B14" s="12">
        <f t="shared" si="1"/>
        <v>46104</v>
      </c>
      <c r="C14" s="12">
        <f t="shared" si="0"/>
        <v>46113</v>
      </c>
      <c r="D14" s="11">
        <v>3259</v>
      </c>
      <c r="E14" s="11">
        <v>333</v>
      </c>
      <c r="F14" s="11">
        <v>3</v>
      </c>
      <c r="G14" s="11"/>
      <c r="H14" s="45"/>
      <c r="I14" s="11" t="s">
        <v>17</v>
      </c>
      <c r="J14" s="45">
        <v>19551729</v>
      </c>
      <c r="K14" s="45" t="s">
        <v>674</v>
      </c>
      <c r="L14" s="45" t="s">
        <v>751</v>
      </c>
      <c r="M14" s="62">
        <v>149900</v>
      </c>
      <c r="N14" s="81" t="s">
        <v>332</v>
      </c>
      <c r="O14" s="82">
        <v>99000</v>
      </c>
      <c r="P14" s="81" t="s">
        <v>333</v>
      </c>
    </row>
    <row r="15" spans="1:16" s="39" customFormat="1" x14ac:dyDescent="0.35">
      <c r="A15" s="80" t="s">
        <v>1041</v>
      </c>
      <c r="B15" s="12">
        <f t="shared" si="1"/>
        <v>46104</v>
      </c>
      <c r="C15" s="12">
        <f t="shared" si="0"/>
        <v>46113</v>
      </c>
      <c r="D15" s="11">
        <v>3259</v>
      </c>
      <c r="E15" s="11">
        <v>333</v>
      </c>
      <c r="F15" s="11">
        <v>3</v>
      </c>
      <c r="G15" s="11"/>
      <c r="H15" s="45"/>
      <c r="I15" s="11" t="s">
        <v>17</v>
      </c>
      <c r="J15" s="45">
        <v>19551738</v>
      </c>
      <c r="K15" s="45" t="s">
        <v>674</v>
      </c>
      <c r="L15" s="45" t="s">
        <v>752</v>
      </c>
      <c r="M15" s="62">
        <v>149900</v>
      </c>
      <c r="N15" s="81" t="s">
        <v>332</v>
      </c>
      <c r="O15" s="82">
        <v>99000</v>
      </c>
      <c r="P15" s="81" t="s">
        <v>333</v>
      </c>
    </row>
    <row r="16" spans="1:16" s="39" customFormat="1" x14ac:dyDescent="0.35">
      <c r="A16" s="80" t="s">
        <v>1041</v>
      </c>
      <c r="B16" s="12">
        <f t="shared" si="1"/>
        <v>46104</v>
      </c>
      <c r="C16" s="12">
        <f t="shared" si="0"/>
        <v>46113</v>
      </c>
      <c r="D16" s="11">
        <v>3259</v>
      </c>
      <c r="E16" s="11">
        <v>333</v>
      </c>
      <c r="F16" s="11">
        <v>3</v>
      </c>
      <c r="G16" s="11"/>
      <c r="H16" s="45"/>
      <c r="I16" s="11" t="s">
        <v>17</v>
      </c>
      <c r="J16" s="45">
        <v>19551747</v>
      </c>
      <c r="K16" s="45" t="s">
        <v>674</v>
      </c>
      <c r="L16" s="45" t="s">
        <v>753</v>
      </c>
      <c r="M16" s="62">
        <v>149900</v>
      </c>
      <c r="N16" s="81" t="s">
        <v>332</v>
      </c>
      <c r="O16" s="82">
        <v>99000</v>
      </c>
      <c r="P16" s="81" t="s">
        <v>333</v>
      </c>
    </row>
    <row r="17" spans="1:16" s="39" customFormat="1" x14ac:dyDescent="0.35">
      <c r="A17" s="80" t="s">
        <v>1041</v>
      </c>
      <c r="B17" s="12">
        <f t="shared" si="1"/>
        <v>46104</v>
      </c>
      <c r="C17" s="12">
        <f t="shared" si="0"/>
        <v>46113</v>
      </c>
      <c r="D17" s="11">
        <v>3259</v>
      </c>
      <c r="E17" s="11">
        <v>333</v>
      </c>
      <c r="F17" s="11">
        <v>3</v>
      </c>
      <c r="G17" s="11"/>
      <c r="H17" s="45"/>
      <c r="I17" s="11" t="s">
        <v>17</v>
      </c>
      <c r="J17" s="45">
        <v>19551756</v>
      </c>
      <c r="K17" s="45" t="s">
        <v>674</v>
      </c>
      <c r="L17" s="45" t="s">
        <v>754</v>
      </c>
      <c r="M17" s="62">
        <v>149900</v>
      </c>
      <c r="N17" s="81" t="s">
        <v>332</v>
      </c>
      <c r="O17" s="82">
        <v>99000</v>
      </c>
      <c r="P17" s="81" t="s">
        <v>333</v>
      </c>
    </row>
    <row r="18" spans="1:16" s="39" customFormat="1" x14ac:dyDescent="0.35">
      <c r="A18" s="80" t="s">
        <v>1041</v>
      </c>
      <c r="B18" s="12">
        <f t="shared" si="1"/>
        <v>46104</v>
      </c>
      <c r="C18" s="12">
        <f t="shared" si="0"/>
        <v>46113</v>
      </c>
      <c r="D18" s="11">
        <v>3259</v>
      </c>
      <c r="E18" s="11">
        <v>333</v>
      </c>
      <c r="F18" s="11">
        <v>3</v>
      </c>
      <c r="G18" s="11"/>
      <c r="H18" s="45"/>
      <c r="I18" s="11" t="s">
        <v>17</v>
      </c>
      <c r="J18" s="45">
        <v>51878987</v>
      </c>
      <c r="K18" s="45" t="s">
        <v>674</v>
      </c>
      <c r="L18" s="45" t="s">
        <v>755</v>
      </c>
      <c r="M18" s="62">
        <v>149900</v>
      </c>
      <c r="N18" s="81" t="s">
        <v>332</v>
      </c>
      <c r="O18" s="82">
        <v>99000</v>
      </c>
      <c r="P18" s="81" t="s">
        <v>333</v>
      </c>
    </row>
    <row r="19" spans="1:16" s="39" customFormat="1" x14ac:dyDescent="0.35">
      <c r="A19" s="80" t="s">
        <v>1041</v>
      </c>
      <c r="B19" s="12">
        <f t="shared" si="1"/>
        <v>46104</v>
      </c>
      <c r="C19" s="12">
        <f t="shared" si="0"/>
        <v>46113</v>
      </c>
      <c r="D19" s="11">
        <v>3259</v>
      </c>
      <c r="E19" s="11">
        <v>333</v>
      </c>
      <c r="F19" s="11">
        <v>3</v>
      </c>
      <c r="G19" s="11"/>
      <c r="H19" s="45"/>
      <c r="I19" s="11" t="s">
        <v>17</v>
      </c>
      <c r="J19" s="45">
        <v>51878996</v>
      </c>
      <c r="K19" s="45" t="s">
        <v>674</v>
      </c>
      <c r="L19" s="45" t="s">
        <v>756</v>
      </c>
      <c r="M19" s="62">
        <v>149900</v>
      </c>
      <c r="N19" s="81" t="s">
        <v>332</v>
      </c>
      <c r="O19" s="82">
        <v>99000</v>
      </c>
      <c r="P19" s="81" t="s">
        <v>333</v>
      </c>
    </row>
    <row r="20" spans="1:16" s="39" customFormat="1" x14ac:dyDescent="0.35">
      <c r="A20" s="80" t="s">
        <v>1041</v>
      </c>
      <c r="B20" s="12">
        <f t="shared" si="1"/>
        <v>46104</v>
      </c>
      <c r="C20" s="12">
        <f t="shared" si="0"/>
        <v>46113</v>
      </c>
      <c r="D20" s="11">
        <v>3259</v>
      </c>
      <c r="E20" s="11">
        <v>333</v>
      </c>
      <c r="F20" s="11">
        <v>3</v>
      </c>
      <c r="G20" s="11"/>
      <c r="H20" s="45"/>
      <c r="I20" s="11" t="s">
        <v>17</v>
      </c>
      <c r="J20" s="45">
        <v>51879002</v>
      </c>
      <c r="K20" s="45" t="s">
        <v>674</v>
      </c>
      <c r="L20" s="45" t="s">
        <v>757</v>
      </c>
      <c r="M20" s="62">
        <v>149900</v>
      </c>
      <c r="N20" s="81" t="s">
        <v>332</v>
      </c>
      <c r="O20" s="82">
        <v>99000</v>
      </c>
      <c r="P20" s="81" t="s">
        <v>333</v>
      </c>
    </row>
    <row r="21" spans="1:16" s="39" customFormat="1" x14ac:dyDescent="0.35">
      <c r="A21" s="80" t="s">
        <v>1041</v>
      </c>
      <c r="B21" s="12">
        <f t="shared" si="1"/>
        <v>46104</v>
      </c>
      <c r="C21" s="12">
        <f t="shared" si="0"/>
        <v>46113</v>
      </c>
      <c r="D21" s="11">
        <v>3259</v>
      </c>
      <c r="E21" s="11">
        <v>333</v>
      </c>
      <c r="F21" s="11">
        <v>3</v>
      </c>
      <c r="G21" s="11"/>
      <c r="H21" s="45"/>
      <c r="I21" s="11" t="s">
        <v>17</v>
      </c>
      <c r="J21" s="45">
        <v>51879011</v>
      </c>
      <c r="K21" s="45" t="s">
        <v>674</v>
      </c>
      <c r="L21" s="45" t="s">
        <v>758</v>
      </c>
      <c r="M21" s="62">
        <v>149900</v>
      </c>
      <c r="N21" s="81" t="s">
        <v>332</v>
      </c>
      <c r="O21" s="82">
        <v>99000</v>
      </c>
      <c r="P21" s="81" t="s">
        <v>333</v>
      </c>
    </row>
    <row r="22" spans="1:16" s="39" customFormat="1" x14ac:dyDescent="0.35">
      <c r="A22" s="80" t="s">
        <v>1041</v>
      </c>
      <c r="B22" s="12">
        <f t="shared" si="1"/>
        <v>46104</v>
      </c>
      <c r="C22" s="12">
        <f t="shared" si="0"/>
        <v>46113</v>
      </c>
      <c r="D22" s="11">
        <v>3259</v>
      </c>
      <c r="E22" s="11">
        <v>333</v>
      </c>
      <c r="F22" s="11">
        <v>3</v>
      </c>
      <c r="G22" s="11"/>
      <c r="H22" s="45"/>
      <c r="I22" s="11" t="s">
        <v>17</v>
      </c>
      <c r="J22" s="45">
        <v>54678250</v>
      </c>
      <c r="K22" s="45" t="s">
        <v>674</v>
      </c>
      <c r="L22" s="45" t="s">
        <v>894</v>
      </c>
      <c r="M22" s="62">
        <v>149900</v>
      </c>
      <c r="N22" s="81" t="s">
        <v>332</v>
      </c>
      <c r="O22" s="82">
        <v>99000</v>
      </c>
      <c r="P22" s="81" t="s">
        <v>333</v>
      </c>
    </row>
    <row r="23" spans="1:16" s="39" customFormat="1" x14ac:dyDescent="0.35">
      <c r="A23" s="80" t="s">
        <v>1041</v>
      </c>
      <c r="B23" s="12">
        <f t="shared" si="1"/>
        <v>46104</v>
      </c>
      <c r="C23" s="12">
        <f t="shared" si="0"/>
        <v>46113</v>
      </c>
      <c r="D23" s="11">
        <v>3259</v>
      </c>
      <c r="E23" s="11">
        <v>333</v>
      </c>
      <c r="F23" s="11">
        <v>3</v>
      </c>
      <c r="G23" s="11"/>
      <c r="H23" s="45"/>
      <c r="I23" s="11" t="s">
        <v>17</v>
      </c>
      <c r="J23" s="45">
        <v>54678269</v>
      </c>
      <c r="K23" s="45" t="s">
        <v>674</v>
      </c>
      <c r="L23" s="45" t="s">
        <v>895</v>
      </c>
      <c r="M23" s="62">
        <v>149900</v>
      </c>
      <c r="N23" s="81" t="s">
        <v>332</v>
      </c>
      <c r="O23" s="82">
        <v>99000</v>
      </c>
      <c r="P23" s="81" t="s">
        <v>333</v>
      </c>
    </row>
    <row r="24" spans="1:16" s="39" customFormat="1" x14ac:dyDescent="0.35">
      <c r="A24" s="80" t="s">
        <v>1041</v>
      </c>
      <c r="B24" s="12">
        <f t="shared" si="1"/>
        <v>46104</v>
      </c>
      <c r="C24" s="12">
        <f t="shared" si="0"/>
        <v>46113</v>
      </c>
      <c r="D24" s="11">
        <v>3259</v>
      </c>
      <c r="E24" s="11">
        <v>333</v>
      </c>
      <c r="F24" s="11">
        <v>3</v>
      </c>
      <c r="G24" s="11"/>
      <c r="H24" s="45"/>
      <c r="I24" s="11" t="s">
        <v>17</v>
      </c>
      <c r="J24" s="45">
        <v>54678278</v>
      </c>
      <c r="K24" s="45" t="s">
        <v>674</v>
      </c>
      <c r="L24" s="45" t="s">
        <v>896</v>
      </c>
      <c r="M24" s="62">
        <v>149900</v>
      </c>
      <c r="N24" s="81" t="s">
        <v>332</v>
      </c>
      <c r="O24" s="82">
        <v>99000</v>
      </c>
      <c r="P24" s="81" t="s">
        <v>333</v>
      </c>
    </row>
    <row r="25" spans="1:16" s="39" customFormat="1" x14ac:dyDescent="0.35">
      <c r="A25" s="80" t="s">
        <v>1041</v>
      </c>
      <c r="B25" s="12">
        <f t="shared" si="1"/>
        <v>46104</v>
      </c>
      <c r="C25" s="12">
        <f t="shared" si="0"/>
        <v>46113</v>
      </c>
      <c r="D25" s="11">
        <v>3259</v>
      </c>
      <c r="E25" s="11">
        <v>333</v>
      </c>
      <c r="F25" s="11">
        <v>3</v>
      </c>
      <c r="G25" s="11"/>
      <c r="H25" s="45"/>
      <c r="I25" s="11" t="s">
        <v>17</v>
      </c>
      <c r="J25" s="45">
        <v>54678287</v>
      </c>
      <c r="K25" s="45" t="s">
        <v>674</v>
      </c>
      <c r="L25" s="45" t="s">
        <v>897</v>
      </c>
      <c r="M25" s="62">
        <v>149900</v>
      </c>
      <c r="N25" s="81" t="s">
        <v>332</v>
      </c>
      <c r="O25" s="82">
        <v>99000</v>
      </c>
      <c r="P25" s="81" t="s">
        <v>333</v>
      </c>
    </row>
    <row r="26" spans="1:16" s="1" customFormat="1" x14ac:dyDescent="0.35">
      <c r="A26" s="80" t="s">
        <v>1041</v>
      </c>
      <c r="B26" s="12">
        <f t="shared" si="1"/>
        <v>46104</v>
      </c>
      <c r="C26" s="12">
        <f t="shared" si="0"/>
        <v>46113</v>
      </c>
      <c r="D26" s="11">
        <v>3259</v>
      </c>
      <c r="E26" s="11">
        <v>333</v>
      </c>
      <c r="F26" s="11">
        <v>3</v>
      </c>
      <c r="G26" s="11"/>
      <c r="H26" s="11"/>
      <c r="I26" s="11" t="s">
        <v>17</v>
      </c>
      <c r="J26" s="13">
        <v>54678296</v>
      </c>
      <c r="K26" s="21" t="s">
        <v>674</v>
      </c>
      <c r="L26" s="21" t="s">
        <v>898</v>
      </c>
      <c r="M26" s="46">
        <v>149900</v>
      </c>
      <c r="N26" s="81" t="s">
        <v>332</v>
      </c>
      <c r="O26" s="82">
        <v>99000</v>
      </c>
      <c r="P26" s="81" t="s">
        <v>333</v>
      </c>
    </row>
  </sheetData>
  <autoFilter ref="A1:P1" xr:uid="{00000000-0009-0000-0000-000010000000}"/>
  <conditionalFormatting sqref="J1">
    <cfRule type="duplicateValues" dxfId="508" priority="5624"/>
    <cfRule type="duplicateValues" dxfId="507" priority="5625"/>
  </conditionalFormatting>
  <conditionalFormatting sqref="J1:J9">
    <cfRule type="duplicateValues" dxfId="506" priority="7246"/>
    <cfRule type="duplicateValues" dxfId="505" priority="7247"/>
    <cfRule type="duplicateValues" dxfId="504" priority="7248"/>
    <cfRule type="duplicateValues" dxfId="503" priority="7249"/>
    <cfRule type="duplicateValues" dxfId="502" priority="7250"/>
    <cfRule type="duplicateValues" dxfId="501" priority="7251"/>
    <cfRule type="duplicateValues" dxfId="500" priority="7252"/>
    <cfRule type="duplicateValues" dxfId="499" priority="7253"/>
    <cfRule type="duplicateValues" dxfId="498" priority="7254"/>
    <cfRule type="duplicateValues" dxfId="497" priority="7255"/>
    <cfRule type="duplicateValues" dxfId="496" priority="7256"/>
    <cfRule type="duplicateValues" dxfId="495" priority="7257"/>
    <cfRule type="duplicateValues" dxfId="494" priority="7258"/>
    <cfRule type="duplicateValues" dxfId="493" priority="7259"/>
    <cfRule type="duplicateValues" dxfId="492" priority="7260"/>
  </conditionalFormatting>
  <conditionalFormatting sqref="J1:J9 J27:J1048576">
    <cfRule type="duplicateValues" dxfId="491" priority="49"/>
    <cfRule type="duplicateValues" dxfId="490" priority="7042"/>
    <cfRule type="duplicateValues" dxfId="489" priority="7043"/>
    <cfRule type="duplicateValues" dxfId="488" priority="7044"/>
    <cfRule type="duplicateValues" dxfId="487" priority="7045"/>
    <cfRule type="duplicateValues" dxfId="486" priority="7046"/>
    <cfRule type="duplicateValues" dxfId="485" priority="7047"/>
  </conditionalFormatting>
  <conditionalFormatting sqref="J10:J25">
    <cfRule type="duplicateValues" dxfId="47" priority="34"/>
    <cfRule type="duplicateValues" dxfId="46" priority="35"/>
    <cfRule type="duplicateValues" dxfId="45" priority="36"/>
    <cfRule type="duplicateValues" dxfId="44" priority="37"/>
    <cfRule type="duplicateValues" dxfId="43" priority="38"/>
    <cfRule type="duplicateValues" dxfId="42" priority="39"/>
    <cfRule type="duplicateValues" dxfId="41" priority="40"/>
    <cfRule type="duplicateValues" dxfId="40" priority="41"/>
    <cfRule type="duplicateValues" dxfId="39" priority="42"/>
    <cfRule type="duplicateValues" dxfId="38" priority="43"/>
    <cfRule type="duplicateValues" dxfId="37" priority="44"/>
    <cfRule type="duplicateValues" dxfId="36" priority="45"/>
    <cfRule type="duplicateValues" dxfId="35" priority="46"/>
    <cfRule type="duplicateValues" dxfId="34" priority="47"/>
    <cfRule type="duplicateValues" dxfId="33" priority="48"/>
  </conditionalFormatting>
  <conditionalFormatting sqref="J10:J26">
    <cfRule type="duplicateValues" dxfId="32" priority="1"/>
    <cfRule type="duplicateValues" dxfId="31" priority="28"/>
    <cfRule type="duplicateValues" dxfId="30" priority="29"/>
    <cfRule type="duplicateValues" dxfId="29" priority="30"/>
    <cfRule type="duplicateValues" dxfId="28" priority="31"/>
    <cfRule type="duplicateValues" dxfId="27" priority="32"/>
    <cfRule type="duplicateValues" dxfId="26" priority="33"/>
  </conditionalFormatting>
  <conditionalFormatting sqref="J26"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  <cfRule type="duplicateValues" dxfId="12" priority="15"/>
    <cfRule type="duplicateValues" dxfId="11" priority="16"/>
    <cfRule type="duplicateValues" dxfId="10" priority="17"/>
    <cfRule type="duplicateValues" dxfId="9" priority="18"/>
    <cfRule type="duplicateValues" dxfId="8" priority="19"/>
    <cfRule type="duplicateValues" dxfId="7" priority="20"/>
    <cfRule type="duplicateValues" dxfId="6" priority="21"/>
    <cfRule type="duplicateValues" dxfId="5" priority="22"/>
    <cfRule type="duplicateValues" dxfId="4" priority="23"/>
    <cfRule type="duplicateValues" dxfId="3" priority="24"/>
    <cfRule type="duplicateValues" dxfId="2" priority="25"/>
    <cfRule type="duplicateValues" dxfId="1" priority="26"/>
    <cfRule type="duplicateValues" dxfId="0" priority="2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P17"/>
  <sheetViews>
    <sheetView topLeftCell="A9" zoomScale="55" workbookViewId="0">
      <selection activeCell="L39" sqref="L39"/>
    </sheetView>
  </sheetViews>
  <sheetFormatPr defaultColWidth="21.54296875" defaultRowHeight="14.5" x14ac:dyDescent="0.35"/>
  <cols>
    <col min="1" max="1" width="35.7265625" style="23" bestFit="1" customWidth="1"/>
    <col min="2" max="2" width="15.81640625" style="23" bestFit="1" customWidth="1"/>
    <col min="3" max="3" width="12.26953125" style="23" bestFit="1" customWidth="1"/>
    <col min="4" max="4" width="5.1796875" style="23" bestFit="1" customWidth="1"/>
    <col min="5" max="5" width="7.1796875" style="23" bestFit="1" customWidth="1"/>
    <col min="6" max="6" width="8.453125" style="23" bestFit="1" customWidth="1"/>
    <col min="7" max="7" width="5.7265625" style="23" bestFit="1" customWidth="1"/>
    <col min="8" max="8" width="8.54296875" style="23" bestFit="1" customWidth="1"/>
    <col min="9" max="9" width="6.7265625" style="23" customWidth="1"/>
    <col min="10" max="10" width="9.81640625" style="23" bestFit="1" customWidth="1"/>
    <col min="11" max="11" width="14.81640625" style="23" customWidth="1"/>
    <col min="12" max="12" width="98.26953125" style="23" bestFit="1" customWidth="1"/>
    <col min="13" max="13" width="14.81640625" style="55" bestFit="1" customWidth="1"/>
    <col min="14" max="14" width="7.26953125" style="23" bestFit="1" customWidth="1"/>
    <col min="15" max="15" width="14" style="23" bestFit="1" customWidth="1"/>
    <col min="16" max="16" width="21.54296875" style="23" customWidth="1"/>
    <col min="17" max="16384" width="21.54296875" style="23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2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0" t="s">
        <v>1042</v>
      </c>
      <c r="B2" s="12">
        <v>46104</v>
      </c>
      <c r="C2" s="12">
        <v>46113</v>
      </c>
      <c r="D2" s="11">
        <v>3259</v>
      </c>
      <c r="E2" s="11">
        <v>333</v>
      </c>
      <c r="F2" s="11">
        <v>3</v>
      </c>
      <c r="G2" s="11"/>
      <c r="H2" s="25"/>
      <c r="I2" s="84" t="s">
        <v>17</v>
      </c>
      <c r="J2" s="25">
        <v>53687206</v>
      </c>
      <c r="K2" s="25" t="s">
        <v>899</v>
      </c>
      <c r="L2" s="25" t="s">
        <v>882</v>
      </c>
      <c r="M2" s="62">
        <v>179900</v>
      </c>
      <c r="N2" s="81" t="s">
        <v>332</v>
      </c>
      <c r="O2" s="82">
        <v>119000</v>
      </c>
      <c r="P2" s="81" t="s">
        <v>333</v>
      </c>
    </row>
    <row r="3" spans="1:16" x14ac:dyDescent="0.35">
      <c r="A3" s="80" t="s">
        <v>1042</v>
      </c>
      <c r="B3" s="12">
        <f>B2</f>
        <v>46104</v>
      </c>
      <c r="C3" s="12">
        <f t="shared" ref="C3" si="0">C2</f>
        <v>46113</v>
      </c>
      <c r="D3" s="11">
        <v>3259</v>
      </c>
      <c r="E3" s="11">
        <v>333</v>
      </c>
      <c r="F3" s="11">
        <v>3</v>
      </c>
      <c r="G3" s="11"/>
      <c r="H3" s="25"/>
      <c r="I3" s="84" t="s">
        <v>17</v>
      </c>
      <c r="J3" s="25">
        <v>53687215</v>
      </c>
      <c r="K3" s="25" t="s">
        <v>899</v>
      </c>
      <c r="L3" s="25" t="s">
        <v>883</v>
      </c>
      <c r="M3" s="62">
        <v>179900</v>
      </c>
      <c r="N3" s="81" t="s">
        <v>332</v>
      </c>
      <c r="O3" s="82">
        <v>119000</v>
      </c>
      <c r="P3" s="81" t="s">
        <v>333</v>
      </c>
    </row>
    <row r="4" spans="1:16" x14ac:dyDescent="0.35">
      <c r="A4" s="80" t="s">
        <v>1042</v>
      </c>
      <c r="B4" s="12">
        <f t="shared" ref="B4:C4" si="1">B3</f>
        <v>46104</v>
      </c>
      <c r="C4" s="12">
        <f t="shared" si="1"/>
        <v>46113</v>
      </c>
      <c r="D4" s="11">
        <v>3259</v>
      </c>
      <c r="E4" s="11">
        <v>333</v>
      </c>
      <c r="F4" s="11">
        <v>3</v>
      </c>
      <c r="G4" s="11"/>
      <c r="H4" s="25"/>
      <c r="I4" s="84" t="s">
        <v>17</v>
      </c>
      <c r="J4" s="25">
        <v>53687224</v>
      </c>
      <c r="K4" s="25" t="s">
        <v>899</v>
      </c>
      <c r="L4" s="25" t="s">
        <v>884</v>
      </c>
      <c r="M4" s="62">
        <v>179900</v>
      </c>
      <c r="N4" s="81" t="s">
        <v>332</v>
      </c>
      <c r="O4" s="82">
        <v>119000</v>
      </c>
      <c r="P4" s="81" t="s">
        <v>333</v>
      </c>
    </row>
    <row r="5" spans="1:16" x14ac:dyDescent="0.35">
      <c r="A5" s="80" t="s">
        <v>1042</v>
      </c>
      <c r="B5" s="12">
        <f t="shared" ref="B5:C5" si="2">B4</f>
        <v>46104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/>
      <c r="H5" s="25"/>
      <c r="I5" s="84" t="s">
        <v>17</v>
      </c>
      <c r="J5" s="25">
        <v>53687233</v>
      </c>
      <c r="K5" s="25" t="s">
        <v>899</v>
      </c>
      <c r="L5" s="25" t="s">
        <v>885</v>
      </c>
      <c r="M5" s="62">
        <v>179900</v>
      </c>
      <c r="N5" s="81" t="s">
        <v>332</v>
      </c>
      <c r="O5" s="82">
        <v>119000</v>
      </c>
      <c r="P5" s="81" t="s">
        <v>333</v>
      </c>
    </row>
    <row r="6" spans="1:16" x14ac:dyDescent="0.35">
      <c r="A6" s="80" t="s">
        <v>1042</v>
      </c>
      <c r="B6" s="12">
        <f t="shared" ref="B6:C6" si="3">B5</f>
        <v>46104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11"/>
      <c r="H6" s="25"/>
      <c r="I6" s="84" t="s">
        <v>17</v>
      </c>
      <c r="J6" s="25">
        <v>53687242</v>
      </c>
      <c r="K6" s="25" t="s">
        <v>899</v>
      </c>
      <c r="L6" s="25" t="s">
        <v>886</v>
      </c>
      <c r="M6" s="62">
        <v>179900</v>
      </c>
      <c r="N6" s="81" t="s">
        <v>332</v>
      </c>
      <c r="O6" s="82">
        <v>119000</v>
      </c>
      <c r="P6" s="81" t="s">
        <v>333</v>
      </c>
    </row>
    <row r="7" spans="1:16" x14ac:dyDescent="0.35">
      <c r="A7" s="80" t="s">
        <v>1042</v>
      </c>
      <c r="B7" s="12">
        <f t="shared" ref="B7:C7" si="4">B6</f>
        <v>46104</v>
      </c>
      <c r="C7" s="12">
        <f t="shared" si="4"/>
        <v>46113</v>
      </c>
      <c r="D7" s="11">
        <v>3259</v>
      </c>
      <c r="E7" s="11">
        <v>333</v>
      </c>
      <c r="F7" s="11">
        <v>3</v>
      </c>
      <c r="G7" s="11"/>
      <c r="H7" s="25"/>
      <c r="I7" s="84" t="s">
        <v>17</v>
      </c>
      <c r="J7" s="25">
        <v>53687251</v>
      </c>
      <c r="K7" s="25" t="s">
        <v>899</v>
      </c>
      <c r="L7" s="25" t="s">
        <v>887</v>
      </c>
      <c r="M7" s="62">
        <v>179900</v>
      </c>
      <c r="N7" s="81" t="s">
        <v>332</v>
      </c>
      <c r="O7" s="82">
        <v>119000</v>
      </c>
      <c r="P7" s="81" t="s">
        <v>333</v>
      </c>
    </row>
    <row r="8" spans="1:16" x14ac:dyDescent="0.35">
      <c r="A8" s="80" t="s">
        <v>1042</v>
      </c>
      <c r="B8" s="12">
        <f t="shared" ref="B8:C8" si="5">B7</f>
        <v>46104</v>
      </c>
      <c r="C8" s="12">
        <f t="shared" si="5"/>
        <v>46113</v>
      </c>
      <c r="D8" s="11">
        <v>3259</v>
      </c>
      <c r="E8" s="11">
        <v>333</v>
      </c>
      <c r="F8" s="11">
        <v>3</v>
      </c>
      <c r="G8" s="11"/>
      <c r="H8" s="25"/>
      <c r="I8" s="84" t="s">
        <v>17</v>
      </c>
      <c r="J8" s="25">
        <v>53687260</v>
      </c>
      <c r="K8" s="25" t="s">
        <v>899</v>
      </c>
      <c r="L8" s="25" t="s">
        <v>888</v>
      </c>
      <c r="M8" s="62">
        <v>179900</v>
      </c>
      <c r="N8" s="81" t="s">
        <v>332</v>
      </c>
      <c r="O8" s="82">
        <v>119000</v>
      </c>
      <c r="P8" s="81" t="s">
        <v>333</v>
      </c>
    </row>
    <row r="9" spans="1:16" x14ac:dyDescent="0.35">
      <c r="A9" s="80" t="s">
        <v>1042</v>
      </c>
      <c r="B9" s="12">
        <f t="shared" ref="B9:C9" si="6">B8</f>
        <v>46104</v>
      </c>
      <c r="C9" s="12">
        <f t="shared" si="6"/>
        <v>46113</v>
      </c>
      <c r="D9" s="11">
        <v>3259</v>
      </c>
      <c r="E9" s="11">
        <v>333</v>
      </c>
      <c r="F9" s="11">
        <v>3</v>
      </c>
      <c r="G9" s="11"/>
      <c r="H9" s="25"/>
      <c r="I9" s="84" t="s">
        <v>17</v>
      </c>
      <c r="J9" s="25">
        <v>53687279</v>
      </c>
      <c r="K9" s="25" t="s">
        <v>899</v>
      </c>
      <c r="L9" s="25" t="s">
        <v>889</v>
      </c>
      <c r="M9" s="62">
        <v>179900</v>
      </c>
      <c r="N9" s="81" t="s">
        <v>332</v>
      </c>
      <c r="O9" s="82">
        <v>119000</v>
      </c>
      <c r="P9" s="81" t="s">
        <v>333</v>
      </c>
    </row>
    <row r="10" spans="1:16" x14ac:dyDescent="0.35">
      <c r="A10" s="80" t="s">
        <v>1042</v>
      </c>
      <c r="B10" s="12">
        <f t="shared" ref="B10:C10" si="7">B9</f>
        <v>46104</v>
      </c>
      <c r="C10" s="12">
        <f t="shared" si="7"/>
        <v>46113</v>
      </c>
      <c r="D10" s="11">
        <v>3259</v>
      </c>
      <c r="E10" s="11">
        <v>333</v>
      </c>
      <c r="F10" s="11">
        <v>3</v>
      </c>
      <c r="G10" s="11"/>
      <c r="H10" s="25"/>
      <c r="I10" s="84" t="s">
        <v>17</v>
      </c>
      <c r="J10" s="25">
        <v>53687288</v>
      </c>
      <c r="K10" s="25" t="s">
        <v>899</v>
      </c>
      <c r="L10" s="25" t="s">
        <v>890</v>
      </c>
      <c r="M10" s="62">
        <v>179900</v>
      </c>
      <c r="N10" s="81" t="s">
        <v>332</v>
      </c>
      <c r="O10" s="82">
        <v>119000</v>
      </c>
      <c r="P10" s="81" t="s">
        <v>333</v>
      </c>
    </row>
    <row r="11" spans="1:16" x14ac:dyDescent="0.35">
      <c r="A11" s="80" t="s">
        <v>1042</v>
      </c>
      <c r="B11" s="12">
        <f t="shared" ref="B11:C11" si="8">B10</f>
        <v>46104</v>
      </c>
      <c r="C11" s="12">
        <f t="shared" si="8"/>
        <v>46113</v>
      </c>
      <c r="D11" s="11">
        <v>3259</v>
      </c>
      <c r="E11" s="11">
        <v>333</v>
      </c>
      <c r="F11" s="11">
        <v>3</v>
      </c>
      <c r="G11" s="11"/>
      <c r="H11" s="25"/>
      <c r="I11" s="84" t="s">
        <v>17</v>
      </c>
      <c r="J11" s="25">
        <v>53687297</v>
      </c>
      <c r="K11" s="25" t="s">
        <v>899</v>
      </c>
      <c r="L11" s="25" t="s">
        <v>891</v>
      </c>
      <c r="M11" s="62">
        <v>179900</v>
      </c>
      <c r="N11" s="81" t="s">
        <v>332</v>
      </c>
      <c r="O11" s="82">
        <v>119000</v>
      </c>
      <c r="P11" s="81" t="s">
        <v>333</v>
      </c>
    </row>
    <row r="12" spans="1:16" x14ac:dyDescent="0.35">
      <c r="A12" s="80" t="s">
        <v>1042</v>
      </c>
      <c r="B12" s="12">
        <f t="shared" ref="B12:C12" si="9">B11</f>
        <v>46104</v>
      </c>
      <c r="C12" s="12">
        <f t="shared" si="9"/>
        <v>46113</v>
      </c>
      <c r="D12" s="11">
        <v>3259</v>
      </c>
      <c r="E12" s="11">
        <v>333</v>
      </c>
      <c r="F12" s="11">
        <v>3</v>
      </c>
      <c r="G12" s="11"/>
      <c r="H12" s="25"/>
      <c r="I12" s="84" t="s">
        <v>17</v>
      </c>
      <c r="J12" s="25">
        <v>53687304</v>
      </c>
      <c r="K12" s="25" t="s">
        <v>899</v>
      </c>
      <c r="L12" s="25" t="s">
        <v>892</v>
      </c>
      <c r="M12" s="62">
        <v>179900</v>
      </c>
      <c r="N12" s="81" t="s">
        <v>332</v>
      </c>
      <c r="O12" s="82">
        <v>119000</v>
      </c>
      <c r="P12" s="81" t="s">
        <v>333</v>
      </c>
    </row>
    <row r="13" spans="1:16" x14ac:dyDescent="0.35">
      <c r="A13" s="80" t="s">
        <v>1042</v>
      </c>
      <c r="B13" s="12">
        <f t="shared" ref="B13:C13" si="10">B12</f>
        <v>46104</v>
      </c>
      <c r="C13" s="12">
        <f t="shared" si="10"/>
        <v>46113</v>
      </c>
      <c r="D13" s="11">
        <v>3259</v>
      </c>
      <c r="E13" s="11">
        <v>333</v>
      </c>
      <c r="F13" s="11">
        <v>3</v>
      </c>
      <c r="G13" s="11"/>
      <c r="H13" s="25"/>
      <c r="I13" s="84" t="s">
        <v>17</v>
      </c>
      <c r="J13" s="25">
        <v>53687313</v>
      </c>
      <c r="K13" s="25" t="s">
        <v>899</v>
      </c>
      <c r="L13" s="25" t="s">
        <v>893</v>
      </c>
      <c r="M13" s="62">
        <v>179900</v>
      </c>
      <c r="N13" s="81" t="s">
        <v>332</v>
      </c>
      <c r="O13" s="82">
        <v>119000</v>
      </c>
      <c r="P13" s="81" t="s">
        <v>333</v>
      </c>
    </row>
    <row r="14" spans="1:16" x14ac:dyDescent="0.35">
      <c r="A14" s="80" t="s">
        <v>1042</v>
      </c>
      <c r="B14" s="12">
        <f t="shared" ref="B14:C14" si="11">B13</f>
        <v>46104</v>
      </c>
      <c r="C14" s="12">
        <f t="shared" si="11"/>
        <v>46113</v>
      </c>
      <c r="D14" s="11">
        <v>3259</v>
      </c>
      <c r="E14" s="11">
        <v>333</v>
      </c>
      <c r="F14" s="11">
        <v>3</v>
      </c>
      <c r="G14" s="73"/>
      <c r="H14" s="25"/>
      <c r="I14" s="11" t="s">
        <v>17</v>
      </c>
      <c r="J14" s="85">
        <v>87445805</v>
      </c>
      <c r="K14" s="25" t="s">
        <v>230</v>
      </c>
      <c r="L14" s="25" t="s">
        <v>662</v>
      </c>
      <c r="M14" s="77">
        <v>179900</v>
      </c>
      <c r="N14" s="81" t="s">
        <v>332</v>
      </c>
      <c r="O14" s="82">
        <v>119000</v>
      </c>
      <c r="P14" s="81" t="s">
        <v>333</v>
      </c>
    </row>
    <row r="15" spans="1:16" x14ac:dyDescent="0.35">
      <c r="A15" s="80" t="s">
        <v>1042</v>
      </c>
      <c r="B15" s="12">
        <f t="shared" ref="B15:C15" si="12">B14</f>
        <v>46104</v>
      </c>
      <c r="C15" s="12">
        <f t="shared" si="12"/>
        <v>46113</v>
      </c>
      <c r="D15" s="11">
        <v>3259</v>
      </c>
      <c r="E15" s="11">
        <v>333</v>
      </c>
      <c r="F15" s="11">
        <v>3</v>
      </c>
      <c r="G15" s="73"/>
      <c r="H15" s="25"/>
      <c r="I15" s="11" t="s">
        <v>17</v>
      </c>
      <c r="J15" s="85">
        <v>87445798</v>
      </c>
      <c r="K15" s="25" t="s">
        <v>230</v>
      </c>
      <c r="L15" s="25" t="s">
        <v>661</v>
      </c>
      <c r="M15" s="77">
        <v>179900</v>
      </c>
      <c r="N15" s="81" t="s">
        <v>332</v>
      </c>
      <c r="O15" s="82">
        <v>119000</v>
      </c>
      <c r="P15" s="81" t="s">
        <v>333</v>
      </c>
    </row>
    <row r="16" spans="1:16" x14ac:dyDescent="0.35">
      <c r="A16" s="80" t="s">
        <v>1042</v>
      </c>
      <c r="B16" s="12">
        <f t="shared" ref="B16:C16" si="13">B15</f>
        <v>46104</v>
      </c>
      <c r="C16" s="12">
        <f t="shared" si="13"/>
        <v>46113</v>
      </c>
      <c r="D16" s="11">
        <v>3259</v>
      </c>
      <c r="E16" s="11">
        <v>333</v>
      </c>
      <c r="F16" s="11">
        <v>3</v>
      </c>
      <c r="G16" s="73"/>
      <c r="H16" s="25"/>
      <c r="I16" s="11" t="s">
        <v>17</v>
      </c>
      <c r="J16" s="85">
        <v>87445789</v>
      </c>
      <c r="K16" s="25" t="s">
        <v>230</v>
      </c>
      <c r="L16" s="25" t="s">
        <v>660</v>
      </c>
      <c r="M16" s="77">
        <v>179900</v>
      </c>
      <c r="N16" s="81" t="s">
        <v>332</v>
      </c>
      <c r="O16" s="82">
        <v>119000</v>
      </c>
      <c r="P16" s="81" t="s">
        <v>333</v>
      </c>
    </row>
    <row r="17" spans="1:16" x14ac:dyDescent="0.35">
      <c r="A17" s="80" t="s">
        <v>1042</v>
      </c>
      <c r="B17" s="12">
        <f t="shared" ref="B17:C17" si="14">B16</f>
        <v>46104</v>
      </c>
      <c r="C17" s="12">
        <f t="shared" si="14"/>
        <v>46113</v>
      </c>
      <c r="D17" s="11">
        <v>3259</v>
      </c>
      <c r="E17" s="11">
        <v>333</v>
      </c>
      <c r="F17" s="11">
        <v>3</v>
      </c>
      <c r="G17" s="73"/>
      <c r="H17" s="25"/>
      <c r="I17" s="11" t="s">
        <v>17</v>
      </c>
      <c r="J17" s="85">
        <v>87445814</v>
      </c>
      <c r="K17" s="25" t="s">
        <v>230</v>
      </c>
      <c r="L17" s="25" t="s">
        <v>663</v>
      </c>
      <c r="M17" s="77">
        <v>179900</v>
      </c>
      <c r="N17" s="81" t="s">
        <v>332</v>
      </c>
      <c r="O17" s="82">
        <v>119000</v>
      </c>
      <c r="P17" s="81" t="s">
        <v>333</v>
      </c>
    </row>
  </sheetData>
  <autoFilter ref="A1:P1" xr:uid="{00000000-0009-0000-0000-000012000000}"/>
  <conditionalFormatting sqref="J1">
    <cfRule type="duplicateValues" dxfId="484" priority="5156"/>
    <cfRule type="duplicateValues" dxfId="483" priority="5157"/>
    <cfRule type="duplicateValues" dxfId="482" priority="5158"/>
    <cfRule type="duplicateValues" dxfId="481" priority="5159"/>
    <cfRule type="duplicateValues" dxfId="480" priority="5160"/>
    <cfRule type="duplicateValues" dxfId="479" priority="5161"/>
    <cfRule type="duplicateValues" dxfId="478" priority="5162"/>
    <cfRule type="duplicateValues" dxfId="477" priority="5163"/>
    <cfRule type="duplicateValues" dxfId="476" priority="5164"/>
    <cfRule type="duplicateValues" dxfId="475" priority="5165"/>
  </conditionalFormatting>
  <conditionalFormatting sqref="J1:J13">
    <cfRule type="duplicateValues" dxfId="474" priority="5598"/>
    <cfRule type="duplicateValues" dxfId="473" priority="5599"/>
    <cfRule type="duplicateValues" dxfId="472" priority="5600"/>
    <cfRule type="duplicateValues" dxfId="471" priority="5601"/>
    <cfRule type="duplicateValues" dxfId="470" priority="5602"/>
  </conditionalFormatting>
  <conditionalFormatting sqref="J1:J1048576">
    <cfRule type="duplicateValues" dxfId="469" priority="1"/>
    <cfRule type="duplicateValues" dxfId="468" priority="2"/>
    <cfRule type="duplicateValues" dxfId="467" priority="5603"/>
  </conditionalFormatting>
  <conditionalFormatting sqref="J14:J17">
    <cfRule type="duplicateValues" dxfId="466" priority="43"/>
    <cfRule type="duplicateValues" dxfId="465" priority="44"/>
    <cfRule type="duplicateValues" dxfId="464" priority="45"/>
    <cfRule type="duplicateValues" dxfId="463" priority="50"/>
    <cfRule type="duplicateValues" dxfId="462" priority="51"/>
    <cfRule type="duplicateValues" dxfId="461" priority="52"/>
    <cfRule type="duplicateValues" dxfId="460" priority="53"/>
    <cfRule type="duplicateValues" dxfId="459" priority="54"/>
    <cfRule type="duplicateValues" dxfId="458" priority="55"/>
    <cfRule type="duplicateValues" dxfId="457" priority="56"/>
    <cfRule type="duplicateValues" dxfId="456" priority="57"/>
    <cfRule type="duplicateValues" dxfId="455" priority="58"/>
    <cfRule type="duplicateValues" dxfId="454" priority="59"/>
    <cfRule type="duplicateValues" dxfId="453" priority="60"/>
    <cfRule type="duplicateValues" dxfId="452" priority="61"/>
    <cfRule type="duplicateValues" dxfId="451" priority="62"/>
    <cfRule type="duplicateValues" dxfId="450" priority="63"/>
    <cfRule type="duplicateValues" dxfId="449" priority="64"/>
    <cfRule type="duplicateValues" dxfId="448" priority="5484"/>
    <cfRule type="duplicateValues" dxfId="447" priority="5485"/>
    <cfRule type="duplicateValues" dxfId="446" priority="5486"/>
    <cfRule type="duplicateValues" dxfId="445" priority="5487"/>
    <cfRule type="duplicateValues" dxfId="444" priority="5488"/>
    <cfRule type="duplicateValues" dxfId="443" priority="5489"/>
    <cfRule type="duplicateValues" dxfId="442" priority="5490"/>
    <cfRule type="duplicateValues" dxfId="441" priority="5491"/>
    <cfRule type="duplicateValues" dxfId="440" priority="5492"/>
    <cfRule type="duplicateValues" dxfId="439" priority="5493"/>
    <cfRule type="duplicateValues" dxfId="438" priority="5494"/>
    <cfRule type="duplicateValues" dxfId="437" priority="5495"/>
    <cfRule type="duplicateValues" dxfId="436" priority="5496"/>
    <cfRule type="duplicateValues" dxfId="435" priority="5497"/>
    <cfRule type="duplicateValues" dxfId="434" priority="5498"/>
    <cfRule type="duplicateValues" dxfId="433" priority="5499"/>
    <cfRule type="duplicateValues" dxfId="432" priority="5500"/>
    <cfRule type="duplicateValues" dxfId="431" priority="5501"/>
    <cfRule type="duplicateValues" dxfId="430" priority="5502"/>
    <cfRule type="duplicateValues" dxfId="429" priority="5503"/>
    <cfRule type="duplicateValues" dxfId="428" priority="550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P25"/>
  <sheetViews>
    <sheetView zoomScale="51" workbookViewId="0">
      <selection activeCell="B2" sqref="B2:C3"/>
    </sheetView>
  </sheetViews>
  <sheetFormatPr defaultColWidth="8.54296875" defaultRowHeight="14.5" x14ac:dyDescent="0.35"/>
  <cols>
    <col min="1" max="1" width="36" style="23" bestFit="1" customWidth="1"/>
    <col min="2" max="2" width="17.54296875" style="23" bestFit="1" customWidth="1"/>
    <col min="3" max="3" width="13.1796875" style="23" bestFit="1" customWidth="1"/>
    <col min="4" max="4" width="8.81640625" style="23" bestFit="1" customWidth="1"/>
    <col min="5" max="5" width="11.1796875" style="23" bestFit="1" customWidth="1"/>
    <col min="6" max="6" width="12.81640625" style="23" bestFit="1" customWidth="1"/>
    <col min="7" max="7" width="10.453125" style="23" bestFit="1" customWidth="1"/>
    <col min="8" max="8" width="14.54296875" style="23" bestFit="1" customWidth="1"/>
    <col min="9" max="9" width="11.26953125" style="23" customWidth="1"/>
    <col min="10" max="10" width="10.81640625" style="23" customWidth="1"/>
    <col min="11" max="11" width="14.1796875" style="23" bestFit="1" customWidth="1"/>
    <col min="12" max="12" width="108.54296875" style="23" bestFit="1" customWidth="1"/>
    <col min="13" max="13" width="25.7265625" style="23" bestFit="1" customWidth="1"/>
    <col min="14" max="14" width="11.54296875" style="23" bestFit="1" customWidth="1"/>
    <col min="15" max="15" width="39.54296875" style="23" bestFit="1" customWidth="1"/>
    <col min="16" max="16" width="22.81640625" style="23" bestFit="1" customWidth="1"/>
    <col min="17" max="16384" width="8.54296875" style="23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2" t="s">
        <v>14</v>
      </c>
      <c r="N1" s="10" t="s">
        <v>8</v>
      </c>
      <c r="O1" s="9" t="s">
        <v>9</v>
      </c>
      <c r="P1" s="5" t="s">
        <v>10</v>
      </c>
    </row>
    <row r="2" spans="1:16" s="27" customFormat="1" x14ac:dyDescent="0.35">
      <c r="A2" s="80" t="s">
        <v>1043</v>
      </c>
      <c r="B2" s="12">
        <v>46104</v>
      </c>
      <c r="C2" s="12">
        <v>46113</v>
      </c>
      <c r="D2" s="63">
        <v>3259</v>
      </c>
      <c r="E2" s="63">
        <v>333</v>
      </c>
      <c r="F2" s="63">
        <v>3</v>
      </c>
      <c r="G2" s="29"/>
      <c r="H2" s="29"/>
      <c r="I2" s="29" t="s">
        <v>17</v>
      </c>
      <c r="J2" s="29">
        <v>55489373</v>
      </c>
      <c r="K2" s="80" t="s">
        <v>344</v>
      </c>
      <c r="L2" s="29" t="s">
        <v>906</v>
      </c>
      <c r="M2" s="86">
        <v>199900</v>
      </c>
      <c r="N2" s="81" t="s">
        <v>332</v>
      </c>
      <c r="O2" s="82">
        <v>119000</v>
      </c>
      <c r="P2" s="81" t="s">
        <v>333</v>
      </c>
    </row>
    <row r="3" spans="1:16" s="27" customFormat="1" x14ac:dyDescent="0.35">
      <c r="A3" s="80" t="s">
        <v>1043</v>
      </c>
      <c r="B3" s="12">
        <f>B2</f>
        <v>46104</v>
      </c>
      <c r="C3" s="12">
        <f t="shared" ref="C3" si="0">C2</f>
        <v>46113</v>
      </c>
      <c r="D3" s="63">
        <v>3259</v>
      </c>
      <c r="E3" s="63">
        <v>333</v>
      </c>
      <c r="F3" s="63">
        <v>3</v>
      </c>
      <c r="G3" s="29"/>
      <c r="H3" s="29"/>
      <c r="I3" s="29" t="s">
        <v>17</v>
      </c>
      <c r="J3" s="29">
        <v>55489382</v>
      </c>
      <c r="K3" s="80" t="s">
        <v>344</v>
      </c>
      <c r="L3" s="29" t="s">
        <v>910</v>
      </c>
      <c r="M3" s="86">
        <v>199900</v>
      </c>
      <c r="N3" s="81" t="s">
        <v>332</v>
      </c>
      <c r="O3" s="82">
        <v>119000</v>
      </c>
      <c r="P3" s="81" t="s">
        <v>333</v>
      </c>
    </row>
    <row r="4" spans="1:16" s="27" customFormat="1" x14ac:dyDescent="0.35">
      <c r="A4" s="80" t="s">
        <v>1043</v>
      </c>
      <c r="B4" s="75">
        <f t="shared" ref="B4:C4" si="1">B3</f>
        <v>46104</v>
      </c>
      <c r="C4" s="75">
        <f t="shared" si="1"/>
        <v>46113</v>
      </c>
      <c r="D4" s="63">
        <v>3259</v>
      </c>
      <c r="E4" s="63">
        <v>333</v>
      </c>
      <c r="F4" s="63">
        <v>3</v>
      </c>
      <c r="G4" s="29"/>
      <c r="H4" s="29"/>
      <c r="I4" s="29" t="s">
        <v>17</v>
      </c>
      <c r="J4" s="29">
        <v>55489391</v>
      </c>
      <c r="K4" s="80" t="s">
        <v>344</v>
      </c>
      <c r="L4" s="29" t="s">
        <v>911</v>
      </c>
      <c r="M4" s="86">
        <v>199900</v>
      </c>
      <c r="N4" s="81" t="s">
        <v>332</v>
      </c>
      <c r="O4" s="82">
        <v>119000</v>
      </c>
      <c r="P4" s="81" t="s">
        <v>333</v>
      </c>
    </row>
    <row r="5" spans="1:16" s="27" customFormat="1" x14ac:dyDescent="0.35">
      <c r="A5" s="80" t="s">
        <v>1043</v>
      </c>
      <c r="B5" s="75">
        <f t="shared" ref="B5:C5" si="2">B4</f>
        <v>46104</v>
      </c>
      <c r="C5" s="75">
        <f t="shared" si="2"/>
        <v>46113</v>
      </c>
      <c r="D5" s="63">
        <v>3259</v>
      </c>
      <c r="E5" s="63">
        <v>333</v>
      </c>
      <c r="F5" s="63">
        <v>3</v>
      </c>
      <c r="G5" s="29"/>
      <c r="H5" s="29"/>
      <c r="I5" s="29" t="s">
        <v>17</v>
      </c>
      <c r="J5" s="29">
        <v>55489408</v>
      </c>
      <c r="K5" s="80" t="s">
        <v>344</v>
      </c>
      <c r="L5" s="29" t="s">
        <v>907</v>
      </c>
      <c r="M5" s="86">
        <v>199900</v>
      </c>
      <c r="N5" s="81" t="s">
        <v>332</v>
      </c>
      <c r="O5" s="82">
        <v>119000</v>
      </c>
      <c r="P5" s="81" t="s">
        <v>333</v>
      </c>
    </row>
    <row r="6" spans="1:16" s="27" customFormat="1" x14ac:dyDescent="0.35">
      <c r="A6" s="80" t="s">
        <v>1043</v>
      </c>
      <c r="B6" s="75">
        <f t="shared" ref="B6:C6" si="3">B5</f>
        <v>46104</v>
      </c>
      <c r="C6" s="75">
        <f t="shared" si="3"/>
        <v>46113</v>
      </c>
      <c r="D6" s="63">
        <v>3259</v>
      </c>
      <c r="E6" s="63">
        <v>333</v>
      </c>
      <c r="F6" s="63">
        <v>3</v>
      </c>
      <c r="G6" s="29"/>
      <c r="H6" s="29"/>
      <c r="I6" s="29" t="s">
        <v>17</v>
      </c>
      <c r="J6" s="29">
        <v>55489417</v>
      </c>
      <c r="K6" s="80" t="s">
        <v>344</v>
      </c>
      <c r="L6" s="29" t="s">
        <v>908</v>
      </c>
      <c r="M6" s="86">
        <v>199900</v>
      </c>
      <c r="N6" s="81" t="s">
        <v>332</v>
      </c>
      <c r="O6" s="82">
        <v>119000</v>
      </c>
      <c r="P6" s="81" t="s">
        <v>333</v>
      </c>
    </row>
    <row r="7" spans="1:16" s="27" customFormat="1" x14ac:dyDescent="0.35">
      <c r="A7" s="80" t="s">
        <v>1043</v>
      </c>
      <c r="B7" s="75">
        <f t="shared" ref="B7:C7" si="4">B6</f>
        <v>46104</v>
      </c>
      <c r="C7" s="75">
        <f t="shared" si="4"/>
        <v>46113</v>
      </c>
      <c r="D7" s="63">
        <v>3259</v>
      </c>
      <c r="E7" s="63">
        <v>333</v>
      </c>
      <c r="F7" s="63">
        <v>3</v>
      </c>
      <c r="G7" s="29"/>
      <c r="H7" s="29"/>
      <c r="I7" s="29" t="s">
        <v>17</v>
      </c>
      <c r="J7" s="29">
        <v>55489426</v>
      </c>
      <c r="K7" s="80" t="s">
        <v>344</v>
      </c>
      <c r="L7" s="29" t="s">
        <v>909</v>
      </c>
      <c r="M7" s="86">
        <v>199900</v>
      </c>
      <c r="N7" s="81" t="s">
        <v>332</v>
      </c>
      <c r="O7" s="82">
        <v>119000</v>
      </c>
      <c r="P7" s="81" t="s">
        <v>333</v>
      </c>
    </row>
    <row r="8" spans="1:16" s="27" customFormat="1" x14ac:dyDescent="0.35">
      <c r="A8" s="80" t="s">
        <v>1043</v>
      </c>
      <c r="B8" s="75">
        <f t="shared" ref="B8:C8" si="5">B7</f>
        <v>46104</v>
      </c>
      <c r="C8" s="75">
        <f t="shared" si="5"/>
        <v>46113</v>
      </c>
      <c r="D8" s="63">
        <v>3259</v>
      </c>
      <c r="E8" s="63">
        <v>333</v>
      </c>
      <c r="F8" s="63">
        <v>3</v>
      </c>
      <c r="G8" s="29"/>
      <c r="H8" s="29"/>
      <c r="I8" s="29" t="s">
        <v>17</v>
      </c>
      <c r="J8" s="29">
        <v>55489435</v>
      </c>
      <c r="K8" s="80" t="s">
        <v>344</v>
      </c>
      <c r="L8" s="29" t="s">
        <v>900</v>
      </c>
      <c r="M8" s="86">
        <v>199900</v>
      </c>
      <c r="N8" s="81" t="s">
        <v>332</v>
      </c>
      <c r="O8" s="82">
        <v>119000</v>
      </c>
      <c r="P8" s="81" t="s">
        <v>333</v>
      </c>
    </row>
    <row r="9" spans="1:16" s="27" customFormat="1" x14ac:dyDescent="0.35">
      <c r="A9" s="80" t="s">
        <v>1043</v>
      </c>
      <c r="B9" s="75">
        <f t="shared" ref="B9:C9" si="6">B8</f>
        <v>46104</v>
      </c>
      <c r="C9" s="75">
        <f t="shared" si="6"/>
        <v>46113</v>
      </c>
      <c r="D9" s="63">
        <v>3259</v>
      </c>
      <c r="E9" s="63">
        <v>333</v>
      </c>
      <c r="F9" s="63">
        <v>3</v>
      </c>
      <c r="G9" s="29"/>
      <c r="H9" s="29"/>
      <c r="I9" s="29" t="s">
        <v>17</v>
      </c>
      <c r="J9" s="29">
        <v>55489444</v>
      </c>
      <c r="K9" s="80" t="s">
        <v>344</v>
      </c>
      <c r="L9" s="29" t="s">
        <v>901</v>
      </c>
      <c r="M9" s="86">
        <v>199900</v>
      </c>
      <c r="N9" s="81" t="s">
        <v>332</v>
      </c>
      <c r="O9" s="82">
        <v>119000</v>
      </c>
      <c r="P9" s="81" t="s">
        <v>333</v>
      </c>
    </row>
    <row r="10" spans="1:16" s="27" customFormat="1" x14ac:dyDescent="0.35">
      <c r="A10" s="80" t="s">
        <v>1043</v>
      </c>
      <c r="B10" s="75">
        <f t="shared" ref="B10:C10" si="7">B9</f>
        <v>46104</v>
      </c>
      <c r="C10" s="75">
        <f t="shared" si="7"/>
        <v>46113</v>
      </c>
      <c r="D10" s="63">
        <v>3259</v>
      </c>
      <c r="E10" s="63">
        <v>333</v>
      </c>
      <c r="F10" s="63">
        <v>3</v>
      </c>
      <c r="G10" s="29"/>
      <c r="H10" s="29"/>
      <c r="I10" s="29" t="s">
        <v>17</v>
      </c>
      <c r="J10" s="29">
        <v>55489453</v>
      </c>
      <c r="K10" s="80" t="s">
        <v>344</v>
      </c>
      <c r="L10" s="29" t="s">
        <v>902</v>
      </c>
      <c r="M10" s="86">
        <v>199900</v>
      </c>
      <c r="N10" s="81" t="s">
        <v>332</v>
      </c>
      <c r="O10" s="82">
        <v>119000</v>
      </c>
      <c r="P10" s="81" t="s">
        <v>333</v>
      </c>
    </row>
    <row r="11" spans="1:16" s="27" customFormat="1" x14ac:dyDescent="0.35">
      <c r="A11" s="80" t="s">
        <v>1043</v>
      </c>
      <c r="B11" s="75">
        <f t="shared" ref="B11:C11" si="8">B10</f>
        <v>46104</v>
      </c>
      <c r="C11" s="75">
        <f t="shared" si="8"/>
        <v>46113</v>
      </c>
      <c r="D11" s="63">
        <v>3259</v>
      </c>
      <c r="E11" s="63">
        <v>333</v>
      </c>
      <c r="F11" s="63">
        <v>3</v>
      </c>
      <c r="G11" s="29"/>
      <c r="H11" s="29"/>
      <c r="I11" s="29" t="s">
        <v>17</v>
      </c>
      <c r="J11" s="29">
        <v>55489462</v>
      </c>
      <c r="K11" s="80" t="s">
        <v>344</v>
      </c>
      <c r="L11" s="29" t="s">
        <v>903</v>
      </c>
      <c r="M11" s="86">
        <v>199900</v>
      </c>
      <c r="N11" s="81" t="s">
        <v>332</v>
      </c>
      <c r="O11" s="82">
        <v>119000</v>
      </c>
      <c r="P11" s="81" t="s">
        <v>333</v>
      </c>
    </row>
    <row r="12" spans="1:16" s="27" customFormat="1" x14ac:dyDescent="0.35">
      <c r="A12" s="80" t="s">
        <v>1043</v>
      </c>
      <c r="B12" s="75">
        <f t="shared" ref="B12:C12" si="9">B11</f>
        <v>46104</v>
      </c>
      <c r="C12" s="75">
        <f t="shared" si="9"/>
        <v>46113</v>
      </c>
      <c r="D12" s="63">
        <v>3259</v>
      </c>
      <c r="E12" s="63">
        <v>333</v>
      </c>
      <c r="F12" s="63">
        <v>3</v>
      </c>
      <c r="G12" s="29"/>
      <c r="H12" s="29"/>
      <c r="I12" s="29" t="s">
        <v>17</v>
      </c>
      <c r="J12" s="29">
        <v>55489471</v>
      </c>
      <c r="K12" s="80" t="s">
        <v>344</v>
      </c>
      <c r="L12" s="29" t="s">
        <v>904</v>
      </c>
      <c r="M12" s="86">
        <v>199900</v>
      </c>
      <c r="N12" s="81" t="s">
        <v>332</v>
      </c>
      <c r="O12" s="82">
        <v>119000</v>
      </c>
      <c r="P12" s="81" t="s">
        <v>333</v>
      </c>
    </row>
    <row r="13" spans="1:16" s="27" customFormat="1" x14ac:dyDescent="0.35">
      <c r="A13" s="80" t="s">
        <v>1043</v>
      </c>
      <c r="B13" s="75">
        <f t="shared" ref="B13:C13" si="10">B12</f>
        <v>46104</v>
      </c>
      <c r="C13" s="75">
        <f t="shared" si="10"/>
        <v>46113</v>
      </c>
      <c r="D13" s="63">
        <v>3259</v>
      </c>
      <c r="E13" s="63">
        <v>333</v>
      </c>
      <c r="F13" s="63">
        <v>3</v>
      </c>
      <c r="G13" s="29"/>
      <c r="H13" s="29"/>
      <c r="I13" s="29" t="s">
        <v>17</v>
      </c>
      <c r="J13" s="29">
        <v>55489480</v>
      </c>
      <c r="K13" s="80" t="s">
        <v>344</v>
      </c>
      <c r="L13" s="29" t="s">
        <v>905</v>
      </c>
      <c r="M13" s="86">
        <v>199900</v>
      </c>
      <c r="N13" s="81" t="s">
        <v>332</v>
      </c>
      <c r="O13" s="82">
        <v>119000</v>
      </c>
      <c r="P13" s="81" t="s">
        <v>333</v>
      </c>
    </row>
    <row r="14" spans="1:16" s="27" customFormat="1" x14ac:dyDescent="0.35">
      <c r="A14" s="80" t="s">
        <v>1043</v>
      </c>
      <c r="B14" s="75">
        <f t="shared" ref="B14:C14" si="11">B13</f>
        <v>46104</v>
      </c>
      <c r="C14" s="75">
        <f t="shared" si="11"/>
        <v>46113</v>
      </c>
      <c r="D14" s="63">
        <v>3259</v>
      </c>
      <c r="E14" s="63">
        <v>333</v>
      </c>
      <c r="F14" s="63">
        <v>3</v>
      </c>
      <c r="G14" s="29"/>
      <c r="H14" s="29"/>
      <c r="I14" s="29" t="s">
        <v>17</v>
      </c>
      <c r="J14" s="29">
        <v>59120431</v>
      </c>
      <c r="K14" s="80" t="s">
        <v>914</v>
      </c>
      <c r="L14" s="29" t="s">
        <v>913</v>
      </c>
      <c r="M14" s="86">
        <v>179900</v>
      </c>
      <c r="N14" s="81" t="s">
        <v>332</v>
      </c>
      <c r="O14" s="82">
        <v>119000</v>
      </c>
      <c r="P14" s="81" t="s">
        <v>333</v>
      </c>
    </row>
    <row r="15" spans="1:16" s="27" customFormat="1" x14ac:dyDescent="0.35">
      <c r="A15" s="80" t="s">
        <v>1043</v>
      </c>
      <c r="B15" s="75">
        <f t="shared" ref="B15:C15" si="12">B14</f>
        <v>46104</v>
      </c>
      <c r="C15" s="75">
        <f t="shared" si="12"/>
        <v>46113</v>
      </c>
      <c r="D15" s="63">
        <v>3259</v>
      </c>
      <c r="E15" s="63">
        <v>333</v>
      </c>
      <c r="F15" s="63">
        <v>3</v>
      </c>
      <c r="G15" s="29"/>
      <c r="H15" s="29"/>
      <c r="I15" s="29" t="s">
        <v>17</v>
      </c>
      <c r="J15" s="29">
        <v>59120440</v>
      </c>
      <c r="K15" s="80" t="s">
        <v>914</v>
      </c>
      <c r="L15" s="29" t="s">
        <v>915</v>
      </c>
      <c r="M15" s="86">
        <v>179900</v>
      </c>
      <c r="N15" s="81" t="s">
        <v>332</v>
      </c>
      <c r="O15" s="82">
        <v>119000</v>
      </c>
      <c r="P15" s="81" t="s">
        <v>333</v>
      </c>
    </row>
    <row r="16" spans="1:16" s="27" customFormat="1" x14ac:dyDescent="0.35">
      <c r="A16" s="80" t="s">
        <v>1043</v>
      </c>
      <c r="B16" s="75">
        <f t="shared" ref="B16:C16" si="13">B15</f>
        <v>46104</v>
      </c>
      <c r="C16" s="75">
        <f t="shared" si="13"/>
        <v>46113</v>
      </c>
      <c r="D16" s="63">
        <v>3259</v>
      </c>
      <c r="E16" s="63">
        <v>333</v>
      </c>
      <c r="F16" s="63">
        <v>3</v>
      </c>
      <c r="G16" s="29"/>
      <c r="H16" s="29"/>
      <c r="I16" s="29" t="s">
        <v>17</v>
      </c>
      <c r="J16" s="29">
        <v>59120459</v>
      </c>
      <c r="K16" s="80" t="s">
        <v>914</v>
      </c>
      <c r="L16" s="29" t="s">
        <v>916</v>
      </c>
      <c r="M16" s="86">
        <v>179900</v>
      </c>
      <c r="N16" s="81" t="s">
        <v>332</v>
      </c>
      <c r="O16" s="82">
        <v>119000</v>
      </c>
      <c r="P16" s="81" t="s">
        <v>333</v>
      </c>
    </row>
    <row r="17" spans="1:16" s="27" customFormat="1" x14ac:dyDescent="0.35">
      <c r="A17" s="80" t="s">
        <v>1043</v>
      </c>
      <c r="B17" s="75">
        <f t="shared" ref="B17:C17" si="14">B16</f>
        <v>46104</v>
      </c>
      <c r="C17" s="75">
        <f t="shared" si="14"/>
        <v>46113</v>
      </c>
      <c r="D17" s="63">
        <v>3259</v>
      </c>
      <c r="E17" s="63">
        <v>333</v>
      </c>
      <c r="F17" s="63">
        <v>3</v>
      </c>
      <c r="G17" s="29"/>
      <c r="H17" s="29"/>
      <c r="I17" s="29" t="s">
        <v>17</v>
      </c>
      <c r="J17" s="29">
        <v>59120468</v>
      </c>
      <c r="K17" s="80" t="s">
        <v>914</v>
      </c>
      <c r="L17" s="29" t="s">
        <v>917</v>
      </c>
      <c r="M17" s="86">
        <v>179900</v>
      </c>
      <c r="N17" s="81" t="s">
        <v>332</v>
      </c>
      <c r="O17" s="82">
        <v>119000</v>
      </c>
      <c r="P17" s="81" t="s">
        <v>333</v>
      </c>
    </row>
    <row r="18" spans="1:16" s="27" customFormat="1" x14ac:dyDescent="0.35">
      <c r="A18" s="80" t="s">
        <v>1043</v>
      </c>
      <c r="B18" s="75">
        <f t="shared" ref="B18:C18" si="15">B17</f>
        <v>46104</v>
      </c>
      <c r="C18" s="75">
        <f t="shared" si="15"/>
        <v>46113</v>
      </c>
      <c r="D18" s="63">
        <v>3259</v>
      </c>
      <c r="E18" s="63">
        <v>333</v>
      </c>
      <c r="F18" s="63">
        <v>3</v>
      </c>
      <c r="G18" s="29"/>
      <c r="H18" s="29"/>
      <c r="I18" s="29" t="s">
        <v>17</v>
      </c>
      <c r="J18" s="29">
        <v>59120477</v>
      </c>
      <c r="K18" s="80" t="s">
        <v>914</v>
      </c>
      <c r="L18" s="29" t="s">
        <v>918</v>
      </c>
      <c r="M18" s="86">
        <v>179900</v>
      </c>
      <c r="N18" s="81" t="s">
        <v>332</v>
      </c>
      <c r="O18" s="82">
        <v>119000</v>
      </c>
      <c r="P18" s="81" t="s">
        <v>333</v>
      </c>
    </row>
    <row r="19" spans="1:16" s="27" customFormat="1" x14ac:dyDescent="0.35">
      <c r="A19" s="80" t="s">
        <v>1043</v>
      </c>
      <c r="B19" s="75">
        <f t="shared" ref="B19:C19" si="16">B18</f>
        <v>46104</v>
      </c>
      <c r="C19" s="75">
        <f t="shared" si="16"/>
        <v>46113</v>
      </c>
      <c r="D19" s="63">
        <v>3259</v>
      </c>
      <c r="E19" s="63">
        <v>333</v>
      </c>
      <c r="F19" s="63">
        <v>3</v>
      </c>
      <c r="G19" s="29"/>
      <c r="H19" s="29"/>
      <c r="I19" s="29" t="s">
        <v>17</v>
      </c>
      <c r="J19" s="29">
        <v>59120486</v>
      </c>
      <c r="K19" s="80" t="s">
        <v>914</v>
      </c>
      <c r="L19" s="29" t="s">
        <v>919</v>
      </c>
      <c r="M19" s="86">
        <v>179900</v>
      </c>
      <c r="N19" s="81" t="s">
        <v>332</v>
      </c>
      <c r="O19" s="82">
        <v>119000</v>
      </c>
      <c r="P19" s="81" t="s">
        <v>333</v>
      </c>
    </row>
    <row r="20" spans="1:16" s="27" customFormat="1" x14ac:dyDescent="0.35">
      <c r="A20" s="80" t="s">
        <v>1043</v>
      </c>
      <c r="B20" s="75">
        <f t="shared" ref="B20:C20" si="17">B19</f>
        <v>46104</v>
      </c>
      <c r="C20" s="75">
        <f t="shared" si="17"/>
        <v>46113</v>
      </c>
      <c r="D20" s="63">
        <v>3259</v>
      </c>
      <c r="E20" s="63">
        <v>333</v>
      </c>
      <c r="F20" s="63">
        <v>3</v>
      </c>
      <c r="G20" s="29"/>
      <c r="H20" s="29"/>
      <c r="I20" s="29" t="s">
        <v>17</v>
      </c>
      <c r="J20" s="29">
        <v>59120495</v>
      </c>
      <c r="K20" s="80" t="s">
        <v>914</v>
      </c>
      <c r="L20" s="29" t="s">
        <v>920</v>
      </c>
      <c r="M20" s="86">
        <v>179900</v>
      </c>
      <c r="N20" s="81" t="s">
        <v>332</v>
      </c>
      <c r="O20" s="82">
        <v>119000</v>
      </c>
      <c r="P20" s="81" t="s">
        <v>333</v>
      </c>
    </row>
    <row r="21" spans="1:16" s="27" customFormat="1" x14ac:dyDescent="0.35">
      <c r="A21" s="80" t="s">
        <v>1043</v>
      </c>
      <c r="B21" s="75">
        <f t="shared" ref="B21:C21" si="18">B20</f>
        <v>46104</v>
      </c>
      <c r="C21" s="75">
        <f t="shared" si="18"/>
        <v>46113</v>
      </c>
      <c r="D21" s="63">
        <v>3259</v>
      </c>
      <c r="E21" s="63">
        <v>333</v>
      </c>
      <c r="F21" s="63">
        <v>3</v>
      </c>
      <c r="G21" s="29"/>
      <c r="H21" s="29"/>
      <c r="I21" s="29" t="s">
        <v>17</v>
      </c>
      <c r="J21" s="29">
        <v>59120502</v>
      </c>
      <c r="K21" s="80" t="s">
        <v>914</v>
      </c>
      <c r="L21" s="29" t="s">
        <v>921</v>
      </c>
      <c r="M21" s="86">
        <v>179900</v>
      </c>
      <c r="N21" s="81" t="s">
        <v>332</v>
      </c>
      <c r="O21" s="82">
        <v>119000</v>
      </c>
      <c r="P21" s="81" t="s">
        <v>333</v>
      </c>
    </row>
    <row r="22" spans="1:16" s="27" customFormat="1" x14ac:dyDescent="0.35">
      <c r="A22" s="80" t="s">
        <v>1043</v>
      </c>
      <c r="B22" s="75">
        <f t="shared" ref="B22:C22" si="19">B21</f>
        <v>46104</v>
      </c>
      <c r="C22" s="75">
        <f t="shared" si="19"/>
        <v>46113</v>
      </c>
      <c r="D22" s="63">
        <v>3259</v>
      </c>
      <c r="E22" s="63">
        <v>333</v>
      </c>
      <c r="F22" s="63">
        <v>3</v>
      </c>
      <c r="G22" s="29"/>
      <c r="H22" s="29"/>
      <c r="I22" s="29" t="s">
        <v>17</v>
      </c>
      <c r="J22" s="29">
        <v>59120511</v>
      </c>
      <c r="K22" s="80" t="s">
        <v>914</v>
      </c>
      <c r="L22" s="29" t="s">
        <v>922</v>
      </c>
      <c r="M22" s="86">
        <v>179900</v>
      </c>
      <c r="N22" s="81" t="s">
        <v>332</v>
      </c>
      <c r="O22" s="82">
        <v>119000</v>
      </c>
      <c r="P22" s="81" t="s">
        <v>333</v>
      </c>
    </row>
    <row r="23" spans="1:16" s="27" customFormat="1" x14ac:dyDescent="0.35">
      <c r="A23" s="80" t="s">
        <v>1043</v>
      </c>
      <c r="B23" s="75">
        <f t="shared" ref="B23:C23" si="20">B22</f>
        <v>46104</v>
      </c>
      <c r="C23" s="75">
        <f t="shared" si="20"/>
        <v>46113</v>
      </c>
      <c r="D23" s="63">
        <v>3259</v>
      </c>
      <c r="E23" s="63">
        <v>333</v>
      </c>
      <c r="F23" s="63">
        <v>3</v>
      </c>
      <c r="G23" s="29"/>
      <c r="H23" s="29"/>
      <c r="I23" s="29" t="s">
        <v>17</v>
      </c>
      <c r="J23" s="29">
        <v>59120520</v>
      </c>
      <c r="K23" s="80" t="s">
        <v>914</v>
      </c>
      <c r="L23" s="29" t="s">
        <v>923</v>
      </c>
      <c r="M23" s="86">
        <v>179900</v>
      </c>
      <c r="N23" s="81" t="s">
        <v>332</v>
      </c>
      <c r="O23" s="82">
        <v>119000</v>
      </c>
      <c r="P23" s="81" t="s">
        <v>333</v>
      </c>
    </row>
    <row r="24" spans="1:16" s="27" customFormat="1" x14ac:dyDescent="0.35">
      <c r="A24" s="80" t="s">
        <v>1043</v>
      </c>
      <c r="B24" s="75">
        <f t="shared" ref="B24:C24" si="21">B23</f>
        <v>46104</v>
      </c>
      <c r="C24" s="75">
        <f t="shared" si="21"/>
        <v>46113</v>
      </c>
      <c r="D24" s="63">
        <v>3259</v>
      </c>
      <c r="E24" s="63">
        <v>333</v>
      </c>
      <c r="F24" s="63">
        <v>3</v>
      </c>
      <c r="G24" s="29"/>
      <c r="H24" s="29"/>
      <c r="I24" s="29" t="s">
        <v>17</v>
      </c>
      <c r="J24" s="29">
        <v>59120539</v>
      </c>
      <c r="K24" s="80" t="s">
        <v>914</v>
      </c>
      <c r="L24" s="29" t="s">
        <v>924</v>
      </c>
      <c r="M24" s="86">
        <v>179900</v>
      </c>
      <c r="N24" s="81" t="s">
        <v>332</v>
      </c>
      <c r="O24" s="82">
        <v>119000</v>
      </c>
      <c r="P24" s="81" t="s">
        <v>333</v>
      </c>
    </row>
    <row r="25" spans="1:16" s="27" customFormat="1" x14ac:dyDescent="0.35">
      <c r="A25" s="80" t="s">
        <v>1043</v>
      </c>
      <c r="B25" s="75">
        <f t="shared" ref="B25:C25" si="22">B24</f>
        <v>46104</v>
      </c>
      <c r="C25" s="75">
        <f t="shared" si="22"/>
        <v>46113</v>
      </c>
      <c r="D25" s="63">
        <v>3259</v>
      </c>
      <c r="E25" s="63">
        <v>333</v>
      </c>
      <c r="F25" s="63">
        <v>3</v>
      </c>
      <c r="G25" s="29"/>
      <c r="H25" s="29"/>
      <c r="I25" s="29" t="s">
        <v>17</v>
      </c>
      <c r="J25" s="29">
        <v>59120548</v>
      </c>
      <c r="K25" s="80" t="s">
        <v>914</v>
      </c>
      <c r="L25" s="29" t="s">
        <v>925</v>
      </c>
      <c r="M25" s="86">
        <v>179900</v>
      </c>
      <c r="N25" s="81" t="s">
        <v>332</v>
      </c>
      <c r="O25" s="82">
        <v>119000</v>
      </c>
      <c r="P25" s="81" t="s">
        <v>333</v>
      </c>
    </row>
  </sheetData>
  <autoFilter ref="A1:P1" xr:uid="{00000000-0009-0000-0000-000017000000}"/>
  <conditionalFormatting sqref="J1">
    <cfRule type="duplicateValues" dxfId="427" priority="29"/>
    <cfRule type="duplicateValues" dxfId="426" priority="30"/>
  </conditionalFormatting>
  <conditionalFormatting sqref="J1:J25">
    <cfRule type="duplicateValues" dxfId="425" priority="1617"/>
    <cfRule type="duplicateValues" dxfId="424" priority="1618"/>
    <cfRule type="duplicateValues" dxfId="423" priority="1619"/>
    <cfRule type="duplicateValues" dxfId="422" priority="1620"/>
    <cfRule type="duplicateValues" dxfId="421" priority="1621"/>
    <cfRule type="duplicateValues" dxfId="420" priority="1622"/>
    <cfRule type="duplicateValues" dxfId="419" priority="1623"/>
    <cfRule type="duplicateValues" dxfId="418" priority="1624"/>
    <cfRule type="duplicateValues" dxfId="417" priority="1625"/>
    <cfRule type="duplicateValues" dxfId="416" priority="1998"/>
    <cfRule type="duplicateValues" dxfId="415" priority="1999"/>
    <cfRule type="duplicateValues" dxfId="414" priority="3256"/>
  </conditionalFormatting>
  <conditionalFormatting sqref="J1:J1048576">
    <cfRule type="duplicateValues" dxfId="413" priority="1"/>
    <cfRule type="duplicateValues" dxfId="412" priority="6624"/>
  </conditionalFormatting>
  <conditionalFormatting sqref="J2:J25">
    <cfRule type="duplicateValues" dxfId="411" priority="1632"/>
    <cfRule type="duplicateValues" dxfId="410" priority="1633"/>
    <cfRule type="duplicateValues" dxfId="409" priority="1634"/>
  </conditionalFormatting>
  <conditionalFormatting sqref="J17:J25">
    <cfRule type="duplicateValues" dxfId="408" priority="22"/>
    <cfRule type="duplicateValues" dxfId="407" priority="23"/>
    <cfRule type="duplicateValues" dxfId="406" priority="24"/>
    <cfRule type="duplicateValues" dxfId="405" priority="25"/>
    <cfRule type="duplicateValues" dxfId="404" priority="1635"/>
    <cfRule type="duplicateValues" dxfId="403" priority="163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P19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22" style="89" bestFit="1" customWidth="1"/>
    <col min="2" max="2" width="17.1796875" style="89" bestFit="1" customWidth="1"/>
    <col min="3" max="3" width="12.81640625" style="89" bestFit="1" customWidth="1"/>
    <col min="4" max="4" width="8.7265625" style="89" bestFit="1" customWidth="1"/>
    <col min="5" max="5" width="7.1796875" style="89" bestFit="1" customWidth="1"/>
    <col min="6" max="6" width="8.453125" style="89" bestFit="1" customWidth="1"/>
    <col min="7" max="7" width="5.7265625" style="89" bestFit="1" customWidth="1"/>
    <col min="8" max="8" width="8.54296875" style="89" bestFit="1" customWidth="1"/>
    <col min="9" max="9" width="11" style="89" bestFit="1" customWidth="1"/>
    <col min="10" max="10" width="14.54296875" style="89" bestFit="1" customWidth="1"/>
    <col min="11" max="11" width="12.54296875" style="89" customWidth="1"/>
    <col min="12" max="12" width="94" style="89" bestFit="1" customWidth="1"/>
    <col min="13" max="13" width="16.1796875" style="90" bestFit="1" customWidth="1"/>
    <col min="14" max="14" width="15.1796875" style="89" bestFit="1" customWidth="1"/>
    <col min="15" max="15" width="14" style="89" bestFit="1" customWidth="1"/>
    <col min="16" max="16" width="22.453125" style="89" bestFit="1" customWidth="1"/>
    <col min="17" max="16384" width="8.7265625" style="89"/>
  </cols>
  <sheetData>
    <row r="1" spans="1:16" s="91" customFormat="1" ht="29.25" customHeight="1" x14ac:dyDescent="0.35">
      <c r="A1" s="92" t="s">
        <v>0</v>
      </c>
      <c r="B1" s="93" t="s">
        <v>15</v>
      </c>
      <c r="C1" s="93" t="s">
        <v>11</v>
      </c>
      <c r="D1" s="92" t="s">
        <v>1</v>
      </c>
      <c r="E1" s="92" t="s">
        <v>2</v>
      </c>
      <c r="F1" s="92" t="s">
        <v>12</v>
      </c>
      <c r="G1" s="94" t="s">
        <v>3</v>
      </c>
      <c r="H1" s="94" t="s">
        <v>4</v>
      </c>
      <c r="I1" s="92" t="s">
        <v>5</v>
      </c>
      <c r="J1" s="92" t="s">
        <v>6</v>
      </c>
      <c r="K1" s="92" t="s">
        <v>7</v>
      </c>
      <c r="L1" s="92" t="s">
        <v>13</v>
      </c>
      <c r="M1" s="95" t="s">
        <v>14</v>
      </c>
      <c r="N1" s="96" t="s">
        <v>8</v>
      </c>
      <c r="O1" s="97" t="s">
        <v>9</v>
      </c>
      <c r="P1" s="92" t="s">
        <v>10</v>
      </c>
    </row>
    <row r="2" spans="1:16" x14ac:dyDescent="0.35">
      <c r="A2" s="107" t="s">
        <v>1044</v>
      </c>
      <c r="B2" s="12">
        <v>46104</v>
      </c>
      <c r="C2" s="12">
        <v>46113</v>
      </c>
      <c r="D2" s="98">
        <v>3259</v>
      </c>
      <c r="E2" s="98">
        <v>333</v>
      </c>
      <c r="F2" s="99">
        <v>3</v>
      </c>
      <c r="G2" s="100"/>
      <c r="H2" s="100"/>
      <c r="I2" s="101" t="s">
        <v>17</v>
      </c>
      <c r="J2" s="100">
        <v>15257591</v>
      </c>
      <c r="K2" s="100" t="s">
        <v>171</v>
      </c>
      <c r="L2" s="100" t="s">
        <v>172</v>
      </c>
      <c r="M2" s="102">
        <v>259900</v>
      </c>
      <c r="N2" s="105" t="s">
        <v>332</v>
      </c>
      <c r="O2" s="106">
        <v>199000</v>
      </c>
      <c r="P2" s="105" t="s">
        <v>333</v>
      </c>
    </row>
    <row r="3" spans="1:16" x14ac:dyDescent="0.35">
      <c r="A3" s="107" t="s">
        <v>1044</v>
      </c>
      <c r="B3" s="12">
        <f>B2</f>
        <v>46104</v>
      </c>
      <c r="C3" s="12">
        <f t="shared" ref="C3" si="0">C2</f>
        <v>46113</v>
      </c>
      <c r="D3" s="98">
        <v>3259</v>
      </c>
      <c r="E3" s="98">
        <v>333</v>
      </c>
      <c r="F3" s="99">
        <v>3</v>
      </c>
      <c r="G3" s="100"/>
      <c r="H3" s="100"/>
      <c r="I3" s="101" t="s">
        <v>17</v>
      </c>
      <c r="J3" s="100">
        <v>15257608</v>
      </c>
      <c r="K3" s="100" t="s">
        <v>171</v>
      </c>
      <c r="L3" s="100" t="s">
        <v>173</v>
      </c>
      <c r="M3" s="102">
        <v>259900</v>
      </c>
      <c r="N3" s="105" t="s">
        <v>332</v>
      </c>
      <c r="O3" s="106">
        <v>199000</v>
      </c>
      <c r="P3" s="105" t="s">
        <v>333</v>
      </c>
    </row>
    <row r="4" spans="1:16" x14ac:dyDescent="0.35">
      <c r="A4" s="107" t="s">
        <v>1044</v>
      </c>
      <c r="B4" s="12">
        <f t="shared" ref="B4:C4" si="1">B3</f>
        <v>46104</v>
      </c>
      <c r="C4" s="12">
        <f t="shared" si="1"/>
        <v>46113</v>
      </c>
      <c r="D4" s="98">
        <v>3259</v>
      </c>
      <c r="E4" s="98">
        <v>333</v>
      </c>
      <c r="F4" s="99">
        <v>3</v>
      </c>
      <c r="G4" s="100"/>
      <c r="H4" s="100"/>
      <c r="I4" s="101" t="s">
        <v>17</v>
      </c>
      <c r="J4" s="100">
        <v>15257617</v>
      </c>
      <c r="K4" s="100" t="s">
        <v>171</v>
      </c>
      <c r="L4" s="100" t="s">
        <v>174</v>
      </c>
      <c r="M4" s="102">
        <v>259900</v>
      </c>
      <c r="N4" s="105" t="s">
        <v>332</v>
      </c>
      <c r="O4" s="106">
        <v>199000</v>
      </c>
      <c r="P4" s="105" t="s">
        <v>333</v>
      </c>
    </row>
    <row r="5" spans="1:16" x14ac:dyDescent="0.35">
      <c r="A5" s="107" t="s">
        <v>1044</v>
      </c>
      <c r="B5" s="12">
        <f t="shared" ref="B5:C5" si="2">B4</f>
        <v>46104</v>
      </c>
      <c r="C5" s="12">
        <f t="shared" si="2"/>
        <v>46113</v>
      </c>
      <c r="D5" s="98">
        <v>3259</v>
      </c>
      <c r="E5" s="98">
        <v>333</v>
      </c>
      <c r="F5" s="99">
        <v>3</v>
      </c>
      <c r="G5" s="100"/>
      <c r="H5" s="100"/>
      <c r="I5" s="101" t="s">
        <v>17</v>
      </c>
      <c r="J5" s="100">
        <v>15257626</v>
      </c>
      <c r="K5" s="100" t="s">
        <v>171</v>
      </c>
      <c r="L5" s="100" t="s">
        <v>175</v>
      </c>
      <c r="M5" s="102">
        <v>259900</v>
      </c>
      <c r="N5" s="105" t="s">
        <v>332</v>
      </c>
      <c r="O5" s="106">
        <v>199000</v>
      </c>
      <c r="P5" s="105" t="s">
        <v>333</v>
      </c>
    </row>
    <row r="6" spans="1:16" x14ac:dyDescent="0.35">
      <c r="A6" s="107" t="s">
        <v>1044</v>
      </c>
      <c r="B6" s="12">
        <f t="shared" ref="B6:C6" si="3">B5</f>
        <v>46104</v>
      </c>
      <c r="C6" s="12">
        <f t="shared" si="3"/>
        <v>46113</v>
      </c>
      <c r="D6" s="98">
        <v>3259</v>
      </c>
      <c r="E6" s="98">
        <v>333</v>
      </c>
      <c r="F6" s="99">
        <v>3</v>
      </c>
      <c r="G6" s="100"/>
      <c r="H6" s="100"/>
      <c r="I6" s="101" t="s">
        <v>17</v>
      </c>
      <c r="J6" s="100">
        <v>15257635</v>
      </c>
      <c r="K6" s="100" t="s">
        <v>171</v>
      </c>
      <c r="L6" s="100" t="s">
        <v>176</v>
      </c>
      <c r="M6" s="102">
        <v>259900</v>
      </c>
      <c r="N6" s="105" t="s">
        <v>332</v>
      </c>
      <c r="O6" s="106">
        <v>199000</v>
      </c>
      <c r="P6" s="105" t="s">
        <v>333</v>
      </c>
    </row>
    <row r="7" spans="1:16" x14ac:dyDescent="0.35">
      <c r="A7" s="107" t="s">
        <v>1044</v>
      </c>
      <c r="B7" s="12">
        <f t="shared" ref="B7:C7" si="4">B6</f>
        <v>46104</v>
      </c>
      <c r="C7" s="12">
        <f t="shared" si="4"/>
        <v>46113</v>
      </c>
      <c r="D7" s="98">
        <v>3259</v>
      </c>
      <c r="E7" s="98">
        <v>333</v>
      </c>
      <c r="F7" s="99">
        <v>3</v>
      </c>
      <c r="G7" s="100"/>
      <c r="H7" s="100"/>
      <c r="I7" s="101" t="s">
        <v>17</v>
      </c>
      <c r="J7" s="100">
        <v>15257644</v>
      </c>
      <c r="K7" s="100" t="s">
        <v>171</v>
      </c>
      <c r="L7" s="100" t="s">
        <v>177</v>
      </c>
      <c r="M7" s="102">
        <v>259900</v>
      </c>
      <c r="N7" s="105" t="s">
        <v>332</v>
      </c>
      <c r="O7" s="106">
        <v>199000</v>
      </c>
      <c r="P7" s="105" t="s">
        <v>333</v>
      </c>
    </row>
    <row r="8" spans="1:16" x14ac:dyDescent="0.35">
      <c r="A8" s="107" t="s">
        <v>1044</v>
      </c>
      <c r="B8" s="12">
        <f t="shared" ref="B8:C8" si="5">B7</f>
        <v>46104</v>
      </c>
      <c r="C8" s="12">
        <f t="shared" si="5"/>
        <v>46113</v>
      </c>
      <c r="D8" s="98">
        <v>3259</v>
      </c>
      <c r="E8" s="98">
        <v>333</v>
      </c>
      <c r="F8" s="99">
        <v>3</v>
      </c>
      <c r="G8" s="100"/>
      <c r="H8" s="100"/>
      <c r="I8" s="101" t="s">
        <v>17</v>
      </c>
      <c r="J8" s="100">
        <v>15257653</v>
      </c>
      <c r="K8" s="100" t="s">
        <v>171</v>
      </c>
      <c r="L8" s="100" t="s">
        <v>359</v>
      </c>
      <c r="M8" s="102">
        <v>259900</v>
      </c>
      <c r="N8" s="105" t="s">
        <v>332</v>
      </c>
      <c r="O8" s="106">
        <v>199000</v>
      </c>
      <c r="P8" s="105" t="s">
        <v>333</v>
      </c>
    </row>
    <row r="9" spans="1:16" x14ac:dyDescent="0.35">
      <c r="A9" s="107" t="s">
        <v>1044</v>
      </c>
      <c r="B9" s="12">
        <f t="shared" ref="B9:C9" si="6">B8</f>
        <v>46104</v>
      </c>
      <c r="C9" s="12">
        <f t="shared" si="6"/>
        <v>46113</v>
      </c>
      <c r="D9" s="98">
        <v>3259</v>
      </c>
      <c r="E9" s="98">
        <v>333</v>
      </c>
      <c r="F9" s="99">
        <v>3</v>
      </c>
      <c r="G9" s="100"/>
      <c r="H9" s="100"/>
      <c r="I9" s="101" t="s">
        <v>17</v>
      </c>
      <c r="J9" s="100">
        <v>15257662</v>
      </c>
      <c r="K9" s="100" t="s">
        <v>171</v>
      </c>
      <c r="L9" s="100" t="s">
        <v>360</v>
      </c>
      <c r="M9" s="102">
        <v>259900</v>
      </c>
      <c r="N9" s="105" t="s">
        <v>332</v>
      </c>
      <c r="O9" s="106">
        <v>199000</v>
      </c>
      <c r="P9" s="105" t="s">
        <v>333</v>
      </c>
    </row>
    <row r="10" spans="1:16" x14ac:dyDescent="0.35">
      <c r="A10" s="107" t="s">
        <v>1044</v>
      </c>
      <c r="B10" s="12">
        <f t="shared" ref="B10:C10" si="7">B9</f>
        <v>46104</v>
      </c>
      <c r="C10" s="12">
        <f t="shared" si="7"/>
        <v>46113</v>
      </c>
      <c r="D10" s="98">
        <v>3259</v>
      </c>
      <c r="E10" s="98">
        <v>333</v>
      </c>
      <c r="F10" s="99">
        <v>3</v>
      </c>
      <c r="G10" s="100"/>
      <c r="H10" s="100"/>
      <c r="I10" s="101" t="s">
        <v>17</v>
      </c>
      <c r="J10" s="100">
        <v>15257671</v>
      </c>
      <c r="K10" s="100" t="s">
        <v>171</v>
      </c>
      <c r="L10" s="100" t="s">
        <v>361</v>
      </c>
      <c r="M10" s="102">
        <v>259900</v>
      </c>
      <c r="N10" s="105" t="s">
        <v>332</v>
      </c>
      <c r="O10" s="106">
        <v>199000</v>
      </c>
      <c r="P10" s="105" t="s">
        <v>333</v>
      </c>
    </row>
    <row r="11" spans="1:16" x14ac:dyDescent="0.35">
      <c r="A11" s="107" t="s">
        <v>1044</v>
      </c>
      <c r="B11" s="12">
        <f t="shared" ref="B11:C11" si="8">B10</f>
        <v>46104</v>
      </c>
      <c r="C11" s="12">
        <f t="shared" si="8"/>
        <v>46113</v>
      </c>
      <c r="D11" s="98">
        <v>3259</v>
      </c>
      <c r="E11" s="98">
        <v>333</v>
      </c>
      <c r="F11" s="99">
        <v>3</v>
      </c>
      <c r="G11" s="100"/>
      <c r="H11" s="100"/>
      <c r="I11" s="101" t="s">
        <v>17</v>
      </c>
      <c r="J11" s="100">
        <v>15257680</v>
      </c>
      <c r="K11" s="100" t="s">
        <v>171</v>
      </c>
      <c r="L11" s="100" t="s">
        <v>362</v>
      </c>
      <c r="M11" s="102">
        <v>259900</v>
      </c>
      <c r="N11" s="105" t="s">
        <v>332</v>
      </c>
      <c r="O11" s="106">
        <v>199000</v>
      </c>
      <c r="P11" s="105" t="s">
        <v>333</v>
      </c>
    </row>
    <row r="12" spans="1:16" x14ac:dyDescent="0.35">
      <c r="A12" s="107" t="s">
        <v>1044</v>
      </c>
      <c r="B12" s="12">
        <f t="shared" ref="B12:C12" si="9">B11</f>
        <v>46104</v>
      </c>
      <c r="C12" s="12">
        <f t="shared" si="9"/>
        <v>46113</v>
      </c>
      <c r="D12" s="98">
        <v>3259</v>
      </c>
      <c r="E12" s="98">
        <v>333</v>
      </c>
      <c r="F12" s="99">
        <v>3</v>
      </c>
      <c r="G12" s="100"/>
      <c r="H12" s="100"/>
      <c r="I12" s="101" t="s">
        <v>17</v>
      </c>
      <c r="J12" s="100">
        <v>15257699</v>
      </c>
      <c r="K12" s="100" t="s">
        <v>171</v>
      </c>
      <c r="L12" s="100" t="s">
        <v>363</v>
      </c>
      <c r="M12" s="102">
        <v>259900</v>
      </c>
      <c r="N12" s="105" t="s">
        <v>332</v>
      </c>
      <c r="O12" s="106">
        <v>199000</v>
      </c>
      <c r="P12" s="105" t="s">
        <v>333</v>
      </c>
    </row>
    <row r="13" spans="1:16" x14ac:dyDescent="0.35">
      <c r="A13" s="107" t="s">
        <v>1044</v>
      </c>
      <c r="B13" s="12">
        <f t="shared" ref="B13:C13" si="10">B12</f>
        <v>46104</v>
      </c>
      <c r="C13" s="12">
        <f t="shared" si="10"/>
        <v>46113</v>
      </c>
      <c r="D13" s="98">
        <v>3259</v>
      </c>
      <c r="E13" s="98">
        <v>333</v>
      </c>
      <c r="F13" s="99">
        <v>3</v>
      </c>
      <c r="G13" s="100"/>
      <c r="H13" s="100"/>
      <c r="I13" s="101" t="s">
        <v>17</v>
      </c>
      <c r="J13" s="100">
        <v>15257706</v>
      </c>
      <c r="K13" s="100" t="s">
        <v>171</v>
      </c>
      <c r="L13" s="100" t="s">
        <v>364</v>
      </c>
      <c r="M13" s="102">
        <v>259900</v>
      </c>
      <c r="N13" s="105" t="s">
        <v>332</v>
      </c>
      <c r="O13" s="106">
        <v>199000</v>
      </c>
      <c r="P13" s="105" t="s">
        <v>333</v>
      </c>
    </row>
    <row r="14" spans="1:16" x14ac:dyDescent="0.35">
      <c r="A14" s="107" t="s">
        <v>1044</v>
      </c>
      <c r="B14" s="12">
        <f t="shared" ref="B14:C14" si="11">B13</f>
        <v>46104</v>
      </c>
      <c r="C14" s="12">
        <f t="shared" si="11"/>
        <v>46113</v>
      </c>
      <c r="D14" s="98">
        <v>3259</v>
      </c>
      <c r="E14" s="98">
        <v>333</v>
      </c>
      <c r="F14" s="99">
        <v>3</v>
      </c>
      <c r="G14" s="100"/>
      <c r="H14" s="100"/>
      <c r="I14" s="101" t="s">
        <v>17</v>
      </c>
      <c r="J14" s="103">
        <v>15256314</v>
      </c>
      <c r="K14" s="103" t="s">
        <v>171</v>
      </c>
      <c r="L14" s="103" t="s">
        <v>346</v>
      </c>
      <c r="M14" s="104">
        <v>259900</v>
      </c>
      <c r="N14" s="105" t="s">
        <v>332</v>
      </c>
      <c r="O14" s="106">
        <v>199000</v>
      </c>
      <c r="P14" s="105" t="s">
        <v>333</v>
      </c>
    </row>
    <row r="15" spans="1:16" x14ac:dyDescent="0.35">
      <c r="A15" s="107" t="s">
        <v>1044</v>
      </c>
      <c r="B15" s="12">
        <f t="shared" ref="B15:C15" si="12">B14</f>
        <v>46104</v>
      </c>
      <c r="C15" s="12">
        <f t="shared" si="12"/>
        <v>46113</v>
      </c>
      <c r="D15" s="98">
        <v>3259</v>
      </c>
      <c r="E15" s="98">
        <v>333</v>
      </c>
      <c r="F15" s="99">
        <v>3</v>
      </c>
      <c r="G15" s="100"/>
      <c r="H15" s="100"/>
      <c r="I15" s="101" t="s">
        <v>17</v>
      </c>
      <c r="J15" s="103">
        <v>15256323</v>
      </c>
      <c r="K15" s="103" t="s">
        <v>171</v>
      </c>
      <c r="L15" s="103" t="s">
        <v>347</v>
      </c>
      <c r="M15" s="104">
        <v>259900</v>
      </c>
      <c r="N15" s="105" t="s">
        <v>332</v>
      </c>
      <c r="O15" s="106">
        <v>199000</v>
      </c>
      <c r="P15" s="105" t="s">
        <v>333</v>
      </c>
    </row>
    <row r="16" spans="1:16" x14ac:dyDescent="0.35">
      <c r="A16" s="107" t="s">
        <v>1044</v>
      </c>
      <c r="B16" s="12">
        <f t="shared" ref="B16:C16" si="13">B15</f>
        <v>46104</v>
      </c>
      <c r="C16" s="12">
        <f t="shared" si="13"/>
        <v>46113</v>
      </c>
      <c r="D16" s="98">
        <v>3259</v>
      </c>
      <c r="E16" s="98">
        <v>333</v>
      </c>
      <c r="F16" s="99">
        <v>3</v>
      </c>
      <c r="G16" s="100"/>
      <c r="H16" s="100"/>
      <c r="I16" s="101" t="s">
        <v>17</v>
      </c>
      <c r="J16" s="103">
        <v>15256332</v>
      </c>
      <c r="K16" s="103" t="s">
        <v>171</v>
      </c>
      <c r="L16" s="103" t="s">
        <v>348</v>
      </c>
      <c r="M16" s="104">
        <v>259900</v>
      </c>
      <c r="N16" s="105" t="s">
        <v>332</v>
      </c>
      <c r="O16" s="106">
        <v>199000</v>
      </c>
      <c r="P16" s="105" t="s">
        <v>333</v>
      </c>
    </row>
    <row r="17" spans="1:16" x14ac:dyDescent="0.35">
      <c r="A17" s="107" t="s">
        <v>1044</v>
      </c>
      <c r="B17" s="12">
        <f t="shared" ref="B17:C17" si="14">B16</f>
        <v>46104</v>
      </c>
      <c r="C17" s="12">
        <f t="shared" si="14"/>
        <v>46113</v>
      </c>
      <c r="D17" s="98">
        <v>3259</v>
      </c>
      <c r="E17" s="98">
        <v>333</v>
      </c>
      <c r="F17" s="99">
        <v>3</v>
      </c>
      <c r="G17" s="100"/>
      <c r="H17" s="100"/>
      <c r="I17" s="101" t="s">
        <v>17</v>
      </c>
      <c r="J17" s="103">
        <v>15256341</v>
      </c>
      <c r="K17" s="103" t="s">
        <v>171</v>
      </c>
      <c r="L17" s="103" t="s">
        <v>349</v>
      </c>
      <c r="M17" s="104">
        <v>259900</v>
      </c>
      <c r="N17" s="105" t="s">
        <v>332</v>
      </c>
      <c r="O17" s="106">
        <v>199000</v>
      </c>
      <c r="P17" s="105" t="s">
        <v>333</v>
      </c>
    </row>
    <row r="18" spans="1:16" x14ac:dyDescent="0.35">
      <c r="A18" s="107" t="s">
        <v>1044</v>
      </c>
      <c r="B18" s="12">
        <f t="shared" ref="B18:C18" si="15">B17</f>
        <v>46104</v>
      </c>
      <c r="C18" s="12">
        <f t="shared" si="15"/>
        <v>46113</v>
      </c>
      <c r="D18" s="98">
        <v>3259</v>
      </c>
      <c r="E18" s="98">
        <v>333</v>
      </c>
      <c r="F18" s="99">
        <v>3</v>
      </c>
      <c r="G18" s="100"/>
      <c r="H18" s="100"/>
      <c r="I18" s="101" t="s">
        <v>17</v>
      </c>
      <c r="J18" s="103">
        <v>15256350</v>
      </c>
      <c r="K18" s="103" t="s">
        <v>171</v>
      </c>
      <c r="L18" s="103" t="s">
        <v>350</v>
      </c>
      <c r="M18" s="104">
        <v>259900</v>
      </c>
      <c r="N18" s="105" t="s">
        <v>332</v>
      </c>
      <c r="O18" s="106">
        <v>199000</v>
      </c>
      <c r="P18" s="105" t="s">
        <v>333</v>
      </c>
    </row>
    <row r="19" spans="1:16" x14ac:dyDescent="0.35">
      <c r="A19" s="107" t="s">
        <v>1044</v>
      </c>
      <c r="B19" s="12">
        <f t="shared" ref="B19:C19" si="16">B18</f>
        <v>46104</v>
      </c>
      <c r="C19" s="12">
        <f t="shared" si="16"/>
        <v>46113</v>
      </c>
      <c r="D19" s="98">
        <v>3259</v>
      </c>
      <c r="E19" s="98">
        <v>333</v>
      </c>
      <c r="F19" s="99">
        <v>3</v>
      </c>
      <c r="G19" s="100"/>
      <c r="H19" s="100"/>
      <c r="I19" s="101" t="s">
        <v>17</v>
      </c>
      <c r="J19" s="103">
        <v>15256369</v>
      </c>
      <c r="K19" s="103" t="s">
        <v>171</v>
      </c>
      <c r="L19" s="103" t="s">
        <v>351</v>
      </c>
      <c r="M19" s="104">
        <v>259900</v>
      </c>
      <c r="N19" s="105" t="s">
        <v>332</v>
      </c>
      <c r="O19" s="106">
        <v>199000</v>
      </c>
      <c r="P19" s="105" t="s">
        <v>333</v>
      </c>
    </row>
  </sheetData>
  <autoFilter ref="A1:P19" xr:uid="{00000000-0009-0000-0000-000020000000}"/>
  <conditionalFormatting sqref="J1">
    <cfRule type="duplicateValues" dxfId="402" priority="61"/>
    <cfRule type="duplicateValues" dxfId="401" priority="62"/>
    <cfRule type="duplicateValues" dxfId="400" priority="63"/>
    <cfRule type="duplicateValues" dxfId="399" priority="64"/>
    <cfRule type="duplicateValues" dxfId="398" priority="65"/>
    <cfRule type="duplicateValues" dxfId="397" priority="66"/>
    <cfRule type="duplicateValues" dxfId="396" priority="67"/>
    <cfRule type="duplicateValues" dxfId="395" priority="68"/>
    <cfRule type="duplicateValues" dxfId="394" priority="69"/>
    <cfRule type="duplicateValues" dxfId="393" priority="70"/>
    <cfRule type="duplicateValues" dxfId="392" priority="71"/>
    <cfRule type="duplicateValues" dxfId="391" priority="72"/>
    <cfRule type="duplicateValues" dxfId="390" priority="73"/>
    <cfRule type="duplicateValues" dxfId="389" priority="74"/>
    <cfRule type="duplicateValues" dxfId="388" priority="75"/>
    <cfRule type="duplicateValues" dxfId="387" priority="76"/>
    <cfRule type="duplicateValues" dxfId="386" priority="7735"/>
    <cfRule type="duplicateValues" dxfId="385" priority="7736"/>
    <cfRule type="duplicateValues" dxfId="384" priority="7737"/>
    <cfRule type="duplicateValues" dxfId="383" priority="7738"/>
    <cfRule type="duplicateValues" dxfId="382" priority="7739"/>
    <cfRule type="duplicateValues" dxfId="381" priority="7740"/>
  </conditionalFormatting>
  <conditionalFormatting sqref="J1:J13 J20:J1048576">
    <cfRule type="duplicateValues" dxfId="380" priority="7776"/>
    <cfRule type="duplicateValues" dxfId="379" priority="7777"/>
    <cfRule type="duplicateValues" dxfId="378" priority="7778"/>
    <cfRule type="duplicateValues" dxfId="377" priority="7779"/>
    <cfRule type="duplicateValues" dxfId="376" priority="7780"/>
    <cfRule type="duplicateValues" dxfId="375" priority="7781"/>
    <cfRule type="duplicateValues" dxfId="374" priority="7782"/>
    <cfRule type="duplicateValues" dxfId="373" priority="7783"/>
    <cfRule type="duplicateValues" dxfId="372" priority="7784"/>
  </conditionalFormatting>
  <conditionalFormatting sqref="J1:J1048576">
    <cfRule type="duplicateValues" dxfId="371" priority="7812"/>
  </conditionalFormatting>
  <conditionalFormatting sqref="J2:J13">
    <cfRule type="duplicateValues" dxfId="370" priority="77"/>
    <cfRule type="duplicateValues" dxfId="369" priority="78"/>
    <cfRule type="duplicateValues" dxfId="368" priority="79"/>
    <cfRule type="duplicateValues" dxfId="367" priority="80"/>
    <cfRule type="duplicateValues" dxfId="366" priority="81"/>
    <cfRule type="duplicateValues" dxfId="365" priority="82"/>
    <cfRule type="duplicateValues" dxfId="364" priority="83"/>
    <cfRule type="duplicateValues" dxfId="363" priority="84"/>
    <cfRule type="duplicateValues" dxfId="362" priority="85"/>
    <cfRule type="duplicateValues" dxfId="361" priority="86"/>
    <cfRule type="duplicateValues" dxfId="360" priority="87"/>
    <cfRule type="duplicateValues" dxfId="359" priority="88"/>
    <cfRule type="duplicateValues" dxfId="358" priority="89"/>
    <cfRule type="duplicateValues" dxfId="357" priority="90"/>
    <cfRule type="duplicateValues" dxfId="356" priority="91"/>
    <cfRule type="duplicateValues" dxfId="355" priority="92"/>
    <cfRule type="duplicateValues" dxfId="354" priority="93"/>
    <cfRule type="duplicateValues" dxfId="353" priority="94"/>
    <cfRule type="duplicateValues" dxfId="352" priority="95"/>
    <cfRule type="duplicateValues" dxfId="351" priority="96"/>
    <cfRule type="duplicateValues" dxfId="350" priority="97"/>
    <cfRule type="duplicateValues" dxfId="349" priority="98"/>
    <cfRule type="duplicateValues" dxfId="348" priority="99"/>
    <cfRule type="duplicateValues" dxfId="347" priority="100"/>
    <cfRule type="duplicateValues" dxfId="346" priority="101"/>
    <cfRule type="duplicateValues" dxfId="345" priority="102"/>
    <cfRule type="duplicateValues" dxfId="344" priority="103"/>
    <cfRule type="duplicateValues" dxfId="343" priority="104"/>
    <cfRule type="duplicateValues" dxfId="342" priority="105"/>
    <cfRule type="duplicateValues" dxfId="341" priority="106"/>
    <cfRule type="duplicateValues" dxfId="340" priority="107"/>
  </conditionalFormatting>
  <conditionalFormatting sqref="J14:J19">
    <cfRule type="duplicateValues" dxfId="339" priority="3"/>
    <cfRule type="duplicateValues" dxfId="338" priority="4"/>
    <cfRule type="duplicateValues" dxfId="337" priority="5"/>
    <cfRule type="duplicateValues" dxfId="336" priority="6"/>
    <cfRule type="duplicateValues" dxfId="335" priority="7"/>
    <cfRule type="duplicateValues" dxfId="334" priority="8"/>
    <cfRule type="duplicateValues" dxfId="333" priority="9"/>
    <cfRule type="duplicateValues" dxfId="332" priority="10"/>
    <cfRule type="duplicateValues" dxfId="331" priority="11"/>
    <cfRule type="duplicateValues" dxfId="330" priority="12"/>
    <cfRule type="duplicateValues" dxfId="329" priority="13"/>
    <cfRule type="duplicateValues" dxfId="328" priority="14"/>
    <cfRule type="duplicateValues" dxfId="327" priority="49"/>
    <cfRule type="duplicateValues" dxfId="326" priority="50"/>
    <cfRule type="duplicateValues" dxfId="325" priority="51"/>
    <cfRule type="duplicateValues" dxfId="324" priority="52"/>
    <cfRule type="duplicateValues" dxfId="323" priority="53"/>
    <cfRule type="duplicateValues" dxfId="322" priority="54"/>
    <cfRule type="duplicateValues" dxfId="321" priority="7815"/>
    <cfRule type="duplicateValues" dxfId="320" priority="7816"/>
    <cfRule type="duplicateValues" dxfId="319" priority="7817"/>
    <cfRule type="duplicateValues" dxfId="318" priority="7818"/>
    <cfRule type="duplicateValues" dxfId="317" priority="7819"/>
    <cfRule type="duplicateValues" dxfId="316" priority="7820"/>
    <cfRule type="duplicateValues" dxfId="315" priority="7821"/>
    <cfRule type="duplicateValues" dxfId="314" priority="782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7A24-6349-43F6-88A4-11C33826EA42}">
  <sheetPr>
    <tabColor rgb="FFFF0000"/>
  </sheetPr>
  <dimension ref="A1:P49"/>
  <sheetViews>
    <sheetView topLeftCell="C1" zoomScale="57" workbookViewId="0">
      <selection activeCell="L34" sqref="L34"/>
    </sheetView>
  </sheetViews>
  <sheetFormatPr defaultColWidth="8.7265625" defaultRowHeight="14.5" x14ac:dyDescent="0.35"/>
  <cols>
    <col min="1" max="1" width="31.1796875" style="39" customWidth="1"/>
    <col min="2" max="2" width="19.26953125" style="39" bestFit="1" customWidth="1"/>
    <col min="3" max="3" width="16.36328125" style="39" bestFit="1" customWidth="1"/>
    <col min="4" max="4" width="13.36328125" style="39" bestFit="1" customWidth="1"/>
    <col min="5" max="5" width="15.7265625" style="39" bestFit="1" customWidth="1"/>
    <col min="6" max="6" width="16.81640625" style="39" bestFit="1" customWidth="1"/>
    <col min="7" max="7" width="14.26953125" style="39" bestFit="1" customWidth="1"/>
    <col min="8" max="8" width="17" style="39" bestFit="1" customWidth="1"/>
    <col min="9" max="9" width="15.26953125" style="39" bestFit="1" customWidth="1"/>
    <col min="10" max="10" width="12.36328125" style="39" bestFit="1" customWidth="1"/>
    <col min="11" max="11" width="15.90625" style="39" bestFit="1" customWidth="1"/>
    <col min="12" max="12" width="65.36328125" style="39" customWidth="1"/>
    <col min="13" max="13" width="25.08984375" style="55" bestFit="1" customWidth="1"/>
    <col min="14" max="14" width="15.7265625" style="39" bestFit="1" customWidth="1"/>
    <col min="15" max="16" width="22.7265625" style="39" bestFit="1" customWidth="1"/>
    <col min="17" max="16384" width="8.7265625" style="39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2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3" t="s">
        <v>1046</v>
      </c>
      <c r="B2" s="12">
        <v>46104</v>
      </c>
      <c r="C2" s="12">
        <v>46113</v>
      </c>
      <c r="D2" s="21">
        <v>3259</v>
      </c>
      <c r="E2" s="21">
        <v>333</v>
      </c>
      <c r="F2" s="11">
        <v>3</v>
      </c>
      <c r="G2" s="45">
        <v>6</v>
      </c>
      <c r="H2" s="45"/>
      <c r="I2" s="24" t="s">
        <v>17</v>
      </c>
      <c r="J2" s="45">
        <v>59201826</v>
      </c>
      <c r="K2" s="88" t="s">
        <v>912</v>
      </c>
      <c r="L2" s="45" t="s">
        <v>941</v>
      </c>
      <c r="M2" s="62">
        <v>279900</v>
      </c>
      <c r="N2" s="105" t="s">
        <v>332</v>
      </c>
      <c r="O2" s="106">
        <v>179000</v>
      </c>
      <c r="P2" s="105" t="s">
        <v>333</v>
      </c>
    </row>
    <row r="3" spans="1:16" x14ac:dyDescent="0.35">
      <c r="A3" s="83" t="s">
        <v>1046</v>
      </c>
      <c r="B3" s="12">
        <f>B2</f>
        <v>46104</v>
      </c>
      <c r="C3" s="12">
        <f t="shared" ref="C3:C49" si="0">C2</f>
        <v>46113</v>
      </c>
      <c r="D3" s="21">
        <v>3259</v>
      </c>
      <c r="E3" s="21">
        <v>333</v>
      </c>
      <c r="F3" s="11">
        <v>3</v>
      </c>
      <c r="G3" s="45">
        <v>6</v>
      </c>
      <c r="H3" s="45"/>
      <c r="I3" s="24" t="s">
        <v>17</v>
      </c>
      <c r="J3" s="45">
        <v>59201782</v>
      </c>
      <c r="K3" s="45" t="s">
        <v>912</v>
      </c>
      <c r="L3" s="45" t="s">
        <v>942</v>
      </c>
      <c r="M3" s="62">
        <v>279900</v>
      </c>
      <c r="N3" s="105" t="s">
        <v>332</v>
      </c>
      <c r="O3" s="106">
        <v>179000</v>
      </c>
      <c r="P3" s="105" t="s">
        <v>333</v>
      </c>
    </row>
    <row r="4" spans="1:16" x14ac:dyDescent="0.35">
      <c r="A4" s="83" t="s">
        <v>1046</v>
      </c>
      <c r="B4" s="12">
        <f t="shared" ref="B4:B49" si="1">B3</f>
        <v>46104</v>
      </c>
      <c r="C4" s="12">
        <f t="shared" si="0"/>
        <v>46113</v>
      </c>
      <c r="D4" s="21">
        <v>3259</v>
      </c>
      <c r="E4" s="21">
        <v>333</v>
      </c>
      <c r="F4" s="11">
        <v>3</v>
      </c>
      <c r="G4" s="45">
        <v>6</v>
      </c>
      <c r="H4" s="45"/>
      <c r="I4" s="24" t="s">
        <v>17</v>
      </c>
      <c r="J4" s="45">
        <v>59201791</v>
      </c>
      <c r="K4" s="45" t="s">
        <v>912</v>
      </c>
      <c r="L4" s="45" t="s">
        <v>943</v>
      </c>
      <c r="M4" s="62">
        <v>279900</v>
      </c>
      <c r="N4" s="105" t="s">
        <v>332</v>
      </c>
      <c r="O4" s="106">
        <v>179000</v>
      </c>
      <c r="P4" s="105" t="s">
        <v>333</v>
      </c>
    </row>
    <row r="5" spans="1:16" x14ac:dyDescent="0.35">
      <c r="A5" s="83" t="s">
        <v>1046</v>
      </c>
      <c r="B5" s="12">
        <f t="shared" si="1"/>
        <v>46104</v>
      </c>
      <c r="C5" s="12">
        <f t="shared" si="0"/>
        <v>46113</v>
      </c>
      <c r="D5" s="21">
        <v>3259</v>
      </c>
      <c r="E5" s="21">
        <v>333</v>
      </c>
      <c r="F5" s="11">
        <v>3</v>
      </c>
      <c r="G5" s="45">
        <v>6</v>
      </c>
      <c r="H5" s="45"/>
      <c r="I5" s="24" t="s">
        <v>17</v>
      </c>
      <c r="J5" s="45">
        <v>59201817</v>
      </c>
      <c r="K5" s="45" t="s">
        <v>912</v>
      </c>
      <c r="L5" s="45" t="s">
        <v>944</v>
      </c>
      <c r="M5" s="62">
        <v>279900</v>
      </c>
      <c r="N5" s="105" t="s">
        <v>332</v>
      </c>
      <c r="O5" s="106">
        <v>179000</v>
      </c>
      <c r="P5" s="105" t="s">
        <v>333</v>
      </c>
    </row>
    <row r="6" spans="1:16" x14ac:dyDescent="0.35">
      <c r="A6" s="83" t="s">
        <v>1046</v>
      </c>
      <c r="B6" s="12">
        <f t="shared" si="1"/>
        <v>46104</v>
      </c>
      <c r="C6" s="12">
        <f t="shared" si="0"/>
        <v>46113</v>
      </c>
      <c r="D6" s="21">
        <v>3259</v>
      </c>
      <c r="E6" s="21">
        <v>333</v>
      </c>
      <c r="F6" s="11">
        <v>3</v>
      </c>
      <c r="G6" s="45">
        <v>6</v>
      </c>
      <c r="H6" s="45"/>
      <c r="I6" s="24" t="s">
        <v>17</v>
      </c>
      <c r="J6" s="45">
        <v>59201808</v>
      </c>
      <c r="K6" s="45" t="s">
        <v>912</v>
      </c>
      <c r="L6" s="45" t="s">
        <v>945</v>
      </c>
      <c r="M6" s="62">
        <v>279900</v>
      </c>
      <c r="N6" s="105" t="s">
        <v>332</v>
      </c>
      <c r="O6" s="106">
        <v>179000</v>
      </c>
      <c r="P6" s="105" t="s">
        <v>333</v>
      </c>
    </row>
    <row r="7" spans="1:16" x14ac:dyDescent="0.35">
      <c r="A7" s="83" t="s">
        <v>1046</v>
      </c>
      <c r="B7" s="12">
        <f t="shared" si="1"/>
        <v>46104</v>
      </c>
      <c r="C7" s="12">
        <f t="shared" si="0"/>
        <v>46113</v>
      </c>
      <c r="D7" s="21">
        <v>3259</v>
      </c>
      <c r="E7" s="21">
        <v>333</v>
      </c>
      <c r="F7" s="11">
        <v>3</v>
      </c>
      <c r="G7" s="45">
        <v>6</v>
      </c>
      <c r="H7" s="45"/>
      <c r="I7" s="24" t="s">
        <v>17</v>
      </c>
      <c r="J7" s="45">
        <v>59201835</v>
      </c>
      <c r="K7" s="45" t="s">
        <v>912</v>
      </c>
      <c r="L7" s="45" t="s">
        <v>946</v>
      </c>
      <c r="M7" s="62">
        <v>279900</v>
      </c>
      <c r="N7" s="105" t="s">
        <v>332</v>
      </c>
      <c r="O7" s="106">
        <v>179000</v>
      </c>
      <c r="P7" s="105" t="s">
        <v>333</v>
      </c>
    </row>
    <row r="8" spans="1:16" x14ac:dyDescent="0.35">
      <c r="A8" s="83" t="s">
        <v>1046</v>
      </c>
      <c r="B8" s="12">
        <f t="shared" si="1"/>
        <v>46104</v>
      </c>
      <c r="C8" s="12">
        <f t="shared" si="0"/>
        <v>46113</v>
      </c>
      <c r="D8" s="21">
        <v>3259</v>
      </c>
      <c r="E8" s="21">
        <v>333</v>
      </c>
      <c r="F8" s="11">
        <v>3</v>
      </c>
      <c r="G8" s="45">
        <v>6</v>
      </c>
      <c r="H8" s="45"/>
      <c r="I8" s="24" t="s">
        <v>17</v>
      </c>
      <c r="J8" s="45">
        <v>51919718</v>
      </c>
      <c r="K8" s="45" t="s">
        <v>624</v>
      </c>
      <c r="L8" s="45" t="s">
        <v>991</v>
      </c>
      <c r="M8" s="87">
        <v>279900</v>
      </c>
      <c r="N8" s="105" t="s">
        <v>332</v>
      </c>
      <c r="O8" s="106">
        <v>179000</v>
      </c>
      <c r="P8" s="105" t="s">
        <v>333</v>
      </c>
    </row>
    <row r="9" spans="1:16" x14ac:dyDescent="0.35">
      <c r="A9" s="83" t="s">
        <v>1046</v>
      </c>
      <c r="B9" s="12">
        <f t="shared" si="1"/>
        <v>46104</v>
      </c>
      <c r="C9" s="12">
        <f t="shared" si="0"/>
        <v>46113</v>
      </c>
      <c r="D9" s="21">
        <v>3259</v>
      </c>
      <c r="E9" s="21">
        <v>333</v>
      </c>
      <c r="F9" s="11">
        <v>3</v>
      </c>
      <c r="G9" s="45">
        <v>6</v>
      </c>
      <c r="H9" s="45"/>
      <c r="I9" s="24" t="s">
        <v>17</v>
      </c>
      <c r="J9" s="45">
        <v>51919727</v>
      </c>
      <c r="K9" s="45" t="s">
        <v>624</v>
      </c>
      <c r="L9" s="45" t="s">
        <v>992</v>
      </c>
      <c r="M9" s="87">
        <v>279900</v>
      </c>
      <c r="N9" s="105" t="s">
        <v>332</v>
      </c>
      <c r="O9" s="106">
        <v>179000</v>
      </c>
      <c r="P9" s="105" t="s">
        <v>333</v>
      </c>
    </row>
    <row r="10" spans="1:16" x14ac:dyDescent="0.35">
      <c r="A10" s="83" t="s">
        <v>1046</v>
      </c>
      <c r="B10" s="12">
        <f t="shared" si="1"/>
        <v>46104</v>
      </c>
      <c r="C10" s="12">
        <f t="shared" si="0"/>
        <v>46113</v>
      </c>
      <c r="D10" s="21">
        <v>3259</v>
      </c>
      <c r="E10" s="21">
        <v>333</v>
      </c>
      <c r="F10" s="11">
        <v>3</v>
      </c>
      <c r="G10" s="45">
        <v>6</v>
      </c>
      <c r="H10" s="45"/>
      <c r="I10" s="24" t="s">
        <v>17</v>
      </c>
      <c r="J10" s="45">
        <v>51919736</v>
      </c>
      <c r="K10" s="45" t="s">
        <v>624</v>
      </c>
      <c r="L10" s="45" t="s">
        <v>993</v>
      </c>
      <c r="M10" s="87">
        <v>279900</v>
      </c>
      <c r="N10" s="105" t="s">
        <v>332</v>
      </c>
      <c r="O10" s="106">
        <v>179000</v>
      </c>
      <c r="P10" s="105" t="s">
        <v>333</v>
      </c>
    </row>
    <row r="11" spans="1:16" x14ac:dyDescent="0.35">
      <c r="A11" s="83" t="s">
        <v>1046</v>
      </c>
      <c r="B11" s="12">
        <f t="shared" si="1"/>
        <v>46104</v>
      </c>
      <c r="C11" s="12">
        <f t="shared" si="0"/>
        <v>46113</v>
      </c>
      <c r="D11" s="21">
        <v>3259</v>
      </c>
      <c r="E11" s="21">
        <v>333</v>
      </c>
      <c r="F11" s="11">
        <v>3</v>
      </c>
      <c r="G11" s="45">
        <v>6</v>
      </c>
      <c r="H11" s="45"/>
      <c r="I11" s="24" t="s">
        <v>17</v>
      </c>
      <c r="J11" s="45">
        <v>51919745</v>
      </c>
      <c r="K11" s="45" t="s">
        <v>624</v>
      </c>
      <c r="L11" s="45" t="s">
        <v>994</v>
      </c>
      <c r="M11" s="87">
        <v>279900</v>
      </c>
      <c r="N11" s="105" t="s">
        <v>332</v>
      </c>
      <c r="O11" s="106">
        <v>179000</v>
      </c>
      <c r="P11" s="105" t="s">
        <v>333</v>
      </c>
    </row>
    <row r="12" spans="1:16" x14ac:dyDescent="0.35">
      <c r="A12" s="83" t="s">
        <v>1046</v>
      </c>
      <c r="B12" s="12">
        <f t="shared" si="1"/>
        <v>46104</v>
      </c>
      <c r="C12" s="12">
        <f t="shared" si="0"/>
        <v>46113</v>
      </c>
      <c r="D12" s="21">
        <v>3259</v>
      </c>
      <c r="E12" s="21">
        <v>333</v>
      </c>
      <c r="F12" s="11">
        <v>3</v>
      </c>
      <c r="G12" s="45">
        <v>6</v>
      </c>
      <c r="H12" s="45"/>
      <c r="I12" s="24" t="s">
        <v>17</v>
      </c>
      <c r="J12" s="45">
        <v>51919754</v>
      </c>
      <c r="K12" s="45" t="s">
        <v>624</v>
      </c>
      <c r="L12" s="45" t="s">
        <v>995</v>
      </c>
      <c r="M12" s="87">
        <v>279900</v>
      </c>
      <c r="N12" s="105" t="s">
        <v>332</v>
      </c>
      <c r="O12" s="106">
        <v>179000</v>
      </c>
      <c r="P12" s="105" t="s">
        <v>333</v>
      </c>
    </row>
    <row r="13" spans="1:16" x14ac:dyDescent="0.35">
      <c r="A13" s="83" t="s">
        <v>1046</v>
      </c>
      <c r="B13" s="12">
        <f t="shared" si="1"/>
        <v>46104</v>
      </c>
      <c r="C13" s="12">
        <f t="shared" si="0"/>
        <v>46113</v>
      </c>
      <c r="D13" s="21">
        <v>3259</v>
      </c>
      <c r="E13" s="21">
        <v>333</v>
      </c>
      <c r="F13" s="11">
        <v>3</v>
      </c>
      <c r="G13" s="45">
        <v>6</v>
      </c>
      <c r="H13" s="45"/>
      <c r="I13" s="24" t="s">
        <v>17</v>
      </c>
      <c r="J13" s="45">
        <v>51919763</v>
      </c>
      <c r="K13" s="45" t="s">
        <v>624</v>
      </c>
      <c r="L13" s="45" t="s">
        <v>996</v>
      </c>
      <c r="M13" s="87">
        <v>279900</v>
      </c>
      <c r="N13" s="105" t="s">
        <v>332</v>
      </c>
      <c r="O13" s="106">
        <v>179000</v>
      </c>
      <c r="P13" s="105" t="s">
        <v>333</v>
      </c>
    </row>
    <row r="14" spans="1:16" x14ac:dyDescent="0.35">
      <c r="A14" s="83" t="s">
        <v>1046</v>
      </c>
      <c r="B14" s="12">
        <f t="shared" si="1"/>
        <v>46104</v>
      </c>
      <c r="C14" s="12">
        <f t="shared" si="0"/>
        <v>46113</v>
      </c>
      <c r="D14" s="21">
        <v>3259</v>
      </c>
      <c r="E14" s="21">
        <v>333</v>
      </c>
      <c r="F14" s="11">
        <v>3</v>
      </c>
      <c r="G14" s="45">
        <v>6</v>
      </c>
      <c r="H14" s="45"/>
      <c r="I14" s="24" t="s">
        <v>17</v>
      </c>
      <c r="J14" s="24">
        <v>50386180</v>
      </c>
      <c r="K14" s="24" t="s">
        <v>624</v>
      </c>
      <c r="L14" s="24" t="s">
        <v>997</v>
      </c>
      <c r="M14" s="76">
        <v>279900</v>
      </c>
      <c r="N14" s="105" t="s">
        <v>332</v>
      </c>
      <c r="O14" s="106">
        <v>179000</v>
      </c>
      <c r="P14" s="105" t="s">
        <v>333</v>
      </c>
    </row>
    <row r="15" spans="1:16" x14ac:dyDescent="0.35">
      <c r="A15" s="83" t="s">
        <v>1046</v>
      </c>
      <c r="B15" s="12">
        <f t="shared" si="1"/>
        <v>46104</v>
      </c>
      <c r="C15" s="12">
        <f t="shared" si="0"/>
        <v>46113</v>
      </c>
      <c r="D15" s="21">
        <v>3259</v>
      </c>
      <c r="E15" s="21">
        <v>333</v>
      </c>
      <c r="F15" s="11">
        <v>3</v>
      </c>
      <c r="G15" s="45">
        <v>6</v>
      </c>
      <c r="H15" s="45"/>
      <c r="I15" s="24" t="s">
        <v>17</v>
      </c>
      <c r="J15" s="24">
        <v>50386199</v>
      </c>
      <c r="K15" s="24" t="s">
        <v>624</v>
      </c>
      <c r="L15" s="24" t="s">
        <v>998</v>
      </c>
      <c r="M15" s="76">
        <v>279900</v>
      </c>
      <c r="N15" s="105" t="s">
        <v>332</v>
      </c>
      <c r="O15" s="106">
        <v>179000</v>
      </c>
      <c r="P15" s="105" t="s">
        <v>333</v>
      </c>
    </row>
    <row r="16" spans="1:16" x14ac:dyDescent="0.35">
      <c r="A16" s="83" t="s">
        <v>1046</v>
      </c>
      <c r="B16" s="12">
        <f t="shared" si="1"/>
        <v>46104</v>
      </c>
      <c r="C16" s="12">
        <f t="shared" si="0"/>
        <v>46113</v>
      </c>
      <c r="D16" s="21">
        <v>3259</v>
      </c>
      <c r="E16" s="21">
        <v>333</v>
      </c>
      <c r="F16" s="11">
        <v>3</v>
      </c>
      <c r="G16" s="45">
        <v>6</v>
      </c>
      <c r="H16" s="45"/>
      <c r="I16" s="24" t="s">
        <v>17</v>
      </c>
      <c r="J16" s="24">
        <v>50386215</v>
      </c>
      <c r="K16" s="24" t="s">
        <v>624</v>
      </c>
      <c r="L16" s="24" t="s">
        <v>999</v>
      </c>
      <c r="M16" s="76">
        <v>279900</v>
      </c>
      <c r="N16" s="105" t="s">
        <v>332</v>
      </c>
      <c r="O16" s="106">
        <v>179000</v>
      </c>
      <c r="P16" s="105" t="s">
        <v>333</v>
      </c>
    </row>
    <row r="17" spans="1:16" x14ac:dyDescent="0.35">
      <c r="A17" s="83" t="s">
        <v>1046</v>
      </c>
      <c r="B17" s="12">
        <f t="shared" si="1"/>
        <v>46104</v>
      </c>
      <c r="C17" s="12">
        <f t="shared" si="0"/>
        <v>46113</v>
      </c>
      <c r="D17" s="21">
        <v>3259</v>
      </c>
      <c r="E17" s="21">
        <v>333</v>
      </c>
      <c r="F17" s="11">
        <v>3</v>
      </c>
      <c r="G17" s="45">
        <v>6</v>
      </c>
      <c r="H17" s="45"/>
      <c r="I17" s="24" t="s">
        <v>17</v>
      </c>
      <c r="J17" s="24">
        <v>50386224</v>
      </c>
      <c r="K17" s="24" t="s">
        <v>624</v>
      </c>
      <c r="L17" s="24" t="s">
        <v>1000</v>
      </c>
      <c r="M17" s="76">
        <v>279900</v>
      </c>
      <c r="N17" s="105" t="s">
        <v>332</v>
      </c>
      <c r="O17" s="106">
        <v>179000</v>
      </c>
      <c r="P17" s="105" t="s">
        <v>333</v>
      </c>
    </row>
    <row r="18" spans="1:16" x14ac:dyDescent="0.35">
      <c r="A18" s="83" t="s">
        <v>1046</v>
      </c>
      <c r="B18" s="12">
        <f t="shared" si="1"/>
        <v>46104</v>
      </c>
      <c r="C18" s="12">
        <f t="shared" si="0"/>
        <v>46113</v>
      </c>
      <c r="D18" s="21">
        <v>3259</v>
      </c>
      <c r="E18" s="21">
        <v>333</v>
      </c>
      <c r="F18" s="11">
        <v>3</v>
      </c>
      <c r="G18" s="45">
        <v>6</v>
      </c>
      <c r="H18" s="45"/>
      <c r="I18" s="24" t="s">
        <v>17</v>
      </c>
      <c r="J18" s="24">
        <v>50386233</v>
      </c>
      <c r="K18" s="24" t="s">
        <v>624</v>
      </c>
      <c r="L18" s="24" t="s">
        <v>1001</v>
      </c>
      <c r="M18" s="76">
        <v>279900</v>
      </c>
      <c r="N18" s="105" t="s">
        <v>332</v>
      </c>
      <c r="O18" s="106">
        <v>179000</v>
      </c>
      <c r="P18" s="105" t="s">
        <v>333</v>
      </c>
    </row>
    <row r="19" spans="1:16" x14ac:dyDescent="0.35">
      <c r="A19" s="83" t="s">
        <v>1046</v>
      </c>
      <c r="B19" s="12">
        <f t="shared" si="1"/>
        <v>46104</v>
      </c>
      <c r="C19" s="12">
        <f t="shared" si="0"/>
        <v>46113</v>
      </c>
      <c r="D19" s="21">
        <v>3259</v>
      </c>
      <c r="E19" s="21">
        <v>333</v>
      </c>
      <c r="F19" s="11">
        <v>3</v>
      </c>
      <c r="G19" s="45">
        <v>6</v>
      </c>
      <c r="H19" s="45"/>
      <c r="I19" s="24" t="s">
        <v>17</v>
      </c>
      <c r="J19" s="24">
        <v>50386242</v>
      </c>
      <c r="K19" s="24" t="s">
        <v>624</v>
      </c>
      <c r="L19" s="24" t="s">
        <v>1002</v>
      </c>
      <c r="M19" s="76">
        <v>279900</v>
      </c>
      <c r="N19" s="105" t="s">
        <v>332</v>
      </c>
      <c r="O19" s="106">
        <v>179000</v>
      </c>
      <c r="P19" s="105" t="s">
        <v>333</v>
      </c>
    </row>
    <row r="20" spans="1:16" x14ac:dyDescent="0.35">
      <c r="A20" s="83" t="s">
        <v>1046</v>
      </c>
      <c r="B20" s="12">
        <f t="shared" si="1"/>
        <v>46104</v>
      </c>
      <c r="C20" s="12">
        <f t="shared" si="0"/>
        <v>46113</v>
      </c>
      <c r="D20" s="21">
        <v>3259</v>
      </c>
      <c r="E20" s="21">
        <v>333</v>
      </c>
      <c r="F20" s="11">
        <v>3</v>
      </c>
      <c r="G20" s="45">
        <v>6</v>
      </c>
      <c r="H20" s="45"/>
      <c r="I20" s="24" t="s">
        <v>17</v>
      </c>
      <c r="J20" s="45">
        <v>59201924</v>
      </c>
      <c r="K20" s="45" t="s">
        <v>947</v>
      </c>
      <c r="L20" s="45" t="s">
        <v>960</v>
      </c>
      <c r="M20" s="62">
        <v>249900</v>
      </c>
      <c r="N20" s="105" t="s">
        <v>332</v>
      </c>
      <c r="O20" s="106">
        <v>179000</v>
      </c>
      <c r="P20" s="105" t="s">
        <v>333</v>
      </c>
    </row>
    <row r="21" spans="1:16" x14ac:dyDescent="0.35">
      <c r="A21" s="83" t="s">
        <v>1046</v>
      </c>
      <c r="B21" s="12">
        <f t="shared" si="1"/>
        <v>46104</v>
      </c>
      <c r="C21" s="12">
        <f t="shared" si="0"/>
        <v>46113</v>
      </c>
      <c r="D21" s="21">
        <v>3259</v>
      </c>
      <c r="E21" s="21">
        <v>333</v>
      </c>
      <c r="F21" s="11">
        <v>3</v>
      </c>
      <c r="G21" s="45">
        <v>6</v>
      </c>
      <c r="H21" s="45"/>
      <c r="I21" s="24" t="s">
        <v>17</v>
      </c>
      <c r="J21" s="45">
        <v>59201933</v>
      </c>
      <c r="K21" s="45" t="s">
        <v>947</v>
      </c>
      <c r="L21" s="45" t="s">
        <v>961</v>
      </c>
      <c r="M21" s="62">
        <v>249900</v>
      </c>
      <c r="N21" s="105" t="s">
        <v>332</v>
      </c>
      <c r="O21" s="106">
        <v>179000</v>
      </c>
      <c r="P21" s="105" t="s">
        <v>333</v>
      </c>
    </row>
    <row r="22" spans="1:16" x14ac:dyDescent="0.35">
      <c r="A22" s="83" t="s">
        <v>1046</v>
      </c>
      <c r="B22" s="12">
        <f t="shared" si="1"/>
        <v>46104</v>
      </c>
      <c r="C22" s="12">
        <f t="shared" si="0"/>
        <v>46113</v>
      </c>
      <c r="D22" s="21">
        <v>3259</v>
      </c>
      <c r="E22" s="21">
        <v>333</v>
      </c>
      <c r="F22" s="11">
        <v>3</v>
      </c>
      <c r="G22" s="45">
        <v>6</v>
      </c>
      <c r="H22" s="45"/>
      <c r="I22" s="24" t="s">
        <v>17</v>
      </c>
      <c r="J22" s="45">
        <v>59201942</v>
      </c>
      <c r="K22" s="45" t="s">
        <v>947</v>
      </c>
      <c r="L22" s="45" t="s">
        <v>962</v>
      </c>
      <c r="M22" s="62">
        <v>249900</v>
      </c>
      <c r="N22" s="105" t="s">
        <v>332</v>
      </c>
      <c r="O22" s="106">
        <v>179000</v>
      </c>
      <c r="P22" s="105" t="s">
        <v>333</v>
      </c>
    </row>
    <row r="23" spans="1:16" x14ac:dyDescent="0.35">
      <c r="A23" s="83" t="s">
        <v>1046</v>
      </c>
      <c r="B23" s="12">
        <f t="shared" si="1"/>
        <v>46104</v>
      </c>
      <c r="C23" s="12">
        <f t="shared" si="0"/>
        <v>46113</v>
      </c>
      <c r="D23" s="21">
        <v>3259</v>
      </c>
      <c r="E23" s="21">
        <v>333</v>
      </c>
      <c r="F23" s="11">
        <v>3</v>
      </c>
      <c r="G23" s="45">
        <v>6</v>
      </c>
      <c r="H23" s="45"/>
      <c r="I23" s="24" t="s">
        <v>17</v>
      </c>
      <c r="J23" s="45">
        <v>59201951</v>
      </c>
      <c r="K23" s="45" t="s">
        <v>947</v>
      </c>
      <c r="L23" s="45" t="s">
        <v>948</v>
      </c>
      <c r="M23" s="62">
        <v>249900</v>
      </c>
      <c r="N23" s="105" t="s">
        <v>332</v>
      </c>
      <c r="O23" s="106">
        <v>179000</v>
      </c>
      <c r="P23" s="105" t="s">
        <v>333</v>
      </c>
    </row>
    <row r="24" spans="1:16" x14ac:dyDescent="0.35">
      <c r="A24" s="83" t="s">
        <v>1046</v>
      </c>
      <c r="B24" s="12">
        <f t="shared" si="1"/>
        <v>46104</v>
      </c>
      <c r="C24" s="12">
        <f t="shared" si="0"/>
        <v>46113</v>
      </c>
      <c r="D24" s="21">
        <v>3259</v>
      </c>
      <c r="E24" s="21">
        <v>333</v>
      </c>
      <c r="F24" s="11">
        <v>3</v>
      </c>
      <c r="G24" s="45">
        <v>6</v>
      </c>
      <c r="H24" s="45"/>
      <c r="I24" s="24" t="s">
        <v>17</v>
      </c>
      <c r="J24" s="45">
        <v>59201960</v>
      </c>
      <c r="K24" s="45" t="s">
        <v>947</v>
      </c>
      <c r="L24" s="45" t="s">
        <v>963</v>
      </c>
      <c r="M24" s="62">
        <v>249900</v>
      </c>
      <c r="N24" s="105" t="s">
        <v>332</v>
      </c>
      <c r="O24" s="106">
        <v>179000</v>
      </c>
      <c r="P24" s="105" t="s">
        <v>333</v>
      </c>
    </row>
    <row r="25" spans="1:16" x14ac:dyDescent="0.35">
      <c r="A25" s="83" t="s">
        <v>1046</v>
      </c>
      <c r="B25" s="12">
        <f t="shared" si="1"/>
        <v>46104</v>
      </c>
      <c r="C25" s="12">
        <f t="shared" si="0"/>
        <v>46113</v>
      </c>
      <c r="D25" s="21">
        <v>3259</v>
      </c>
      <c r="E25" s="21">
        <v>333</v>
      </c>
      <c r="F25" s="11">
        <v>3</v>
      </c>
      <c r="G25" s="45">
        <v>6</v>
      </c>
      <c r="H25" s="45"/>
      <c r="I25" s="24" t="s">
        <v>17</v>
      </c>
      <c r="J25" s="45">
        <v>59201979</v>
      </c>
      <c r="K25" s="45" t="s">
        <v>947</v>
      </c>
      <c r="L25" s="45" t="s">
        <v>949</v>
      </c>
      <c r="M25" s="62">
        <v>249900</v>
      </c>
      <c r="N25" s="105" t="s">
        <v>332</v>
      </c>
      <c r="O25" s="106">
        <v>179000</v>
      </c>
      <c r="P25" s="105" t="s">
        <v>333</v>
      </c>
    </row>
    <row r="26" spans="1:16" x14ac:dyDescent="0.35">
      <c r="A26" s="83" t="s">
        <v>1046</v>
      </c>
      <c r="B26" s="12">
        <f t="shared" si="1"/>
        <v>46104</v>
      </c>
      <c r="C26" s="12">
        <f t="shared" si="0"/>
        <v>46113</v>
      </c>
      <c r="D26" s="21">
        <v>3259</v>
      </c>
      <c r="E26" s="21">
        <v>333</v>
      </c>
      <c r="F26" s="11">
        <v>3</v>
      </c>
      <c r="G26" s="45">
        <v>6</v>
      </c>
      <c r="H26" s="45"/>
      <c r="I26" s="24" t="s">
        <v>17</v>
      </c>
      <c r="J26" s="45">
        <v>59201988</v>
      </c>
      <c r="K26" s="45" t="s">
        <v>947</v>
      </c>
      <c r="L26" s="45" t="s">
        <v>950</v>
      </c>
      <c r="M26" s="62">
        <v>249900</v>
      </c>
      <c r="N26" s="105" t="s">
        <v>332</v>
      </c>
      <c r="O26" s="106">
        <v>179000</v>
      </c>
      <c r="P26" s="105" t="s">
        <v>333</v>
      </c>
    </row>
    <row r="27" spans="1:16" x14ac:dyDescent="0.35">
      <c r="A27" s="83" t="s">
        <v>1046</v>
      </c>
      <c r="B27" s="12">
        <f t="shared" si="1"/>
        <v>46104</v>
      </c>
      <c r="C27" s="12">
        <f t="shared" si="0"/>
        <v>46113</v>
      </c>
      <c r="D27" s="21">
        <v>3259</v>
      </c>
      <c r="E27" s="21">
        <v>333</v>
      </c>
      <c r="F27" s="11">
        <v>3</v>
      </c>
      <c r="G27" s="45">
        <v>6</v>
      </c>
      <c r="H27" s="45"/>
      <c r="I27" s="24" t="s">
        <v>17</v>
      </c>
      <c r="J27" s="45">
        <v>59201997</v>
      </c>
      <c r="K27" s="45" t="s">
        <v>947</v>
      </c>
      <c r="L27" s="45" t="s">
        <v>964</v>
      </c>
      <c r="M27" s="62">
        <v>249900</v>
      </c>
      <c r="N27" s="105" t="s">
        <v>332</v>
      </c>
      <c r="O27" s="106">
        <v>179000</v>
      </c>
      <c r="P27" s="105" t="s">
        <v>333</v>
      </c>
    </row>
    <row r="28" spans="1:16" x14ac:dyDescent="0.35">
      <c r="A28" s="83" t="s">
        <v>1046</v>
      </c>
      <c r="B28" s="12">
        <f t="shared" si="1"/>
        <v>46104</v>
      </c>
      <c r="C28" s="12">
        <f t="shared" si="0"/>
        <v>46113</v>
      </c>
      <c r="D28" s="21">
        <v>3259</v>
      </c>
      <c r="E28" s="21">
        <v>333</v>
      </c>
      <c r="F28" s="11">
        <v>3</v>
      </c>
      <c r="G28" s="45">
        <v>6</v>
      </c>
      <c r="H28" s="45"/>
      <c r="I28" s="24" t="s">
        <v>17</v>
      </c>
      <c r="J28" s="45">
        <v>59202003</v>
      </c>
      <c r="K28" s="45" t="s">
        <v>947</v>
      </c>
      <c r="L28" s="45" t="s">
        <v>951</v>
      </c>
      <c r="M28" s="62">
        <v>249900</v>
      </c>
      <c r="N28" s="105" t="s">
        <v>332</v>
      </c>
      <c r="O28" s="106">
        <v>179000</v>
      </c>
      <c r="P28" s="105" t="s">
        <v>333</v>
      </c>
    </row>
    <row r="29" spans="1:16" x14ac:dyDescent="0.35">
      <c r="A29" s="83" t="s">
        <v>1046</v>
      </c>
      <c r="B29" s="12">
        <f t="shared" si="1"/>
        <v>46104</v>
      </c>
      <c r="C29" s="12">
        <f t="shared" si="0"/>
        <v>46113</v>
      </c>
      <c r="D29" s="21">
        <v>3259</v>
      </c>
      <c r="E29" s="21">
        <v>333</v>
      </c>
      <c r="F29" s="11">
        <v>3</v>
      </c>
      <c r="G29" s="45">
        <v>6</v>
      </c>
      <c r="H29" s="45"/>
      <c r="I29" s="24" t="s">
        <v>17</v>
      </c>
      <c r="J29" s="45">
        <v>59202012</v>
      </c>
      <c r="K29" s="45" t="s">
        <v>947</v>
      </c>
      <c r="L29" s="45" t="s">
        <v>952</v>
      </c>
      <c r="M29" s="62">
        <v>249900</v>
      </c>
      <c r="N29" s="105" t="s">
        <v>332</v>
      </c>
      <c r="O29" s="106">
        <v>179000</v>
      </c>
      <c r="P29" s="105" t="s">
        <v>333</v>
      </c>
    </row>
    <row r="30" spans="1:16" x14ac:dyDescent="0.35">
      <c r="A30" s="83" t="s">
        <v>1046</v>
      </c>
      <c r="B30" s="12">
        <f t="shared" si="1"/>
        <v>46104</v>
      </c>
      <c r="C30" s="12">
        <f t="shared" si="0"/>
        <v>46113</v>
      </c>
      <c r="D30" s="21">
        <v>3259</v>
      </c>
      <c r="E30" s="21">
        <v>333</v>
      </c>
      <c r="F30" s="11">
        <v>3</v>
      </c>
      <c r="G30" s="45">
        <v>6</v>
      </c>
      <c r="H30" s="45"/>
      <c r="I30" s="24" t="s">
        <v>17</v>
      </c>
      <c r="J30" s="45">
        <v>59202021</v>
      </c>
      <c r="K30" s="45" t="s">
        <v>947</v>
      </c>
      <c r="L30" s="45" t="s">
        <v>965</v>
      </c>
      <c r="M30" s="62">
        <v>249900</v>
      </c>
      <c r="N30" s="105" t="s">
        <v>332</v>
      </c>
      <c r="O30" s="106">
        <v>179000</v>
      </c>
      <c r="P30" s="105" t="s">
        <v>333</v>
      </c>
    </row>
    <row r="31" spans="1:16" x14ac:dyDescent="0.35">
      <c r="A31" s="83" t="s">
        <v>1046</v>
      </c>
      <c r="B31" s="12">
        <f t="shared" si="1"/>
        <v>46104</v>
      </c>
      <c r="C31" s="12">
        <f t="shared" si="0"/>
        <v>46113</v>
      </c>
      <c r="D31" s="21">
        <v>3259</v>
      </c>
      <c r="E31" s="21">
        <v>333</v>
      </c>
      <c r="F31" s="11">
        <v>3</v>
      </c>
      <c r="G31" s="45">
        <v>6</v>
      </c>
      <c r="H31" s="45"/>
      <c r="I31" s="24" t="s">
        <v>17</v>
      </c>
      <c r="J31" s="45">
        <v>59202030</v>
      </c>
      <c r="K31" s="45" t="s">
        <v>947</v>
      </c>
      <c r="L31" s="45" t="s">
        <v>966</v>
      </c>
      <c r="M31" s="62">
        <v>249900</v>
      </c>
      <c r="N31" s="105" t="s">
        <v>332</v>
      </c>
      <c r="O31" s="106">
        <v>179000</v>
      </c>
      <c r="P31" s="105" t="s">
        <v>333</v>
      </c>
    </row>
    <row r="32" spans="1:16" x14ac:dyDescent="0.35">
      <c r="A32" s="83" t="s">
        <v>1046</v>
      </c>
      <c r="B32" s="12">
        <f t="shared" si="1"/>
        <v>46104</v>
      </c>
      <c r="C32" s="12">
        <f t="shared" si="0"/>
        <v>46113</v>
      </c>
      <c r="D32" s="21">
        <v>3259</v>
      </c>
      <c r="E32" s="21">
        <v>333</v>
      </c>
      <c r="F32" s="11">
        <v>3</v>
      </c>
      <c r="G32" s="45">
        <v>6</v>
      </c>
      <c r="H32" s="45"/>
      <c r="I32" s="24" t="s">
        <v>17</v>
      </c>
      <c r="J32" s="45">
        <v>59202049</v>
      </c>
      <c r="K32" s="45" t="s">
        <v>947</v>
      </c>
      <c r="L32" s="45" t="s">
        <v>953</v>
      </c>
      <c r="M32" s="62">
        <v>249900</v>
      </c>
      <c r="N32" s="105" t="s">
        <v>332</v>
      </c>
      <c r="O32" s="106">
        <v>179000</v>
      </c>
      <c r="P32" s="105" t="s">
        <v>333</v>
      </c>
    </row>
    <row r="33" spans="1:16" x14ac:dyDescent="0.35">
      <c r="A33" s="83" t="s">
        <v>1046</v>
      </c>
      <c r="B33" s="12">
        <f t="shared" si="1"/>
        <v>46104</v>
      </c>
      <c r="C33" s="12">
        <f t="shared" si="0"/>
        <v>46113</v>
      </c>
      <c r="D33" s="21">
        <v>3259</v>
      </c>
      <c r="E33" s="21">
        <v>333</v>
      </c>
      <c r="F33" s="11">
        <v>3</v>
      </c>
      <c r="G33" s="45">
        <v>6</v>
      </c>
      <c r="H33" s="45"/>
      <c r="I33" s="24" t="s">
        <v>17</v>
      </c>
      <c r="J33" s="45">
        <v>59202058</v>
      </c>
      <c r="K33" s="45" t="s">
        <v>947</v>
      </c>
      <c r="L33" s="45" t="s">
        <v>954</v>
      </c>
      <c r="M33" s="62">
        <v>249900</v>
      </c>
      <c r="N33" s="105" t="s">
        <v>332</v>
      </c>
      <c r="O33" s="106">
        <v>179000</v>
      </c>
      <c r="P33" s="105" t="s">
        <v>333</v>
      </c>
    </row>
    <row r="34" spans="1:16" x14ac:dyDescent="0.35">
      <c r="A34" s="83" t="s">
        <v>1046</v>
      </c>
      <c r="B34" s="12">
        <f t="shared" si="1"/>
        <v>46104</v>
      </c>
      <c r="C34" s="12">
        <f t="shared" si="0"/>
        <v>46113</v>
      </c>
      <c r="D34" s="21">
        <v>3259</v>
      </c>
      <c r="E34" s="21">
        <v>333</v>
      </c>
      <c r="F34" s="11">
        <v>3</v>
      </c>
      <c r="G34" s="45">
        <v>6</v>
      </c>
      <c r="H34" s="45"/>
      <c r="I34" s="24" t="s">
        <v>17</v>
      </c>
      <c r="J34" s="45">
        <v>59202067</v>
      </c>
      <c r="K34" s="45" t="s">
        <v>947</v>
      </c>
      <c r="L34" s="45" t="s">
        <v>955</v>
      </c>
      <c r="M34" s="62">
        <v>249900</v>
      </c>
      <c r="N34" s="105" t="s">
        <v>332</v>
      </c>
      <c r="O34" s="106">
        <v>179000</v>
      </c>
      <c r="P34" s="105" t="s">
        <v>333</v>
      </c>
    </row>
    <row r="35" spans="1:16" x14ac:dyDescent="0.35">
      <c r="A35" s="83" t="s">
        <v>1046</v>
      </c>
      <c r="B35" s="12">
        <f t="shared" si="1"/>
        <v>46104</v>
      </c>
      <c r="C35" s="12">
        <f t="shared" si="0"/>
        <v>46113</v>
      </c>
      <c r="D35" s="21">
        <v>3259</v>
      </c>
      <c r="E35" s="21">
        <v>333</v>
      </c>
      <c r="F35" s="11">
        <v>3</v>
      </c>
      <c r="G35" s="45">
        <v>6</v>
      </c>
      <c r="H35" s="45"/>
      <c r="I35" s="24" t="s">
        <v>17</v>
      </c>
      <c r="J35" s="45">
        <v>59202076</v>
      </c>
      <c r="K35" s="45" t="s">
        <v>947</v>
      </c>
      <c r="L35" s="45" t="s">
        <v>956</v>
      </c>
      <c r="M35" s="62">
        <v>249900</v>
      </c>
      <c r="N35" s="105" t="s">
        <v>332</v>
      </c>
      <c r="O35" s="106">
        <v>179000</v>
      </c>
      <c r="P35" s="105" t="s">
        <v>333</v>
      </c>
    </row>
    <row r="36" spans="1:16" x14ac:dyDescent="0.35">
      <c r="A36" s="83" t="s">
        <v>1046</v>
      </c>
      <c r="B36" s="12">
        <f t="shared" si="1"/>
        <v>46104</v>
      </c>
      <c r="C36" s="12">
        <f t="shared" si="0"/>
        <v>46113</v>
      </c>
      <c r="D36" s="21">
        <v>3259</v>
      </c>
      <c r="E36" s="21">
        <v>333</v>
      </c>
      <c r="F36" s="11">
        <v>3</v>
      </c>
      <c r="G36" s="45">
        <v>6</v>
      </c>
      <c r="H36" s="45"/>
      <c r="I36" s="24" t="s">
        <v>17</v>
      </c>
      <c r="J36" s="45">
        <v>59202085</v>
      </c>
      <c r="K36" s="45" t="s">
        <v>947</v>
      </c>
      <c r="L36" s="45" t="s">
        <v>957</v>
      </c>
      <c r="M36" s="62">
        <v>249900</v>
      </c>
      <c r="N36" s="105" t="s">
        <v>332</v>
      </c>
      <c r="O36" s="106">
        <v>179000</v>
      </c>
      <c r="P36" s="105" t="s">
        <v>333</v>
      </c>
    </row>
    <row r="37" spans="1:16" x14ac:dyDescent="0.35">
      <c r="A37" s="83" t="s">
        <v>1046</v>
      </c>
      <c r="B37" s="12">
        <f t="shared" si="1"/>
        <v>46104</v>
      </c>
      <c r="C37" s="12">
        <f t="shared" si="0"/>
        <v>46113</v>
      </c>
      <c r="D37" s="21">
        <v>3259</v>
      </c>
      <c r="E37" s="21">
        <v>333</v>
      </c>
      <c r="F37" s="11">
        <v>3</v>
      </c>
      <c r="G37" s="45">
        <v>6</v>
      </c>
      <c r="H37" s="45"/>
      <c r="I37" s="24" t="s">
        <v>17</v>
      </c>
      <c r="J37" s="45">
        <v>59202094</v>
      </c>
      <c r="K37" s="45" t="s">
        <v>947</v>
      </c>
      <c r="L37" s="45" t="s">
        <v>967</v>
      </c>
      <c r="M37" s="62">
        <v>249900</v>
      </c>
      <c r="N37" s="105" t="s">
        <v>332</v>
      </c>
      <c r="O37" s="106">
        <v>179000</v>
      </c>
      <c r="P37" s="105" t="s">
        <v>333</v>
      </c>
    </row>
    <row r="38" spans="1:16" x14ac:dyDescent="0.35">
      <c r="A38" s="83" t="s">
        <v>1046</v>
      </c>
      <c r="B38" s="12">
        <f t="shared" si="1"/>
        <v>46104</v>
      </c>
      <c r="C38" s="12">
        <f t="shared" si="0"/>
        <v>46113</v>
      </c>
      <c r="D38" s="21">
        <v>3259</v>
      </c>
      <c r="E38" s="21">
        <v>333</v>
      </c>
      <c r="F38" s="11">
        <v>3</v>
      </c>
      <c r="G38" s="45">
        <v>6</v>
      </c>
      <c r="H38" s="45"/>
      <c r="I38" s="24" t="s">
        <v>17</v>
      </c>
      <c r="J38" s="45">
        <v>59202101</v>
      </c>
      <c r="K38" s="45" t="s">
        <v>947</v>
      </c>
      <c r="L38" s="45" t="s">
        <v>968</v>
      </c>
      <c r="M38" s="62">
        <v>249900</v>
      </c>
      <c r="N38" s="105" t="s">
        <v>332</v>
      </c>
      <c r="O38" s="106">
        <v>179000</v>
      </c>
      <c r="P38" s="105" t="s">
        <v>333</v>
      </c>
    </row>
    <row r="39" spans="1:16" x14ac:dyDescent="0.35">
      <c r="A39" s="83" t="s">
        <v>1046</v>
      </c>
      <c r="B39" s="12">
        <f t="shared" si="1"/>
        <v>46104</v>
      </c>
      <c r="C39" s="12">
        <f t="shared" si="0"/>
        <v>46113</v>
      </c>
      <c r="D39" s="21">
        <v>3259</v>
      </c>
      <c r="E39" s="21">
        <v>333</v>
      </c>
      <c r="F39" s="11">
        <v>3</v>
      </c>
      <c r="G39" s="45">
        <v>6</v>
      </c>
      <c r="H39" s="45"/>
      <c r="I39" s="24" t="s">
        <v>17</v>
      </c>
      <c r="J39" s="45">
        <v>59202110</v>
      </c>
      <c r="K39" s="45" t="s">
        <v>947</v>
      </c>
      <c r="L39" s="45" t="s">
        <v>958</v>
      </c>
      <c r="M39" s="62">
        <v>249900</v>
      </c>
      <c r="N39" s="105" t="s">
        <v>332</v>
      </c>
      <c r="O39" s="106">
        <v>179000</v>
      </c>
      <c r="P39" s="105" t="s">
        <v>333</v>
      </c>
    </row>
    <row r="40" spans="1:16" x14ac:dyDescent="0.35">
      <c r="A40" s="83" t="s">
        <v>1046</v>
      </c>
      <c r="B40" s="12">
        <f t="shared" si="1"/>
        <v>46104</v>
      </c>
      <c r="C40" s="12">
        <f t="shared" si="0"/>
        <v>46113</v>
      </c>
      <c r="D40" s="21">
        <v>3259</v>
      </c>
      <c r="E40" s="21">
        <v>333</v>
      </c>
      <c r="F40" s="11">
        <v>3</v>
      </c>
      <c r="G40" s="45">
        <v>6</v>
      </c>
      <c r="H40" s="45"/>
      <c r="I40" s="24" t="s">
        <v>17</v>
      </c>
      <c r="J40" s="45">
        <v>59202129</v>
      </c>
      <c r="K40" s="45" t="s">
        <v>947</v>
      </c>
      <c r="L40" s="45" t="s">
        <v>959</v>
      </c>
      <c r="M40" s="62">
        <v>249900</v>
      </c>
      <c r="N40" s="105" t="s">
        <v>332</v>
      </c>
      <c r="O40" s="106">
        <v>179000</v>
      </c>
      <c r="P40" s="105" t="s">
        <v>333</v>
      </c>
    </row>
    <row r="41" spans="1:16" x14ac:dyDescent="0.35">
      <c r="A41" s="83" t="s">
        <v>1046</v>
      </c>
      <c r="B41" s="12">
        <f t="shared" si="1"/>
        <v>46104</v>
      </c>
      <c r="C41" s="12">
        <f t="shared" si="0"/>
        <v>46113</v>
      </c>
      <c r="D41" s="21">
        <v>3259</v>
      </c>
      <c r="E41" s="21">
        <v>333</v>
      </c>
      <c r="F41" s="11">
        <v>3</v>
      </c>
      <c r="G41" s="45">
        <v>6</v>
      </c>
      <c r="H41" s="45"/>
      <c r="I41" s="24" t="s">
        <v>17</v>
      </c>
      <c r="J41" s="45">
        <v>59202138</v>
      </c>
      <c r="K41" s="45" t="s">
        <v>947</v>
      </c>
      <c r="L41" s="45" t="s">
        <v>969</v>
      </c>
      <c r="M41" s="62">
        <v>249900</v>
      </c>
      <c r="N41" s="105" t="s">
        <v>332</v>
      </c>
      <c r="O41" s="106">
        <v>179000</v>
      </c>
      <c r="P41" s="105" t="s">
        <v>333</v>
      </c>
    </row>
    <row r="42" spans="1:16" x14ac:dyDescent="0.35">
      <c r="A42" s="83" t="s">
        <v>1046</v>
      </c>
      <c r="B42" s="12">
        <f t="shared" si="1"/>
        <v>46104</v>
      </c>
      <c r="C42" s="12">
        <f t="shared" si="0"/>
        <v>46113</v>
      </c>
      <c r="D42" s="21">
        <v>3259</v>
      </c>
      <c r="E42" s="21">
        <v>333</v>
      </c>
      <c r="F42" s="11">
        <v>3</v>
      </c>
      <c r="G42" s="45">
        <v>6</v>
      </c>
      <c r="H42" s="45"/>
      <c r="I42" s="24" t="s">
        <v>17</v>
      </c>
      <c r="J42" s="45">
        <v>59202147</v>
      </c>
      <c r="K42" s="45" t="s">
        <v>947</v>
      </c>
      <c r="L42" s="45" t="s">
        <v>970</v>
      </c>
      <c r="M42" s="62">
        <v>249900</v>
      </c>
      <c r="N42" s="105" t="s">
        <v>332</v>
      </c>
      <c r="O42" s="106">
        <v>179000</v>
      </c>
      <c r="P42" s="105" t="s">
        <v>333</v>
      </c>
    </row>
    <row r="43" spans="1:16" x14ac:dyDescent="0.35">
      <c r="A43" s="83" t="s">
        <v>1046</v>
      </c>
      <c r="B43" s="12">
        <f t="shared" si="1"/>
        <v>46104</v>
      </c>
      <c r="C43" s="12">
        <f t="shared" si="0"/>
        <v>46113</v>
      </c>
      <c r="D43" s="21">
        <v>3259</v>
      </c>
      <c r="E43" s="21">
        <v>333</v>
      </c>
      <c r="F43" s="11">
        <v>3</v>
      </c>
      <c r="G43" s="45">
        <v>6</v>
      </c>
      <c r="H43" s="45"/>
      <c r="I43" s="24" t="s">
        <v>17</v>
      </c>
      <c r="J43" s="45">
        <v>59202156</v>
      </c>
      <c r="K43" s="45" t="s">
        <v>947</v>
      </c>
      <c r="L43" s="45" t="s">
        <v>971</v>
      </c>
      <c r="M43" s="62">
        <v>249900</v>
      </c>
      <c r="N43" s="105" t="s">
        <v>332</v>
      </c>
      <c r="O43" s="106">
        <v>179000</v>
      </c>
      <c r="P43" s="105" t="s">
        <v>333</v>
      </c>
    </row>
    <row r="44" spans="1:16" x14ac:dyDescent="0.35">
      <c r="A44" s="83" t="s">
        <v>1046</v>
      </c>
      <c r="B44" s="12">
        <f t="shared" si="1"/>
        <v>46104</v>
      </c>
      <c r="C44" s="12">
        <f t="shared" si="0"/>
        <v>46113</v>
      </c>
      <c r="D44" s="21">
        <v>3259</v>
      </c>
      <c r="E44" s="21">
        <v>333</v>
      </c>
      <c r="F44" s="11">
        <v>3</v>
      </c>
      <c r="G44" s="45">
        <v>6</v>
      </c>
      <c r="H44" s="45"/>
      <c r="I44" s="24" t="s">
        <v>17</v>
      </c>
      <c r="J44" s="45">
        <v>61618444</v>
      </c>
      <c r="K44" s="45" t="s">
        <v>972</v>
      </c>
      <c r="L44" s="45" t="s">
        <v>973</v>
      </c>
      <c r="M44" s="62">
        <v>249900</v>
      </c>
      <c r="N44" s="105" t="s">
        <v>332</v>
      </c>
      <c r="O44" s="106">
        <v>179000</v>
      </c>
      <c r="P44" s="105" t="s">
        <v>333</v>
      </c>
    </row>
    <row r="45" spans="1:16" x14ac:dyDescent="0.35">
      <c r="A45" s="83" t="s">
        <v>1046</v>
      </c>
      <c r="B45" s="12">
        <f t="shared" si="1"/>
        <v>46104</v>
      </c>
      <c r="C45" s="12">
        <f t="shared" si="0"/>
        <v>46113</v>
      </c>
      <c r="D45" s="21">
        <v>3259</v>
      </c>
      <c r="E45" s="21">
        <v>333</v>
      </c>
      <c r="F45" s="11">
        <v>3</v>
      </c>
      <c r="G45" s="45">
        <v>6</v>
      </c>
      <c r="H45" s="45"/>
      <c r="I45" s="24" t="s">
        <v>17</v>
      </c>
      <c r="J45" s="45">
        <v>61618453</v>
      </c>
      <c r="K45" s="45" t="s">
        <v>972</v>
      </c>
      <c r="L45" s="45" t="s">
        <v>974</v>
      </c>
      <c r="M45" s="62">
        <v>249900</v>
      </c>
      <c r="N45" s="105" t="s">
        <v>332</v>
      </c>
      <c r="O45" s="106">
        <v>179000</v>
      </c>
      <c r="P45" s="105" t="s">
        <v>333</v>
      </c>
    </row>
    <row r="46" spans="1:16" x14ac:dyDescent="0.35">
      <c r="A46" s="83" t="s">
        <v>1046</v>
      </c>
      <c r="B46" s="12">
        <f t="shared" si="1"/>
        <v>46104</v>
      </c>
      <c r="C46" s="12">
        <f t="shared" si="0"/>
        <v>46113</v>
      </c>
      <c r="D46" s="21">
        <v>3259</v>
      </c>
      <c r="E46" s="21">
        <v>333</v>
      </c>
      <c r="F46" s="11">
        <v>3</v>
      </c>
      <c r="G46" s="45">
        <v>6</v>
      </c>
      <c r="H46" s="45"/>
      <c r="I46" s="24" t="s">
        <v>17</v>
      </c>
      <c r="J46" s="45">
        <v>61618462</v>
      </c>
      <c r="K46" s="45" t="s">
        <v>972</v>
      </c>
      <c r="L46" s="45" t="s">
        <v>975</v>
      </c>
      <c r="M46" s="62">
        <v>249900</v>
      </c>
      <c r="N46" s="105" t="s">
        <v>332</v>
      </c>
      <c r="O46" s="106">
        <v>179000</v>
      </c>
      <c r="P46" s="105" t="s">
        <v>333</v>
      </c>
    </row>
    <row r="47" spans="1:16" x14ac:dyDescent="0.35">
      <c r="A47" s="83" t="s">
        <v>1046</v>
      </c>
      <c r="B47" s="12">
        <f t="shared" si="1"/>
        <v>46104</v>
      </c>
      <c r="C47" s="12">
        <f t="shared" si="0"/>
        <v>46113</v>
      </c>
      <c r="D47" s="21">
        <v>3259</v>
      </c>
      <c r="E47" s="21">
        <v>333</v>
      </c>
      <c r="F47" s="11">
        <v>3</v>
      </c>
      <c r="G47" s="45">
        <v>6</v>
      </c>
      <c r="H47" s="45"/>
      <c r="I47" s="24" t="s">
        <v>17</v>
      </c>
      <c r="J47" s="45">
        <v>61618471</v>
      </c>
      <c r="K47" s="45" t="s">
        <v>972</v>
      </c>
      <c r="L47" s="45" t="s">
        <v>976</v>
      </c>
      <c r="M47" s="62">
        <v>249900</v>
      </c>
      <c r="N47" s="105" t="s">
        <v>332</v>
      </c>
      <c r="O47" s="106">
        <v>179000</v>
      </c>
      <c r="P47" s="105" t="s">
        <v>333</v>
      </c>
    </row>
    <row r="48" spans="1:16" x14ac:dyDescent="0.35">
      <c r="A48" s="83" t="s">
        <v>1046</v>
      </c>
      <c r="B48" s="12">
        <f t="shared" si="1"/>
        <v>46104</v>
      </c>
      <c r="C48" s="12">
        <f t="shared" si="0"/>
        <v>46113</v>
      </c>
      <c r="D48" s="21">
        <v>3259</v>
      </c>
      <c r="E48" s="21">
        <v>333</v>
      </c>
      <c r="F48" s="11">
        <v>3</v>
      </c>
      <c r="G48" s="45">
        <v>6</v>
      </c>
      <c r="H48" s="45"/>
      <c r="I48" s="24" t="s">
        <v>17</v>
      </c>
      <c r="J48" s="45">
        <v>61618480</v>
      </c>
      <c r="K48" s="45" t="s">
        <v>972</v>
      </c>
      <c r="L48" s="45" t="s">
        <v>977</v>
      </c>
      <c r="M48" s="62">
        <v>249900</v>
      </c>
      <c r="N48" s="105" t="s">
        <v>332</v>
      </c>
      <c r="O48" s="106">
        <v>179000</v>
      </c>
      <c r="P48" s="105" t="s">
        <v>333</v>
      </c>
    </row>
    <row r="49" spans="1:16" x14ac:dyDescent="0.35">
      <c r="A49" s="83" t="s">
        <v>1046</v>
      </c>
      <c r="B49" s="12">
        <f t="shared" si="1"/>
        <v>46104</v>
      </c>
      <c r="C49" s="12">
        <f t="shared" si="0"/>
        <v>46113</v>
      </c>
      <c r="D49" s="21">
        <v>3259</v>
      </c>
      <c r="E49" s="21">
        <v>333</v>
      </c>
      <c r="F49" s="11">
        <v>3</v>
      </c>
      <c r="G49" s="45">
        <v>6</v>
      </c>
      <c r="H49" s="45"/>
      <c r="I49" s="24" t="s">
        <v>17</v>
      </c>
      <c r="J49" s="45">
        <v>61618499</v>
      </c>
      <c r="K49" s="45" t="s">
        <v>972</v>
      </c>
      <c r="L49" s="45" t="s">
        <v>978</v>
      </c>
      <c r="M49" s="62">
        <v>249900</v>
      </c>
      <c r="N49" s="105" t="s">
        <v>332</v>
      </c>
      <c r="O49" s="106">
        <v>179000</v>
      </c>
      <c r="P49" s="105" t="s">
        <v>333</v>
      </c>
    </row>
  </sheetData>
  <autoFilter ref="A1:P13" xr:uid="{00000000-0009-0000-0000-00001E000000}"/>
  <conditionalFormatting sqref="J1">
    <cfRule type="duplicateValues" dxfId="313" priority="164"/>
    <cfRule type="duplicateValues" dxfId="312" priority="165"/>
    <cfRule type="duplicateValues" dxfId="311" priority="166"/>
    <cfRule type="duplicateValues" dxfId="310" priority="9376"/>
    <cfRule type="duplicateValues" dxfId="309" priority="9377"/>
    <cfRule type="duplicateValues" dxfId="308" priority="9378"/>
    <cfRule type="duplicateValues" dxfId="307" priority="9379"/>
    <cfRule type="duplicateValues" dxfId="306" priority="9380"/>
    <cfRule type="duplicateValues" dxfId="305" priority="9381"/>
    <cfRule type="duplicateValues" dxfId="304" priority="9382"/>
    <cfRule type="duplicateValues" dxfId="303" priority="9383"/>
    <cfRule type="duplicateValues" dxfId="302" priority="9464"/>
    <cfRule type="duplicateValues" dxfId="301" priority="9465"/>
    <cfRule type="duplicateValues" dxfId="300" priority="9466"/>
    <cfRule type="duplicateValues" dxfId="299" priority="9467"/>
    <cfRule type="duplicateValues" dxfId="298" priority="9468"/>
    <cfRule type="duplicateValues" dxfId="297" priority="9469"/>
    <cfRule type="duplicateValues" dxfId="296" priority="9470"/>
    <cfRule type="duplicateValues" dxfId="295" priority="9471"/>
    <cfRule type="duplicateValues" dxfId="294" priority="9472"/>
    <cfRule type="duplicateValues" dxfId="293" priority="9473"/>
    <cfRule type="duplicateValues" dxfId="292" priority="9474"/>
    <cfRule type="duplicateValues" dxfId="291" priority="9475"/>
    <cfRule type="duplicateValues" dxfId="290" priority="9476"/>
    <cfRule type="duplicateValues" dxfId="289" priority="9477"/>
    <cfRule type="duplicateValues" dxfId="288" priority="9478"/>
    <cfRule type="duplicateValues" dxfId="287" priority="9479"/>
    <cfRule type="duplicateValues" dxfId="286" priority="9480"/>
  </conditionalFormatting>
  <conditionalFormatting sqref="J1:J7">
    <cfRule type="duplicateValues" dxfId="285" priority="9481"/>
    <cfRule type="duplicateValues" dxfId="284" priority="9482"/>
    <cfRule type="duplicateValues" dxfId="283" priority="9483"/>
    <cfRule type="duplicateValues" dxfId="282" priority="9484"/>
    <cfRule type="duplicateValues" dxfId="281" priority="9485"/>
    <cfRule type="duplicateValues" dxfId="280" priority="9486"/>
    <cfRule type="duplicateValues" dxfId="279" priority="9487"/>
    <cfRule type="duplicateValues" dxfId="278" priority="9488"/>
    <cfRule type="duplicateValues" dxfId="277" priority="9489"/>
    <cfRule type="duplicateValues" dxfId="276" priority="9490"/>
    <cfRule type="duplicateValues" dxfId="275" priority="9491"/>
    <cfRule type="duplicateValues" dxfId="274" priority="9492"/>
    <cfRule type="duplicateValues" dxfId="273" priority="9493"/>
    <cfRule type="duplicateValues" dxfId="272" priority="9494"/>
    <cfRule type="duplicateValues" dxfId="271" priority="9495"/>
    <cfRule type="duplicateValues" dxfId="270" priority="10014"/>
    <cfRule type="duplicateValues" dxfId="269" priority="10015"/>
    <cfRule type="duplicateValues" dxfId="268" priority="10016"/>
    <cfRule type="duplicateValues" dxfId="267" priority="10017"/>
    <cfRule type="duplicateValues" dxfId="266" priority="10018"/>
    <cfRule type="duplicateValues" dxfId="265" priority="10019"/>
    <cfRule type="duplicateValues" dxfId="264" priority="10020"/>
  </conditionalFormatting>
  <conditionalFormatting sqref="J1:J13">
    <cfRule type="duplicateValues" dxfId="263" priority="10008"/>
    <cfRule type="duplicateValues" dxfId="262" priority="10009"/>
    <cfRule type="duplicateValues" dxfId="261" priority="10010"/>
  </conditionalFormatting>
  <conditionalFormatting sqref="J77:J1048576 J1:J19">
    <cfRule type="duplicateValues" dxfId="260" priority="2"/>
    <cfRule type="duplicateValues" dxfId="259" priority="3"/>
    <cfRule type="duplicateValues" dxfId="258" priority="12"/>
    <cfRule type="duplicateValues" dxfId="257" priority="10269"/>
    <cfRule type="duplicateValues" dxfId="256" priority="10272"/>
    <cfRule type="duplicateValues" dxfId="255" priority="10273"/>
    <cfRule type="duplicateValues" dxfId="254" priority="10274"/>
    <cfRule type="duplicateValues" dxfId="253" priority="10275"/>
  </conditionalFormatting>
  <conditionalFormatting sqref="J14:J19">
    <cfRule type="duplicateValues" dxfId="252" priority="127"/>
    <cfRule type="duplicateValues" dxfId="251" priority="128"/>
    <cfRule type="duplicateValues" dxfId="250" priority="129"/>
    <cfRule type="duplicateValues" dxfId="249" priority="130"/>
    <cfRule type="duplicateValues" dxfId="248" priority="131"/>
    <cfRule type="duplicateValues" dxfId="247" priority="132"/>
    <cfRule type="duplicateValues" dxfId="246" priority="133"/>
    <cfRule type="duplicateValues" dxfId="245" priority="134"/>
    <cfRule type="duplicateValues" dxfId="244" priority="135"/>
    <cfRule type="duplicateValues" dxfId="243" priority="136"/>
    <cfRule type="duplicateValues" dxfId="242" priority="137"/>
    <cfRule type="duplicateValues" dxfId="241" priority="138"/>
    <cfRule type="duplicateValues" dxfId="240" priority="139"/>
    <cfRule type="duplicateValues" dxfId="239" priority="140"/>
    <cfRule type="duplicateValues" dxfId="238" priority="141"/>
  </conditionalFormatting>
  <conditionalFormatting sqref="J1:J1048576">
    <cfRule type="duplicateValues" dxfId="237" priority="1"/>
  </conditionalFormatting>
  <conditionalFormatting sqref="J1:J19">
    <cfRule type="duplicateValues" dxfId="236" priority="10577"/>
    <cfRule type="duplicateValues" dxfId="235" priority="10578"/>
    <cfRule type="duplicateValues" dxfId="234" priority="10579"/>
    <cfRule type="duplicateValues" dxfId="233" priority="10580"/>
    <cfRule type="duplicateValues" dxfId="232" priority="10581"/>
    <cfRule type="duplicateValues" dxfId="231" priority="10582"/>
    <cfRule type="duplicateValues" dxfId="230" priority="10583"/>
    <cfRule type="duplicateValues" dxfId="229" priority="10584"/>
    <cfRule type="duplicateValues" dxfId="228" priority="10585"/>
    <cfRule type="duplicateValues" dxfId="227" priority="10586"/>
    <cfRule type="duplicateValues" dxfId="226" priority="10587"/>
    <cfRule type="duplicateValues" dxfId="225" priority="10588"/>
    <cfRule type="duplicateValues" dxfId="224" priority="10589"/>
    <cfRule type="duplicateValues" dxfId="223" priority="10590"/>
    <cfRule type="duplicateValues" dxfId="222" priority="10591"/>
    <cfRule type="duplicateValues" dxfId="221" priority="10592"/>
    <cfRule type="duplicateValues" dxfId="220" priority="10593"/>
    <cfRule type="duplicateValues" dxfId="219" priority="10594"/>
    <cfRule type="duplicateValues" dxfId="218" priority="10595"/>
    <cfRule type="duplicateValues" dxfId="217" priority="10596"/>
    <cfRule type="duplicateValues" dxfId="216" priority="10597"/>
  </conditionalFormatting>
  <conditionalFormatting sqref="J1:J19">
    <cfRule type="duplicateValues" dxfId="215" priority="10598"/>
    <cfRule type="duplicateValues" dxfId="214" priority="10599"/>
    <cfRule type="duplicateValues" dxfId="213" priority="10600"/>
    <cfRule type="duplicateValues" dxfId="212" priority="10601"/>
    <cfRule type="duplicateValues" dxfId="211" priority="10602"/>
    <cfRule type="duplicateValues" dxfId="210" priority="10603"/>
    <cfRule type="duplicateValues" dxfId="209" priority="10604"/>
    <cfRule type="duplicateValues" dxfId="208" priority="10605"/>
    <cfRule type="duplicateValues" dxfId="207" priority="10606"/>
    <cfRule type="duplicateValues" dxfId="206" priority="10607"/>
    <cfRule type="duplicateValues" dxfId="205" priority="10608"/>
    <cfRule type="duplicateValues" dxfId="204" priority="10609"/>
    <cfRule type="duplicateValues" dxfId="203" priority="10610"/>
    <cfRule type="duplicateValues" dxfId="202" priority="10611"/>
    <cfRule type="duplicateValues" dxfId="201" priority="10612"/>
    <cfRule type="duplicateValues" dxfId="200" priority="10613"/>
    <cfRule type="duplicateValues" dxfId="199" priority="10614"/>
    <cfRule type="duplicateValues" dxfId="198" priority="10615"/>
    <cfRule type="duplicateValues" dxfId="197" priority="10616"/>
    <cfRule type="duplicateValues" dxfId="196" priority="10617"/>
    <cfRule type="duplicateValues" dxfId="195" priority="10618"/>
    <cfRule type="duplicateValues" dxfId="194" priority="10619"/>
    <cfRule type="duplicateValues" dxfId="193" priority="10620"/>
    <cfRule type="duplicateValues" dxfId="192" priority="10621"/>
    <cfRule type="duplicateValues" dxfId="191" priority="10622"/>
    <cfRule type="duplicateValues" dxfId="190" priority="10623"/>
    <cfRule type="duplicateValues" dxfId="189" priority="10624"/>
    <cfRule type="duplicateValues" dxfId="188" priority="10625"/>
  </conditionalFormatting>
  <conditionalFormatting sqref="J1:J13">
    <cfRule type="duplicateValues" dxfId="187" priority="10642"/>
    <cfRule type="duplicateValues" dxfId="186" priority="1064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670A-AE9B-4FAD-9C46-0B13B1F17225}">
  <sheetPr>
    <tabColor rgb="FFFF0000"/>
  </sheetPr>
  <dimension ref="A1:P33"/>
  <sheetViews>
    <sheetView zoomScale="57" workbookViewId="0">
      <selection activeCell="I27" sqref="I27"/>
    </sheetView>
  </sheetViews>
  <sheetFormatPr defaultColWidth="8.7265625" defaultRowHeight="14.5" x14ac:dyDescent="0.35"/>
  <cols>
    <col min="1" max="1" width="24.36328125" style="39" bestFit="1" customWidth="1"/>
    <col min="2" max="2" width="24" style="39" bestFit="1" customWidth="1"/>
    <col min="3" max="3" width="20.54296875" style="39" bestFit="1" customWidth="1"/>
    <col min="4" max="4" width="16.54296875" style="39" bestFit="1" customWidth="1"/>
    <col min="5" max="5" width="18.81640625" style="39" bestFit="1" customWidth="1"/>
    <col min="6" max="6" width="20.453125" style="39" bestFit="1" customWidth="1"/>
    <col min="7" max="7" width="17.81640625" style="39" bestFit="1" customWidth="1"/>
    <col min="8" max="8" width="12.54296875" style="39" customWidth="1"/>
    <col min="9" max="9" width="18.1796875" style="39" bestFit="1" customWidth="1"/>
    <col min="10" max="10" width="14.81640625" style="39" customWidth="1"/>
    <col min="11" max="11" width="20.1796875" style="39" bestFit="1" customWidth="1"/>
    <col min="12" max="12" width="122.453125" style="39" bestFit="1" customWidth="1"/>
    <col min="13" max="13" width="30.81640625" style="113" bestFit="1" customWidth="1"/>
    <col min="14" max="14" width="19" style="39" bestFit="1" customWidth="1"/>
    <col min="15" max="15" width="22.7265625" style="39" bestFit="1" customWidth="1"/>
    <col min="16" max="16" width="29.453125" style="39" customWidth="1"/>
    <col min="17" max="16384" width="8.7265625" style="39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108" t="s">
        <v>14</v>
      </c>
      <c r="N1" s="109" t="s">
        <v>8</v>
      </c>
      <c r="O1" s="9" t="s">
        <v>9</v>
      </c>
      <c r="P1" s="5" t="s">
        <v>10</v>
      </c>
    </row>
    <row r="2" spans="1:16" s="17" customFormat="1" x14ac:dyDescent="0.35">
      <c r="A2" s="110" t="s">
        <v>1045</v>
      </c>
      <c r="B2" s="12">
        <v>46104</v>
      </c>
      <c r="C2" s="12">
        <v>46113</v>
      </c>
      <c r="D2" s="21">
        <v>3259</v>
      </c>
      <c r="E2" s="21">
        <v>333</v>
      </c>
      <c r="F2" s="11">
        <v>3</v>
      </c>
      <c r="G2" s="24"/>
      <c r="H2" s="24"/>
      <c r="I2" s="24" t="s">
        <v>17</v>
      </c>
      <c r="J2" s="24">
        <v>59120619</v>
      </c>
      <c r="K2" s="35" t="s">
        <v>914</v>
      </c>
      <c r="L2" s="24" t="s">
        <v>979</v>
      </c>
      <c r="M2" s="111">
        <v>179900</v>
      </c>
      <c r="N2" s="105" t="s">
        <v>332</v>
      </c>
      <c r="O2" s="106">
        <v>139000</v>
      </c>
      <c r="P2" s="105" t="s">
        <v>333</v>
      </c>
    </row>
    <row r="3" spans="1:16" s="17" customFormat="1" x14ac:dyDescent="0.35">
      <c r="A3" s="110" t="s">
        <v>1045</v>
      </c>
      <c r="B3" s="12">
        <f>B2</f>
        <v>46104</v>
      </c>
      <c r="C3" s="12">
        <f t="shared" ref="C3" si="0">C2</f>
        <v>46113</v>
      </c>
      <c r="D3" s="21">
        <v>3259</v>
      </c>
      <c r="E3" s="21">
        <v>333</v>
      </c>
      <c r="F3" s="11">
        <v>3</v>
      </c>
      <c r="G3" s="24"/>
      <c r="H3" s="24"/>
      <c r="I3" s="24" t="s">
        <v>17</v>
      </c>
      <c r="J3" s="24">
        <v>59120628</v>
      </c>
      <c r="K3" s="35" t="s">
        <v>914</v>
      </c>
      <c r="L3" s="24" t="s">
        <v>980</v>
      </c>
      <c r="M3" s="111">
        <v>179900</v>
      </c>
      <c r="N3" s="105" t="s">
        <v>332</v>
      </c>
      <c r="O3" s="106">
        <v>139000</v>
      </c>
      <c r="P3" s="105" t="s">
        <v>333</v>
      </c>
    </row>
    <row r="4" spans="1:16" s="17" customFormat="1" x14ac:dyDescent="0.35">
      <c r="A4" s="110" t="s">
        <v>1045</v>
      </c>
      <c r="B4" s="12">
        <f t="shared" ref="B3:C13" si="1">B3</f>
        <v>46104</v>
      </c>
      <c r="C4" s="12">
        <f t="shared" si="1"/>
        <v>46113</v>
      </c>
      <c r="D4" s="21">
        <v>3259</v>
      </c>
      <c r="E4" s="21">
        <v>333</v>
      </c>
      <c r="F4" s="11">
        <v>3</v>
      </c>
      <c r="G4" s="24"/>
      <c r="H4" s="24"/>
      <c r="I4" s="24" t="s">
        <v>17</v>
      </c>
      <c r="J4" s="24">
        <v>59120637</v>
      </c>
      <c r="K4" s="35" t="s">
        <v>914</v>
      </c>
      <c r="L4" s="24" t="s">
        <v>981</v>
      </c>
      <c r="M4" s="111">
        <v>179900</v>
      </c>
      <c r="N4" s="105" t="s">
        <v>332</v>
      </c>
      <c r="O4" s="106">
        <v>139000</v>
      </c>
      <c r="P4" s="105" t="s">
        <v>333</v>
      </c>
    </row>
    <row r="5" spans="1:16" s="17" customFormat="1" x14ac:dyDescent="0.35">
      <c r="A5" s="110" t="s">
        <v>1045</v>
      </c>
      <c r="B5" s="12">
        <f t="shared" ref="B5:C5" si="2">B4</f>
        <v>46104</v>
      </c>
      <c r="C5" s="12">
        <f t="shared" si="2"/>
        <v>46113</v>
      </c>
      <c r="D5" s="21">
        <v>3259</v>
      </c>
      <c r="E5" s="21">
        <v>333</v>
      </c>
      <c r="F5" s="11">
        <v>3</v>
      </c>
      <c r="G5" s="24"/>
      <c r="H5" s="24"/>
      <c r="I5" s="24" t="s">
        <v>17</v>
      </c>
      <c r="J5" s="24">
        <v>59120646</v>
      </c>
      <c r="K5" s="35" t="s">
        <v>914</v>
      </c>
      <c r="L5" s="24" t="s">
        <v>982</v>
      </c>
      <c r="M5" s="111">
        <v>179900</v>
      </c>
      <c r="N5" s="105" t="s">
        <v>332</v>
      </c>
      <c r="O5" s="106">
        <v>139000</v>
      </c>
      <c r="P5" s="105" t="s">
        <v>333</v>
      </c>
    </row>
    <row r="6" spans="1:16" s="17" customFormat="1" x14ac:dyDescent="0.35">
      <c r="A6" s="110" t="s">
        <v>1045</v>
      </c>
      <c r="B6" s="12">
        <f t="shared" ref="B6:C6" si="3">B5</f>
        <v>46104</v>
      </c>
      <c r="C6" s="12">
        <f t="shared" si="3"/>
        <v>46113</v>
      </c>
      <c r="D6" s="21">
        <v>3259</v>
      </c>
      <c r="E6" s="21">
        <v>333</v>
      </c>
      <c r="F6" s="11">
        <v>3</v>
      </c>
      <c r="G6" s="24"/>
      <c r="H6" s="24"/>
      <c r="I6" s="24" t="s">
        <v>17</v>
      </c>
      <c r="J6" s="24">
        <v>59120655</v>
      </c>
      <c r="K6" s="35" t="s">
        <v>914</v>
      </c>
      <c r="L6" s="24" t="s">
        <v>983</v>
      </c>
      <c r="M6" s="111">
        <v>179900</v>
      </c>
      <c r="N6" s="105" t="s">
        <v>332</v>
      </c>
      <c r="O6" s="106">
        <v>139000</v>
      </c>
      <c r="P6" s="105" t="s">
        <v>333</v>
      </c>
    </row>
    <row r="7" spans="1:16" s="17" customFormat="1" x14ac:dyDescent="0.35">
      <c r="A7" s="110" t="s">
        <v>1045</v>
      </c>
      <c r="B7" s="12">
        <f t="shared" ref="B7:C7" si="4">B6</f>
        <v>46104</v>
      </c>
      <c r="C7" s="12">
        <f t="shared" si="4"/>
        <v>46113</v>
      </c>
      <c r="D7" s="21">
        <v>3259</v>
      </c>
      <c r="E7" s="21">
        <v>333</v>
      </c>
      <c r="F7" s="11">
        <v>3</v>
      </c>
      <c r="G7" s="24"/>
      <c r="H7" s="24"/>
      <c r="I7" s="24" t="s">
        <v>17</v>
      </c>
      <c r="J7" s="24">
        <v>59120664</v>
      </c>
      <c r="K7" s="35" t="s">
        <v>914</v>
      </c>
      <c r="L7" s="24" t="s">
        <v>984</v>
      </c>
      <c r="M7" s="111">
        <v>179900</v>
      </c>
      <c r="N7" s="105" t="s">
        <v>332</v>
      </c>
      <c r="O7" s="106">
        <v>139000</v>
      </c>
      <c r="P7" s="105" t="s">
        <v>333</v>
      </c>
    </row>
    <row r="8" spans="1:16" x14ac:dyDescent="0.35">
      <c r="A8" s="110" t="s">
        <v>1045</v>
      </c>
      <c r="B8" s="12">
        <f t="shared" ref="B8:C8" si="5">B7</f>
        <v>46104</v>
      </c>
      <c r="C8" s="12">
        <f t="shared" si="5"/>
        <v>46113</v>
      </c>
      <c r="D8" s="21">
        <v>3259</v>
      </c>
      <c r="E8" s="21">
        <v>333</v>
      </c>
      <c r="F8" s="11">
        <v>3</v>
      </c>
      <c r="G8" s="24"/>
      <c r="H8" s="24"/>
      <c r="I8" s="24" t="s">
        <v>17</v>
      </c>
      <c r="J8" s="45">
        <v>59120557</v>
      </c>
      <c r="K8" s="35" t="s">
        <v>914</v>
      </c>
      <c r="L8" s="45" t="s">
        <v>985</v>
      </c>
      <c r="M8" s="111">
        <v>179900</v>
      </c>
      <c r="N8" s="105" t="s">
        <v>332</v>
      </c>
      <c r="O8" s="106">
        <v>139000</v>
      </c>
      <c r="P8" s="105" t="s">
        <v>333</v>
      </c>
    </row>
    <row r="9" spans="1:16" x14ac:dyDescent="0.35">
      <c r="A9" s="110" t="s">
        <v>1045</v>
      </c>
      <c r="B9" s="12">
        <f t="shared" ref="B9:C9" si="6">B8</f>
        <v>46104</v>
      </c>
      <c r="C9" s="12">
        <f t="shared" si="6"/>
        <v>46113</v>
      </c>
      <c r="D9" s="21">
        <v>3259</v>
      </c>
      <c r="E9" s="21">
        <v>333</v>
      </c>
      <c r="F9" s="11">
        <v>3</v>
      </c>
      <c r="G9" s="24"/>
      <c r="H9" s="24"/>
      <c r="I9" s="24" t="s">
        <v>17</v>
      </c>
      <c r="J9" s="45">
        <v>59120566</v>
      </c>
      <c r="K9" s="35" t="s">
        <v>914</v>
      </c>
      <c r="L9" s="45" t="s">
        <v>986</v>
      </c>
      <c r="M9" s="111">
        <v>179900</v>
      </c>
      <c r="N9" s="105" t="s">
        <v>332</v>
      </c>
      <c r="O9" s="106">
        <v>139000</v>
      </c>
      <c r="P9" s="105" t="s">
        <v>333</v>
      </c>
    </row>
    <row r="10" spans="1:16" x14ac:dyDescent="0.35">
      <c r="A10" s="110" t="s">
        <v>1045</v>
      </c>
      <c r="B10" s="12">
        <f t="shared" ref="B10:C10" si="7">B9</f>
        <v>46104</v>
      </c>
      <c r="C10" s="12">
        <f t="shared" si="7"/>
        <v>46113</v>
      </c>
      <c r="D10" s="21">
        <v>3259</v>
      </c>
      <c r="E10" s="21">
        <v>333</v>
      </c>
      <c r="F10" s="11">
        <v>3</v>
      </c>
      <c r="G10" s="24"/>
      <c r="H10" s="24"/>
      <c r="I10" s="24" t="s">
        <v>17</v>
      </c>
      <c r="J10" s="45">
        <v>59120575</v>
      </c>
      <c r="K10" s="35" t="s">
        <v>914</v>
      </c>
      <c r="L10" s="45" t="s">
        <v>987</v>
      </c>
      <c r="M10" s="111">
        <v>179900</v>
      </c>
      <c r="N10" s="105" t="s">
        <v>332</v>
      </c>
      <c r="O10" s="106">
        <v>139000</v>
      </c>
      <c r="P10" s="105" t="s">
        <v>333</v>
      </c>
    </row>
    <row r="11" spans="1:16" x14ac:dyDescent="0.35">
      <c r="A11" s="110" t="s">
        <v>1045</v>
      </c>
      <c r="B11" s="12">
        <f t="shared" ref="B11:C11" si="8">B10</f>
        <v>46104</v>
      </c>
      <c r="C11" s="12">
        <f t="shared" si="8"/>
        <v>46113</v>
      </c>
      <c r="D11" s="21">
        <v>3259</v>
      </c>
      <c r="E11" s="21">
        <v>333</v>
      </c>
      <c r="F11" s="11">
        <v>3</v>
      </c>
      <c r="G11" s="24"/>
      <c r="H11" s="24"/>
      <c r="I11" s="24" t="s">
        <v>17</v>
      </c>
      <c r="J11" s="45">
        <v>59120584</v>
      </c>
      <c r="K11" s="35" t="s">
        <v>914</v>
      </c>
      <c r="L11" s="45" t="s">
        <v>988</v>
      </c>
      <c r="M11" s="111">
        <v>179900</v>
      </c>
      <c r="N11" s="105" t="s">
        <v>332</v>
      </c>
      <c r="O11" s="106">
        <v>139000</v>
      </c>
      <c r="P11" s="105" t="s">
        <v>333</v>
      </c>
    </row>
    <row r="12" spans="1:16" x14ac:dyDescent="0.35">
      <c r="A12" s="110" t="s">
        <v>1045</v>
      </c>
      <c r="B12" s="12">
        <f t="shared" ref="B12:C12" si="9">B11</f>
        <v>46104</v>
      </c>
      <c r="C12" s="12">
        <f t="shared" si="9"/>
        <v>46113</v>
      </c>
      <c r="D12" s="21">
        <v>3259</v>
      </c>
      <c r="E12" s="21">
        <v>333</v>
      </c>
      <c r="F12" s="11">
        <v>3</v>
      </c>
      <c r="G12" s="24"/>
      <c r="H12" s="24"/>
      <c r="I12" s="24" t="s">
        <v>17</v>
      </c>
      <c r="J12" s="45">
        <v>59120593</v>
      </c>
      <c r="K12" s="35" t="s">
        <v>914</v>
      </c>
      <c r="L12" s="45" t="s">
        <v>989</v>
      </c>
      <c r="M12" s="111">
        <v>179900</v>
      </c>
      <c r="N12" s="105" t="s">
        <v>332</v>
      </c>
      <c r="O12" s="106">
        <v>139000</v>
      </c>
      <c r="P12" s="105" t="s">
        <v>333</v>
      </c>
    </row>
    <row r="13" spans="1:16" x14ac:dyDescent="0.35">
      <c r="A13" s="110" t="s">
        <v>1045</v>
      </c>
      <c r="B13" s="12">
        <f t="shared" ref="B13:C13" si="10">B12</f>
        <v>46104</v>
      </c>
      <c r="C13" s="12">
        <f t="shared" si="10"/>
        <v>46113</v>
      </c>
      <c r="D13" s="21">
        <v>3259</v>
      </c>
      <c r="E13" s="21">
        <v>333</v>
      </c>
      <c r="F13" s="11">
        <v>3</v>
      </c>
      <c r="G13" s="24"/>
      <c r="H13" s="24"/>
      <c r="I13" s="24" t="s">
        <v>17</v>
      </c>
      <c r="J13" s="45">
        <v>59120600</v>
      </c>
      <c r="K13" s="35" t="s">
        <v>914</v>
      </c>
      <c r="L13" s="45" t="s">
        <v>990</v>
      </c>
      <c r="M13" s="111">
        <v>179900</v>
      </c>
      <c r="N13" s="105" t="s">
        <v>332</v>
      </c>
      <c r="O13" s="106">
        <v>139000</v>
      </c>
      <c r="P13" s="105" t="s">
        <v>333</v>
      </c>
    </row>
    <row r="14" spans="1:16" x14ac:dyDescent="0.35">
      <c r="A14" s="110" t="s">
        <v>1045</v>
      </c>
      <c r="B14" s="12">
        <f t="shared" ref="B14:C14" si="11">B13</f>
        <v>46104</v>
      </c>
      <c r="C14" s="12">
        <f t="shared" si="11"/>
        <v>46113</v>
      </c>
      <c r="D14" s="21">
        <v>3259</v>
      </c>
      <c r="E14" s="21">
        <v>333</v>
      </c>
      <c r="F14" s="11">
        <v>3</v>
      </c>
      <c r="G14" s="45">
        <v>15</v>
      </c>
      <c r="H14" s="45"/>
      <c r="I14" s="24" t="s">
        <v>17</v>
      </c>
      <c r="J14" s="45">
        <v>61942049</v>
      </c>
      <c r="K14" s="45" t="s">
        <v>1003</v>
      </c>
      <c r="L14" s="45" t="s">
        <v>1004</v>
      </c>
      <c r="M14" s="112">
        <v>179900</v>
      </c>
      <c r="N14" s="105" t="s">
        <v>332</v>
      </c>
      <c r="O14" s="106">
        <v>139000</v>
      </c>
      <c r="P14" s="105" t="s">
        <v>333</v>
      </c>
    </row>
    <row r="15" spans="1:16" x14ac:dyDescent="0.35">
      <c r="A15" s="110" t="s">
        <v>1045</v>
      </c>
      <c r="B15" s="12">
        <f t="shared" ref="B15:C15" si="12">B14</f>
        <v>46104</v>
      </c>
      <c r="C15" s="12">
        <f t="shared" si="12"/>
        <v>46113</v>
      </c>
      <c r="D15" s="21">
        <v>3259</v>
      </c>
      <c r="E15" s="21">
        <v>333</v>
      </c>
      <c r="F15" s="11">
        <v>3</v>
      </c>
      <c r="G15" s="45">
        <v>15</v>
      </c>
      <c r="H15" s="45"/>
      <c r="I15" s="24" t="s">
        <v>17</v>
      </c>
      <c r="J15" s="45">
        <v>61942058</v>
      </c>
      <c r="K15" s="45" t="s">
        <v>1003</v>
      </c>
      <c r="L15" s="45" t="s">
        <v>1005</v>
      </c>
      <c r="M15" s="112">
        <v>179900</v>
      </c>
      <c r="N15" s="105" t="s">
        <v>332</v>
      </c>
      <c r="O15" s="106">
        <v>139000</v>
      </c>
      <c r="P15" s="105" t="s">
        <v>333</v>
      </c>
    </row>
    <row r="16" spans="1:16" x14ac:dyDescent="0.35">
      <c r="A16" s="110" t="s">
        <v>1045</v>
      </c>
      <c r="B16" s="12">
        <f t="shared" ref="B16:C16" si="13">B15</f>
        <v>46104</v>
      </c>
      <c r="C16" s="12">
        <f t="shared" si="13"/>
        <v>46113</v>
      </c>
      <c r="D16" s="21">
        <v>3259</v>
      </c>
      <c r="E16" s="21">
        <v>333</v>
      </c>
      <c r="F16" s="11">
        <v>3</v>
      </c>
      <c r="G16" s="45">
        <v>15</v>
      </c>
      <c r="H16" s="45"/>
      <c r="I16" s="24" t="s">
        <v>17</v>
      </c>
      <c r="J16" s="45">
        <v>61942067</v>
      </c>
      <c r="K16" s="45" t="s">
        <v>1003</v>
      </c>
      <c r="L16" s="45" t="s">
        <v>1006</v>
      </c>
      <c r="M16" s="112">
        <v>179900</v>
      </c>
      <c r="N16" s="105" t="s">
        <v>332</v>
      </c>
      <c r="O16" s="106">
        <v>139000</v>
      </c>
      <c r="P16" s="105" t="s">
        <v>333</v>
      </c>
    </row>
    <row r="17" spans="1:16" x14ac:dyDescent="0.35">
      <c r="A17" s="110" t="s">
        <v>1045</v>
      </c>
      <c r="B17" s="12">
        <f t="shared" ref="B17:C17" si="14">B16</f>
        <v>46104</v>
      </c>
      <c r="C17" s="12">
        <f t="shared" si="14"/>
        <v>46113</v>
      </c>
      <c r="D17" s="21">
        <v>3259</v>
      </c>
      <c r="E17" s="21">
        <v>333</v>
      </c>
      <c r="F17" s="11">
        <v>3</v>
      </c>
      <c r="G17" s="45">
        <v>15</v>
      </c>
      <c r="H17" s="45"/>
      <c r="I17" s="24" t="s">
        <v>17</v>
      </c>
      <c r="J17" s="45">
        <v>61942076</v>
      </c>
      <c r="K17" s="45" t="s">
        <v>1003</v>
      </c>
      <c r="L17" s="45" t="s">
        <v>1007</v>
      </c>
      <c r="M17" s="112">
        <v>179900</v>
      </c>
      <c r="N17" s="105" t="s">
        <v>332</v>
      </c>
      <c r="O17" s="106">
        <v>139000</v>
      </c>
      <c r="P17" s="105" t="s">
        <v>333</v>
      </c>
    </row>
    <row r="18" spans="1:16" x14ac:dyDescent="0.35">
      <c r="A18" s="110" t="s">
        <v>1045</v>
      </c>
      <c r="B18" s="12">
        <f t="shared" ref="B18:C18" si="15">B17</f>
        <v>46104</v>
      </c>
      <c r="C18" s="12">
        <f t="shared" si="15"/>
        <v>46113</v>
      </c>
      <c r="D18" s="21">
        <v>3259</v>
      </c>
      <c r="E18" s="21">
        <v>333</v>
      </c>
      <c r="F18" s="11">
        <v>3</v>
      </c>
      <c r="G18" s="45">
        <v>15</v>
      </c>
      <c r="H18" s="45"/>
      <c r="I18" s="24" t="s">
        <v>17</v>
      </c>
      <c r="J18" s="45">
        <v>61942085</v>
      </c>
      <c r="K18" s="45" t="s">
        <v>1003</v>
      </c>
      <c r="L18" s="45" t="s">
        <v>1008</v>
      </c>
      <c r="M18" s="112">
        <v>179900</v>
      </c>
      <c r="N18" s="105" t="s">
        <v>332</v>
      </c>
      <c r="O18" s="106">
        <v>139000</v>
      </c>
      <c r="P18" s="105" t="s">
        <v>333</v>
      </c>
    </row>
    <row r="19" spans="1:16" x14ac:dyDescent="0.35">
      <c r="A19" s="110" t="s">
        <v>1045</v>
      </c>
      <c r="B19" s="12">
        <f t="shared" ref="B19:C19" si="16">B18</f>
        <v>46104</v>
      </c>
      <c r="C19" s="12">
        <f t="shared" si="16"/>
        <v>46113</v>
      </c>
      <c r="D19" s="21">
        <v>3259</v>
      </c>
      <c r="E19" s="21">
        <v>333</v>
      </c>
      <c r="F19" s="11">
        <v>3</v>
      </c>
      <c r="G19" s="45">
        <v>15</v>
      </c>
      <c r="H19" s="45"/>
      <c r="I19" s="24" t="s">
        <v>17</v>
      </c>
      <c r="J19" s="45">
        <v>61942094</v>
      </c>
      <c r="K19" s="45" t="s">
        <v>1003</v>
      </c>
      <c r="L19" s="45" t="s">
        <v>1009</v>
      </c>
      <c r="M19" s="112">
        <v>179900</v>
      </c>
      <c r="N19" s="105" t="s">
        <v>332</v>
      </c>
      <c r="O19" s="106">
        <v>139000</v>
      </c>
      <c r="P19" s="105" t="s">
        <v>333</v>
      </c>
    </row>
    <row r="20" spans="1:16" x14ac:dyDescent="0.35">
      <c r="A20" s="110" t="s">
        <v>1045</v>
      </c>
      <c r="B20" s="12">
        <f t="shared" ref="B20:C20" si="17">B19</f>
        <v>46104</v>
      </c>
      <c r="C20" s="12">
        <f t="shared" si="17"/>
        <v>46113</v>
      </c>
      <c r="D20" s="21">
        <v>3259</v>
      </c>
      <c r="E20" s="21">
        <v>333</v>
      </c>
      <c r="F20" s="11">
        <v>3</v>
      </c>
      <c r="G20" s="45">
        <v>15</v>
      </c>
      <c r="H20" s="45"/>
      <c r="I20" s="24" t="s">
        <v>17</v>
      </c>
      <c r="J20" s="45">
        <v>61942101</v>
      </c>
      <c r="K20" s="45" t="s">
        <v>1003</v>
      </c>
      <c r="L20" s="45" t="s">
        <v>1010</v>
      </c>
      <c r="M20" s="112">
        <v>179900</v>
      </c>
      <c r="N20" s="105" t="s">
        <v>332</v>
      </c>
      <c r="O20" s="106">
        <v>139000</v>
      </c>
      <c r="P20" s="105" t="s">
        <v>333</v>
      </c>
    </row>
    <row r="21" spans="1:16" x14ac:dyDescent="0.35">
      <c r="A21" s="110" t="s">
        <v>1045</v>
      </c>
      <c r="B21" s="12">
        <f t="shared" ref="B21:C21" si="18">B20</f>
        <v>46104</v>
      </c>
      <c r="C21" s="12">
        <f t="shared" si="18"/>
        <v>46113</v>
      </c>
      <c r="D21" s="21">
        <v>3259</v>
      </c>
      <c r="E21" s="21">
        <v>333</v>
      </c>
      <c r="F21" s="11">
        <v>3</v>
      </c>
      <c r="G21" s="45">
        <v>15</v>
      </c>
      <c r="H21" s="45"/>
      <c r="I21" s="24" t="s">
        <v>17</v>
      </c>
      <c r="J21" s="45">
        <v>61942110</v>
      </c>
      <c r="K21" s="45" t="s">
        <v>1003</v>
      </c>
      <c r="L21" s="45" t="s">
        <v>1011</v>
      </c>
      <c r="M21" s="112">
        <v>179900</v>
      </c>
      <c r="N21" s="105" t="s">
        <v>332</v>
      </c>
      <c r="O21" s="106">
        <v>139000</v>
      </c>
      <c r="P21" s="105" t="s">
        <v>333</v>
      </c>
    </row>
    <row r="22" spans="1:16" x14ac:dyDescent="0.35">
      <c r="A22" s="110" t="s">
        <v>1045</v>
      </c>
      <c r="B22" s="12">
        <f t="shared" ref="B22:C22" si="19">B21</f>
        <v>46104</v>
      </c>
      <c r="C22" s="12">
        <f t="shared" si="19"/>
        <v>46113</v>
      </c>
      <c r="D22" s="21">
        <v>3259</v>
      </c>
      <c r="E22" s="21">
        <v>333</v>
      </c>
      <c r="F22" s="11">
        <v>3</v>
      </c>
      <c r="G22" s="45">
        <v>15</v>
      </c>
      <c r="H22" s="45"/>
      <c r="I22" s="24" t="s">
        <v>17</v>
      </c>
      <c r="J22" s="45">
        <v>61942129</v>
      </c>
      <c r="K22" s="45" t="s">
        <v>1003</v>
      </c>
      <c r="L22" s="45" t="s">
        <v>1012</v>
      </c>
      <c r="M22" s="112">
        <v>179900</v>
      </c>
      <c r="N22" s="105" t="s">
        <v>332</v>
      </c>
      <c r="O22" s="106">
        <v>139000</v>
      </c>
      <c r="P22" s="105" t="s">
        <v>333</v>
      </c>
    </row>
    <row r="23" spans="1:16" x14ac:dyDescent="0.35">
      <c r="A23" s="110" t="s">
        <v>1045</v>
      </c>
      <c r="B23" s="12">
        <f t="shared" ref="B23:C23" si="20">B22</f>
        <v>46104</v>
      </c>
      <c r="C23" s="12">
        <f t="shared" si="20"/>
        <v>46113</v>
      </c>
      <c r="D23" s="21">
        <v>3259</v>
      </c>
      <c r="E23" s="21">
        <v>333</v>
      </c>
      <c r="F23" s="11">
        <v>3</v>
      </c>
      <c r="G23" s="45">
        <v>15</v>
      </c>
      <c r="H23" s="45"/>
      <c r="I23" s="24" t="s">
        <v>17</v>
      </c>
      <c r="J23" s="45">
        <v>61942147</v>
      </c>
      <c r="K23" s="45" t="s">
        <v>1003</v>
      </c>
      <c r="L23" s="45" t="s">
        <v>1013</v>
      </c>
      <c r="M23" s="112">
        <v>179900</v>
      </c>
      <c r="N23" s="105" t="s">
        <v>332</v>
      </c>
      <c r="O23" s="106">
        <v>139000</v>
      </c>
      <c r="P23" s="105" t="s">
        <v>333</v>
      </c>
    </row>
    <row r="24" spans="1:16" x14ac:dyDescent="0.35">
      <c r="A24" s="110" t="s">
        <v>1045</v>
      </c>
      <c r="B24" s="12">
        <f t="shared" ref="B24:C24" si="21">B23</f>
        <v>46104</v>
      </c>
      <c r="C24" s="12">
        <f t="shared" si="21"/>
        <v>46113</v>
      </c>
      <c r="D24" s="21">
        <v>3259</v>
      </c>
      <c r="E24" s="21">
        <v>333</v>
      </c>
      <c r="F24" s="11">
        <v>3</v>
      </c>
      <c r="G24" s="45">
        <v>15</v>
      </c>
      <c r="H24" s="45"/>
      <c r="I24" s="24" t="s">
        <v>17</v>
      </c>
      <c r="J24" s="45">
        <v>61942156</v>
      </c>
      <c r="K24" s="45" t="s">
        <v>1003</v>
      </c>
      <c r="L24" s="45" t="s">
        <v>1014</v>
      </c>
      <c r="M24" s="112">
        <v>179900</v>
      </c>
      <c r="N24" s="105" t="s">
        <v>332</v>
      </c>
      <c r="O24" s="106">
        <v>139000</v>
      </c>
      <c r="P24" s="105" t="s">
        <v>333</v>
      </c>
    </row>
    <row r="25" spans="1:16" x14ac:dyDescent="0.35">
      <c r="A25" s="110" t="s">
        <v>1045</v>
      </c>
      <c r="B25" s="12">
        <f t="shared" ref="B25:C25" si="22">B24</f>
        <v>46104</v>
      </c>
      <c r="C25" s="12">
        <f t="shared" si="22"/>
        <v>46113</v>
      </c>
      <c r="D25" s="21">
        <v>3259</v>
      </c>
      <c r="E25" s="21">
        <v>333</v>
      </c>
      <c r="F25" s="11">
        <v>3</v>
      </c>
      <c r="G25" s="45">
        <v>15</v>
      </c>
      <c r="H25" s="45"/>
      <c r="I25" s="24" t="s">
        <v>17</v>
      </c>
      <c r="J25" s="45">
        <v>61942165</v>
      </c>
      <c r="K25" s="45" t="s">
        <v>1003</v>
      </c>
      <c r="L25" s="45" t="s">
        <v>1015</v>
      </c>
      <c r="M25" s="112">
        <v>179900</v>
      </c>
      <c r="N25" s="105" t="s">
        <v>332</v>
      </c>
      <c r="O25" s="106">
        <v>139000</v>
      </c>
      <c r="P25" s="105" t="s">
        <v>333</v>
      </c>
    </row>
    <row r="26" spans="1:16" x14ac:dyDescent="0.35">
      <c r="A26" s="110" t="s">
        <v>1045</v>
      </c>
      <c r="B26" s="12">
        <f t="shared" ref="B26:C26" si="23">B25</f>
        <v>46104</v>
      </c>
      <c r="C26" s="12">
        <f t="shared" si="23"/>
        <v>46113</v>
      </c>
      <c r="D26" s="21">
        <v>3259</v>
      </c>
      <c r="E26" s="21">
        <v>333</v>
      </c>
      <c r="F26" s="11">
        <v>3</v>
      </c>
      <c r="G26" s="45">
        <v>15</v>
      </c>
      <c r="H26" s="45"/>
      <c r="I26" s="24" t="s">
        <v>17</v>
      </c>
      <c r="J26" s="45">
        <v>61942174</v>
      </c>
      <c r="K26" s="45" t="s">
        <v>1003</v>
      </c>
      <c r="L26" s="45" t="s">
        <v>1016</v>
      </c>
      <c r="M26" s="112">
        <v>179900</v>
      </c>
      <c r="N26" s="105" t="s">
        <v>332</v>
      </c>
      <c r="O26" s="106">
        <v>139000</v>
      </c>
      <c r="P26" s="105" t="s">
        <v>333</v>
      </c>
    </row>
    <row r="27" spans="1:16" x14ac:dyDescent="0.35">
      <c r="A27" s="110" t="s">
        <v>1045</v>
      </c>
      <c r="B27" s="12">
        <f t="shared" ref="B27:C27" si="24">B26</f>
        <v>46104</v>
      </c>
      <c r="C27" s="12">
        <f t="shared" si="24"/>
        <v>46113</v>
      </c>
      <c r="D27" s="21">
        <v>3259</v>
      </c>
      <c r="E27" s="21">
        <v>333</v>
      </c>
      <c r="F27" s="11">
        <v>3</v>
      </c>
      <c r="G27" s="45">
        <v>15</v>
      </c>
      <c r="H27" s="45"/>
      <c r="I27" s="24" t="s">
        <v>17</v>
      </c>
      <c r="J27" s="45">
        <v>61942183</v>
      </c>
      <c r="K27" s="45" t="s">
        <v>1003</v>
      </c>
      <c r="L27" s="45" t="s">
        <v>1017</v>
      </c>
      <c r="M27" s="112">
        <v>179900</v>
      </c>
      <c r="N27" s="105" t="s">
        <v>332</v>
      </c>
      <c r="O27" s="106">
        <v>139000</v>
      </c>
      <c r="P27" s="105" t="s">
        <v>333</v>
      </c>
    </row>
    <row r="28" spans="1:16" x14ac:dyDescent="0.35">
      <c r="A28" s="110" t="s">
        <v>1045</v>
      </c>
      <c r="B28" s="12">
        <f t="shared" ref="B28:C28" si="25">B27</f>
        <v>46104</v>
      </c>
      <c r="C28" s="12">
        <f t="shared" si="25"/>
        <v>46113</v>
      </c>
      <c r="D28" s="21">
        <v>3259</v>
      </c>
      <c r="E28" s="21">
        <v>333</v>
      </c>
      <c r="F28" s="11">
        <v>3</v>
      </c>
      <c r="G28" s="45">
        <v>15</v>
      </c>
      <c r="H28" s="45"/>
      <c r="I28" s="24" t="s">
        <v>17</v>
      </c>
      <c r="J28" s="45">
        <v>61942192</v>
      </c>
      <c r="K28" s="45" t="s">
        <v>1003</v>
      </c>
      <c r="L28" s="45" t="s">
        <v>1018</v>
      </c>
      <c r="M28" s="112">
        <v>179900</v>
      </c>
      <c r="N28" s="105" t="s">
        <v>332</v>
      </c>
      <c r="O28" s="106">
        <v>139000</v>
      </c>
      <c r="P28" s="105" t="s">
        <v>333</v>
      </c>
    </row>
    <row r="29" spans="1:16" x14ac:dyDescent="0.35">
      <c r="A29" s="110" t="s">
        <v>1045</v>
      </c>
      <c r="B29" s="12">
        <f t="shared" ref="B29:C29" si="26">B28</f>
        <v>46104</v>
      </c>
      <c r="C29" s="12">
        <f t="shared" si="26"/>
        <v>46113</v>
      </c>
      <c r="D29" s="21">
        <v>3259</v>
      </c>
      <c r="E29" s="21">
        <v>333</v>
      </c>
      <c r="F29" s="11">
        <v>3</v>
      </c>
      <c r="G29" s="45">
        <v>15</v>
      </c>
      <c r="H29" s="45"/>
      <c r="I29" s="24" t="s">
        <v>17</v>
      </c>
      <c r="J29" s="45">
        <v>61942209</v>
      </c>
      <c r="K29" s="45" t="s">
        <v>1003</v>
      </c>
      <c r="L29" s="45" t="s">
        <v>1019</v>
      </c>
      <c r="M29" s="112">
        <v>179900</v>
      </c>
      <c r="N29" s="105" t="s">
        <v>332</v>
      </c>
      <c r="O29" s="106">
        <v>139000</v>
      </c>
      <c r="P29" s="105" t="s">
        <v>333</v>
      </c>
    </row>
    <row r="30" spans="1:16" x14ac:dyDescent="0.35">
      <c r="A30" s="110" t="s">
        <v>1045</v>
      </c>
      <c r="B30" s="12">
        <f t="shared" ref="B30:C30" si="27">B29</f>
        <v>46104</v>
      </c>
      <c r="C30" s="12">
        <f t="shared" si="27"/>
        <v>46113</v>
      </c>
      <c r="D30" s="21">
        <v>3259</v>
      </c>
      <c r="E30" s="21">
        <v>333</v>
      </c>
      <c r="F30" s="11">
        <v>3</v>
      </c>
      <c r="G30" s="45">
        <v>15</v>
      </c>
      <c r="H30" s="45"/>
      <c r="I30" s="24" t="s">
        <v>17</v>
      </c>
      <c r="J30" s="45">
        <v>61942218</v>
      </c>
      <c r="K30" s="45" t="s">
        <v>1003</v>
      </c>
      <c r="L30" s="45" t="s">
        <v>1020</v>
      </c>
      <c r="M30" s="112">
        <v>179900</v>
      </c>
      <c r="N30" s="105" t="s">
        <v>332</v>
      </c>
      <c r="O30" s="106">
        <v>139000</v>
      </c>
      <c r="P30" s="105" t="s">
        <v>333</v>
      </c>
    </row>
    <row r="31" spans="1:16" x14ac:dyDescent="0.35">
      <c r="A31" s="110" t="s">
        <v>1045</v>
      </c>
      <c r="B31" s="12">
        <f t="shared" ref="B31:C31" si="28">B30</f>
        <v>46104</v>
      </c>
      <c r="C31" s="12">
        <f t="shared" si="28"/>
        <v>46113</v>
      </c>
      <c r="D31" s="21">
        <v>3259</v>
      </c>
      <c r="E31" s="21">
        <v>333</v>
      </c>
      <c r="F31" s="11">
        <v>3</v>
      </c>
      <c r="G31" s="45">
        <v>15</v>
      </c>
      <c r="H31" s="45"/>
      <c r="I31" s="24" t="s">
        <v>17</v>
      </c>
      <c r="J31" s="45">
        <v>61942227</v>
      </c>
      <c r="K31" s="45" t="s">
        <v>1003</v>
      </c>
      <c r="L31" s="45" t="s">
        <v>1021</v>
      </c>
      <c r="M31" s="112">
        <v>179900</v>
      </c>
      <c r="N31" s="105" t="s">
        <v>332</v>
      </c>
      <c r="O31" s="106">
        <v>139000</v>
      </c>
      <c r="P31" s="105" t="s">
        <v>333</v>
      </c>
    </row>
    <row r="32" spans="1:16" x14ac:dyDescent="0.35">
      <c r="A32" s="110" t="s">
        <v>1045</v>
      </c>
      <c r="B32" s="12">
        <f t="shared" ref="B32:C32" si="29">B31</f>
        <v>46104</v>
      </c>
      <c r="C32" s="12">
        <f t="shared" si="29"/>
        <v>46113</v>
      </c>
      <c r="D32" s="21">
        <v>3259</v>
      </c>
      <c r="E32" s="21">
        <v>333</v>
      </c>
      <c r="F32" s="11">
        <v>3</v>
      </c>
      <c r="G32" s="45">
        <v>15</v>
      </c>
      <c r="H32" s="45"/>
      <c r="I32" s="24" t="s">
        <v>17</v>
      </c>
      <c r="J32" s="45">
        <v>61942236</v>
      </c>
      <c r="K32" s="45" t="s">
        <v>1003</v>
      </c>
      <c r="L32" s="45" t="s">
        <v>1022</v>
      </c>
      <c r="M32" s="112">
        <v>179900</v>
      </c>
      <c r="N32" s="105" t="s">
        <v>332</v>
      </c>
      <c r="O32" s="106">
        <v>139000</v>
      </c>
      <c r="P32" s="105" t="s">
        <v>333</v>
      </c>
    </row>
    <row r="33" spans="1:16" x14ac:dyDescent="0.35">
      <c r="A33" s="110" t="s">
        <v>1045</v>
      </c>
      <c r="B33" s="12">
        <f t="shared" ref="B33:C33" si="30">B32</f>
        <v>46104</v>
      </c>
      <c r="C33" s="12">
        <f t="shared" si="30"/>
        <v>46113</v>
      </c>
      <c r="D33" s="21">
        <v>3259</v>
      </c>
      <c r="E33" s="21">
        <v>333</v>
      </c>
      <c r="F33" s="11">
        <v>3</v>
      </c>
      <c r="G33" s="45">
        <v>15</v>
      </c>
      <c r="H33" s="45"/>
      <c r="I33" s="24" t="s">
        <v>17</v>
      </c>
      <c r="J33" s="45">
        <v>61942138</v>
      </c>
      <c r="K33" s="45" t="s">
        <v>1003</v>
      </c>
      <c r="L33" s="45" t="s">
        <v>1023</v>
      </c>
      <c r="M33" s="112">
        <v>179900</v>
      </c>
      <c r="N33" s="105" t="s">
        <v>332</v>
      </c>
      <c r="O33" s="106">
        <v>139000</v>
      </c>
      <c r="P33" s="105" t="s">
        <v>333</v>
      </c>
    </row>
  </sheetData>
  <autoFilter ref="A1:P13" xr:uid="{00000000-0009-0000-0000-00001E000000}"/>
  <conditionalFormatting sqref="J1">
    <cfRule type="duplicateValues" dxfId="185" priority="242"/>
    <cfRule type="duplicateValues" dxfId="184" priority="243"/>
    <cfRule type="duplicateValues" dxfId="183" priority="244"/>
  </conditionalFormatting>
  <conditionalFormatting sqref="J1:J1048576">
    <cfRule type="duplicateValues" dxfId="182" priority="1"/>
    <cfRule type="duplicateValues" dxfId="181" priority="10316"/>
    <cfRule type="duplicateValues" dxfId="180" priority="10317"/>
    <cfRule type="duplicateValues" dxfId="179" priority="10318"/>
    <cfRule type="duplicateValues" dxfId="178" priority="10319"/>
    <cfRule type="duplicateValues" dxfId="177" priority="10320"/>
    <cfRule type="duplicateValues" dxfId="176" priority="10321"/>
    <cfRule type="duplicateValues" dxfId="175" priority="10322"/>
    <cfRule type="duplicateValues" dxfId="174" priority="10323"/>
    <cfRule type="duplicateValues" dxfId="173" priority="10324"/>
  </conditionalFormatting>
  <conditionalFormatting sqref="J2:J7">
    <cfRule type="duplicateValues" dxfId="172" priority="220"/>
    <cfRule type="duplicateValues" dxfId="171" priority="221"/>
    <cfRule type="duplicateValues" dxfId="170" priority="222"/>
    <cfRule type="duplicateValues" dxfId="169" priority="223"/>
    <cfRule type="duplicateValues" dxfId="168" priority="224"/>
    <cfRule type="duplicateValues" dxfId="167" priority="225"/>
    <cfRule type="duplicateValues" dxfId="166" priority="226"/>
    <cfRule type="duplicateValues" dxfId="165" priority="227"/>
    <cfRule type="duplicateValues" dxfId="164" priority="228"/>
    <cfRule type="duplicateValues" dxfId="163" priority="229"/>
    <cfRule type="duplicateValues" dxfId="162" priority="230"/>
    <cfRule type="duplicateValues" dxfId="161" priority="231"/>
    <cfRule type="duplicateValues" dxfId="160" priority="232"/>
    <cfRule type="duplicateValues" dxfId="159" priority="233"/>
    <cfRule type="duplicateValues" dxfId="158" priority="234"/>
    <cfRule type="duplicateValues" dxfId="157" priority="235"/>
    <cfRule type="duplicateValues" dxfId="156" priority="236"/>
    <cfRule type="duplicateValues" dxfId="155" priority="237"/>
    <cfRule type="duplicateValues" dxfId="154" priority="238"/>
    <cfRule type="duplicateValues" dxfId="153" priority="239"/>
    <cfRule type="duplicateValues" dxfId="152" priority="240"/>
  </conditionalFormatting>
  <conditionalFormatting sqref="J1">
    <cfRule type="duplicateValues" dxfId="151" priority="10325"/>
    <cfRule type="duplicateValues" dxfId="150" priority="10326"/>
    <cfRule type="duplicateValues" dxfId="149" priority="10327"/>
    <cfRule type="duplicateValues" dxfId="148" priority="10328"/>
    <cfRule type="duplicateValues" dxfId="147" priority="10329"/>
    <cfRule type="duplicateValues" dxfId="146" priority="10330"/>
    <cfRule type="duplicateValues" dxfId="145" priority="10331"/>
    <cfRule type="duplicateValues" dxfId="144" priority="10332"/>
  </conditionalFormatting>
  <conditionalFormatting sqref="J1">
    <cfRule type="duplicateValues" dxfId="143" priority="10333"/>
    <cfRule type="duplicateValues" dxfId="142" priority="10334"/>
    <cfRule type="duplicateValues" dxfId="141" priority="10335"/>
  </conditionalFormatting>
  <conditionalFormatting sqref="J1:J13">
    <cfRule type="duplicateValues" dxfId="140" priority="10336"/>
    <cfRule type="duplicateValues" dxfId="139" priority="10337"/>
  </conditionalFormatting>
  <conditionalFormatting sqref="J1">
    <cfRule type="duplicateValues" dxfId="138" priority="10438"/>
    <cfRule type="duplicateValues" dxfId="137" priority="10439"/>
    <cfRule type="duplicateValues" dxfId="136" priority="10440"/>
    <cfRule type="duplicateValues" dxfId="135" priority="10441"/>
    <cfRule type="duplicateValues" dxfId="134" priority="10442"/>
    <cfRule type="duplicateValues" dxfId="133" priority="10443"/>
    <cfRule type="duplicateValues" dxfId="132" priority="10444"/>
    <cfRule type="duplicateValues" dxfId="131" priority="10445"/>
    <cfRule type="duplicateValues" dxfId="130" priority="10446"/>
  </conditionalFormatting>
  <conditionalFormatting sqref="J1">
    <cfRule type="duplicateValues" dxfId="129" priority="10447"/>
    <cfRule type="duplicateValues" dxfId="128" priority="10448"/>
    <cfRule type="duplicateValues" dxfId="127" priority="10449"/>
    <cfRule type="duplicateValues" dxfId="126" priority="10450"/>
    <cfRule type="duplicateValues" dxfId="125" priority="10451"/>
  </conditionalFormatting>
  <conditionalFormatting sqref="J1">
    <cfRule type="duplicateValues" dxfId="124" priority="10452"/>
    <cfRule type="duplicateValues" dxfId="123" priority="10453"/>
    <cfRule type="duplicateValues" dxfId="122" priority="10454"/>
    <cfRule type="duplicateValues" dxfId="121" priority="10455"/>
    <cfRule type="duplicateValues" dxfId="120" priority="10456"/>
    <cfRule type="duplicateValues" dxfId="119" priority="10457"/>
    <cfRule type="duplicateValues" dxfId="118" priority="10458"/>
    <cfRule type="duplicateValues" dxfId="117" priority="10459"/>
    <cfRule type="duplicateValues" dxfId="116" priority="10460"/>
    <cfRule type="duplicateValues" dxfId="115" priority="10461"/>
    <cfRule type="duplicateValues" dxfId="114" priority="10462"/>
    <cfRule type="duplicateValues" dxfId="113" priority="10463"/>
    <cfRule type="duplicateValues" dxfId="112" priority="10464"/>
    <cfRule type="duplicateValues" dxfId="111" priority="10465"/>
    <cfRule type="duplicateValues" dxfId="110" priority="10466"/>
    <cfRule type="duplicateValues" dxfId="109" priority="10467"/>
    <cfRule type="duplicateValues" dxfId="108" priority="10468"/>
    <cfRule type="duplicateValues" dxfId="107" priority="10469"/>
  </conditionalFormatting>
  <conditionalFormatting sqref="J1">
    <cfRule type="duplicateValues" dxfId="106" priority="10470"/>
    <cfRule type="duplicateValues" dxfId="105" priority="10471"/>
    <cfRule type="duplicateValues" dxfId="104" priority="10472"/>
    <cfRule type="duplicateValues" dxfId="103" priority="10473"/>
    <cfRule type="duplicateValues" dxfId="102" priority="10474"/>
    <cfRule type="duplicateValues" dxfId="101" priority="10475"/>
    <cfRule type="duplicateValues" dxfId="100" priority="10476"/>
  </conditionalFormatting>
  <conditionalFormatting sqref="J1:J13">
    <cfRule type="duplicateValues" dxfId="99" priority="10477"/>
    <cfRule type="duplicateValues" dxfId="98" priority="10478"/>
    <cfRule type="duplicateValues" dxfId="97" priority="10479"/>
    <cfRule type="duplicateValues" dxfId="96" priority="10480"/>
    <cfRule type="duplicateValues" dxfId="95" priority="10481"/>
  </conditionalFormatting>
  <conditionalFormatting sqref="J1:J33">
    <cfRule type="duplicateValues" dxfId="94" priority="10530"/>
    <cfRule type="duplicateValues" dxfId="93" priority="10531"/>
    <cfRule type="duplicateValues" dxfId="92" priority="10532"/>
    <cfRule type="duplicateValues" dxfId="91" priority="10533"/>
    <cfRule type="duplicateValues" dxfId="90" priority="10534"/>
    <cfRule type="duplicateValues" dxfId="89" priority="10535"/>
  </conditionalFormatting>
  <conditionalFormatting sqref="J1:J33">
    <cfRule type="duplicateValues" dxfId="88" priority="10536"/>
    <cfRule type="duplicateValues" dxfId="87" priority="10537"/>
    <cfRule type="duplicateValues" dxfId="86" priority="10538"/>
    <cfRule type="duplicateValues" dxfId="85" priority="10539"/>
    <cfRule type="duplicateValues" dxfId="84" priority="10540"/>
    <cfRule type="duplicateValues" dxfId="83" priority="10541"/>
    <cfRule type="duplicateValues" dxfId="82" priority="10542"/>
    <cfRule type="duplicateValues" dxfId="81" priority="10543"/>
    <cfRule type="duplicateValues" dxfId="80" priority="10544"/>
  </conditionalFormatting>
  <conditionalFormatting sqref="J1:J33">
    <cfRule type="duplicateValues" dxfId="79" priority="10545"/>
    <cfRule type="duplicateValues" dxfId="78" priority="10546"/>
    <cfRule type="duplicateValues" dxfId="77" priority="10547"/>
    <cfRule type="duplicateValues" dxfId="76" priority="10548"/>
    <cfRule type="duplicateValues" dxfId="75" priority="10549"/>
    <cfRule type="duplicateValues" dxfId="74" priority="10550"/>
    <cfRule type="duplicateValues" dxfId="73" priority="10551"/>
    <cfRule type="duplicateValues" dxfId="72" priority="10552"/>
    <cfRule type="duplicateValues" dxfId="71" priority="10553"/>
    <cfRule type="duplicateValues" dxfId="70" priority="10554"/>
    <cfRule type="duplicateValues" dxfId="69" priority="10555"/>
    <cfRule type="duplicateValues" dxfId="68" priority="10556"/>
    <cfRule type="duplicateValues" dxfId="67" priority="10557"/>
    <cfRule type="duplicateValues" dxfId="66" priority="10558"/>
    <cfRule type="duplicateValues" dxfId="65" priority="10559"/>
    <cfRule type="duplicateValues" dxfId="64" priority="10560"/>
    <cfRule type="duplicateValues" dxfId="63" priority="10561"/>
    <cfRule type="duplicateValues" dxfId="62" priority="10562"/>
    <cfRule type="duplicateValues" dxfId="61" priority="10563"/>
  </conditionalFormatting>
  <conditionalFormatting sqref="J1:J33">
    <cfRule type="duplicateValues" dxfId="60" priority="10564"/>
    <cfRule type="duplicateValues" dxfId="59" priority="10565"/>
    <cfRule type="duplicateValues" dxfId="58" priority="10566"/>
    <cfRule type="duplicateValues" dxfId="57" priority="10567"/>
    <cfRule type="duplicateValues" dxfId="56" priority="10568"/>
    <cfRule type="duplicateValues" dxfId="55" priority="10569"/>
    <cfRule type="duplicateValues" dxfId="54" priority="10570"/>
    <cfRule type="duplicateValues" dxfId="53" priority="10571"/>
    <cfRule type="duplicateValues" dxfId="52" priority="10572"/>
    <cfRule type="duplicateValues" dxfId="51" priority="10573"/>
    <cfRule type="duplicateValues" dxfId="50" priority="10574"/>
    <cfRule type="duplicateValues" dxfId="49" priority="10575"/>
    <cfRule type="duplicateValues" dxfId="48" priority="10576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C1ADE1BD-5B15-4394-9E0C-456EED925843}"/>
</file>

<file path=customXml/itemProps2.xml><?xml version="1.0" encoding="utf-8"?>
<ds:datastoreItem xmlns:ds="http://schemas.openxmlformats.org/officeDocument/2006/customXml" ds:itemID="{409F2140-0E82-4251-A39D-13CC74BA89BD}"/>
</file>

<file path=customXml/itemProps3.xml><?xml version="1.0" encoding="utf-8"?>
<ds:datastoreItem xmlns:ds="http://schemas.openxmlformats.org/officeDocument/2006/customXml" ds:itemID="{43903706-74E5-4837-A115-757412DF4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2024 ALL BOTTOM D75</vt:lpstr>
      <vt:lpstr>2024 KNITPANTS KNITSHORT D75</vt:lpstr>
      <vt:lpstr>2024 H2 WOVEN SHORT D75</vt:lpstr>
      <vt:lpstr>2024 H2 WOVEN PANTS D75</vt:lpstr>
      <vt:lpstr>2024 H2 DENIM PANTS D75</vt:lpstr>
      <vt:lpstr>25 H1 WVN SHORT WVN PANT D75</vt:lpstr>
      <vt:lpstr>25 H1 DENIM PANTS D75</vt:lpstr>
      <vt:lpstr>2025Q1 KnitShorts KnitPants D75</vt:lpstr>
      <vt:lpstr>25 Q2 KNIT SHORT D75</vt:lpstr>
      <vt:lpstr>25 Q2 KNIT PANTS D75</vt:lpstr>
      <vt:lpstr>2025 AUG SEPT KNIT SHORT SP99K</vt:lpstr>
      <vt:lpstr>25 AUG SEPT KNIT PANTS SP119K</vt:lpstr>
      <vt:lpstr>2025 AUG SEPT Woven Short SP119</vt:lpstr>
      <vt:lpstr>2025 Q4 Denim SP 199K</vt:lpstr>
      <vt:lpstr>25Q4 WVN PANTS SP 179K</vt:lpstr>
      <vt:lpstr>25Q4 Woven Short SP 139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2026-03-16T11:37:49Z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  <property fmtid="{D5CDD505-2E9C-101B-9397-08002B2CF9AE}" pid="3" name="ContentTypeId">
    <vt:lpwstr>0x010100401CAAF997076F4EB745462FB1BB4C65</vt:lpwstr>
  </property>
</Properties>
</file>