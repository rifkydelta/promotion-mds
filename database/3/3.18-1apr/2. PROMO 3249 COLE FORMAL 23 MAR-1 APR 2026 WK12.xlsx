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2 26\"/>
    </mc:Choice>
  </mc:AlternateContent>
  <xr:revisionPtr revIDLastSave="0" documentId="13_ncr:1_{A27C90D2-D6C9-4C8E-8D6B-62A1E63E3A3E}" xr6:coauthVersionLast="47" xr6:coauthVersionMax="47" xr10:uidLastSave="{00000000-0000-0000-0000-000000000000}"/>
  <bookViews>
    <workbookView xWindow="-110" yWindow="-110" windowWidth="19420" windowHeight="10300" tabRatio="899" activeTab="1" xr2:uid="{00000000-000D-0000-FFFF-FFFF00000000}"/>
  </bookViews>
  <sheets>
    <sheet name="25Q4 WWSHIRT SP 139K" sheetId="20" r:id="rId1"/>
    <sheet name="25Q4 WWPANT SP 179K" sheetId="21" r:id="rId2"/>
  </sheets>
  <definedNames>
    <definedName name="_xlnm._FilterDatabase" localSheetId="1" hidden="1">'25Q4 WWPANT SP 179K'!$A$1:$P$1</definedName>
    <definedName name="_xlnm._FilterDatabase" localSheetId="0" hidden="1">'25Q4 WWSHIRT SP 139K'!$A$1:$P$1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21" l="1"/>
  <c r="C4" i="21"/>
  <c r="B5" i="21"/>
  <c r="B6" i="21" s="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C5" i="21"/>
  <c r="C6" i="21"/>
  <c r="C7" i="21" s="1"/>
  <c r="C8" i="21" s="1"/>
  <c r="C9" i="21" s="1"/>
  <c r="C10" i="21" s="1"/>
  <c r="C11" i="21" s="1"/>
  <c r="C12" i="21" s="1"/>
  <c r="C13" i="21" s="1"/>
  <c r="C14" i="21" s="1"/>
  <c r="C15" i="21" s="1"/>
  <c r="C16" i="21" s="1"/>
  <c r="C17" i="21" s="1"/>
  <c r="C18" i="21" s="1"/>
  <c r="C19" i="21" s="1"/>
  <c r="C20" i="21" s="1"/>
  <c r="C21" i="21" s="1"/>
  <c r="C3" i="21"/>
  <c r="B3" i="21"/>
  <c r="B4" i="20"/>
  <c r="C4" i="20"/>
  <c r="B5" i="20"/>
  <c r="B6" i="20" s="1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B38" i="20" s="1"/>
  <c r="B39" i="20" s="1"/>
  <c r="B40" i="20" s="1"/>
  <c r="B41" i="20" s="1"/>
  <c r="B42" i="20" s="1"/>
  <c r="B43" i="20" s="1"/>
  <c r="B44" i="20" s="1"/>
  <c r="B45" i="20" s="1"/>
  <c r="B46" i="20" s="1"/>
  <c r="B47" i="20" s="1"/>
  <c r="B48" i="20" s="1"/>
  <c r="B49" i="20" s="1"/>
  <c r="B50" i="20" s="1"/>
  <c r="B51" i="20" s="1"/>
  <c r="C5" i="20"/>
  <c r="C6" i="20" s="1"/>
  <c r="C7" i="20" s="1"/>
  <c r="C8" i="20" s="1"/>
  <c r="C9" i="20" s="1"/>
  <c r="C10" i="20" s="1"/>
  <c r="C11" i="20" s="1"/>
  <c r="C12" i="20" s="1"/>
  <c r="C13" i="20" s="1"/>
  <c r="C14" i="20" s="1"/>
  <c r="C15" i="20" s="1"/>
  <c r="C16" i="20" s="1"/>
  <c r="C17" i="20" s="1"/>
  <c r="C18" i="20" s="1"/>
  <c r="C19" i="20" s="1"/>
  <c r="C20" i="20" s="1"/>
  <c r="C21" i="20" s="1"/>
  <c r="C22" i="20" s="1"/>
  <c r="C23" i="20" s="1"/>
  <c r="C24" i="20" s="1"/>
  <c r="C25" i="20" s="1"/>
  <c r="C26" i="20" s="1"/>
  <c r="C27" i="20" s="1"/>
  <c r="C28" i="20" s="1"/>
  <c r="C29" i="20" s="1"/>
  <c r="C30" i="20" s="1"/>
  <c r="C31" i="20" s="1"/>
  <c r="C32" i="20" s="1"/>
  <c r="C33" i="20" s="1"/>
  <c r="C34" i="20" s="1"/>
  <c r="C35" i="20" s="1"/>
  <c r="C36" i="20" s="1"/>
  <c r="C37" i="20" s="1"/>
  <c r="C38" i="20" s="1"/>
  <c r="C39" i="20" s="1"/>
  <c r="C40" i="20" s="1"/>
  <c r="C41" i="20" s="1"/>
  <c r="C42" i="20" s="1"/>
  <c r="C43" i="20" s="1"/>
  <c r="C44" i="20" s="1"/>
  <c r="C45" i="20" s="1"/>
  <c r="C46" i="20" s="1"/>
  <c r="C47" i="20" s="1"/>
  <c r="C48" i="20" s="1"/>
  <c r="C49" i="20" s="1"/>
  <c r="C50" i="20" s="1"/>
  <c r="C51" i="20" s="1"/>
  <c r="C3" i="20"/>
  <c r="B3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<sst xmlns="http://schemas.openxmlformats.org/spreadsheetml/2006/main" count="452" uniqueCount="100">
  <si>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</si>
  <si>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</si>
  <si>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</si>
  <si>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</si>
  <si>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</si>
  <si>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</si>
  <si>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</si>
  <si>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</si>
  <si>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</si>
  <si>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</si>
  <si>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</si>
  <si>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</si>
  <si>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</si>
  <si>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</si>
  <si>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</si>
  <si>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</si>
  <si>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COLE</t>
  </si>
  <si>
    <t>REGEXT</t>
  </si>
  <si>
    <t>LONG PANTS SLIM YUJI EXTEND BUTTON SLIMYJI:FROST GREY:38:SOLID:LONG PANTS</t>
  </si>
  <si>
    <t>SLIMYJI</t>
  </si>
  <si>
    <t>LONG PANTS SLIM YUJI EXTEND BUTTON SLIMYJI:FROST GREY:36:SOLID:LONG PANTS</t>
  </si>
  <si>
    <t>LONG PANTS SLIM TWILL STRETCH ESMIC 1 TWSTRETCH:NAVY BLUE:38:SOLID:LONG PANTS</t>
  </si>
  <si>
    <t>TWSTRETCH</t>
  </si>
  <si>
    <t>LONG PANTS SLIM TWILL STRETCH ESMIC 1 TWSTRETCH:NAVY BLUE:36:SOLID:LONG PANTS</t>
  </si>
  <si>
    <t>LONG PANTS REG EXTEND BUTTON 1 REGEXT:BLACK:34:SOLID:LONG PANTS</t>
  </si>
  <si>
    <t>LONG PANTS SLIM YUJI EXTEND BUTTON SLIMYJI:FROST GREY:34:SOLID:LONG PANTS</t>
  </si>
  <si>
    <t>LONG PANTS SLIM YUJI EXTEND BUTTON SLIMYJI:FROST GREY:32:SOLID:LONG PANTS</t>
  </si>
  <si>
    <t>LONG PANTS SLIM YUJI EXTEND BUTTON SLIMYJI:FROST GREY:30:SOLID:LONG PANTS</t>
  </si>
  <si>
    <t>LONG PANTS SLIM YUJI EXTEND BUTTON SLIMYJI:BLACK:38:SOLID:LONG PANTS</t>
  </si>
  <si>
    <t>LONG PANTS SLIM YUJI EXTEND BUTTON SLIMYJI:BLACK:36:SOLID:LONG PANTS</t>
  </si>
  <si>
    <t>LONG PANTS SLIM YUJI EXTEND BUTTON SLIMYJI:BLACK:34:SOLID:LONG PANTS</t>
  </si>
  <si>
    <t>LONG PANTS SLIM YUJI EXTEND BUTTON SLIMYJI:BLACK:32:SOLID:LONG PANTS</t>
  </si>
  <si>
    <t>LONG PANTS SLIM YUJI EXTEND BUTTON SLIMYJI:BLACK:30:SOLID:LONG PANTS</t>
  </si>
  <si>
    <t>LONG PANTS SLIM TWILL STRETCH ESMIC 1 TWSTRETCH:NAVY BLUE:34:SOLID:LONG PANTS</t>
  </si>
  <si>
    <t>LONG PANTS SLIM TWILL STRETCH ESMIC 1 TWSTRETCH:NAVY BLUE:32:SOLID:LONG PANTS</t>
  </si>
  <si>
    <t>LONG PANTS SLIM TWILL STRETCH ESMIC 1 TWSTRETCH:NAVY BLUE:30:SOLID:LONG PANTS</t>
  </si>
  <si>
    <t>LONG PANTS REG EXTEND BUTTON 1 REGEXT:BLACK:30:SOLID:LONG PANTS</t>
  </si>
  <si>
    <t>LONG PANTS REG EXTEND BUTTON 1 REGEXT:BLACK:32:SOLID:LONG PANTS</t>
  </si>
  <si>
    <t>LONG PANTS REG EXTEND BUTTON 1 REGEXT:BLACK:36:SOLID:LONG PANTS</t>
  </si>
  <si>
    <t>LONG PANTS REG EXTEND BUTTON 1 REGEXT:BLACK:38:SOLID:LONG PANTS</t>
  </si>
  <si>
    <t>SP</t>
  </si>
  <si>
    <t>SPECIAL PRICE</t>
  </si>
  <si>
    <t>SSTECVC2</t>
  </si>
  <si>
    <t>SS SHIRT REG DOBBY TEXTURE CVC YB SSTECVC2:LIGHT BLUE:S:TEXTURE:SS SHIRT</t>
  </si>
  <si>
    <t>SS SHIRT REG DOBBY TEXTURE CVC YB SSTECVC2:LIGHT BLUE:M:TEXTURE:SS SHIRT</t>
  </si>
  <si>
    <t>SS SHIRT REG DOBBY TEXTURE CVC YB SSTECVC2:LIGHT BLUE:L:TEXTURE:SS SHIRT</t>
  </si>
  <si>
    <t>SS SHIRT REG DOBBY TEXTURE CVC YB SSTECVC2:LIGHT BLUE:XL:TEXTURE:SS SHIRT</t>
  </si>
  <si>
    <t>SS SHIRT REG DOBBY TEXTURE CVC YB SSTECVC2:LIGHT BLUE:XXL:TEXTURE:SS SHIRT</t>
  </si>
  <si>
    <t>LSSTRCFT</t>
  </si>
  <si>
    <t>LS SHIRT SLIMFIT STRETCH LSSTRCFT:BLACK:S:SOLID:LS SHIRT</t>
  </si>
  <si>
    <t>LS SHIRT SLIMFIT STRETCH LSSTRCFT:BLACK:M:SOLID:LS SHIRT</t>
  </si>
  <si>
    <t>LS SHIRT SLIMFIT STRETCH LSSTRCFT:BLACK:L:SOLID:LS SHIRT</t>
  </si>
  <si>
    <t>LS SHIRT SLIMFIT STRETCH LSSTRCFT:BLACK:XL:SOLID:LS SHIRT</t>
  </si>
  <si>
    <t>LS SHIRT SLIMFIT STRETCH LSSTRCFT:BLACK:XXL:SOLID:LS SHIRT</t>
  </si>
  <si>
    <t>LS SHIRT SLIMFIT STRETCH LSSTRCFT:WHITE:S:SOLID:LS SHIRT</t>
  </si>
  <si>
    <t>LS SHIRT SLIMFIT STRETCH LSSTRCFT:WHITE:M:SOLID:LS SHIRT</t>
  </si>
  <si>
    <t>LS SHIRT SLIMFIT STRETCH LSSTRCFT:WHITE:L:SOLID:LS SHIRT</t>
  </si>
  <si>
    <t>LS SHIRT SLIMFIT STRETCH LSSTRCFT:WHITE:XL:SOLID:LS SHIRT</t>
  </si>
  <si>
    <t>LS SHIRT SLIMFIT STRETCH LSSTRCFT:WHITE:XXL:SOLID:LS SHIRT</t>
  </si>
  <si>
    <t>LSDOSTRSL</t>
  </si>
  <si>
    <t>LSREGPIN</t>
  </si>
  <si>
    <t>LS SHIRT SLIM DOBBY STRIPE LSDOSTRSL:WHITE:S:STRIPES:LS SHIRT</t>
  </si>
  <si>
    <t>LS SHIRT SLIM DOBBY STRIPE LSDOSTRSL:WHITE:M:STRIPES:LS SHIRT</t>
  </si>
  <si>
    <t>LS SHIRT SLIM DOBBY STRIPE LSDOSTRSL:WHITE:L:STRIPES:LS SHIRT</t>
  </si>
  <si>
    <t>LS SHIRT SLIM DOBBY STRIPE LSDOSTRSL:WHITE:XL:STRIPES:LS SHIRT</t>
  </si>
  <si>
    <t>LS SHIRT SLIM DOBBY STRIPE LSDOSTRSL:WHITE:XXL:STRIPES:LS SHIRT</t>
  </si>
  <si>
    <t>LS SHIRT SLIM DOBBY STRIPE LSDOSTRSL:TAUPE GREY:S:STRIPES:LS SHIRT</t>
  </si>
  <si>
    <t>LS SHIRT SLIM DOBBY STRIPE LSDOSTRSL:TAUPE GREY:M:STRIPES:LS SHIRT</t>
  </si>
  <si>
    <t>LS SHIRT SLIM DOBBY STRIPE LSDOSTRSL:TAUPE GREY:L:STRIPES:LS SHIRT</t>
  </si>
  <si>
    <t>LS SHIRT SLIM DOBBY STRIPE LSDOSTRSL:TAUPE GREY:XL:STRIPES:LS SHIRT</t>
  </si>
  <si>
    <t>LS SHIRT SLIM DOBBY STRIPE LSDOSTRSL:TAUPE GREY:XXL:STRIPES:LS SHIRT</t>
  </si>
  <si>
    <t>LS SHIRT REG MOTIF PIN STRIPE LSREGPIN:BRILLIANT BLUE:M:STRIPES:LS SHIRT</t>
  </si>
  <si>
    <t>LS SHIRT REG MOTIF PIN STRIPE LSREGPIN:BRILLIANT BLUE:XXL:STRIPES:LS SHIRT</t>
  </si>
  <si>
    <t>LS SHIRT REG MOTIF PIN STRIPE LSREGPIN:BRILLIANT BLUE:S:STRIPES:LS SHIRT</t>
  </si>
  <si>
    <t>LS SHIRT REG MOTIF PIN STRIPE LSREGPIN:BRILLIANT BLUE:L:STRIPES:LS SHIRT</t>
  </si>
  <si>
    <t>LS SHIRT REG MOTIF PIN STRIPE LSREGPIN:BRILLIANT BLUE:XL:STRIPES:LS SHIRT</t>
  </si>
  <si>
    <t>SS SHIRT REG DOBBY TEXTURE CVC YB SSTECVC2:BEIGE:S:TEXTURE:SS SHIRT</t>
  </si>
  <si>
    <t>SS SHIRT REG DOBBY TEXTURE CVC YB SSTECVC2:BEIGE:M:TEXTURE:SS SHIRT</t>
  </si>
  <si>
    <t>SS SHIRT REG DOBBY TEXTURE CVC YB SSTECVC2:BEIGE:L:TEXTURE:SS SHIRT</t>
  </si>
  <si>
    <t>SS SHIRT REG DOBBY TEXTURE CVC YB SSTECVC2:BEIGE:XL:TEXTURE:SS SHIRT</t>
  </si>
  <si>
    <t>SS SHIRT REG DOBBY TEXTURE CVC YB SSTECVC2:BEIGE:XXL:TEXTURE:SS SHIRT</t>
  </si>
  <si>
    <t>SS SHIRT REG DOBBY TEXTURE CVC YB SSTECVC2:TAUPE GREY:S:TEXTURE:SS SHIRT</t>
  </si>
  <si>
    <t>SS SHIRT REG DOBBY TEXTURE CVC YB SSTECVC2:TAUPE GREY:M:TEXTURE:SS SHIRT</t>
  </si>
  <si>
    <t>SS SHIRT REG DOBBY TEXTURE CVC YB SSTECVC2:TAUPE GREY:L:TEXTURE:SS SHIRT</t>
  </si>
  <si>
    <t>SS SHIRT REG DOBBY TEXTURE CVC YB SSTECVC2:TAUPE GREY:XL:TEXTURE:SS SHIRT</t>
  </si>
  <si>
    <t>SS SHIRT REG DOBBY TEXTURE CVC YB SSTECVC2:TAUPE GREY:XXL:TEXTURE:SS SHIRT</t>
  </si>
  <si>
    <t>LSSLIMD16</t>
  </si>
  <si>
    <t>LS SHIRT SLIM MOTIF CHECK DOBBY MOTIF D16 LSSLIMD16:LIGHT BLUE:S:CHECKS:LS SHIRT</t>
  </si>
  <si>
    <t>LS SHIRT SLIM MOTIF CHECK DOBBY MOTIF D16 LSSLIMD16:LIGHT BLUE:M:CHECKS:LS SHIRT</t>
  </si>
  <si>
    <t>LS SHIRT SLIM MOTIF CHECK DOBBY MOTIF D16 LSSLIMD16:LIGHT BLUE:L:CHECKS:LS SHIRT</t>
  </si>
  <si>
    <t>LS SHIRT SLIM MOTIF CHECK DOBBY MOTIF D16 LSSLIMD16:LIGHT BLUE:XL:CHECKS:LS SHIRT</t>
  </si>
  <si>
    <t>LS SHIRT SLIM MOTIF CHECK DOBBY MOTIF D16 LSSLIMD16:LIGHT BLUE:XXL:CHECKS:LS SHIRT</t>
  </si>
  <si>
    <t>LSREGSHA</t>
  </si>
  <si>
    <t>LS SHIRT REG MOTIF SHADOW STRIPE LSREGSHA:KHAKI:S:STRIPES:LS SHIRT</t>
  </si>
  <si>
    <t>LS SHIRT REG MOTIF SHADOW STRIPE LSREGSHA:KHAKI:M:STRIPES:LS SHIRT</t>
  </si>
  <si>
    <t>LS SHIRT REG MOTIF SHADOW STRIPE LSREGSHA:KHAKI:L:STRIPES:LS SHIRT</t>
  </si>
  <si>
    <t>LS SHIRT REG MOTIF SHADOW STRIPE LSREGSHA:KHAKI:XL:STRIPES:LS SHIRT</t>
  </si>
  <si>
    <t>LS SHIRT REG MOTIF SHADOW STRIPE LSREGSHA:KHAKI:XXL:STRIPES:LS SHIRT</t>
  </si>
  <si>
    <t xml:space="preserve"> 2025 Q4 WORKWEARSHIRT SP 139K</t>
  </si>
  <si>
    <t xml:space="preserve"> 2025 Q4 WORKWEARPANT  SP 179K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</si>
</sst>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7" x14ac:knownFonts="1"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4" fillId="0" borderId="0">
      <alignment vertical="top"/>
      <protection locked="0"/>
    </xf>
    <xf numFmtId="43" fontId="4" fillId="0" borderId="0">
      <alignment vertical="top"/>
      <protection locked="0"/>
    </xf>
  </cellStyleXfs>
  <cellXfs count="2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65" fontId="2" fillId="2" borderId="1" xfId="2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/>
    <xf numFmtId="0" fontId="1" fillId="0" borderId="0" xfId="0" applyFont="1" applyAlignment="1"/>
    <xf numFmtId="0" fontId="1" fillId="0" borderId="0" xfId="0" applyFont="1" applyFill="1" applyAlignment="1"/>
    <xf numFmtId="0" fontId="1" fillId="0" borderId="1" xfId="0" applyFont="1" applyFill="1" applyBorder="1" applyAlignment="1"/>
    <xf numFmtId="165" fontId="1" fillId="0" borderId="1" xfId="2" applyNumberFormat="1" applyFont="1" applyFill="1" applyBorder="1" applyAlignment="1" applyProtection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" fontId="1" fillId="0" borderId="0" xfId="2" applyNumberFormat="1" applyFont="1" applyAlignment="1" applyProtection="1"/>
    <xf numFmtId="165" fontId="1" fillId="0" borderId="0" xfId="2" applyNumberFormat="1" applyFont="1" applyAlignment="1" applyProtection="1"/>
    <xf numFmtId="1" fontId="2" fillId="0" borderId="1" xfId="2" applyNumberFormat="1" applyFont="1" applyBorder="1" applyAlignment="1" applyProtection="1">
      <alignment horizontal="center" vertical="center"/>
    </xf>
    <xf numFmtId="1" fontId="1" fillId="0" borderId="1" xfId="2" applyNumberFormat="1" applyFont="1" applyBorder="1" applyAlignment="1" applyProtection="1"/>
    <xf numFmtId="165" fontId="1" fillId="0" borderId="1" xfId="2" applyNumberFormat="1" applyFont="1" applyBorder="1" applyAlignment="1" applyProtection="1"/>
    <xf numFmtId="49" fontId="1" fillId="0" borderId="1" xfId="0" applyNumberFormat="1" applyFont="1" applyFill="1" applyBorder="1" applyAlignment="1"/>
    <xf numFmtId="0" fontId="1" fillId="0" borderId="1" xfId="2" applyNumberFormat="1" applyFont="1" applyFill="1" applyBorder="1" applyAlignment="1" applyProtection="1"/>
    <xf numFmtId="49" fontId="3" fillId="0" borderId="1" xfId="0" applyNumberFormat="1" applyFont="1" applyFill="1" applyBorder="1" applyAlignment="1"/>
    <xf numFmtId="0" fontId="3" fillId="0" borderId="1" xfId="0" applyFont="1" applyFill="1" applyBorder="1" applyAlignment="1"/>
    <xf numFmtId="1" fontId="1" fillId="0" borderId="1" xfId="2" applyNumberFormat="1" applyFont="1" applyFill="1" applyBorder="1" applyAlignment="1" applyProtection="1"/>
  </cellXfs>
  <cellStyles count="3">
    <cellStyle name="Comma" xfId="2" builtinId="3"/>
    <cellStyle name="Normal" xfId="0" builtinId="0"/>
    <cellStyle name="Percent" xfId="1" builtinId="5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34" Type="http://schemas.openxmlformats.org/officeDocument/2006/relationships/customXml" Target="../customXml/item1.xml"/><Relationship Id="rId33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36" Type="http://schemas.openxmlformats.org/officeDocument/2006/relationships/customXml" Target="../customXml/item3.xml"/><Relationship Id="rId4" Type="http://schemas.openxmlformats.org/officeDocument/2006/relationships/styles" Target="styles.xml"/><Relationship Id="rId35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P51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54.17968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16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17" bestFit="1" customWidth="1"/>
    <col min="14" max="14" width="11.08984375" style="10" bestFit="1" customWidth="1"/>
    <col min="15" max="15" width="14.5429687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18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8" t="s">
        <v>14</v>
      </c>
      <c r="N1" s="5" t="s">
        <v>8</v>
      </c>
      <c r="O1" s="4" t="s">
        <v>9</v>
      </c>
      <c r="P1" s="1" t="s">
        <v>10</v>
      </c>
    </row>
    <row r="2" spans="1:16" s="11" customFormat="1" x14ac:dyDescent="0.35">
      <c r="A2" s="14" t="s">
        <v>98</v>
      </c>
      <c r="B2" s="6">
        <v>46104</v>
      </c>
      <c r="C2" s="6">
        <v>46113</v>
      </c>
      <c r="D2" s="14">
        <v>3249</v>
      </c>
      <c r="E2" s="14">
        <v>332</v>
      </c>
      <c r="F2" s="14">
        <v>3</v>
      </c>
      <c r="G2" s="12">
        <v>1</v>
      </c>
      <c r="H2" s="22"/>
      <c r="I2" s="14" t="s">
        <v>16</v>
      </c>
      <c r="J2" s="21">
        <v>57853000</v>
      </c>
      <c r="K2" s="12" t="s">
        <v>42</v>
      </c>
      <c r="L2" s="12" t="s">
        <v>43</v>
      </c>
      <c r="M2" s="13">
        <v>199900</v>
      </c>
      <c r="N2" s="15" t="s">
        <v>40</v>
      </c>
      <c r="O2" s="7">
        <v>139000</v>
      </c>
      <c r="P2" s="15" t="s">
        <v>41</v>
      </c>
    </row>
    <row r="3" spans="1:16" s="11" customFormat="1" x14ac:dyDescent="0.35">
      <c r="A3" s="14" t="s">
        <v>98</v>
      </c>
      <c r="B3" s="6">
        <f>B2</f>
        <v>46104</v>
      </c>
      <c r="C3" s="6">
        <f>C2</f>
        <v>46113</v>
      </c>
      <c r="D3" s="14">
        <v>3249</v>
      </c>
      <c r="E3" s="14">
        <v>332</v>
      </c>
      <c r="F3" s="14">
        <v>3</v>
      </c>
      <c r="G3" s="12">
        <v>1</v>
      </c>
      <c r="H3" s="22"/>
      <c r="I3" s="14" t="s">
        <v>16</v>
      </c>
      <c r="J3" s="21">
        <v>57853019</v>
      </c>
      <c r="K3" s="12" t="s">
        <v>42</v>
      </c>
      <c r="L3" s="12" t="s">
        <v>44</v>
      </c>
      <c r="M3" s="13">
        <v>199900</v>
      </c>
      <c r="N3" s="15" t="s">
        <v>40</v>
      </c>
      <c r="O3" s="7">
        <v>139000</v>
      </c>
      <c r="P3" s="15" t="s">
        <v>41</v>
      </c>
    </row>
    <row r="4" spans="1:16" s="11" customFormat="1" x14ac:dyDescent="0.35">
      <c r="A4" s="14" t="s">
        <v>98</v>
      </c>
      <c r="B4" s="6">
        <f t="shared" ref="B4:B51" si="0">B3</f>
        <v>46104</v>
      </c>
      <c r="C4" s="6">
        <f t="shared" ref="C4:C51" si="1">C3</f>
        <v>46113</v>
      </c>
      <c r="D4" s="14">
        <v>3249</v>
      </c>
      <c r="E4" s="14">
        <v>332</v>
      </c>
      <c r="F4" s="14">
        <v>3</v>
      </c>
      <c r="G4" s="12">
        <v>1</v>
      </c>
      <c r="H4" s="22"/>
      <c r="I4" s="14" t="s">
        <v>16</v>
      </c>
      <c r="J4" s="21">
        <v>57853028</v>
      </c>
      <c r="K4" s="12" t="s">
        <v>42</v>
      </c>
      <c r="L4" s="12" t="s">
        <v>45</v>
      </c>
      <c r="M4" s="13">
        <v>199900</v>
      </c>
      <c r="N4" s="15" t="s">
        <v>40</v>
      </c>
      <c r="O4" s="7">
        <v>139000</v>
      </c>
      <c r="P4" s="15" t="s">
        <v>41</v>
      </c>
    </row>
    <row r="5" spans="1:16" s="11" customFormat="1" x14ac:dyDescent="0.35">
      <c r="A5" s="14" t="s">
        <v>98</v>
      </c>
      <c r="B5" s="6">
        <f t="shared" si="0"/>
        <v>46104</v>
      </c>
      <c r="C5" s="6">
        <f t="shared" si="1"/>
        <v>46113</v>
      </c>
      <c r="D5" s="14">
        <v>3249</v>
      </c>
      <c r="E5" s="14">
        <v>332</v>
      </c>
      <c r="F5" s="14">
        <v>3</v>
      </c>
      <c r="G5" s="12">
        <v>1</v>
      </c>
      <c r="H5" s="22"/>
      <c r="I5" s="14" t="s">
        <v>16</v>
      </c>
      <c r="J5" s="21">
        <v>57853037</v>
      </c>
      <c r="K5" s="12" t="s">
        <v>42</v>
      </c>
      <c r="L5" s="12" t="s">
        <v>46</v>
      </c>
      <c r="M5" s="13">
        <v>199900</v>
      </c>
      <c r="N5" s="15" t="s">
        <v>40</v>
      </c>
      <c r="O5" s="7">
        <v>139000</v>
      </c>
      <c r="P5" s="15" t="s">
        <v>41</v>
      </c>
    </row>
    <row r="6" spans="1:16" s="11" customFormat="1" x14ac:dyDescent="0.35">
      <c r="A6" s="14" t="s">
        <v>98</v>
      </c>
      <c r="B6" s="6">
        <f t="shared" si="0"/>
        <v>46104</v>
      </c>
      <c r="C6" s="6">
        <f t="shared" si="1"/>
        <v>46113</v>
      </c>
      <c r="D6" s="14">
        <v>3249</v>
      </c>
      <c r="E6" s="14">
        <v>332</v>
      </c>
      <c r="F6" s="14">
        <v>3</v>
      </c>
      <c r="G6" s="12">
        <v>1</v>
      </c>
      <c r="H6" s="22"/>
      <c r="I6" s="14" t="s">
        <v>16</v>
      </c>
      <c r="J6" s="21">
        <v>57853046</v>
      </c>
      <c r="K6" s="12" t="s">
        <v>42</v>
      </c>
      <c r="L6" s="12" t="s">
        <v>47</v>
      </c>
      <c r="M6" s="13">
        <v>199900</v>
      </c>
      <c r="N6" s="15" t="s">
        <v>40</v>
      </c>
      <c r="O6" s="7">
        <v>139000</v>
      </c>
      <c r="P6" s="15" t="s">
        <v>41</v>
      </c>
    </row>
    <row r="7" spans="1:16" s="11" customFormat="1" x14ac:dyDescent="0.35">
      <c r="A7" s="14" t="s">
        <v>98</v>
      </c>
      <c r="B7" s="6">
        <f t="shared" si="0"/>
        <v>46104</v>
      </c>
      <c r="C7" s="6">
        <f t="shared" si="1"/>
        <v>46113</v>
      </c>
      <c r="D7" s="14">
        <v>3249</v>
      </c>
      <c r="E7" s="14">
        <v>332</v>
      </c>
      <c r="F7" s="14">
        <v>3</v>
      </c>
      <c r="G7" s="12">
        <v>1</v>
      </c>
      <c r="H7" s="22"/>
      <c r="I7" s="14" t="s">
        <v>16</v>
      </c>
      <c r="J7" s="21">
        <v>57852903</v>
      </c>
      <c r="K7" s="12" t="s">
        <v>48</v>
      </c>
      <c r="L7" s="12" t="s">
        <v>49</v>
      </c>
      <c r="M7" s="13">
        <v>229900</v>
      </c>
      <c r="N7" s="15" t="s">
        <v>40</v>
      </c>
      <c r="O7" s="7">
        <v>139000</v>
      </c>
      <c r="P7" s="15" t="s">
        <v>41</v>
      </c>
    </row>
    <row r="8" spans="1:16" s="11" customFormat="1" x14ac:dyDescent="0.35">
      <c r="A8" s="14" t="s">
        <v>98</v>
      </c>
      <c r="B8" s="6">
        <f t="shared" si="0"/>
        <v>46104</v>
      </c>
      <c r="C8" s="6">
        <f t="shared" si="1"/>
        <v>46113</v>
      </c>
      <c r="D8" s="14">
        <v>3249</v>
      </c>
      <c r="E8" s="14">
        <v>332</v>
      </c>
      <c r="F8" s="14">
        <v>3</v>
      </c>
      <c r="G8" s="12">
        <v>1</v>
      </c>
      <c r="H8" s="22"/>
      <c r="I8" s="14" t="s">
        <v>16</v>
      </c>
      <c r="J8" s="21">
        <v>57852912</v>
      </c>
      <c r="K8" s="12" t="s">
        <v>48</v>
      </c>
      <c r="L8" s="12" t="s">
        <v>50</v>
      </c>
      <c r="M8" s="13">
        <v>229900</v>
      </c>
      <c r="N8" s="15" t="s">
        <v>40</v>
      </c>
      <c r="O8" s="7">
        <v>139000</v>
      </c>
      <c r="P8" s="15" t="s">
        <v>41</v>
      </c>
    </row>
    <row r="9" spans="1:16" s="11" customFormat="1" x14ac:dyDescent="0.35">
      <c r="A9" s="14" t="s">
        <v>98</v>
      </c>
      <c r="B9" s="6">
        <f t="shared" si="0"/>
        <v>46104</v>
      </c>
      <c r="C9" s="6">
        <f t="shared" si="1"/>
        <v>46113</v>
      </c>
      <c r="D9" s="14">
        <v>3249</v>
      </c>
      <c r="E9" s="14">
        <v>332</v>
      </c>
      <c r="F9" s="14">
        <v>3</v>
      </c>
      <c r="G9" s="12">
        <v>1</v>
      </c>
      <c r="H9" s="22"/>
      <c r="I9" s="14" t="s">
        <v>16</v>
      </c>
      <c r="J9" s="21">
        <v>57852921</v>
      </c>
      <c r="K9" s="12" t="s">
        <v>48</v>
      </c>
      <c r="L9" s="12" t="s">
        <v>51</v>
      </c>
      <c r="M9" s="13">
        <v>229900</v>
      </c>
      <c r="N9" s="15" t="s">
        <v>40</v>
      </c>
      <c r="O9" s="7">
        <v>139000</v>
      </c>
      <c r="P9" s="15" t="s">
        <v>41</v>
      </c>
    </row>
    <row r="10" spans="1:16" s="11" customFormat="1" x14ac:dyDescent="0.35">
      <c r="A10" s="14" t="s">
        <v>98</v>
      </c>
      <c r="B10" s="6">
        <f t="shared" si="0"/>
        <v>46104</v>
      </c>
      <c r="C10" s="6">
        <f t="shared" si="1"/>
        <v>46113</v>
      </c>
      <c r="D10" s="14">
        <v>3249</v>
      </c>
      <c r="E10" s="14">
        <v>332</v>
      </c>
      <c r="F10" s="14">
        <v>3</v>
      </c>
      <c r="G10" s="12">
        <v>1</v>
      </c>
      <c r="H10" s="22"/>
      <c r="I10" s="14" t="s">
        <v>16</v>
      </c>
      <c r="J10" s="21">
        <v>57852930</v>
      </c>
      <c r="K10" s="12" t="s">
        <v>48</v>
      </c>
      <c r="L10" s="12" t="s">
        <v>52</v>
      </c>
      <c r="M10" s="13">
        <v>229900</v>
      </c>
      <c r="N10" s="15" t="s">
        <v>40</v>
      </c>
      <c r="O10" s="7">
        <v>139000</v>
      </c>
      <c r="P10" s="15" t="s">
        <v>41</v>
      </c>
    </row>
    <row r="11" spans="1:16" s="11" customFormat="1" x14ac:dyDescent="0.35">
      <c r="A11" s="14" t="s">
        <v>98</v>
      </c>
      <c r="B11" s="6">
        <f t="shared" si="0"/>
        <v>46104</v>
      </c>
      <c r="C11" s="6">
        <f t="shared" si="1"/>
        <v>46113</v>
      </c>
      <c r="D11" s="14">
        <v>3249</v>
      </c>
      <c r="E11" s="14">
        <v>332</v>
      </c>
      <c r="F11" s="14">
        <v>3</v>
      </c>
      <c r="G11" s="12">
        <v>1</v>
      </c>
      <c r="H11" s="22"/>
      <c r="I11" s="14" t="s">
        <v>16</v>
      </c>
      <c r="J11" s="21">
        <v>57852949</v>
      </c>
      <c r="K11" s="12" t="s">
        <v>48</v>
      </c>
      <c r="L11" s="12" t="s">
        <v>53</v>
      </c>
      <c r="M11" s="13">
        <v>229900</v>
      </c>
      <c r="N11" s="15" t="s">
        <v>40</v>
      </c>
      <c r="O11" s="7">
        <v>139000</v>
      </c>
      <c r="P11" s="15" t="s">
        <v>41</v>
      </c>
    </row>
    <row r="12" spans="1:16" s="11" customFormat="1" x14ac:dyDescent="0.35">
      <c r="A12" s="14" t="s">
        <v>98</v>
      </c>
      <c r="B12" s="6">
        <f t="shared" si="0"/>
        <v>46104</v>
      </c>
      <c r="C12" s="6">
        <f t="shared" si="1"/>
        <v>46113</v>
      </c>
      <c r="D12" s="14">
        <v>3249</v>
      </c>
      <c r="E12" s="14">
        <v>332</v>
      </c>
      <c r="F12" s="14">
        <v>3</v>
      </c>
      <c r="G12" s="12">
        <v>1</v>
      </c>
      <c r="H12" s="22"/>
      <c r="I12" s="14" t="s">
        <v>16</v>
      </c>
      <c r="J12" s="21">
        <v>57852958</v>
      </c>
      <c r="K12" s="12" t="s">
        <v>48</v>
      </c>
      <c r="L12" s="12" t="s">
        <v>54</v>
      </c>
      <c r="M12" s="13">
        <v>229900</v>
      </c>
      <c r="N12" s="15" t="s">
        <v>40</v>
      </c>
      <c r="O12" s="7">
        <v>139000</v>
      </c>
      <c r="P12" s="15" t="s">
        <v>41</v>
      </c>
    </row>
    <row r="13" spans="1:16" s="11" customFormat="1" x14ac:dyDescent="0.35">
      <c r="A13" s="14" t="s">
        <v>98</v>
      </c>
      <c r="B13" s="6">
        <f t="shared" si="0"/>
        <v>46104</v>
      </c>
      <c r="C13" s="6">
        <f t="shared" si="1"/>
        <v>46113</v>
      </c>
      <c r="D13" s="14">
        <v>3249</v>
      </c>
      <c r="E13" s="14">
        <v>332</v>
      </c>
      <c r="F13" s="14">
        <v>3</v>
      </c>
      <c r="G13" s="12">
        <v>1</v>
      </c>
      <c r="H13" s="22"/>
      <c r="I13" s="14" t="s">
        <v>16</v>
      </c>
      <c r="J13" s="21">
        <v>57852967</v>
      </c>
      <c r="K13" s="12" t="s">
        <v>48</v>
      </c>
      <c r="L13" s="12" t="s">
        <v>55</v>
      </c>
      <c r="M13" s="13">
        <v>229900</v>
      </c>
      <c r="N13" s="15" t="s">
        <v>40</v>
      </c>
      <c r="O13" s="7">
        <v>139000</v>
      </c>
      <c r="P13" s="15" t="s">
        <v>41</v>
      </c>
    </row>
    <row r="14" spans="1:16" s="11" customFormat="1" x14ac:dyDescent="0.35">
      <c r="A14" s="14" t="s">
        <v>98</v>
      </c>
      <c r="B14" s="6">
        <f t="shared" si="0"/>
        <v>46104</v>
      </c>
      <c r="C14" s="6">
        <f t="shared" si="1"/>
        <v>46113</v>
      </c>
      <c r="D14" s="14">
        <v>3249</v>
      </c>
      <c r="E14" s="14">
        <v>332</v>
      </c>
      <c r="F14" s="14">
        <v>3</v>
      </c>
      <c r="G14" s="12">
        <v>1</v>
      </c>
      <c r="H14" s="22"/>
      <c r="I14" s="14" t="s">
        <v>16</v>
      </c>
      <c r="J14" s="21">
        <v>57852976</v>
      </c>
      <c r="K14" s="12" t="s">
        <v>48</v>
      </c>
      <c r="L14" s="12" t="s">
        <v>56</v>
      </c>
      <c r="M14" s="13">
        <v>229900</v>
      </c>
      <c r="N14" s="15" t="s">
        <v>40</v>
      </c>
      <c r="O14" s="7">
        <v>139000</v>
      </c>
      <c r="P14" s="15" t="s">
        <v>41</v>
      </c>
    </row>
    <row r="15" spans="1:16" s="11" customFormat="1" x14ac:dyDescent="0.35">
      <c r="A15" s="14" t="s">
        <v>98</v>
      </c>
      <c r="B15" s="6">
        <f t="shared" si="0"/>
        <v>46104</v>
      </c>
      <c r="C15" s="6">
        <f t="shared" si="1"/>
        <v>46113</v>
      </c>
      <c r="D15" s="14">
        <v>3249</v>
      </c>
      <c r="E15" s="14">
        <v>332</v>
      </c>
      <c r="F15" s="14">
        <v>3</v>
      </c>
      <c r="G15" s="12">
        <v>1</v>
      </c>
      <c r="H15" s="22"/>
      <c r="I15" s="14" t="s">
        <v>16</v>
      </c>
      <c r="J15" s="21">
        <v>57852985</v>
      </c>
      <c r="K15" s="12" t="s">
        <v>48</v>
      </c>
      <c r="L15" s="12" t="s">
        <v>57</v>
      </c>
      <c r="M15" s="13">
        <v>229900</v>
      </c>
      <c r="N15" s="15" t="s">
        <v>40</v>
      </c>
      <c r="O15" s="7">
        <v>139000</v>
      </c>
      <c r="P15" s="15" t="s">
        <v>41</v>
      </c>
    </row>
    <row r="16" spans="1:16" s="11" customFormat="1" x14ac:dyDescent="0.35">
      <c r="A16" s="14" t="s">
        <v>98</v>
      </c>
      <c r="B16" s="6">
        <f t="shared" si="0"/>
        <v>46104</v>
      </c>
      <c r="C16" s="6">
        <f t="shared" si="1"/>
        <v>46113</v>
      </c>
      <c r="D16" s="14">
        <v>3249</v>
      </c>
      <c r="E16" s="14">
        <v>332</v>
      </c>
      <c r="F16" s="14">
        <v>3</v>
      </c>
      <c r="G16" s="12">
        <v>1</v>
      </c>
      <c r="H16" s="22"/>
      <c r="I16" s="14" t="s">
        <v>16</v>
      </c>
      <c r="J16" s="21">
        <v>57852994</v>
      </c>
      <c r="K16" s="12" t="s">
        <v>48</v>
      </c>
      <c r="L16" s="12" t="s">
        <v>58</v>
      </c>
      <c r="M16" s="13">
        <v>229900</v>
      </c>
      <c r="N16" s="15" t="s">
        <v>40</v>
      </c>
      <c r="O16" s="7">
        <v>139000</v>
      </c>
      <c r="P16" s="15" t="s">
        <v>41</v>
      </c>
    </row>
    <row r="17" spans="1:16" x14ac:dyDescent="0.35">
      <c r="A17" s="14" t="s">
        <v>98</v>
      </c>
      <c r="B17" s="6">
        <f t="shared" si="0"/>
        <v>46104</v>
      </c>
      <c r="C17" s="6">
        <f t="shared" si="1"/>
        <v>46113</v>
      </c>
      <c r="D17" s="14">
        <v>3249</v>
      </c>
      <c r="E17" s="14">
        <v>332</v>
      </c>
      <c r="F17" s="14">
        <v>3</v>
      </c>
      <c r="G17" s="12">
        <v>2</v>
      </c>
      <c r="H17" s="19"/>
      <c r="I17" s="14" t="s">
        <v>16</v>
      </c>
      <c r="J17" s="9">
        <v>57853055</v>
      </c>
      <c r="K17" s="9" t="s">
        <v>59</v>
      </c>
      <c r="L17" s="9" t="s">
        <v>61</v>
      </c>
      <c r="M17" s="20">
        <v>229900</v>
      </c>
      <c r="N17" s="15" t="s">
        <v>40</v>
      </c>
      <c r="O17" s="7">
        <v>139000</v>
      </c>
      <c r="P17" s="15" t="s">
        <v>41</v>
      </c>
    </row>
    <row r="18" spans="1:16" x14ac:dyDescent="0.35">
      <c r="A18" s="14" t="s">
        <v>98</v>
      </c>
      <c r="B18" s="6">
        <f t="shared" si="0"/>
        <v>46104</v>
      </c>
      <c r="C18" s="6">
        <f t="shared" si="1"/>
        <v>46113</v>
      </c>
      <c r="D18" s="14">
        <v>3249</v>
      </c>
      <c r="E18" s="14">
        <v>332</v>
      </c>
      <c r="F18" s="14">
        <v>3</v>
      </c>
      <c r="G18" s="12">
        <v>2</v>
      </c>
      <c r="H18" s="19"/>
      <c r="I18" s="14" t="s">
        <v>16</v>
      </c>
      <c r="J18" s="9">
        <v>57853064</v>
      </c>
      <c r="K18" s="9" t="s">
        <v>59</v>
      </c>
      <c r="L18" s="9" t="s">
        <v>62</v>
      </c>
      <c r="M18" s="20">
        <v>229900</v>
      </c>
      <c r="N18" s="15" t="s">
        <v>40</v>
      </c>
      <c r="O18" s="7">
        <v>139000</v>
      </c>
      <c r="P18" s="15" t="s">
        <v>41</v>
      </c>
    </row>
    <row r="19" spans="1:16" x14ac:dyDescent="0.35">
      <c r="A19" s="14" t="s">
        <v>98</v>
      </c>
      <c r="B19" s="6">
        <f t="shared" si="0"/>
        <v>46104</v>
      </c>
      <c r="C19" s="6">
        <f t="shared" si="1"/>
        <v>46113</v>
      </c>
      <c r="D19" s="14">
        <v>3249</v>
      </c>
      <c r="E19" s="14">
        <v>332</v>
      </c>
      <c r="F19" s="14">
        <v>3</v>
      </c>
      <c r="G19" s="12">
        <v>2</v>
      </c>
      <c r="H19" s="19"/>
      <c r="I19" s="14" t="s">
        <v>16</v>
      </c>
      <c r="J19" s="9">
        <v>57853073</v>
      </c>
      <c r="K19" s="9" t="s">
        <v>59</v>
      </c>
      <c r="L19" s="9" t="s">
        <v>63</v>
      </c>
      <c r="M19" s="20">
        <v>229900</v>
      </c>
      <c r="N19" s="15" t="s">
        <v>40</v>
      </c>
      <c r="O19" s="7">
        <v>139000</v>
      </c>
      <c r="P19" s="15" t="s">
        <v>41</v>
      </c>
    </row>
    <row r="20" spans="1:16" x14ac:dyDescent="0.35">
      <c r="A20" s="14" t="s">
        <v>98</v>
      </c>
      <c r="B20" s="6">
        <f t="shared" si="0"/>
        <v>46104</v>
      </c>
      <c r="C20" s="6">
        <f t="shared" si="1"/>
        <v>46113</v>
      </c>
      <c r="D20" s="14">
        <v>3249</v>
      </c>
      <c r="E20" s="14">
        <v>332</v>
      </c>
      <c r="F20" s="14">
        <v>3</v>
      </c>
      <c r="G20" s="12">
        <v>2</v>
      </c>
      <c r="H20" s="19"/>
      <c r="I20" s="14" t="s">
        <v>16</v>
      </c>
      <c r="J20" s="9">
        <v>57853082</v>
      </c>
      <c r="K20" s="9" t="s">
        <v>59</v>
      </c>
      <c r="L20" s="9" t="s">
        <v>64</v>
      </c>
      <c r="M20" s="20">
        <v>229900</v>
      </c>
      <c r="N20" s="15" t="s">
        <v>40</v>
      </c>
      <c r="O20" s="7">
        <v>139000</v>
      </c>
      <c r="P20" s="15" t="s">
        <v>41</v>
      </c>
    </row>
    <row r="21" spans="1:16" x14ac:dyDescent="0.35">
      <c r="A21" s="14" t="s">
        <v>98</v>
      </c>
      <c r="B21" s="6">
        <f t="shared" si="0"/>
        <v>46104</v>
      </c>
      <c r="C21" s="6">
        <f t="shared" si="1"/>
        <v>46113</v>
      </c>
      <c r="D21" s="14">
        <v>3249</v>
      </c>
      <c r="E21" s="14">
        <v>332</v>
      </c>
      <c r="F21" s="14">
        <v>3</v>
      </c>
      <c r="G21" s="12">
        <v>2</v>
      </c>
      <c r="H21" s="19"/>
      <c r="I21" s="14" t="s">
        <v>16</v>
      </c>
      <c r="J21" s="9">
        <v>57853091</v>
      </c>
      <c r="K21" s="9" t="s">
        <v>59</v>
      </c>
      <c r="L21" s="9" t="s">
        <v>65</v>
      </c>
      <c r="M21" s="20">
        <v>229900</v>
      </c>
      <c r="N21" s="15" t="s">
        <v>40</v>
      </c>
      <c r="O21" s="7">
        <v>139000</v>
      </c>
      <c r="P21" s="15" t="s">
        <v>41</v>
      </c>
    </row>
    <row r="22" spans="1:16" x14ac:dyDescent="0.35">
      <c r="A22" s="14" t="s">
        <v>98</v>
      </c>
      <c r="B22" s="6">
        <f t="shared" si="0"/>
        <v>46104</v>
      </c>
      <c r="C22" s="6">
        <f t="shared" si="1"/>
        <v>46113</v>
      </c>
      <c r="D22" s="14">
        <v>3249</v>
      </c>
      <c r="E22" s="14">
        <v>332</v>
      </c>
      <c r="F22" s="14">
        <v>3</v>
      </c>
      <c r="G22" s="12">
        <v>2</v>
      </c>
      <c r="H22" s="19"/>
      <c r="I22" s="14" t="s">
        <v>16</v>
      </c>
      <c r="J22" s="9">
        <v>57853108</v>
      </c>
      <c r="K22" s="9" t="s">
        <v>59</v>
      </c>
      <c r="L22" s="9" t="s">
        <v>66</v>
      </c>
      <c r="M22" s="20">
        <v>229900</v>
      </c>
      <c r="N22" s="15" t="s">
        <v>40</v>
      </c>
      <c r="O22" s="7">
        <v>139000</v>
      </c>
      <c r="P22" s="15" t="s">
        <v>41</v>
      </c>
    </row>
    <row r="23" spans="1:16" x14ac:dyDescent="0.35">
      <c r="A23" s="14" t="s">
        <v>98</v>
      </c>
      <c r="B23" s="6">
        <f t="shared" si="0"/>
        <v>46104</v>
      </c>
      <c r="C23" s="6">
        <f t="shared" si="1"/>
        <v>46113</v>
      </c>
      <c r="D23" s="14">
        <v>3249</v>
      </c>
      <c r="E23" s="14">
        <v>332</v>
      </c>
      <c r="F23" s="14">
        <v>3</v>
      </c>
      <c r="G23" s="12">
        <v>2</v>
      </c>
      <c r="H23" s="19"/>
      <c r="I23" s="14" t="s">
        <v>16</v>
      </c>
      <c r="J23" s="9">
        <v>57853117</v>
      </c>
      <c r="K23" s="9" t="s">
        <v>59</v>
      </c>
      <c r="L23" s="9" t="s">
        <v>67</v>
      </c>
      <c r="M23" s="20">
        <v>229900</v>
      </c>
      <c r="N23" s="15" t="s">
        <v>40</v>
      </c>
      <c r="O23" s="7">
        <v>139000</v>
      </c>
      <c r="P23" s="15" t="s">
        <v>41</v>
      </c>
    </row>
    <row r="24" spans="1:16" x14ac:dyDescent="0.35">
      <c r="A24" s="14" t="s">
        <v>98</v>
      </c>
      <c r="B24" s="6">
        <f t="shared" si="0"/>
        <v>46104</v>
      </c>
      <c r="C24" s="6">
        <f t="shared" si="1"/>
        <v>46113</v>
      </c>
      <c r="D24" s="14">
        <v>3249</v>
      </c>
      <c r="E24" s="14">
        <v>332</v>
      </c>
      <c r="F24" s="14">
        <v>3</v>
      </c>
      <c r="G24" s="12">
        <v>2</v>
      </c>
      <c r="H24" s="19"/>
      <c r="I24" s="14" t="s">
        <v>16</v>
      </c>
      <c r="J24" s="9">
        <v>57853126</v>
      </c>
      <c r="K24" s="9" t="s">
        <v>59</v>
      </c>
      <c r="L24" s="9" t="s">
        <v>68</v>
      </c>
      <c r="M24" s="20">
        <v>229900</v>
      </c>
      <c r="N24" s="15" t="s">
        <v>40</v>
      </c>
      <c r="O24" s="7">
        <v>139000</v>
      </c>
      <c r="P24" s="15" t="s">
        <v>41</v>
      </c>
    </row>
    <row r="25" spans="1:16" x14ac:dyDescent="0.35">
      <c r="A25" s="14" t="s">
        <v>98</v>
      </c>
      <c r="B25" s="6">
        <f t="shared" si="0"/>
        <v>46104</v>
      </c>
      <c r="C25" s="6">
        <f t="shared" si="1"/>
        <v>46113</v>
      </c>
      <c r="D25" s="14">
        <v>3249</v>
      </c>
      <c r="E25" s="14">
        <v>332</v>
      </c>
      <c r="F25" s="14">
        <v>3</v>
      </c>
      <c r="G25" s="12">
        <v>2</v>
      </c>
      <c r="H25" s="19"/>
      <c r="I25" s="14" t="s">
        <v>16</v>
      </c>
      <c r="J25" s="9">
        <v>57853135</v>
      </c>
      <c r="K25" s="9" t="s">
        <v>59</v>
      </c>
      <c r="L25" s="9" t="s">
        <v>69</v>
      </c>
      <c r="M25" s="20">
        <v>229900</v>
      </c>
      <c r="N25" s="15" t="s">
        <v>40</v>
      </c>
      <c r="O25" s="7">
        <v>139000</v>
      </c>
      <c r="P25" s="15" t="s">
        <v>41</v>
      </c>
    </row>
    <row r="26" spans="1:16" x14ac:dyDescent="0.35">
      <c r="A26" s="14" t="s">
        <v>98</v>
      </c>
      <c r="B26" s="6">
        <f t="shared" si="0"/>
        <v>46104</v>
      </c>
      <c r="C26" s="6">
        <f t="shared" si="1"/>
        <v>46113</v>
      </c>
      <c r="D26" s="14">
        <v>3249</v>
      </c>
      <c r="E26" s="14">
        <v>332</v>
      </c>
      <c r="F26" s="14">
        <v>3</v>
      </c>
      <c r="G26" s="12">
        <v>2</v>
      </c>
      <c r="H26" s="19"/>
      <c r="I26" s="14" t="s">
        <v>16</v>
      </c>
      <c r="J26" s="9">
        <v>57853144</v>
      </c>
      <c r="K26" s="9" t="s">
        <v>59</v>
      </c>
      <c r="L26" s="9" t="s">
        <v>70</v>
      </c>
      <c r="M26" s="20">
        <v>229900</v>
      </c>
      <c r="N26" s="15" t="s">
        <v>40</v>
      </c>
      <c r="O26" s="7">
        <v>139000</v>
      </c>
      <c r="P26" s="15" t="s">
        <v>41</v>
      </c>
    </row>
    <row r="27" spans="1:16" x14ac:dyDescent="0.35">
      <c r="A27" s="14" t="s">
        <v>98</v>
      </c>
      <c r="B27" s="6">
        <f t="shared" si="0"/>
        <v>46104</v>
      </c>
      <c r="C27" s="6">
        <f t="shared" si="1"/>
        <v>46113</v>
      </c>
      <c r="D27" s="14">
        <v>3249</v>
      </c>
      <c r="E27" s="14">
        <v>332</v>
      </c>
      <c r="F27" s="14">
        <v>3</v>
      </c>
      <c r="G27" s="12">
        <v>2</v>
      </c>
      <c r="H27" s="19"/>
      <c r="I27" s="14" t="s">
        <v>16</v>
      </c>
      <c r="J27" s="9">
        <v>57853162</v>
      </c>
      <c r="K27" s="9" t="s">
        <v>60</v>
      </c>
      <c r="L27" s="9" t="s">
        <v>71</v>
      </c>
      <c r="M27" s="20">
        <v>229900</v>
      </c>
      <c r="N27" s="15" t="s">
        <v>40</v>
      </c>
      <c r="O27" s="7">
        <v>139000</v>
      </c>
      <c r="P27" s="15" t="s">
        <v>41</v>
      </c>
    </row>
    <row r="28" spans="1:16" x14ac:dyDescent="0.35">
      <c r="A28" s="14" t="s">
        <v>98</v>
      </c>
      <c r="B28" s="6">
        <f t="shared" si="0"/>
        <v>46104</v>
      </c>
      <c r="C28" s="6">
        <f t="shared" si="1"/>
        <v>46113</v>
      </c>
      <c r="D28" s="14">
        <v>3249</v>
      </c>
      <c r="E28" s="14">
        <v>332</v>
      </c>
      <c r="F28" s="14">
        <v>3</v>
      </c>
      <c r="G28" s="12">
        <v>2</v>
      </c>
      <c r="H28" s="19"/>
      <c r="I28" s="14" t="s">
        <v>16</v>
      </c>
      <c r="J28" s="9">
        <v>57853199</v>
      </c>
      <c r="K28" s="9" t="s">
        <v>60</v>
      </c>
      <c r="L28" s="9" t="s">
        <v>72</v>
      </c>
      <c r="M28" s="20">
        <v>229900</v>
      </c>
      <c r="N28" s="15" t="s">
        <v>40</v>
      </c>
      <c r="O28" s="7">
        <v>139000</v>
      </c>
      <c r="P28" s="15" t="s">
        <v>41</v>
      </c>
    </row>
    <row r="29" spans="1:16" x14ac:dyDescent="0.35">
      <c r="A29" s="14" t="s">
        <v>98</v>
      </c>
      <c r="B29" s="6">
        <f t="shared" si="0"/>
        <v>46104</v>
      </c>
      <c r="C29" s="6">
        <f t="shared" si="1"/>
        <v>46113</v>
      </c>
      <c r="D29" s="14">
        <v>3249</v>
      </c>
      <c r="E29" s="14">
        <v>332</v>
      </c>
      <c r="F29" s="14">
        <v>3</v>
      </c>
      <c r="G29" s="12">
        <v>2</v>
      </c>
      <c r="H29" s="19"/>
      <c r="I29" s="14" t="s">
        <v>16</v>
      </c>
      <c r="J29" s="9">
        <v>57853153</v>
      </c>
      <c r="K29" s="9" t="s">
        <v>60</v>
      </c>
      <c r="L29" s="9" t="s">
        <v>73</v>
      </c>
      <c r="M29" s="20">
        <v>229900</v>
      </c>
      <c r="N29" s="15" t="s">
        <v>40</v>
      </c>
      <c r="O29" s="7">
        <v>139000</v>
      </c>
      <c r="P29" s="15" t="s">
        <v>41</v>
      </c>
    </row>
    <row r="30" spans="1:16" x14ac:dyDescent="0.35">
      <c r="A30" s="14" t="s">
        <v>98</v>
      </c>
      <c r="B30" s="6">
        <f t="shared" si="0"/>
        <v>46104</v>
      </c>
      <c r="C30" s="6">
        <f t="shared" si="1"/>
        <v>46113</v>
      </c>
      <c r="D30" s="14">
        <v>3249</v>
      </c>
      <c r="E30" s="14">
        <v>332</v>
      </c>
      <c r="F30" s="14">
        <v>3</v>
      </c>
      <c r="G30" s="12">
        <v>2</v>
      </c>
      <c r="H30" s="19"/>
      <c r="I30" s="14" t="s">
        <v>16</v>
      </c>
      <c r="J30" s="9">
        <v>57853171</v>
      </c>
      <c r="K30" s="9" t="s">
        <v>60</v>
      </c>
      <c r="L30" s="9" t="s">
        <v>74</v>
      </c>
      <c r="M30" s="20">
        <v>229900</v>
      </c>
      <c r="N30" s="15" t="s">
        <v>40</v>
      </c>
      <c r="O30" s="7">
        <v>139000</v>
      </c>
      <c r="P30" s="15" t="s">
        <v>41</v>
      </c>
    </row>
    <row r="31" spans="1:16" x14ac:dyDescent="0.35">
      <c r="A31" s="14" t="s">
        <v>98</v>
      </c>
      <c r="B31" s="6">
        <f t="shared" si="0"/>
        <v>46104</v>
      </c>
      <c r="C31" s="6">
        <f t="shared" si="1"/>
        <v>46113</v>
      </c>
      <c r="D31" s="14">
        <v>3249</v>
      </c>
      <c r="E31" s="14">
        <v>332</v>
      </c>
      <c r="F31" s="14">
        <v>3</v>
      </c>
      <c r="G31" s="12">
        <v>2</v>
      </c>
      <c r="H31" s="19"/>
      <c r="I31" s="14" t="s">
        <v>16</v>
      </c>
      <c r="J31" s="9">
        <v>57853180</v>
      </c>
      <c r="K31" s="9" t="s">
        <v>60</v>
      </c>
      <c r="L31" s="9" t="s">
        <v>75</v>
      </c>
      <c r="M31" s="20">
        <v>229900</v>
      </c>
      <c r="N31" s="15" t="s">
        <v>40</v>
      </c>
      <c r="O31" s="7">
        <v>139000</v>
      </c>
      <c r="P31" s="15" t="s">
        <v>41</v>
      </c>
    </row>
    <row r="32" spans="1:16" x14ac:dyDescent="0.35">
      <c r="A32" s="14" t="s">
        <v>98</v>
      </c>
      <c r="B32" s="6">
        <f t="shared" si="0"/>
        <v>46104</v>
      </c>
      <c r="C32" s="6">
        <f t="shared" si="1"/>
        <v>46113</v>
      </c>
      <c r="D32" s="14">
        <v>3249</v>
      </c>
      <c r="E32" s="14">
        <v>332</v>
      </c>
      <c r="F32" s="14">
        <v>3</v>
      </c>
      <c r="G32" s="9"/>
      <c r="H32" s="19"/>
      <c r="I32" s="14" t="s">
        <v>16</v>
      </c>
      <c r="J32" s="9">
        <v>57853206</v>
      </c>
      <c r="K32" s="9" t="s">
        <v>42</v>
      </c>
      <c r="L32" s="9" t="s">
        <v>76</v>
      </c>
      <c r="M32" s="20">
        <v>199900</v>
      </c>
      <c r="N32" s="15" t="s">
        <v>40</v>
      </c>
      <c r="O32" s="7">
        <v>139000</v>
      </c>
      <c r="P32" s="15" t="s">
        <v>41</v>
      </c>
    </row>
    <row r="33" spans="1:16" x14ac:dyDescent="0.35">
      <c r="A33" s="14" t="s">
        <v>98</v>
      </c>
      <c r="B33" s="6">
        <f t="shared" si="0"/>
        <v>46104</v>
      </c>
      <c r="C33" s="6">
        <f t="shared" si="1"/>
        <v>46113</v>
      </c>
      <c r="D33" s="14">
        <v>3249</v>
      </c>
      <c r="E33" s="14">
        <v>332</v>
      </c>
      <c r="F33" s="14">
        <v>3</v>
      </c>
      <c r="G33" s="9"/>
      <c r="H33" s="19"/>
      <c r="I33" s="14" t="s">
        <v>16</v>
      </c>
      <c r="J33" s="9">
        <v>57853215</v>
      </c>
      <c r="K33" s="9" t="s">
        <v>42</v>
      </c>
      <c r="L33" s="9" t="s">
        <v>77</v>
      </c>
      <c r="M33" s="20">
        <v>199900</v>
      </c>
      <c r="N33" s="15" t="s">
        <v>40</v>
      </c>
      <c r="O33" s="7">
        <v>139000</v>
      </c>
      <c r="P33" s="15" t="s">
        <v>41</v>
      </c>
    </row>
    <row r="34" spans="1:16" x14ac:dyDescent="0.35">
      <c r="A34" s="14" t="s">
        <v>98</v>
      </c>
      <c r="B34" s="6">
        <f t="shared" si="0"/>
        <v>46104</v>
      </c>
      <c r="C34" s="6">
        <f t="shared" si="1"/>
        <v>46113</v>
      </c>
      <c r="D34" s="14">
        <v>3249</v>
      </c>
      <c r="E34" s="14">
        <v>332</v>
      </c>
      <c r="F34" s="14">
        <v>3</v>
      </c>
      <c r="G34" s="9"/>
      <c r="H34" s="19"/>
      <c r="I34" s="14" t="s">
        <v>16</v>
      </c>
      <c r="J34" s="9">
        <v>57853224</v>
      </c>
      <c r="K34" s="9" t="s">
        <v>42</v>
      </c>
      <c r="L34" s="9" t="s">
        <v>78</v>
      </c>
      <c r="M34" s="20">
        <v>199900</v>
      </c>
      <c r="N34" s="15" t="s">
        <v>40</v>
      </c>
      <c r="O34" s="7">
        <v>139000</v>
      </c>
      <c r="P34" s="15" t="s">
        <v>41</v>
      </c>
    </row>
    <row r="35" spans="1:16" x14ac:dyDescent="0.35">
      <c r="A35" s="14" t="s">
        <v>98</v>
      </c>
      <c r="B35" s="6">
        <f t="shared" si="0"/>
        <v>46104</v>
      </c>
      <c r="C35" s="6">
        <f t="shared" si="1"/>
        <v>46113</v>
      </c>
      <c r="D35" s="14">
        <v>3249</v>
      </c>
      <c r="E35" s="14">
        <v>332</v>
      </c>
      <c r="F35" s="14">
        <v>3</v>
      </c>
      <c r="G35" s="9"/>
      <c r="H35" s="19"/>
      <c r="I35" s="14" t="s">
        <v>16</v>
      </c>
      <c r="J35" s="9">
        <v>57853233</v>
      </c>
      <c r="K35" s="9" t="s">
        <v>42</v>
      </c>
      <c r="L35" s="9" t="s">
        <v>79</v>
      </c>
      <c r="M35" s="20">
        <v>199900</v>
      </c>
      <c r="N35" s="15" t="s">
        <v>40</v>
      </c>
      <c r="O35" s="7">
        <v>139000</v>
      </c>
      <c r="P35" s="15" t="s">
        <v>41</v>
      </c>
    </row>
    <row r="36" spans="1:16" x14ac:dyDescent="0.35">
      <c r="A36" s="14" t="s">
        <v>98</v>
      </c>
      <c r="B36" s="6">
        <f t="shared" si="0"/>
        <v>46104</v>
      </c>
      <c r="C36" s="6">
        <f t="shared" si="1"/>
        <v>46113</v>
      </c>
      <c r="D36" s="14">
        <v>3249</v>
      </c>
      <c r="E36" s="14">
        <v>332</v>
      </c>
      <c r="F36" s="14">
        <v>3</v>
      </c>
      <c r="G36" s="9"/>
      <c r="H36" s="19"/>
      <c r="I36" s="14" t="s">
        <v>16</v>
      </c>
      <c r="J36" s="9">
        <v>57853242</v>
      </c>
      <c r="K36" s="9" t="s">
        <v>42</v>
      </c>
      <c r="L36" s="9" t="s">
        <v>80</v>
      </c>
      <c r="M36" s="20">
        <v>199900</v>
      </c>
      <c r="N36" s="15" t="s">
        <v>40</v>
      </c>
      <c r="O36" s="7">
        <v>139000</v>
      </c>
      <c r="P36" s="15" t="s">
        <v>41</v>
      </c>
    </row>
    <row r="37" spans="1:16" x14ac:dyDescent="0.35">
      <c r="A37" s="14" t="s">
        <v>98</v>
      </c>
      <c r="B37" s="6">
        <f t="shared" si="0"/>
        <v>46104</v>
      </c>
      <c r="C37" s="6">
        <f t="shared" si="1"/>
        <v>46113</v>
      </c>
      <c r="D37" s="14">
        <v>3249</v>
      </c>
      <c r="E37" s="14">
        <v>332</v>
      </c>
      <c r="F37" s="14">
        <v>3</v>
      </c>
      <c r="G37" s="9"/>
      <c r="H37" s="19"/>
      <c r="I37" s="14" t="s">
        <v>16</v>
      </c>
      <c r="J37" s="9">
        <v>57853251</v>
      </c>
      <c r="K37" s="9" t="s">
        <v>42</v>
      </c>
      <c r="L37" s="9" t="s">
        <v>81</v>
      </c>
      <c r="M37" s="20">
        <v>199900</v>
      </c>
      <c r="N37" s="15" t="s">
        <v>40</v>
      </c>
      <c r="O37" s="7">
        <v>139000</v>
      </c>
      <c r="P37" s="15" t="s">
        <v>41</v>
      </c>
    </row>
    <row r="38" spans="1:16" x14ac:dyDescent="0.35">
      <c r="A38" s="14" t="s">
        <v>98</v>
      </c>
      <c r="B38" s="6">
        <f t="shared" si="0"/>
        <v>46104</v>
      </c>
      <c r="C38" s="6">
        <f t="shared" si="1"/>
        <v>46113</v>
      </c>
      <c r="D38" s="14">
        <v>3249</v>
      </c>
      <c r="E38" s="14">
        <v>332</v>
      </c>
      <c r="F38" s="14">
        <v>3</v>
      </c>
      <c r="G38" s="9"/>
      <c r="H38" s="19"/>
      <c r="I38" s="14" t="s">
        <v>16</v>
      </c>
      <c r="J38" s="9">
        <v>57853260</v>
      </c>
      <c r="K38" s="9" t="s">
        <v>42</v>
      </c>
      <c r="L38" s="9" t="s">
        <v>82</v>
      </c>
      <c r="M38" s="20">
        <v>199900</v>
      </c>
      <c r="N38" s="15" t="s">
        <v>40</v>
      </c>
      <c r="O38" s="7">
        <v>139000</v>
      </c>
      <c r="P38" s="15" t="s">
        <v>41</v>
      </c>
    </row>
    <row r="39" spans="1:16" x14ac:dyDescent="0.35">
      <c r="A39" s="14" t="s">
        <v>98</v>
      </c>
      <c r="B39" s="6">
        <f t="shared" si="0"/>
        <v>46104</v>
      </c>
      <c r="C39" s="6">
        <f t="shared" si="1"/>
        <v>46113</v>
      </c>
      <c r="D39" s="14">
        <v>3249</v>
      </c>
      <c r="E39" s="14">
        <v>332</v>
      </c>
      <c r="F39" s="14">
        <v>3</v>
      </c>
      <c r="G39" s="9"/>
      <c r="H39" s="19"/>
      <c r="I39" s="14" t="s">
        <v>16</v>
      </c>
      <c r="J39" s="9">
        <v>57853279</v>
      </c>
      <c r="K39" s="9" t="s">
        <v>42</v>
      </c>
      <c r="L39" s="9" t="s">
        <v>83</v>
      </c>
      <c r="M39" s="20">
        <v>199900</v>
      </c>
      <c r="N39" s="15" t="s">
        <v>40</v>
      </c>
      <c r="O39" s="7">
        <v>139000</v>
      </c>
      <c r="P39" s="15" t="s">
        <v>41</v>
      </c>
    </row>
    <row r="40" spans="1:16" x14ac:dyDescent="0.35">
      <c r="A40" s="14" t="s">
        <v>98</v>
      </c>
      <c r="B40" s="6">
        <f t="shared" si="0"/>
        <v>46104</v>
      </c>
      <c r="C40" s="6">
        <f t="shared" si="1"/>
        <v>46113</v>
      </c>
      <c r="D40" s="14">
        <v>3249</v>
      </c>
      <c r="E40" s="14">
        <v>332</v>
      </c>
      <c r="F40" s="14">
        <v>3</v>
      </c>
      <c r="G40" s="9"/>
      <c r="H40" s="19"/>
      <c r="I40" s="14" t="s">
        <v>16</v>
      </c>
      <c r="J40" s="9">
        <v>57853288</v>
      </c>
      <c r="K40" s="9" t="s">
        <v>42</v>
      </c>
      <c r="L40" s="9" t="s">
        <v>84</v>
      </c>
      <c r="M40" s="20">
        <v>199900</v>
      </c>
      <c r="N40" s="15" t="s">
        <v>40</v>
      </c>
      <c r="O40" s="7">
        <v>139000</v>
      </c>
      <c r="P40" s="15" t="s">
        <v>41</v>
      </c>
    </row>
    <row r="41" spans="1:16" x14ac:dyDescent="0.35">
      <c r="A41" s="14" t="s">
        <v>98</v>
      </c>
      <c r="B41" s="6">
        <f t="shared" si="0"/>
        <v>46104</v>
      </c>
      <c r="C41" s="6">
        <f t="shared" si="1"/>
        <v>46113</v>
      </c>
      <c r="D41" s="14">
        <v>3249</v>
      </c>
      <c r="E41" s="14">
        <v>332</v>
      </c>
      <c r="F41" s="14">
        <v>3</v>
      </c>
      <c r="G41" s="9"/>
      <c r="H41" s="19"/>
      <c r="I41" s="14" t="s">
        <v>16</v>
      </c>
      <c r="J41" s="9">
        <v>57853297</v>
      </c>
      <c r="K41" s="9" t="s">
        <v>42</v>
      </c>
      <c r="L41" s="9" t="s">
        <v>85</v>
      </c>
      <c r="M41" s="20">
        <v>199900</v>
      </c>
      <c r="N41" s="15" t="s">
        <v>40</v>
      </c>
      <c r="O41" s="7">
        <v>139000</v>
      </c>
      <c r="P41" s="15" t="s">
        <v>41</v>
      </c>
    </row>
    <row r="42" spans="1:16" x14ac:dyDescent="0.35">
      <c r="A42" s="14" t="s">
        <v>98</v>
      </c>
      <c r="B42" s="6">
        <f t="shared" si="0"/>
        <v>46104</v>
      </c>
      <c r="C42" s="6">
        <f t="shared" si="1"/>
        <v>46113</v>
      </c>
      <c r="D42" s="14">
        <v>3249</v>
      </c>
      <c r="E42" s="14">
        <v>332</v>
      </c>
      <c r="F42" s="14">
        <v>3</v>
      </c>
      <c r="G42" s="9"/>
      <c r="H42" s="19"/>
      <c r="I42" s="14" t="s">
        <v>16</v>
      </c>
      <c r="J42" s="9">
        <v>61941639</v>
      </c>
      <c r="K42" s="9" t="s">
        <v>86</v>
      </c>
      <c r="L42" s="9" t="s">
        <v>87</v>
      </c>
      <c r="M42" s="20">
        <v>229900</v>
      </c>
      <c r="N42" s="15" t="s">
        <v>40</v>
      </c>
      <c r="O42" s="7">
        <v>139000</v>
      </c>
      <c r="P42" s="15" t="s">
        <v>41</v>
      </c>
    </row>
    <row r="43" spans="1:16" x14ac:dyDescent="0.35">
      <c r="A43" s="14" t="s">
        <v>98</v>
      </c>
      <c r="B43" s="6">
        <f t="shared" si="0"/>
        <v>46104</v>
      </c>
      <c r="C43" s="6">
        <f t="shared" si="1"/>
        <v>46113</v>
      </c>
      <c r="D43" s="14">
        <v>3249</v>
      </c>
      <c r="E43" s="14">
        <v>332</v>
      </c>
      <c r="F43" s="14">
        <v>3</v>
      </c>
      <c r="G43" s="9"/>
      <c r="H43" s="19"/>
      <c r="I43" s="14" t="s">
        <v>16</v>
      </c>
      <c r="J43" s="9">
        <v>61941648</v>
      </c>
      <c r="K43" s="9" t="s">
        <v>86</v>
      </c>
      <c r="L43" s="9" t="s">
        <v>88</v>
      </c>
      <c r="M43" s="20">
        <v>229900</v>
      </c>
      <c r="N43" s="15" t="s">
        <v>40</v>
      </c>
      <c r="O43" s="7">
        <v>139000</v>
      </c>
      <c r="P43" s="15" t="s">
        <v>41</v>
      </c>
    </row>
    <row r="44" spans="1:16" x14ac:dyDescent="0.35">
      <c r="A44" s="14" t="s">
        <v>98</v>
      </c>
      <c r="B44" s="6">
        <f t="shared" si="0"/>
        <v>46104</v>
      </c>
      <c r="C44" s="6">
        <f t="shared" si="1"/>
        <v>46113</v>
      </c>
      <c r="D44" s="14">
        <v>3249</v>
      </c>
      <c r="E44" s="14">
        <v>332</v>
      </c>
      <c r="F44" s="14">
        <v>3</v>
      </c>
      <c r="G44" s="9"/>
      <c r="H44" s="19"/>
      <c r="I44" s="14" t="s">
        <v>16</v>
      </c>
      <c r="J44" s="9">
        <v>61941657</v>
      </c>
      <c r="K44" s="9" t="s">
        <v>86</v>
      </c>
      <c r="L44" s="9" t="s">
        <v>89</v>
      </c>
      <c r="M44" s="20">
        <v>229900</v>
      </c>
      <c r="N44" s="15" t="s">
        <v>40</v>
      </c>
      <c r="O44" s="7">
        <v>139000</v>
      </c>
      <c r="P44" s="15" t="s">
        <v>41</v>
      </c>
    </row>
    <row r="45" spans="1:16" x14ac:dyDescent="0.35">
      <c r="A45" s="14" t="s">
        <v>98</v>
      </c>
      <c r="B45" s="6">
        <f t="shared" si="0"/>
        <v>46104</v>
      </c>
      <c r="C45" s="6">
        <f t="shared" si="1"/>
        <v>46113</v>
      </c>
      <c r="D45" s="14">
        <v>3249</v>
      </c>
      <c r="E45" s="14">
        <v>332</v>
      </c>
      <c r="F45" s="14">
        <v>3</v>
      </c>
      <c r="G45" s="9"/>
      <c r="H45" s="19"/>
      <c r="I45" s="14" t="s">
        <v>16</v>
      </c>
      <c r="J45" s="9">
        <v>61941666</v>
      </c>
      <c r="K45" s="9" t="s">
        <v>86</v>
      </c>
      <c r="L45" s="9" t="s">
        <v>90</v>
      </c>
      <c r="M45" s="20">
        <v>229900</v>
      </c>
      <c r="N45" s="15" t="s">
        <v>40</v>
      </c>
      <c r="O45" s="7">
        <v>139000</v>
      </c>
      <c r="P45" s="15" t="s">
        <v>41</v>
      </c>
    </row>
    <row r="46" spans="1:16" x14ac:dyDescent="0.35">
      <c r="A46" s="14" t="s">
        <v>98</v>
      </c>
      <c r="B46" s="6">
        <f t="shared" si="0"/>
        <v>46104</v>
      </c>
      <c r="C46" s="6">
        <f t="shared" si="1"/>
        <v>46113</v>
      </c>
      <c r="D46" s="14">
        <v>3249</v>
      </c>
      <c r="E46" s="14">
        <v>332</v>
      </c>
      <c r="F46" s="14">
        <v>3</v>
      </c>
      <c r="G46" s="9"/>
      <c r="H46" s="19"/>
      <c r="I46" s="14" t="s">
        <v>16</v>
      </c>
      <c r="J46" s="9">
        <v>61941675</v>
      </c>
      <c r="K46" s="9" t="s">
        <v>86</v>
      </c>
      <c r="L46" s="9" t="s">
        <v>91</v>
      </c>
      <c r="M46" s="20">
        <v>229900</v>
      </c>
      <c r="N46" s="15" t="s">
        <v>40</v>
      </c>
      <c r="O46" s="7">
        <v>139000</v>
      </c>
      <c r="P46" s="15" t="s">
        <v>41</v>
      </c>
    </row>
    <row r="47" spans="1:16" x14ac:dyDescent="0.35">
      <c r="A47" s="14" t="s">
        <v>98</v>
      </c>
      <c r="B47" s="6">
        <f t="shared" si="0"/>
        <v>46104</v>
      </c>
      <c r="C47" s="6">
        <f t="shared" si="1"/>
        <v>46113</v>
      </c>
      <c r="D47" s="14">
        <v>3249</v>
      </c>
      <c r="E47" s="14">
        <v>332</v>
      </c>
      <c r="F47" s="14">
        <v>3</v>
      </c>
      <c r="G47" s="9"/>
      <c r="H47" s="19"/>
      <c r="I47" s="14" t="s">
        <v>16</v>
      </c>
      <c r="J47" s="9">
        <v>57854698</v>
      </c>
      <c r="K47" s="9" t="s">
        <v>92</v>
      </c>
      <c r="L47" s="9" t="s">
        <v>93</v>
      </c>
      <c r="M47" s="20">
        <v>229900</v>
      </c>
      <c r="N47" s="15" t="s">
        <v>40</v>
      </c>
      <c r="O47" s="7">
        <v>139000</v>
      </c>
      <c r="P47" s="15" t="s">
        <v>41</v>
      </c>
    </row>
    <row r="48" spans="1:16" x14ac:dyDescent="0.35">
      <c r="A48" s="14" t="s">
        <v>98</v>
      </c>
      <c r="B48" s="6">
        <f t="shared" si="0"/>
        <v>46104</v>
      </c>
      <c r="C48" s="6">
        <f t="shared" si="1"/>
        <v>46113</v>
      </c>
      <c r="D48" s="14">
        <v>3249</v>
      </c>
      <c r="E48" s="14">
        <v>332</v>
      </c>
      <c r="F48" s="14">
        <v>3</v>
      </c>
      <c r="G48" s="9"/>
      <c r="H48" s="19"/>
      <c r="I48" s="14" t="s">
        <v>16</v>
      </c>
      <c r="J48" s="9">
        <v>57854705</v>
      </c>
      <c r="K48" s="9" t="s">
        <v>92</v>
      </c>
      <c r="L48" s="9" t="s">
        <v>94</v>
      </c>
      <c r="M48" s="20">
        <v>229900</v>
      </c>
      <c r="N48" s="15" t="s">
        <v>40</v>
      </c>
      <c r="O48" s="7">
        <v>139000</v>
      </c>
      <c r="P48" s="15" t="s">
        <v>41</v>
      </c>
    </row>
    <row r="49" spans="1:16" x14ac:dyDescent="0.35">
      <c r="A49" s="14" t="s">
        <v>98</v>
      </c>
      <c r="B49" s="6">
        <f t="shared" si="0"/>
        <v>46104</v>
      </c>
      <c r="C49" s="6">
        <f t="shared" si="1"/>
        <v>46113</v>
      </c>
      <c r="D49" s="14">
        <v>3249</v>
      </c>
      <c r="E49" s="14">
        <v>332</v>
      </c>
      <c r="F49" s="14">
        <v>3</v>
      </c>
      <c r="G49" s="9"/>
      <c r="H49" s="19"/>
      <c r="I49" s="14" t="s">
        <v>16</v>
      </c>
      <c r="J49" s="9">
        <v>57854714</v>
      </c>
      <c r="K49" s="9" t="s">
        <v>92</v>
      </c>
      <c r="L49" s="9" t="s">
        <v>95</v>
      </c>
      <c r="M49" s="20">
        <v>229900</v>
      </c>
      <c r="N49" s="15" t="s">
        <v>40</v>
      </c>
      <c r="O49" s="7">
        <v>139000</v>
      </c>
      <c r="P49" s="15" t="s">
        <v>41</v>
      </c>
    </row>
    <row r="50" spans="1:16" x14ac:dyDescent="0.35">
      <c r="A50" s="14" t="s">
        <v>98</v>
      </c>
      <c r="B50" s="6">
        <f t="shared" si="0"/>
        <v>46104</v>
      </c>
      <c r="C50" s="6">
        <f t="shared" si="1"/>
        <v>46113</v>
      </c>
      <c r="D50" s="14">
        <v>3249</v>
      </c>
      <c r="E50" s="14">
        <v>332</v>
      </c>
      <c r="F50" s="14">
        <v>3</v>
      </c>
      <c r="G50" s="9"/>
      <c r="H50" s="19"/>
      <c r="I50" s="14" t="s">
        <v>16</v>
      </c>
      <c r="J50" s="9">
        <v>57854723</v>
      </c>
      <c r="K50" s="9" t="s">
        <v>92</v>
      </c>
      <c r="L50" s="9" t="s">
        <v>96</v>
      </c>
      <c r="M50" s="20">
        <v>229900</v>
      </c>
      <c r="N50" s="15" t="s">
        <v>40</v>
      </c>
      <c r="O50" s="7">
        <v>139000</v>
      </c>
      <c r="P50" s="15" t="s">
        <v>41</v>
      </c>
    </row>
    <row r="51" spans="1:16" x14ac:dyDescent="0.35">
      <c r="A51" s="14" t="s">
        <v>98</v>
      </c>
      <c r="B51" s="6">
        <f t="shared" si="0"/>
        <v>46104</v>
      </c>
      <c r="C51" s="6">
        <f t="shared" si="1"/>
        <v>46113</v>
      </c>
      <c r="D51" s="14">
        <v>3249</v>
      </c>
      <c r="E51" s="14">
        <v>332</v>
      </c>
      <c r="F51" s="14">
        <v>3</v>
      </c>
      <c r="G51" s="9"/>
      <c r="H51" s="19"/>
      <c r="I51" s="14" t="s">
        <v>16</v>
      </c>
      <c r="J51" s="9">
        <v>57854732</v>
      </c>
      <c r="K51" s="9" t="s">
        <v>92</v>
      </c>
      <c r="L51" s="9" t="s">
        <v>97</v>
      </c>
      <c r="M51" s="20">
        <v>229900</v>
      </c>
      <c r="N51" s="15" t="s">
        <v>40</v>
      </c>
      <c r="O51" s="7">
        <v>139000</v>
      </c>
      <c r="P51" s="15" t="s">
        <v>41</v>
      </c>
    </row>
  </sheetData>
  <autoFilter ref="A1:P1" xr:uid="{00000000-0009-0000-0000-000013000000}"/>
  <conditionalFormatting sqref="J1">
    <cfRule type="duplicateValues" dxfId="72" priority="28"/>
    <cfRule type="duplicateValues" dxfId="71" priority="29"/>
    <cfRule type="duplicateValues" dxfId="70" priority="30"/>
    <cfRule type="duplicateValues" dxfId="69" priority="31"/>
    <cfRule type="duplicateValues" dxfId="68" priority="32"/>
    <cfRule type="duplicateValues" dxfId="67" priority="33"/>
    <cfRule type="duplicateValues" dxfId="66" priority="34"/>
    <cfRule type="duplicateValues" dxfId="65" priority="35"/>
  </conditionalFormatting>
  <conditionalFormatting sqref="J1:J16">
    <cfRule type="duplicateValues" dxfId="64" priority="634"/>
    <cfRule type="duplicateValues" dxfId="63" priority="635"/>
    <cfRule type="duplicateValues" dxfId="62" priority="636"/>
    <cfRule type="duplicateValues" dxfId="61" priority="637"/>
    <cfRule type="duplicateValues" dxfId="60" priority="638"/>
  </conditionalFormatting>
  <conditionalFormatting sqref="J1:J1048576">
    <cfRule type="duplicateValues" dxfId="59" priority="1"/>
    <cfRule type="duplicateValues" dxfId="58" priority="2"/>
    <cfRule type="duplicateValues" dxfId="57" priority="3"/>
    <cfRule type="duplicateValues" dxfId="56" priority="4"/>
    <cfRule type="duplicateValues" dxfId="55" priority="1408"/>
    <cfRule type="duplicateValues" dxfId="54" priority="1409"/>
    <cfRule type="duplicateValues" dxfId="53" priority="1410"/>
    <cfRule type="duplicateValues" dxfId="52" priority="1411"/>
    <cfRule type="duplicateValues" dxfId="51" priority="1412"/>
    <cfRule type="duplicateValues" dxfId="50" priority="1413"/>
    <cfRule type="duplicateValues" dxfId="49" priority="1414"/>
    <cfRule type="duplicateValues" dxfId="48" priority="1415"/>
    <cfRule type="duplicateValues" dxfId="47" priority="1416"/>
    <cfRule type="duplicateValues" dxfId="46" priority="1417"/>
    <cfRule type="duplicateValues" dxfId="45" priority="1418"/>
  </conditionalFormatting>
  <conditionalFormatting sqref="J17:J1048576">
    <cfRule type="duplicateValues" dxfId="44" priority="1444"/>
    <cfRule type="duplicateValues" dxfId="43" priority="1445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</sheetPr>
  <dimension ref="A1:P21"/>
  <sheetViews>
    <sheetView tabSelected="1" zoomScale="70" workbookViewId="0">
      <selection activeCell="B21" sqref="B3:C21"/>
    </sheetView>
  </sheetViews>
  <sheetFormatPr defaultColWidth="8.7265625" defaultRowHeight="14.5" x14ac:dyDescent="0.35"/>
  <cols>
    <col min="1" max="1" width="36.726562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16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17" bestFit="1" customWidth="1"/>
    <col min="14" max="14" width="11.08984375" style="10" bestFit="1" customWidth="1"/>
    <col min="15" max="15" width="14.5429687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18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8" t="s">
        <v>14</v>
      </c>
      <c r="N1" s="5" t="s">
        <v>8</v>
      </c>
      <c r="O1" s="4" t="s">
        <v>9</v>
      </c>
      <c r="P1" s="1" t="s">
        <v>10</v>
      </c>
    </row>
    <row r="2" spans="1:16" s="11" customFormat="1" x14ac:dyDescent="0.35">
      <c r="A2" s="14" t="s">
        <v>99</v>
      </c>
      <c r="B2" s="6">
        <v>46104</v>
      </c>
      <c r="C2" s="6">
        <v>46113</v>
      </c>
      <c r="D2" s="14">
        <v>3249</v>
      </c>
      <c r="E2" s="14">
        <v>332</v>
      </c>
      <c r="F2" s="14">
        <v>3</v>
      </c>
      <c r="G2" s="12">
        <v>3</v>
      </c>
      <c r="H2" s="22"/>
      <c r="I2" s="14" t="s">
        <v>16</v>
      </c>
      <c r="J2" s="23">
        <v>51198113</v>
      </c>
      <c r="K2" s="24" t="s">
        <v>17</v>
      </c>
      <c r="L2" s="24" t="s">
        <v>24</v>
      </c>
      <c r="M2" s="13">
        <v>249900</v>
      </c>
      <c r="N2" s="15" t="s">
        <v>40</v>
      </c>
      <c r="O2" s="7">
        <v>179000</v>
      </c>
      <c r="P2" s="15" t="s">
        <v>41</v>
      </c>
    </row>
    <row r="3" spans="1:16" s="11" customFormat="1" x14ac:dyDescent="0.35">
      <c r="A3" s="14" t="s">
        <v>99</v>
      </c>
      <c r="B3" s="6">
        <f>B2</f>
        <v>46104</v>
      </c>
      <c r="C3" s="6">
        <f>C2</f>
        <v>46113</v>
      </c>
      <c r="D3" s="14">
        <v>3249</v>
      </c>
      <c r="E3" s="14">
        <v>332</v>
      </c>
      <c r="F3" s="14">
        <v>3</v>
      </c>
      <c r="G3" s="12">
        <v>3</v>
      </c>
      <c r="H3" s="22"/>
      <c r="I3" s="14" t="s">
        <v>16</v>
      </c>
      <c r="J3" s="23">
        <v>51198131</v>
      </c>
      <c r="K3" s="24" t="s">
        <v>17</v>
      </c>
      <c r="L3" s="24" t="s">
        <v>38</v>
      </c>
      <c r="M3" s="13">
        <v>249900</v>
      </c>
      <c r="N3" s="15" t="s">
        <v>40</v>
      </c>
      <c r="O3" s="7">
        <v>179000</v>
      </c>
      <c r="P3" s="15" t="s">
        <v>41</v>
      </c>
    </row>
    <row r="4" spans="1:16" s="11" customFormat="1" x14ac:dyDescent="0.35">
      <c r="A4" s="14" t="s">
        <v>99</v>
      </c>
      <c r="B4" s="6">
        <f t="shared" ref="B4:B21" si="0">B3</f>
        <v>46104</v>
      </c>
      <c r="C4" s="6">
        <f t="shared" ref="C4:C21" si="1">C3</f>
        <v>46113</v>
      </c>
      <c r="D4" s="14">
        <v>3249</v>
      </c>
      <c r="E4" s="14">
        <v>332</v>
      </c>
      <c r="F4" s="14">
        <v>3</v>
      </c>
      <c r="G4" s="12">
        <v>3</v>
      </c>
      <c r="H4" s="22"/>
      <c r="I4" s="14" t="s">
        <v>16</v>
      </c>
      <c r="J4" s="23">
        <v>51198140</v>
      </c>
      <c r="K4" s="24" t="s">
        <v>17</v>
      </c>
      <c r="L4" s="24" t="s">
        <v>39</v>
      </c>
      <c r="M4" s="13">
        <v>249900</v>
      </c>
      <c r="N4" s="15" t="s">
        <v>40</v>
      </c>
      <c r="O4" s="7">
        <v>179000</v>
      </c>
      <c r="P4" s="15" t="s">
        <v>41</v>
      </c>
    </row>
    <row r="5" spans="1:16" s="11" customFormat="1" x14ac:dyDescent="0.35">
      <c r="A5" s="14" t="s">
        <v>99</v>
      </c>
      <c r="B5" s="6">
        <f t="shared" si="0"/>
        <v>46104</v>
      </c>
      <c r="C5" s="6">
        <f t="shared" si="1"/>
        <v>46113</v>
      </c>
      <c r="D5" s="14">
        <v>3249</v>
      </c>
      <c r="E5" s="14">
        <v>332</v>
      </c>
      <c r="F5" s="14">
        <v>3</v>
      </c>
      <c r="G5" s="12">
        <v>3</v>
      </c>
      <c r="H5" s="22"/>
      <c r="I5" s="14" t="s">
        <v>16</v>
      </c>
      <c r="J5" s="23">
        <v>51198097</v>
      </c>
      <c r="K5" s="24" t="s">
        <v>17</v>
      </c>
      <c r="L5" s="24" t="s">
        <v>36</v>
      </c>
      <c r="M5" s="13">
        <v>249900</v>
      </c>
      <c r="N5" s="15" t="s">
        <v>40</v>
      </c>
      <c r="O5" s="7">
        <v>179000</v>
      </c>
      <c r="P5" s="15" t="s">
        <v>41</v>
      </c>
    </row>
    <row r="6" spans="1:16" s="11" customFormat="1" x14ac:dyDescent="0.35">
      <c r="A6" s="14" t="s">
        <v>99</v>
      </c>
      <c r="B6" s="6">
        <f t="shared" si="0"/>
        <v>46104</v>
      </c>
      <c r="C6" s="6">
        <f t="shared" si="1"/>
        <v>46113</v>
      </c>
      <c r="D6" s="14">
        <v>3249</v>
      </c>
      <c r="E6" s="14">
        <v>332</v>
      </c>
      <c r="F6" s="14">
        <v>3</v>
      </c>
      <c r="G6" s="12">
        <v>3</v>
      </c>
      <c r="H6" s="22"/>
      <c r="I6" s="14" t="s">
        <v>16</v>
      </c>
      <c r="J6" s="23">
        <v>51198104</v>
      </c>
      <c r="K6" s="24" t="s">
        <v>17</v>
      </c>
      <c r="L6" s="24" t="s">
        <v>37</v>
      </c>
      <c r="M6" s="13">
        <v>249900</v>
      </c>
      <c r="N6" s="15" t="s">
        <v>40</v>
      </c>
      <c r="O6" s="7">
        <v>179000</v>
      </c>
      <c r="P6" s="15" t="s">
        <v>41</v>
      </c>
    </row>
    <row r="7" spans="1:16" s="11" customFormat="1" x14ac:dyDescent="0.35">
      <c r="A7" s="14" t="s">
        <v>99</v>
      </c>
      <c r="B7" s="6">
        <f t="shared" si="0"/>
        <v>46104</v>
      </c>
      <c r="C7" s="6">
        <f t="shared" si="1"/>
        <v>46113</v>
      </c>
      <c r="D7" s="14">
        <v>3249</v>
      </c>
      <c r="E7" s="14">
        <v>332</v>
      </c>
      <c r="F7" s="14">
        <v>3</v>
      </c>
      <c r="G7" s="12">
        <v>3</v>
      </c>
      <c r="H7" s="25"/>
      <c r="I7" s="14" t="s">
        <v>16</v>
      </c>
      <c r="J7" s="12">
        <v>51833168</v>
      </c>
      <c r="K7" s="12" t="s">
        <v>22</v>
      </c>
      <c r="L7" s="12" t="s">
        <v>23</v>
      </c>
      <c r="M7" s="13">
        <v>249900</v>
      </c>
      <c r="N7" s="15" t="s">
        <v>40</v>
      </c>
      <c r="O7" s="7">
        <v>179000</v>
      </c>
      <c r="P7" s="15" t="s">
        <v>41</v>
      </c>
    </row>
    <row r="8" spans="1:16" s="11" customFormat="1" x14ac:dyDescent="0.35">
      <c r="A8" s="14" t="s">
        <v>99</v>
      </c>
      <c r="B8" s="6">
        <f t="shared" si="0"/>
        <v>46104</v>
      </c>
      <c r="C8" s="6">
        <f t="shared" si="1"/>
        <v>46113</v>
      </c>
      <c r="D8" s="14">
        <v>3249</v>
      </c>
      <c r="E8" s="14">
        <v>332</v>
      </c>
      <c r="F8" s="14">
        <v>3</v>
      </c>
      <c r="G8" s="12">
        <v>3</v>
      </c>
      <c r="H8" s="25"/>
      <c r="I8" s="14" t="s">
        <v>16</v>
      </c>
      <c r="J8" s="12">
        <v>51198079</v>
      </c>
      <c r="K8" s="12" t="s">
        <v>19</v>
      </c>
      <c r="L8" s="12" t="s">
        <v>25</v>
      </c>
      <c r="M8" s="13">
        <v>249900</v>
      </c>
      <c r="N8" s="15" t="s">
        <v>40</v>
      </c>
      <c r="O8" s="7">
        <v>179000</v>
      </c>
      <c r="P8" s="15" t="s">
        <v>41</v>
      </c>
    </row>
    <row r="9" spans="1:16" s="11" customFormat="1" x14ac:dyDescent="0.35">
      <c r="A9" s="14" t="s">
        <v>99</v>
      </c>
      <c r="B9" s="6">
        <f t="shared" si="0"/>
        <v>46104</v>
      </c>
      <c r="C9" s="6">
        <f t="shared" si="1"/>
        <v>46113</v>
      </c>
      <c r="D9" s="14">
        <v>3249</v>
      </c>
      <c r="E9" s="14">
        <v>332</v>
      </c>
      <c r="F9" s="14">
        <v>3</v>
      </c>
      <c r="G9" s="12">
        <v>3</v>
      </c>
      <c r="H9" s="25"/>
      <c r="I9" s="14" t="s">
        <v>16</v>
      </c>
      <c r="J9" s="12">
        <v>51198060</v>
      </c>
      <c r="K9" s="12" t="s">
        <v>19</v>
      </c>
      <c r="L9" s="12" t="s">
        <v>26</v>
      </c>
      <c r="M9" s="13">
        <v>249900</v>
      </c>
      <c r="N9" s="15" t="s">
        <v>40</v>
      </c>
      <c r="O9" s="7">
        <v>179000</v>
      </c>
      <c r="P9" s="15" t="s">
        <v>41</v>
      </c>
    </row>
    <row r="10" spans="1:16" s="11" customFormat="1" x14ac:dyDescent="0.35">
      <c r="A10" s="14" t="s">
        <v>99</v>
      </c>
      <c r="B10" s="6">
        <f t="shared" si="0"/>
        <v>46104</v>
      </c>
      <c r="C10" s="6">
        <f t="shared" si="1"/>
        <v>46113</v>
      </c>
      <c r="D10" s="14">
        <v>3249</v>
      </c>
      <c r="E10" s="14">
        <v>332</v>
      </c>
      <c r="F10" s="14">
        <v>3</v>
      </c>
      <c r="G10" s="12">
        <v>3</v>
      </c>
      <c r="H10" s="25"/>
      <c r="I10" s="14" t="s">
        <v>16</v>
      </c>
      <c r="J10" s="12">
        <v>51198042</v>
      </c>
      <c r="K10" s="12" t="s">
        <v>19</v>
      </c>
      <c r="L10" s="12" t="s">
        <v>28</v>
      </c>
      <c r="M10" s="13">
        <v>249900</v>
      </c>
      <c r="N10" s="15" t="s">
        <v>40</v>
      </c>
      <c r="O10" s="7">
        <v>179000</v>
      </c>
      <c r="P10" s="15" t="s">
        <v>41</v>
      </c>
    </row>
    <row r="11" spans="1:16" s="11" customFormat="1" x14ac:dyDescent="0.35">
      <c r="A11" s="14" t="s">
        <v>99</v>
      </c>
      <c r="B11" s="6">
        <f t="shared" si="0"/>
        <v>46104</v>
      </c>
      <c r="C11" s="6">
        <f t="shared" si="1"/>
        <v>46113</v>
      </c>
      <c r="D11" s="14">
        <v>3249</v>
      </c>
      <c r="E11" s="14">
        <v>332</v>
      </c>
      <c r="F11" s="14">
        <v>3</v>
      </c>
      <c r="G11" s="12">
        <v>3</v>
      </c>
      <c r="H11" s="25"/>
      <c r="I11" s="14" t="s">
        <v>16</v>
      </c>
      <c r="J11" s="12">
        <v>51198051</v>
      </c>
      <c r="K11" s="12" t="s">
        <v>19</v>
      </c>
      <c r="L11" s="12" t="s">
        <v>27</v>
      </c>
      <c r="M11" s="13">
        <v>249900</v>
      </c>
      <c r="N11" s="15" t="s">
        <v>40</v>
      </c>
      <c r="O11" s="7">
        <v>179000</v>
      </c>
      <c r="P11" s="15" t="s">
        <v>41</v>
      </c>
    </row>
    <row r="12" spans="1:16" s="11" customFormat="1" x14ac:dyDescent="0.35">
      <c r="A12" s="14" t="s">
        <v>99</v>
      </c>
      <c r="B12" s="6">
        <f t="shared" si="0"/>
        <v>46104</v>
      </c>
      <c r="C12" s="6">
        <f t="shared" si="1"/>
        <v>46113</v>
      </c>
      <c r="D12" s="14">
        <v>3249</v>
      </c>
      <c r="E12" s="14">
        <v>332</v>
      </c>
      <c r="F12" s="14">
        <v>3</v>
      </c>
      <c r="G12" s="12">
        <v>3</v>
      </c>
      <c r="H12" s="25"/>
      <c r="I12" s="14" t="s">
        <v>16</v>
      </c>
      <c r="J12" s="12">
        <v>51198033</v>
      </c>
      <c r="K12" s="12" t="s">
        <v>19</v>
      </c>
      <c r="L12" s="12" t="s">
        <v>29</v>
      </c>
      <c r="M12" s="13">
        <v>249900</v>
      </c>
      <c r="N12" s="15" t="s">
        <v>40</v>
      </c>
      <c r="O12" s="7">
        <v>179000</v>
      </c>
      <c r="P12" s="15" t="s">
        <v>41</v>
      </c>
    </row>
    <row r="13" spans="1:16" s="11" customFormat="1" x14ac:dyDescent="0.35">
      <c r="A13" s="14" t="s">
        <v>99</v>
      </c>
      <c r="B13" s="6">
        <f t="shared" si="0"/>
        <v>46104</v>
      </c>
      <c r="C13" s="6">
        <f t="shared" si="1"/>
        <v>46113</v>
      </c>
      <c r="D13" s="14">
        <v>3249</v>
      </c>
      <c r="E13" s="14">
        <v>332</v>
      </c>
      <c r="F13" s="14">
        <v>3</v>
      </c>
      <c r="G13" s="12">
        <v>3</v>
      </c>
      <c r="H13" s="25"/>
      <c r="I13" s="14" t="s">
        <v>16</v>
      </c>
      <c r="J13" s="12">
        <v>51198015</v>
      </c>
      <c r="K13" s="12" t="s">
        <v>19</v>
      </c>
      <c r="L13" s="12" t="s">
        <v>30</v>
      </c>
      <c r="M13" s="13">
        <v>249900</v>
      </c>
      <c r="N13" s="15" t="s">
        <v>40</v>
      </c>
      <c r="O13" s="7">
        <v>179000</v>
      </c>
      <c r="P13" s="15" t="s">
        <v>41</v>
      </c>
    </row>
    <row r="14" spans="1:16" s="11" customFormat="1" x14ac:dyDescent="0.35">
      <c r="A14" s="14" t="s">
        <v>99</v>
      </c>
      <c r="B14" s="6">
        <f t="shared" si="0"/>
        <v>46104</v>
      </c>
      <c r="C14" s="6">
        <f t="shared" si="1"/>
        <v>46113</v>
      </c>
      <c r="D14" s="14">
        <v>3249</v>
      </c>
      <c r="E14" s="14">
        <v>332</v>
      </c>
      <c r="F14" s="14">
        <v>3</v>
      </c>
      <c r="G14" s="12">
        <v>3</v>
      </c>
      <c r="H14" s="25"/>
      <c r="I14" s="14" t="s">
        <v>16</v>
      </c>
      <c r="J14" s="12">
        <v>51197990</v>
      </c>
      <c r="K14" s="12" t="s">
        <v>19</v>
      </c>
      <c r="L14" s="12" t="s">
        <v>32</v>
      </c>
      <c r="M14" s="13">
        <v>249900</v>
      </c>
      <c r="N14" s="15" t="s">
        <v>40</v>
      </c>
      <c r="O14" s="7">
        <v>179000</v>
      </c>
      <c r="P14" s="15" t="s">
        <v>41</v>
      </c>
    </row>
    <row r="15" spans="1:16" s="11" customFormat="1" x14ac:dyDescent="0.35">
      <c r="A15" s="14" t="s">
        <v>99</v>
      </c>
      <c r="B15" s="6">
        <f t="shared" si="0"/>
        <v>46104</v>
      </c>
      <c r="C15" s="6">
        <f t="shared" si="1"/>
        <v>46113</v>
      </c>
      <c r="D15" s="14">
        <v>3249</v>
      </c>
      <c r="E15" s="14">
        <v>332</v>
      </c>
      <c r="F15" s="14">
        <v>3</v>
      </c>
      <c r="G15" s="12">
        <v>3</v>
      </c>
      <c r="H15" s="25"/>
      <c r="I15" s="14" t="s">
        <v>16</v>
      </c>
      <c r="J15" s="12">
        <v>51198006</v>
      </c>
      <c r="K15" s="12" t="s">
        <v>19</v>
      </c>
      <c r="L15" s="12" t="s">
        <v>31</v>
      </c>
      <c r="M15" s="13">
        <v>249900</v>
      </c>
      <c r="N15" s="15" t="s">
        <v>40</v>
      </c>
      <c r="O15" s="7">
        <v>179000</v>
      </c>
      <c r="P15" s="15" t="s">
        <v>41</v>
      </c>
    </row>
    <row r="16" spans="1:16" s="11" customFormat="1" x14ac:dyDescent="0.35">
      <c r="A16" s="14" t="s">
        <v>99</v>
      </c>
      <c r="B16" s="6">
        <f t="shared" si="0"/>
        <v>46104</v>
      </c>
      <c r="C16" s="6">
        <f t="shared" si="1"/>
        <v>46113</v>
      </c>
      <c r="D16" s="14">
        <v>3249</v>
      </c>
      <c r="E16" s="14">
        <v>332</v>
      </c>
      <c r="F16" s="14">
        <v>3</v>
      </c>
      <c r="G16" s="12">
        <v>3</v>
      </c>
      <c r="H16" s="25"/>
      <c r="I16" s="14" t="s">
        <v>16</v>
      </c>
      <c r="J16" s="12">
        <v>51197981</v>
      </c>
      <c r="K16" s="12" t="s">
        <v>22</v>
      </c>
      <c r="L16" s="12" t="s">
        <v>33</v>
      </c>
      <c r="M16" s="13">
        <v>249900</v>
      </c>
      <c r="N16" s="15" t="s">
        <v>40</v>
      </c>
      <c r="O16" s="7">
        <v>179000</v>
      </c>
      <c r="P16" s="15" t="s">
        <v>41</v>
      </c>
    </row>
    <row r="17" spans="1:16" s="11" customFormat="1" x14ac:dyDescent="0.35">
      <c r="A17" s="14" t="s">
        <v>99</v>
      </c>
      <c r="B17" s="6">
        <f t="shared" si="0"/>
        <v>46104</v>
      </c>
      <c r="C17" s="6">
        <f t="shared" si="1"/>
        <v>46113</v>
      </c>
      <c r="D17" s="14">
        <v>3249</v>
      </c>
      <c r="E17" s="14">
        <v>332</v>
      </c>
      <c r="F17" s="14">
        <v>3</v>
      </c>
      <c r="G17" s="12">
        <v>3</v>
      </c>
      <c r="H17" s="25"/>
      <c r="I17" s="14" t="s">
        <v>16</v>
      </c>
      <c r="J17" s="12">
        <v>51197963</v>
      </c>
      <c r="K17" s="12" t="s">
        <v>22</v>
      </c>
      <c r="L17" s="12" t="s">
        <v>35</v>
      </c>
      <c r="M17" s="13">
        <v>249900</v>
      </c>
      <c r="N17" s="15" t="s">
        <v>40</v>
      </c>
      <c r="O17" s="7">
        <v>179000</v>
      </c>
      <c r="P17" s="15" t="s">
        <v>41</v>
      </c>
    </row>
    <row r="18" spans="1:16" s="11" customFormat="1" x14ac:dyDescent="0.35">
      <c r="A18" s="14" t="s">
        <v>99</v>
      </c>
      <c r="B18" s="6">
        <f t="shared" si="0"/>
        <v>46104</v>
      </c>
      <c r="C18" s="6">
        <f t="shared" si="1"/>
        <v>46113</v>
      </c>
      <c r="D18" s="14">
        <v>3249</v>
      </c>
      <c r="E18" s="14">
        <v>332</v>
      </c>
      <c r="F18" s="14">
        <v>3</v>
      </c>
      <c r="G18" s="12">
        <v>3</v>
      </c>
      <c r="H18" s="25"/>
      <c r="I18" s="14" t="s">
        <v>16</v>
      </c>
      <c r="J18" s="12">
        <v>51197972</v>
      </c>
      <c r="K18" s="12" t="s">
        <v>22</v>
      </c>
      <c r="L18" s="12" t="s">
        <v>34</v>
      </c>
      <c r="M18" s="13">
        <v>249900</v>
      </c>
      <c r="N18" s="15" t="s">
        <v>40</v>
      </c>
      <c r="O18" s="7">
        <v>179000</v>
      </c>
      <c r="P18" s="15" t="s">
        <v>41</v>
      </c>
    </row>
    <row r="19" spans="1:16" s="11" customFormat="1" x14ac:dyDescent="0.35">
      <c r="A19" s="14" t="s">
        <v>99</v>
      </c>
      <c r="B19" s="6">
        <f t="shared" si="0"/>
        <v>46104</v>
      </c>
      <c r="C19" s="6">
        <f t="shared" si="1"/>
        <v>46113</v>
      </c>
      <c r="D19" s="14">
        <v>3249</v>
      </c>
      <c r="E19" s="14">
        <v>332</v>
      </c>
      <c r="F19" s="14">
        <v>3</v>
      </c>
      <c r="G19" s="12">
        <v>3</v>
      </c>
      <c r="H19" s="25"/>
      <c r="I19" s="14" t="s">
        <v>16</v>
      </c>
      <c r="J19" s="12">
        <v>51833177</v>
      </c>
      <c r="K19" s="12" t="s">
        <v>22</v>
      </c>
      <c r="L19" s="12" t="s">
        <v>21</v>
      </c>
      <c r="M19" s="13">
        <v>249900</v>
      </c>
      <c r="N19" s="15" t="s">
        <v>40</v>
      </c>
      <c r="O19" s="7">
        <v>179000</v>
      </c>
      <c r="P19" s="15" t="s">
        <v>41</v>
      </c>
    </row>
    <row r="20" spans="1:16" x14ac:dyDescent="0.35">
      <c r="A20" s="14" t="s">
        <v>99</v>
      </c>
      <c r="B20" s="6">
        <f t="shared" si="0"/>
        <v>46104</v>
      </c>
      <c r="C20" s="6">
        <f t="shared" si="1"/>
        <v>46113</v>
      </c>
      <c r="D20" s="14">
        <v>3249</v>
      </c>
      <c r="E20" s="14">
        <v>332</v>
      </c>
      <c r="F20" s="14">
        <v>3</v>
      </c>
      <c r="G20" s="12">
        <v>3</v>
      </c>
      <c r="H20" s="19"/>
      <c r="I20" s="14" t="s">
        <v>16</v>
      </c>
      <c r="J20" s="9">
        <v>51833186</v>
      </c>
      <c r="K20" s="9" t="s">
        <v>19</v>
      </c>
      <c r="L20" s="9" t="s">
        <v>20</v>
      </c>
      <c r="M20" s="20">
        <v>249900</v>
      </c>
      <c r="N20" s="15" t="s">
        <v>40</v>
      </c>
      <c r="O20" s="7">
        <v>179000</v>
      </c>
      <c r="P20" s="15" t="s">
        <v>41</v>
      </c>
    </row>
    <row r="21" spans="1:16" x14ac:dyDescent="0.35">
      <c r="A21" s="14" t="s">
        <v>99</v>
      </c>
      <c r="B21" s="6">
        <f t="shared" si="0"/>
        <v>46104</v>
      </c>
      <c r="C21" s="6">
        <f t="shared" si="1"/>
        <v>46113</v>
      </c>
      <c r="D21" s="14">
        <v>3249</v>
      </c>
      <c r="E21" s="14">
        <v>332</v>
      </c>
      <c r="F21" s="14">
        <v>3</v>
      </c>
      <c r="G21" s="12">
        <v>3</v>
      </c>
      <c r="H21" s="19"/>
      <c r="I21" s="14" t="s">
        <v>16</v>
      </c>
      <c r="J21" s="9">
        <v>51833195</v>
      </c>
      <c r="K21" s="9" t="s">
        <v>19</v>
      </c>
      <c r="L21" s="9" t="s">
        <v>18</v>
      </c>
      <c r="M21" s="20">
        <v>249900</v>
      </c>
      <c r="N21" s="15" t="s">
        <v>40</v>
      </c>
      <c r="O21" s="7">
        <v>179000</v>
      </c>
      <c r="P21" s="15" t="s">
        <v>41</v>
      </c>
    </row>
  </sheetData>
  <autoFilter ref="A1:P1" xr:uid="{00000000-0009-0000-0000-000014000000}"/>
  <conditionalFormatting sqref="J1">
    <cfRule type="duplicateValues" dxfId="42" priority="182"/>
    <cfRule type="duplicateValues" dxfId="41" priority="179"/>
    <cfRule type="duplicateValues" dxfId="40" priority="180"/>
    <cfRule type="duplicateValues" dxfId="39" priority="181"/>
    <cfRule type="duplicateValues" dxfId="38" priority="183"/>
    <cfRule type="duplicateValues" dxfId="37" priority="184"/>
    <cfRule type="duplicateValues" dxfId="36" priority="185"/>
    <cfRule type="duplicateValues" dxfId="35" priority="186"/>
  </conditionalFormatting>
  <conditionalFormatting sqref="J1:J6">
    <cfRule type="duplicateValues" dxfId="34" priority="1472"/>
    <cfRule type="duplicateValues" dxfId="33" priority="1469"/>
    <cfRule type="duplicateValues" dxfId="32" priority="1473"/>
    <cfRule type="duplicateValues" dxfId="31" priority="1470"/>
    <cfRule type="duplicateValues" dxfId="30" priority="1471"/>
  </conditionalFormatting>
  <conditionalFormatting sqref="J1:J21">
    <cfRule type="duplicateValues" dxfId="29" priority="3283"/>
    <cfRule type="duplicateValues" dxfId="28" priority="3284"/>
    <cfRule type="duplicateValues" dxfId="27" priority="3285"/>
    <cfRule type="duplicateValues" dxfId="26" priority="3261"/>
    <cfRule type="duplicateValues" dxfId="25" priority="3262"/>
    <cfRule type="duplicateValues" dxfId="24" priority="3263"/>
    <cfRule type="duplicateValues" dxfId="23" priority="3264"/>
    <cfRule type="duplicateValues" dxfId="22" priority="3265"/>
    <cfRule type="duplicateValues" dxfId="21" priority="3266"/>
    <cfRule type="duplicateValues" dxfId="20" priority="3267"/>
    <cfRule type="duplicateValues" dxfId="19" priority="3268"/>
    <cfRule type="duplicateValues" dxfId="18" priority="3269"/>
    <cfRule type="duplicateValues" dxfId="17" priority="3270"/>
    <cfRule type="duplicateValues" dxfId="16" priority="3271"/>
    <cfRule type="duplicateValues" dxfId="15" priority="3272"/>
    <cfRule type="duplicateValues" dxfId="14" priority="3273"/>
    <cfRule type="duplicateValues" dxfId="13" priority="3274"/>
    <cfRule type="duplicateValues" dxfId="12" priority="3275"/>
    <cfRule type="duplicateValues" dxfId="11" priority="3276"/>
    <cfRule type="duplicateValues" dxfId="10" priority="3277"/>
    <cfRule type="duplicateValues" dxfId="9" priority="3278"/>
    <cfRule type="duplicateValues" dxfId="8" priority="3279"/>
    <cfRule type="duplicateValues" dxfId="7" priority="3280"/>
    <cfRule type="duplicateValues" dxfId="6" priority="3281"/>
    <cfRule type="duplicateValues" dxfId="5" priority="3282"/>
  </conditionalFormatting>
  <conditionalFormatting sqref="J1:J1048576">
    <cfRule type="duplicateValues" dxfId="4" priority="2"/>
    <cfRule type="duplicateValues" dxfId="3" priority="1"/>
    <cfRule type="duplicateValues" dxfId="2" priority="2332"/>
  </conditionalFormatting>
  <conditionalFormatting sqref="J7:J21">
    <cfRule type="duplicateValues" dxfId="1" priority="3311"/>
    <cfRule type="duplicateValues" dxfId="0" priority="3312"/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CAAF997076F4EB745462FB1BB4C65" ma:contentTypeVersion="10" ma:contentTypeDescription="Create a new document." ma:contentTypeScope="" ma:versionID="20846aa654c3ea093e858ff5464ab756">
  <xsd:schema xmlns:xsd="http://www.w3.org/2001/XMLSchema" xmlns:xs="http://www.w3.org/2001/XMLSchema" xmlns:p="http://schemas.microsoft.com/office/2006/metadata/properties" xmlns:ns2="6bd24829-da3c-4ccc-b06c-f81aa4f30647" xmlns:ns3="f922b00e-b815-41ff-aa1d-cb1effd39bf4" targetNamespace="http://schemas.microsoft.com/office/2006/metadata/properties" ma:root="true" ma:fieldsID="f2cb4d054dcc0f5730dbf02104389d5f" ns2:_="" ns3:_="">
    <xsd:import namespace="6bd24829-da3c-4ccc-b06c-f81aa4f30647"/>
    <xsd:import namespace="f922b00e-b815-41ff-aa1d-cb1effd39b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24829-da3c-4ccc-b06c-f81aa4f30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2b00e-b815-41ff-aa1d-cb1effd39b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465006-96d4-4061-abb1-8289c08474bf}" ma:internalName="TaxCatchAll" ma:showField="CatchAllData" ma:web="f922b00e-b815-41ff-aa1d-cb1effd39b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d24829-da3c-4ccc-b06c-f81aa4f30647">
      <Terms xmlns="http://schemas.microsoft.com/office/infopath/2007/PartnerControls"/>
    </lcf76f155ced4ddcb4097134ff3c332f>
    <TaxCatchAll xmlns="f922b00e-b815-41ff-aa1d-cb1effd39bf4" xsi:nil="true"/>
  </documentManagement>
</p:properties>
</file>

<file path=customXml/itemProps1.xml><?xml version="1.0" encoding="utf-8"?>
<ds:datastoreItem xmlns:ds="http://schemas.openxmlformats.org/officeDocument/2006/customXml" ds:itemID="{3A443B18-05C5-4886-B30E-64399D89A6E8}"/>
</file>

<file path=customXml/itemProps2.xml><?xml version="1.0" encoding="utf-8"?>
<ds:datastoreItem xmlns:ds="http://schemas.openxmlformats.org/officeDocument/2006/customXml" ds:itemID="{5AA8250D-BDC4-4788-9938-88DBD73747A4}"/>
</file>

<file path=customXml/itemProps3.xml><?xml version="1.0" encoding="utf-8"?>
<ds:datastoreItem xmlns:ds="http://schemas.openxmlformats.org/officeDocument/2006/customXml" ds:itemID="{07D42BA9-D894-4B9C-A5B6-93E33F993E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25Q4 WWSHIRT SP 139K</vt:lpstr>
      <vt:lpstr>25Q4 WWPANT SP 179K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2026-03-16T10:09:17Z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84abd461221b437ea4891fb93bf1b776</vt:lpwstr>
  </property>
  <property fmtid="{D5CDD505-2E9C-101B-9397-08002B2CF9AE}" pid="3" name="ContentTypeId">
    <vt:lpwstr>0x010100401CAAF997076F4EB745462FB1BB4C65</vt:lpwstr>
  </property>
</Properties>
</file>