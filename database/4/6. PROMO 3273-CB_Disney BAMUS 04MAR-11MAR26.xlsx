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13_ncr:1_{44B4DCD8-65A1-4103-81E5-EEF1E2C1A7D0}" xr6:coauthVersionLast="47" xr6:coauthVersionMax="47" xr10:uidLastSave="{00000000-0000-0000-0000-000000000000}"/>
  <bookViews>
    <workbookView xWindow="-120" yWindow="-120" windowWidth="20730" windowHeight="11160" xr2:uid="{6815622E-074B-44D6-9107-6E380BC13882}"/>
  </bookViews>
  <sheets>
    <sheet name="2026 BAMUS B2 D20 B3 D3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1" l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3" i="1"/>
  <c r="G28" i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27" i="1"/>
  <c r="M23" i="1"/>
  <c r="M24" i="1" s="1"/>
  <c r="M25" i="1" s="1"/>
  <c r="M10" i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4" i="1"/>
  <c r="M5" i="1" s="1"/>
  <c r="M6" i="1" s="1"/>
  <c r="M7" i="1" s="1"/>
  <c r="M8" i="1" s="1"/>
  <c r="M9" i="1" s="1"/>
  <c r="M3" i="1"/>
  <c r="K13" i="1"/>
  <c r="K14" i="1" s="1"/>
  <c r="K15" i="1" s="1"/>
  <c r="K16" i="1" s="1"/>
  <c r="K17" i="1" s="1"/>
  <c r="K12" i="1"/>
  <c r="K20" i="1"/>
  <c r="K21" i="1" s="1"/>
  <c r="K22" i="1" s="1"/>
  <c r="K23" i="1" s="1"/>
  <c r="K24" i="1" s="1"/>
  <c r="K25" i="1" s="1"/>
  <c r="K28" i="1"/>
  <c r="K29" i="1" s="1"/>
  <c r="K30" i="1" s="1"/>
  <c r="K27" i="1"/>
  <c r="K33" i="1"/>
  <c r="K34" i="1" s="1"/>
  <c r="K35" i="1" s="1"/>
  <c r="K32" i="1"/>
  <c r="K38" i="1"/>
  <c r="K39" i="1" s="1"/>
  <c r="K40" i="1" s="1"/>
  <c r="K37" i="1"/>
  <c r="K19" i="1" l="1"/>
  <c r="K11" i="1"/>
  <c r="K5" i="1"/>
  <c r="K6" i="1"/>
  <c r="K7" i="1"/>
  <c r="K8" i="1" s="1"/>
  <c r="K9" i="1" s="1"/>
  <c r="K4" i="1"/>
  <c r="K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CC3AC84-AC49-47E9-97D0-0F86FBF789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67677EE-F01C-4D70-B69F-C9DC52F2D1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A59836C-4664-456F-A954-FF1614922F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FE4A2D1-44EA-4168-992A-55C123CBFF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40C98F3-E4A8-474D-91D6-6430969840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8862CA9-4D57-4C08-AA03-284433C782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E29DF1B-3484-4CF1-94DD-A52493DD95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3BDC088-AC5F-4F74-959C-FEF5CCBDBF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7A92E83-441D-4DF9-98C4-C418859310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CFB286D-5031-490D-AFBE-E583F805E3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4D22A6B-0AF0-42C2-B7A2-AA40933AC8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F7CDE33-3178-47DE-8252-A24419C3B0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1C74A44-E7BD-4C45-B2E1-84C90CFD6A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3B0A75B-EE6C-4A7B-95E0-377AB47A45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<sst xmlns="http://schemas.openxmlformats.org/spreadsheetml/2006/main" count="218" uniqueCount="44">
  <si>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</si>
  <si>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</si>
  <si>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</si>
  <si>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</si>
  <si>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</si>
  <si>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</si>
  <si>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</si>
  <si>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</si>
  <si>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</si>
  <si>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</si>
  <si>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</si>
  <si>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</si>
  <si>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</si>
  <si>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</si>
  <si>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</si>
  <si>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</si>
  <si>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2026 BAMUS B2 D20 B3 D30</t>
  </si>
  <si>
    <t xml:space="preserve">DISNEY </t>
  </si>
  <si>
    <t>SS KOKO MOTIF CAPT FKMB-19:PASTEL GREEN:4:GRAPHIC:SS KOKO</t>
  </si>
  <si>
    <t>FKMB-19</t>
  </si>
  <si>
    <t xml:space="preserve">BXGY </t>
  </si>
  <si>
    <t>B2 DISC 20% &amp; B3 DISC 30%</t>
  </si>
  <si>
    <t>BXGY</t>
  </si>
  <si>
    <t>FKMB-20</t>
  </si>
  <si>
    <t>SS KOKO MOTIF IRONMAN FKMB-20:KHAKI:4:GRAPHIC:SS KOKO</t>
  </si>
  <si>
    <t>SS KOKO MOTIF IRONMAN FKMB-20:KHAKI:5:GRAPHIC:SS KOKO</t>
  </si>
  <si>
    <t>SS KOKO MOTIF IRONMAN FKMB-20:KHAKI:6:GRAPHIC:SS KOKO</t>
  </si>
  <si>
    <t>SS KOKO MOTIF IRONMAN FKMB-20:KHAKI:7-8:GRAPHIC:SS KOKO</t>
  </si>
  <si>
    <t>SS KOKO MOTIF IRONMAN FKMB-20:KHAKI:9-10:GRAPHIC:SS KOKO</t>
  </si>
  <si>
    <t>SS KOKO MOTIF IRONMAN FKMB-20:KHAKI:11-12:GRAPHIC:SS KOKO</t>
  </si>
  <si>
    <t>SS KOKO MOTIF IRONMAN FKMB-20:KHAKI:13-14:GRAPHIC:SS KOKO</t>
  </si>
  <si>
    <t>SS KOKO MOTIF IRONMAN FKMB-20:KHAKI:15-16:GRAPHIC:SS KOKO</t>
  </si>
  <si>
    <t>FKSMB-3</t>
  </si>
  <si>
    <t>SS KOKO MOTIF SPIDERMAN FKSMB-3:WHITE:4:GRAPHIC:SS KOKO</t>
  </si>
  <si>
    <t>HN004</t>
  </si>
  <si>
    <t>SS T-SHIRT MICKEY RAYA FOODS HN004:WHITE:4:GRAPHIC:SS T-SHIRT</t>
  </si>
  <si>
    <t>HN005</t>
  </si>
  <si>
    <t>SS T-SHIRT MICKEY RAYA FRIENDS HN005:PASTEL YELLOW:4:GRAPHIC:SS T-SHIRT</t>
  </si>
  <si>
    <t>SS T-SHIRT MICKEY RAYA FRIENDS HN005:PASTEL YELLOW:5:GRAPHIC:SS T-SHIRT</t>
  </si>
  <si>
    <t>SS T-SHIRT MICKEY RAYA FRIENDS HN005:PASTEL YELLOW:6:GRAPHIC:SS T-SHIRT</t>
  </si>
  <si>
    <t>SS T-SHIRT MICKEY RAYA FRIENDS HN005:PASTEL YELLOW:7-8:GRAPHIC:SS T-SHIRT</t>
  </si>
  <si>
    <t>SS T-SHIRT MICKEY RAYA FRIENDS HN005:PASTEL YELLOW:9-10:GRAPHIC:SS T-SHIRT</t>
  </si>
  <si>
    <t>HN006</t>
  </si>
  <si>
    <t>SS T-SHIRT MICKEY RAYA RANTANG HN006:PASTEL GREY:4:GRAPHIC:SS 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</si>
</sst>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2" fillId="2" borderId="0" xfId="0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3" fontId="2" fillId="2" borderId="0" xfId="0" applyNumberFormat="1" applyFont="1" applyFill="1" applyBorder="1" applyAlignment="1">
      <alignment horizontal="center" vertical="center"/>
    </xf>
    <xf numFmtId="3" fontId="2" fillId="2" borderId="0" xfId="1" applyNumberFormat="1" applyFont="1" applyFill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0" fontId="0" fillId="0" borderId="0" xfId="0" quotePrefix="1" applyBorder="1" applyAlignment="1">
      <alignment horizontal="center"/>
    </xf>
    <xf numFmtId="3" fontId="0" fillId="0" borderId="0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A8605-AF73-425C-BE73-7B1E44A4FB93}">
  <dimension ref="A1:P40"/>
  <sheetViews>
    <sheetView tabSelected="1" topLeftCell="A11" workbookViewId="0">
      <selection activeCell="D3" sqref="D3:D40"/>
    </sheetView>
  </sheetViews>
  <sheetFormatPr defaultRowHeight="15" x14ac:dyDescent="0.25"/>
  <cols>
    <col min="1" max="1" width="24.5703125" bestFit="1" customWidth="1"/>
    <col min="2" max="2" width="11.42578125" bestFit="1" customWidth="1"/>
    <col min="3" max="3" width="10.42578125" bestFit="1" customWidth="1"/>
    <col min="12" max="12" width="74.28515625" bestFit="1" customWidth="1"/>
    <col min="13" max="13" width="15.85546875" bestFit="1" customWidth="1"/>
    <col min="15" max="15" width="24.7109375" bestFit="1" customWidth="1"/>
    <col min="16" max="16" width="15.7109375" bestFit="1" customWidth="1"/>
  </cols>
  <sheetData>
    <row r="1" spans="1:16" s="1" customFormat="1" ht="30.75" customHeight="1" x14ac:dyDescent="0.25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8" t="s">
        <v>11</v>
      </c>
      <c r="M1" s="9" t="s">
        <v>12</v>
      </c>
      <c r="N1" s="10" t="s">
        <v>13</v>
      </c>
      <c r="O1" s="9" t="s">
        <v>14</v>
      </c>
      <c r="P1" s="5" t="s">
        <v>15</v>
      </c>
    </row>
    <row r="2" spans="1:16" x14ac:dyDescent="0.25">
      <c r="A2" s="4" t="s">
        <v>16</v>
      </c>
      <c r="B2" s="11">
        <v>46085</v>
      </c>
      <c r="C2" s="11">
        <v>46092</v>
      </c>
      <c r="D2" s="12">
        <v>3273</v>
      </c>
      <c r="E2" s="12">
        <v>336</v>
      </c>
      <c r="F2" s="12">
        <v>4</v>
      </c>
      <c r="G2" s="12">
        <v>7</v>
      </c>
      <c r="H2" s="3">
        <v>81574</v>
      </c>
      <c r="I2" s="4" t="s">
        <v>17</v>
      </c>
      <c r="J2" s="3">
        <v>68219327</v>
      </c>
      <c r="K2" s="4" t="s">
        <v>19</v>
      </c>
      <c r="L2" s="4" t="s">
        <v>18</v>
      </c>
      <c r="M2" s="13">
        <v>179900</v>
      </c>
      <c r="N2" s="2" t="s">
        <v>20</v>
      </c>
      <c r="O2" s="2" t="s">
        <v>21</v>
      </c>
      <c r="P2" s="2" t="s">
        <v>22</v>
      </c>
    </row>
    <row r="3" spans="1:16" x14ac:dyDescent="0.25">
      <c r="A3" s="4" t="str">
        <f>A2</f>
        <v>2026 BAMUS B2 D20 B3 D30</v>
      </c>
      <c r="B3" s="11">
        <v>46085</v>
      </c>
      <c r="C3" s="11">
        <v>46092</v>
      </c>
      <c r="D3" s="12">
        <f>D2</f>
        <v>3273</v>
      </c>
      <c r="E3" s="12">
        <v>336</v>
      </c>
      <c r="F3" s="12">
        <v>4</v>
      </c>
      <c r="G3" s="12">
        <v>7</v>
      </c>
      <c r="H3" s="3">
        <v>81574</v>
      </c>
      <c r="I3" s="4" t="s">
        <v>17</v>
      </c>
      <c r="J3" s="3">
        <v>68219336</v>
      </c>
      <c r="K3" s="4" t="str">
        <f>K2</f>
        <v>FKMB-19</v>
      </c>
      <c r="L3" s="4" t="s">
        <v>18</v>
      </c>
      <c r="M3" s="13">
        <f>M2</f>
        <v>179900</v>
      </c>
      <c r="N3" s="2" t="s">
        <v>20</v>
      </c>
      <c r="O3" s="2" t="s">
        <v>21</v>
      </c>
      <c r="P3" s="2" t="s">
        <v>22</v>
      </c>
    </row>
    <row r="4" spans="1:16" x14ac:dyDescent="0.25">
      <c r="A4" s="4" t="str">
        <f t="shared" ref="A4:A40" si="0">A3</f>
        <v>2026 BAMUS B2 D20 B3 D30</v>
      </c>
      <c r="B4" s="11">
        <v>46085</v>
      </c>
      <c r="C4" s="11">
        <v>46092</v>
      </c>
      <c r="D4" s="12">
        <f t="shared" ref="D4:D40" si="1">D3</f>
        <v>3273</v>
      </c>
      <c r="E4" s="12">
        <v>336</v>
      </c>
      <c r="F4" s="12">
        <v>4</v>
      </c>
      <c r="G4" s="12">
        <v>7</v>
      </c>
      <c r="H4" s="3">
        <v>81574</v>
      </c>
      <c r="I4" s="4" t="s">
        <v>17</v>
      </c>
      <c r="J4" s="3">
        <v>68219345</v>
      </c>
      <c r="K4" s="4" t="str">
        <f>K3</f>
        <v>FKMB-19</v>
      </c>
      <c r="L4" s="4" t="s">
        <v>18</v>
      </c>
      <c r="M4" s="13">
        <f t="shared" ref="M4:M25" si="2">M3</f>
        <v>179900</v>
      </c>
      <c r="N4" s="2" t="s">
        <v>20</v>
      </c>
      <c r="O4" s="2" t="s">
        <v>21</v>
      </c>
      <c r="P4" s="2" t="s">
        <v>22</v>
      </c>
    </row>
    <row r="5" spans="1:16" x14ac:dyDescent="0.25">
      <c r="A5" s="4" t="str">
        <f t="shared" si="0"/>
        <v>2026 BAMUS B2 D20 B3 D30</v>
      </c>
      <c r="B5" s="11">
        <v>46085</v>
      </c>
      <c r="C5" s="11">
        <v>46092</v>
      </c>
      <c r="D5" s="12">
        <f t="shared" si="1"/>
        <v>3273</v>
      </c>
      <c r="E5" s="12">
        <v>336</v>
      </c>
      <c r="F5" s="12">
        <v>4</v>
      </c>
      <c r="G5" s="12">
        <v>7</v>
      </c>
      <c r="H5" s="3">
        <v>81574</v>
      </c>
      <c r="I5" s="4" t="s">
        <v>17</v>
      </c>
      <c r="J5" s="3">
        <v>68219354</v>
      </c>
      <c r="K5" s="4" t="str">
        <f t="shared" ref="K5:K9" si="3">K4</f>
        <v>FKMB-19</v>
      </c>
      <c r="L5" s="4" t="s">
        <v>18</v>
      </c>
      <c r="M5" s="13">
        <f t="shared" si="2"/>
        <v>179900</v>
      </c>
      <c r="N5" s="2" t="s">
        <v>20</v>
      </c>
      <c r="O5" s="2" t="s">
        <v>21</v>
      </c>
      <c r="P5" s="2" t="s">
        <v>22</v>
      </c>
    </row>
    <row r="6" spans="1:16" x14ac:dyDescent="0.25">
      <c r="A6" s="4" t="str">
        <f t="shared" si="0"/>
        <v>2026 BAMUS B2 D20 B3 D30</v>
      </c>
      <c r="B6" s="11">
        <v>46085</v>
      </c>
      <c r="C6" s="11">
        <v>46092</v>
      </c>
      <c r="D6" s="12">
        <f t="shared" si="1"/>
        <v>3273</v>
      </c>
      <c r="E6" s="12">
        <v>336</v>
      </c>
      <c r="F6" s="12">
        <v>4</v>
      </c>
      <c r="G6" s="12">
        <v>7</v>
      </c>
      <c r="H6" s="3">
        <v>81574</v>
      </c>
      <c r="I6" s="4" t="s">
        <v>17</v>
      </c>
      <c r="J6" s="3">
        <v>68219363</v>
      </c>
      <c r="K6" s="4" t="str">
        <f t="shared" si="3"/>
        <v>FKMB-19</v>
      </c>
      <c r="L6" s="4" t="s">
        <v>18</v>
      </c>
      <c r="M6" s="13">
        <f t="shared" si="2"/>
        <v>179900</v>
      </c>
      <c r="N6" s="2" t="s">
        <v>20</v>
      </c>
      <c r="O6" s="2" t="s">
        <v>21</v>
      </c>
      <c r="P6" s="2" t="s">
        <v>22</v>
      </c>
    </row>
    <row r="7" spans="1:16" x14ac:dyDescent="0.25">
      <c r="A7" s="4" t="str">
        <f t="shared" si="0"/>
        <v>2026 BAMUS B2 D20 B3 D30</v>
      </c>
      <c r="B7" s="11">
        <v>46085</v>
      </c>
      <c r="C7" s="11">
        <v>46092</v>
      </c>
      <c r="D7" s="12">
        <f t="shared" si="1"/>
        <v>3273</v>
      </c>
      <c r="E7" s="12">
        <v>336</v>
      </c>
      <c r="F7" s="12">
        <v>4</v>
      </c>
      <c r="G7" s="12">
        <v>7</v>
      </c>
      <c r="H7" s="3">
        <v>81574</v>
      </c>
      <c r="I7" s="4" t="s">
        <v>17</v>
      </c>
      <c r="J7" s="3">
        <v>68219372</v>
      </c>
      <c r="K7" s="4" t="str">
        <f t="shared" si="3"/>
        <v>FKMB-19</v>
      </c>
      <c r="L7" s="4" t="s">
        <v>18</v>
      </c>
      <c r="M7" s="13">
        <f t="shared" si="2"/>
        <v>179900</v>
      </c>
      <c r="N7" s="2" t="s">
        <v>20</v>
      </c>
      <c r="O7" s="2" t="s">
        <v>21</v>
      </c>
      <c r="P7" s="2" t="s">
        <v>22</v>
      </c>
    </row>
    <row r="8" spans="1:16" x14ac:dyDescent="0.25">
      <c r="A8" s="4" t="str">
        <f t="shared" si="0"/>
        <v>2026 BAMUS B2 D20 B3 D30</v>
      </c>
      <c r="B8" s="11">
        <v>46085</v>
      </c>
      <c r="C8" s="11">
        <v>46092</v>
      </c>
      <c r="D8" s="12">
        <f t="shared" si="1"/>
        <v>3273</v>
      </c>
      <c r="E8" s="12">
        <v>336</v>
      </c>
      <c r="F8" s="12">
        <v>4</v>
      </c>
      <c r="G8" s="12">
        <v>7</v>
      </c>
      <c r="H8" s="3">
        <v>81574</v>
      </c>
      <c r="I8" s="4" t="s">
        <v>17</v>
      </c>
      <c r="J8" s="3">
        <v>68219381</v>
      </c>
      <c r="K8" s="4" t="str">
        <f t="shared" si="3"/>
        <v>FKMB-19</v>
      </c>
      <c r="L8" s="4" t="s">
        <v>18</v>
      </c>
      <c r="M8" s="13">
        <f t="shared" si="2"/>
        <v>179900</v>
      </c>
      <c r="N8" s="2" t="s">
        <v>20</v>
      </c>
      <c r="O8" s="2" t="s">
        <v>21</v>
      </c>
      <c r="P8" s="2" t="s">
        <v>22</v>
      </c>
    </row>
    <row r="9" spans="1:16" x14ac:dyDescent="0.25">
      <c r="A9" s="4" t="str">
        <f t="shared" si="0"/>
        <v>2026 BAMUS B2 D20 B3 D30</v>
      </c>
      <c r="B9" s="11">
        <v>46085</v>
      </c>
      <c r="C9" s="11">
        <v>46092</v>
      </c>
      <c r="D9" s="12">
        <f t="shared" si="1"/>
        <v>3273</v>
      </c>
      <c r="E9" s="12">
        <v>336</v>
      </c>
      <c r="F9" s="12">
        <v>4</v>
      </c>
      <c r="G9" s="12">
        <v>7</v>
      </c>
      <c r="H9" s="3">
        <v>81574</v>
      </c>
      <c r="I9" s="4" t="s">
        <v>17</v>
      </c>
      <c r="J9" s="3">
        <v>68219390</v>
      </c>
      <c r="K9" s="4" t="str">
        <f t="shared" si="3"/>
        <v>FKMB-19</v>
      </c>
      <c r="L9" s="4" t="s">
        <v>18</v>
      </c>
      <c r="M9" s="13">
        <f t="shared" si="2"/>
        <v>179900</v>
      </c>
      <c r="N9" s="2" t="s">
        <v>20</v>
      </c>
      <c r="O9" s="2" t="s">
        <v>21</v>
      </c>
      <c r="P9" s="2" t="s">
        <v>22</v>
      </c>
    </row>
    <row r="10" spans="1:16" x14ac:dyDescent="0.25">
      <c r="A10" s="4" t="str">
        <f t="shared" si="0"/>
        <v>2026 BAMUS B2 D20 B3 D30</v>
      </c>
      <c r="B10" s="11">
        <v>46085</v>
      </c>
      <c r="C10" s="11">
        <v>46092</v>
      </c>
      <c r="D10" s="12">
        <f t="shared" si="1"/>
        <v>3273</v>
      </c>
      <c r="E10" s="12">
        <v>336</v>
      </c>
      <c r="F10" s="12">
        <v>4</v>
      </c>
      <c r="G10" s="12">
        <v>7</v>
      </c>
      <c r="H10" s="3">
        <v>81574</v>
      </c>
      <c r="I10" s="4" t="s">
        <v>17</v>
      </c>
      <c r="J10" s="3">
        <v>68219407</v>
      </c>
      <c r="K10" s="4" t="s">
        <v>23</v>
      </c>
      <c r="L10" s="4" t="s">
        <v>24</v>
      </c>
      <c r="M10" s="13">
        <f t="shared" si="2"/>
        <v>179900</v>
      </c>
      <c r="N10" s="2" t="s">
        <v>20</v>
      </c>
      <c r="O10" s="2" t="s">
        <v>21</v>
      </c>
      <c r="P10" s="2" t="s">
        <v>22</v>
      </c>
    </row>
    <row r="11" spans="1:16" x14ac:dyDescent="0.25">
      <c r="A11" s="4" t="str">
        <f t="shared" si="0"/>
        <v>2026 BAMUS B2 D20 B3 D30</v>
      </c>
      <c r="B11" s="11">
        <v>46085</v>
      </c>
      <c r="C11" s="11">
        <v>46092</v>
      </c>
      <c r="D11" s="12">
        <f t="shared" si="1"/>
        <v>3273</v>
      </c>
      <c r="E11" s="12">
        <v>336</v>
      </c>
      <c r="F11" s="12">
        <v>4</v>
      </c>
      <c r="G11" s="12">
        <v>7</v>
      </c>
      <c r="H11" s="3">
        <v>81574</v>
      </c>
      <c r="I11" s="4" t="s">
        <v>17</v>
      </c>
      <c r="J11" s="3">
        <v>68219416</v>
      </c>
      <c r="K11" s="4" t="str">
        <f>K10</f>
        <v>FKMB-20</v>
      </c>
      <c r="L11" s="4" t="s">
        <v>25</v>
      </c>
      <c r="M11" s="13">
        <f t="shared" si="2"/>
        <v>179900</v>
      </c>
      <c r="N11" s="2" t="s">
        <v>20</v>
      </c>
      <c r="O11" s="2" t="s">
        <v>21</v>
      </c>
      <c r="P11" s="2" t="s">
        <v>22</v>
      </c>
    </row>
    <row r="12" spans="1:16" x14ac:dyDescent="0.25">
      <c r="A12" s="4" t="str">
        <f t="shared" si="0"/>
        <v>2026 BAMUS B2 D20 B3 D30</v>
      </c>
      <c r="B12" s="11">
        <v>46085</v>
      </c>
      <c r="C12" s="11">
        <v>46092</v>
      </c>
      <c r="D12" s="12">
        <f t="shared" si="1"/>
        <v>3273</v>
      </c>
      <c r="E12" s="12">
        <v>336</v>
      </c>
      <c r="F12" s="12">
        <v>4</v>
      </c>
      <c r="G12" s="12">
        <v>7</v>
      </c>
      <c r="H12" s="3">
        <v>81574</v>
      </c>
      <c r="I12" s="4" t="s">
        <v>17</v>
      </c>
      <c r="J12" s="14">
        <v>68219425</v>
      </c>
      <c r="K12" s="4" t="str">
        <f>K11</f>
        <v>FKMB-20</v>
      </c>
      <c r="L12" s="4" t="s">
        <v>26</v>
      </c>
      <c r="M12" s="13">
        <f t="shared" si="2"/>
        <v>179900</v>
      </c>
      <c r="N12" s="2" t="s">
        <v>20</v>
      </c>
      <c r="O12" s="2" t="s">
        <v>21</v>
      </c>
      <c r="P12" s="2" t="s">
        <v>22</v>
      </c>
    </row>
    <row r="13" spans="1:16" x14ac:dyDescent="0.25">
      <c r="A13" s="4" t="str">
        <f t="shared" si="0"/>
        <v>2026 BAMUS B2 D20 B3 D30</v>
      </c>
      <c r="B13" s="11">
        <v>46085</v>
      </c>
      <c r="C13" s="11">
        <v>46092</v>
      </c>
      <c r="D13" s="12">
        <f t="shared" si="1"/>
        <v>3273</v>
      </c>
      <c r="E13" s="12">
        <v>336</v>
      </c>
      <c r="F13" s="12">
        <v>4</v>
      </c>
      <c r="G13" s="12">
        <v>7</v>
      </c>
      <c r="H13" s="3">
        <v>81574</v>
      </c>
      <c r="I13" s="4" t="s">
        <v>17</v>
      </c>
      <c r="J13" s="14">
        <v>68219434</v>
      </c>
      <c r="K13" s="4" t="str">
        <f t="shared" ref="K13:K17" si="4">K12</f>
        <v>FKMB-20</v>
      </c>
      <c r="L13" s="4" t="s">
        <v>27</v>
      </c>
      <c r="M13" s="13">
        <f t="shared" si="2"/>
        <v>179900</v>
      </c>
      <c r="N13" s="2" t="s">
        <v>20</v>
      </c>
      <c r="O13" s="2" t="s">
        <v>21</v>
      </c>
      <c r="P13" s="2" t="s">
        <v>22</v>
      </c>
    </row>
    <row r="14" spans="1:16" x14ac:dyDescent="0.25">
      <c r="A14" s="4" t="str">
        <f t="shared" si="0"/>
        <v>2026 BAMUS B2 D20 B3 D30</v>
      </c>
      <c r="B14" s="11">
        <v>46085</v>
      </c>
      <c r="C14" s="11">
        <v>46092</v>
      </c>
      <c r="D14" s="12">
        <f t="shared" si="1"/>
        <v>3273</v>
      </c>
      <c r="E14" s="12">
        <v>336</v>
      </c>
      <c r="F14" s="12">
        <v>4</v>
      </c>
      <c r="G14" s="12">
        <v>7</v>
      </c>
      <c r="H14" s="3">
        <v>81574</v>
      </c>
      <c r="I14" s="4" t="s">
        <v>17</v>
      </c>
      <c r="J14" s="3">
        <v>68219443</v>
      </c>
      <c r="K14" s="4" t="str">
        <f t="shared" si="4"/>
        <v>FKMB-20</v>
      </c>
      <c r="L14" s="4" t="s">
        <v>28</v>
      </c>
      <c r="M14" s="13">
        <f t="shared" si="2"/>
        <v>179900</v>
      </c>
      <c r="N14" s="2" t="s">
        <v>20</v>
      </c>
      <c r="O14" s="2" t="s">
        <v>21</v>
      </c>
      <c r="P14" s="2" t="s">
        <v>22</v>
      </c>
    </row>
    <row r="15" spans="1:16" x14ac:dyDescent="0.25">
      <c r="A15" s="4" t="str">
        <f t="shared" si="0"/>
        <v>2026 BAMUS B2 D20 B3 D30</v>
      </c>
      <c r="B15" s="11">
        <v>46085</v>
      </c>
      <c r="C15" s="11">
        <v>46092</v>
      </c>
      <c r="D15" s="12">
        <f t="shared" si="1"/>
        <v>3273</v>
      </c>
      <c r="E15" s="12">
        <v>336</v>
      </c>
      <c r="F15" s="12">
        <v>4</v>
      </c>
      <c r="G15" s="12">
        <v>7</v>
      </c>
      <c r="H15" s="3">
        <v>81574</v>
      </c>
      <c r="I15" s="4" t="s">
        <v>17</v>
      </c>
      <c r="J15" s="3">
        <v>68219452</v>
      </c>
      <c r="K15" s="4" t="str">
        <f t="shared" si="4"/>
        <v>FKMB-20</v>
      </c>
      <c r="L15" s="4" t="s">
        <v>29</v>
      </c>
      <c r="M15" s="13">
        <f t="shared" si="2"/>
        <v>179900</v>
      </c>
      <c r="N15" s="2" t="s">
        <v>20</v>
      </c>
      <c r="O15" s="2" t="s">
        <v>21</v>
      </c>
      <c r="P15" s="2" t="s">
        <v>22</v>
      </c>
    </row>
    <row r="16" spans="1:16" x14ac:dyDescent="0.25">
      <c r="A16" s="4" t="str">
        <f t="shared" si="0"/>
        <v>2026 BAMUS B2 D20 B3 D30</v>
      </c>
      <c r="B16" s="11">
        <v>46085</v>
      </c>
      <c r="C16" s="11">
        <v>46092</v>
      </c>
      <c r="D16" s="12">
        <f t="shared" si="1"/>
        <v>3273</v>
      </c>
      <c r="E16" s="12">
        <v>336</v>
      </c>
      <c r="F16" s="12">
        <v>4</v>
      </c>
      <c r="G16" s="12">
        <v>7</v>
      </c>
      <c r="H16" s="3">
        <v>81574</v>
      </c>
      <c r="I16" s="4" t="s">
        <v>17</v>
      </c>
      <c r="J16" s="14">
        <v>68219461</v>
      </c>
      <c r="K16" s="4" t="str">
        <f t="shared" si="4"/>
        <v>FKMB-20</v>
      </c>
      <c r="L16" s="4" t="s">
        <v>30</v>
      </c>
      <c r="M16" s="13">
        <f t="shared" si="2"/>
        <v>179900</v>
      </c>
      <c r="N16" s="2" t="s">
        <v>20</v>
      </c>
      <c r="O16" s="2" t="s">
        <v>21</v>
      </c>
      <c r="P16" s="2" t="s">
        <v>22</v>
      </c>
    </row>
    <row r="17" spans="1:16" x14ac:dyDescent="0.25">
      <c r="A17" s="4" t="str">
        <f t="shared" si="0"/>
        <v>2026 BAMUS B2 D20 B3 D30</v>
      </c>
      <c r="B17" s="11">
        <v>46085</v>
      </c>
      <c r="C17" s="11">
        <v>46092</v>
      </c>
      <c r="D17" s="12">
        <f t="shared" si="1"/>
        <v>3273</v>
      </c>
      <c r="E17" s="12">
        <v>336</v>
      </c>
      <c r="F17" s="12">
        <v>4</v>
      </c>
      <c r="G17" s="12">
        <v>7</v>
      </c>
      <c r="H17" s="3">
        <v>81574</v>
      </c>
      <c r="I17" s="4" t="s">
        <v>17</v>
      </c>
      <c r="J17" s="14">
        <v>68219470</v>
      </c>
      <c r="K17" s="4" t="str">
        <f t="shared" si="4"/>
        <v>FKMB-20</v>
      </c>
      <c r="L17" s="4" t="s">
        <v>31</v>
      </c>
      <c r="M17" s="13">
        <f t="shared" si="2"/>
        <v>179900</v>
      </c>
      <c r="N17" s="2" t="s">
        <v>20</v>
      </c>
      <c r="O17" s="2" t="s">
        <v>21</v>
      </c>
      <c r="P17" s="2" t="s">
        <v>22</v>
      </c>
    </row>
    <row r="18" spans="1:16" x14ac:dyDescent="0.25">
      <c r="A18" s="4" t="str">
        <f t="shared" si="0"/>
        <v>2026 BAMUS B2 D20 B3 D30</v>
      </c>
      <c r="B18" s="11">
        <v>46085</v>
      </c>
      <c r="C18" s="11">
        <v>46092</v>
      </c>
      <c r="D18" s="12">
        <f t="shared" si="1"/>
        <v>3273</v>
      </c>
      <c r="E18" s="12">
        <v>336</v>
      </c>
      <c r="F18" s="12">
        <v>4</v>
      </c>
      <c r="G18" s="12">
        <v>7</v>
      </c>
      <c r="H18" s="3">
        <v>81574</v>
      </c>
      <c r="I18" s="4" t="s">
        <v>17</v>
      </c>
      <c r="J18" s="3">
        <v>68220002</v>
      </c>
      <c r="K18" s="4" t="s">
        <v>32</v>
      </c>
      <c r="L18" s="4" t="s">
        <v>33</v>
      </c>
      <c r="M18" s="13">
        <f t="shared" si="2"/>
        <v>179900</v>
      </c>
      <c r="N18" s="2" t="s">
        <v>20</v>
      </c>
      <c r="O18" s="2" t="s">
        <v>21</v>
      </c>
      <c r="P18" s="2" t="s">
        <v>22</v>
      </c>
    </row>
    <row r="19" spans="1:16" x14ac:dyDescent="0.25">
      <c r="A19" s="4" t="str">
        <f t="shared" si="0"/>
        <v>2026 BAMUS B2 D20 B3 D30</v>
      </c>
      <c r="B19" s="11">
        <v>46085</v>
      </c>
      <c r="C19" s="11">
        <v>46092</v>
      </c>
      <c r="D19" s="12">
        <f t="shared" si="1"/>
        <v>3273</v>
      </c>
      <c r="E19" s="12">
        <v>336</v>
      </c>
      <c r="F19" s="12">
        <v>4</v>
      </c>
      <c r="G19" s="12">
        <v>7</v>
      </c>
      <c r="H19" s="3">
        <v>81574</v>
      </c>
      <c r="I19" s="4" t="s">
        <v>17</v>
      </c>
      <c r="J19" s="3">
        <v>68220011</v>
      </c>
      <c r="K19" s="4" t="str">
        <f>K18</f>
        <v>FKSMB-3</v>
      </c>
      <c r="L19" s="4" t="s">
        <v>33</v>
      </c>
      <c r="M19" s="13">
        <f t="shared" si="2"/>
        <v>179900</v>
      </c>
      <c r="N19" s="2" t="s">
        <v>20</v>
      </c>
      <c r="O19" s="2" t="s">
        <v>21</v>
      </c>
      <c r="P19" s="2" t="s">
        <v>22</v>
      </c>
    </row>
    <row r="20" spans="1:16" x14ac:dyDescent="0.25">
      <c r="A20" s="4" t="str">
        <f t="shared" si="0"/>
        <v>2026 BAMUS B2 D20 B3 D30</v>
      </c>
      <c r="B20" s="11">
        <v>46085</v>
      </c>
      <c r="C20" s="11">
        <v>46092</v>
      </c>
      <c r="D20" s="12">
        <f t="shared" si="1"/>
        <v>3273</v>
      </c>
      <c r="E20" s="12">
        <v>336</v>
      </c>
      <c r="F20" s="12">
        <v>4</v>
      </c>
      <c r="G20" s="12">
        <v>7</v>
      </c>
      <c r="H20" s="3">
        <v>81574</v>
      </c>
      <c r="I20" s="4" t="s">
        <v>17</v>
      </c>
      <c r="J20" s="14">
        <v>68220020</v>
      </c>
      <c r="K20" s="4" t="str">
        <f t="shared" ref="K20:K25" si="5">K19</f>
        <v>FKSMB-3</v>
      </c>
      <c r="L20" s="4" t="s">
        <v>33</v>
      </c>
      <c r="M20" s="13">
        <f t="shared" si="2"/>
        <v>179900</v>
      </c>
      <c r="N20" s="2" t="s">
        <v>20</v>
      </c>
      <c r="O20" s="2" t="s">
        <v>21</v>
      </c>
      <c r="P20" s="2" t="s">
        <v>22</v>
      </c>
    </row>
    <row r="21" spans="1:16" x14ac:dyDescent="0.25">
      <c r="A21" s="4" t="str">
        <f t="shared" si="0"/>
        <v>2026 BAMUS B2 D20 B3 D30</v>
      </c>
      <c r="B21" s="11">
        <v>46085</v>
      </c>
      <c r="C21" s="11">
        <v>46092</v>
      </c>
      <c r="D21" s="12">
        <f t="shared" si="1"/>
        <v>3273</v>
      </c>
      <c r="E21" s="12">
        <v>336</v>
      </c>
      <c r="F21" s="12">
        <v>4</v>
      </c>
      <c r="G21" s="12">
        <v>7</v>
      </c>
      <c r="H21" s="3">
        <v>81574</v>
      </c>
      <c r="I21" s="4" t="s">
        <v>17</v>
      </c>
      <c r="J21" s="14">
        <v>68220039</v>
      </c>
      <c r="K21" s="4" t="str">
        <f t="shared" si="5"/>
        <v>FKSMB-3</v>
      </c>
      <c r="L21" s="4" t="s">
        <v>33</v>
      </c>
      <c r="M21" s="13">
        <f t="shared" si="2"/>
        <v>179900</v>
      </c>
      <c r="N21" s="2" t="s">
        <v>20</v>
      </c>
      <c r="O21" s="2" t="s">
        <v>21</v>
      </c>
      <c r="P21" s="2" t="s">
        <v>22</v>
      </c>
    </row>
    <row r="22" spans="1:16" x14ac:dyDescent="0.25">
      <c r="A22" s="4" t="str">
        <f t="shared" si="0"/>
        <v>2026 BAMUS B2 D20 B3 D30</v>
      </c>
      <c r="B22" s="11">
        <v>46085</v>
      </c>
      <c r="C22" s="11">
        <v>46092</v>
      </c>
      <c r="D22" s="12">
        <f t="shared" si="1"/>
        <v>3273</v>
      </c>
      <c r="E22" s="12">
        <v>336</v>
      </c>
      <c r="F22" s="12">
        <v>4</v>
      </c>
      <c r="G22" s="12">
        <v>7</v>
      </c>
      <c r="H22" s="3">
        <v>81574</v>
      </c>
      <c r="I22" s="4" t="s">
        <v>17</v>
      </c>
      <c r="J22" s="3">
        <v>68220048</v>
      </c>
      <c r="K22" s="4" t="str">
        <f t="shared" si="5"/>
        <v>FKSMB-3</v>
      </c>
      <c r="L22" s="4" t="s">
        <v>33</v>
      </c>
      <c r="M22" s="13">
        <f t="shared" si="2"/>
        <v>179900</v>
      </c>
      <c r="N22" s="2" t="s">
        <v>20</v>
      </c>
      <c r="O22" s="2" t="s">
        <v>21</v>
      </c>
      <c r="P22" s="2" t="s">
        <v>22</v>
      </c>
    </row>
    <row r="23" spans="1:16" x14ac:dyDescent="0.25">
      <c r="A23" s="4" t="str">
        <f t="shared" si="0"/>
        <v>2026 BAMUS B2 D20 B3 D30</v>
      </c>
      <c r="B23" s="11">
        <v>46085</v>
      </c>
      <c r="C23" s="11">
        <v>46092</v>
      </c>
      <c r="D23" s="12">
        <f t="shared" si="1"/>
        <v>3273</v>
      </c>
      <c r="E23" s="12">
        <v>336</v>
      </c>
      <c r="F23" s="12">
        <v>4</v>
      </c>
      <c r="G23" s="12">
        <v>7</v>
      </c>
      <c r="H23" s="3">
        <v>81574</v>
      </c>
      <c r="I23" s="4" t="s">
        <v>17</v>
      </c>
      <c r="J23" s="3">
        <v>68220057</v>
      </c>
      <c r="K23" s="4" t="str">
        <f t="shared" si="5"/>
        <v>FKSMB-3</v>
      </c>
      <c r="L23" s="4" t="s">
        <v>33</v>
      </c>
      <c r="M23" s="13">
        <f t="shared" si="2"/>
        <v>179900</v>
      </c>
      <c r="N23" s="2" t="s">
        <v>20</v>
      </c>
      <c r="O23" s="2" t="s">
        <v>21</v>
      </c>
      <c r="P23" s="2" t="s">
        <v>22</v>
      </c>
    </row>
    <row r="24" spans="1:16" x14ac:dyDescent="0.25">
      <c r="A24" s="4" t="str">
        <f t="shared" si="0"/>
        <v>2026 BAMUS B2 D20 B3 D30</v>
      </c>
      <c r="B24" s="11">
        <v>46085</v>
      </c>
      <c r="C24" s="11">
        <v>46092</v>
      </c>
      <c r="D24" s="12">
        <f t="shared" si="1"/>
        <v>3273</v>
      </c>
      <c r="E24" s="12">
        <v>336</v>
      </c>
      <c r="F24" s="12">
        <v>4</v>
      </c>
      <c r="G24" s="12">
        <v>7</v>
      </c>
      <c r="H24" s="3">
        <v>81574</v>
      </c>
      <c r="I24" s="4" t="s">
        <v>17</v>
      </c>
      <c r="J24" s="14">
        <v>68220066</v>
      </c>
      <c r="K24" s="4" t="str">
        <f t="shared" si="5"/>
        <v>FKSMB-3</v>
      </c>
      <c r="L24" s="4" t="s">
        <v>33</v>
      </c>
      <c r="M24" s="13">
        <f t="shared" si="2"/>
        <v>179900</v>
      </c>
      <c r="N24" s="2" t="s">
        <v>20</v>
      </c>
      <c r="O24" s="2" t="s">
        <v>21</v>
      </c>
      <c r="P24" s="2" t="s">
        <v>22</v>
      </c>
    </row>
    <row r="25" spans="1:16" x14ac:dyDescent="0.25">
      <c r="A25" s="4" t="str">
        <f t="shared" si="0"/>
        <v>2026 BAMUS B2 D20 B3 D30</v>
      </c>
      <c r="B25" s="11">
        <v>46085</v>
      </c>
      <c r="C25" s="11">
        <v>46092</v>
      </c>
      <c r="D25" s="12">
        <f t="shared" si="1"/>
        <v>3273</v>
      </c>
      <c r="E25" s="12">
        <v>336</v>
      </c>
      <c r="F25" s="12">
        <v>4</v>
      </c>
      <c r="G25" s="12">
        <v>7</v>
      </c>
      <c r="H25" s="3">
        <v>81574</v>
      </c>
      <c r="I25" s="4" t="s">
        <v>17</v>
      </c>
      <c r="J25" s="14">
        <v>68220075</v>
      </c>
      <c r="K25" s="4" t="str">
        <f t="shared" si="5"/>
        <v>FKSMB-3</v>
      </c>
      <c r="L25" s="4" t="s">
        <v>33</v>
      </c>
      <c r="M25" s="13">
        <f t="shared" si="2"/>
        <v>179900</v>
      </c>
      <c r="N25" s="2" t="s">
        <v>20</v>
      </c>
      <c r="O25" s="2" t="s">
        <v>21</v>
      </c>
      <c r="P25" s="2" t="s">
        <v>22</v>
      </c>
    </row>
    <row r="26" spans="1:16" x14ac:dyDescent="0.25">
      <c r="A26" s="4" t="str">
        <f t="shared" si="0"/>
        <v>2026 BAMUS B2 D20 B3 D30</v>
      </c>
      <c r="B26" s="11">
        <v>46085</v>
      </c>
      <c r="C26" s="11">
        <v>46092</v>
      </c>
      <c r="D26" s="12">
        <f t="shared" si="1"/>
        <v>3273</v>
      </c>
      <c r="E26" s="12">
        <v>336</v>
      </c>
      <c r="F26" s="12">
        <v>4</v>
      </c>
      <c r="G26" s="12">
        <v>1</v>
      </c>
      <c r="H26" s="3">
        <v>81588</v>
      </c>
      <c r="I26" s="4" t="s">
        <v>17</v>
      </c>
      <c r="J26" s="3">
        <v>68561340</v>
      </c>
      <c r="K26" s="4" t="s">
        <v>34</v>
      </c>
      <c r="L26" s="4" t="s">
        <v>35</v>
      </c>
      <c r="M26" s="15">
        <v>99900</v>
      </c>
      <c r="N26" s="2" t="s">
        <v>20</v>
      </c>
      <c r="O26" s="2" t="s">
        <v>21</v>
      </c>
      <c r="P26" s="2" t="s">
        <v>22</v>
      </c>
    </row>
    <row r="27" spans="1:16" x14ac:dyDescent="0.25">
      <c r="A27" s="4" t="str">
        <f t="shared" si="0"/>
        <v>2026 BAMUS B2 D20 B3 D30</v>
      </c>
      <c r="B27" s="11">
        <v>46085</v>
      </c>
      <c r="C27" s="11">
        <v>46092</v>
      </c>
      <c r="D27" s="12">
        <f t="shared" si="1"/>
        <v>3273</v>
      </c>
      <c r="E27" s="12">
        <v>336</v>
      </c>
      <c r="F27" s="12">
        <v>4</v>
      </c>
      <c r="G27" s="12">
        <f>G26</f>
        <v>1</v>
      </c>
      <c r="H27" s="3">
        <v>81588</v>
      </c>
      <c r="I27" s="4" t="s">
        <v>17</v>
      </c>
      <c r="J27" s="3">
        <v>68561359</v>
      </c>
      <c r="K27" s="4" t="str">
        <f>K26</f>
        <v>HN004</v>
      </c>
      <c r="L27" s="4" t="s">
        <v>35</v>
      </c>
      <c r="M27" s="15">
        <v>99900</v>
      </c>
      <c r="N27" s="2" t="s">
        <v>20</v>
      </c>
      <c r="O27" s="2" t="s">
        <v>21</v>
      </c>
      <c r="P27" s="2" t="s">
        <v>22</v>
      </c>
    </row>
    <row r="28" spans="1:16" x14ac:dyDescent="0.25">
      <c r="A28" s="4" t="str">
        <f t="shared" si="0"/>
        <v>2026 BAMUS B2 D20 B3 D30</v>
      </c>
      <c r="B28" s="11">
        <v>46085</v>
      </c>
      <c r="C28" s="11">
        <v>46092</v>
      </c>
      <c r="D28" s="12">
        <f t="shared" si="1"/>
        <v>3273</v>
      </c>
      <c r="E28" s="12">
        <v>336</v>
      </c>
      <c r="F28" s="12">
        <v>4</v>
      </c>
      <c r="G28" s="12">
        <f t="shared" ref="G28:G40" si="6">G27</f>
        <v>1</v>
      </c>
      <c r="H28" s="3">
        <v>81588</v>
      </c>
      <c r="I28" s="4" t="s">
        <v>17</v>
      </c>
      <c r="J28" s="3">
        <v>68561368</v>
      </c>
      <c r="K28" s="4" t="str">
        <f t="shared" ref="K28:K30" si="7">K27</f>
        <v>HN004</v>
      </c>
      <c r="L28" s="4" t="s">
        <v>35</v>
      </c>
      <c r="M28" s="15">
        <v>99900</v>
      </c>
      <c r="N28" s="2" t="s">
        <v>20</v>
      </c>
      <c r="O28" s="2" t="s">
        <v>21</v>
      </c>
      <c r="P28" s="2" t="s">
        <v>22</v>
      </c>
    </row>
    <row r="29" spans="1:16" x14ac:dyDescent="0.25">
      <c r="A29" s="4" t="str">
        <f t="shared" si="0"/>
        <v>2026 BAMUS B2 D20 B3 D30</v>
      </c>
      <c r="B29" s="11">
        <v>46085</v>
      </c>
      <c r="C29" s="11">
        <v>46092</v>
      </c>
      <c r="D29" s="12">
        <f t="shared" si="1"/>
        <v>3273</v>
      </c>
      <c r="E29" s="12">
        <v>336</v>
      </c>
      <c r="F29" s="12">
        <v>4</v>
      </c>
      <c r="G29" s="12">
        <f t="shared" si="6"/>
        <v>1</v>
      </c>
      <c r="H29" s="3">
        <v>81588</v>
      </c>
      <c r="I29" s="4" t="s">
        <v>17</v>
      </c>
      <c r="J29" s="3">
        <v>68561377</v>
      </c>
      <c r="K29" s="4" t="str">
        <f t="shared" si="7"/>
        <v>HN004</v>
      </c>
      <c r="L29" s="4" t="s">
        <v>35</v>
      </c>
      <c r="M29" s="15">
        <v>99900</v>
      </c>
      <c r="N29" s="2" t="s">
        <v>20</v>
      </c>
      <c r="O29" s="2" t="s">
        <v>21</v>
      </c>
      <c r="P29" s="2" t="s">
        <v>22</v>
      </c>
    </row>
    <row r="30" spans="1:16" x14ac:dyDescent="0.25">
      <c r="A30" s="4" t="str">
        <f t="shared" si="0"/>
        <v>2026 BAMUS B2 D20 B3 D30</v>
      </c>
      <c r="B30" s="11">
        <v>46085</v>
      </c>
      <c r="C30" s="11">
        <v>46092</v>
      </c>
      <c r="D30" s="12">
        <f t="shared" si="1"/>
        <v>3273</v>
      </c>
      <c r="E30" s="12">
        <v>336</v>
      </c>
      <c r="F30" s="12">
        <v>4</v>
      </c>
      <c r="G30" s="12">
        <f t="shared" si="6"/>
        <v>1</v>
      </c>
      <c r="H30" s="3">
        <v>81588</v>
      </c>
      <c r="I30" s="4" t="s">
        <v>17</v>
      </c>
      <c r="J30" s="3">
        <v>68561386</v>
      </c>
      <c r="K30" s="4" t="str">
        <f t="shared" si="7"/>
        <v>HN004</v>
      </c>
      <c r="L30" s="4" t="s">
        <v>35</v>
      </c>
      <c r="M30" s="15">
        <v>99900</v>
      </c>
      <c r="N30" s="2" t="s">
        <v>20</v>
      </c>
      <c r="O30" s="2" t="s">
        <v>21</v>
      </c>
      <c r="P30" s="2" t="s">
        <v>22</v>
      </c>
    </row>
    <row r="31" spans="1:16" x14ac:dyDescent="0.25">
      <c r="A31" s="4" t="str">
        <f t="shared" si="0"/>
        <v>2026 BAMUS B2 D20 B3 D30</v>
      </c>
      <c r="B31" s="11">
        <v>46085</v>
      </c>
      <c r="C31" s="11">
        <v>46092</v>
      </c>
      <c r="D31" s="12">
        <f t="shared" si="1"/>
        <v>3273</v>
      </c>
      <c r="E31" s="12">
        <v>336</v>
      </c>
      <c r="F31" s="12">
        <v>4</v>
      </c>
      <c r="G31" s="12">
        <f t="shared" si="6"/>
        <v>1</v>
      </c>
      <c r="H31" s="3">
        <v>81588</v>
      </c>
      <c r="I31" s="4" t="s">
        <v>17</v>
      </c>
      <c r="J31" s="3">
        <v>68561395</v>
      </c>
      <c r="K31" s="4" t="s">
        <v>36</v>
      </c>
      <c r="L31" s="4" t="s">
        <v>37</v>
      </c>
      <c r="M31" s="15">
        <v>99900</v>
      </c>
      <c r="N31" s="2" t="s">
        <v>20</v>
      </c>
      <c r="O31" s="2" t="s">
        <v>21</v>
      </c>
      <c r="P31" s="2" t="s">
        <v>22</v>
      </c>
    </row>
    <row r="32" spans="1:16" x14ac:dyDescent="0.25">
      <c r="A32" s="4" t="str">
        <f t="shared" si="0"/>
        <v>2026 BAMUS B2 D20 B3 D30</v>
      </c>
      <c r="B32" s="11">
        <v>46085</v>
      </c>
      <c r="C32" s="11">
        <v>46092</v>
      </c>
      <c r="D32" s="12">
        <f t="shared" si="1"/>
        <v>3273</v>
      </c>
      <c r="E32" s="12">
        <v>336</v>
      </c>
      <c r="F32" s="12">
        <v>4</v>
      </c>
      <c r="G32" s="12">
        <f t="shared" si="6"/>
        <v>1</v>
      </c>
      <c r="H32" s="3">
        <v>81588</v>
      </c>
      <c r="I32" s="4" t="s">
        <v>17</v>
      </c>
      <c r="J32" s="3">
        <v>68561402</v>
      </c>
      <c r="K32" s="4" t="str">
        <f>K31</f>
        <v>HN005</v>
      </c>
      <c r="L32" s="4" t="s">
        <v>38</v>
      </c>
      <c r="M32" s="15">
        <v>99900</v>
      </c>
      <c r="N32" s="2" t="s">
        <v>20</v>
      </c>
      <c r="O32" s="2" t="s">
        <v>21</v>
      </c>
      <c r="P32" s="2" t="s">
        <v>22</v>
      </c>
    </row>
    <row r="33" spans="1:16" x14ac:dyDescent="0.25">
      <c r="A33" s="4" t="str">
        <f t="shared" si="0"/>
        <v>2026 BAMUS B2 D20 B3 D30</v>
      </c>
      <c r="B33" s="11">
        <v>46085</v>
      </c>
      <c r="C33" s="11">
        <v>46092</v>
      </c>
      <c r="D33" s="12">
        <f t="shared" si="1"/>
        <v>3273</v>
      </c>
      <c r="E33" s="12">
        <v>336</v>
      </c>
      <c r="F33" s="12">
        <v>4</v>
      </c>
      <c r="G33" s="12">
        <f t="shared" si="6"/>
        <v>1</v>
      </c>
      <c r="H33" s="3">
        <v>81588</v>
      </c>
      <c r="I33" s="4" t="s">
        <v>17</v>
      </c>
      <c r="J33" s="14">
        <v>68561411</v>
      </c>
      <c r="K33" s="4" t="str">
        <f t="shared" ref="K33:K35" si="8">K32</f>
        <v>HN005</v>
      </c>
      <c r="L33" s="4" t="s">
        <v>39</v>
      </c>
      <c r="M33" s="15">
        <v>99900</v>
      </c>
      <c r="N33" s="2" t="s">
        <v>20</v>
      </c>
      <c r="O33" s="2" t="s">
        <v>21</v>
      </c>
      <c r="P33" s="2" t="s">
        <v>22</v>
      </c>
    </row>
    <row r="34" spans="1:16" x14ac:dyDescent="0.25">
      <c r="A34" s="4" t="str">
        <f t="shared" si="0"/>
        <v>2026 BAMUS B2 D20 B3 D30</v>
      </c>
      <c r="B34" s="11">
        <v>46085</v>
      </c>
      <c r="C34" s="11">
        <v>46092</v>
      </c>
      <c r="D34" s="12">
        <f t="shared" si="1"/>
        <v>3273</v>
      </c>
      <c r="E34" s="12">
        <v>336</v>
      </c>
      <c r="F34" s="12">
        <v>4</v>
      </c>
      <c r="G34" s="12">
        <f t="shared" si="6"/>
        <v>1</v>
      </c>
      <c r="H34" s="3">
        <v>81588</v>
      </c>
      <c r="I34" s="4" t="s">
        <v>17</v>
      </c>
      <c r="J34" s="14">
        <v>68561420</v>
      </c>
      <c r="K34" s="4" t="str">
        <f t="shared" si="8"/>
        <v>HN005</v>
      </c>
      <c r="L34" s="4" t="s">
        <v>40</v>
      </c>
      <c r="M34" s="15">
        <v>99900</v>
      </c>
      <c r="N34" s="2" t="s">
        <v>20</v>
      </c>
      <c r="O34" s="2" t="s">
        <v>21</v>
      </c>
      <c r="P34" s="2" t="s">
        <v>22</v>
      </c>
    </row>
    <row r="35" spans="1:16" x14ac:dyDescent="0.25">
      <c r="A35" s="4" t="str">
        <f t="shared" si="0"/>
        <v>2026 BAMUS B2 D20 B3 D30</v>
      </c>
      <c r="B35" s="11">
        <v>46085</v>
      </c>
      <c r="C35" s="11">
        <v>46092</v>
      </c>
      <c r="D35" s="12">
        <f t="shared" si="1"/>
        <v>3273</v>
      </c>
      <c r="E35" s="12">
        <v>336</v>
      </c>
      <c r="F35" s="12">
        <v>4</v>
      </c>
      <c r="G35" s="12">
        <f t="shared" si="6"/>
        <v>1</v>
      </c>
      <c r="H35" s="3">
        <v>81588</v>
      </c>
      <c r="I35" s="4" t="s">
        <v>17</v>
      </c>
      <c r="J35" s="3">
        <v>68561439</v>
      </c>
      <c r="K35" s="4" t="str">
        <f t="shared" si="8"/>
        <v>HN005</v>
      </c>
      <c r="L35" s="4" t="s">
        <v>41</v>
      </c>
      <c r="M35" s="15">
        <v>99900</v>
      </c>
      <c r="N35" s="2" t="s">
        <v>20</v>
      </c>
      <c r="O35" s="2" t="s">
        <v>21</v>
      </c>
      <c r="P35" s="2" t="s">
        <v>22</v>
      </c>
    </row>
    <row r="36" spans="1:16" x14ac:dyDescent="0.25">
      <c r="A36" s="4" t="str">
        <f t="shared" si="0"/>
        <v>2026 BAMUS B2 D20 B3 D30</v>
      </c>
      <c r="B36" s="11">
        <v>46085</v>
      </c>
      <c r="C36" s="11">
        <v>46092</v>
      </c>
      <c r="D36" s="12">
        <f t="shared" si="1"/>
        <v>3273</v>
      </c>
      <c r="E36" s="12">
        <v>336</v>
      </c>
      <c r="F36" s="12">
        <v>4</v>
      </c>
      <c r="G36" s="12">
        <f t="shared" si="6"/>
        <v>1</v>
      </c>
      <c r="H36" s="3">
        <v>81588</v>
      </c>
      <c r="I36" s="4" t="s">
        <v>17</v>
      </c>
      <c r="J36" s="3">
        <v>68561297</v>
      </c>
      <c r="K36" s="4" t="s">
        <v>42</v>
      </c>
      <c r="L36" s="4" t="s">
        <v>43</v>
      </c>
      <c r="M36" s="15">
        <v>99900</v>
      </c>
      <c r="N36" s="2" t="s">
        <v>20</v>
      </c>
      <c r="O36" s="2" t="s">
        <v>21</v>
      </c>
      <c r="P36" s="2" t="s">
        <v>22</v>
      </c>
    </row>
    <row r="37" spans="1:16" x14ac:dyDescent="0.25">
      <c r="A37" s="4" t="str">
        <f t="shared" si="0"/>
        <v>2026 BAMUS B2 D20 B3 D30</v>
      </c>
      <c r="B37" s="11">
        <v>46085</v>
      </c>
      <c r="C37" s="11">
        <v>46092</v>
      </c>
      <c r="D37" s="12">
        <f t="shared" si="1"/>
        <v>3273</v>
      </c>
      <c r="E37" s="12">
        <v>336</v>
      </c>
      <c r="F37" s="12">
        <v>4</v>
      </c>
      <c r="G37" s="12">
        <f t="shared" si="6"/>
        <v>1</v>
      </c>
      <c r="H37" s="3">
        <v>81588</v>
      </c>
      <c r="I37" s="4" t="s">
        <v>17</v>
      </c>
      <c r="J37" s="3">
        <v>68561304</v>
      </c>
      <c r="K37" s="4" t="str">
        <f>K36</f>
        <v>HN006</v>
      </c>
      <c r="L37" s="4" t="s">
        <v>43</v>
      </c>
      <c r="M37" s="15">
        <v>99900</v>
      </c>
      <c r="N37" s="2" t="s">
        <v>20</v>
      </c>
      <c r="O37" s="2" t="s">
        <v>21</v>
      </c>
      <c r="P37" s="2" t="s">
        <v>22</v>
      </c>
    </row>
    <row r="38" spans="1:16" x14ac:dyDescent="0.25">
      <c r="A38" s="4" t="str">
        <f t="shared" si="0"/>
        <v>2026 BAMUS B2 D20 B3 D30</v>
      </c>
      <c r="B38" s="11">
        <v>46085</v>
      </c>
      <c r="C38" s="11">
        <v>46092</v>
      </c>
      <c r="D38" s="12">
        <f t="shared" si="1"/>
        <v>3273</v>
      </c>
      <c r="E38" s="12">
        <v>336</v>
      </c>
      <c r="F38" s="12">
        <v>4</v>
      </c>
      <c r="G38" s="12">
        <f t="shared" si="6"/>
        <v>1</v>
      </c>
      <c r="H38" s="3">
        <v>81588</v>
      </c>
      <c r="I38" s="4" t="s">
        <v>17</v>
      </c>
      <c r="J38" s="14">
        <v>68561313</v>
      </c>
      <c r="K38" s="4" t="str">
        <f t="shared" ref="K38:K40" si="9">K37</f>
        <v>HN006</v>
      </c>
      <c r="L38" s="4" t="s">
        <v>43</v>
      </c>
      <c r="M38" s="15">
        <v>99900</v>
      </c>
      <c r="N38" s="2" t="s">
        <v>20</v>
      </c>
      <c r="O38" s="2" t="s">
        <v>21</v>
      </c>
      <c r="P38" s="2" t="s">
        <v>22</v>
      </c>
    </row>
    <row r="39" spans="1:16" x14ac:dyDescent="0.25">
      <c r="A39" s="4" t="str">
        <f t="shared" si="0"/>
        <v>2026 BAMUS B2 D20 B3 D30</v>
      </c>
      <c r="B39" s="11">
        <v>46085</v>
      </c>
      <c r="C39" s="11">
        <v>46092</v>
      </c>
      <c r="D39" s="12">
        <f t="shared" si="1"/>
        <v>3273</v>
      </c>
      <c r="E39" s="12">
        <v>336</v>
      </c>
      <c r="F39" s="12">
        <v>4</v>
      </c>
      <c r="G39" s="12">
        <f t="shared" si="6"/>
        <v>1</v>
      </c>
      <c r="H39" s="3">
        <v>81588</v>
      </c>
      <c r="I39" s="4" t="s">
        <v>17</v>
      </c>
      <c r="J39" s="14">
        <v>68561322</v>
      </c>
      <c r="K39" s="4" t="str">
        <f t="shared" si="9"/>
        <v>HN006</v>
      </c>
      <c r="L39" s="4" t="s">
        <v>43</v>
      </c>
      <c r="M39" s="15">
        <v>99900</v>
      </c>
      <c r="N39" s="2" t="s">
        <v>20</v>
      </c>
      <c r="O39" s="2" t="s">
        <v>21</v>
      </c>
      <c r="P39" s="2" t="s">
        <v>22</v>
      </c>
    </row>
    <row r="40" spans="1:16" x14ac:dyDescent="0.25">
      <c r="A40" s="4" t="str">
        <f t="shared" si="0"/>
        <v>2026 BAMUS B2 D20 B3 D30</v>
      </c>
      <c r="B40" s="11">
        <v>46085</v>
      </c>
      <c r="C40" s="11">
        <v>46092</v>
      </c>
      <c r="D40" s="12">
        <f t="shared" si="1"/>
        <v>3273</v>
      </c>
      <c r="E40" s="12">
        <v>336</v>
      </c>
      <c r="F40" s="12">
        <v>4</v>
      </c>
      <c r="G40" s="12">
        <f t="shared" si="6"/>
        <v>1</v>
      </c>
      <c r="H40" s="3">
        <v>81588</v>
      </c>
      <c r="I40" s="4" t="s">
        <v>17</v>
      </c>
      <c r="J40" s="3">
        <v>68561331</v>
      </c>
      <c r="K40" s="4" t="str">
        <f t="shared" si="9"/>
        <v>HN006</v>
      </c>
      <c r="L40" s="4" t="s">
        <v>43</v>
      </c>
      <c r="M40" s="15">
        <v>99900</v>
      </c>
      <c r="N40" s="2" t="s">
        <v>20</v>
      </c>
      <c r="O40" s="2" t="s">
        <v>21</v>
      </c>
      <c r="P40" s="2" t="s">
        <v>22</v>
      </c>
    </row>
  </sheetData>
  <phoneticPr fontId="5" type="noConversion"/>
  <conditionalFormatting sqref="J1">
    <cfRule type="duplicateValues" dxfId="8" priority="1"/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BAMUS B2 D20 B3 D30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Maydelline Pui</dc:creator>
  <cp:lastModifiedBy>Maydelline Pui</cp:lastModifiedBy>
  <dcterms:created xsi:type="dcterms:W3CDTF">2026-03-03T04:53:23Z</dcterms:created>
  <dcterms:modified xsi:type="dcterms:W3CDTF">2026-03-03T05:15:47Z</dcterms:modified>
</cp:coreProperties>
</file>