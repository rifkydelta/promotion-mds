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21627813-D5AF-43C4-A00F-9534DCC43EB0}" xr6:coauthVersionLast="47" xr6:coauthVersionMax="47" xr10:uidLastSave="{00000000-0000-0000-0000-000000000000}"/>
  <bookViews>
    <workbookView xWindow="-120" yWindow="-120" windowWidth="20730" windowHeight="11160" tabRatio="752" firstSheet="8" activeTab="13" xr2:uid="{00000000-000D-0000-FFFF-FFFF00000000}"/>
  </bookViews>
  <sheets>
    <sheet name="2019 ALL D95" sheetId="1" r:id="rId1"/>
    <sheet name="2020 ALL D90" sheetId="2" r:id="rId2"/>
    <sheet name="2021 ALL D90" sheetId="3" r:id="rId3"/>
    <sheet name="2022 ALL D90" sheetId="10" r:id="rId4"/>
    <sheet name="2023 ALL D90" sheetId="25" r:id="rId5"/>
    <sheet name="2024 JAN-JUN D70" sheetId="52" r:id="rId6"/>
    <sheet name="2024 JUL-SEPT B1G2" sheetId="53" r:id="rId7"/>
    <sheet name="2024 NOV-DEC B1G2" sheetId="54" r:id="rId8"/>
    <sheet name="2025 JAN-APR B1G2" sheetId="30" r:id="rId9"/>
    <sheet name="2025 MEI B1G2" sheetId="37" r:id="rId10"/>
    <sheet name="2025 JUN B1G2" sheetId="39" r:id="rId11"/>
    <sheet name="2025 JUL B1G1" sheetId="45" r:id="rId12"/>
    <sheet name="2025 AUG B1G1" sheetId="46" r:id="rId13"/>
    <sheet name="2025 SEPT B1 D30" sheetId="41" r:id="rId14"/>
    <sheet name="2025 Q4 B3D10" sheetId="55" r:id="rId15"/>
    <sheet name="2026 JAN FEB B3D10" sheetId="56" r:id="rId16"/>
    <sheet name="2026 BAMUS D60 " sheetId="57" r:id="rId17"/>
    <sheet name="2026 HILITE B1 D20 B2G1" sheetId="58" r:id="rId18"/>
  </sheets>
  <externalReferences>
    <externalReference r:id="rId19"/>
  </externalReferences>
  <definedNames>
    <definedName name="_xlnm._FilterDatabase" localSheetId="0" hidden="1">'2019 ALL D95'!$A$1:$P$1</definedName>
    <definedName name="_xlnm._FilterDatabase" localSheetId="1" hidden="1">'2020 ALL D90'!$A$1:$P$1</definedName>
    <definedName name="_xlnm._FilterDatabase" localSheetId="2" hidden="1">'2021 ALL D90'!$A$1:$P$1</definedName>
    <definedName name="_xlnm._FilterDatabase" localSheetId="3" hidden="1">'2022 ALL D90'!$A$1:$P$1</definedName>
    <definedName name="_xlnm._FilterDatabase" localSheetId="4" hidden="1">'2023 ALL D90'!$A$1:$P$337</definedName>
    <definedName name="_xlnm._FilterDatabase" localSheetId="10" hidden="1">'2025 JUN B1G2'!$A$1:$P$1</definedName>
    <definedName name="_xlnm._FilterDatabase" localSheetId="14" hidden="1">'2025 Q4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55" l="1"/>
  <c r="B2" i="55"/>
  <c r="C2" i="56"/>
  <c r="B2" i="56"/>
  <c r="C2" i="57"/>
  <c r="C3" i="57" s="1"/>
  <c r="C4" i="57" s="1"/>
  <c r="C5" i="57" s="1"/>
  <c r="C6" i="57" s="1"/>
  <c r="C7" i="57" s="1"/>
  <c r="C8" i="57" s="1"/>
  <c r="C9" i="57" s="1"/>
  <c r="C10" i="57" s="1"/>
  <c r="C11" i="57" s="1"/>
  <c r="C12" i="57" s="1"/>
  <c r="C13" i="57" s="1"/>
  <c r="C14" i="57" s="1"/>
  <c r="C15" i="57" s="1"/>
  <c r="C16" i="57" s="1"/>
  <c r="C17" i="57" s="1"/>
  <c r="B2" i="57"/>
  <c r="C2" i="58"/>
  <c r="C3" i="58" s="1"/>
  <c r="C4" i="58" s="1"/>
  <c r="C5" i="58" s="1"/>
  <c r="C6" i="58" s="1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32" i="58" s="1"/>
  <c r="C33" i="58" s="1"/>
  <c r="C34" i="58" s="1"/>
  <c r="C35" i="58" s="1"/>
  <c r="C36" i="58" s="1"/>
  <c r="C37" i="58" s="1"/>
  <c r="C38" i="58" s="1"/>
  <c r="C39" i="58" s="1"/>
  <c r="C40" i="58" s="1"/>
  <c r="C41" i="58" s="1"/>
  <c r="C42" i="58" s="1"/>
  <c r="C43" i="58" s="1"/>
  <c r="C44" i="58" s="1"/>
  <c r="C45" i="58" s="1"/>
  <c r="C46" i="58" s="1"/>
  <c r="C47" i="58" s="1"/>
  <c r="C48" i="58" s="1"/>
  <c r="C49" i="58" s="1"/>
  <c r="C50" i="58" s="1"/>
  <c r="C51" i="58" s="1"/>
  <c r="C52" i="58" s="1"/>
  <c r="C53" i="58" s="1"/>
  <c r="C54" i="58" s="1"/>
  <c r="C55" i="58" s="1"/>
  <c r="C56" i="58" s="1"/>
  <c r="C57" i="58" s="1"/>
  <c r="C58" i="58" s="1"/>
  <c r="C59" i="58" s="1"/>
  <c r="C60" i="58" s="1"/>
  <c r="C61" i="58" s="1"/>
  <c r="C62" i="58" s="1"/>
  <c r="B2" i="58"/>
  <c r="B3" i="58" s="1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B56" i="58" s="1"/>
  <c r="B57" i="58" s="1"/>
  <c r="B58" i="58" s="1"/>
  <c r="B59" i="58" s="1"/>
  <c r="B60" i="58" s="1"/>
  <c r="B61" i="58" s="1"/>
  <c r="B62" i="58" s="1"/>
  <c r="O3" i="57"/>
  <c r="O4" i="57"/>
  <c r="O5" i="57"/>
  <c r="O6" i="57"/>
  <c r="O7" i="57"/>
  <c r="O8" i="57"/>
  <c r="O9" i="57"/>
  <c r="O10" i="57"/>
  <c r="O11" i="57"/>
  <c r="O12" i="57"/>
  <c r="O13" i="57"/>
  <c r="O14" i="57"/>
  <c r="O15" i="57"/>
  <c r="O16" i="57"/>
  <c r="O17" i="57"/>
  <c r="O2" i="57"/>
  <c r="N4" i="57"/>
  <c r="N5" i="57" s="1"/>
  <c r="N6" i="57" s="1"/>
  <c r="N7" i="57" s="1"/>
  <c r="N8" i="57" s="1"/>
  <c r="N9" i="57" s="1"/>
  <c r="N10" i="57" s="1"/>
  <c r="N11" i="57" s="1"/>
  <c r="N12" i="57" s="1"/>
  <c r="N13" i="57" s="1"/>
  <c r="N14" i="57" s="1"/>
  <c r="N15" i="57" s="1"/>
  <c r="N16" i="57" s="1"/>
  <c r="N17" i="57" s="1"/>
  <c r="N3" i="57"/>
  <c r="C2" i="54"/>
  <c r="B2" i="54"/>
  <c r="C2" i="53"/>
  <c r="B2" i="53"/>
  <c r="C2" i="52"/>
  <c r="B2" i="52"/>
  <c r="G49" i="58"/>
  <c r="G50" i="58" s="1"/>
  <c r="G51" i="58" s="1"/>
  <c r="G52" i="58" s="1"/>
  <c r="G53" i="58" s="1"/>
  <c r="G54" i="58" s="1"/>
  <c r="G55" i="58" s="1"/>
  <c r="G56" i="58" s="1"/>
  <c r="G57" i="58" s="1"/>
  <c r="G58" i="58" s="1"/>
  <c r="G59" i="58" s="1"/>
  <c r="G60" i="58" s="1"/>
  <c r="G61" i="58" s="1"/>
  <c r="G62" i="58" s="1"/>
  <c r="G48" i="58"/>
  <c r="G40" i="58"/>
  <c r="G41" i="58" s="1"/>
  <c r="G42" i="58" s="1"/>
  <c r="G43" i="58" s="1"/>
  <c r="G44" i="58" s="1"/>
  <c r="G45" i="58" s="1"/>
  <c r="G46" i="58" s="1"/>
  <c r="M32" i="58"/>
  <c r="M33" i="58" s="1"/>
  <c r="M34" i="58" s="1"/>
  <c r="M35" i="58" s="1"/>
  <c r="M36" i="58" s="1"/>
  <c r="M37" i="58" s="1"/>
  <c r="M38" i="58" s="1"/>
  <c r="H30" i="58"/>
  <c r="H31" i="58" s="1"/>
  <c r="H32" i="58" s="1"/>
  <c r="H33" i="58" s="1"/>
  <c r="H34" i="58" s="1"/>
  <c r="H35" i="58" s="1"/>
  <c r="H36" i="58" s="1"/>
  <c r="H37" i="58" s="1"/>
  <c r="H38" i="58" s="1"/>
  <c r="H39" i="58" s="1"/>
  <c r="H40" i="58" s="1"/>
  <c r="H41" i="58" s="1"/>
  <c r="H42" i="58" s="1"/>
  <c r="H43" i="58" s="1"/>
  <c r="H44" i="58" s="1"/>
  <c r="H45" i="58" s="1"/>
  <c r="H46" i="58" s="1"/>
  <c r="H47" i="58" s="1"/>
  <c r="H48" i="58" s="1"/>
  <c r="H49" i="58" s="1"/>
  <c r="H50" i="58" s="1"/>
  <c r="H51" i="58" s="1"/>
  <c r="H52" i="58" s="1"/>
  <c r="H53" i="58" s="1"/>
  <c r="H54" i="58" s="1"/>
  <c r="H55" i="58" s="1"/>
  <c r="H56" i="58" s="1"/>
  <c r="H57" i="58" s="1"/>
  <c r="H58" i="58" s="1"/>
  <c r="H59" i="58" s="1"/>
  <c r="H60" i="58" s="1"/>
  <c r="H61" i="58" s="1"/>
  <c r="H62" i="58" s="1"/>
  <c r="M27" i="58"/>
  <c r="M28" i="58" s="1"/>
  <c r="M29" i="58" s="1"/>
  <c r="M30" i="58" s="1"/>
  <c r="H26" i="58"/>
  <c r="H27" i="58" s="1"/>
  <c r="H28" i="58" s="1"/>
  <c r="H29" i="58" s="1"/>
  <c r="M25" i="58"/>
  <c r="M19" i="58"/>
  <c r="M20" i="58" s="1"/>
  <c r="M21" i="58" s="1"/>
  <c r="M22" i="58" s="1"/>
  <c r="M23" i="58" s="1"/>
  <c r="M24" i="58" s="1"/>
  <c r="M17" i="58"/>
  <c r="M16" i="58"/>
  <c r="D12" i="58"/>
  <c r="D13" i="58" s="1"/>
  <c r="D14" i="58" s="1"/>
  <c r="D15" i="58" s="1"/>
  <c r="D16" i="58" s="1"/>
  <c r="D17" i="58" s="1"/>
  <c r="D18" i="58" s="1"/>
  <c r="D19" i="58" s="1"/>
  <c r="D20" i="58" s="1"/>
  <c r="D21" i="58" s="1"/>
  <c r="D22" i="58" s="1"/>
  <c r="D23" i="58" s="1"/>
  <c r="D24" i="58" s="1"/>
  <c r="D25" i="58" s="1"/>
  <c r="D26" i="58" s="1"/>
  <c r="D27" i="58" s="1"/>
  <c r="D28" i="58" s="1"/>
  <c r="D29" i="58" s="1"/>
  <c r="D30" i="58" s="1"/>
  <c r="D31" i="58" s="1"/>
  <c r="D32" i="58" s="1"/>
  <c r="D33" i="58" s="1"/>
  <c r="D34" i="58" s="1"/>
  <c r="D35" i="58" s="1"/>
  <c r="D36" i="58" s="1"/>
  <c r="D37" i="58" s="1"/>
  <c r="D38" i="58" s="1"/>
  <c r="D39" i="58" s="1"/>
  <c r="D40" i="58" s="1"/>
  <c r="D41" i="58" s="1"/>
  <c r="D42" i="58" s="1"/>
  <c r="D43" i="58" s="1"/>
  <c r="D44" i="58" s="1"/>
  <c r="D45" i="58" s="1"/>
  <c r="D46" i="58" s="1"/>
  <c r="D47" i="58" s="1"/>
  <c r="D48" i="58" s="1"/>
  <c r="D49" i="58" s="1"/>
  <c r="D50" i="58" s="1"/>
  <c r="D51" i="58" s="1"/>
  <c r="D52" i="58" s="1"/>
  <c r="D53" i="58" s="1"/>
  <c r="D54" i="58" s="1"/>
  <c r="D55" i="58" s="1"/>
  <c r="D56" i="58" s="1"/>
  <c r="D57" i="58" s="1"/>
  <c r="D58" i="58" s="1"/>
  <c r="D59" i="58" s="1"/>
  <c r="D60" i="58" s="1"/>
  <c r="D61" i="58" s="1"/>
  <c r="D62" i="58" s="1"/>
  <c r="M11" i="58"/>
  <c r="M12" i="58" s="1"/>
  <c r="M13" i="58" s="1"/>
  <c r="M14" i="58" s="1"/>
  <c r="M15" i="58" s="1"/>
  <c r="G10" i="58"/>
  <c r="G11" i="58" s="1"/>
  <c r="G12" i="58" s="1"/>
  <c r="G13" i="58" s="1"/>
  <c r="G14" i="58" s="1"/>
  <c r="G15" i="58" s="1"/>
  <c r="G16" i="58" s="1"/>
  <c r="G17" i="58" s="1"/>
  <c r="G18" i="58" s="1"/>
  <c r="G19" i="58" s="1"/>
  <c r="G20" i="58" s="1"/>
  <c r="G21" i="58" s="1"/>
  <c r="G22" i="58" s="1"/>
  <c r="G23" i="58" s="1"/>
  <c r="G24" i="58" s="1"/>
  <c r="G25" i="58" s="1"/>
  <c r="G26" i="58" s="1"/>
  <c r="G27" i="58" s="1"/>
  <c r="G28" i="58" s="1"/>
  <c r="G29" i="58" s="1"/>
  <c r="G30" i="58" s="1"/>
  <c r="G31" i="58" s="1"/>
  <c r="G32" i="58" s="1"/>
  <c r="G33" i="58" s="1"/>
  <c r="G34" i="58" s="1"/>
  <c r="G35" i="58" s="1"/>
  <c r="G36" i="58" s="1"/>
  <c r="G37" i="58" s="1"/>
  <c r="G38" i="58" s="1"/>
  <c r="F5" i="58"/>
  <c r="F6" i="58" s="1"/>
  <c r="F7" i="58" s="1"/>
  <c r="F8" i="58" s="1"/>
  <c r="F9" i="58" s="1"/>
  <c r="F10" i="58" s="1"/>
  <c r="F11" i="58" s="1"/>
  <c r="F12" i="58" s="1"/>
  <c r="F13" i="58" s="1"/>
  <c r="F14" i="58" s="1"/>
  <c r="F15" i="58" s="1"/>
  <c r="F16" i="58" s="1"/>
  <c r="F17" i="58" s="1"/>
  <c r="F18" i="58" s="1"/>
  <c r="F19" i="58" s="1"/>
  <c r="F20" i="58" s="1"/>
  <c r="F21" i="58" s="1"/>
  <c r="F22" i="58" s="1"/>
  <c r="F23" i="58" s="1"/>
  <c r="F24" i="58" s="1"/>
  <c r="F25" i="58" s="1"/>
  <c r="F26" i="58" s="1"/>
  <c r="F27" i="58" s="1"/>
  <c r="F28" i="58" s="1"/>
  <c r="F29" i="58" s="1"/>
  <c r="F30" i="58" s="1"/>
  <c r="F31" i="58" s="1"/>
  <c r="F32" i="58" s="1"/>
  <c r="F33" i="58" s="1"/>
  <c r="F34" i="58" s="1"/>
  <c r="F35" i="58" s="1"/>
  <c r="F36" i="58" s="1"/>
  <c r="F37" i="58" s="1"/>
  <c r="F38" i="58" s="1"/>
  <c r="F39" i="58" s="1"/>
  <c r="F40" i="58" s="1"/>
  <c r="F41" i="58" s="1"/>
  <c r="F42" i="58" s="1"/>
  <c r="F43" i="58" s="1"/>
  <c r="F44" i="58" s="1"/>
  <c r="F45" i="58" s="1"/>
  <c r="F46" i="58" s="1"/>
  <c r="F47" i="58" s="1"/>
  <c r="F48" i="58" s="1"/>
  <c r="F49" i="58" s="1"/>
  <c r="F50" i="58" s="1"/>
  <c r="F51" i="58" s="1"/>
  <c r="F52" i="58" s="1"/>
  <c r="F53" i="58" s="1"/>
  <c r="F54" i="58" s="1"/>
  <c r="F55" i="58" s="1"/>
  <c r="F56" i="58" s="1"/>
  <c r="F57" i="58" s="1"/>
  <c r="F58" i="58" s="1"/>
  <c r="F59" i="58" s="1"/>
  <c r="F60" i="58" s="1"/>
  <c r="F61" i="58" s="1"/>
  <c r="F62" i="58" s="1"/>
  <c r="F4" i="58"/>
  <c r="E4" i="58"/>
  <c r="E5" i="58" s="1"/>
  <c r="E6" i="58" s="1"/>
  <c r="E7" i="58" s="1"/>
  <c r="E8" i="58" s="1"/>
  <c r="E9" i="58" s="1"/>
  <c r="E10" i="58" s="1"/>
  <c r="E11" i="58" s="1"/>
  <c r="E12" i="58" s="1"/>
  <c r="E13" i="58" s="1"/>
  <c r="E14" i="58" s="1"/>
  <c r="E15" i="58" s="1"/>
  <c r="E16" i="58" s="1"/>
  <c r="E17" i="58" s="1"/>
  <c r="E18" i="58" s="1"/>
  <c r="E19" i="58" s="1"/>
  <c r="E20" i="58" s="1"/>
  <c r="E21" i="58" s="1"/>
  <c r="E22" i="58" s="1"/>
  <c r="E23" i="58" s="1"/>
  <c r="E24" i="58" s="1"/>
  <c r="E25" i="58" s="1"/>
  <c r="E26" i="58" s="1"/>
  <c r="E27" i="58" s="1"/>
  <c r="E28" i="58" s="1"/>
  <c r="E29" i="58" s="1"/>
  <c r="E30" i="58" s="1"/>
  <c r="E31" i="58" s="1"/>
  <c r="E32" i="58" s="1"/>
  <c r="E33" i="58" s="1"/>
  <c r="E34" i="58" s="1"/>
  <c r="E35" i="58" s="1"/>
  <c r="E36" i="58" s="1"/>
  <c r="E37" i="58" s="1"/>
  <c r="E38" i="58" s="1"/>
  <c r="E39" i="58" s="1"/>
  <c r="E40" i="58" s="1"/>
  <c r="E41" i="58" s="1"/>
  <c r="E42" i="58" s="1"/>
  <c r="E43" i="58" s="1"/>
  <c r="E44" i="58" s="1"/>
  <c r="E45" i="58" s="1"/>
  <c r="E46" i="58" s="1"/>
  <c r="E47" i="58" s="1"/>
  <c r="E48" i="58" s="1"/>
  <c r="E49" i="58" s="1"/>
  <c r="E50" i="58" s="1"/>
  <c r="E51" i="58" s="1"/>
  <c r="E52" i="58" s="1"/>
  <c r="E53" i="58" s="1"/>
  <c r="E54" i="58" s="1"/>
  <c r="E55" i="58" s="1"/>
  <c r="E56" i="58" s="1"/>
  <c r="E57" i="58" s="1"/>
  <c r="E58" i="58" s="1"/>
  <c r="E59" i="58" s="1"/>
  <c r="E60" i="58" s="1"/>
  <c r="E61" i="58" s="1"/>
  <c r="E62" i="58" s="1"/>
  <c r="O3" i="58"/>
  <c r="O4" i="58" s="1"/>
  <c r="O5" i="58" s="1"/>
  <c r="O6" i="58" s="1"/>
  <c r="O7" i="58" s="1"/>
  <c r="O8" i="58" s="1"/>
  <c r="O9" i="58" s="1"/>
  <c r="O10" i="58" s="1"/>
  <c r="O11" i="58" s="1"/>
  <c r="O12" i="58" s="1"/>
  <c r="O13" i="58" s="1"/>
  <c r="O14" i="58" s="1"/>
  <c r="O15" i="58" s="1"/>
  <c r="O16" i="58" s="1"/>
  <c r="O17" i="58" s="1"/>
  <c r="O18" i="58" s="1"/>
  <c r="O19" i="58" s="1"/>
  <c r="O20" i="58" s="1"/>
  <c r="O21" i="58" s="1"/>
  <c r="O22" i="58" s="1"/>
  <c r="O23" i="58" s="1"/>
  <c r="O24" i="58" s="1"/>
  <c r="O25" i="58" s="1"/>
  <c r="O26" i="58" s="1"/>
  <c r="O27" i="58" s="1"/>
  <c r="O28" i="58" s="1"/>
  <c r="O29" i="58" s="1"/>
  <c r="O30" i="58" s="1"/>
  <c r="O31" i="58" s="1"/>
  <c r="O32" i="58" s="1"/>
  <c r="O33" i="58" s="1"/>
  <c r="O34" i="58" s="1"/>
  <c r="O35" i="58" s="1"/>
  <c r="O36" i="58" s="1"/>
  <c r="O37" i="58" s="1"/>
  <c r="O38" i="58" s="1"/>
  <c r="O39" i="58" s="1"/>
  <c r="O40" i="58" s="1"/>
  <c r="O41" i="58" s="1"/>
  <c r="O42" i="58" s="1"/>
  <c r="O43" i="58" s="1"/>
  <c r="O44" i="58" s="1"/>
  <c r="O45" i="58" s="1"/>
  <c r="O46" i="58" s="1"/>
  <c r="O47" i="58" s="1"/>
  <c r="O48" i="58" s="1"/>
  <c r="O49" i="58" s="1"/>
  <c r="O50" i="58" s="1"/>
  <c r="O51" i="58" s="1"/>
  <c r="O52" i="58" s="1"/>
  <c r="O53" i="58" s="1"/>
  <c r="O54" i="58" s="1"/>
  <c r="O55" i="58" s="1"/>
  <c r="O56" i="58" s="1"/>
  <c r="O57" i="58" s="1"/>
  <c r="O58" i="58" s="1"/>
  <c r="O59" i="58" s="1"/>
  <c r="O60" i="58" s="1"/>
  <c r="O61" i="58" s="1"/>
  <c r="O62" i="58" s="1"/>
  <c r="M3" i="58"/>
  <c r="M4" i="58" s="1"/>
  <c r="M5" i="58" s="1"/>
  <c r="M6" i="58" s="1"/>
  <c r="M7" i="58" s="1"/>
  <c r="M8" i="58" s="1"/>
  <c r="M9" i="58" s="1"/>
  <c r="F3" i="58"/>
  <c r="E3" i="58"/>
  <c r="D3" i="58"/>
  <c r="D4" i="58" s="1"/>
  <c r="D5" i="58" s="1"/>
  <c r="D6" i="58" s="1"/>
  <c r="D7" i="58" s="1"/>
  <c r="D8" i="58" s="1"/>
  <c r="D9" i="58" s="1"/>
  <c r="D10" i="58" s="1"/>
  <c r="D11" i="58" s="1"/>
  <c r="A3" i="58"/>
  <c r="A4" i="58" s="1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F2" i="58"/>
  <c r="E2" i="58"/>
  <c r="K11" i="57"/>
  <c r="K12" i="57" s="1"/>
  <c r="K13" i="57" s="1"/>
  <c r="K14" i="57" s="1"/>
  <c r="K15" i="57" s="1"/>
  <c r="K16" i="57" s="1"/>
  <c r="K17" i="57" s="1"/>
  <c r="H10" i="57"/>
  <c r="H11" i="57" s="1"/>
  <c r="H12" i="57" s="1"/>
  <c r="H13" i="57" s="1"/>
  <c r="H14" i="57" s="1"/>
  <c r="H15" i="57" s="1"/>
  <c r="H16" i="57" s="1"/>
  <c r="H17" i="57" s="1"/>
  <c r="G5" i="57"/>
  <c r="G6" i="57" s="1"/>
  <c r="G7" i="57" s="1"/>
  <c r="G8" i="57" s="1"/>
  <c r="G9" i="57" s="1"/>
  <c r="G10" i="57" s="1"/>
  <c r="G11" i="57" s="1"/>
  <c r="G12" i="57" s="1"/>
  <c r="G13" i="57" s="1"/>
  <c r="G14" i="57" s="1"/>
  <c r="G15" i="57" s="1"/>
  <c r="G16" i="57" s="1"/>
  <c r="G17" i="57" s="1"/>
  <c r="G4" i="57"/>
  <c r="K3" i="57"/>
  <c r="K4" i="57" s="1"/>
  <c r="K5" i="57" s="1"/>
  <c r="K6" i="57" s="1"/>
  <c r="K7" i="57" s="1"/>
  <c r="K8" i="57" s="1"/>
  <c r="K9" i="57" s="1"/>
  <c r="B3" i="57"/>
  <c r="B4" i="57" s="1"/>
  <c r="B5" i="57" s="1"/>
  <c r="B6" i="57" s="1"/>
  <c r="B7" i="57" s="1"/>
  <c r="B8" i="57" s="1"/>
  <c r="B9" i="57" s="1"/>
  <c r="B10" i="57" s="1"/>
  <c r="B11" i="57" s="1"/>
  <c r="B12" i="57" s="1"/>
  <c r="B13" i="57" s="1"/>
  <c r="B14" i="57" s="1"/>
  <c r="B15" i="57" s="1"/>
  <c r="B16" i="57" s="1"/>
  <c r="B17" i="57" s="1"/>
  <c r="A3" i="57"/>
  <c r="A4" i="57" s="1"/>
  <c r="A5" i="57" s="1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O44" i="46" l="1"/>
  <c r="O45" i="46" s="1"/>
  <c r="O46" i="46" s="1"/>
  <c r="O47" i="46" s="1"/>
  <c r="O48" i="46" s="1"/>
  <c r="O49" i="46" s="1"/>
  <c r="O50" i="46" s="1"/>
  <c r="O51" i="46" s="1"/>
  <c r="O52" i="46" s="1"/>
  <c r="O53" i="46" s="1"/>
  <c r="O54" i="46" s="1"/>
  <c r="O55" i="46" s="1"/>
  <c r="O56" i="46" s="1"/>
  <c r="O57" i="46" s="1"/>
  <c r="O58" i="46" s="1"/>
  <c r="O59" i="46" s="1"/>
  <c r="O60" i="46" s="1"/>
  <c r="O61" i="46" s="1"/>
  <c r="O62" i="46" s="1"/>
  <c r="O63" i="46" s="1"/>
  <c r="O64" i="46" s="1"/>
  <c r="O65" i="46" s="1"/>
  <c r="O66" i="46" s="1"/>
  <c r="O67" i="46" s="1"/>
  <c r="O68" i="46" s="1"/>
  <c r="O69" i="46" s="1"/>
  <c r="O70" i="46" s="1"/>
  <c r="O71" i="46" s="1"/>
  <c r="O72" i="46" s="1"/>
  <c r="O73" i="46" s="1"/>
  <c r="O74" i="46" s="1"/>
  <c r="O75" i="46" s="1"/>
  <c r="O76" i="46" s="1"/>
  <c r="O77" i="46" s="1"/>
  <c r="O78" i="46" s="1"/>
  <c r="O79" i="46" s="1"/>
  <c r="O80" i="46" s="1"/>
  <c r="O81" i="46" s="1"/>
  <c r="O82" i="46" s="1"/>
  <c r="O83" i="46" s="1"/>
  <c r="O84" i="46" s="1"/>
  <c r="O85" i="46" s="1"/>
  <c r="O86" i="46" s="1"/>
  <c r="O87" i="46" s="1"/>
  <c r="O88" i="46" s="1"/>
  <c r="O89" i="46" s="1"/>
  <c r="O90" i="46" s="1"/>
  <c r="O91" i="46" s="1"/>
  <c r="O92" i="46" s="1"/>
  <c r="O93" i="46" s="1"/>
  <c r="O94" i="46" s="1"/>
  <c r="O95" i="46" s="1"/>
  <c r="O96" i="46" s="1"/>
  <c r="O97" i="46" s="1"/>
  <c r="O98" i="46" s="1"/>
  <c r="O99" i="46" s="1"/>
  <c r="O100" i="46" s="1"/>
  <c r="O101" i="46" s="1"/>
  <c r="O102" i="46" s="1"/>
  <c r="O103" i="46" s="1"/>
  <c r="O104" i="46" s="1"/>
  <c r="O105" i="46" s="1"/>
  <c r="O106" i="46" s="1"/>
  <c r="O107" i="46" s="1"/>
  <c r="O108" i="46" s="1"/>
  <c r="O109" i="46" s="1"/>
  <c r="O110" i="46" s="1"/>
  <c r="O111" i="46" s="1"/>
  <c r="O112" i="46" s="1"/>
  <c r="O113" i="46" s="1"/>
  <c r="O114" i="46" s="1"/>
  <c r="O115" i="46" s="1"/>
  <c r="O116" i="46" s="1"/>
  <c r="O117" i="46" s="1"/>
  <c r="O118" i="46" s="1"/>
  <c r="O119" i="46" s="1"/>
  <c r="O120" i="46" s="1"/>
  <c r="O121" i="46" s="1"/>
  <c r="O122" i="46" s="1"/>
  <c r="O123" i="46" s="1"/>
  <c r="O124" i="46" s="1"/>
  <c r="O125" i="46" s="1"/>
  <c r="O126" i="46" s="1"/>
  <c r="O127" i="46" s="1"/>
  <c r="O128" i="46" s="1"/>
  <c r="O129" i="46" s="1"/>
  <c r="O130" i="46" s="1"/>
  <c r="O131" i="46" s="1"/>
  <c r="O132" i="46" s="1"/>
  <c r="O133" i="46" s="1"/>
  <c r="O134" i="46" s="1"/>
  <c r="N68" i="55" l="1"/>
  <c r="N69" i="55" s="1"/>
  <c r="N70" i="55" s="1"/>
  <c r="N71" i="55" s="1"/>
  <c r="N72" i="55" s="1"/>
  <c r="N73" i="55" s="1"/>
  <c r="N74" i="55" s="1"/>
  <c r="N75" i="55" s="1"/>
  <c r="N76" i="55" s="1"/>
  <c r="N77" i="55" s="1"/>
  <c r="N78" i="55" s="1"/>
  <c r="N79" i="55" s="1"/>
  <c r="N80" i="55" s="1"/>
  <c r="N81" i="55" s="1"/>
  <c r="N82" i="55" s="1"/>
  <c r="N83" i="55" s="1"/>
  <c r="N84" i="55" s="1"/>
  <c r="N85" i="55" s="1"/>
  <c r="N86" i="55" s="1"/>
  <c r="N87" i="55" s="1"/>
  <c r="N88" i="55" s="1"/>
  <c r="N89" i="55" s="1"/>
  <c r="N90" i="55" s="1"/>
  <c r="N91" i="55" s="1"/>
  <c r="N92" i="55" s="1"/>
  <c r="N93" i="55" s="1"/>
  <c r="N94" i="55" s="1"/>
  <c r="N95" i="55" s="1"/>
  <c r="N96" i="55" s="1"/>
  <c r="N97" i="55" s="1"/>
  <c r="N98" i="55" s="1"/>
  <c r="N99" i="55" s="1"/>
  <c r="N100" i="55" s="1"/>
  <c r="N101" i="55" s="1"/>
  <c r="N102" i="55" s="1"/>
  <c r="N103" i="55" s="1"/>
  <c r="N104" i="55" s="1"/>
  <c r="N105" i="55" s="1"/>
  <c r="N106" i="55" s="1"/>
  <c r="N107" i="55" s="1"/>
  <c r="N108" i="55" s="1"/>
  <c r="N109" i="55" s="1"/>
  <c r="N110" i="55" s="1"/>
  <c r="N111" i="55" s="1"/>
  <c r="N112" i="55" s="1"/>
  <c r="N113" i="55" s="1"/>
  <c r="N114" i="55" s="1"/>
  <c r="N115" i="55" s="1"/>
  <c r="N116" i="55" s="1"/>
  <c r="N117" i="55" s="1"/>
  <c r="N118" i="55" s="1"/>
  <c r="N119" i="55" s="1"/>
  <c r="N120" i="55" s="1"/>
  <c r="N121" i="55" s="1"/>
  <c r="N122" i="55" s="1"/>
  <c r="N123" i="55" s="1"/>
  <c r="N124" i="55" s="1"/>
  <c r="N125" i="55" s="1"/>
  <c r="N126" i="55" s="1"/>
  <c r="N127" i="55" s="1"/>
  <c r="N128" i="55" s="1"/>
  <c r="N129" i="55" s="1"/>
  <c r="N130" i="55" s="1"/>
  <c r="N131" i="55" s="1"/>
  <c r="N132" i="55" s="1"/>
  <c r="N133" i="55" s="1"/>
  <c r="N134" i="55" s="1"/>
  <c r="N135" i="55" s="1"/>
  <c r="N136" i="55" s="1"/>
  <c r="N137" i="55" s="1"/>
  <c r="N138" i="55" s="1"/>
  <c r="N139" i="55" s="1"/>
  <c r="N140" i="55" s="1"/>
  <c r="N141" i="55" s="1"/>
  <c r="N142" i="55" s="1"/>
  <c r="N143" i="55" s="1"/>
  <c r="N144" i="55" s="1"/>
  <c r="N145" i="55" s="1"/>
  <c r="N146" i="55" s="1"/>
  <c r="N147" i="55" s="1"/>
  <c r="N148" i="55" s="1"/>
  <c r="N149" i="55" s="1"/>
  <c r="N150" i="55" s="1"/>
  <c r="N151" i="55" s="1"/>
  <c r="N152" i="55" s="1"/>
  <c r="N153" i="55" s="1"/>
  <c r="N154" i="55" s="1"/>
  <c r="N155" i="55" s="1"/>
  <c r="N156" i="55" s="1"/>
  <c r="N157" i="55" s="1"/>
  <c r="N158" i="55" s="1"/>
  <c r="N159" i="55" s="1"/>
  <c r="N160" i="55" s="1"/>
  <c r="N161" i="55" s="1"/>
  <c r="N162" i="55" s="1"/>
  <c r="N163" i="55" s="1"/>
  <c r="N164" i="55" s="1"/>
  <c r="N165" i="55" s="1"/>
  <c r="N166" i="55" s="1"/>
  <c r="N167" i="55" s="1"/>
  <c r="N168" i="55" s="1"/>
  <c r="N169" i="55" s="1"/>
  <c r="N170" i="55" s="1"/>
  <c r="N171" i="55" s="1"/>
  <c r="N172" i="55" s="1"/>
  <c r="N173" i="55" s="1"/>
  <c r="N174" i="55" s="1"/>
  <c r="N175" i="55" s="1"/>
  <c r="N176" i="55" s="1"/>
  <c r="N177" i="55" s="1"/>
  <c r="N178" i="55" s="1"/>
  <c r="N179" i="55" s="1"/>
  <c r="N180" i="55" s="1"/>
  <c r="N181" i="55" s="1"/>
  <c r="N182" i="55" s="1"/>
  <c r="N183" i="55" s="1"/>
  <c r="N184" i="55" s="1"/>
  <c r="N185" i="55" s="1"/>
  <c r="N186" i="55" s="1"/>
  <c r="N187" i="55" s="1"/>
  <c r="N188" i="55" s="1"/>
  <c r="N189" i="55" s="1"/>
  <c r="N190" i="55" s="1"/>
  <c r="N191" i="55" s="1"/>
  <c r="N192" i="55" s="1"/>
  <c r="N193" i="55" s="1"/>
  <c r="N194" i="55" s="1"/>
  <c r="N195" i="55" s="1"/>
  <c r="N196" i="55" s="1"/>
  <c r="N197" i="55" s="1"/>
  <c r="N198" i="55" s="1"/>
  <c r="N199" i="55" s="1"/>
  <c r="N200" i="55" s="1"/>
  <c r="N201" i="55" s="1"/>
  <c r="N202" i="55" s="1"/>
  <c r="N203" i="55" s="1"/>
  <c r="N204" i="55" s="1"/>
  <c r="N205" i="55" s="1"/>
  <c r="N206" i="55" s="1"/>
  <c r="N207" i="55" s="1"/>
  <c r="N208" i="55" s="1"/>
  <c r="N209" i="55" s="1"/>
  <c r="N210" i="55" s="1"/>
  <c r="N211" i="55" s="1"/>
  <c r="N212" i="55" s="1"/>
  <c r="N213" i="55" s="1"/>
  <c r="N214" i="55" s="1"/>
  <c r="N215" i="55" s="1"/>
  <c r="N216" i="55" s="1"/>
  <c r="N217" i="55" s="1"/>
  <c r="N218" i="55" s="1"/>
  <c r="N219" i="55" s="1"/>
  <c r="N220" i="55" s="1"/>
  <c r="N221" i="55" s="1"/>
  <c r="N222" i="55" s="1"/>
  <c r="N223" i="55" s="1"/>
  <c r="N224" i="55" s="1"/>
  <c r="N225" i="55" s="1"/>
  <c r="N226" i="55" s="1"/>
  <c r="N227" i="55" s="1"/>
  <c r="N228" i="55" s="1"/>
  <c r="N229" i="55" s="1"/>
  <c r="N230" i="55" s="1"/>
  <c r="N231" i="55" s="1"/>
  <c r="N232" i="55" s="1"/>
  <c r="N233" i="55" s="1"/>
  <c r="N234" i="55" s="1"/>
  <c r="N235" i="55" s="1"/>
  <c r="N236" i="55" s="1"/>
  <c r="N237" i="55" s="1"/>
  <c r="N238" i="55" s="1"/>
  <c r="N239" i="55" s="1"/>
  <c r="N240" i="55" s="1"/>
  <c r="N241" i="55" s="1"/>
  <c r="N242" i="55" s="1"/>
  <c r="N243" i="55" s="1"/>
  <c r="N244" i="55" s="1"/>
  <c r="N245" i="55" s="1"/>
  <c r="N246" i="55" s="1"/>
  <c r="N247" i="55" s="1"/>
  <c r="N248" i="55" s="1"/>
  <c r="N249" i="55" s="1"/>
  <c r="N250" i="55" s="1"/>
  <c r="N251" i="55" s="1"/>
  <c r="N252" i="55" s="1"/>
  <c r="N253" i="55" s="1"/>
  <c r="N254" i="55" s="1"/>
  <c r="N255" i="55" s="1"/>
  <c r="N256" i="55" s="1"/>
  <c r="N257" i="55" s="1"/>
  <c r="N258" i="55" s="1"/>
  <c r="O68" i="55"/>
  <c r="O69" i="55" s="1"/>
  <c r="O70" i="55" s="1"/>
  <c r="O71" i="55" s="1"/>
  <c r="O72" i="55" s="1"/>
  <c r="O73" i="55" s="1"/>
  <c r="O74" i="55" s="1"/>
  <c r="O75" i="55" s="1"/>
  <c r="O76" i="55" s="1"/>
  <c r="O77" i="55" s="1"/>
  <c r="O78" i="55" s="1"/>
  <c r="O79" i="55" s="1"/>
  <c r="O80" i="55" s="1"/>
  <c r="O81" i="55" s="1"/>
  <c r="O82" i="55" s="1"/>
  <c r="O83" i="55" s="1"/>
  <c r="O84" i="55" s="1"/>
  <c r="O85" i="55" s="1"/>
  <c r="O86" i="55" s="1"/>
  <c r="O87" i="55" s="1"/>
  <c r="O88" i="55" s="1"/>
  <c r="O89" i="55" s="1"/>
  <c r="O90" i="55" s="1"/>
  <c r="O91" i="55" s="1"/>
  <c r="O92" i="55" s="1"/>
  <c r="O93" i="55" s="1"/>
  <c r="O94" i="55" s="1"/>
  <c r="O95" i="55" s="1"/>
  <c r="O96" i="55" s="1"/>
  <c r="O97" i="55" s="1"/>
  <c r="O98" i="55" s="1"/>
  <c r="O99" i="55" s="1"/>
  <c r="O100" i="55" s="1"/>
  <c r="O101" i="55" s="1"/>
  <c r="O102" i="55" s="1"/>
  <c r="O103" i="55" s="1"/>
  <c r="O104" i="55" s="1"/>
  <c r="O105" i="55" s="1"/>
  <c r="O106" i="55" s="1"/>
  <c r="O107" i="55" s="1"/>
  <c r="O108" i="55" s="1"/>
  <c r="O109" i="55" s="1"/>
  <c r="O110" i="55" s="1"/>
  <c r="O111" i="55" s="1"/>
  <c r="O112" i="55" s="1"/>
  <c r="O113" i="55" s="1"/>
  <c r="O114" i="55" s="1"/>
  <c r="O115" i="55" s="1"/>
  <c r="O116" i="55" s="1"/>
  <c r="O117" i="55" s="1"/>
  <c r="O118" i="55" s="1"/>
  <c r="O119" i="55" s="1"/>
  <c r="O120" i="55" s="1"/>
  <c r="O121" i="55" s="1"/>
  <c r="O122" i="55" s="1"/>
  <c r="O123" i="55" s="1"/>
  <c r="O124" i="55" s="1"/>
  <c r="O125" i="55" s="1"/>
  <c r="O126" i="55" s="1"/>
  <c r="O127" i="55" s="1"/>
  <c r="O128" i="55" s="1"/>
  <c r="O129" i="55" s="1"/>
  <c r="O130" i="55" s="1"/>
  <c r="O131" i="55" s="1"/>
  <c r="O132" i="55" s="1"/>
  <c r="O133" i="55" s="1"/>
  <c r="O134" i="55" s="1"/>
  <c r="O135" i="55" s="1"/>
  <c r="O136" i="55" s="1"/>
  <c r="O137" i="55" s="1"/>
  <c r="O138" i="55" s="1"/>
  <c r="O139" i="55" s="1"/>
  <c r="O140" i="55" s="1"/>
  <c r="O141" i="55" s="1"/>
  <c r="O142" i="55" s="1"/>
  <c r="O143" i="55" s="1"/>
  <c r="O144" i="55" s="1"/>
  <c r="O145" i="55" s="1"/>
  <c r="O146" i="55" s="1"/>
  <c r="O147" i="55" s="1"/>
  <c r="O148" i="55" s="1"/>
  <c r="O149" i="55" s="1"/>
  <c r="O150" i="55" s="1"/>
  <c r="O151" i="55" s="1"/>
  <c r="O152" i="55" s="1"/>
  <c r="O153" i="55" s="1"/>
  <c r="O154" i="55" s="1"/>
  <c r="O155" i="55" s="1"/>
  <c r="O156" i="55" s="1"/>
  <c r="O157" i="55" s="1"/>
  <c r="O158" i="55" s="1"/>
  <c r="O159" i="55" s="1"/>
  <c r="O160" i="55" s="1"/>
  <c r="O161" i="55" s="1"/>
  <c r="O162" i="55" s="1"/>
  <c r="O163" i="55" s="1"/>
  <c r="O164" i="55" s="1"/>
  <c r="O165" i="55" s="1"/>
  <c r="O166" i="55" s="1"/>
  <c r="O167" i="55" s="1"/>
  <c r="O168" i="55" s="1"/>
  <c r="O169" i="55" s="1"/>
  <c r="O170" i="55" s="1"/>
  <c r="O171" i="55" s="1"/>
  <c r="O172" i="55" s="1"/>
  <c r="O173" i="55" s="1"/>
  <c r="O174" i="55" s="1"/>
  <c r="O175" i="55" s="1"/>
  <c r="O176" i="55" s="1"/>
  <c r="O177" i="55" s="1"/>
  <c r="O178" i="55" s="1"/>
  <c r="O179" i="55" s="1"/>
  <c r="O180" i="55" s="1"/>
  <c r="O181" i="55" s="1"/>
  <c r="O182" i="55" s="1"/>
  <c r="O183" i="55" s="1"/>
  <c r="O184" i="55" s="1"/>
  <c r="O185" i="55" s="1"/>
  <c r="O186" i="55" s="1"/>
  <c r="O187" i="55" s="1"/>
  <c r="O188" i="55" s="1"/>
  <c r="O189" i="55" s="1"/>
  <c r="O190" i="55" s="1"/>
  <c r="O191" i="55" s="1"/>
  <c r="O192" i="55" s="1"/>
  <c r="O193" i="55" s="1"/>
  <c r="O194" i="55" s="1"/>
  <c r="O195" i="55" s="1"/>
  <c r="O196" i="55" s="1"/>
  <c r="O197" i="55" s="1"/>
  <c r="O198" i="55" s="1"/>
  <c r="O199" i="55" s="1"/>
  <c r="O200" i="55" s="1"/>
  <c r="O201" i="55" s="1"/>
  <c r="O202" i="55" s="1"/>
  <c r="O203" i="55" s="1"/>
  <c r="O204" i="55" s="1"/>
  <c r="O205" i="55" s="1"/>
  <c r="O206" i="55" s="1"/>
  <c r="O207" i="55" s="1"/>
  <c r="O208" i="55" s="1"/>
  <c r="O209" i="55" s="1"/>
  <c r="O210" i="55" s="1"/>
  <c r="O211" i="55" s="1"/>
  <c r="O212" i="55" s="1"/>
  <c r="O213" i="55" s="1"/>
  <c r="O214" i="55" s="1"/>
  <c r="O215" i="55" s="1"/>
  <c r="O216" i="55" s="1"/>
  <c r="O217" i="55" s="1"/>
  <c r="O218" i="55" s="1"/>
  <c r="O219" i="55" s="1"/>
  <c r="O220" i="55" s="1"/>
  <c r="O221" i="55" s="1"/>
  <c r="O222" i="55" s="1"/>
  <c r="O223" i="55" s="1"/>
  <c r="O224" i="55" s="1"/>
  <c r="O225" i="55" s="1"/>
  <c r="O226" i="55" s="1"/>
  <c r="O227" i="55" s="1"/>
  <c r="O228" i="55" s="1"/>
  <c r="O229" i="55" s="1"/>
  <c r="O230" i="55" s="1"/>
  <c r="O231" i="55" s="1"/>
  <c r="O232" i="55" s="1"/>
  <c r="O233" i="55" s="1"/>
  <c r="O234" i="55" s="1"/>
  <c r="O235" i="55" s="1"/>
  <c r="O236" i="55" s="1"/>
  <c r="O237" i="55" s="1"/>
  <c r="O238" i="55" s="1"/>
  <c r="O239" i="55" s="1"/>
  <c r="O240" i="55" s="1"/>
  <c r="O241" i="55" s="1"/>
  <c r="O242" i="55" s="1"/>
  <c r="O243" i="55" s="1"/>
  <c r="O244" i="55" s="1"/>
  <c r="O245" i="55" s="1"/>
  <c r="O246" i="55" s="1"/>
  <c r="O247" i="55" s="1"/>
  <c r="O248" i="55" s="1"/>
  <c r="O249" i="55" s="1"/>
  <c r="O250" i="55" s="1"/>
  <c r="O251" i="55" s="1"/>
  <c r="O252" i="55" s="1"/>
  <c r="O253" i="55" s="1"/>
  <c r="O254" i="55" s="1"/>
  <c r="O255" i="55" s="1"/>
  <c r="O256" i="55" s="1"/>
  <c r="O257" i="55" s="1"/>
  <c r="O258" i="55" s="1"/>
  <c r="P68" i="55"/>
  <c r="P69" i="55"/>
  <c r="P70" i="55" s="1"/>
  <c r="P71" i="55" s="1"/>
  <c r="P72" i="55" s="1"/>
  <c r="P73" i="55" s="1"/>
  <c r="P74" i="55" s="1"/>
  <c r="P75" i="55" s="1"/>
  <c r="P76" i="55" s="1"/>
  <c r="P77" i="55" s="1"/>
  <c r="P78" i="55" s="1"/>
  <c r="P79" i="55" s="1"/>
  <c r="P80" i="55" s="1"/>
  <c r="P81" i="55" s="1"/>
  <c r="P82" i="55" s="1"/>
  <c r="P83" i="55" s="1"/>
  <c r="P84" i="55" s="1"/>
  <c r="P85" i="55" s="1"/>
  <c r="P86" i="55" s="1"/>
  <c r="P87" i="55" s="1"/>
  <c r="P88" i="55" s="1"/>
  <c r="P89" i="55" s="1"/>
  <c r="P90" i="55" s="1"/>
  <c r="P91" i="55" s="1"/>
  <c r="P92" i="55" s="1"/>
  <c r="P93" i="55" s="1"/>
  <c r="P94" i="55" s="1"/>
  <c r="P95" i="55" s="1"/>
  <c r="P96" i="55" s="1"/>
  <c r="P97" i="55" s="1"/>
  <c r="P98" i="55" s="1"/>
  <c r="P99" i="55" s="1"/>
  <c r="P100" i="55" s="1"/>
  <c r="P101" i="55" s="1"/>
  <c r="P102" i="55" s="1"/>
  <c r="P103" i="55" s="1"/>
  <c r="P104" i="55" s="1"/>
  <c r="P105" i="55" s="1"/>
  <c r="P106" i="55" s="1"/>
  <c r="P107" i="55" s="1"/>
  <c r="P108" i="55" s="1"/>
  <c r="P109" i="55" s="1"/>
  <c r="P110" i="55" s="1"/>
  <c r="P111" i="55" s="1"/>
  <c r="P112" i="55" s="1"/>
  <c r="P113" i="55" s="1"/>
  <c r="P114" i="55" s="1"/>
  <c r="P115" i="55" s="1"/>
  <c r="P116" i="55" s="1"/>
  <c r="P117" i="55" s="1"/>
  <c r="P118" i="55" s="1"/>
  <c r="P119" i="55" s="1"/>
  <c r="P120" i="55" s="1"/>
  <c r="P121" i="55" s="1"/>
  <c r="P122" i="55" s="1"/>
  <c r="P123" i="55" s="1"/>
  <c r="P124" i="55" s="1"/>
  <c r="P125" i="55" s="1"/>
  <c r="P126" i="55" s="1"/>
  <c r="P127" i="55" s="1"/>
  <c r="P128" i="55" s="1"/>
  <c r="P129" i="55" s="1"/>
  <c r="P130" i="55" s="1"/>
  <c r="P131" i="55" s="1"/>
  <c r="P132" i="55" s="1"/>
  <c r="P133" i="55" s="1"/>
  <c r="P134" i="55" s="1"/>
  <c r="P135" i="55" s="1"/>
  <c r="P136" i="55" s="1"/>
  <c r="P137" i="55" s="1"/>
  <c r="P138" i="55" s="1"/>
  <c r="P139" i="55" s="1"/>
  <c r="P140" i="55" s="1"/>
  <c r="P141" i="55" s="1"/>
  <c r="P142" i="55" s="1"/>
  <c r="P143" i="55" s="1"/>
  <c r="P144" i="55" s="1"/>
  <c r="P145" i="55" s="1"/>
  <c r="P146" i="55" s="1"/>
  <c r="P147" i="55" s="1"/>
  <c r="P148" i="55" s="1"/>
  <c r="P149" i="55" s="1"/>
  <c r="P150" i="55" s="1"/>
  <c r="P151" i="55" s="1"/>
  <c r="P152" i="55" s="1"/>
  <c r="P153" i="55" s="1"/>
  <c r="P154" i="55" s="1"/>
  <c r="P155" i="55" s="1"/>
  <c r="P156" i="55" s="1"/>
  <c r="P157" i="55" s="1"/>
  <c r="P158" i="55" s="1"/>
  <c r="P159" i="55" s="1"/>
  <c r="P160" i="55" s="1"/>
  <c r="P161" i="55" s="1"/>
  <c r="P162" i="55" s="1"/>
  <c r="P163" i="55" s="1"/>
  <c r="P164" i="55" s="1"/>
  <c r="P165" i="55" s="1"/>
  <c r="P166" i="55" s="1"/>
  <c r="P167" i="55" s="1"/>
  <c r="P168" i="55" s="1"/>
  <c r="P169" i="55" s="1"/>
  <c r="P170" i="55" s="1"/>
  <c r="P171" i="55" s="1"/>
  <c r="P172" i="55" s="1"/>
  <c r="P173" i="55" s="1"/>
  <c r="P174" i="55" s="1"/>
  <c r="P175" i="55" s="1"/>
  <c r="P176" i="55" s="1"/>
  <c r="P177" i="55" s="1"/>
  <c r="P178" i="55" s="1"/>
  <c r="P179" i="55" s="1"/>
  <c r="P180" i="55" s="1"/>
  <c r="P181" i="55" s="1"/>
  <c r="P182" i="55" s="1"/>
  <c r="P183" i="55" s="1"/>
  <c r="P184" i="55" s="1"/>
  <c r="P185" i="55" s="1"/>
  <c r="P186" i="55" s="1"/>
  <c r="P187" i="55" s="1"/>
  <c r="P188" i="55" s="1"/>
  <c r="P189" i="55" s="1"/>
  <c r="P190" i="55" s="1"/>
  <c r="P191" i="55" s="1"/>
  <c r="P192" i="55" s="1"/>
  <c r="P193" i="55" s="1"/>
  <c r="P194" i="55" s="1"/>
  <c r="P195" i="55" s="1"/>
  <c r="P196" i="55" s="1"/>
  <c r="P197" i="55" s="1"/>
  <c r="P198" i="55" s="1"/>
  <c r="P199" i="55" s="1"/>
  <c r="P200" i="55" s="1"/>
  <c r="P201" i="55" s="1"/>
  <c r="P202" i="55" s="1"/>
  <c r="P203" i="55" s="1"/>
  <c r="P204" i="55" s="1"/>
  <c r="P205" i="55" s="1"/>
  <c r="P206" i="55" s="1"/>
  <c r="P207" i="55" s="1"/>
  <c r="P208" i="55" s="1"/>
  <c r="P209" i="55" s="1"/>
  <c r="P210" i="55" s="1"/>
  <c r="P211" i="55" s="1"/>
  <c r="P212" i="55" s="1"/>
  <c r="P213" i="55" s="1"/>
  <c r="P214" i="55" s="1"/>
  <c r="P215" i="55" s="1"/>
  <c r="P216" i="55" s="1"/>
  <c r="P217" i="55" s="1"/>
  <c r="P218" i="55" s="1"/>
  <c r="P219" i="55" s="1"/>
  <c r="P220" i="55" s="1"/>
  <c r="P221" i="55" s="1"/>
  <c r="P222" i="55" s="1"/>
  <c r="P223" i="55" s="1"/>
  <c r="P224" i="55" s="1"/>
  <c r="P225" i="55" s="1"/>
  <c r="P226" i="55" s="1"/>
  <c r="P227" i="55" s="1"/>
  <c r="P228" i="55" s="1"/>
  <c r="P229" i="55" s="1"/>
  <c r="P230" i="55" s="1"/>
  <c r="P231" i="55" s="1"/>
  <c r="P232" i="55" s="1"/>
  <c r="P233" i="55" s="1"/>
  <c r="P234" i="55" s="1"/>
  <c r="P235" i="55" s="1"/>
  <c r="P236" i="55" s="1"/>
  <c r="P237" i="55" s="1"/>
  <c r="P238" i="55" s="1"/>
  <c r="P239" i="55" s="1"/>
  <c r="P240" i="55" s="1"/>
  <c r="P241" i="55" s="1"/>
  <c r="P242" i="55" s="1"/>
  <c r="P243" i="55" s="1"/>
  <c r="P244" i="55" s="1"/>
  <c r="P245" i="55" s="1"/>
  <c r="P246" i="55" s="1"/>
  <c r="P247" i="55" s="1"/>
  <c r="P248" i="55" s="1"/>
  <c r="P249" i="55" s="1"/>
  <c r="P250" i="55" s="1"/>
  <c r="P251" i="55" s="1"/>
  <c r="P252" i="55" s="1"/>
  <c r="P253" i="55" s="1"/>
  <c r="P254" i="55" s="1"/>
  <c r="P255" i="55" s="1"/>
  <c r="P256" i="55" s="1"/>
  <c r="P257" i="55" s="1"/>
  <c r="P258" i="55" s="1"/>
  <c r="E67" i="55"/>
  <c r="D68" i="55"/>
  <c r="D69" i="55" s="1"/>
  <c r="D70" i="55" s="1"/>
  <c r="D71" i="55" s="1"/>
  <c r="D72" i="55" s="1"/>
  <c r="D73" i="55" s="1"/>
  <c r="D74" i="55" s="1"/>
  <c r="D75" i="55" s="1"/>
  <c r="D76" i="55" s="1"/>
  <c r="D77" i="55" s="1"/>
  <c r="D78" i="55" s="1"/>
  <c r="D79" i="55" s="1"/>
  <c r="D80" i="55" s="1"/>
  <c r="D81" i="55" s="1"/>
  <c r="D82" i="55" s="1"/>
  <c r="D83" i="55" s="1"/>
  <c r="D84" i="55" s="1"/>
  <c r="D85" i="55" s="1"/>
  <c r="D86" i="55" s="1"/>
  <c r="D87" i="55" s="1"/>
  <c r="D88" i="55" s="1"/>
  <c r="D89" i="55" s="1"/>
  <c r="D90" i="55" s="1"/>
  <c r="D91" i="55" s="1"/>
  <c r="D92" i="55" s="1"/>
  <c r="D93" i="55" s="1"/>
  <c r="D94" i="55" s="1"/>
  <c r="D95" i="55" s="1"/>
  <c r="D96" i="55" s="1"/>
  <c r="D97" i="55" s="1"/>
  <c r="D98" i="55" s="1"/>
  <c r="D99" i="55" s="1"/>
  <c r="D100" i="55" s="1"/>
  <c r="D101" i="55" s="1"/>
  <c r="D102" i="55" s="1"/>
  <c r="D103" i="55" s="1"/>
  <c r="D104" i="55" s="1"/>
  <c r="D105" i="55" s="1"/>
  <c r="D106" i="55" s="1"/>
  <c r="D107" i="55" s="1"/>
  <c r="D108" i="55" s="1"/>
  <c r="D109" i="55" s="1"/>
  <c r="D110" i="55" s="1"/>
  <c r="D111" i="55" s="1"/>
  <c r="D112" i="55" s="1"/>
  <c r="D113" i="55" s="1"/>
  <c r="D114" i="55" s="1"/>
  <c r="D115" i="55" s="1"/>
  <c r="D116" i="55" s="1"/>
  <c r="D117" i="55" s="1"/>
  <c r="D118" i="55" s="1"/>
  <c r="D119" i="55" s="1"/>
  <c r="D120" i="55" s="1"/>
  <c r="D121" i="55" s="1"/>
  <c r="D122" i="55" s="1"/>
  <c r="D123" i="55" s="1"/>
  <c r="D124" i="55" s="1"/>
  <c r="D125" i="55" s="1"/>
  <c r="D126" i="55" s="1"/>
  <c r="D127" i="55" s="1"/>
  <c r="D128" i="55" s="1"/>
  <c r="D129" i="55" s="1"/>
  <c r="D130" i="55" s="1"/>
  <c r="D131" i="55" s="1"/>
  <c r="D132" i="55" s="1"/>
  <c r="D133" i="55" s="1"/>
  <c r="D134" i="55" s="1"/>
  <c r="D135" i="55" s="1"/>
  <c r="D136" i="55" s="1"/>
  <c r="D137" i="55" s="1"/>
  <c r="D138" i="55" s="1"/>
  <c r="D139" i="55" s="1"/>
  <c r="D140" i="55" s="1"/>
  <c r="D141" i="55" s="1"/>
  <c r="D142" i="55" s="1"/>
  <c r="D143" i="55" s="1"/>
  <c r="D144" i="55" s="1"/>
  <c r="D145" i="55" s="1"/>
  <c r="D146" i="55" s="1"/>
  <c r="D147" i="55" s="1"/>
  <c r="D148" i="55" s="1"/>
  <c r="D149" i="55" s="1"/>
  <c r="D150" i="55" s="1"/>
  <c r="D151" i="55" s="1"/>
  <c r="D152" i="55" s="1"/>
  <c r="D153" i="55" s="1"/>
  <c r="D154" i="55" s="1"/>
  <c r="D155" i="55" s="1"/>
  <c r="D156" i="55" s="1"/>
  <c r="D157" i="55" s="1"/>
  <c r="D158" i="55" s="1"/>
  <c r="D159" i="55" s="1"/>
  <c r="D160" i="55" s="1"/>
  <c r="D161" i="55" s="1"/>
  <c r="D162" i="55" s="1"/>
  <c r="D163" i="55" s="1"/>
  <c r="D164" i="55" s="1"/>
  <c r="D165" i="55" s="1"/>
  <c r="D166" i="55" s="1"/>
  <c r="D167" i="55" s="1"/>
  <c r="D168" i="55" s="1"/>
  <c r="D169" i="55" s="1"/>
  <c r="D170" i="55" s="1"/>
  <c r="D171" i="55" s="1"/>
  <c r="D172" i="55" s="1"/>
  <c r="D173" i="55" s="1"/>
  <c r="D174" i="55" s="1"/>
  <c r="D175" i="55" s="1"/>
  <c r="D176" i="55" s="1"/>
  <c r="D177" i="55" s="1"/>
  <c r="D178" i="55" s="1"/>
  <c r="D179" i="55" s="1"/>
  <c r="D180" i="55" s="1"/>
  <c r="D181" i="55" s="1"/>
  <c r="D182" i="55" s="1"/>
  <c r="D183" i="55" s="1"/>
  <c r="D184" i="55" s="1"/>
  <c r="D185" i="55" s="1"/>
  <c r="D186" i="55" s="1"/>
  <c r="D187" i="55" s="1"/>
  <c r="D188" i="55" s="1"/>
  <c r="D189" i="55" s="1"/>
  <c r="D190" i="55" s="1"/>
  <c r="D191" i="55" s="1"/>
  <c r="D192" i="55" s="1"/>
  <c r="D193" i="55" s="1"/>
  <c r="D194" i="55" s="1"/>
  <c r="D195" i="55" s="1"/>
  <c r="D196" i="55" s="1"/>
  <c r="D197" i="55" s="1"/>
  <c r="D198" i="55" s="1"/>
  <c r="D199" i="55" s="1"/>
  <c r="D200" i="55" s="1"/>
  <c r="D201" i="55" s="1"/>
  <c r="D202" i="55" s="1"/>
  <c r="D203" i="55" s="1"/>
  <c r="D204" i="55" s="1"/>
  <c r="D205" i="55" s="1"/>
  <c r="D206" i="55" s="1"/>
  <c r="D207" i="55" s="1"/>
  <c r="D208" i="55" s="1"/>
  <c r="D209" i="55" s="1"/>
  <c r="D210" i="55" s="1"/>
  <c r="D211" i="55" s="1"/>
  <c r="D212" i="55" s="1"/>
  <c r="D213" i="55" s="1"/>
  <c r="D214" i="55" s="1"/>
  <c r="D215" i="55" s="1"/>
  <c r="D216" i="55" s="1"/>
  <c r="D217" i="55" s="1"/>
  <c r="D218" i="55" s="1"/>
  <c r="D219" i="55" s="1"/>
  <c r="D220" i="55" s="1"/>
  <c r="D221" i="55" s="1"/>
  <c r="D222" i="55" s="1"/>
  <c r="D223" i="55" s="1"/>
  <c r="D224" i="55" s="1"/>
  <c r="D225" i="55" s="1"/>
  <c r="D226" i="55" s="1"/>
  <c r="D227" i="55" s="1"/>
  <c r="D228" i="55" s="1"/>
  <c r="D229" i="55" s="1"/>
  <c r="D230" i="55" s="1"/>
  <c r="D231" i="55" s="1"/>
  <c r="D232" i="55" s="1"/>
  <c r="D233" i="55" s="1"/>
  <c r="D234" i="55" s="1"/>
  <c r="D235" i="55" s="1"/>
  <c r="D236" i="55" s="1"/>
  <c r="D237" i="55" s="1"/>
  <c r="D238" i="55" s="1"/>
  <c r="D239" i="55" s="1"/>
  <c r="D240" i="55" s="1"/>
  <c r="D241" i="55" s="1"/>
  <c r="D242" i="55" s="1"/>
  <c r="D243" i="55" s="1"/>
  <c r="D244" i="55" s="1"/>
  <c r="D245" i="55" s="1"/>
  <c r="D246" i="55" s="1"/>
  <c r="D247" i="55" s="1"/>
  <c r="D248" i="55" s="1"/>
  <c r="D249" i="55" s="1"/>
  <c r="D250" i="55" s="1"/>
  <c r="D251" i="55" s="1"/>
  <c r="D252" i="55" s="1"/>
  <c r="D253" i="55" s="1"/>
  <c r="D254" i="55" s="1"/>
  <c r="D255" i="55" s="1"/>
  <c r="D256" i="55" s="1"/>
  <c r="D257" i="55" s="1"/>
  <c r="D258" i="55" s="1"/>
  <c r="A68" i="55"/>
  <c r="A69" i="55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90" i="55" s="1"/>
  <c r="A91" i="55" s="1"/>
  <c r="A92" i="55" s="1"/>
  <c r="A93" i="55" s="1"/>
  <c r="A94" i="55" s="1"/>
  <c r="A95" i="55" s="1"/>
  <c r="A96" i="55" s="1"/>
  <c r="A97" i="55" s="1"/>
  <c r="A98" i="55" s="1"/>
  <c r="A99" i="55" s="1"/>
  <c r="A100" i="55" s="1"/>
  <c r="A101" i="55" s="1"/>
  <c r="A102" i="55" s="1"/>
  <c r="A103" i="55" s="1"/>
  <c r="A104" i="55" s="1"/>
  <c r="A105" i="55" s="1"/>
  <c r="A106" i="55" s="1"/>
  <c r="A107" i="55" s="1"/>
  <c r="A108" i="55" s="1"/>
  <c r="A109" i="55" s="1"/>
  <c r="A110" i="55" s="1"/>
  <c r="A111" i="55" s="1"/>
  <c r="A112" i="55" s="1"/>
  <c r="A113" i="55" s="1"/>
  <c r="A114" i="55" s="1"/>
  <c r="A115" i="55" s="1"/>
  <c r="A116" i="55" s="1"/>
  <c r="A117" i="55" s="1"/>
  <c r="A118" i="55" s="1"/>
  <c r="A119" i="55" s="1"/>
  <c r="A120" i="55" s="1"/>
  <c r="A121" i="55" s="1"/>
  <c r="A122" i="55" s="1"/>
  <c r="A123" i="55" s="1"/>
  <c r="A124" i="55" s="1"/>
  <c r="A125" i="55" s="1"/>
  <c r="A126" i="55" s="1"/>
  <c r="A127" i="55" s="1"/>
  <c r="A128" i="55" s="1"/>
  <c r="A129" i="55" s="1"/>
  <c r="A130" i="55" s="1"/>
  <c r="A131" i="55" s="1"/>
  <c r="A132" i="55" s="1"/>
  <c r="A133" i="55" s="1"/>
  <c r="A134" i="55" s="1"/>
  <c r="A135" i="55" s="1"/>
  <c r="A136" i="55" s="1"/>
  <c r="A137" i="55" s="1"/>
  <c r="A138" i="55" s="1"/>
  <c r="A139" i="55" s="1"/>
  <c r="A140" i="55" s="1"/>
  <c r="A141" i="55" s="1"/>
  <c r="A142" i="55" s="1"/>
  <c r="A143" i="55" s="1"/>
  <c r="A144" i="55" s="1"/>
  <c r="A145" i="55" s="1"/>
  <c r="A146" i="55" s="1"/>
  <c r="A147" i="55" s="1"/>
  <c r="A148" i="55" s="1"/>
  <c r="A149" i="55" s="1"/>
  <c r="A150" i="55" s="1"/>
  <c r="A151" i="55" s="1"/>
  <c r="A152" i="55" s="1"/>
  <c r="A153" i="55" s="1"/>
  <c r="A154" i="55" s="1"/>
  <c r="A155" i="55" s="1"/>
  <c r="A156" i="55" s="1"/>
  <c r="A157" i="55" s="1"/>
  <c r="A158" i="55" s="1"/>
  <c r="A159" i="55" s="1"/>
  <c r="A160" i="55" s="1"/>
  <c r="A161" i="55" s="1"/>
  <c r="A162" i="55" s="1"/>
  <c r="A163" i="55" s="1"/>
  <c r="A164" i="55" s="1"/>
  <c r="A165" i="55" s="1"/>
  <c r="A166" i="55" s="1"/>
  <c r="A167" i="55" s="1"/>
  <c r="A168" i="55" s="1"/>
  <c r="A169" i="55" s="1"/>
  <c r="A170" i="55" s="1"/>
  <c r="A171" i="55" s="1"/>
  <c r="A172" i="55" s="1"/>
  <c r="A173" i="55" s="1"/>
  <c r="A174" i="55" s="1"/>
  <c r="A175" i="55" s="1"/>
  <c r="A176" i="55" s="1"/>
  <c r="A177" i="55" s="1"/>
  <c r="A178" i="55" s="1"/>
  <c r="A179" i="55" s="1"/>
  <c r="A180" i="55" s="1"/>
  <c r="A181" i="55" s="1"/>
  <c r="A182" i="55" s="1"/>
  <c r="A183" i="55" s="1"/>
  <c r="A184" i="55" s="1"/>
  <c r="A185" i="55" s="1"/>
  <c r="A186" i="55" s="1"/>
  <c r="A187" i="55" s="1"/>
  <c r="A188" i="55" s="1"/>
  <c r="A189" i="55" s="1"/>
  <c r="A190" i="55" s="1"/>
  <c r="A191" i="55" s="1"/>
  <c r="A192" i="55" s="1"/>
  <c r="A193" i="55" s="1"/>
  <c r="A194" i="55" s="1"/>
  <c r="A195" i="55" s="1"/>
  <c r="A196" i="55" s="1"/>
  <c r="A197" i="55" s="1"/>
  <c r="A198" i="55" s="1"/>
  <c r="A199" i="55" s="1"/>
  <c r="A200" i="55" s="1"/>
  <c r="A201" i="55" s="1"/>
  <c r="A202" i="55" s="1"/>
  <c r="A203" i="55" s="1"/>
  <c r="A204" i="55" s="1"/>
  <c r="A205" i="55" s="1"/>
  <c r="A206" i="55" s="1"/>
  <c r="A207" i="55" s="1"/>
  <c r="A208" i="55" s="1"/>
  <c r="A209" i="55" s="1"/>
  <c r="A210" i="55" s="1"/>
  <c r="A211" i="55" s="1"/>
  <c r="A212" i="55" s="1"/>
  <c r="A213" i="55" s="1"/>
  <c r="A214" i="55" s="1"/>
  <c r="A215" i="55" s="1"/>
  <c r="A216" i="55" s="1"/>
  <c r="A217" i="55" s="1"/>
  <c r="A218" i="55" s="1"/>
  <c r="A219" i="55" s="1"/>
  <c r="A220" i="55" s="1"/>
  <c r="A221" i="55" s="1"/>
  <c r="A222" i="55" s="1"/>
  <c r="A223" i="55" s="1"/>
  <c r="A224" i="55" s="1"/>
  <c r="A225" i="55" s="1"/>
  <c r="A226" i="55" s="1"/>
  <c r="A227" i="55" s="1"/>
  <c r="A228" i="55" s="1"/>
  <c r="A229" i="55" s="1"/>
  <c r="A230" i="55" s="1"/>
  <c r="A231" i="55" s="1"/>
  <c r="A232" i="55" s="1"/>
  <c r="A233" i="55" s="1"/>
  <c r="A234" i="55" s="1"/>
  <c r="A235" i="55" s="1"/>
  <c r="A236" i="55" s="1"/>
  <c r="A237" i="55" s="1"/>
  <c r="A238" i="55" s="1"/>
  <c r="A239" i="55" s="1"/>
  <c r="A240" i="55" s="1"/>
  <c r="A241" i="55" s="1"/>
  <c r="A242" i="55" s="1"/>
  <c r="A243" i="55" s="1"/>
  <c r="A244" i="55" s="1"/>
  <c r="A245" i="55" s="1"/>
  <c r="A246" i="55" s="1"/>
  <c r="A247" i="55" s="1"/>
  <c r="A248" i="55" s="1"/>
  <c r="A249" i="55" s="1"/>
  <c r="A250" i="55" s="1"/>
  <c r="A251" i="55" s="1"/>
  <c r="A252" i="55" s="1"/>
  <c r="A253" i="55" s="1"/>
  <c r="A254" i="55" s="1"/>
  <c r="A255" i="55" s="1"/>
  <c r="A256" i="55" s="1"/>
  <c r="A257" i="55" s="1"/>
  <c r="A258" i="55" s="1"/>
  <c r="A51" i="46" l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44" i="46"/>
  <c r="A591" i="25"/>
  <c r="A592" i="25" s="1"/>
  <c r="A593" i="25" s="1"/>
  <c r="A594" i="25" s="1"/>
  <c r="A595" i="25" s="1"/>
  <c r="A596" i="25" s="1"/>
  <c r="A597" i="25" s="1"/>
  <c r="A598" i="25" s="1"/>
  <c r="A599" i="25" s="1"/>
  <c r="A600" i="25" s="1"/>
  <c r="A601" i="25" s="1"/>
  <c r="A602" i="25" s="1"/>
  <c r="A603" i="25" s="1"/>
  <c r="A604" i="25" s="1"/>
  <c r="A605" i="25" s="1"/>
  <c r="A606" i="25" s="1"/>
  <c r="A607" i="25" s="1"/>
  <c r="A608" i="25" s="1"/>
  <c r="A609" i="25" s="1"/>
  <c r="A610" i="25" s="1"/>
  <c r="A611" i="25" s="1"/>
  <c r="A612" i="25" s="1"/>
  <c r="A613" i="25" s="1"/>
  <c r="A614" i="25" s="1"/>
  <c r="A615" i="25" s="1"/>
  <c r="A616" i="25" s="1"/>
  <c r="A617" i="25" s="1"/>
  <c r="A618" i="25" s="1"/>
  <c r="A619" i="25" s="1"/>
  <c r="A620" i="25" s="1"/>
  <c r="A621" i="25" s="1"/>
  <c r="A622" i="25" s="1"/>
  <c r="A623" i="25" s="1"/>
  <c r="A624" i="25" s="1"/>
  <c r="A625" i="25" s="1"/>
  <c r="A626" i="25" s="1"/>
  <c r="A627" i="25" s="1"/>
  <c r="A628" i="25" s="1"/>
  <c r="A629" i="25" s="1"/>
  <c r="A630" i="25" s="1"/>
  <c r="A631" i="25" s="1"/>
  <c r="A632" i="25" s="1"/>
  <c r="A633" i="25" s="1"/>
  <c r="A634" i="25" s="1"/>
  <c r="A635" i="25" s="1"/>
  <c r="A636" i="25" s="1"/>
  <c r="A637" i="25" s="1"/>
  <c r="A638" i="25" s="1"/>
  <c r="A639" i="25" s="1"/>
  <c r="A640" i="25" s="1"/>
  <c r="A641" i="25" s="1"/>
  <c r="A642" i="25" s="1"/>
  <c r="A643" i="25" s="1"/>
  <c r="A644" i="25" s="1"/>
  <c r="A645" i="25" s="1"/>
  <c r="A646" i="25" s="1"/>
  <c r="A647" i="25" s="1"/>
  <c r="A648" i="25" s="1"/>
  <c r="A649" i="25" s="1"/>
  <c r="A650" i="25" s="1"/>
  <c r="A651" i="25" s="1"/>
  <c r="A652" i="25" s="1"/>
  <c r="A653" i="25" s="1"/>
  <c r="A654" i="25" s="1"/>
  <c r="A655" i="25" s="1"/>
  <c r="A656" i="25" s="1"/>
  <c r="A657" i="25" s="1"/>
  <c r="A658" i="25" s="1"/>
  <c r="A659" i="25" s="1"/>
  <c r="A660" i="25" s="1"/>
  <c r="A661" i="25" s="1"/>
  <c r="A662" i="25" s="1"/>
  <c r="A663" i="25" s="1"/>
  <c r="A664" i="25" s="1"/>
  <c r="A665" i="25" s="1"/>
  <c r="A666" i="25" s="1"/>
  <c r="A667" i="25" s="1"/>
  <c r="A668" i="25" s="1"/>
  <c r="A669" i="25" s="1"/>
  <c r="A670" i="25" s="1"/>
  <c r="A671" i="25" s="1"/>
  <c r="A672" i="25" s="1"/>
  <c r="A673" i="25" s="1"/>
  <c r="A674" i="25" s="1"/>
  <c r="A675" i="25" s="1"/>
  <c r="A676" i="25" s="1"/>
  <c r="A677" i="25" s="1"/>
  <c r="A678" i="25" s="1"/>
  <c r="A679" i="25" s="1"/>
  <c r="A680" i="25" s="1"/>
  <c r="A681" i="25" s="1"/>
  <c r="A682" i="25" s="1"/>
  <c r="B591" i="25"/>
  <c r="B592" i="25" s="1"/>
  <c r="B593" i="25" s="1"/>
  <c r="B594" i="25" s="1"/>
  <c r="B595" i="25" s="1"/>
  <c r="B596" i="25" s="1"/>
  <c r="B597" i="25" s="1"/>
  <c r="B598" i="25" s="1"/>
  <c r="B599" i="25" s="1"/>
  <c r="B600" i="25" s="1"/>
  <c r="B601" i="25" s="1"/>
  <c r="B602" i="25" s="1"/>
  <c r="B603" i="25" s="1"/>
  <c r="B604" i="25" s="1"/>
  <c r="B605" i="25" s="1"/>
  <c r="B606" i="25" s="1"/>
  <c r="B607" i="25" s="1"/>
  <c r="B608" i="25" s="1"/>
  <c r="B609" i="25" s="1"/>
  <c r="B610" i="25" s="1"/>
  <c r="B611" i="25" s="1"/>
  <c r="B612" i="25" s="1"/>
  <c r="B613" i="25" s="1"/>
  <c r="B614" i="25" s="1"/>
  <c r="B615" i="25" s="1"/>
  <c r="B616" i="25" s="1"/>
  <c r="B617" i="25" s="1"/>
  <c r="B618" i="25" s="1"/>
  <c r="B619" i="25" s="1"/>
  <c r="B620" i="25" s="1"/>
  <c r="B621" i="25" s="1"/>
  <c r="B622" i="25" s="1"/>
  <c r="B623" i="25" s="1"/>
  <c r="B624" i="25" s="1"/>
  <c r="B625" i="25" s="1"/>
  <c r="B626" i="25" s="1"/>
  <c r="B627" i="25" s="1"/>
  <c r="B628" i="25" s="1"/>
  <c r="B629" i="25" s="1"/>
  <c r="B630" i="25" s="1"/>
  <c r="B631" i="25" s="1"/>
  <c r="B632" i="25" s="1"/>
  <c r="B633" i="25" s="1"/>
  <c r="B634" i="25" s="1"/>
  <c r="B635" i="25" s="1"/>
  <c r="B636" i="25" s="1"/>
  <c r="B637" i="25" s="1"/>
  <c r="B638" i="25" s="1"/>
  <c r="B639" i="25" s="1"/>
  <c r="B640" i="25" s="1"/>
  <c r="B641" i="25" s="1"/>
  <c r="B642" i="25" s="1"/>
  <c r="B643" i="25" s="1"/>
  <c r="B644" i="25" s="1"/>
  <c r="B645" i="25" s="1"/>
  <c r="B646" i="25" s="1"/>
  <c r="B647" i="25" s="1"/>
  <c r="B648" i="25" s="1"/>
  <c r="B649" i="25" s="1"/>
  <c r="B650" i="25" s="1"/>
  <c r="B651" i="25" s="1"/>
  <c r="B652" i="25" s="1"/>
  <c r="B653" i="25" s="1"/>
  <c r="B654" i="25" s="1"/>
  <c r="B655" i="25" s="1"/>
  <c r="B656" i="25" s="1"/>
  <c r="B657" i="25" s="1"/>
  <c r="B658" i="25" s="1"/>
  <c r="B659" i="25" s="1"/>
  <c r="B660" i="25" s="1"/>
  <c r="B661" i="25" s="1"/>
  <c r="B662" i="25" s="1"/>
  <c r="B663" i="25" s="1"/>
  <c r="B664" i="25" s="1"/>
  <c r="B665" i="25" s="1"/>
  <c r="B666" i="25" s="1"/>
  <c r="B667" i="25" s="1"/>
  <c r="B668" i="25" s="1"/>
  <c r="B669" i="25" s="1"/>
  <c r="B670" i="25" s="1"/>
  <c r="B671" i="25" s="1"/>
  <c r="B672" i="25" s="1"/>
  <c r="B673" i="25" s="1"/>
  <c r="B674" i="25" s="1"/>
  <c r="B675" i="25" s="1"/>
  <c r="B676" i="25" s="1"/>
  <c r="B677" i="25" s="1"/>
  <c r="B678" i="25" s="1"/>
  <c r="B679" i="25" s="1"/>
  <c r="B680" i="25" s="1"/>
  <c r="B681" i="25" s="1"/>
  <c r="B682" i="25" s="1"/>
  <c r="C591" i="25"/>
  <c r="C592" i="25" s="1"/>
  <c r="C593" i="25" s="1"/>
  <c r="C594" i="25" s="1"/>
  <c r="C595" i="25" s="1"/>
  <c r="C596" i="25" s="1"/>
  <c r="C597" i="25" s="1"/>
  <c r="C598" i="25" s="1"/>
  <c r="C599" i="25" s="1"/>
  <c r="C600" i="25" s="1"/>
  <c r="C601" i="25" s="1"/>
  <c r="C602" i="25" s="1"/>
  <c r="C603" i="25" s="1"/>
  <c r="C604" i="25" s="1"/>
  <c r="C605" i="25" s="1"/>
  <c r="C606" i="25" s="1"/>
  <c r="C607" i="25" s="1"/>
  <c r="C608" i="25" s="1"/>
  <c r="C609" i="25" s="1"/>
  <c r="C610" i="25" s="1"/>
  <c r="C611" i="25" s="1"/>
  <c r="C612" i="25" s="1"/>
  <c r="C613" i="25" s="1"/>
  <c r="C614" i="25" s="1"/>
  <c r="C615" i="25" s="1"/>
  <c r="C616" i="25" s="1"/>
  <c r="C617" i="25" s="1"/>
  <c r="C618" i="25" s="1"/>
  <c r="C619" i="25" s="1"/>
  <c r="C620" i="25" s="1"/>
  <c r="C621" i="25" s="1"/>
  <c r="C622" i="25" s="1"/>
  <c r="C623" i="25" s="1"/>
  <c r="C624" i="25" s="1"/>
  <c r="C625" i="25" s="1"/>
  <c r="C626" i="25" s="1"/>
  <c r="C627" i="25" s="1"/>
  <c r="C628" i="25" s="1"/>
  <c r="C629" i="25" s="1"/>
  <c r="C630" i="25" s="1"/>
  <c r="C631" i="25" s="1"/>
  <c r="C632" i="25" s="1"/>
  <c r="C633" i="25" s="1"/>
  <c r="C634" i="25" s="1"/>
  <c r="C635" i="25" s="1"/>
  <c r="C636" i="25" s="1"/>
  <c r="C637" i="25" s="1"/>
  <c r="C638" i="25" s="1"/>
  <c r="C639" i="25" s="1"/>
  <c r="C640" i="25" s="1"/>
  <c r="C641" i="25" s="1"/>
  <c r="C642" i="25" s="1"/>
  <c r="C643" i="25" s="1"/>
  <c r="C644" i="25" s="1"/>
  <c r="C645" i="25" s="1"/>
  <c r="C646" i="25" s="1"/>
  <c r="C647" i="25" s="1"/>
  <c r="C648" i="25" s="1"/>
  <c r="C649" i="25" s="1"/>
  <c r="C650" i="25" s="1"/>
  <c r="C651" i="25" s="1"/>
  <c r="C652" i="25" s="1"/>
  <c r="C653" i="25" s="1"/>
  <c r="C654" i="25" s="1"/>
  <c r="C655" i="25" s="1"/>
  <c r="C656" i="25" s="1"/>
  <c r="C657" i="25" s="1"/>
  <c r="C658" i="25" s="1"/>
  <c r="C659" i="25" s="1"/>
  <c r="C660" i="25" s="1"/>
  <c r="C661" i="25" s="1"/>
  <c r="C662" i="25" s="1"/>
  <c r="C663" i="25" s="1"/>
  <c r="C664" i="25" s="1"/>
  <c r="C665" i="25" s="1"/>
  <c r="C666" i="25" s="1"/>
  <c r="C667" i="25" s="1"/>
  <c r="C668" i="25" s="1"/>
  <c r="C669" i="25" s="1"/>
  <c r="C670" i="25" s="1"/>
  <c r="C671" i="25" s="1"/>
  <c r="C672" i="25" s="1"/>
  <c r="C673" i="25" s="1"/>
  <c r="C674" i="25" s="1"/>
  <c r="C675" i="25" s="1"/>
  <c r="C676" i="25" s="1"/>
  <c r="C677" i="25" s="1"/>
  <c r="C678" i="25" s="1"/>
  <c r="C679" i="25" s="1"/>
  <c r="C680" i="25" s="1"/>
  <c r="C681" i="25" s="1"/>
  <c r="C682" i="25" s="1"/>
  <c r="O591" i="25"/>
  <c r="O592" i="25"/>
  <c r="O593" i="25"/>
  <c r="O594" i="25"/>
  <c r="O595" i="25"/>
  <c r="O596" i="25"/>
  <c r="O597" i="25"/>
  <c r="O598" i="25"/>
  <c r="O599" i="25"/>
  <c r="O600" i="25"/>
  <c r="O601" i="25"/>
  <c r="O602" i="25"/>
  <c r="O603" i="25"/>
  <c r="O604" i="25"/>
  <c r="O605" i="25"/>
  <c r="O606" i="25"/>
  <c r="O607" i="25"/>
  <c r="O608" i="25"/>
  <c r="O609" i="25"/>
  <c r="O610" i="25"/>
  <c r="O611" i="25"/>
  <c r="O612" i="25"/>
  <c r="O613" i="25"/>
  <c r="O614" i="25"/>
  <c r="O615" i="25"/>
  <c r="O616" i="25"/>
  <c r="O617" i="25"/>
  <c r="O618" i="25"/>
  <c r="O619" i="25"/>
  <c r="O620" i="25"/>
  <c r="O621" i="25"/>
  <c r="O622" i="25"/>
  <c r="O623" i="25"/>
  <c r="O624" i="25"/>
  <c r="O625" i="25"/>
  <c r="O626" i="25"/>
  <c r="O627" i="25"/>
  <c r="O628" i="25"/>
  <c r="O629" i="25"/>
  <c r="O630" i="25"/>
  <c r="O631" i="25"/>
  <c r="O632" i="25"/>
  <c r="O633" i="25"/>
  <c r="O634" i="25"/>
  <c r="O635" i="25"/>
  <c r="O636" i="25"/>
  <c r="O637" i="25"/>
  <c r="O638" i="25"/>
  <c r="O639" i="25"/>
  <c r="O640" i="25"/>
  <c r="O641" i="25"/>
  <c r="O642" i="25"/>
  <c r="O643" i="25"/>
  <c r="O644" i="25"/>
  <c r="O645" i="25"/>
  <c r="O646" i="25"/>
  <c r="O647" i="25"/>
  <c r="O648" i="25"/>
  <c r="O649" i="25"/>
  <c r="O650" i="25"/>
  <c r="O651" i="25"/>
  <c r="O652" i="25"/>
  <c r="O653" i="25"/>
  <c r="O654" i="25"/>
  <c r="O655" i="25"/>
  <c r="O656" i="25"/>
  <c r="O657" i="25"/>
  <c r="O658" i="25"/>
  <c r="O659" i="25"/>
  <c r="O660" i="25"/>
  <c r="O661" i="25"/>
  <c r="O662" i="25"/>
  <c r="O663" i="25"/>
  <c r="O664" i="25"/>
  <c r="O665" i="25"/>
  <c r="O666" i="25"/>
  <c r="O667" i="25"/>
  <c r="O668" i="25"/>
  <c r="O669" i="25"/>
  <c r="O670" i="25"/>
  <c r="O671" i="25"/>
  <c r="O672" i="25"/>
  <c r="O673" i="25"/>
  <c r="O674" i="25"/>
  <c r="O675" i="25"/>
  <c r="O676" i="25"/>
  <c r="O677" i="25"/>
  <c r="O678" i="25"/>
  <c r="O679" i="25"/>
  <c r="O680" i="25"/>
  <c r="O681" i="25"/>
  <c r="O682" i="25"/>
  <c r="E245" i="55" l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B3" i="56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B152" i="56" s="1"/>
  <c r="B153" i="56" s="1"/>
  <c r="B154" i="56" s="1"/>
  <c r="B155" i="56" s="1"/>
  <c r="B156" i="56" s="1"/>
  <c r="B157" i="56" s="1"/>
  <c r="B158" i="56" s="1"/>
  <c r="B159" i="56" s="1"/>
  <c r="B160" i="56" s="1"/>
  <c r="B161" i="56" s="1"/>
  <c r="B162" i="56" s="1"/>
  <c r="B163" i="56" s="1"/>
  <c r="B164" i="56" s="1"/>
  <c r="B165" i="56" s="1"/>
  <c r="B166" i="56" s="1"/>
  <c r="B167" i="56" s="1"/>
  <c r="B168" i="56" s="1"/>
  <c r="B169" i="56" s="1"/>
  <c r="B170" i="56" s="1"/>
  <c r="B171" i="56" s="1"/>
  <c r="B172" i="56" s="1"/>
  <c r="B173" i="56" s="1"/>
  <c r="B174" i="56" s="1"/>
  <c r="B175" i="56" s="1"/>
  <c r="B176" i="56" s="1"/>
  <c r="B177" i="56" s="1"/>
  <c r="B178" i="56" s="1"/>
  <c r="B179" i="56" s="1"/>
  <c r="B180" i="56" s="1"/>
  <c r="B181" i="56" s="1"/>
  <c r="B182" i="56" s="1"/>
  <c r="B183" i="56" s="1"/>
  <c r="B184" i="56" s="1"/>
  <c r="B185" i="56" s="1"/>
  <c r="B186" i="56" s="1"/>
  <c r="B187" i="56" s="1"/>
  <c r="B188" i="56" s="1"/>
  <c r="B189" i="56" s="1"/>
  <c r="B190" i="56" s="1"/>
  <c r="B191" i="56" s="1"/>
  <c r="B192" i="56" s="1"/>
  <c r="B193" i="56" s="1"/>
  <c r="B194" i="56" s="1"/>
  <c r="B195" i="56" s="1"/>
  <c r="B196" i="56" s="1"/>
  <c r="B197" i="56" s="1"/>
  <c r="C3" i="56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116" i="56" s="1"/>
  <c r="C117" i="56" s="1"/>
  <c r="C118" i="56" s="1"/>
  <c r="C119" i="56" s="1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C152" i="56" s="1"/>
  <c r="C153" i="56" s="1"/>
  <c r="C154" i="56" s="1"/>
  <c r="C155" i="56" s="1"/>
  <c r="C156" i="56" s="1"/>
  <c r="C157" i="56" s="1"/>
  <c r="C158" i="56" s="1"/>
  <c r="C159" i="56" s="1"/>
  <c r="C160" i="56" s="1"/>
  <c r="C161" i="56" s="1"/>
  <c r="C162" i="56" s="1"/>
  <c r="C163" i="56" s="1"/>
  <c r="C164" i="56" s="1"/>
  <c r="C165" i="56" s="1"/>
  <c r="C166" i="56" s="1"/>
  <c r="C167" i="56" s="1"/>
  <c r="C168" i="56" s="1"/>
  <c r="C169" i="56" s="1"/>
  <c r="C170" i="56" s="1"/>
  <c r="C171" i="56" s="1"/>
  <c r="C172" i="56" s="1"/>
  <c r="C173" i="56" s="1"/>
  <c r="C174" i="56" s="1"/>
  <c r="C175" i="56" s="1"/>
  <c r="C176" i="56" s="1"/>
  <c r="C177" i="56" s="1"/>
  <c r="C178" i="56" s="1"/>
  <c r="C179" i="56" s="1"/>
  <c r="C180" i="56" s="1"/>
  <c r="C181" i="56" s="1"/>
  <c r="C182" i="56" s="1"/>
  <c r="C183" i="56" s="1"/>
  <c r="C184" i="56" s="1"/>
  <c r="C185" i="56" s="1"/>
  <c r="C186" i="56" s="1"/>
  <c r="C187" i="56" s="1"/>
  <c r="C188" i="56" s="1"/>
  <c r="C189" i="56" s="1"/>
  <c r="C190" i="56" s="1"/>
  <c r="C191" i="56" s="1"/>
  <c r="C192" i="56" s="1"/>
  <c r="C193" i="56" s="1"/>
  <c r="C194" i="56" s="1"/>
  <c r="C195" i="56" s="1"/>
  <c r="C196" i="56" s="1"/>
  <c r="C197" i="56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A162" i="56" s="1"/>
  <c r="A163" i="56" s="1"/>
  <c r="A164" i="56" s="1"/>
  <c r="A165" i="56" s="1"/>
  <c r="A166" i="56" s="1"/>
  <c r="A167" i="56" s="1"/>
  <c r="A168" i="56" s="1"/>
  <c r="A169" i="56" s="1"/>
  <c r="A170" i="56" s="1"/>
  <c r="A171" i="56" s="1"/>
  <c r="A172" i="56" s="1"/>
  <c r="A173" i="56" s="1"/>
  <c r="A174" i="56" s="1"/>
  <c r="A175" i="56" s="1"/>
  <c r="A176" i="56" s="1"/>
  <c r="A177" i="56" s="1"/>
  <c r="A178" i="56" s="1"/>
  <c r="A179" i="56" s="1"/>
  <c r="A180" i="56" s="1"/>
  <c r="A181" i="56" s="1"/>
  <c r="A182" i="56" s="1"/>
  <c r="A183" i="56" s="1"/>
  <c r="A184" i="56" s="1"/>
  <c r="A185" i="56" s="1"/>
  <c r="A186" i="56" s="1"/>
  <c r="A187" i="56" s="1"/>
  <c r="A188" i="56" s="1"/>
  <c r="A189" i="56" s="1"/>
  <c r="A190" i="56" s="1"/>
  <c r="A191" i="56" s="1"/>
  <c r="A192" i="56" s="1"/>
  <c r="A193" i="56" s="1"/>
  <c r="A194" i="56" s="1"/>
  <c r="A195" i="56" s="1"/>
  <c r="A196" i="56" s="1"/>
  <c r="A197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N116" i="56" s="1"/>
  <c r="N117" i="56" s="1"/>
  <c r="N118" i="56" s="1"/>
  <c r="N119" i="56" s="1"/>
  <c r="N120" i="56" s="1"/>
  <c r="N121" i="56" s="1"/>
  <c r="N122" i="56" s="1"/>
  <c r="N123" i="56" s="1"/>
  <c r="N124" i="56" s="1"/>
  <c r="N125" i="56" s="1"/>
  <c r="N126" i="56" s="1"/>
  <c r="N127" i="56" s="1"/>
  <c r="N128" i="56" s="1"/>
  <c r="N129" i="56" s="1"/>
  <c r="N130" i="56" s="1"/>
  <c r="N131" i="56" s="1"/>
  <c r="N132" i="56" s="1"/>
  <c r="N133" i="56" s="1"/>
  <c r="N134" i="56" s="1"/>
  <c r="N135" i="56" s="1"/>
  <c r="N136" i="56" s="1"/>
  <c r="N137" i="56" s="1"/>
  <c r="N138" i="56" s="1"/>
  <c r="N139" i="56" s="1"/>
  <c r="N140" i="56" s="1"/>
  <c r="N141" i="56" s="1"/>
  <c r="N142" i="56" s="1"/>
  <c r="N143" i="56" s="1"/>
  <c r="N144" i="56" s="1"/>
  <c r="N145" i="56" s="1"/>
  <c r="N146" i="56" s="1"/>
  <c r="N147" i="56" s="1"/>
  <c r="N148" i="56" s="1"/>
  <c r="N149" i="56" s="1"/>
  <c r="N150" i="56" s="1"/>
  <c r="N151" i="56" s="1"/>
  <c r="N152" i="56" s="1"/>
  <c r="N153" i="56" s="1"/>
  <c r="N154" i="56" s="1"/>
  <c r="N155" i="56" s="1"/>
  <c r="N156" i="56" s="1"/>
  <c r="N157" i="56" s="1"/>
  <c r="N158" i="56" s="1"/>
  <c r="N159" i="56" s="1"/>
  <c r="N160" i="56" s="1"/>
  <c r="N161" i="56" s="1"/>
  <c r="N162" i="56" s="1"/>
  <c r="N163" i="56" s="1"/>
  <c r="N164" i="56" s="1"/>
  <c r="N165" i="56" s="1"/>
  <c r="N166" i="56" s="1"/>
  <c r="N167" i="56" s="1"/>
  <c r="N168" i="56" s="1"/>
  <c r="N169" i="56" s="1"/>
  <c r="N170" i="56" s="1"/>
  <c r="N171" i="56" s="1"/>
  <c r="N172" i="56" s="1"/>
  <c r="N173" i="56" s="1"/>
  <c r="N174" i="56" s="1"/>
  <c r="N175" i="56" s="1"/>
  <c r="N176" i="56" s="1"/>
  <c r="N177" i="56" s="1"/>
  <c r="N178" i="56" s="1"/>
  <c r="N179" i="56" s="1"/>
  <c r="N180" i="56" s="1"/>
  <c r="N181" i="56" s="1"/>
  <c r="N182" i="56" s="1"/>
  <c r="N183" i="56" s="1"/>
  <c r="N184" i="56" s="1"/>
  <c r="N185" i="56" s="1"/>
  <c r="N186" i="56" s="1"/>
  <c r="N187" i="56" s="1"/>
  <c r="N188" i="56" s="1"/>
  <c r="N189" i="56" s="1"/>
  <c r="N190" i="56" s="1"/>
  <c r="N191" i="56" s="1"/>
  <c r="N192" i="56" s="1"/>
  <c r="N193" i="56" s="1"/>
  <c r="N194" i="56" s="1"/>
  <c r="N195" i="56" s="1"/>
  <c r="N196" i="56" s="1"/>
  <c r="N197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O65" i="56" s="1"/>
  <c r="O66" i="56" s="1"/>
  <c r="O67" i="56" s="1"/>
  <c r="O68" i="56" s="1"/>
  <c r="O69" i="56" s="1"/>
  <c r="O70" i="56" s="1"/>
  <c r="O71" i="56" s="1"/>
  <c r="O72" i="56" s="1"/>
  <c r="O73" i="56" s="1"/>
  <c r="O74" i="56" s="1"/>
  <c r="O75" i="56" s="1"/>
  <c r="O76" i="56" s="1"/>
  <c r="O77" i="56" s="1"/>
  <c r="O78" i="56" s="1"/>
  <c r="O79" i="56" s="1"/>
  <c r="O80" i="56" s="1"/>
  <c r="O81" i="56" s="1"/>
  <c r="O82" i="56" s="1"/>
  <c r="O83" i="56" s="1"/>
  <c r="O84" i="56" s="1"/>
  <c r="O85" i="56" s="1"/>
  <c r="O86" i="56" s="1"/>
  <c r="O87" i="56" s="1"/>
  <c r="O88" i="56" s="1"/>
  <c r="O89" i="56" s="1"/>
  <c r="O90" i="56" s="1"/>
  <c r="O91" i="56" s="1"/>
  <c r="O92" i="56" s="1"/>
  <c r="O93" i="56" s="1"/>
  <c r="O94" i="56" s="1"/>
  <c r="O95" i="56" s="1"/>
  <c r="O96" i="56" s="1"/>
  <c r="O97" i="56" s="1"/>
  <c r="O98" i="56" s="1"/>
  <c r="O99" i="56" s="1"/>
  <c r="O100" i="56" s="1"/>
  <c r="O101" i="56" s="1"/>
  <c r="O102" i="56" s="1"/>
  <c r="O103" i="56" s="1"/>
  <c r="O104" i="56" s="1"/>
  <c r="O105" i="56" s="1"/>
  <c r="O106" i="56" s="1"/>
  <c r="O107" i="56" s="1"/>
  <c r="O108" i="56" s="1"/>
  <c r="O109" i="56" s="1"/>
  <c r="O110" i="56" s="1"/>
  <c r="O111" i="56" s="1"/>
  <c r="O112" i="56" s="1"/>
  <c r="O113" i="56" s="1"/>
  <c r="O114" i="56" s="1"/>
  <c r="O115" i="56" s="1"/>
  <c r="O116" i="56" s="1"/>
  <c r="O117" i="56" s="1"/>
  <c r="O118" i="56" s="1"/>
  <c r="O119" i="56" s="1"/>
  <c r="O120" i="56" s="1"/>
  <c r="O121" i="56" s="1"/>
  <c r="O122" i="56" s="1"/>
  <c r="O123" i="56" s="1"/>
  <c r="O124" i="56" s="1"/>
  <c r="O125" i="56" s="1"/>
  <c r="O126" i="56" s="1"/>
  <c r="O127" i="56" s="1"/>
  <c r="O128" i="56" s="1"/>
  <c r="O129" i="56" s="1"/>
  <c r="O130" i="56" s="1"/>
  <c r="O131" i="56" s="1"/>
  <c r="O132" i="56" s="1"/>
  <c r="O133" i="56" s="1"/>
  <c r="O134" i="56" s="1"/>
  <c r="O135" i="56" s="1"/>
  <c r="O136" i="56" s="1"/>
  <c r="O137" i="56" s="1"/>
  <c r="O138" i="56" s="1"/>
  <c r="O139" i="56" s="1"/>
  <c r="O140" i="56" s="1"/>
  <c r="O141" i="56" s="1"/>
  <c r="O142" i="56" s="1"/>
  <c r="O143" i="56" s="1"/>
  <c r="O144" i="56" s="1"/>
  <c r="O145" i="56" s="1"/>
  <c r="O146" i="56" s="1"/>
  <c r="O147" i="56" s="1"/>
  <c r="O148" i="56" s="1"/>
  <c r="O149" i="56" s="1"/>
  <c r="O150" i="56" s="1"/>
  <c r="O151" i="56" s="1"/>
  <c r="O152" i="56" s="1"/>
  <c r="O153" i="56" s="1"/>
  <c r="O154" i="56" s="1"/>
  <c r="O155" i="56" s="1"/>
  <c r="O156" i="56" s="1"/>
  <c r="O157" i="56" s="1"/>
  <c r="O158" i="56" s="1"/>
  <c r="O159" i="56" s="1"/>
  <c r="O160" i="56" s="1"/>
  <c r="O161" i="56" s="1"/>
  <c r="O162" i="56" s="1"/>
  <c r="O163" i="56" s="1"/>
  <c r="O164" i="56" s="1"/>
  <c r="O165" i="56" s="1"/>
  <c r="O166" i="56" s="1"/>
  <c r="O167" i="56" s="1"/>
  <c r="O168" i="56" s="1"/>
  <c r="O169" i="56" s="1"/>
  <c r="O170" i="56" s="1"/>
  <c r="O171" i="56" s="1"/>
  <c r="O172" i="56" s="1"/>
  <c r="O173" i="56" s="1"/>
  <c r="O174" i="56" s="1"/>
  <c r="O175" i="56" s="1"/>
  <c r="O176" i="56" s="1"/>
  <c r="O177" i="56" s="1"/>
  <c r="O178" i="56" s="1"/>
  <c r="O179" i="56" s="1"/>
  <c r="O180" i="56" s="1"/>
  <c r="O181" i="56" s="1"/>
  <c r="O182" i="56" s="1"/>
  <c r="O183" i="56" s="1"/>
  <c r="O184" i="56" s="1"/>
  <c r="O185" i="56" s="1"/>
  <c r="O186" i="56" s="1"/>
  <c r="O187" i="56" s="1"/>
  <c r="O188" i="56" s="1"/>
  <c r="O189" i="56" s="1"/>
  <c r="O190" i="56" s="1"/>
  <c r="O191" i="56" s="1"/>
  <c r="O192" i="56" s="1"/>
  <c r="O193" i="56" s="1"/>
  <c r="O194" i="56" s="1"/>
  <c r="O195" i="56" s="1"/>
  <c r="O196" i="56" s="1"/>
  <c r="O197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P103" i="56" s="1"/>
  <c r="P104" i="56" s="1"/>
  <c r="P105" i="56" s="1"/>
  <c r="P106" i="56" s="1"/>
  <c r="P107" i="56" s="1"/>
  <c r="P108" i="56" s="1"/>
  <c r="P109" i="56" s="1"/>
  <c r="P110" i="56" s="1"/>
  <c r="P111" i="56" s="1"/>
  <c r="P112" i="56" s="1"/>
  <c r="P113" i="56" s="1"/>
  <c r="P114" i="56" s="1"/>
  <c r="P115" i="56" s="1"/>
  <c r="P116" i="56" s="1"/>
  <c r="P117" i="56" s="1"/>
  <c r="P118" i="56" s="1"/>
  <c r="P119" i="56" s="1"/>
  <c r="P120" i="56" s="1"/>
  <c r="P121" i="56" s="1"/>
  <c r="P122" i="56" s="1"/>
  <c r="P123" i="56" s="1"/>
  <c r="P124" i="56" s="1"/>
  <c r="P125" i="56" s="1"/>
  <c r="P126" i="56" s="1"/>
  <c r="P127" i="56" s="1"/>
  <c r="P128" i="56" s="1"/>
  <c r="P129" i="56" s="1"/>
  <c r="P130" i="56" s="1"/>
  <c r="P131" i="56" s="1"/>
  <c r="P132" i="56" s="1"/>
  <c r="P133" i="56" s="1"/>
  <c r="P134" i="56" s="1"/>
  <c r="P135" i="56" s="1"/>
  <c r="P136" i="56" s="1"/>
  <c r="P137" i="56" s="1"/>
  <c r="P138" i="56" s="1"/>
  <c r="P139" i="56" s="1"/>
  <c r="P140" i="56" s="1"/>
  <c r="P141" i="56" s="1"/>
  <c r="P142" i="56" s="1"/>
  <c r="P143" i="56" s="1"/>
  <c r="P144" i="56" s="1"/>
  <c r="P145" i="56" s="1"/>
  <c r="P146" i="56" s="1"/>
  <c r="P147" i="56" s="1"/>
  <c r="P148" i="56" s="1"/>
  <c r="P149" i="56" s="1"/>
  <c r="P150" i="56" s="1"/>
  <c r="P151" i="56" s="1"/>
  <c r="P152" i="56" s="1"/>
  <c r="P153" i="56" s="1"/>
  <c r="P154" i="56" s="1"/>
  <c r="P155" i="56" s="1"/>
  <c r="P156" i="56" s="1"/>
  <c r="P157" i="56" s="1"/>
  <c r="P158" i="56" s="1"/>
  <c r="P159" i="56" s="1"/>
  <c r="P160" i="56" s="1"/>
  <c r="P161" i="56" s="1"/>
  <c r="P162" i="56" s="1"/>
  <c r="P163" i="56" s="1"/>
  <c r="P164" i="56" s="1"/>
  <c r="P165" i="56" s="1"/>
  <c r="P166" i="56" s="1"/>
  <c r="P167" i="56" s="1"/>
  <c r="P168" i="56" s="1"/>
  <c r="P169" i="56" s="1"/>
  <c r="P170" i="56" s="1"/>
  <c r="P171" i="56" s="1"/>
  <c r="P172" i="56" s="1"/>
  <c r="P173" i="56" s="1"/>
  <c r="P174" i="56" s="1"/>
  <c r="P175" i="56" s="1"/>
  <c r="P176" i="56" s="1"/>
  <c r="P177" i="56" s="1"/>
  <c r="P178" i="56" s="1"/>
  <c r="P179" i="56" s="1"/>
  <c r="P180" i="56" s="1"/>
  <c r="P181" i="56" s="1"/>
  <c r="P182" i="56" s="1"/>
  <c r="P183" i="56" s="1"/>
  <c r="P184" i="56" s="1"/>
  <c r="P185" i="56" s="1"/>
  <c r="P186" i="56" s="1"/>
  <c r="P187" i="56" s="1"/>
  <c r="P188" i="56" s="1"/>
  <c r="P189" i="56" s="1"/>
  <c r="P190" i="56" s="1"/>
  <c r="P191" i="56" s="1"/>
  <c r="P192" i="56" s="1"/>
  <c r="P193" i="56" s="1"/>
  <c r="P194" i="56" s="1"/>
  <c r="P195" i="56" s="1"/>
  <c r="P196" i="56" s="1"/>
  <c r="P197" i="56" s="1"/>
  <c r="A3" i="55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B3" i="55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B73" i="55" s="1"/>
  <c r="B74" i="55" s="1"/>
  <c r="B75" i="55" s="1"/>
  <c r="B76" i="55" s="1"/>
  <c r="B77" i="55" s="1"/>
  <c r="B78" i="55" s="1"/>
  <c r="B79" i="55" s="1"/>
  <c r="B80" i="55" s="1"/>
  <c r="B81" i="55" s="1"/>
  <c r="B82" i="55" s="1"/>
  <c r="B83" i="55" s="1"/>
  <c r="B84" i="55" s="1"/>
  <c r="B85" i="55" s="1"/>
  <c r="B86" i="55" s="1"/>
  <c r="B87" i="55" s="1"/>
  <c r="B88" i="55" s="1"/>
  <c r="B89" i="55" s="1"/>
  <c r="B90" i="55" s="1"/>
  <c r="B91" i="55" s="1"/>
  <c r="B92" i="55" s="1"/>
  <c r="B93" i="55" s="1"/>
  <c r="B94" i="55" s="1"/>
  <c r="B95" i="55" s="1"/>
  <c r="B96" i="55" s="1"/>
  <c r="B97" i="55" s="1"/>
  <c r="B98" i="55" s="1"/>
  <c r="B99" i="55" s="1"/>
  <c r="B100" i="55" s="1"/>
  <c r="B101" i="55" s="1"/>
  <c r="B102" i="55" s="1"/>
  <c r="B103" i="55" s="1"/>
  <c r="B104" i="55" s="1"/>
  <c r="B105" i="55" s="1"/>
  <c r="B106" i="55" s="1"/>
  <c r="B107" i="55" s="1"/>
  <c r="B108" i="55" s="1"/>
  <c r="B109" i="55" s="1"/>
  <c r="B110" i="55" s="1"/>
  <c r="B111" i="55" s="1"/>
  <c r="B112" i="55" s="1"/>
  <c r="B113" i="55" s="1"/>
  <c r="B114" i="55" s="1"/>
  <c r="B115" i="55" s="1"/>
  <c r="B116" i="55" s="1"/>
  <c r="B117" i="55" s="1"/>
  <c r="B118" i="55" s="1"/>
  <c r="B119" i="55" s="1"/>
  <c r="B120" i="55" s="1"/>
  <c r="B121" i="55" s="1"/>
  <c r="B122" i="55" s="1"/>
  <c r="B123" i="55" s="1"/>
  <c r="B124" i="55" s="1"/>
  <c r="B125" i="55" s="1"/>
  <c r="B126" i="55" s="1"/>
  <c r="B127" i="55" s="1"/>
  <c r="B128" i="55" s="1"/>
  <c r="B129" i="55" s="1"/>
  <c r="B130" i="55" s="1"/>
  <c r="B131" i="55" s="1"/>
  <c r="B132" i="55" s="1"/>
  <c r="B133" i="55" s="1"/>
  <c r="B134" i="55" s="1"/>
  <c r="B135" i="55" s="1"/>
  <c r="B136" i="55" s="1"/>
  <c r="B137" i="55" s="1"/>
  <c r="B138" i="55" s="1"/>
  <c r="B139" i="55" s="1"/>
  <c r="B140" i="55" s="1"/>
  <c r="B141" i="55" s="1"/>
  <c r="B142" i="55" s="1"/>
  <c r="B143" i="55" s="1"/>
  <c r="B144" i="55" s="1"/>
  <c r="B145" i="55" s="1"/>
  <c r="B146" i="55" s="1"/>
  <c r="B147" i="55" s="1"/>
  <c r="B148" i="55" s="1"/>
  <c r="B149" i="55" s="1"/>
  <c r="B150" i="55" s="1"/>
  <c r="B151" i="55" s="1"/>
  <c r="B152" i="55" s="1"/>
  <c r="B153" i="55" s="1"/>
  <c r="B154" i="55" s="1"/>
  <c r="B155" i="55" s="1"/>
  <c r="B156" i="55" s="1"/>
  <c r="B157" i="55" s="1"/>
  <c r="B158" i="55" s="1"/>
  <c r="B159" i="55" s="1"/>
  <c r="B160" i="55" s="1"/>
  <c r="B161" i="55" s="1"/>
  <c r="B162" i="55" s="1"/>
  <c r="B163" i="55" s="1"/>
  <c r="B164" i="55" s="1"/>
  <c r="B165" i="55" s="1"/>
  <c r="B166" i="55" s="1"/>
  <c r="B167" i="55" s="1"/>
  <c r="B168" i="55" s="1"/>
  <c r="B169" i="55" s="1"/>
  <c r="B170" i="55" s="1"/>
  <c r="B171" i="55" s="1"/>
  <c r="B172" i="55" s="1"/>
  <c r="B173" i="55" s="1"/>
  <c r="B174" i="55" s="1"/>
  <c r="B175" i="55" s="1"/>
  <c r="B176" i="55" s="1"/>
  <c r="B177" i="55" s="1"/>
  <c r="B178" i="55" s="1"/>
  <c r="B179" i="55" s="1"/>
  <c r="B180" i="55" s="1"/>
  <c r="B181" i="55" s="1"/>
  <c r="B182" i="55" s="1"/>
  <c r="B183" i="55" s="1"/>
  <c r="B184" i="55" s="1"/>
  <c r="B185" i="55" s="1"/>
  <c r="B186" i="55" s="1"/>
  <c r="B187" i="55" s="1"/>
  <c r="B188" i="55" s="1"/>
  <c r="B189" i="55" s="1"/>
  <c r="B190" i="55" s="1"/>
  <c r="B191" i="55" s="1"/>
  <c r="B192" i="55" s="1"/>
  <c r="B193" i="55" s="1"/>
  <c r="B194" i="55" s="1"/>
  <c r="B195" i="55" s="1"/>
  <c r="B196" i="55" s="1"/>
  <c r="B197" i="55" s="1"/>
  <c r="B198" i="55" s="1"/>
  <c r="B199" i="55" s="1"/>
  <c r="B200" i="55" s="1"/>
  <c r="B201" i="55" s="1"/>
  <c r="B202" i="55" s="1"/>
  <c r="B203" i="55" s="1"/>
  <c r="B204" i="55" s="1"/>
  <c r="B205" i="55" s="1"/>
  <c r="B206" i="55" s="1"/>
  <c r="B207" i="55" s="1"/>
  <c r="B208" i="55" s="1"/>
  <c r="B209" i="55" s="1"/>
  <c r="B210" i="55" s="1"/>
  <c r="B211" i="55" s="1"/>
  <c r="B212" i="55" s="1"/>
  <c r="B213" i="55" s="1"/>
  <c r="B214" i="55" s="1"/>
  <c r="B215" i="55" s="1"/>
  <c r="B216" i="55" s="1"/>
  <c r="B217" i="55" s="1"/>
  <c r="B218" i="55" s="1"/>
  <c r="B219" i="55" s="1"/>
  <c r="B220" i="55" s="1"/>
  <c r="B221" i="55" s="1"/>
  <c r="B222" i="55" s="1"/>
  <c r="B223" i="55" s="1"/>
  <c r="B224" i="55" s="1"/>
  <c r="B225" i="55" s="1"/>
  <c r="B226" i="55" s="1"/>
  <c r="B227" i="55" s="1"/>
  <c r="B228" i="55" s="1"/>
  <c r="B229" i="55" s="1"/>
  <c r="B230" i="55" s="1"/>
  <c r="B231" i="55" s="1"/>
  <c r="B232" i="55" s="1"/>
  <c r="B233" i="55" s="1"/>
  <c r="B234" i="55" s="1"/>
  <c r="B235" i="55" s="1"/>
  <c r="B236" i="55" s="1"/>
  <c r="B237" i="55" s="1"/>
  <c r="B238" i="55" s="1"/>
  <c r="B239" i="55" s="1"/>
  <c r="B240" i="55" s="1"/>
  <c r="B241" i="55" s="1"/>
  <c r="B242" i="55" s="1"/>
  <c r="B243" i="55" s="1"/>
  <c r="B244" i="55" s="1"/>
  <c r="B245" i="55" s="1"/>
  <c r="B246" i="55" s="1"/>
  <c r="B247" i="55" s="1"/>
  <c r="B248" i="55" s="1"/>
  <c r="B249" i="55" s="1"/>
  <c r="B250" i="55" s="1"/>
  <c r="B251" i="55" s="1"/>
  <c r="B252" i="55" s="1"/>
  <c r="B253" i="55" s="1"/>
  <c r="B254" i="55" s="1"/>
  <c r="B255" i="55" s="1"/>
  <c r="B256" i="55" s="1"/>
  <c r="B257" i="55" s="1"/>
  <c r="B258" i="55" s="1"/>
  <c r="C3" i="55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C68" i="55" s="1"/>
  <c r="C69" i="55" s="1"/>
  <c r="C70" i="55" s="1"/>
  <c r="C71" i="55" s="1"/>
  <c r="C72" i="55" s="1"/>
  <c r="C73" i="55" s="1"/>
  <c r="C74" i="55" s="1"/>
  <c r="C75" i="55" s="1"/>
  <c r="C76" i="55" s="1"/>
  <c r="C77" i="55" s="1"/>
  <c r="C78" i="55" s="1"/>
  <c r="C79" i="55" s="1"/>
  <c r="C80" i="55" s="1"/>
  <c r="C81" i="55" s="1"/>
  <c r="C82" i="55" s="1"/>
  <c r="C83" i="55" s="1"/>
  <c r="C84" i="55" s="1"/>
  <c r="C85" i="55" s="1"/>
  <c r="C86" i="55" s="1"/>
  <c r="C87" i="55" s="1"/>
  <c r="C88" i="55" s="1"/>
  <c r="C89" i="55" s="1"/>
  <c r="C90" i="55" s="1"/>
  <c r="C91" i="55" s="1"/>
  <c r="C92" i="55" s="1"/>
  <c r="C93" i="55" s="1"/>
  <c r="C94" i="55" s="1"/>
  <c r="C95" i="55" s="1"/>
  <c r="C96" i="55" s="1"/>
  <c r="C97" i="55" s="1"/>
  <c r="C98" i="55" s="1"/>
  <c r="C99" i="55" s="1"/>
  <c r="C100" i="55" s="1"/>
  <c r="C101" i="55" s="1"/>
  <c r="C102" i="55" s="1"/>
  <c r="C103" i="55" s="1"/>
  <c r="C104" i="55" s="1"/>
  <c r="C105" i="55" s="1"/>
  <c r="C106" i="55" s="1"/>
  <c r="C107" i="55" s="1"/>
  <c r="C108" i="55" s="1"/>
  <c r="C109" i="55" s="1"/>
  <c r="C110" i="55" s="1"/>
  <c r="C111" i="55" s="1"/>
  <c r="C112" i="55" s="1"/>
  <c r="C113" i="55" s="1"/>
  <c r="C114" i="55" s="1"/>
  <c r="C115" i="55" s="1"/>
  <c r="C116" i="55" s="1"/>
  <c r="C117" i="55" s="1"/>
  <c r="C118" i="55" s="1"/>
  <c r="C119" i="55" s="1"/>
  <c r="C120" i="55" s="1"/>
  <c r="C121" i="55" s="1"/>
  <c r="C122" i="55" s="1"/>
  <c r="C123" i="55" s="1"/>
  <c r="C124" i="55" s="1"/>
  <c r="C125" i="55" s="1"/>
  <c r="C126" i="55" s="1"/>
  <c r="C127" i="55" s="1"/>
  <c r="C128" i="55" s="1"/>
  <c r="C129" i="55" s="1"/>
  <c r="C130" i="55" s="1"/>
  <c r="C131" i="55" s="1"/>
  <c r="C132" i="55" s="1"/>
  <c r="C133" i="55" s="1"/>
  <c r="C134" i="55" s="1"/>
  <c r="C135" i="55" s="1"/>
  <c r="C136" i="55" s="1"/>
  <c r="C137" i="55" s="1"/>
  <c r="C138" i="55" s="1"/>
  <c r="C139" i="55" s="1"/>
  <c r="C140" i="55" s="1"/>
  <c r="C141" i="55" s="1"/>
  <c r="C142" i="55" s="1"/>
  <c r="C143" i="55" s="1"/>
  <c r="C144" i="55" s="1"/>
  <c r="C145" i="55" s="1"/>
  <c r="C146" i="55" s="1"/>
  <c r="C147" i="55" s="1"/>
  <c r="C148" i="55" s="1"/>
  <c r="C149" i="55" s="1"/>
  <c r="C150" i="55" s="1"/>
  <c r="C151" i="55" s="1"/>
  <c r="C152" i="55" s="1"/>
  <c r="C153" i="55" s="1"/>
  <c r="C154" i="55" s="1"/>
  <c r="C155" i="55" s="1"/>
  <c r="C156" i="55" s="1"/>
  <c r="C157" i="55" s="1"/>
  <c r="C158" i="55" s="1"/>
  <c r="C159" i="55" s="1"/>
  <c r="C160" i="55" s="1"/>
  <c r="C161" i="55" s="1"/>
  <c r="C162" i="55" s="1"/>
  <c r="C163" i="55" s="1"/>
  <c r="C164" i="55" s="1"/>
  <c r="C165" i="55" s="1"/>
  <c r="C166" i="55" s="1"/>
  <c r="C167" i="55" s="1"/>
  <c r="C168" i="55" s="1"/>
  <c r="C169" i="55" s="1"/>
  <c r="C170" i="55" s="1"/>
  <c r="C171" i="55" s="1"/>
  <c r="C172" i="55" s="1"/>
  <c r="C173" i="55" s="1"/>
  <c r="C174" i="55" s="1"/>
  <c r="C175" i="55" s="1"/>
  <c r="C176" i="55" s="1"/>
  <c r="C177" i="55" s="1"/>
  <c r="C178" i="55" s="1"/>
  <c r="C179" i="55" s="1"/>
  <c r="C180" i="55" s="1"/>
  <c r="C181" i="55" s="1"/>
  <c r="C182" i="55" s="1"/>
  <c r="C183" i="55" s="1"/>
  <c r="C184" i="55" s="1"/>
  <c r="C185" i="55" s="1"/>
  <c r="C186" i="55" s="1"/>
  <c r="C187" i="55" s="1"/>
  <c r="C188" i="55" s="1"/>
  <c r="C189" i="55" s="1"/>
  <c r="C190" i="55" s="1"/>
  <c r="C191" i="55" s="1"/>
  <c r="C192" i="55" s="1"/>
  <c r="C193" i="55" s="1"/>
  <c r="C194" i="55" s="1"/>
  <c r="C195" i="55" s="1"/>
  <c r="C196" i="55" s="1"/>
  <c r="C197" i="55" s="1"/>
  <c r="C198" i="55" s="1"/>
  <c r="C199" i="55" s="1"/>
  <c r="C200" i="55" s="1"/>
  <c r="C201" i="55" s="1"/>
  <c r="C202" i="55" s="1"/>
  <c r="C203" i="55" s="1"/>
  <c r="C204" i="55" s="1"/>
  <c r="C205" i="55" s="1"/>
  <c r="C206" i="55" s="1"/>
  <c r="C207" i="55" s="1"/>
  <c r="C208" i="55" s="1"/>
  <c r="C209" i="55" s="1"/>
  <c r="C210" i="55" s="1"/>
  <c r="C211" i="55" s="1"/>
  <c r="C212" i="55" s="1"/>
  <c r="C213" i="55" s="1"/>
  <c r="C214" i="55" s="1"/>
  <c r="C215" i="55" s="1"/>
  <c r="C216" i="55" s="1"/>
  <c r="C217" i="55" s="1"/>
  <c r="C218" i="55" s="1"/>
  <c r="C219" i="55" s="1"/>
  <c r="C220" i="55" s="1"/>
  <c r="C221" i="55" s="1"/>
  <c r="C222" i="55" s="1"/>
  <c r="C223" i="55" s="1"/>
  <c r="C224" i="55" s="1"/>
  <c r="C225" i="55" s="1"/>
  <c r="C226" i="55" s="1"/>
  <c r="C227" i="55" s="1"/>
  <c r="C228" i="55" s="1"/>
  <c r="C229" i="55" s="1"/>
  <c r="C230" i="55" s="1"/>
  <c r="C231" i="55" s="1"/>
  <c r="C232" i="55" s="1"/>
  <c r="C233" i="55" s="1"/>
  <c r="C234" i="55" s="1"/>
  <c r="C235" i="55" s="1"/>
  <c r="C236" i="55" s="1"/>
  <c r="C237" i="55" s="1"/>
  <c r="C238" i="55" s="1"/>
  <c r="C239" i="55" s="1"/>
  <c r="C240" i="55" s="1"/>
  <c r="C241" i="55" s="1"/>
  <c r="C242" i="55" s="1"/>
  <c r="C243" i="55" s="1"/>
  <c r="C244" i="55" s="1"/>
  <c r="C245" i="55" s="1"/>
  <c r="C246" i="55" s="1"/>
  <c r="C247" i="55" s="1"/>
  <c r="C248" i="55" s="1"/>
  <c r="C249" i="55" s="1"/>
  <c r="C250" i="55" s="1"/>
  <c r="C251" i="55" s="1"/>
  <c r="C252" i="55" s="1"/>
  <c r="C253" i="55" s="1"/>
  <c r="C254" i="55" s="1"/>
  <c r="C255" i="55" s="1"/>
  <c r="C256" i="55" s="1"/>
  <c r="C257" i="55" s="1"/>
  <c r="C258" i="55" s="1"/>
  <c r="D3" i="55"/>
  <c r="D4" i="55" s="1"/>
  <c r="D5" i="55" s="1"/>
  <c r="D6" i="55" s="1"/>
  <c r="D7" i="55" s="1"/>
  <c r="D8" i="55" s="1"/>
  <c r="D9" i="55" s="1"/>
  <c r="D10" i="55" s="1"/>
  <c r="D11" i="55" s="1"/>
  <c r="D12" i="55" s="1"/>
  <c r="D13" i="55" s="1"/>
  <c r="D14" i="55" s="1"/>
  <c r="D15" i="55" s="1"/>
  <c r="D16" i="55" s="1"/>
  <c r="D17" i="55" s="1"/>
  <c r="D18" i="55" s="1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E3" i="55"/>
  <c r="E4" i="55" s="1"/>
  <c r="E5" i="55" s="1"/>
  <c r="E6" i="55" s="1"/>
  <c r="E7" i="55" s="1"/>
  <c r="E8" i="55" s="1"/>
  <c r="E9" i="55" s="1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F3" i="55"/>
  <c r="F4" i="55" s="1"/>
  <c r="F5" i="55" s="1"/>
  <c r="F6" i="55" s="1"/>
  <c r="F7" i="55" s="1"/>
  <c r="F8" i="55" s="1"/>
  <c r="F9" i="55" s="1"/>
  <c r="F10" i="55" s="1"/>
  <c r="F11" i="55" s="1"/>
  <c r="F12" i="55" s="1"/>
  <c r="F13" i="55" s="1"/>
  <c r="F14" i="55" s="1"/>
  <c r="F15" i="55" s="1"/>
  <c r="F16" i="55" s="1"/>
  <c r="F17" i="55" s="1"/>
  <c r="F18" i="55" s="1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F73" i="55" s="1"/>
  <c r="F74" i="55" s="1"/>
  <c r="F75" i="55" s="1"/>
  <c r="F76" i="55" s="1"/>
  <c r="F77" i="55" s="1"/>
  <c r="F78" i="55" s="1"/>
  <c r="F79" i="55" s="1"/>
  <c r="F80" i="55" s="1"/>
  <c r="F81" i="55" s="1"/>
  <c r="F82" i="55" s="1"/>
  <c r="F83" i="55" s="1"/>
  <c r="F84" i="55" s="1"/>
  <c r="F85" i="55" s="1"/>
  <c r="F86" i="55" s="1"/>
  <c r="F87" i="55" s="1"/>
  <c r="F88" i="55" s="1"/>
  <c r="F89" i="55" s="1"/>
  <c r="F90" i="55" s="1"/>
  <c r="F91" i="55" s="1"/>
  <c r="F92" i="55" s="1"/>
  <c r="F93" i="55" s="1"/>
  <c r="F94" i="55" s="1"/>
  <c r="F95" i="55" s="1"/>
  <c r="F96" i="55" s="1"/>
  <c r="F97" i="55" s="1"/>
  <c r="F98" i="55" s="1"/>
  <c r="F99" i="55" s="1"/>
  <c r="F100" i="55" s="1"/>
  <c r="F101" i="55" s="1"/>
  <c r="F102" i="55" s="1"/>
  <c r="F103" i="55" s="1"/>
  <c r="F104" i="55" s="1"/>
  <c r="F105" i="55" s="1"/>
  <c r="F106" i="55" s="1"/>
  <c r="F107" i="55" s="1"/>
  <c r="F108" i="55" s="1"/>
  <c r="F109" i="55" s="1"/>
  <c r="F110" i="55" s="1"/>
  <c r="F111" i="55" s="1"/>
  <c r="F112" i="55" s="1"/>
  <c r="F113" i="55" s="1"/>
  <c r="F114" i="55" s="1"/>
  <c r="F115" i="55" s="1"/>
  <c r="F116" i="55" s="1"/>
  <c r="F117" i="55" s="1"/>
  <c r="F118" i="55" s="1"/>
  <c r="F119" i="55" s="1"/>
  <c r="F120" i="55" s="1"/>
  <c r="F121" i="55" s="1"/>
  <c r="F122" i="55" s="1"/>
  <c r="F123" i="55" s="1"/>
  <c r="F124" i="55" s="1"/>
  <c r="F125" i="55" s="1"/>
  <c r="F126" i="55" s="1"/>
  <c r="F127" i="55" s="1"/>
  <c r="F128" i="55" s="1"/>
  <c r="F129" i="55" s="1"/>
  <c r="F130" i="55" s="1"/>
  <c r="F131" i="55" s="1"/>
  <c r="F132" i="55" s="1"/>
  <c r="F133" i="55" s="1"/>
  <c r="F134" i="55" s="1"/>
  <c r="F135" i="55" s="1"/>
  <c r="F136" i="55" s="1"/>
  <c r="F137" i="55" s="1"/>
  <c r="F138" i="55" s="1"/>
  <c r="F139" i="55" s="1"/>
  <c r="F140" i="55" s="1"/>
  <c r="F141" i="55" s="1"/>
  <c r="F142" i="55" s="1"/>
  <c r="F143" i="55" s="1"/>
  <c r="F144" i="55" s="1"/>
  <c r="F145" i="55" s="1"/>
  <c r="F146" i="55" s="1"/>
  <c r="F147" i="55" s="1"/>
  <c r="F148" i="55" s="1"/>
  <c r="F149" i="55" s="1"/>
  <c r="F150" i="55" s="1"/>
  <c r="F151" i="55" s="1"/>
  <c r="F152" i="55" s="1"/>
  <c r="F153" i="55" s="1"/>
  <c r="F154" i="55" s="1"/>
  <c r="F155" i="55" s="1"/>
  <c r="F156" i="55" s="1"/>
  <c r="F157" i="55" s="1"/>
  <c r="F158" i="55" s="1"/>
  <c r="F159" i="55" s="1"/>
  <c r="F160" i="55" s="1"/>
  <c r="F161" i="55" s="1"/>
  <c r="F162" i="55" s="1"/>
  <c r="F163" i="55" s="1"/>
  <c r="F164" i="55" s="1"/>
  <c r="F165" i="55" s="1"/>
  <c r="F166" i="55" s="1"/>
  <c r="F167" i="55" s="1"/>
  <c r="F168" i="55" s="1"/>
  <c r="F169" i="55" s="1"/>
  <c r="F170" i="55" s="1"/>
  <c r="F171" i="55" s="1"/>
  <c r="F172" i="55" s="1"/>
  <c r="F173" i="55" s="1"/>
  <c r="F174" i="55" s="1"/>
  <c r="F175" i="55" s="1"/>
  <c r="F176" i="55" s="1"/>
  <c r="F177" i="55" s="1"/>
  <c r="F178" i="55" s="1"/>
  <c r="F179" i="55" s="1"/>
  <c r="F180" i="55" s="1"/>
  <c r="F181" i="55" s="1"/>
  <c r="F182" i="55" s="1"/>
  <c r="F183" i="55" s="1"/>
  <c r="F184" i="55" s="1"/>
  <c r="F185" i="55" s="1"/>
  <c r="F186" i="55" s="1"/>
  <c r="F187" i="55" s="1"/>
  <c r="F188" i="55" s="1"/>
  <c r="F189" i="55" s="1"/>
  <c r="F190" i="55" s="1"/>
  <c r="F191" i="55" s="1"/>
  <c r="F192" i="55" s="1"/>
  <c r="F193" i="55" s="1"/>
  <c r="F194" i="55" s="1"/>
  <c r="F195" i="55" s="1"/>
  <c r="F196" i="55" s="1"/>
  <c r="F197" i="55" s="1"/>
  <c r="F198" i="55" s="1"/>
  <c r="F199" i="55" s="1"/>
  <c r="F200" i="55" s="1"/>
  <c r="F201" i="55" s="1"/>
  <c r="F202" i="55" s="1"/>
  <c r="F203" i="55" s="1"/>
  <c r="F204" i="55" s="1"/>
  <c r="F205" i="55" s="1"/>
  <c r="F206" i="55" s="1"/>
  <c r="F207" i="55" s="1"/>
  <c r="F208" i="55" s="1"/>
  <c r="F209" i="55" s="1"/>
  <c r="F210" i="55" s="1"/>
  <c r="F211" i="55" s="1"/>
  <c r="F212" i="55" s="1"/>
  <c r="F213" i="55" s="1"/>
  <c r="F214" i="55" s="1"/>
  <c r="F215" i="55" s="1"/>
  <c r="F216" i="55" s="1"/>
  <c r="F217" i="55" s="1"/>
  <c r="F218" i="55" s="1"/>
  <c r="F219" i="55" s="1"/>
  <c r="F220" i="55" s="1"/>
  <c r="F221" i="55" s="1"/>
  <c r="F222" i="55" s="1"/>
  <c r="F223" i="55" s="1"/>
  <c r="F224" i="55" s="1"/>
  <c r="F225" i="55" s="1"/>
  <c r="F226" i="55" s="1"/>
  <c r="F227" i="55" s="1"/>
  <c r="F228" i="55" s="1"/>
  <c r="F229" i="55" s="1"/>
  <c r="F230" i="55" s="1"/>
  <c r="F231" i="55" s="1"/>
  <c r="F232" i="55" s="1"/>
  <c r="F233" i="55" s="1"/>
  <c r="F234" i="55" s="1"/>
  <c r="F235" i="55" s="1"/>
  <c r="F236" i="55" s="1"/>
  <c r="F237" i="55" s="1"/>
  <c r="F238" i="55" s="1"/>
  <c r="F239" i="55" s="1"/>
  <c r="F240" i="55" s="1"/>
  <c r="F241" i="55" s="1"/>
  <c r="F242" i="55" s="1"/>
  <c r="F243" i="55" s="1"/>
  <c r="F244" i="55" s="1"/>
  <c r="F245" i="55" s="1"/>
  <c r="F246" i="55" s="1"/>
  <c r="F247" i="55" s="1"/>
  <c r="F248" i="55" s="1"/>
  <c r="F249" i="55" s="1"/>
  <c r="F250" i="55" s="1"/>
  <c r="F251" i="55" s="1"/>
  <c r="F252" i="55" s="1"/>
  <c r="F253" i="55" s="1"/>
  <c r="F254" i="55" s="1"/>
  <c r="F255" i="55" s="1"/>
  <c r="F256" i="55" s="1"/>
  <c r="F257" i="55" s="1"/>
  <c r="F258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N17" i="55" s="1"/>
  <c r="N18" i="55" s="1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O17" i="55" s="1"/>
  <c r="O18" i="55" s="1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P17" i="55" s="1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E77" i="55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69" i="55" l="1"/>
  <c r="E70" i="55" s="1"/>
  <c r="E71" i="55" s="1"/>
  <c r="E72" i="55" s="1"/>
  <c r="E73" i="55" s="1"/>
  <c r="E74" i="55" s="1"/>
  <c r="E75" i="55" s="1"/>
  <c r="A3" i="54"/>
  <c r="A4" i="54" s="1"/>
  <c r="A5" i="54" s="1"/>
  <c r="A6" i="54" s="1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32" i="54" s="1"/>
  <c r="A33" i="54" s="1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A45" i="54" s="1"/>
  <c r="A46" i="54" s="1"/>
  <c r="A47" i="54" s="1"/>
  <c r="A48" i="54" s="1"/>
  <c r="A49" i="54" s="1"/>
  <c r="A50" i="54" s="1"/>
  <c r="A51" i="54" s="1"/>
  <c r="A52" i="54" s="1"/>
  <c r="A53" i="54" s="1"/>
  <c r="A54" i="54" s="1"/>
  <c r="A55" i="54" s="1"/>
  <c r="A56" i="54" s="1"/>
  <c r="A57" i="54" s="1"/>
  <c r="A58" i="54" s="1"/>
  <c r="A59" i="54" s="1"/>
  <c r="A60" i="54" s="1"/>
  <c r="A61" i="54" s="1"/>
  <c r="A62" i="54" s="1"/>
  <c r="A63" i="54" s="1"/>
  <c r="A64" i="54" s="1"/>
  <c r="A65" i="54" s="1"/>
  <c r="A66" i="54" s="1"/>
  <c r="A67" i="54" s="1"/>
  <c r="A68" i="54" s="1"/>
  <c r="A69" i="54" s="1"/>
  <c r="A70" i="54" s="1"/>
  <c r="A71" i="54" s="1"/>
  <c r="A72" i="54" s="1"/>
  <c r="A73" i="54" s="1"/>
  <c r="A74" i="54" s="1"/>
  <c r="A75" i="54" s="1"/>
  <c r="A76" i="54" s="1"/>
  <c r="A77" i="54" s="1"/>
  <c r="A78" i="54" s="1"/>
  <c r="A79" i="54" s="1"/>
  <c r="A80" i="54" s="1"/>
  <c r="A81" i="54" s="1"/>
  <c r="A82" i="54" s="1"/>
  <c r="A83" i="54" s="1"/>
  <c r="A84" i="54" s="1"/>
  <c r="A85" i="54" s="1"/>
  <c r="A86" i="54" s="1"/>
  <c r="A87" i="54" s="1"/>
  <c r="A88" i="54" s="1"/>
  <c r="A89" i="54" s="1"/>
  <c r="A90" i="54" s="1"/>
  <c r="A91" i="54" s="1"/>
  <c r="A92" i="54" s="1"/>
  <c r="A93" i="54" s="1"/>
  <c r="A94" i="54" s="1"/>
  <c r="A95" i="54" s="1"/>
  <c r="A96" i="54" s="1"/>
  <c r="A97" i="54" s="1"/>
  <c r="A98" i="54" s="1"/>
  <c r="A99" i="54" s="1"/>
  <c r="A100" i="54" s="1"/>
  <c r="A101" i="54" s="1"/>
  <c r="A102" i="54" s="1"/>
  <c r="A103" i="54" s="1"/>
  <c r="A104" i="54" s="1"/>
  <c r="A105" i="54" s="1"/>
  <c r="A106" i="54" s="1"/>
  <c r="A107" i="54" s="1"/>
  <c r="A108" i="54" s="1"/>
  <c r="A109" i="54" s="1"/>
  <c r="A110" i="54" s="1"/>
  <c r="A111" i="54" s="1"/>
  <c r="A112" i="54" s="1"/>
  <c r="A113" i="54" s="1"/>
  <c r="A114" i="54" s="1"/>
  <c r="A115" i="54" s="1"/>
  <c r="A116" i="54" s="1"/>
  <c r="A117" i="54" s="1"/>
  <c r="A118" i="54" s="1"/>
  <c r="A119" i="54" s="1"/>
  <c r="A120" i="54" s="1"/>
  <c r="A121" i="54" s="1"/>
  <c r="A122" i="54" s="1"/>
  <c r="A123" i="54" s="1"/>
  <c r="A124" i="54" s="1"/>
  <c r="A125" i="54" s="1"/>
  <c r="A126" i="54" s="1"/>
  <c r="A127" i="54" s="1"/>
  <c r="A128" i="54" s="1"/>
  <c r="A129" i="54" s="1"/>
  <c r="A130" i="54" s="1"/>
  <c r="A131" i="54" s="1"/>
  <c r="A132" i="54" s="1"/>
  <c r="A133" i="54" s="1"/>
  <c r="A134" i="54" s="1"/>
  <c r="A135" i="54" s="1"/>
  <c r="A136" i="54" s="1"/>
  <c r="A137" i="54" s="1"/>
  <c r="A138" i="54" s="1"/>
  <c r="A139" i="54" s="1"/>
  <c r="A140" i="54" s="1"/>
  <c r="A141" i="54" s="1"/>
  <c r="A142" i="54" s="1"/>
  <c r="A143" i="54" s="1"/>
  <c r="A144" i="54" s="1"/>
  <c r="A145" i="54" s="1"/>
  <c r="A146" i="54" s="1"/>
  <c r="A147" i="54" s="1"/>
  <c r="A148" i="54" s="1"/>
  <c r="A149" i="54" s="1"/>
  <c r="A150" i="54" s="1"/>
  <c r="A151" i="54" s="1"/>
  <c r="A152" i="54" s="1"/>
  <c r="A153" i="54" s="1"/>
  <c r="A154" i="54" s="1"/>
  <c r="A155" i="54" s="1"/>
  <c r="A156" i="54" s="1"/>
  <c r="A157" i="54" s="1"/>
  <c r="A158" i="54" s="1"/>
  <c r="A159" i="54" s="1"/>
  <c r="A160" i="54" s="1"/>
  <c r="A161" i="54" s="1"/>
  <c r="A162" i="54" s="1"/>
  <c r="A163" i="54" s="1"/>
  <c r="A164" i="54" s="1"/>
  <c r="A165" i="54" s="1"/>
  <c r="A166" i="54" s="1"/>
  <c r="A167" i="54" s="1"/>
  <c r="A168" i="54" s="1"/>
  <c r="A169" i="54" s="1"/>
  <c r="A170" i="54" s="1"/>
  <c r="A171" i="54" s="1"/>
  <c r="A172" i="54" s="1"/>
  <c r="A173" i="54" s="1"/>
  <c r="A174" i="54" s="1"/>
  <c r="A175" i="54" s="1"/>
  <c r="A176" i="54" s="1"/>
  <c r="A177" i="54" s="1"/>
  <c r="A178" i="54" s="1"/>
  <c r="A179" i="54" s="1"/>
  <c r="A180" i="54" s="1"/>
  <c r="A181" i="54" s="1"/>
  <c r="A182" i="54" s="1"/>
  <c r="A183" i="54" s="1"/>
  <c r="A184" i="54" s="1"/>
  <c r="A185" i="54" s="1"/>
  <c r="A186" i="54" s="1"/>
  <c r="A187" i="54" s="1"/>
  <c r="A188" i="54" s="1"/>
  <c r="A189" i="54" s="1"/>
  <c r="A190" i="54" s="1"/>
  <c r="A191" i="54" s="1"/>
  <c r="A192" i="54" s="1"/>
  <c r="A193" i="54" s="1"/>
  <c r="A194" i="54" s="1"/>
  <c r="A195" i="54" s="1"/>
  <c r="A196" i="54" s="1"/>
  <c r="A197" i="54" s="1"/>
  <c r="A198" i="54" s="1"/>
  <c r="A199" i="54" s="1"/>
  <c r="A200" i="54" s="1"/>
  <c r="A201" i="54" s="1"/>
  <c r="A202" i="54" s="1"/>
  <c r="A203" i="54" s="1"/>
  <c r="A204" i="54" s="1"/>
  <c r="A205" i="54" s="1"/>
  <c r="A206" i="54" s="1"/>
  <c r="A207" i="54" s="1"/>
  <c r="A208" i="54" s="1"/>
  <c r="A209" i="54" s="1"/>
  <c r="A210" i="54" s="1"/>
  <c r="A211" i="54" s="1"/>
  <c r="A212" i="54" s="1"/>
  <c r="A213" i="54" s="1"/>
  <c r="A214" i="54" s="1"/>
  <c r="A215" i="54" s="1"/>
  <c r="A216" i="54" s="1"/>
  <c r="B3" i="54"/>
  <c r="B4" i="54" s="1"/>
  <c r="B5" i="54" s="1"/>
  <c r="B6" i="54" s="1"/>
  <c r="B7" i="54" s="1"/>
  <c r="B8" i="54" s="1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B19" i="54" s="1"/>
  <c r="B20" i="54" s="1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B31" i="54" s="1"/>
  <c r="B32" i="54" s="1"/>
  <c r="B33" i="54" s="1"/>
  <c r="B34" i="54" s="1"/>
  <c r="B35" i="54" s="1"/>
  <c r="B36" i="54" s="1"/>
  <c r="B37" i="54" s="1"/>
  <c r="B38" i="54" s="1"/>
  <c r="B39" i="54" s="1"/>
  <c r="B40" i="54" s="1"/>
  <c r="B41" i="54" s="1"/>
  <c r="B42" i="54" s="1"/>
  <c r="B43" i="54" s="1"/>
  <c r="B44" i="54" s="1"/>
  <c r="B45" i="54" s="1"/>
  <c r="B46" i="54" s="1"/>
  <c r="B47" i="54" s="1"/>
  <c r="B48" i="54" s="1"/>
  <c r="B49" i="54" s="1"/>
  <c r="B50" i="54" s="1"/>
  <c r="B51" i="54" s="1"/>
  <c r="B52" i="54" s="1"/>
  <c r="B53" i="54" s="1"/>
  <c r="B54" i="54" s="1"/>
  <c r="B55" i="54" s="1"/>
  <c r="B56" i="54" s="1"/>
  <c r="B57" i="54" s="1"/>
  <c r="B58" i="54" s="1"/>
  <c r="B59" i="54" s="1"/>
  <c r="B60" i="54" s="1"/>
  <c r="B61" i="54" s="1"/>
  <c r="B62" i="54" s="1"/>
  <c r="B63" i="54" s="1"/>
  <c r="B64" i="54" s="1"/>
  <c r="B65" i="54" s="1"/>
  <c r="B66" i="54" s="1"/>
  <c r="B67" i="54" s="1"/>
  <c r="B68" i="54" s="1"/>
  <c r="B69" i="54" s="1"/>
  <c r="B70" i="54" s="1"/>
  <c r="B71" i="54" s="1"/>
  <c r="B72" i="54" s="1"/>
  <c r="B73" i="54" s="1"/>
  <c r="B74" i="54" s="1"/>
  <c r="B75" i="54" s="1"/>
  <c r="B76" i="54" s="1"/>
  <c r="B77" i="54" s="1"/>
  <c r="B78" i="54" s="1"/>
  <c r="B79" i="54" s="1"/>
  <c r="B80" i="54" s="1"/>
  <c r="B81" i="54" s="1"/>
  <c r="B82" i="54" s="1"/>
  <c r="B83" i="54" s="1"/>
  <c r="B84" i="54" s="1"/>
  <c r="B85" i="54" s="1"/>
  <c r="B86" i="54" s="1"/>
  <c r="B87" i="54" s="1"/>
  <c r="B88" i="54" s="1"/>
  <c r="B89" i="54" s="1"/>
  <c r="B90" i="54" s="1"/>
  <c r="B91" i="54" s="1"/>
  <c r="B92" i="54" s="1"/>
  <c r="B93" i="54" s="1"/>
  <c r="B94" i="54" s="1"/>
  <c r="B95" i="54" s="1"/>
  <c r="B96" i="54" s="1"/>
  <c r="B97" i="54" s="1"/>
  <c r="B98" i="54" s="1"/>
  <c r="B99" i="54" s="1"/>
  <c r="B100" i="54" s="1"/>
  <c r="B101" i="54" s="1"/>
  <c r="B102" i="54" s="1"/>
  <c r="B103" i="54" s="1"/>
  <c r="B104" i="54" s="1"/>
  <c r="B105" i="54" s="1"/>
  <c r="B106" i="54" s="1"/>
  <c r="B107" i="54" s="1"/>
  <c r="B108" i="54" s="1"/>
  <c r="B109" i="54" s="1"/>
  <c r="B110" i="54" s="1"/>
  <c r="B111" i="54" s="1"/>
  <c r="B112" i="54" s="1"/>
  <c r="B113" i="54" s="1"/>
  <c r="B114" i="54" s="1"/>
  <c r="B115" i="54" s="1"/>
  <c r="B116" i="54" s="1"/>
  <c r="B117" i="54" s="1"/>
  <c r="B118" i="54" s="1"/>
  <c r="B119" i="54" s="1"/>
  <c r="B120" i="54" s="1"/>
  <c r="B121" i="54" s="1"/>
  <c r="B122" i="54" s="1"/>
  <c r="B123" i="54" s="1"/>
  <c r="B124" i="54" s="1"/>
  <c r="B125" i="54" s="1"/>
  <c r="B126" i="54" s="1"/>
  <c r="B127" i="54" s="1"/>
  <c r="B128" i="54" s="1"/>
  <c r="B129" i="54" s="1"/>
  <c r="B130" i="54" s="1"/>
  <c r="B131" i="54" s="1"/>
  <c r="B132" i="54" s="1"/>
  <c r="B133" i="54" s="1"/>
  <c r="B134" i="54" s="1"/>
  <c r="B135" i="54" s="1"/>
  <c r="B136" i="54" s="1"/>
  <c r="B137" i="54" s="1"/>
  <c r="B138" i="54" s="1"/>
  <c r="B139" i="54" s="1"/>
  <c r="B140" i="54" s="1"/>
  <c r="B141" i="54" s="1"/>
  <c r="B142" i="54" s="1"/>
  <c r="B143" i="54" s="1"/>
  <c r="B144" i="54" s="1"/>
  <c r="B145" i="54" s="1"/>
  <c r="B146" i="54" s="1"/>
  <c r="B147" i="54" s="1"/>
  <c r="B148" i="54" s="1"/>
  <c r="B149" i="54" s="1"/>
  <c r="B150" i="54" s="1"/>
  <c r="B151" i="54" s="1"/>
  <c r="B152" i="54" s="1"/>
  <c r="B153" i="54" s="1"/>
  <c r="B154" i="54" s="1"/>
  <c r="B155" i="54" s="1"/>
  <c r="B156" i="54" s="1"/>
  <c r="B157" i="54" s="1"/>
  <c r="B158" i="54" s="1"/>
  <c r="B159" i="54" s="1"/>
  <c r="B160" i="54" s="1"/>
  <c r="B161" i="54" s="1"/>
  <c r="B162" i="54" s="1"/>
  <c r="B163" i="54" s="1"/>
  <c r="B164" i="54" s="1"/>
  <c r="B165" i="54" s="1"/>
  <c r="B166" i="54" s="1"/>
  <c r="B167" i="54" s="1"/>
  <c r="B168" i="54" s="1"/>
  <c r="B169" i="54" s="1"/>
  <c r="B170" i="54" s="1"/>
  <c r="B171" i="54" s="1"/>
  <c r="B172" i="54" s="1"/>
  <c r="B173" i="54" s="1"/>
  <c r="B174" i="54" s="1"/>
  <c r="B175" i="54" s="1"/>
  <c r="B176" i="54" s="1"/>
  <c r="B177" i="54" s="1"/>
  <c r="B178" i="54" s="1"/>
  <c r="B179" i="54" s="1"/>
  <c r="B180" i="54" s="1"/>
  <c r="B181" i="54" s="1"/>
  <c r="B182" i="54" s="1"/>
  <c r="B183" i="54" s="1"/>
  <c r="B184" i="54" s="1"/>
  <c r="B185" i="54" s="1"/>
  <c r="B186" i="54" s="1"/>
  <c r="B187" i="54" s="1"/>
  <c r="B188" i="54" s="1"/>
  <c r="B189" i="54" s="1"/>
  <c r="B190" i="54" s="1"/>
  <c r="B191" i="54" s="1"/>
  <c r="B192" i="54" s="1"/>
  <c r="B193" i="54" s="1"/>
  <c r="B194" i="54" s="1"/>
  <c r="B195" i="54" s="1"/>
  <c r="B196" i="54" s="1"/>
  <c r="B197" i="54" s="1"/>
  <c r="B198" i="54" s="1"/>
  <c r="B199" i="54" s="1"/>
  <c r="B200" i="54" s="1"/>
  <c r="B201" i="54" s="1"/>
  <c r="B202" i="54" s="1"/>
  <c r="B203" i="54" s="1"/>
  <c r="B204" i="54" s="1"/>
  <c r="B205" i="54" s="1"/>
  <c r="B206" i="54" s="1"/>
  <c r="B207" i="54" s="1"/>
  <c r="B208" i="54" s="1"/>
  <c r="B209" i="54" s="1"/>
  <c r="B210" i="54" s="1"/>
  <c r="B211" i="54" s="1"/>
  <c r="B212" i="54" s="1"/>
  <c r="B213" i="54" s="1"/>
  <c r="B214" i="54" s="1"/>
  <c r="B215" i="54" s="1"/>
  <c r="B216" i="54" s="1"/>
  <c r="C3" i="54"/>
  <c r="C4" i="54" s="1"/>
  <c r="C5" i="54" s="1"/>
  <c r="C6" i="54" s="1"/>
  <c r="C7" i="54" s="1"/>
  <c r="C8" i="54" s="1"/>
  <c r="C9" i="54" s="1"/>
  <c r="C10" i="54" s="1"/>
  <c r="C11" i="54" s="1"/>
  <c r="C12" i="54" s="1"/>
  <c r="C13" i="54" s="1"/>
  <c r="C14" i="54" s="1"/>
  <c r="C15" i="54" s="1"/>
  <c r="C16" i="54" s="1"/>
  <c r="C17" i="54" s="1"/>
  <c r="C18" i="54" s="1"/>
  <c r="C19" i="54" s="1"/>
  <c r="C20" i="54" s="1"/>
  <c r="C21" i="54" s="1"/>
  <c r="C22" i="54" s="1"/>
  <c r="C23" i="54" s="1"/>
  <c r="C24" i="54" s="1"/>
  <c r="C25" i="54" s="1"/>
  <c r="C26" i="54" s="1"/>
  <c r="C27" i="54" s="1"/>
  <c r="C28" i="54" s="1"/>
  <c r="C29" i="54" s="1"/>
  <c r="C30" i="54" s="1"/>
  <c r="C31" i="54" s="1"/>
  <c r="C32" i="54" s="1"/>
  <c r="C33" i="54" s="1"/>
  <c r="C34" i="54" s="1"/>
  <c r="C35" i="54" s="1"/>
  <c r="C36" i="54" s="1"/>
  <c r="C37" i="54" s="1"/>
  <c r="C38" i="54" s="1"/>
  <c r="C39" i="54" s="1"/>
  <c r="C40" i="54" s="1"/>
  <c r="C41" i="54" s="1"/>
  <c r="C42" i="54" s="1"/>
  <c r="C43" i="54" s="1"/>
  <c r="C44" i="54" s="1"/>
  <c r="C45" i="54" s="1"/>
  <c r="C46" i="54" s="1"/>
  <c r="C47" i="54" s="1"/>
  <c r="C48" i="54" s="1"/>
  <c r="C49" i="54" s="1"/>
  <c r="C50" i="54" s="1"/>
  <c r="C51" i="54" s="1"/>
  <c r="C52" i="54" s="1"/>
  <c r="C53" i="54" s="1"/>
  <c r="C54" i="54" s="1"/>
  <c r="C55" i="54" s="1"/>
  <c r="C56" i="54" s="1"/>
  <c r="C57" i="54" s="1"/>
  <c r="C58" i="54" s="1"/>
  <c r="C59" i="54" s="1"/>
  <c r="C60" i="54" s="1"/>
  <c r="C61" i="54" s="1"/>
  <c r="C62" i="54" s="1"/>
  <c r="C63" i="54" s="1"/>
  <c r="C64" i="54" s="1"/>
  <c r="C65" i="54" s="1"/>
  <c r="C66" i="54" s="1"/>
  <c r="C67" i="54" s="1"/>
  <c r="C68" i="54" s="1"/>
  <c r="C69" i="54" s="1"/>
  <c r="C70" i="54" s="1"/>
  <c r="C71" i="54" s="1"/>
  <c r="C72" i="54" s="1"/>
  <c r="C73" i="54" s="1"/>
  <c r="C74" i="54" s="1"/>
  <c r="C75" i="54" s="1"/>
  <c r="C76" i="54" s="1"/>
  <c r="C77" i="54" s="1"/>
  <c r="C78" i="54" s="1"/>
  <c r="C79" i="54" s="1"/>
  <c r="C80" i="54" s="1"/>
  <c r="C81" i="54" s="1"/>
  <c r="C82" i="54" s="1"/>
  <c r="C83" i="54" s="1"/>
  <c r="C84" i="54" s="1"/>
  <c r="C85" i="54" s="1"/>
  <c r="C86" i="54" s="1"/>
  <c r="C87" i="54" s="1"/>
  <c r="C88" i="54" s="1"/>
  <c r="C89" i="54" s="1"/>
  <c r="C90" i="54" s="1"/>
  <c r="C91" i="54" s="1"/>
  <c r="C92" i="54" s="1"/>
  <c r="C93" i="54" s="1"/>
  <c r="C94" i="54" s="1"/>
  <c r="C95" i="54" s="1"/>
  <c r="C96" i="54" s="1"/>
  <c r="C97" i="54" s="1"/>
  <c r="C98" i="54" s="1"/>
  <c r="C99" i="54" s="1"/>
  <c r="C100" i="54" s="1"/>
  <c r="C101" i="54" s="1"/>
  <c r="C102" i="54" s="1"/>
  <c r="C103" i="54" s="1"/>
  <c r="C104" i="54" s="1"/>
  <c r="C105" i="54" s="1"/>
  <c r="C106" i="54" s="1"/>
  <c r="C107" i="54" s="1"/>
  <c r="C108" i="54" s="1"/>
  <c r="C109" i="54" s="1"/>
  <c r="C110" i="54" s="1"/>
  <c r="C111" i="54" s="1"/>
  <c r="C112" i="54" s="1"/>
  <c r="C113" i="54" s="1"/>
  <c r="C114" i="54" s="1"/>
  <c r="C115" i="54" s="1"/>
  <c r="C116" i="54" s="1"/>
  <c r="C117" i="54" s="1"/>
  <c r="C118" i="54" s="1"/>
  <c r="C119" i="54" s="1"/>
  <c r="C120" i="54" s="1"/>
  <c r="C121" i="54" s="1"/>
  <c r="C122" i="54" s="1"/>
  <c r="C123" i="54" s="1"/>
  <c r="C124" i="54" s="1"/>
  <c r="C125" i="54" s="1"/>
  <c r="C126" i="54" s="1"/>
  <c r="C127" i="54" s="1"/>
  <c r="C128" i="54" s="1"/>
  <c r="C129" i="54" s="1"/>
  <c r="C130" i="54" s="1"/>
  <c r="C131" i="54" s="1"/>
  <c r="C132" i="54" s="1"/>
  <c r="C133" i="54" s="1"/>
  <c r="C134" i="54" s="1"/>
  <c r="C135" i="54" s="1"/>
  <c r="C136" i="54" s="1"/>
  <c r="C137" i="54" s="1"/>
  <c r="C138" i="54" s="1"/>
  <c r="C139" i="54" s="1"/>
  <c r="C140" i="54" s="1"/>
  <c r="C141" i="54" s="1"/>
  <c r="C142" i="54" s="1"/>
  <c r="C143" i="54" s="1"/>
  <c r="C144" i="54" s="1"/>
  <c r="C145" i="54" s="1"/>
  <c r="C146" i="54" s="1"/>
  <c r="C147" i="54" s="1"/>
  <c r="C148" i="54" s="1"/>
  <c r="C149" i="54" s="1"/>
  <c r="C150" i="54" s="1"/>
  <c r="C151" i="54" s="1"/>
  <c r="C152" i="54" s="1"/>
  <c r="C153" i="54" s="1"/>
  <c r="C154" i="54" s="1"/>
  <c r="C155" i="54" s="1"/>
  <c r="C156" i="54" s="1"/>
  <c r="C157" i="54" s="1"/>
  <c r="C158" i="54" s="1"/>
  <c r="C159" i="54" s="1"/>
  <c r="C160" i="54" s="1"/>
  <c r="C161" i="54" s="1"/>
  <c r="C162" i="54" s="1"/>
  <c r="C163" i="54" s="1"/>
  <c r="C164" i="54" s="1"/>
  <c r="C165" i="54" s="1"/>
  <c r="C166" i="54" s="1"/>
  <c r="C167" i="54" s="1"/>
  <c r="C168" i="54" s="1"/>
  <c r="C169" i="54" s="1"/>
  <c r="C170" i="54" s="1"/>
  <c r="C171" i="54" s="1"/>
  <c r="C172" i="54" s="1"/>
  <c r="C173" i="54" s="1"/>
  <c r="C174" i="54" s="1"/>
  <c r="C175" i="54" s="1"/>
  <c r="C176" i="54" s="1"/>
  <c r="C177" i="54" s="1"/>
  <c r="C178" i="54" s="1"/>
  <c r="C179" i="54" s="1"/>
  <c r="C180" i="54" s="1"/>
  <c r="C181" i="54" s="1"/>
  <c r="C182" i="54" s="1"/>
  <c r="C183" i="54" s="1"/>
  <c r="C184" i="54" s="1"/>
  <c r="C185" i="54" s="1"/>
  <c r="C186" i="54" s="1"/>
  <c r="C187" i="54" s="1"/>
  <c r="C188" i="54" s="1"/>
  <c r="C189" i="54" s="1"/>
  <c r="C190" i="54" s="1"/>
  <c r="C191" i="54" s="1"/>
  <c r="C192" i="54" s="1"/>
  <c r="C193" i="54" s="1"/>
  <c r="C194" i="54" s="1"/>
  <c r="C195" i="54" s="1"/>
  <c r="C196" i="54" s="1"/>
  <c r="C197" i="54" s="1"/>
  <c r="C198" i="54" s="1"/>
  <c r="C199" i="54" s="1"/>
  <c r="C200" i="54" s="1"/>
  <c r="C201" i="54" s="1"/>
  <c r="C202" i="54" s="1"/>
  <c r="C203" i="54" s="1"/>
  <c r="C204" i="54" s="1"/>
  <c r="C205" i="54" s="1"/>
  <c r="C206" i="54" s="1"/>
  <c r="C207" i="54" s="1"/>
  <c r="C208" i="54" s="1"/>
  <c r="C209" i="54" s="1"/>
  <c r="C210" i="54" s="1"/>
  <c r="C211" i="54" s="1"/>
  <c r="C212" i="54" s="1"/>
  <c r="C213" i="54" s="1"/>
  <c r="C214" i="54" s="1"/>
  <c r="C215" i="54" s="1"/>
  <c r="C216" i="54" s="1"/>
  <c r="N3" i="54"/>
  <c r="O3" i="54"/>
  <c r="O4" i="54" s="1"/>
  <c r="O5" i="54" s="1"/>
  <c r="O6" i="54" s="1"/>
  <c r="O7" i="54" s="1"/>
  <c r="O8" i="54" s="1"/>
  <c r="O9" i="54" s="1"/>
  <c r="O10" i="54" s="1"/>
  <c r="O11" i="54" s="1"/>
  <c r="O12" i="54" s="1"/>
  <c r="O13" i="54" s="1"/>
  <c r="O14" i="54" s="1"/>
  <c r="O15" i="54" s="1"/>
  <c r="O16" i="54" s="1"/>
  <c r="O17" i="54" s="1"/>
  <c r="O18" i="54" s="1"/>
  <c r="O19" i="54" s="1"/>
  <c r="O20" i="54" s="1"/>
  <c r="O21" i="54" s="1"/>
  <c r="O22" i="54" s="1"/>
  <c r="O23" i="54" s="1"/>
  <c r="O24" i="54" s="1"/>
  <c r="O25" i="54" s="1"/>
  <c r="O26" i="54" s="1"/>
  <c r="O27" i="54" s="1"/>
  <c r="O28" i="54" s="1"/>
  <c r="O29" i="54" s="1"/>
  <c r="O30" i="54" s="1"/>
  <c r="O31" i="54" s="1"/>
  <c r="O32" i="54" s="1"/>
  <c r="O33" i="54" s="1"/>
  <c r="O34" i="54" s="1"/>
  <c r="O35" i="54" s="1"/>
  <c r="O36" i="54" s="1"/>
  <c r="O37" i="54" s="1"/>
  <c r="O38" i="54" s="1"/>
  <c r="O39" i="54" s="1"/>
  <c r="O40" i="54" s="1"/>
  <c r="O41" i="54" s="1"/>
  <c r="O42" i="54" s="1"/>
  <c r="O43" i="54" s="1"/>
  <c r="O44" i="54" s="1"/>
  <c r="O45" i="54" s="1"/>
  <c r="O46" i="54" s="1"/>
  <c r="O47" i="54" s="1"/>
  <c r="O48" i="54" s="1"/>
  <c r="O49" i="54" s="1"/>
  <c r="O50" i="54" s="1"/>
  <c r="O51" i="54" s="1"/>
  <c r="O52" i="54" s="1"/>
  <c r="O53" i="54" s="1"/>
  <c r="O54" i="54" s="1"/>
  <c r="O55" i="54" s="1"/>
  <c r="O56" i="54" s="1"/>
  <c r="O57" i="54" s="1"/>
  <c r="O58" i="54" s="1"/>
  <c r="O59" i="54" s="1"/>
  <c r="O60" i="54" s="1"/>
  <c r="O61" i="54" s="1"/>
  <c r="O62" i="54" s="1"/>
  <c r="O63" i="54" s="1"/>
  <c r="O64" i="54" s="1"/>
  <c r="O65" i="54" s="1"/>
  <c r="O66" i="54" s="1"/>
  <c r="O67" i="54" s="1"/>
  <c r="O68" i="54" s="1"/>
  <c r="O69" i="54" s="1"/>
  <c r="O70" i="54" s="1"/>
  <c r="O71" i="54" s="1"/>
  <c r="O72" i="54" s="1"/>
  <c r="O73" i="54" s="1"/>
  <c r="O74" i="54" s="1"/>
  <c r="O75" i="54" s="1"/>
  <c r="O76" i="54" s="1"/>
  <c r="O77" i="54" s="1"/>
  <c r="O78" i="54" s="1"/>
  <c r="O79" i="54" s="1"/>
  <c r="O80" i="54" s="1"/>
  <c r="O81" i="54" s="1"/>
  <c r="O82" i="54" s="1"/>
  <c r="O83" i="54" s="1"/>
  <c r="O84" i="54" s="1"/>
  <c r="O85" i="54" s="1"/>
  <c r="O86" i="54" s="1"/>
  <c r="O87" i="54" s="1"/>
  <c r="O88" i="54" s="1"/>
  <c r="O89" i="54" s="1"/>
  <c r="O90" i="54" s="1"/>
  <c r="O91" i="54" s="1"/>
  <c r="O92" i="54" s="1"/>
  <c r="O93" i="54" s="1"/>
  <c r="O94" i="54" s="1"/>
  <c r="O95" i="54" s="1"/>
  <c r="O96" i="54" s="1"/>
  <c r="O97" i="54" s="1"/>
  <c r="O98" i="54" s="1"/>
  <c r="O99" i="54" s="1"/>
  <c r="O100" i="54" s="1"/>
  <c r="O101" i="54" s="1"/>
  <c r="O102" i="54" s="1"/>
  <c r="O103" i="54" s="1"/>
  <c r="O104" i="54" s="1"/>
  <c r="O105" i="54" s="1"/>
  <c r="O106" i="54" s="1"/>
  <c r="O107" i="54" s="1"/>
  <c r="O108" i="54" s="1"/>
  <c r="O109" i="54" s="1"/>
  <c r="O110" i="54" s="1"/>
  <c r="O111" i="54" s="1"/>
  <c r="O112" i="54" s="1"/>
  <c r="O113" i="54" s="1"/>
  <c r="O114" i="54" s="1"/>
  <c r="O115" i="54" s="1"/>
  <c r="O116" i="54" s="1"/>
  <c r="O117" i="54" s="1"/>
  <c r="O118" i="54" s="1"/>
  <c r="O119" i="54" s="1"/>
  <c r="O120" i="54" s="1"/>
  <c r="O121" i="54" s="1"/>
  <c r="O122" i="54" s="1"/>
  <c r="O123" i="54" s="1"/>
  <c r="O124" i="54" s="1"/>
  <c r="O125" i="54" s="1"/>
  <c r="O126" i="54" s="1"/>
  <c r="O127" i="54" s="1"/>
  <c r="O128" i="54" s="1"/>
  <c r="O129" i="54" s="1"/>
  <c r="O130" i="54" s="1"/>
  <c r="O131" i="54" s="1"/>
  <c r="O132" i="54" s="1"/>
  <c r="O133" i="54" s="1"/>
  <c r="O134" i="54" s="1"/>
  <c r="O135" i="54" s="1"/>
  <c r="O136" i="54" s="1"/>
  <c r="O137" i="54" s="1"/>
  <c r="O138" i="54" s="1"/>
  <c r="O139" i="54" s="1"/>
  <c r="O140" i="54" s="1"/>
  <c r="O141" i="54" s="1"/>
  <c r="O142" i="54" s="1"/>
  <c r="O143" i="54" s="1"/>
  <c r="O144" i="54" s="1"/>
  <c r="O145" i="54" s="1"/>
  <c r="O146" i="54" s="1"/>
  <c r="O147" i="54" s="1"/>
  <c r="O148" i="54" s="1"/>
  <c r="O149" i="54" s="1"/>
  <c r="O150" i="54" s="1"/>
  <c r="O151" i="54" s="1"/>
  <c r="O152" i="54" s="1"/>
  <c r="O153" i="54" s="1"/>
  <c r="O154" i="54" s="1"/>
  <c r="O155" i="54" s="1"/>
  <c r="O156" i="54" s="1"/>
  <c r="O157" i="54" s="1"/>
  <c r="O158" i="54" s="1"/>
  <c r="O159" i="54" s="1"/>
  <c r="O160" i="54" s="1"/>
  <c r="O161" i="54" s="1"/>
  <c r="O162" i="54" s="1"/>
  <c r="O163" i="54" s="1"/>
  <c r="O164" i="54" s="1"/>
  <c r="O165" i="54" s="1"/>
  <c r="O166" i="54" s="1"/>
  <c r="O167" i="54" s="1"/>
  <c r="O168" i="54" s="1"/>
  <c r="P3" i="54"/>
  <c r="P4" i="54" s="1"/>
  <c r="P5" i="54" s="1"/>
  <c r="N4" i="54"/>
  <c r="N5" i="54"/>
  <c r="N6" i="54" s="1"/>
  <c r="N7" i="54" s="1"/>
  <c r="N8" i="54" s="1"/>
  <c r="N9" i="54" s="1"/>
  <c r="N10" i="54" s="1"/>
  <c r="N11" i="54" s="1"/>
  <c r="N12" i="54" s="1"/>
  <c r="N13" i="54" s="1"/>
  <c r="N14" i="54" s="1"/>
  <c r="N15" i="54" s="1"/>
  <c r="N16" i="54" s="1"/>
  <c r="N17" i="54" s="1"/>
  <c r="N18" i="54" s="1"/>
  <c r="N19" i="54" s="1"/>
  <c r="N20" i="54" s="1"/>
  <c r="N21" i="54" s="1"/>
  <c r="N22" i="54" s="1"/>
  <c r="N23" i="54" s="1"/>
  <c r="N24" i="54" s="1"/>
  <c r="N25" i="54" s="1"/>
  <c r="N26" i="54" s="1"/>
  <c r="N27" i="54" s="1"/>
  <c r="N28" i="54" s="1"/>
  <c r="N29" i="54" s="1"/>
  <c r="N30" i="54" s="1"/>
  <c r="N31" i="54" s="1"/>
  <c r="N32" i="54" s="1"/>
  <c r="N33" i="54" s="1"/>
  <c r="N34" i="54" s="1"/>
  <c r="N35" i="54" s="1"/>
  <c r="N36" i="54" s="1"/>
  <c r="N37" i="54" s="1"/>
  <c r="N38" i="54" s="1"/>
  <c r="N39" i="54" s="1"/>
  <c r="N40" i="54" s="1"/>
  <c r="N41" i="54" s="1"/>
  <c r="N42" i="54" s="1"/>
  <c r="N43" i="54" s="1"/>
  <c r="N44" i="54" s="1"/>
  <c r="N45" i="54" s="1"/>
  <c r="N46" i="54" s="1"/>
  <c r="N47" i="54" s="1"/>
  <c r="N48" i="54" s="1"/>
  <c r="N49" i="54" s="1"/>
  <c r="N50" i="54" s="1"/>
  <c r="N51" i="54" s="1"/>
  <c r="N52" i="54" s="1"/>
  <c r="N53" i="54" s="1"/>
  <c r="N54" i="54" s="1"/>
  <c r="N55" i="54" s="1"/>
  <c r="N56" i="54" s="1"/>
  <c r="N57" i="54" s="1"/>
  <c r="N58" i="54" s="1"/>
  <c r="N59" i="54" s="1"/>
  <c r="N60" i="54" s="1"/>
  <c r="N61" i="54" s="1"/>
  <c r="N62" i="54" s="1"/>
  <c r="N63" i="54" s="1"/>
  <c r="N64" i="54" s="1"/>
  <c r="N65" i="54" s="1"/>
  <c r="N66" i="54" s="1"/>
  <c r="N67" i="54" s="1"/>
  <c r="N68" i="54" s="1"/>
  <c r="N69" i="54" s="1"/>
  <c r="N70" i="54" s="1"/>
  <c r="N71" i="54" s="1"/>
  <c r="N72" i="54" s="1"/>
  <c r="N73" i="54" s="1"/>
  <c r="N74" i="54" s="1"/>
  <c r="N75" i="54" s="1"/>
  <c r="N76" i="54" s="1"/>
  <c r="N77" i="54" s="1"/>
  <c r="N78" i="54" s="1"/>
  <c r="N79" i="54" s="1"/>
  <c r="N80" i="54" s="1"/>
  <c r="N81" i="54" s="1"/>
  <c r="N82" i="54" s="1"/>
  <c r="N83" i="54" s="1"/>
  <c r="N84" i="54" s="1"/>
  <c r="N85" i="54" s="1"/>
  <c r="N86" i="54" s="1"/>
  <c r="N87" i="54" s="1"/>
  <c r="N88" i="54" s="1"/>
  <c r="N89" i="54" s="1"/>
  <c r="N90" i="54" s="1"/>
  <c r="N91" i="54" s="1"/>
  <c r="N92" i="54" s="1"/>
  <c r="N93" i="54" s="1"/>
  <c r="N94" i="54" s="1"/>
  <c r="N95" i="54" s="1"/>
  <c r="N96" i="54" s="1"/>
  <c r="N97" i="54" s="1"/>
  <c r="N98" i="54" s="1"/>
  <c r="N99" i="54" s="1"/>
  <c r="N100" i="54" s="1"/>
  <c r="N101" i="54" s="1"/>
  <c r="N102" i="54" s="1"/>
  <c r="N103" i="54" s="1"/>
  <c r="N104" i="54" s="1"/>
  <c r="N105" i="54" s="1"/>
  <c r="N106" i="54" s="1"/>
  <c r="N107" i="54" s="1"/>
  <c r="N108" i="54" s="1"/>
  <c r="N109" i="54" s="1"/>
  <c r="N110" i="54" s="1"/>
  <c r="N111" i="54" s="1"/>
  <c r="N112" i="54" s="1"/>
  <c r="N113" i="54" s="1"/>
  <c r="N114" i="54" s="1"/>
  <c r="N115" i="54" s="1"/>
  <c r="N116" i="54" s="1"/>
  <c r="N117" i="54" s="1"/>
  <c r="N118" i="54" s="1"/>
  <c r="N119" i="54" s="1"/>
  <c r="N120" i="54" s="1"/>
  <c r="N121" i="54" s="1"/>
  <c r="N122" i="54" s="1"/>
  <c r="N123" i="54" s="1"/>
  <c r="N124" i="54" s="1"/>
  <c r="N125" i="54" s="1"/>
  <c r="N126" i="54" s="1"/>
  <c r="N127" i="54" s="1"/>
  <c r="N128" i="54" s="1"/>
  <c r="N129" i="54" s="1"/>
  <c r="N130" i="54" s="1"/>
  <c r="N131" i="54" s="1"/>
  <c r="N132" i="54" s="1"/>
  <c r="N133" i="54" s="1"/>
  <c r="N134" i="54" s="1"/>
  <c r="N135" i="54" s="1"/>
  <c r="N136" i="54" s="1"/>
  <c r="N137" i="54" s="1"/>
  <c r="N138" i="54" s="1"/>
  <c r="N139" i="54" s="1"/>
  <c r="N140" i="54" s="1"/>
  <c r="N141" i="54" s="1"/>
  <c r="N142" i="54" s="1"/>
  <c r="N143" i="54" s="1"/>
  <c r="N144" i="54" s="1"/>
  <c r="N145" i="54" s="1"/>
  <c r="N146" i="54" s="1"/>
  <c r="N147" i="54" s="1"/>
  <c r="N148" i="54" s="1"/>
  <c r="N149" i="54" s="1"/>
  <c r="N150" i="54" s="1"/>
  <c r="N151" i="54" s="1"/>
  <c r="N152" i="54" s="1"/>
  <c r="N153" i="54" s="1"/>
  <c r="N154" i="54" s="1"/>
  <c r="N155" i="54" s="1"/>
  <c r="N156" i="54" s="1"/>
  <c r="N157" i="54" s="1"/>
  <c r="N158" i="54" s="1"/>
  <c r="N159" i="54" s="1"/>
  <c r="N160" i="54" s="1"/>
  <c r="N161" i="54" s="1"/>
  <c r="N162" i="54" s="1"/>
  <c r="N163" i="54" s="1"/>
  <c r="N164" i="54" s="1"/>
  <c r="N165" i="54" s="1"/>
  <c r="N166" i="54" s="1"/>
  <c r="N167" i="54" s="1"/>
  <c r="N168" i="54" s="1"/>
  <c r="N169" i="54" s="1"/>
  <c r="N170" i="54" s="1"/>
  <c r="N171" i="54" s="1"/>
  <c r="N172" i="54" s="1"/>
  <c r="N173" i="54" s="1"/>
  <c r="N174" i="54" s="1"/>
  <c r="N175" i="54" s="1"/>
  <c r="N176" i="54" s="1"/>
  <c r="N177" i="54" s="1"/>
  <c r="N178" i="54" s="1"/>
  <c r="N179" i="54" s="1"/>
  <c r="N180" i="54" s="1"/>
  <c r="N181" i="54" s="1"/>
  <c r="N182" i="54" s="1"/>
  <c r="N183" i="54" s="1"/>
  <c r="N184" i="54" s="1"/>
  <c r="N185" i="54" s="1"/>
  <c r="N186" i="54" s="1"/>
  <c r="N187" i="54" s="1"/>
  <c r="N188" i="54" s="1"/>
  <c r="N189" i="54" s="1"/>
  <c r="N190" i="54" s="1"/>
  <c r="N191" i="54" s="1"/>
  <c r="N192" i="54" s="1"/>
  <c r="N193" i="54" s="1"/>
  <c r="N194" i="54" s="1"/>
  <c r="N195" i="54" s="1"/>
  <c r="N196" i="54" s="1"/>
  <c r="N197" i="54" s="1"/>
  <c r="N198" i="54" s="1"/>
  <c r="N199" i="54" s="1"/>
  <c r="N200" i="54" s="1"/>
  <c r="N201" i="54" s="1"/>
  <c r="N202" i="54" s="1"/>
  <c r="N203" i="54" s="1"/>
  <c r="N204" i="54" s="1"/>
  <c r="N205" i="54" s="1"/>
  <c r="N206" i="54" s="1"/>
  <c r="N207" i="54" s="1"/>
  <c r="N208" i="54" s="1"/>
  <c r="N209" i="54" s="1"/>
  <c r="N210" i="54" s="1"/>
  <c r="N211" i="54" s="1"/>
  <c r="N212" i="54" s="1"/>
  <c r="N213" i="54" s="1"/>
  <c r="N214" i="54" s="1"/>
  <c r="N215" i="54" s="1"/>
  <c r="N216" i="54" s="1"/>
  <c r="P6" i="54"/>
  <c r="P7" i="54" s="1"/>
  <c r="P8" i="54" s="1"/>
  <c r="P9" i="54" s="1"/>
  <c r="P10" i="54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P98" i="54" s="1"/>
  <c r="P99" i="54" s="1"/>
  <c r="P100" i="54" s="1"/>
  <c r="P101" i="54" s="1"/>
  <c r="P102" i="54" s="1"/>
  <c r="P103" i="54" s="1"/>
  <c r="P104" i="54" s="1"/>
  <c r="P105" i="54" s="1"/>
  <c r="P106" i="54" s="1"/>
  <c r="P107" i="54" s="1"/>
  <c r="P108" i="54" s="1"/>
  <c r="P109" i="54" s="1"/>
  <c r="P110" i="54" s="1"/>
  <c r="P111" i="54" s="1"/>
  <c r="P112" i="54" s="1"/>
  <c r="P113" i="54" s="1"/>
  <c r="P114" i="54" s="1"/>
  <c r="P115" i="54" s="1"/>
  <c r="P116" i="54" s="1"/>
  <c r="P117" i="54" s="1"/>
  <c r="P118" i="54" s="1"/>
  <c r="P119" i="54" s="1"/>
  <c r="P120" i="54" s="1"/>
  <c r="P121" i="54" s="1"/>
  <c r="P122" i="54" s="1"/>
  <c r="P123" i="54" s="1"/>
  <c r="P124" i="54" s="1"/>
  <c r="P125" i="54" s="1"/>
  <c r="P126" i="54" s="1"/>
  <c r="P127" i="54" s="1"/>
  <c r="P128" i="54" s="1"/>
  <c r="P129" i="54" s="1"/>
  <c r="P130" i="54" s="1"/>
  <c r="P131" i="54" s="1"/>
  <c r="P132" i="54" s="1"/>
  <c r="P133" i="54" s="1"/>
  <c r="P134" i="54" s="1"/>
  <c r="P135" i="54" s="1"/>
  <c r="P136" i="54" s="1"/>
  <c r="P137" i="54" s="1"/>
  <c r="P138" i="54" s="1"/>
  <c r="P139" i="54" s="1"/>
  <c r="P140" i="54" s="1"/>
  <c r="P141" i="54" s="1"/>
  <c r="P142" i="54" s="1"/>
  <c r="P143" i="54" s="1"/>
  <c r="P144" i="54" s="1"/>
  <c r="P145" i="54" s="1"/>
  <c r="P146" i="54" s="1"/>
  <c r="P147" i="54" s="1"/>
  <c r="P148" i="54" s="1"/>
  <c r="P149" i="54" s="1"/>
  <c r="P150" i="54" s="1"/>
  <c r="P151" i="54" s="1"/>
  <c r="P152" i="54" s="1"/>
  <c r="P153" i="54" s="1"/>
  <c r="P154" i="54" s="1"/>
  <c r="P155" i="54" s="1"/>
  <c r="P156" i="54" s="1"/>
  <c r="P157" i="54" s="1"/>
  <c r="P158" i="54" s="1"/>
  <c r="P159" i="54" s="1"/>
  <c r="P160" i="54" s="1"/>
  <c r="P161" i="54" s="1"/>
  <c r="P162" i="54" s="1"/>
  <c r="P163" i="54" s="1"/>
  <c r="P164" i="54" s="1"/>
  <c r="P165" i="54" s="1"/>
  <c r="P166" i="54" s="1"/>
  <c r="P167" i="54" s="1"/>
  <c r="P168" i="54" s="1"/>
  <c r="P169" i="54" s="1"/>
  <c r="P170" i="54" s="1"/>
  <c r="P171" i="54" s="1"/>
  <c r="P172" i="54" s="1"/>
  <c r="P173" i="54" s="1"/>
  <c r="P174" i="54" s="1"/>
  <c r="P175" i="54" s="1"/>
  <c r="P176" i="54" s="1"/>
  <c r="P177" i="54" s="1"/>
  <c r="P178" i="54" s="1"/>
  <c r="P179" i="54" s="1"/>
  <c r="P180" i="54" s="1"/>
  <c r="P181" i="54" s="1"/>
  <c r="P182" i="54" s="1"/>
  <c r="P183" i="54" s="1"/>
  <c r="P184" i="54" s="1"/>
  <c r="P185" i="54" s="1"/>
  <c r="P186" i="54" s="1"/>
  <c r="P187" i="54" s="1"/>
  <c r="P188" i="54" s="1"/>
  <c r="P189" i="54" s="1"/>
  <c r="P190" i="54" s="1"/>
  <c r="P191" i="54" s="1"/>
  <c r="P192" i="54" s="1"/>
  <c r="P193" i="54" s="1"/>
  <c r="P194" i="54" s="1"/>
  <c r="P195" i="54" s="1"/>
  <c r="P196" i="54" s="1"/>
  <c r="P197" i="54" s="1"/>
  <c r="P198" i="54" s="1"/>
  <c r="P199" i="54" s="1"/>
  <c r="P200" i="54" s="1"/>
  <c r="P201" i="54" s="1"/>
  <c r="P202" i="54" s="1"/>
  <c r="P203" i="54" s="1"/>
  <c r="P204" i="54" s="1"/>
  <c r="P205" i="54" s="1"/>
  <c r="P206" i="54" s="1"/>
  <c r="P207" i="54" s="1"/>
  <c r="P208" i="54" s="1"/>
  <c r="P209" i="54" s="1"/>
  <c r="P210" i="54" s="1"/>
  <c r="P211" i="54" s="1"/>
  <c r="P212" i="54" s="1"/>
  <c r="P213" i="54" s="1"/>
  <c r="P214" i="54" s="1"/>
  <c r="P215" i="54" s="1"/>
  <c r="P216" i="54" s="1"/>
  <c r="O170" i="54"/>
  <c r="O171" i="54" s="1"/>
  <c r="O172" i="54"/>
  <c r="O173" i="54" s="1"/>
  <c r="O174" i="54" s="1"/>
  <c r="O175" i="54" s="1"/>
  <c r="O176" i="54" s="1"/>
  <c r="O177" i="54" s="1"/>
  <c r="O178" i="54" s="1"/>
  <c r="O179" i="54" s="1"/>
  <c r="O180" i="54" s="1"/>
  <c r="O181" i="54" s="1"/>
  <c r="O182" i="54" s="1"/>
  <c r="O183" i="54" s="1"/>
  <c r="O184" i="54" s="1"/>
  <c r="O185" i="54" s="1"/>
  <c r="O186" i="54" s="1"/>
  <c r="O187" i="54" s="1"/>
  <c r="O188" i="54" s="1"/>
  <c r="O189" i="54" s="1"/>
  <c r="O190" i="54" s="1"/>
  <c r="O191" i="54" s="1"/>
  <c r="O192" i="54" s="1"/>
  <c r="O193" i="54" s="1"/>
  <c r="O194" i="54" s="1"/>
  <c r="O195" i="54" s="1"/>
  <c r="O196" i="54" s="1"/>
  <c r="O197" i="54" s="1"/>
  <c r="O198" i="54" s="1"/>
  <c r="O199" i="54" s="1"/>
  <c r="O200" i="54" s="1"/>
  <c r="O201" i="54" s="1"/>
  <c r="O202" i="54" s="1"/>
  <c r="O203" i="54" s="1"/>
  <c r="O204" i="54" s="1"/>
  <c r="O205" i="54" s="1"/>
  <c r="O206" i="54" s="1"/>
  <c r="O207" i="54" s="1"/>
  <c r="O208" i="54" s="1"/>
  <c r="O209" i="54" s="1"/>
  <c r="O210" i="54" s="1"/>
  <c r="O211" i="54" s="1"/>
  <c r="O212" i="54" s="1"/>
  <c r="O213" i="54" s="1"/>
  <c r="O214" i="54" s="1"/>
  <c r="O215" i="54" s="1"/>
  <c r="O216" i="54" s="1"/>
  <c r="A3" i="53"/>
  <c r="A4" i="53" s="1"/>
  <c r="A5" i="53" s="1"/>
  <c r="A6" i="53" s="1"/>
  <c r="A7" i="53" s="1"/>
  <c r="B3" i="53"/>
  <c r="B4" i="53" s="1"/>
  <c r="B5" i="53" s="1"/>
  <c r="B6" i="53" s="1"/>
  <c r="B7" i="53" s="1"/>
  <c r="B8" i="53" s="1"/>
  <c r="B9" i="53" s="1"/>
  <c r="B10" i="53" s="1"/>
  <c r="B11" i="53" s="1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58" i="53" s="1"/>
  <c r="B59" i="53" s="1"/>
  <c r="B60" i="53" s="1"/>
  <c r="B61" i="53" s="1"/>
  <c r="B62" i="53" s="1"/>
  <c r="B63" i="53" s="1"/>
  <c r="B64" i="53" s="1"/>
  <c r="B65" i="53" s="1"/>
  <c r="B66" i="53" s="1"/>
  <c r="B67" i="53" s="1"/>
  <c r="B68" i="53" s="1"/>
  <c r="B69" i="53" s="1"/>
  <c r="B70" i="53" s="1"/>
  <c r="B71" i="53" s="1"/>
  <c r="B72" i="53" s="1"/>
  <c r="B73" i="53" s="1"/>
  <c r="B74" i="53" s="1"/>
  <c r="B75" i="53" s="1"/>
  <c r="B76" i="53" s="1"/>
  <c r="B77" i="53" s="1"/>
  <c r="B78" i="53" s="1"/>
  <c r="B79" i="53" s="1"/>
  <c r="B80" i="53" s="1"/>
  <c r="B81" i="53" s="1"/>
  <c r="B82" i="53" s="1"/>
  <c r="B83" i="53" s="1"/>
  <c r="B84" i="53" s="1"/>
  <c r="B85" i="53" s="1"/>
  <c r="B86" i="53" s="1"/>
  <c r="B87" i="53" s="1"/>
  <c r="B88" i="53" s="1"/>
  <c r="B89" i="53" s="1"/>
  <c r="B90" i="53" s="1"/>
  <c r="B91" i="53" s="1"/>
  <c r="B92" i="53" s="1"/>
  <c r="B93" i="53" s="1"/>
  <c r="B94" i="53" s="1"/>
  <c r="B95" i="53" s="1"/>
  <c r="B96" i="53" s="1"/>
  <c r="B97" i="53" s="1"/>
  <c r="B98" i="53" s="1"/>
  <c r="B99" i="53" s="1"/>
  <c r="B100" i="53" s="1"/>
  <c r="B101" i="53" s="1"/>
  <c r="B102" i="53" s="1"/>
  <c r="B103" i="53" s="1"/>
  <c r="B104" i="53" s="1"/>
  <c r="B105" i="53" s="1"/>
  <c r="B106" i="53" s="1"/>
  <c r="B107" i="53" s="1"/>
  <c r="B108" i="53" s="1"/>
  <c r="B109" i="53" s="1"/>
  <c r="B110" i="53" s="1"/>
  <c r="B111" i="53" s="1"/>
  <c r="B112" i="53" s="1"/>
  <c r="B113" i="53" s="1"/>
  <c r="B114" i="53" s="1"/>
  <c r="B115" i="53" s="1"/>
  <c r="B116" i="53" s="1"/>
  <c r="B117" i="53" s="1"/>
  <c r="B118" i="53" s="1"/>
  <c r="B119" i="53" s="1"/>
  <c r="B120" i="53" s="1"/>
  <c r="B121" i="53" s="1"/>
  <c r="B122" i="53" s="1"/>
  <c r="B123" i="53" s="1"/>
  <c r="B124" i="53" s="1"/>
  <c r="B125" i="53" s="1"/>
  <c r="B126" i="53" s="1"/>
  <c r="B127" i="53" s="1"/>
  <c r="B128" i="53" s="1"/>
  <c r="B129" i="53" s="1"/>
  <c r="B130" i="53" s="1"/>
  <c r="B131" i="53" s="1"/>
  <c r="B132" i="53" s="1"/>
  <c r="B133" i="53" s="1"/>
  <c r="B134" i="53" s="1"/>
  <c r="B135" i="53" s="1"/>
  <c r="B136" i="53" s="1"/>
  <c r="B137" i="53" s="1"/>
  <c r="B138" i="53" s="1"/>
  <c r="B139" i="53" s="1"/>
  <c r="B140" i="53" s="1"/>
  <c r="B141" i="53" s="1"/>
  <c r="B142" i="53" s="1"/>
  <c r="B143" i="53" s="1"/>
  <c r="B144" i="53" s="1"/>
  <c r="B145" i="53" s="1"/>
  <c r="B146" i="53" s="1"/>
  <c r="B147" i="53" s="1"/>
  <c r="B148" i="53" s="1"/>
  <c r="B149" i="53" s="1"/>
  <c r="B150" i="53" s="1"/>
  <c r="B151" i="53" s="1"/>
  <c r="B152" i="53" s="1"/>
  <c r="B153" i="53" s="1"/>
  <c r="B154" i="53" s="1"/>
  <c r="B155" i="53" s="1"/>
  <c r="B156" i="53" s="1"/>
  <c r="B157" i="53" s="1"/>
  <c r="B158" i="53" s="1"/>
  <c r="B159" i="53" s="1"/>
  <c r="B160" i="53" s="1"/>
  <c r="B161" i="53" s="1"/>
  <c r="B162" i="53" s="1"/>
  <c r="B163" i="53" s="1"/>
  <c r="B164" i="53" s="1"/>
  <c r="B165" i="53" s="1"/>
  <c r="B166" i="53" s="1"/>
  <c r="B167" i="53" s="1"/>
  <c r="B168" i="53" s="1"/>
  <c r="B169" i="53" s="1"/>
  <c r="B170" i="53" s="1"/>
  <c r="B171" i="53" s="1"/>
  <c r="B172" i="53" s="1"/>
  <c r="B173" i="53" s="1"/>
  <c r="B174" i="53" s="1"/>
  <c r="B175" i="53" s="1"/>
  <c r="B176" i="53" s="1"/>
  <c r="B177" i="53" s="1"/>
  <c r="B178" i="53" s="1"/>
  <c r="B179" i="53" s="1"/>
  <c r="B180" i="53" s="1"/>
  <c r="B181" i="53" s="1"/>
  <c r="B182" i="53" s="1"/>
  <c r="B183" i="53" s="1"/>
  <c r="B184" i="53" s="1"/>
  <c r="B185" i="53" s="1"/>
  <c r="B186" i="53" s="1"/>
  <c r="B187" i="53" s="1"/>
  <c r="B188" i="53" s="1"/>
  <c r="B189" i="53" s="1"/>
  <c r="B190" i="53" s="1"/>
  <c r="B191" i="53" s="1"/>
  <c r="B192" i="53" s="1"/>
  <c r="B193" i="53" s="1"/>
  <c r="B194" i="53" s="1"/>
  <c r="C3" i="53"/>
  <c r="C4" i="53" s="1"/>
  <c r="C5" i="53" s="1"/>
  <c r="C6" i="53" s="1"/>
  <c r="C7" i="53" s="1"/>
  <c r="C8" i="53" s="1"/>
  <c r="C9" i="53" s="1"/>
  <c r="C10" i="53" s="1"/>
  <c r="C11" i="53" s="1"/>
  <c r="C12" i="53" s="1"/>
  <c r="C13" i="53" s="1"/>
  <c r="C14" i="53" s="1"/>
  <c r="C15" i="53" s="1"/>
  <c r="C16" i="53" s="1"/>
  <c r="C17" i="53" s="1"/>
  <c r="C18" i="53" s="1"/>
  <c r="C19" i="53" s="1"/>
  <c r="C20" i="53" s="1"/>
  <c r="C21" i="53" s="1"/>
  <c r="C22" i="53" s="1"/>
  <c r="C23" i="53" s="1"/>
  <c r="C24" i="53" s="1"/>
  <c r="C25" i="53" s="1"/>
  <c r="C26" i="53" s="1"/>
  <c r="C27" i="53" s="1"/>
  <c r="C28" i="53" s="1"/>
  <c r="C29" i="53" s="1"/>
  <c r="C30" i="53" s="1"/>
  <c r="C31" i="53" s="1"/>
  <c r="C32" i="53" s="1"/>
  <c r="C33" i="53" s="1"/>
  <c r="C34" i="53" s="1"/>
  <c r="C35" i="53" s="1"/>
  <c r="C36" i="53" s="1"/>
  <c r="C37" i="53" s="1"/>
  <c r="C38" i="53" s="1"/>
  <c r="C39" i="53" s="1"/>
  <c r="C40" i="53" s="1"/>
  <c r="C41" i="53" s="1"/>
  <c r="C42" i="53" s="1"/>
  <c r="C43" i="53" s="1"/>
  <c r="C44" i="53" s="1"/>
  <c r="C45" i="53" s="1"/>
  <c r="C46" i="53" s="1"/>
  <c r="C47" i="53" s="1"/>
  <c r="C48" i="53" s="1"/>
  <c r="C49" i="53" s="1"/>
  <c r="C50" i="53" s="1"/>
  <c r="C51" i="53" s="1"/>
  <c r="C52" i="53" s="1"/>
  <c r="C53" i="53" s="1"/>
  <c r="C54" i="53" s="1"/>
  <c r="C55" i="53" s="1"/>
  <c r="C56" i="53" s="1"/>
  <c r="C57" i="53" s="1"/>
  <c r="C58" i="53" s="1"/>
  <c r="C59" i="53" s="1"/>
  <c r="C60" i="53" s="1"/>
  <c r="C61" i="53" s="1"/>
  <c r="C62" i="53" s="1"/>
  <c r="C63" i="53" s="1"/>
  <c r="C64" i="53" s="1"/>
  <c r="C65" i="53" s="1"/>
  <c r="C66" i="53" s="1"/>
  <c r="C67" i="53" s="1"/>
  <c r="C68" i="53" s="1"/>
  <c r="C69" i="53" s="1"/>
  <c r="C70" i="53" s="1"/>
  <c r="C71" i="53" s="1"/>
  <c r="C72" i="53" s="1"/>
  <c r="C73" i="53" s="1"/>
  <c r="C74" i="53" s="1"/>
  <c r="C75" i="53" s="1"/>
  <c r="C76" i="53" s="1"/>
  <c r="C77" i="53" s="1"/>
  <c r="C78" i="53" s="1"/>
  <c r="C79" i="53" s="1"/>
  <c r="C80" i="53" s="1"/>
  <c r="C81" i="53" s="1"/>
  <c r="C82" i="53" s="1"/>
  <c r="C83" i="53" s="1"/>
  <c r="C84" i="53" s="1"/>
  <c r="C85" i="53" s="1"/>
  <c r="C86" i="53" s="1"/>
  <c r="C87" i="53" s="1"/>
  <c r="C88" i="53" s="1"/>
  <c r="C89" i="53" s="1"/>
  <c r="C90" i="53" s="1"/>
  <c r="C91" i="53" s="1"/>
  <c r="C92" i="53" s="1"/>
  <c r="C93" i="53" s="1"/>
  <c r="C94" i="53" s="1"/>
  <c r="C95" i="53" s="1"/>
  <c r="C96" i="53" s="1"/>
  <c r="C97" i="53" s="1"/>
  <c r="C98" i="53" s="1"/>
  <c r="C99" i="53" s="1"/>
  <c r="C100" i="53" s="1"/>
  <c r="C101" i="53" s="1"/>
  <c r="C102" i="53" s="1"/>
  <c r="C103" i="53" s="1"/>
  <c r="C104" i="53" s="1"/>
  <c r="C105" i="53" s="1"/>
  <c r="C106" i="53" s="1"/>
  <c r="C107" i="53" s="1"/>
  <c r="C108" i="53" s="1"/>
  <c r="C109" i="53" s="1"/>
  <c r="C110" i="53" s="1"/>
  <c r="C111" i="53" s="1"/>
  <c r="C112" i="53" s="1"/>
  <c r="C113" i="53" s="1"/>
  <c r="C114" i="53" s="1"/>
  <c r="C115" i="53" s="1"/>
  <c r="C116" i="53" s="1"/>
  <c r="C117" i="53" s="1"/>
  <c r="C118" i="53" s="1"/>
  <c r="C119" i="53" s="1"/>
  <c r="C120" i="53" s="1"/>
  <c r="C121" i="53" s="1"/>
  <c r="C122" i="53" s="1"/>
  <c r="C123" i="53" s="1"/>
  <c r="C124" i="53" s="1"/>
  <c r="C125" i="53" s="1"/>
  <c r="C126" i="53" s="1"/>
  <c r="C127" i="53" s="1"/>
  <c r="C128" i="53" s="1"/>
  <c r="C129" i="53" s="1"/>
  <c r="C130" i="53" s="1"/>
  <c r="C131" i="53" s="1"/>
  <c r="C132" i="53" s="1"/>
  <c r="C133" i="53" s="1"/>
  <c r="C134" i="53" s="1"/>
  <c r="C135" i="53" s="1"/>
  <c r="C136" i="53" s="1"/>
  <c r="C137" i="53" s="1"/>
  <c r="C138" i="53" s="1"/>
  <c r="C139" i="53" s="1"/>
  <c r="C140" i="53" s="1"/>
  <c r="C141" i="53" s="1"/>
  <c r="C142" i="53" s="1"/>
  <c r="C143" i="53" s="1"/>
  <c r="C144" i="53" s="1"/>
  <c r="C145" i="53" s="1"/>
  <c r="C146" i="53" s="1"/>
  <c r="C147" i="53" s="1"/>
  <c r="C148" i="53" s="1"/>
  <c r="C149" i="53" s="1"/>
  <c r="C150" i="53" s="1"/>
  <c r="C151" i="53" s="1"/>
  <c r="C152" i="53" s="1"/>
  <c r="C153" i="53" s="1"/>
  <c r="C154" i="53" s="1"/>
  <c r="C155" i="53" s="1"/>
  <c r="C156" i="53" s="1"/>
  <c r="C157" i="53" s="1"/>
  <c r="C158" i="53" s="1"/>
  <c r="C159" i="53" s="1"/>
  <c r="C160" i="53" s="1"/>
  <c r="C161" i="53" s="1"/>
  <c r="C162" i="53" s="1"/>
  <c r="C163" i="53" s="1"/>
  <c r="C164" i="53" s="1"/>
  <c r="C165" i="53" s="1"/>
  <c r="C166" i="53" s="1"/>
  <c r="C167" i="53" s="1"/>
  <c r="C168" i="53" s="1"/>
  <c r="C169" i="53" s="1"/>
  <c r="C170" i="53" s="1"/>
  <c r="C171" i="53" s="1"/>
  <c r="C172" i="53" s="1"/>
  <c r="C173" i="53" s="1"/>
  <c r="C174" i="53" s="1"/>
  <c r="C175" i="53" s="1"/>
  <c r="C176" i="53" s="1"/>
  <c r="C177" i="53" s="1"/>
  <c r="C178" i="53" s="1"/>
  <c r="C179" i="53" s="1"/>
  <c r="C180" i="53" s="1"/>
  <c r="C181" i="53" s="1"/>
  <c r="C182" i="53" s="1"/>
  <c r="C183" i="53" s="1"/>
  <c r="C184" i="53" s="1"/>
  <c r="C185" i="53" s="1"/>
  <c r="C186" i="53" s="1"/>
  <c r="C187" i="53" s="1"/>
  <c r="C188" i="53" s="1"/>
  <c r="C189" i="53" s="1"/>
  <c r="C190" i="53" s="1"/>
  <c r="C191" i="53" s="1"/>
  <c r="C192" i="53" s="1"/>
  <c r="C193" i="53" s="1"/>
  <c r="C194" i="53" s="1"/>
  <c r="N3" i="53"/>
  <c r="N4" i="53" s="1"/>
  <c r="N5" i="53" s="1"/>
  <c r="N6" i="53" s="1"/>
  <c r="N7" i="53" s="1"/>
  <c r="N8" i="53" s="1"/>
  <c r="N9" i="53" s="1"/>
  <c r="N10" i="53" s="1"/>
  <c r="N11" i="53" s="1"/>
  <c r="N12" i="53" s="1"/>
  <c r="N13" i="53" s="1"/>
  <c r="N14" i="53" s="1"/>
  <c r="N15" i="53" s="1"/>
  <c r="N16" i="53" s="1"/>
  <c r="N17" i="53" s="1"/>
  <c r="N18" i="53" s="1"/>
  <c r="N19" i="53" s="1"/>
  <c r="N20" i="53" s="1"/>
  <c r="N21" i="53" s="1"/>
  <c r="N22" i="53" s="1"/>
  <c r="N23" i="53" s="1"/>
  <c r="N24" i="53" s="1"/>
  <c r="N25" i="53" s="1"/>
  <c r="N26" i="53" s="1"/>
  <c r="N27" i="53" s="1"/>
  <c r="N28" i="53" s="1"/>
  <c r="N29" i="53" s="1"/>
  <c r="N30" i="53" s="1"/>
  <c r="N31" i="53" s="1"/>
  <c r="N32" i="53" s="1"/>
  <c r="N33" i="53" s="1"/>
  <c r="N34" i="53" s="1"/>
  <c r="N35" i="53" s="1"/>
  <c r="N36" i="53" s="1"/>
  <c r="N37" i="53" s="1"/>
  <c r="N38" i="53" s="1"/>
  <c r="N39" i="53" s="1"/>
  <c r="N40" i="53" s="1"/>
  <c r="N41" i="53" s="1"/>
  <c r="N42" i="53" s="1"/>
  <c r="N43" i="53" s="1"/>
  <c r="N44" i="53" s="1"/>
  <c r="N45" i="53" s="1"/>
  <c r="N46" i="53" s="1"/>
  <c r="N47" i="53" s="1"/>
  <c r="N48" i="53" s="1"/>
  <c r="N49" i="53" s="1"/>
  <c r="N50" i="53" s="1"/>
  <c r="N51" i="53" s="1"/>
  <c r="N52" i="53" s="1"/>
  <c r="N53" i="53" s="1"/>
  <c r="N54" i="53" s="1"/>
  <c r="N55" i="53" s="1"/>
  <c r="N56" i="53" s="1"/>
  <c r="N57" i="53" s="1"/>
  <c r="N58" i="53" s="1"/>
  <c r="N59" i="53" s="1"/>
  <c r="N60" i="53" s="1"/>
  <c r="N61" i="53" s="1"/>
  <c r="N62" i="53" s="1"/>
  <c r="N63" i="53" s="1"/>
  <c r="N64" i="53" s="1"/>
  <c r="N65" i="53" s="1"/>
  <c r="N66" i="53" s="1"/>
  <c r="N67" i="53" s="1"/>
  <c r="N68" i="53" s="1"/>
  <c r="N69" i="53" s="1"/>
  <c r="N70" i="53" s="1"/>
  <c r="N71" i="53" s="1"/>
  <c r="N72" i="53" s="1"/>
  <c r="N73" i="53" s="1"/>
  <c r="N74" i="53" s="1"/>
  <c r="N75" i="53" s="1"/>
  <c r="N76" i="53" s="1"/>
  <c r="N77" i="53" s="1"/>
  <c r="N78" i="53" s="1"/>
  <c r="N79" i="53" s="1"/>
  <c r="N80" i="53" s="1"/>
  <c r="N81" i="53" s="1"/>
  <c r="N82" i="53" s="1"/>
  <c r="N83" i="53" s="1"/>
  <c r="N84" i="53" s="1"/>
  <c r="N85" i="53" s="1"/>
  <c r="N86" i="53" s="1"/>
  <c r="N87" i="53" s="1"/>
  <c r="N88" i="53" s="1"/>
  <c r="N89" i="53" s="1"/>
  <c r="N90" i="53" s="1"/>
  <c r="N91" i="53" s="1"/>
  <c r="N92" i="53" s="1"/>
  <c r="N93" i="53" s="1"/>
  <c r="N94" i="53" s="1"/>
  <c r="N95" i="53" s="1"/>
  <c r="N96" i="53" s="1"/>
  <c r="N97" i="53" s="1"/>
  <c r="N98" i="53" s="1"/>
  <c r="N99" i="53" s="1"/>
  <c r="N100" i="53" s="1"/>
  <c r="N101" i="53" s="1"/>
  <c r="N102" i="53" s="1"/>
  <c r="N103" i="53" s="1"/>
  <c r="N104" i="53" s="1"/>
  <c r="N105" i="53" s="1"/>
  <c r="N106" i="53" s="1"/>
  <c r="N107" i="53" s="1"/>
  <c r="N108" i="53" s="1"/>
  <c r="N109" i="53" s="1"/>
  <c r="N110" i="53" s="1"/>
  <c r="N111" i="53" s="1"/>
  <c r="N112" i="53" s="1"/>
  <c r="N113" i="53" s="1"/>
  <c r="N114" i="53" s="1"/>
  <c r="N115" i="53" s="1"/>
  <c r="N116" i="53" s="1"/>
  <c r="N117" i="53" s="1"/>
  <c r="N118" i="53" s="1"/>
  <c r="N119" i="53" s="1"/>
  <c r="N120" i="53" s="1"/>
  <c r="N121" i="53" s="1"/>
  <c r="N122" i="53" s="1"/>
  <c r="N123" i="53" s="1"/>
  <c r="N124" i="53" s="1"/>
  <c r="N125" i="53" s="1"/>
  <c r="N126" i="53" s="1"/>
  <c r="N127" i="53" s="1"/>
  <c r="N128" i="53" s="1"/>
  <c r="N129" i="53" s="1"/>
  <c r="N130" i="53" s="1"/>
  <c r="N131" i="53" s="1"/>
  <c r="N132" i="53" s="1"/>
  <c r="N133" i="53" s="1"/>
  <c r="N134" i="53" s="1"/>
  <c r="N135" i="53" s="1"/>
  <c r="N136" i="53" s="1"/>
  <c r="N137" i="53" s="1"/>
  <c r="N138" i="53" s="1"/>
  <c r="N139" i="53" s="1"/>
  <c r="N140" i="53" s="1"/>
  <c r="N141" i="53" s="1"/>
  <c r="N142" i="53" s="1"/>
  <c r="N143" i="53" s="1"/>
  <c r="N144" i="53" s="1"/>
  <c r="N145" i="53" s="1"/>
  <c r="N146" i="53" s="1"/>
  <c r="N147" i="53" s="1"/>
  <c r="N148" i="53" s="1"/>
  <c r="N149" i="53" s="1"/>
  <c r="N150" i="53" s="1"/>
  <c r="N151" i="53" s="1"/>
  <c r="N152" i="53" s="1"/>
  <c r="N153" i="53" s="1"/>
  <c r="N154" i="53" s="1"/>
  <c r="N155" i="53" s="1"/>
  <c r="N156" i="53" s="1"/>
  <c r="N157" i="53" s="1"/>
  <c r="N158" i="53" s="1"/>
  <c r="N159" i="53" s="1"/>
  <c r="N160" i="53" s="1"/>
  <c r="N161" i="53" s="1"/>
  <c r="N162" i="53" s="1"/>
  <c r="N163" i="53" s="1"/>
  <c r="N164" i="53" s="1"/>
  <c r="N165" i="53" s="1"/>
  <c r="N166" i="53" s="1"/>
  <c r="N167" i="53" s="1"/>
  <c r="N168" i="53" s="1"/>
  <c r="N169" i="53" s="1"/>
  <c r="N170" i="53" s="1"/>
  <c r="N171" i="53" s="1"/>
  <c r="N172" i="53" s="1"/>
  <c r="N173" i="53" s="1"/>
  <c r="N174" i="53" s="1"/>
  <c r="N175" i="53" s="1"/>
  <c r="N176" i="53" s="1"/>
  <c r="N177" i="53" s="1"/>
  <c r="N178" i="53" s="1"/>
  <c r="N179" i="53" s="1"/>
  <c r="N180" i="53" s="1"/>
  <c r="N181" i="53" s="1"/>
  <c r="N182" i="53" s="1"/>
  <c r="N183" i="53" s="1"/>
  <c r="N184" i="53" s="1"/>
  <c r="N185" i="53" s="1"/>
  <c r="N186" i="53" s="1"/>
  <c r="N187" i="53" s="1"/>
  <c r="N188" i="53" s="1"/>
  <c r="N189" i="53" s="1"/>
  <c r="N190" i="53" s="1"/>
  <c r="N191" i="53" s="1"/>
  <c r="N192" i="53" s="1"/>
  <c r="N193" i="53" s="1"/>
  <c r="N194" i="53" s="1"/>
  <c r="O3" i="53"/>
  <c r="O4" i="53" s="1"/>
  <c r="O5" i="53" s="1"/>
  <c r="P3" i="53"/>
  <c r="P4" i="53"/>
  <c r="P5" i="53" s="1"/>
  <c r="O6" i="53"/>
  <c r="O7" i="53" s="1"/>
  <c r="O8" i="53" s="1"/>
  <c r="O9" i="53" s="1"/>
  <c r="O10" i="53" s="1"/>
  <c r="O11" i="53" s="1"/>
  <c r="O12" i="53" s="1"/>
  <c r="O13" i="53" s="1"/>
  <c r="O14" i="53" s="1"/>
  <c r="O15" i="53" s="1"/>
  <c r="O16" i="53" s="1"/>
  <c r="O17" i="53" s="1"/>
  <c r="O18" i="53" s="1"/>
  <c r="O19" i="53" s="1"/>
  <c r="O20" i="53" s="1"/>
  <c r="O21" i="53" s="1"/>
  <c r="O22" i="53" s="1"/>
  <c r="O23" i="53" s="1"/>
  <c r="O24" i="53" s="1"/>
  <c r="O25" i="53" s="1"/>
  <c r="O26" i="53" s="1"/>
  <c r="O27" i="53" s="1"/>
  <c r="O28" i="53" s="1"/>
  <c r="O29" i="53" s="1"/>
  <c r="O30" i="53" s="1"/>
  <c r="O31" i="53" s="1"/>
  <c r="O32" i="53" s="1"/>
  <c r="O33" i="53" s="1"/>
  <c r="O34" i="53" s="1"/>
  <c r="O35" i="53" s="1"/>
  <c r="O36" i="53" s="1"/>
  <c r="O37" i="53" s="1"/>
  <c r="O38" i="53" s="1"/>
  <c r="O39" i="53" s="1"/>
  <c r="O40" i="53" s="1"/>
  <c r="O41" i="53" s="1"/>
  <c r="O42" i="53" s="1"/>
  <c r="O43" i="53" s="1"/>
  <c r="O44" i="53" s="1"/>
  <c r="O45" i="53" s="1"/>
  <c r="O46" i="53" s="1"/>
  <c r="O47" i="53" s="1"/>
  <c r="O48" i="53" s="1"/>
  <c r="O49" i="53" s="1"/>
  <c r="O50" i="53" s="1"/>
  <c r="O51" i="53" s="1"/>
  <c r="O52" i="53" s="1"/>
  <c r="O53" i="53" s="1"/>
  <c r="O54" i="53" s="1"/>
  <c r="O55" i="53" s="1"/>
  <c r="O56" i="53" s="1"/>
  <c r="O57" i="53" s="1"/>
  <c r="O58" i="53" s="1"/>
  <c r="O59" i="53" s="1"/>
  <c r="O60" i="53" s="1"/>
  <c r="O61" i="53" s="1"/>
  <c r="O62" i="53" s="1"/>
  <c r="O63" i="53" s="1"/>
  <c r="O64" i="53" s="1"/>
  <c r="O65" i="53" s="1"/>
  <c r="O66" i="53" s="1"/>
  <c r="O67" i="53" s="1"/>
  <c r="O68" i="53" s="1"/>
  <c r="O69" i="53" s="1"/>
  <c r="O70" i="53" s="1"/>
  <c r="O71" i="53" s="1"/>
  <c r="O72" i="53" s="1"/>
  <c r="O73" i="53" s="1"/>
  <c r="O74" i="53" s="1"/>
  <c r="O75" i="53" s="1"/>
  <c r="O76" i="53" s="1"/>
  <c r="O77" i="53" s="1"/>
  <c r="O78" i="53" s="1"/>
  <c r="O79" i="53" s="1"/>
  <c r="O80" i="53" s="1"/>
  <c r="O81" i="53" s="1"/>
  <c r="O82" i="53" s="1"/>
  <c r="O83" i="53" s="1"/>
  <c r="O84" i="53" s="1"/>
  <c r="O85" i="53" s="1"/>
  <c r="O86" i="53" s="1"/>
  <c r="O87" i="53" s="1"/>
  <c r="O88" i="53" s="1"/>
  <c r="O89" i="53" s="1"/>
  <c r="O90" i="53" s="1"/>
  <c r="O91" i="53" s="1"/>
  <c r="O92" i="53" s="1"/>
  <c r="O93" i="53" s="1"/>
  <c r="O94" i="53" s="1"/>
  <c r="O95" i="53" s="1"/>
  <c r="O96" i="53" s="1"/>
  <c r="O97" i="53" s="1"/>
  <c r="O98" i="53" s="1"/>
  <c r="O99" i="53" s="1"/>
  <c r="O100" i="53" s="1"/>
  <c r="O101" i="53" s="1"/>
  <c r="O102" i="53" s="1"/>
  <c r="O103" i="53" s="1"/>
  <c r="O104" i="53" s="1"/>
  <c r="O105" i="53" s="1"/>
  <c r="O106" i="53" s="1"/>
  <c r="O107" i="53" s="1"/>
  <c r="O108" i="53" s="1"/>
  <c r="O109" i="53" s="1"/>
  <c r="O110" i="53" s="1"/>
  <c r="O111" i="53" s="1"/>
  <c r="O112" i="53" s="1"/>
  <c r="O113" i="53" s="1"/>
  <c r="O114" i="53" s="1"/>
  <c r="O115" i="53" s="1"/>
  <c r="O116" i="53" s="1"/>
  <c r="O117" i="53" s="1"/>
  <c r="O118" i="53" s="1"/>
  <c r="O119" i="53" s="1"/>
  <c r="O120" i="53" s="1"/>
  <c r="O121" i="53" s="1"/>
  <c r="O122" i="53" s="1"/>
  <c r="O123" i="53" s="1"/>
  <c r="O124" i="53" s="1"/>
  <c r="O125" i="53" s="1"/>
  <c r="O126" i="53" s="1"/>
  <c r="O127" i="53" s="1"/>
  <c r="O128" i="53" s="1"/>
  <c r="O129" i="53" s="1"/>
  <c r="O130" i="53" s="1"/>
  <c r="O131" i="53" s="1"/>
  <c r="O132" i="53" s="1"/>
  <c r="O133" i="53" s="1"/>
  <c r="O134" i="53" s="1"/>
  <c r="O135" i="53" s="1"/>
  <c r="O136" i="53" s="1"/>
  <c r="O137" i="53" s="1"/>
  <c r="O138" i="53" s="1"/>
  <c r="O139" i="53" s="1"/>
  <c r="O140" i="53" s="1"/>
  <c r="O141" i="53" s="1"/>
  <c r="O142" i="53" s="1"/>
  <c r="O143" i="53" s="1"/>
  <c r="O144" i="53" s="1"/>
  <c r="O145" i="53" s="1"/>
  <c r="O146" i="53" s="1"/>
  <c r="O147" i="53" s="1"/>
  <c r="O148" i="53" s="1"/>
  <c r="O149" i="53" s="1"/>
  <c r="O150" i="53" s="1"/>
  <c r="O151" i="53" s="1"/>
  <c r="O152" i="53" s="1"/>
  <c r="O153" i="53" s="1"/>
  <c r="O154" i="53" s="1"/>
  <c r="O155" i="53" s="1"/>
  <c r="O156" i="53" s="1"/>
  <c r="O157" i="53" s="1"/>
  <c r="O158" i="53" s="1"/>
  <c r="O159" i="53" s="1"/>
  <c r="O160" i="53" s="1"/>
  <c r="O161" i="53" s="1"/>
  <c r="O162" i="53" s="1"/>
  <c r="O163" i="53" s="1"/>
  <c r="O164" i="53" s="1"/>
  <c r="O165" i="53" s="1"/>
  <c r="O166" i="53" s="1"/>
  <c r="O167" i="53" s="1"/>
  <c r="O168" i="53" s="1"/>
  <c r="O169" i="53" s="1"/>
  <c r="O170" i="53" s="1"/>
  <c r="O171" i="53" s="1"/>
  <c r="O172" i="53" s="1"/>
  <c r="O173" i="53" s="1"/>
  <c r="O174" i="53" s="1"/>
  <c r="O175" i="53" s="1"/>
  <c r="O176" i="53" s="1"/>
  <c r="O177" i="53" s="1"/>
  <c r="O178" i="53" s="1"/>
  <c r="O179" i="53" s="1"/>
  <c r="O180" i="53" s="1"/>
  <c r="O181" i="53" s="1"/>
  <c r="O182" i="53" s="1"/>
  <c r="O183" i="53" s="1"/>
  <c r="O184" i="53" s="1"/>
  <c r="O185" i="53" s="1"/>
  <c r="O186" i="53" s="1"/>
  <c r="O187" i="53" s="1"/>
  <c r="O188" i="53" s="1"/>
  <c r="O189" i="53" s="1"/>
  <c r="O190" i="53" s="1"/>
  <c r="O191" i="53" s="1"/>
  <c r="O192" i="53" s="1"/>
  <c r="O193" i="53" s="1"/>
  <c r="O194" i="53" s="1"/>
  <c r="P6" i="53"/>
  <c r="P7" i="53" s="1"/>
  <c r="P8" i="53" s="1"/>
  <c r="P9" i="53" s="1"/>
  <c r="A8" i="53"/>
  <c r="A9" i="53" s="1"/>
  <c r="A10" i="53" s="1"/>
  <c r="A11" i="53" s="1"/>
  <c r="P10" i="53"/>
  <c r="P11" i="53" s="1"/>
  <c r="P12" i="53" s="1"/>
  <c r="P13" i="53" s="1"/>
  <c r="P14" i="53" s="1"/>
  <c r="P15" i="53" s="1"/>
  <c r="P16" i="53" s="1"/>
  <c r="P17" i="53" s="1"/>
  <c r="P18" i="53" s="1"/>
  <c r="P19" i="53" s="1"/>
  <c r="P20" i="53" s="1"/>
  <c r="P21" i="53" s="1"/>
  <c r="P22" i="53" s="1"/>
  <c r="P23" i="53" s="1"/>
  <c r="P24" i="53" s="1"/>
  <c r="P25" i="53" s="1"/>
  <c r="P26" i="53" s="1"/>
  <c r="P27" i="53" s="1"/>
  <c r="P28" i="53" s="1"/>
  <c r="P29" i="53" s="1"/>
  <c r="P30" i="53" s="1"/>
  <c r="P31" i="53" s="1"/>
  <c r="P32" i="53" s="1"/>
  <c r="P33" i="53" s="1"/>
  <c r="P34" i="53" s="1"/>
  <c r="P35" i="53" s="1"/>
  <c r="P36" i="53" s="1"/>
  <c r="P37" i="53" s="1"/>
  <c r="P38" i="53" s="1"/>
  <c r="P39" i="53" s="1"/>
  <c r="P40" i="53" s="1"/>
  <c r="P41" i="53" s="1"/>
  <c r="P42" i="53" s="1"/>
  <c r="P43" i="53" s="1"/>
  <c r="P44" i="53" s="1"/>
  <c r="P45" i="53" s="1"/>
  <c r="P46" i="53" s="1"/>
  <c r="P47" i="53" s="1"/>
  <c r="P48" i="53" s="1"/>
  <c r="P49" i="53" s="1"/>
  <c r="P50" i="53" s="1"/>
  <c r="P51" i="53" s="1"/>
  <c r="P52" i="53" s="1"/>
  <c r="P53" i="53" s="1"/>
  <c r="P54" i="53" s="1"/>
  <c r="P55" i="53" s="1"/>
  <c r="P56" i="53" s="1"/>
  <c r="P57" i="53" s="1"/>
  <c r="P58" i="53" s="1"/>
  <c r="P59" i="53" s="1"/>
  <c r="P60" i="53" s="1"/>
  <c r="P61" i="53" s="1"/>
  <c r="P62" i="53" s="1"/>
  <c r="P63" i="53" s="1"/>
  <c r="P64" i="53" s="1"/>
  <c r="P65" i="53" s="1"/>
  <c r="P66" i="53" s="1"/>
  <c r="P67" i="53" s="1"/>
  <c r="P68" i="53" s="1"/>
  <c r="P69" i="53" s="1"/>
  <c r="P70" i="53" s="1"/>
  <c r="P71" i="53" s="1"/>
  <c r="P72" i="53" s="1"/>
  <c r="P73" i="53" s="1"/>
  <c r="P74" i="53" s="1"/>
  <c r="P75" i="53" s="1"/>
  <c r="P76" i="53" s="1"/>
  <c r="P77" i="53" s="1"/>
  <c r="P78" i="53" s="1"/>
  <c r="P79" i="53" s="1"/>
  <c r="P80" i="53" s="1"/>
  <c r="P81" i="53" s="1"/>
  <c r="P82" i="53" s="1"/>
  <c r="P83" i="53" s="1"/>
  <c r="P84" i="53" s="1"/>
  <c r="P85" i="53" s="1"/>
  <c r="P86" i="53" s="1"/>
  <c r="P87" i="53" s="1"/>
  <c r="P88" i="53" s="1"/>
  <c r="P89" i="53" s="1"/>
  <c r="P90" i="53" s="1"/>
  <c r="P91" i="53" s="1"/>
  <c r="P92" i="53" s="1"/>
  <c r="P93" i="53" s="1"/>
  <c r="P94" i="53" s="1"/>
  <c r="P95" i="53" s="1"/>
  <c r="P96" i="53" s="1"/>
  <c r="P97" i="53" s="1"/>
  <c r="P98" i="53" s="1"/>
  <c r="P99" i="53" s="1"/>
  <c r="P100" i="53" s="1"/>
  <c r="P101" i="53" s="1"/>
  <c r="P102" i="53" s="1"/>
  <c r="P103" i="53" s="1"/>
  <c r="P104" i="53" s="1"/>
  <c r="P105" i="53" s="1"/>
  <c r="P106" i="53" s="1"/>
  <c r="P107" i="53" s="1"/>
  <c r="P108" i="53" s="1"/>
  <c r="P109" i="53" s="1"/>
  <c r="P110" i="53" s="1"/>
  <c r="P111" i="53" s="1"/>
  <c r="P112" i="53" s="1"/>
  <c r="P113" i="53" s="1"/>
  <c r="P114" i="53" s="1"/>
  <c r="P115" i="53" s="1"/>
  <c r="P116" i="53" s="1"/>
  <c r="P117" i="53" s="1"/>
  <c r="P118" i="53" s="1"/>
  <c r="P119" i="53" s="1"/>
  <c r="P120" i="53" s="1"/>
  <c r="P121" i="53" s="1"/>
  <c r="P122" i="53" s="1"/>
  <c r="P123" i="53" s="1"/>
  <c r="P124" i="53" s="1"/>
  <c r="P125" i="53" s="1"/>
  <c r="P126" i="53" s="1"/>
  <c r="P127" i="53" s="1"/>
  <c r="P128" i="53" s="1"/>
  <c r="P129" i="53" s="1"/>
  <c r="P130" i="53" s="1"/>
  <c r="P131" i="53" s="1"/>
  <c r="P132" i="53" s="1"/>
  <c r="P133" i="53" s="1"/>
  <c r="P134" i="53" s="1"/>
  <c r="P135" i="53" s="1"/>
  <c r="P136" i="53" s="1"/>
  <c r="P137" i="53" s="1"/>
  <c r="P138" i="53" s="1"/>
  <c r="P139" i="53" s="1"/>
  <c r="P140" i="53" s="1"/>
  <c r="P141" i="53" s="1"/>
  <c r="P142" i="53" s="1"/>
  <c r="P143" i="53" s="1"/>
  <c r="P144" i="53" s="1"/>
  <c r="P145" i="53" s="1"/>
  <c r="P146" i="53" s="1"/>
  <c r="P147" i="53" s="1"/>
  <c r="P148" i="53" s="1"/>
  <c r="P149" i="53" s="1"/>
  <c r="P150" i="53" s="1"/>
  <c r="P151" i="53" s="1"/>
  <c r="P152" i="53" s="1"/>
  <c r="P153" i="53" s="1"/>
  <c r="P154" i="53" s="1"/>
  <c r="P155" i="53" s="1"/>
  <c r="P156" i="53" s="1"/>
  <c r="P157" i="53" s="1"/>
  <c r="P158" i="53" s="1"/>
  <c r="P159" i="53" s="1"/>
  <c r="P160" i="53" s="1"/>
  <c r="P161" i="53" s="1"/>
  <c r="P162" i="53" s="1"/>
  <c r="P163" i="53" s="1"/>
  <c r="P164" i="53" s="1"/>
  <c r="P165" i="53" s="1"/>
  <c r="P166" i="53" s="1"/>
  <c r="P167" i="53" s="1"/>
  <c r="P168" i="53" s="1"/>
  <c r="P169" i="53" s="1"/>
  <c r="P170" i="53" s="1"/>
  <c r="P171" i="53" s="1"/>
  <c r="P172" i="53" s="1"/>
  <c r="P173" i="53" s="1"/>
  <c r="P174" i="53" s="1"/>
  <c r="P175" i="53" s="1"/>
  <c r="P176" i="53" s="1"/>
  <c r="P177" i="53" s="1"/>
  <c r="P178" i="53" s="1"/>
  <c r="P179" i="53" s="1"/>
  <c r="P180" i="53" s="1"/>
  <c r="P181" i="53" s="1"/>
  <c r="P182" i="53" s="1"/>
  <c r="P183" i="53" s="1"/>
  <c r="P184" i="53" s="1"/>
  <c r="P185" i="53" s="1"/>
  <c r="P186" i="53" s="1"/>
  <c r="P187" i="53" s="1"/>
  <c r="P188" i="53" s="1"/>
  <c r="P189" i="53" s="1"/>
  <c r="P190" i="53" s="1"/>
  <c r="P191" i="53" s="1"/>
  <c r="P192" i="53" s="1"/>
  <c r="P193" i="53" s="1"/>
  <c r="P194" i="53" s="1"/>
  <c r="A12" i="53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50" i="53" s="1"/>
  <c r="A51" i="53" s="1"/>
  <c r="A52" i="53" s="1"/>
  <c r="A53" i="53" s="1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64" i="53" s="1"/>
  <c r="A65" i="53" s="1"/>
  <c r="A66" i="53" s="1"/>
  <c r="A67" i="53" s="1"/>
  <c r="A68" i="53" s="1"/>
  <c r="A69" i="53" s="1"/>
  <c r="A70" i="53" s="1"/>
  <c r="A71" i="53" s="1"/>
  <c r="A72" i="53" s="1"/>
  <c r="A73" i="53" s="1"/>
  <c r="A74" i="53" s="1"/>
  <c r="A75" i="53" s="1"/>
  <c r="A76" i="53" s="1"/>
  <c r="A77" i="53" s="1"/>
  <c r="A78" i="53" s="1"/>
  <c r="A79" i="53" s="1"/>
  <c r="A80" i="53" s="1"/>
  <c r="A81" i="53" s="1"/>
  <c r="A82" i="53" s="1"/>
  <c r="A83" i="53" s="1"/>
  <c r="A84" i="53" s="1"/>
  <c r="A85" i="53" s="1"/>
  <c r="A86" i="53" s="1"/>
  <c r="A87" i="53" s="1"/>
  <c r="A88" i="53" s="1"/>
  <c r="A89" i="53" s="1"/>
  <c r="A90" i="53" s="1"/>
  <c r="A91" i="53" s="1"/>
  <c r="A92" i="53" s="1"/>
  <c r="A93" i="53" s="1"/>
  <c r="A94" i="53" s="1"/>
  <c r="A95" i="53" s="1"/>
  <c r="A96" i="53" s="1"/>
  <c r="A97" i="53" s="1"/>
  <c r="A98" i="53" s="1"/>
  <c r="A99" i="53" s="1"/>
  <c r="A100" i="53" s="1"/>
  <c r="A101" i="53" s="1"/>
  <c r="A102" i="53" s="1"/>
  <c r="A103" i="53" s="1"/>
  <c r="A104" i="53" s="1"/>
  <c r="A105" i="53" s="1"/>
  <c r="A106" i="53" s="1"/>
  <c r="A107" i="53" s="1"/>
  <c r="A108" i="53" s="1"/>
  <c r="A109" i="53" s="1"/>
  <c r="A110" i="53" s="1"/>
  <c r="A111" i="53" s="1"/>
  <c r="A112" i="53" s="1"/>
  <c r="A113" i="53" s="1"/>
  <c r="A114" i="53" s="1"/>
  <c r="A115" i="53" s="1"/>
  <c r="A116" i="53" s="1"/>
  <c r="A117" i="53" s="1"/>
  <c r="A118" i="53" s="1"/>
  <c r="A119" i="53" s="1"/>
  <c r="A120" i="53" s="1"/>
  <c r="A121" i="53" s="1"/>
  <c r="A122" i="53" s="1"/>
  <c r="A123" i="53" s="1"/>
  <c r="A124" i="53" s="1"/>
  <c r="A125" i="53" s="1"/>
  <c r="A126" i="53" s="1"/>
  <c r="A127" i="53" s="1"/>
  <c r="A128" i="53" s="1"/>
  <c r="A129" i="53" s="1"/>
  <c r="A130" i="53" s="1"/>
  <c r="A131" i="53" s="1"/>
  <c r="A132" i="53" s="1"/>
  <c r="A133" i="53" s="1"/>
  <c r="A134" i="53" s="1"/>
  <c r="A135" i="53" s="1"/>
  <c r="A136" i="53" s="1"/>
  <c r="A137" i="53" s="1"/>
  <c r="A138" i="53" s="1"/>
  <c r="A139" i="53" s="1"/>
  <c r="A140" i="53" s="1"/>
  <c r="A141" i="53" s="1"/>
  <c r="A142" i="53" s="1"/>
  <c r="A143" i="53" s="1"/>
  <c r="A144" i="53" s="1"/>
  <c r="A145" i="53" s="1"/>
  <c r="A146" i="53" s="1"/>
  <c r="A147" i="53" s="1"/>
  <c r="A148" i="53" s="1"/>
  <c r="A149" i="53" s="1"/>
  <c r="A150" i="53" s="1"/>
  <c r="A151" i="53" s="1"/>
  <c r="A152" i="53" s="1"/>
  <c r="A153" i="53" s="1"/>
  <c r="A154" i="53" s="1"/>
  <c r="A155" i="53" s="1"/>
  <c r="A156" i="53" s="1"/>
  <c r="A157" i="53" s="1"/>
  <c r="A158" i="53" s="1"/>
  <c r="A159" i="53" s="1"/>
  <c r="A160" i="53" s="1"/>
  <c r="A161" i="53" s="1"/>
  <c r="A162" i="53" s="1"/>
  <c r="A163" i="53" s="1"/>
  <c r="A164" i="53" s="1"/>
  <c r="A165" i="53" s="1"/>
  <c r="A166" i="53" s="1"/>
  <c r="A167" i="53" s="1"/>
  <c r="A168" i="53" s="1"/>
  <c r="A169" i="53" s="1"/>
  <c r="A170" i="53" s="1"/>
  <c r="A171" i="53" s="1"/>
  <c r="A172" i="53" s="1"/>
  <c r="A173" i="53" s="1"/>
  <c r="A174" i="53" s="1"/>
  <c r="A175" i="53" s="1"/>
  <c r="A176" i="53" s="1"/>
  <c r="A177" i="53" s="1"/>
  <c r="A178" i="53" s="1"/>
  <c r="A179" i="53" s="1"/>
  <c r="A180" i="53" s="1"/>
  <c r="A181" i="53" s="1"/>
  <c r="A182" i="53" s="1"/>
  <c r="A183" i="53" s="1"/>
  <c r="A184" i="53" s="1"/>
  <c r="A185" i="53" s="1"/>
  <c r="A186" i="53" s="1"/>
  <c r="A187" i="53" s="1"/>
  <c r="A188" i="53" s="1"/>
  <c r="A189" i="53" s="1"/>
  <c r="A190" i="53" s="1"/>
  <c r="A191" i="53" s="1"/>
  <c r="A192" i="53" s="1"/>
  <c r="A193" i="53" s="1"/>
  <c r="A194" i="53" s="1"/>
  <c r="O2" i="52"/>
  <c r="A3" i="52"/>
  <c r="B3" i="52"/>
  <c r="B4" i="52" s="1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B64" i="52" s="1"/>
  <c r="B65" i="52" s="1"/>
  <c r="B66" i="52" s="1"/>
  <c r="B67" i="52" s="1"/>
  <c r="B68" i="52" s="1"/>
  <c r="B69" i="52" s="1"/>
  <c r="B70" i="52" s="1"/>
  <c r="B71" i="52" s="1"/>
  <c r="B72" i="52" s="1"/>
  <c r="B73" i="52" s="1"/>
  <c r="B74" i="52" s="1"/>
  <c r="B75" i="52" s="1"/>
  <c r="B76" i="52" s="1"/>
  <c r="B77" i="52" s="1"/>
  <c r="B78" i="52" s="1"/>
  <c r="B79" i="52" s="1"/>
  <c r="B80" i="52" s="1"/>
  <c r="B81" i="52" s="1"/>
  <c r="B82" i="52" s="1"/>
  <c r="B83" i="52" s="1"/>
  <c r="B84" i="52" s="1"/>
  <c r="B85" i="52" s="1"/>
  <c r="B86" i="52" s="1"/>
  <c r="B87" i="52" s="1"/>
  <c r="B88" i="52" s="1"/>
  <c r="B89" i="52" s="1"/>
  <c r="B90" i="52" s="1"/>
  <c r="B91" i="52" s="1"/>
  <c r="B92" i="52" s="1"/>
  <c r="B93" i="52" s="1"/>
  <c r="B94" i="52" s="1"/>
  <c r="B95" i="52" s="1"/>
  <c r="B96" i="52" s="1"/>
  <c r="B97" i="52" s="1"/>
  <c r="B98" i="52" s="1"/>
  <c r="B99" i="52" s="1"/>
  <c r="B100" i="52" s="1"/>
  <c r="B101" i="52" s="1"/>
  <c r="B102" i="52" s="1"/>
  <c r="B103" i="52" s="1"/>
  <c r="B104" i="52" s="1"/>
  <c r="B105" i="52" s="1"/>
  <c r="B106" i="52" s="1"/>
  <c r="B107" i="52" s="1"/>
  <c r="B108" i="52" s="1"/>
  <c r="B109" i="52" s="1"/>
  <c r="B110" i="52" s="1"/>
  <c r="B111" i="52" s="1"/>
  <c r="B112" i="52" s="1"/>
  <c r="B113" i="52" s="1"/>
  <c r="B114" i="52" s="1"/>
  <c r="B115" i="52" s="1"/>
  <c r="B116" i="52" s="1"/>
  <c r="B117" i="52" s="1"/>
  <c r="B118" i="52" s="1"/>
  <c r="B119" i="52" s="1"/>
  <c r="B120" i="52" s="1"/>
  <c r="B121" i="52" s="1"/>
  <c r="B122" i="52" s="1"/>
  <c r="B123" i="52" s="1"/>
  <c r="B124" i="52" s="1"/>
  <c r="B125" i="52" s="1"/>
  <c r="B126" i="52" s="1"/>
  <c r="B127" i="52" s="1"/>
  <c r="B128" i="52" s="1"/>
  <c r="B129" i="52" s="1"/>
  <c r="B130" i="52" s="1"/>
  <c r="B131" i="52" s="1"/>
  <c r="B132" i="52" s="1"/>
  <c r="B133" i="52" s="1"/>
  <c r="B134" i="52" s="1"/>
  <c r="B135" i="52" s="1"/>
  <c r="B136" i="52" s="1"/>
  <c r="B137" i="52" s="1"/>
  <c r="B138" i="52" s="1"/>
  <c r="B139" i="52" s="1"/>
  <c r="B140" i="52" s="1"/>
  <c r="B141" i="52" s="1"/>
  <c r="B142" i="52" s="1"/>
  <c r="B143" i="52" s="1"/>
  <c r="B144" i="52" s="1"/>
  <c r="B145" i="52" s="1"/>
  <c r="B146" i="52" s="1"/>
  <c r="B147" i="52" s="1"/>
  <c r="B148" i="52" s="1"/>
  <c r="B149" i="52" s="1"/>
  <c r="B150" i="52" s="1"/>
  <c r="B151" i="52" s="1"/>
  <c r="B152" i="52" s="1"/>
  <c r="B153" i="52" s="1"/>
  <c r="B154" i="52" s="1"/>
  <c r="B155" i="52" s="1"/>
  <c r="B156" i="52" s="1"/>
  <c r="B157" i="52" s="1"/>
  <c r="B158" i="52" s="1"/>
  <c r="B159" i="52" s="1"/>
  <c r="B160" i="52" s="1"/>
  <c r="B161" i="52" s="1"/>
  <c r="B162" i="52" s="1"/>
  <c r="B163" i="52" s="1"/>
  <c r="B164" i="52" s="1"/>
  <c r="B165" i="52" s="1"/>
  <c r="B166" i="52" s="1"/>
  <c r="B167" i="52" s="1"/>
  <c r="B168" i="52" s="1"/>
  <c r="B169" i="52" s="1"/>
  <c r="B170" i="52" s="1"/>
  <c r="B171" i="52" s="1"/>
  <c r="B172" i="52" s="1"/>
  <c r="B173" i="52" s="1"/>
  <c r="B174" i="52" s="1"/>
  <c r="B175" i="52" s="1"/>
  <c r="B176" i="52" s="1"/>
  <c r="B177" i="52" s="1"/>
  <c r="B178" i="52" s="1"/>
  <c r="B179" i="52" s="1"/>
  <c r="B180" i="52" s="1"/>
  <c r="B181" i="52" s="1"/>
  <c r="B182" i="52" s="1"/>
  <c r="B183" i="52" s="1"/>
  <c r="B184" i="52" s="1"/>
  <c r="B185" i="52" s="1"/>
  <c r="B186" i="52" s="1"/>
  <c r="B187" i="52" s="1"/>
  <c r="B188" i="52" s="1"/>
  <c r="B189" i="52" s="1"/>
  <c r="B190" i="52" s="1"/>
  <c r="B191" i="52" s="1"/>
  <c r="B192" i="52" s="1"/>
  <c r="B193" i="52" s="1"/>
  <c r="B194" i="52" s="1"/>
  <c r="B195" i="52" s="1"/>
  <c r="B196" i="52" s="1"/>
  <c r="B197" i="52" s="1"/>
  <c r="B198" i="52" s="1"/>
  <c r="B199" i="52" s="1"/>
  <c r="B200" i="52" s="1"/>
  <c r="B201" i="52" s="1"/>
  <c r="B202" i="52" s="1"/>
  <c r="B203" i="52" s="1"/>
  <c r="B204" i="52" s="1"/>
  <c r="B205" i="52" s="1"/>
  <c r="B206" i="52" s="1"/>
  <c r="B207" i="52" s="1"/>
  <c r="B208" i="52" s="1"/>
  <c r="B209" i="52" s="1"/>
  <c r="B210" i="52" s="1"/>
  <c r="B211" i="52" s="1"/>
  <c r="B212" i="52" s="1"/>
  <c r="B213" i="52" s="1"/>
  <c r="B214" i="52" s="1"/>
  <c r="B215" i="52" s="1"/>
  <c r="B216" i="52" s="1"/>
  <c r="B217" i="52" s="1"/>
  <c r="B218" i="52" s="1"/>
  <c r="B219" i="52" s="1"/>
  <c r="B220" i="52" s="1"/>
  <c r="B221" i="52" s="1"/>
  <c r="B222" i="52" s="1"/>
  <c r="B223" i="52" s="1"/>
  <c r="B224" i="52" s="1"/>
  <c r="B225" i="52" s="1"/>
  <c r="B226" i="52" s="1"/>
  <c r="B227" i="52" s="1"/>
  <c r="B228" i="52" s="1"/>
  <c r="B229" i="52" s="1"/>
  <c r="B230" i="52" s="1"/>
  <c r="B231" i="52" s="1"/>
  <c r="B232" i="52" s="1"/>
  <c r="C3" i="52"/>
  <c r="C4" i="52" s="1"/>
  <c r="C5" i="52" s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C59" i="52" s="1"/>
  <c r="C60" i="52" s="1"/>
  <c r="C61" i="52" s="1"/>
  <c r="C62" i="52" s="1"/>
  <c r="C63" i="52" s="1"/>
  <c r="C64" i="52" s="1"/>
  <c r="C65" i="52" s="1"/>
  <c r="C66" i="52" s="1"/>
  <c r="C67" i="52" s="1"/>
  <c r="C68" i="52" s="1"/>
  <c r="C69" i="52" s="1"/>
  <c r="C70" i="52" s="1"/>
  <c r="C71" i="52" s="1"/>
  <c r="C72" i="52" s="1"/>
  <c r="C73" i="52" s="1"/>
  <c r="C74" i="52" s="1"/>
  <c r="C75" i="52" s="1"/>
  <c r="C76" i="52" s="1"/>
  <c r="C77" i="52" s="1"/>
  <c r="C78" i="52" s="1"/>
  <c r="C79" i="52" s="1"/>
  <c r="C80" i="52" s="1"/>
  <c r="C81" i="52" s="1"/>
  <c r="C82" i="52" s="1"/>
  <c r="C83" i="52" s="1"/>
  <c r="C84" i="52" s="1"/>
  <c r="C85" i="52" s="1"/>
  <c r="C86" i="52" s="1"/>
  <c r="C87" i="52" s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C98" i="52" s="1"/>
  <c r="C99" i="52" s="1"/>
  <c r="C100" i="52" s="1"/>
  <c r="C101" i="52" s="1"/>
  <c r="C102" i="52" s="1"/>
  <c r="C103" i="52" s="1"/>
  <c r="C104" i="52" s="1"/>
  <c r="C105" i="52" s="1"/>
  <c r="C106" i="52" s="1"/>
  <c r="C107" i="52" s="1"/>
  <c r="C108" i="52" s="1"/>
  <c r="C109" i="52" s="1"/>
  <c r="C110" i="52" s="1"/>
  <c r="C111" i="52" s="1"/>
  <c r="C112" i="52" s="1"/>
  <c r="C113" i="52" s="1"/>
  <c r="C114" i="52" s="1"/>
  <c r="C115" i="52" s="1"/>
  <c r="C116" i="52" s="1"/>
  <c r="C117" i="52" s="1"/>
  <c r="C118" i="52" s="1"/>
  <c r="C119" i="52" s="1"/>
  <c r="C120" i="52" s="1"/>
  <c r="C121" i="52" s="1"/>
  <c r="C122" i="52" s="1"/>
  <c r="C123" i="52" s="1"/>
  <c r="C124" i="52" s="1"/>
  <c r="C125" i="52" s="1"/>
  <c r="C126" i="52" s="1"/>
  <c r="C127" i="52" s="1"/>
  <c r="C128" i="52" s="1"/>
  <c r="C129" i="52" s="1"/>
  <c r="C130" i="52" s="1"/>
  <c r="C131" i="52" s="1"/>
  <c r="C132" i="52" s="1"/>
  <c r="C133" i="52" s="1"/>
  <c r="C134" i="52" s="1"/>
  <c r="C135" i="52" s="1"/>
  <c r="C136" i="52" s="1"/>
  <c r="C137" i="52" s="1"/>
  <c r="C138" i="52" s="1"/>
  <c r="C139" i="52" s="1"/>
  <c r="C140" i="52" s="1"/>
  <c r="C141" i="52" s="1"/>
  <c r="C142" i="52" s="1"/>
  <c r="C143" i="52" s="1"/>
  <c r="C144" i="52" s="1"/>
  <c r="C145" i="52" s="1"/>
  <c r="C146" i="52" s="1"/>
  <c r="C147" i="52" s="1"/>
  <c r="C148" i="52" s="1"/>
  <c r="C149" i="52" s="1"/>
  <c r="C150" i="52" s="1"/>
  <c r="C151" i="52" s="1"/>
  <c r="C152" i="52" s="1"/>
  <c r="C153" i="52" s="1"/>
  <c r="C154" i="52" s="1"/>
  <c r="C155" i="52" s="1"/>
  <c r="C156" i="52" s="1"/>
  <c r="C157" i="52" s="1"/>
  <c r="C158" i="52" s="1"/>
  <c r="C159" i="52" s="1"/>
  <c r="C160" i="52" s="1"/>
  <c r="C161" i="52" s="1"/>
  <c r="C162" i="52" s="1"/>
  <c r="C163" i="52" s="1"/>
  <c r="C164" i="52" s="1"/>
  <c r="C165" i="52" s="1"/>
  <c r="C166" i="52" s="1"/>
  <c r="C167" i="52" s="1"/>
  <c r="C168" i="52" s="1"/>
  <c r="C169" i="52" s="1"/>
  <c r="C170" i="52" s="1"/>
  <c r="C171" i="52" s="1"/>
  <c r="C172" i="52" s="1"/>
  <c r="C173" i="52" s="1"/>
  <c r="C174" i="52" s="1"/>
  <c r="C175" i="52" s="1"/>
  <c r="C176" i="52" s="1"/>
  <c r="C177" i="52" s="1"/>
  <c r="C178" i="52" s="1"/>
  <c r="C179" i="52" s="1"/>
  <c r="C180" i="52" s="1"/>
  <c r="C181" i="52" s="1"/>
  <c r="C182" i="52" s="1"/>
  <c r="C183" i="52" s="1"/>
  <c r="C184" i="52" s="1"/>
  <c r="C185" i="52" s="1"/>
  <c r="C186" i="52" s="1"/>
  <c r="C187" i="52" s="1"/>
  <c r="C188" i="52" s="1"/>
  <c r="C189" i="52" s="1"/>
  <c r="C190" i="52" s="1"/>
  <c r="C191" i="52" s="1"/>
  <c r="C192" i="52" s="1"/>
  <c r="C193" i="52" s="1"/>
  <c r="C194" i="52" s="1"/>
  <c r="C195" i="52" s="1"/>
  <c r="C196" i="52" s="1"/>
  <c r="C197" i="52" s="1"/>
  <c r="C198" i="52" s="1"/>
  <c r="C199" i="52" s="1"/>
  <c r="C200" i="52" s="1"/>
  <c r="C201" i="52" s="1"/>
  <c r="C202" i="52" s="1"/>
  <c r="C203" i="52" s="1"/>
  <c r="C204" i="52" s="1"/>
  <c r="C205" i="52" s="1"/>
  <c r="C206" i="52" s="1"/>
  <c r="C207" i="52" s="1"/>
  <c r="C208" i="52" s="1"/>
  <c r="C209" i="52" s="1"/>
  <c r="C210" i="52" s="1"/>
  <c r="C211" i="52" s="1"/>
  <c r="C212" i="52" s="1"/>
  <c r="C213" i="52" s="1"/>
  <c r="C214" i="52" s="1"/>
  <c r="C215" i="52" s="1"/>
  <c r="C216" i="52" s="1"/>
  <c r="C217" i="52" s="1"/>
  <c r="C218" i="52" s="1"/>
  <c r="C219" i="52" s="1"/>
  <c r="C220" i="52" s="1"/>
  <c r="C221" i="52" s="1"/>
  <c r="C222" i="52" s="1"/>
  <c r="C223" i="52" s="1"/>
  <c r="C224" i="52" s="1"/>
  <c r="C225" i="52" s="1"/>
  <c r="C226" i="52" s="1"/>
  <c r="C227" i="52" s="1"/>
  <c r="C228" i="52" s="1"/>
  <c r="C229" i="52" s="1"/>
  <c r="C230" i="52" s="1"/>
  <c r="C231" i="52" s="1"/>
  <c r="C232" i="52" s="1"/>
  <c r="N3" i="52"/>
  <c r="N4" i="52" s="1"/>
  <c r="N5" i="52" s="1"/>
  <c r="O3" i="52"/>
  <c r="P3" i="52"/>
  <c r="P4" i="52" s="1"/>
  <c r="P5" i="52" s="1"/>
  <c r="P6" i="52" s="1"/>
  <c r="P7" i="52" s="1"/>
  <c r="P8" i="52" s="1"/>
  <c r="P9" i="52" s="1"/>
  <c r="P10" i="52" s="1"/>
  <c r="P11" i="52" s="1"/>
  <c r="P12" i="52" s="1"/>
  <c r="P13" i="52" s="1"/>
  <c r="P14" i="52" s="1"/>
  <c r="P15" i="52" s="1"/>
  <c r="P16" i="52" s="1"/>
  <c r="P17" i="52" s="1"/>
  <c r="P18" i="52" s="1"/>
  <c r="P19" i="52" s="1"/>
  <c r="P20" i="52" s="1"/>
  <c r="P21" i="52" s="1"/>
  <c r="P22" i="52" s="1"/>
  <c r="P23" i="52" s="1"/>
  <c r="P24" i="52" s="1"/>
  <c r="P25" i="52" s="1"/>
  <c r="P26" i="52" s="1"/>
  <c r="P27" i="52" s="1"/>
  <c r="P28" i="52" s="1"/>
  <c r="P29" i="52" s="1"/>
  <c r="P30" i="52" s="1"/>
  <c r="P31" i="52" s="1"/>
  <c r="P32" i="52" s="1"/>
  <c r="P33" i="52" s="1"/>
  <c r="P34" i="52" s="1"/>
  <c r="P35" i="52" s="1"/>
  <c r="P36" i="52" s="1"/>
  <c r="P37" i="52" s="1"/>
  <c r="P38" i="52" s="1"/>
  <c r="P39" i="52" s="1"/>
  <c r="P40" i="52" s="1"/>
  <c r="P41" i="52" s="1"/>
  <c r="P42" i="52" s="1"/>
  <c r="P43" i="52" s="1"/>
  <c r="P44" i="52" s="1"/>
  <c r="P45" i="52" s="1"/>
  <c r="P46" i="52" s="1"/>
  <c r="P47" i="52" s="1"/>
  <c r="P48" i="52" s="1"/>
  <c r="P49" i="52" s="1"/>
  <c r="P50" i="52" s="1"/>
  <c r="P51" i="52" s="1"/>
  <c r="P52" i="52" s="1"/>
  <c r="P53" i="52" s="1"/>
  <c r="P54" i="52" s="1"/>
  <c r="P55" i="52" s="1"/>
  <c r="P56" i="52" s="1"/>
  <c r="P57" i="52" s="1"/>
  <c r="P58" i="52" s="1"/>
  <c r="P59" i="52" s="1"/>
  <c r="P60" i="52" s="1"/>
  <c r="P61" i="52" s="1"/>
  <c r="P62" i="52" s="1"/>
  <c r="P63" i="52" s="1"/>
  <c r="P64" i="52" s="1"/>
  <c r="P65" i="52" s="1"/>
  <c r="P66" i="52" s="1"/>
  <c r="P67" i="52" s="1"/>
  <c r="P68" i="52" s="1"/>
  <c r="P69" i="52" s="1"/>
  <c r="P70" i="52" s="1"/>
  <c r="P71" i="52" s="1"/>
  <c r="P72" i="52" s="1"/>
  <c r="P73" i="52" s="1"/>
  <c r="P74" i="52" s="1"/>
  <c r="P75" i="52" s="1"/>
  <c r="P76" i="52" s="1"/>
  <c r="P77" i="52" s="1"/>
  <c r="P78" i="52" s="1"/>
  <c r="P79" i="52" s="1"/>
  <c r="P80" i="52" s="1"/>
  <c r="P81" i="52" s="1"/>
  <c r="P82" i="52" s="1"/>
  <c r="P83" i="52" s="1"/>
  <c r="P84" i="52" s="1"/>
  <c r="P85" i="52" s="1"/>
  <c r="P86" i="52" s="1"/>
  <c r="P87" i="52" s="1"/>
  <c r="P88" i="52" s="1"/>
  <c r="P89" i="52" s="1"/>
  <c r="P90" i="52" s="1"/>
  <c r="P91" i="52" s="1"/>
  <c r="P92" i="52" s="1"/>
  <c r="P93" i="52" s="1"/>
  <c r="P94" i="52" s="1"/>
  <c r="P95" i="52" s="1"/>
  <c r="P96" i="52" s="1"/>
  <c r="P97" i="52" s="1"/>
  <c r="P98" i="52" s="1"/>
  <c r="P99" i="52" s="1"/>
  <c r="P100" i="52" s="1"/>
  <c r="P101" i="52" s="1"/>
  <c r="P102" i="52" s="1"/>
  <c r="P103" i="52" s="1"/>
  <c r="P104" i="52" s="1"/>
  <c r="P105" i="52" s="1"/>
  <c r="P106" i="52" s="1"/>
  <c r="P107" i="52" s="1"/>
  <c r="P108" i="52" s="1"/>
  <c r="P109" i="52" s="1"/>
  <c r="P110" i="52" s="1"/>
  <c r="P111" i="52" s="1"/>
  <c r="P112" i="52" s="1"/>
  <c r="P113" i="52" s="1"/>
  <c r="P114" i="52" s="1"/>
  <c r="P115" i="52" s="1"/>
  <c r="P116" i="52" s="1"/>
  <c r="P117" i="52" s="1"/>
  <c r="P118" i="52" s="1"/>
  <c r="P119" i="52" s="1"/>
  <c r="P120" i="52" s="1"/>
  <c r="P121" i="52" s="1"/>
  <c r="P122" i="52" s="1"/>
  <c r="P123" i="52" s="1"/>
  <c r="P124" i="52" s="1"/>
  <c r="P125" i="52" s="1"/>
  <c r="P126" i="52" s="1"/>
  <c r="P127" i="52" s="1"/>
  <c r="P128" i="52" s="1"/>
  <c r="P129" i="52" s="1"/>
  <c r="P130" i="52" s="1"/>
  <c r="P131" i="52" s="1"/>
  <c r="P132" i="52" s="1"/>
  <c r="P133" i="52" s="1"/>
  <c r="P134" i="52" s="1"/>
  <c r="P135" i="52" s="1"/>
  <c r="P136" i="52" s="1"/>
  <c r="P137" i="52" s="1"/>
  <c r="P138" i="52" s="1"/>
  <c r="P139" i="52" s="1"/>
  <c r="P140" i="52" s="1"/>
  <c r="P141" i="52" s="1"/>
  <c r="P142" i="52" s="1"/>
  <c r="P143" i="52" s="1"/>
  <c r="P144" i="52" s="1"/>
  <c r="P145" i="52" s="1"/>
  <c r="P146" i="52" s="1"/>
  <c r="P147" i="52" s="1"/>
  <c r="P148" i="52" s="1"/>
  <c r="P149" i="52" s="1"/>
  <c r="P150" i="52" s="1"/>
  <c r="P151" i="52" s="1"/>
  <c r="P152" i="52" s="1"/>
  <c r="P153" i="52" s="1"/>
  <c r="P154" i="52" s="1"/>
  <c r="P155" i="52" s="1"/>
  <c r="P156" i="52" s="1"/>
  <c r="P157" i="52" s="1"/>
  <c r="P158" i="52" s="1"/>
  <c r="P159" i="52" s="1"/>
  <c r="P160" i="52" s="1"/>
  <c r="P161" i="52" s="1"/>
  <c r="P162" i="52" s="1"/>
  <c r="P163" i="52" s="1"/>
  <c r="P164" i="52" s="1"/>
  <c r="P165" i="52" s="1"/>
  <c r="P166" i="52" s="1"/>
  <c r="P167" i="52" s="1"/>
  <c r="P168" i="52" s="1"/>
  <c r="P169" i="52" s="1"/>
  <c r="P170" i="52" s="1"/>
  <c r="P171" i="52" s="1"/>
  <c r="P172" i="52" s="1"/>
  <c r="P173" i="52" s="1"/>
  <c r="P174" i="52" s="1"/>
  <c r="P175" i="52" s="1"/>
  <c r="P176" i="52" s="1"/>
  <c r="P177" i="52" s="1"/>
  <c r="P178" i="52" s="1"/>
  <c r="P179" i="52" s="1"/>
  <c r="P180" i="52" s="1"/>
  <c r="P181" i="52" s="1"/>
  <c r="P182" i="52" s="1"/>
  <c r="P183" i="52" s="1"/>
  <c r="P184" i="52" s="1"/>
  <c r="P185" i="52" s="1"/>
  <c r="P186" i="52" s="1"/>
  <c r="P187" i="52" s="1"/>
  <c r="P188" i="52" s="1"/>
  <c r="P189" i="52" s="1"/>
  <c r="P190" i="52" s="1"/>
  <c r="P191" i="52" s="1"/>
  <c r="P192" i="52" s="1"/>
  <c r="P193" i="52" s="1"/>
  <c r="P194" i="52" s="1"/>
  <c r="P195" i="52" s="1"/>
  <c r="P196" i="52" s="1"/>
  <c r="P197" i="52" s="1"/>
  <c r="P198" i="52" s="1"/>
  <c r="P199" i="52" s="1"/>
  <c r="P200" i="52" s="1"/>
  <c r="P201" i="52" s="1"/>
  <c r="P202" i="52" s="1"/>
  <c r="P203" i="52" s="1"/>
  <c r="P204" i="52" s="1"/>
  <c r="P205" i="52" s="1"/>
  <c r="P206" i="52" s="1"/>
  <c r="P207" i="52" s="1"/>
  <c r="P208" i="52" s="1"/>
  <c r="P209" i="52" s="1"/>
  <c r="P210" i="52" s="1"/>
  <c r="P211" i="52" s="1"/>
  <c r="P212" i="52" s="1"/>
  <c r="P213" i="52" s="1"/>
  <c r="P214" i="52" s="1"/>
  <c r="P215" i="52" s="1"/>
  <c r="P216" i="52" s="1"/>
  <c r="P217" i="52" s="1"/>
  <c r="P218" i="52" s="1"/>
  <c r="P219" i="52" s="1"/>
  <c r="P220" i="52" s="1"/>
  <c r="P221" i="52" s="1"/>
  <c r="P222" i="52" s="1"/>
  <c r="P223" i="52" s="1"/>
  <c r="P224" i="52" s="1"/>
  <c r="P225" i="52" s="1"/>
  <c r="P226" i="52" s="1"/>
  <c r="P227" i="52" s="1"/>
  <c r="P228" i="52" s="1"/>
  <c r="P229" i="52" s="1"/>
  <c r="P230" i="52" s="1"/>
  <c r="P231" i="52" s="1"/>
  <c r="P232" i="52" s="1"/>
  <c r="A4" i="52"/>
  <c r="A5" i="52" s="1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146" i="52" s="1"/>
  <c r="A147" i="52" s="1"/>
  <c r="A148" i="52" s="1"/>
  <c r="A149" i="52" s="1"/>
  <c r="A150" i="52" s="1"/>
  <c r="A151" i="52" s="1"/>
  <c r="A152" i="52" s="1"/>
  <c r="A153" i="52" s="1"/>
  <c r="A154" i="52" s="1"/>
  <c r="A155" i="52" s="1"/>
  <c r="A156" i="52" s="1"/>
  <c r="A157" i="52" s="1"/>
  <c r="A158" i="52" s="1"/>
  <c r="A159" i="52" s="1"/>
  <c r="A160" i="52" s="1"/>
  <c r="A161" i="52" s="1"/>
  <c r="A162" i="52" s="1"/>
  <c r="A163" i="52" s="1"/>
  <c r="A164" i="52" s="1"/>
  <c r="A165" i="52" s="1"/>
  <c r="A166" i="52" s="1"/>
  <c r="A167" i="52" s="1"/>
  <c r="A168" i="52" s="1"/>
  <c r="A169" i="52" s="1"/>
  <c r="A170" i="52" s="1"/>
  <c r="A171" i="52" s="1"/>
  <c r="A172" i="52" s="1"/>
  <c r="A173" i="52" s="1"/>
  <c r="A174" i="52" s="1"/>
  <c r="A175" i="52" s="1"/>
  <c r="A176" i="52" s="1"/>
  <c r="A177" i="52" s="1"/>
  <c r="A178" i="52" s="1"/>
  <c r="A179" i="52" s="1"/>
  <c r="A180" i="52" s="1"/>
  <c r="A181" i="52" s="1"/>
  <c r="A182" i="52" s="1"/>
  <c r="A183" i="52" s="1"/>
  <c r="A184" i="52" s="1"/>
  <c r="A185" i="52" s="1"/>
  <c r="A186" i="52" s="1"/>
  <c r="A187" i="52" s="1"/>
  <c r="A188" i="52" s="1"/>
  <c r="A189" i="52" s="1"/>
  <c r="A190" i="52" s="1"/>
  <c r="A191" i="52" s="1"/>
  <c r="A192" i="52" s="1"/>
  <c r="A193" i="52" s="1"/>
  <c r="A194" i="52" s="1"/>
  <c r="A195" i="52" s="1"/>
  <c r="A196" i="52" s="1"/>
  <c r="A197" i="52" s="1"/>
  <c r="A198" i="52" s="1"/>
  <c r="A199" i="52" s="1"/>
  <c r="A200" i="52" s="1"/>
  <c r="A201" i="52" s="1"/>
  <c r="A202" i="52" s="1"/>
  <c r="A203" i="52" s="1"/>
  <c r="A204" i="52" s="1"/>
  <c r="A205" i="52" s="1"/>
  <c r="A206" i="52" s="1"/>
  <c r="A207" i="52" s="1"/>
  <c r="A208" i="52" s="1"/>
  <c r="A209" i="52" s="1"/>
  <c r="A210" i="52" s="1"/>
  <c r="A211" i="52" s="1"/>
  <c r="A212" i="52" s="1"/>
  <c r="A213" i="52" s="1"/>
  <c r="A214" i="52" s="1"/>
  <c r="A215" i="52" s="1"/>
  <c r="A216" i="52" s="1"/>
  <c r="A217" i="52" s="1"/>
  <c r="A218" i="52" s="1"/>
  <c r="A219" i="52" s="1"/>
  <c r="A220" i="52" s="1"/>
  <c r="A221" i="52" s="1"/>
  <c r="A222" i="52" s="1"/>
  <c r="A223" i="52" s="1"/>
  <c r="A224" i="52" s="1"/>
  <c r="A225" i="52" s="1"/>
  <c r="A226" i="52" s="1"/>
  <c r="A227" i="52" s="1"/>
  <c r="A228" i="52" s="1"/>
  <c r="A229" i="52" s="1"/>
  <c r="A230" i="52" s="1"/>
  <c r="A231" i="52" s="1"/>
  <c r="A232" i="52" s="1"/>
  <c r="O4" i="52"/>
  <c r="O5" i="52"/>
  <c r="N6" i="52"/>
  <c r="N7" i="52" s="1"/>
  <c r="N8" i="52" s="1"/>
  <c r="N9" i="52" s="1"/>
  <c r="N10" i="52" s="1"/>
  <c r="N11" i="52" s="1"/>
  <c r="N12" i="52" s="1"/>
  <c r="N13" i="52" s="1"/>
  <c r="N14" i="52" s="1"/>
  <c r="N15" i="52" s="1"/>
  <c r="N16" i="52" s="1"/>
  <c r="N17" i="52" s="1"/>
  <c r="O6" i="52"/>
  <c r="O7" i="52"/>
  <c r="O8" i="52"/>
  <c r="O9" i="52"/>
  <c r="O10" i="52"/>
  <c r="O11" i="52"/>
  <c r="O12" i="52"/>
  <c r="O13" i="52"/>
  <c r="O14" i="52"/>
  <c r="O15" i="52"/>
  <c r="O16" i="52"/>
  <c r="O17" i="52"/>
  <c r="N18" i="52"/>
  <c r="N19" i="52" s="1"/>
  <c r="N20" i="52" s="1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N34" i="52"/>
  <c r="N35" i="52" s="1"/>
  <c r="N36" i="52" s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N47" i="52" s="1"/>
  <c r="N48" i="52" s="1"/>
  <c r="N49" i="52" s="1"/>
  <c r="N50" i="52" s="1"/>
  <c r="N51" i="52" s="1"/>
  <c r="N52" i="52" s="1"/>
  <c r="N53" i="52" s="1"/>
  <c r="N54" i="52" s="1"/>
  <c r="N55" i="52" s="1"/>
  <c r="N56" i="52" s="1"/>
  <c r="N57" i="52" s="1"/>
  <c r="N58" i="52" s="1"/>
  <c r="N59" i="52" s="1"/>
  <c r="N60" i="52" s="1"/>
  <c r="N61" i="52" s="1"/>
  <c r="N62" i="52" s="1"/>
  <c r="N63" i="52" s="1"/>
  <c r="N64" i="52" s="1"/>
  <c r="N65" i="52" s="1"/>
  <c r="N66" i="52" s="1"/>
  <c r="N67" i="52" s="1"/>
  <c r="N68" i="52" s="1"/>
  <c r="N69" i="52" s="1"/>
  <c r="N70" i="52" s="1"/>
  <c r="N71" i="52" s="1"/>
  <c r="N72" i="52" s="1"/>
  <c r="N73" i="52" s="1"/>
  <c r="N74" i="52" s="1"/>
  <c r="N75" i="52" s="1"/>
  <c r="N76" i="52" s="1"/>
  <c r="N77" i="52" s="1"/>
  <c r="N78" i="52" s="1"/>
  <c r="N79" i="52" s="1"/>
  <c r="N80" i="52" s="1"/>
  <c r="N81" i="52" s="1"/>
  <c r="N82" i="52" s="1"/>
  <c r="N83" i="52" s="1"/>
  <c r="N84" i="52" s="1"/>
  <c r="N85" i="52" s="1"/>
  <c r="N86" i="52" s="1"/>
  <c r="N87" i="52" s="1"/>
  <c r="N88" i="52" s="1"/>
  <c r="N89" i="52" s="1"/>
  <c r="N90" i="52" s="1"/>
  <c r="N91" i="52" s="1"/>
  <c r="N92" i="52" s="1"/>
  <c r="N93" i="52" s="1"/>
  <c r="N94" i="52" s="1"/>
  <c r="N95" i="52" s="1"/>
  <c r="N96" i="52" s="1"/>
  <c r="N97" i="52" s="1"/>
  <c r="N98" i="52" s="1"/>
  <c r="N99" i="52" s="1"/>
  <c r="N100" i="52" s="1"/>
  <c r="N101" i="52" s="1"/>
  <c r="N102" i="52" s="1"/>
  <c r="N103" i="52" s="1"/>
  <c r="N104" i="52" s="1"/>
  <c r="N105" i="52" s="1"/>
  <c r="N106" i="52" s="1"/>
  <c r="N107" i="52" s="1"/>
  <c r="N108" i="52" s="1"/>
  <c r="N109" i="52" s="1"/>
  <c r="N110" i="52" s="1"/>
  <c r="N111" i="52" s="1"/>
  <c r="N112" i="52" s="1"/>
  <c r="N113" i="52" s="1"/>
  <c r="N114" i="52" s="1"/>
  <c r="N115" i="52" s="1"/>
  <c r="N116" i="52" s="1"/>
  <c r="N117" i="52" s="1"/>
  <c r="N118" i="52" s="1"/>
  <c r="N119" i="52" s="1"/>
  <c r="N120" i="52" s="1"/>
  <c r="N121" i="52" s="1"/>
  <c r="N122" i="52" s="1"/>
  <c r="N123" i="52" s="1"/>
  <c r="N124" i="52" s="1"/>
  <c r="N125" i="52" s="1"/>
  <c r="N126" i="52" s="1"/>
  <c r="N127" i="52" s="1"/>
  <c r="N128" i="52" s="1"/>
  <c r="N129" i="52" s="1"/>
  <c r="N130" i="52" s="1"/>
  <c r="N131" i="52" s="1"/>
  <c r="N132" i="52" s="1"/>
  <c r="N133" i="52" s="1"/>
  <c r="N134" i="52" s="1"/>
  <c r="N135" i="52" s="1"/>
  <c r="N136" i="52" s="1"/>
  <c r="N137" i="52" s="1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N138" i="52"/>
  <c r="N139" i="52" s="1"/>
  <c r="N140" i="52" s="1"/>
  <c r="N141" i="52" s="1"/>
  <c r="N142" i="52" s="1"/>
  <c r="N143" i="52" s="1"/>
  <c r="N144" i="52" s="1"/>
  <c r="N145" i="52" s="1"/>
  <c r="N146" i="52" s="1"/>
  <c r="N147" i="52" s="1"/>
  <c r="N148" i="52" s="1"/>
  <c r="N149" i="52" s="1"/>
  <c r="N150" i="52" s="1"/>
  <c r="N151" i="52" s="1"/>
  <c r="N152" i="52" s="1"/>
  <c r="N153" i="52" s="1"/>
  <c r="N154" i="52" s="1"/>
  <c r="N155" i="52" s="1"/>
  <c r="N156" i="52" s="1"/>
  <c r="N157" i="52" s="1"/>
  <c r="N158" i="52" s="1"/>
  <c r="N159" i="52" s="1"/>
  <c r="N160" i="52" s="1"/>
  <c r="N161" i="52" s="1"/>
  <c r="N162" i="52" s="1"/>
  <c r="N163" i="52" s="1"/>
  <c r="N164" i="52" s="1"/>
  <c r="N165" i="52" s="1"/>
  <c r="N166" i="52" s="1"/>
  <c r="N167" i="52" s="1"/>
  <c r="N168" i="52" s="1"/>
  <c r="N169" i="52" s="1"/>
  <c r="N170" i="52" s="1"/>
  <c r="N171" i="52" s="1"/>
  <c r="N172" i="52" s="1"/>
  <c r="N173" i="52" s="1"/>
  <c r="N174" i="52" s="1"/>
  <c r="N175" i="52" s="1"/>
  <c r="N176" i="52" s="1"/>
  <c r="N177" i="52" s="1"/>
  <c r="N178" i="52" s="1"/>
  <c r="N179" i="52" s="1"/>
  <c r="N180" i="52" s="1"/>
  <c r="N181" i="52" s="1"/>
  <c r="N182" i="52" s="1"/>
  <c r="N183" i="52" s="1"/>
  <c r="N184" i="52" s="1"/>
  <c r="N185" i="52" s="1"/>
  <c r="N186" i="52" s="1"/>
  <c r="N187" i="52" s="1"/>
  <c r="N188" i="52" s="1"/>
  <c r="N189" i="52" s="1"/>
  <c r="N190" i="52" s="1"/>
  <c r="N191" i="52" s="1"/>
  <c r="N192" i="52" s="1"/>
  <c r="N193" i="52" s="1"/>
  <c r="N194" i="52" s="1"/>
  <c r="N195" i="52" s="1"/>
  <c r="N196" i="52" s="1"/>
  <c r="N197" i="52" s="1"/>
  <c r="N198" i="52" s="1"/>
  <c r="N199" i="52" s="1"/>
  <c r="N200" i="52" s="1"/>
  <c r="N201" i="52" s="1"/>
  <c r="N202" i="52" s="1"/>
  <c r="N203" i="52" s="1"/>
  <c r="N204" i="52" s="1"/>
  <c r="N205" i="52" s="1"/>
  <c r="N206" i="52" s="1"/>
  <c r="N207" i="52" s="1"/>
  <c r="N208" i="52" s="1"/>
  <c r="N209" i="52" s="1"/>
  <c r="N210" i="52" s="1"/>
  <c r="N211" i="52" s="1"/>
  <c r="N212" i="52" s="1"/>
  <c r="N213" i="52" s="1"/>
  <c r="N214" i="52" s="1"/>
  <c r="N215" i="52" s="1"/>
  <c r="N216" i="52" s="1"/>
  <c r="N217" i="52" s="1"/>
  <c r="N218" i="52" s="1"/>
  <c r="N219" i="52" s="1"/>
  <c r="N220" i="52" s="1"/>
  <c r="N221" i="52" s="1"/>
  <c r="N222" i="52" s="1"/>
  <c r="N223" i="52" s="1"/>
  <c r="N224" i="52" s="1"/>
  <c r="N225" i="52" s="1"/>
  <c r="N226" i="52" s="1"/>
  <c r="N227" i="52" s="1"/>
  <c r="N228" i="52" s="1"/>
  <c r="N229" i="52" s="1"/>
  <c r="N230" i="52" s="1"/>
  <c r="N231" i="52" s="1"/>
  <c r="N232" i="52" s="1"/>
  <c r="N233" i="52" s="1"/>
  <c r="N234" i="52" s="1"/>
  <c r="N235" i="52" s="1"/>
  <c r="N236" i="52" s="1"/>
  <c r="N237" i="52" s="1"/>
  <c r="N238" i="52" s="1"/>
  <c r="N239" i="52" s="1"/>
  <c r="N240" i="52" s="1"/>
  <c r="N241" i="52" s="1"/>
  <c r="N242" i="52" s="1"/>
  <c r="N243" i="52" s="1"/>
  <c r="N244" i="52" s="1"/>
  <c r="N245" i="52" s="1"/>
  <c r="N246" i="52" s="1"/>
  <c r="N247" i="52" s="1"/>
  <c r="N248" i="52" s="1"/>
  <c r="N249" i="52" s="1"/>
  <c r="N250" i="52" s="1"/>
  <c r="N251" i="52" s="1"/>
  <c r="N252" i="52" s="1"/>
  <c r="N253" i="52" s="1"/>
  <c r="N254" i="52" s="1"/>
  <c r="N255" i="52" s="1"/>
  <c r="N256" i="52" s="1"/>
  <c r="N257" i="52" s="1"/>
  <c r="N258" i="52" s="1"/>
  <c r="N259" i="52" s="1"/>
  <c r="N260" i="52" s="1"/>
  <c r="N261" i="52" s="1"/>
  <c r="N262" i="52" s="1"/>
  <c r="N263" i="52" s="1"/>
  <c r="N264" i="52" s="1"/>
  <c r="N265" i="52" s="1"/>
  <c r="N266" i="52" s="1"/>
  <c r="N267" i="52" s="1"/>
  <c r="N268" i="52" s="1"/>
  <c r="N269" i="52" s="1"/>
  <c r="N270" i="52" s="1"/>
  <c r="N271" i="52" s="1"/>
  <c r="N272" i="52" s="1"/>
  <c r="N273" i="52" s="1"/>
  <c r="N274" i="52" s="1"/>
  <c r="N275" i="52" s="1"/>
  <c r="N276" i="52" s="1"/>
  <c r="N277" i="52" s="1"/>
  <c r="N278" i="52" s="1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55" i="52"/>
  <c r="O256" i="52"/>
  <c r="O257" i="52"/>
  <c r="O258" i="52"/>
  <c r="O259" i="52"/>
  <c r="O260" i="52"/>
  <c r="O261" i="52"/>
  <c r="O262" i="52"/>
  <c r="O263" i="52"/>
  <c r="O264" i="52"/>
  <c r="O265" i="52"/>
  <c r="O266" i="52"/>
  <c r="O267" i="52"/>
  <c r="O268" i="52"/>
  <c r="O269" i="52"/>
  <c r="O270" i="52"/>
  <c r="O271" i="52"/>
  <c r="O272" i="52"/>
  <c r="O273" i="52"/>
  <c r="O274" i="52"/>
  <c r="O275" i="52"/>
  <c r="O276" i="52"/>
  <c r="O277" i="52"/>
  <c r="O278" i="52"/>
  <c r="N279" i="52"/>
  <c r="N280" i="52" s="1"/>
  <c r="N281" i="52" s="1"/>
  <c r="N282" i="52" s="1"/>
  <c r="O279" i="52"/>
  <c r="O280" i="52"/>
  <c r="O281" i="52"/>
  <c r="O282" i="52"/>
  <c r="N283" i="52"/>
  <c r="N284" i="52" s="1"/>
  <c r="N285" i="52" s="1"/>
  <c r="N286" i="52" s="1"/>
  <c r="N287" i="52" s="1"/>
  <c r="N288" i="52" s="1"/>
  <c r="N289" i="52" s="1"/>
  <c r="N290" i="52" s="1"/>
  <c r="N291" i="52" s="1"/>
  <c r="N292" i="52" s="1"/>
  <c r="N293" i="52" s="1"/>
  <c r="N294" i="52" s="1"/>
  <c r="N295" i="52" s="1"/>
  <c r="N296" i="52" s="1"/>
  <c r="N297" i="52" s="1"/>
  <c r="N298" i="52" s="1"/>
  <c r="N299" i="52" s="1"/>
  <c r="N300" i="52" s="1"/>
  <c r="N301" i="52" s="1"/>
  <c r="N302" i="52" s="1"/>
  <c r="N303" i="52" s="1"/>
  <c r="N304" i="52" s="1"/>
  <c r="N305" i="52" s="1"/>
  <c r="N306" i="52" s="1"/>
  <c r="N307" i="52" s="1"/>
  <c r="N308" i="52" s="1"/>
  <c r="N309" i="52" s="1"/>
  <c r="N310" i="52" s="1"/>
  <c r="N311" i="52" s="1"/>
  <c r="N312" i="52" s="1"/>
  <c r="N313" i="52" s="1"/>
  <c r="N314" i="52" s="1"/>
  <c r="N315" i="52" s="1"/>
  <c r="N316" i="52" s="1"/>
  <c r="N317" i="52" s="1"/>
  <c r="N318" i="52" s="1"/>
  <c r="N319" i="52" s="1"/>
  <c r="N320" i="52" s="1"/>
  <c r="N321" i="52" s="1"/>
  <c r="N322" i="52" s="1"/>
  <c r="N323" i="52" s="1"/>
  <c r="N324" i="52" s="1"/>
  <c r="N325" i="52" s="1"/>
  <c r="N326" i="52" s="1"/>
  <c r="N327" i="52" s="1"/>
  <c r="N328" i="52" s="1"/>
  <c r="N329" i="52" s="1"/>
  <c r="N330" i="52" s="1"/>
  <c r="N331" i="52" s="1"/>
  <c r="N332" i="52" s="1"/>
  <c r="N333" i="52" s="1"/>
  <c r="N334" i="52" s="1"/>
  <c r="N335" i="52" s="1"/>
  <c r="N336" i="52" s="1"/>
  <c r="N337" i="52" s="1"/>
  <c r="N338" i="52" s="1"/>
  <c r="N339" i="52" s="1"/>
  <c r="N340" i="52" s="1"/>
  <c r="N341" i="52" s="1"/>
  <c r="N342" i="52" s="1"/>
  <c r="N343" i="52" s="1"/>
  <c r="N344" i="52" s="1"/>
  <c r="N345" i="52" s="1"/>
  <c r="N346" i="52" s="1"/>
  <c r="N347" i="52" s="1"/>
  <c r="N348" i="52" s="1"/>
  <c r="N349" i="52" s="1"/>
  <c r="N350" i="52" s="1"/>
  <c r="N351" i="52" s="1"/>
  <c r="N352" i="52" s="1"/>
  <c r="N353" i="52" s="1"/>
  <c r="N354" i="52" s="1"/>
  <c r="N355" i="52" s="1"/>
  <c r="N356" i="52" s="1"/>
  <c r="N357" i="52" s="1"/>
  <c r="N358" i="52" s="1"/>
  <c r="N359" i="52" s="1"/>
  <c r="N360" i="52" s="1"/>
  <c r="N361" i="52" s="1"/>
  <c r="N362" i="52" s="1"/>
  <c r="N363" i="52" s="1"/>
  <c r="N364" i="52" s="1"/>
  <c r="N365" i="52" s="1"/>
  <c r="N366" i="52" s="1"/>
  <c r="N367" i="52" s="1"/>
  <c r="N368" i="52" s="1"/>
  <c r="N369" i="52" s="1"/>
  <c r="N370" i="52" s="1"/>
  <c r="N371" i="52" s="1"/>
  <c r="N372" i="52" s="1"/>
  <c r="N373" i="52" s="1"/>
  <c r="N374" i="52" s="1"/>
  <c r="N375" i="52" s="1"/>
  <c r="N376" i="52" s="1"/>
  <c r="N377" i="52" s="1"/>
  <c r="N378" i="52" s="1"/>
  <c r="N379" i="52" s="1"/>
  <c r="N380" i="52" s="1"/>
  <c r="N381" i="52" s="1"/>
  <c r="N382" i="52" s="1"/>
  <c r="N383" i="52" s="1"/>
  <c r="N384" i="52" s="1"/>
  <c r="N385" i="52" s="1"/>
  <c r="N386" i="52" s="1"/>
  <c r="N387" i="52" s="1"/>
  <c r="N388" i="52" s="1"/>
  <c r="N389" i="52" s="1"/>
  <c r="N390" i="52" s="1"/>
  <c r="N391" i="52" s="1"/>
  <c r="N392" i="52" s="1"/>
  <c r="N393" i="52" s="1"/>
  <c r="N394" i="52" s="1"/>
  <c r="N395" i="52" s="1"/>
  <c r="N396" i="52" s="1"/>
  <c r="N397" i="52" s="1"/>
  <c r="N398" i="52" s="1"/>
  <c r="N399" i="52" s="1"/>
  <c r="N400" i="52" s="1"/>
  <c r="N401" i="52" s="1"/>
  <c r="N402" i="52" s="1"/>
  <c r="N403" i="52" s="1"/>
  <c r="N404" i="52" s="1"/>
  <c r="N405" i="52" s="1"/>
  <c r="N406" i="52" s="1"/>
  <c r="N407" i="52" s="1"/>
  <c r="N408" i="52" s="1"/>
  <c r="N409" i="52" s="1"/>
  <c r="N410" i="52" s="1"/>
  <c r="N411" i="52" s="1"/>
  <c r="N412" i="52" s="1"/>
  <c r="N413" i="52" s="1"/>
  <c r="N414" i="52" s="1"/>
  <c r="N415" i="52" s="1"/>
  <c r="N416" i="52" s="1"/>
  <c r="N417" i="52" s="1"/>
  <c r="N418" i="52" s="1"/>
  <c r="N419" i="52" s="1"/>
  <c r="N420" i="52" s="1"/>
  <c r="N421" i="52" s="1"/>
  <c r="N422" i="52" s="1"/>
  <c r="N423" i="52" s="1"/>
  <c r="N424" i="52" s="1"/>
  <c r="N425" i="52" s="1"/>
  <c r="N426" i="52" s="1"/>
  <c r="N427" i="52" s="1"/>
  <c r="N428" i="52" s="1"/>
  <c r="N429" i="52" s="1"/>
  <c r="N430" i="52" s="1"/>
  <c r="N431" i="52" s="1"/>
  <c r="N432" i="52" s="1"/>
  <c r="N433" i="52" s="1"/>
  <c r="N434" i="52" s="1"/>
  <c r="N435" i="52" s="1"/>
  <c r="N436" i="52" s="1"/>
  <c r="N437" i="52" s="1"/>
  <c r="N438" i="52" s="1"/>
  <c r="N439" i="52" s="1"/>
  <c r="N440" i="52" s="1"/>
  <c r="N441" i="52" s="1"/>
  <c r="N442" i="52" s="1"/>
  <c r="N443" i="52" s="1"/>
  <c r="N444" i="52" s="1"/>
  <c r="N445" i="52" s="1"/>
  <c r="N446" i="52" s="1"/>
  <c r="N447" i="52" s="1"/>
  <c r="N448" i="52" s="1"/>
  <c r="N449" i="52" s="1"/>
  <c r="N450" i="52" s="1"/>
  <c r="N451" i="52" s="1"/>
  <c r="N452" i="52" s="1"/>
  <c r="N453" i="52" s="1"/>
  <c r="N454" i="52" s="1"/>
  <c r="N455" i="52" s="1"/>
  <c r="N456" i="52" s="1"/>
  <c r="N457" i="52" s="1"/>
  <c r="N458" i="52" s="1"/>
  <c r="N459" i="52" s="1"/>
  <c r="N460" i="52" s="1"/>
  <c r="N461" i="52" s="1"/>
  <c r="N462" i="52" s="1"/>
  <c r="N463" i="52" s="1"/>
  <c r="N464" i="52" s="1"/>
  <c r="N465" i="52" s="1"/>
  <c r="N466" i="52" s="1"/>
  <c r="O283" i="52"/>
  <c r="O284" i="52"/>
  <c r="O285" i="52"/>
  <c r="O286" i="52"/>
  <c r="O287" i="52"/>
  <c r="O288" i="52"/>
  <c r="O289" i="52"/>
  <c r="O290" i="52"/>
  <c r="O291" i="52"/>
  <c r="O292" i="52"/>
  <c r="O293" i="52"/>
  <c r="O294" i="52"/>
  <c r="O295" i="52"/>
  <c r="O296" i="52"/>
  <c r="O297" i="52"/>
  <c r="O298" i="52"/>
  <c r="O299" i="52"/>
  <c r="O300" i="52"/>
  <c r="O301" i="52"/>
  <c r="O302" i="52"/>
  <c r="O303" i="52"/>
  <c r="O304" i="52"/>
  <c r="O305" i="52"/>
  <c r="O306" i="52"/>
  <c r="O307" i="52"/>
  <c r="O308" i="52"/>
  <c r="O309" i="52"/>
  <c r="O310" i="52"/>
  <c r="O311" i="52"/>
  <c r="O312" i="52"/>
  <c r="O313" i="52"/>
  <c r="O314" i="52"/>
  <c r="O315" i="52"/>
  <c r="O316" i="52"/>
  <c r="O317" i="52"/>
  <c r="O318" i="52"/>
  <c r="O319" i="52"/>
  <c r="O320" i="52"/>
  <c r="O321" i="52"/>
  <c r="O322" i="52"/>
  <c r="O323" i="52"/>
  <c r="O324" i="52"/>
  <c r="O325" i="52"/>
  <c r="O326" i="52"/>
  <c r="O327" i="52"/>
  <c r="O328" i="52"/>
  <c r="O329" i="52"/>
  <c r="O330" i="52"/>
  <c r="O331" i="52"/>
  <c r="O332" i="52"/>
  <c r="O333" i="52"/>
  <c r="O334" i="52"/>
  <c r="O335" i="52"/>
  <c r="O336" i="52"/>
  <c r="O337" i="52"/>
  <c r="O338" i="52"/>
  <c r="O339" i="52"/>
  <c r="O340" i="52"/>
  <c r="O341" i="52"/>
  <c r="O342" i="52"/>
  <c r="O343" i="52"/>
  <c r="O344" i="52"/>
  <c r="O345" i="52"/>
  <c r="O346" i="52"/>
  <c r="O347" i="52"/>
  <c r="O348" i="52"/>
  <c r="O349" i="52"/>
  <c r="O350" i="52"/>
  <c r="O351" i="52"/>
  <c r="O352" i="52"/>
  <c r="O353" i="52"/>
  <c r="O354" i="52"/>
  <c r="O355" i="52"/>
  <c r="O356" i="52"/>
  <c r="O357" i="52"/>
  <c r="O358" i="52"/>
  <c r="O359" i="52"/>
  <c r="O360" i="52"/>
  <c r="O361" i="52"/>
  <c r="O362" i="52"/>
  <c r="O363" i="52"/>
  <c r="O364" i="52"/>
  <c r="O365" i="52"/>
  <c r="O366" i="52"/>
  <c r="O367" i="52"/>
  <c r="O368" i="52"/>
  <c r="O369" i="52"/>
  <c r="O370" i="52"/>
  <c r="O371" i="52"/>
  <c r="O372" i="52"/>
  <c r="O373" i="52"/>
  <c r="O374" i="52"/>
  <c r="O375" i="52"/>
  <c r="O376" i="52"/>
  <c r="O377" i="52"/>
  <c r="O378" i="52"/>
  <c r="O379" i="52"/>
  <c r="O380" i="52"/>
  <c r="O381" i="52"/>
  <c r="O382" i="52"/>
  <c r="O383" i="52"/>
  <c r="O384" i="52"/>
  <c r="O385" i="52"/>
  <c r="O386" i="52"/>
  <c r="O387" i="52"/>
  <c r="O388" i="52"/>
  <c r="O389" i="52"/>
  <c r="O390" i="52"/>
  <c r="O391" i="52"/>
  <c r="O392" i="52"/>
  <c r="O393" i="52"/>
  <c r="O394" i="52"/>
  <c r="O395" i="52"/>
  <c r="O396" i="52"/>
  <c r="O397" i="52"/>
  <c r="O398" i="52"/>
  <c r="O399" i="52"/>
  <c r="O400" i="52"/>
  <c r="O401" i="52"/>
  <c r="O402" i="52"/>
  <c r="O403" i="52"/>
  <c r="O404" i="52"/>
  <c r="O405" i="52"/>
  <c r="O406" i="52"/>
  <c r="O407" i="52"/>
  <c r="O408" i="52"/>
  <c r="O409" i="52"/>
  <c r="O410" i="52"/>
  <c r="O411" i="52"/>
  <c r="O412" i="52"/>
  <c r="O413" i="52"/>
  <c r="O414" i="52"/>
  <c r="O415" i="52"/>
  <c r="O416" i="52"/>
  <c r="O417" i="52"/>
  <c r="O418" i="52"/>
  <c r="O419" i="52"/>
  <c r="O420" i="52"/>
  <c r="O421" i="52"/>
  <c r="O422" i="52"/>
  <c r="O423" i="52"/>
  <c r="O424" i="52"/>
  <c r="O425" i="52"/>
  <c r="O426" i="52"/>
  <c r="O427" i="52"/>
  <c r="O428" i="52"/>
  <c r="O429" i="52"/>
  <c r="O430" i="52"/>
  <c r="O431" i="52"/>
  <c r="O432" i="52"/>
  <c r="O433" i="52"/>
  <c r="O434" i="52"/>
  <c r="O435" i="52"/>
  <c r="O436" i="52"/>
  <c r="O437" i="52"/>
  <c r="O438" i="52"/>
  <c r="O439" i="52"/>
  <c r="O440" i="52"/>
  <c r="O441" i="52"/>
  <c r="O442" i="52"/>
  <c r="O443" i="52"/>
  <c r="O444" i="52"/>
  <c r="O445" i="52"/>
  <c r="O446" i="52"/>
  <c r="O447" i="52"/>
  <c r="O448" i="52"/>
  <c r="O449" i="52"/>
  <c r="O450" i="52"/>
  <c r="O451" i="52"/>
  <c r="O452" i="52"/>
  <c r="O453" i="52"/>
  <c r="O454" i="52"/>
  <c r="O455" i="52"/>
  <c r="O456" i="52"/>
  <c r="O457" i="52"/>
  <c r="O458" i="52"/>
  <c r="O459" i="52"/>
  <c r="O460" i="52"/>
  <c r="O461" i="52"/>
  <c r="O462" i="52"/>
  <c r="O463" i="52"/>
  <c r="O464" i="52"/>
  <c r="O465" i="52"/>
  <c r="O466" i="52"/>
  <c r="A234" i="52" l="1"/>
  <c r="A235" i="52" s="1"/>
  <c r="A236" i="52" s="1"/>
  <c r="A237" i="52" s="1"/>
  <c r="A238" i="52" s="1"/>
  <c r="A239" i="52" s="1"/>
  <c r="A240" i="52" s="1"/>
  <c r="A241" i="52" s="1"/>
  <c r="A242" i="52" s="1"/>
  <c r="A243" i="52" s="1"/>
  <c r="A244" i="52" s="1"/>
  <c r="A245" i="52" s="1"/>
  <c r="A246" i="52" s="1"/>
  <c r="A247" i="52" s="1"/>
  <c r="A248" i="52" s="1"/>
  <c r="A249" i="52" s="1"/>
  <c r="A250" i="52" s="1"/>
  <c r="A251" i="52" s="1"/>
  <c r="A252" i="52" s="1"/>
  <c r="A253" i="52" s="1"/>
  <c r="A254" i="52" s="1"/>
  <c r="A255" i="52" s="1"/>
  <c r="A256" i="52" s="1"/>
  <c r="A257" i="52" s="1"/>
  <c r="A258" i="52" s="1"/>
  <c r="A259" i="52" s="1"/>
  <c r="A260" i="52" s="1"/>
  <c r="A261" i="52" s="1"/>
  <c r="A262" i="52" s="1"/>
  <c r="A263" i="52" s="1"/>
  <c r="A264" i="52" s="1"/>
  <c r="A265" i="52" s="1"/>
  <c r="A266" i="52" s="1"/>
  <c r="A267" i="52" s="1"/>
  <c r="A268" i="52" s="1"/>
  <c r="A269" i="52" s="1"/>
  <c r="A270" i="52" s="1"/>
  <c r="A271" i="52" s="1"/>
  <c r="A272" i="52" s="1"/>
  <c r="A273" i="52" s="1"/>
  <c r="A274" i="52" s="1"/>
  <c r="A275" i="52" s="1"/>
  <c r="A276" i="52" s="1"/>
  <c r="A277" i="52" s="1"/>
  <c r="A278" i="52" s="1"/>
  <c r="A279" i="52" s="1"/>
  <c r="A280" i="52" s="1"/>
  <c r="A281" i="52" s="1"/>
  <c r="A282" i="52" s="1"/>
  <c r="A283" i="52" s="1"/>
  <c r="A284" i="52" s="1"/>
  <c r="A285" i="52" s="1"/>
  <c r="A286" i="52" s="1"/>
  <c r="A287" i="52" s="1"/>
  <c r="A288" i="52" s="1"/>
  <c r="A289" i="52" s="1"/>
  <c r="A290" i="52" s="1"/>
  <c r="A291" i="52" s="1"/>
  <c r="A292" i="52" s="1"/>
  <c r="A293" i="52" s="1"/>
  <c r="A294" i="52" s="1"/>
  <c r="A295" i="52" s="1"/>
  <c r="A296" i="52" s="1"/>
  <c r="A297" i="52" s="1"/>
  <c r="A298" i="52" s="1"/>
  <c r="A299" i="52" s="1"/>
  <c r="A300" i="52" s="1"/>
  <c r="A301" i="52" s="1"/>
  <c r="A302" i="52" s="1"/>
  <c r="A303" i="52" s="1"/>
  <c r="A304" i="52" s="1"/>
  <c r="A305" i="52" s="1"/>
  <c r="A306" i="52" s="1"/>
  <c r="A307" i="52" s="1"/>
  <c r="A308" i="52" s="1"/>
  <c r="A309" i="52" s="1"/>
  <c r="A310" i="52" s="1"/>
  <c r="A311" i="52" s="1"/>
  <c r="A312" i="52" s="1"/>
  <c r="A313" i="52" s="1"/>
  <c r="A314" i="52" s="1"/>
  <c r="A315" i="52" s="1"/>
  <c r="A316" i="52" s="1"/>
  <c r="A317" i="52" s="1"/>
  <c r="A318" i="52" s="1"/>
  <c r="A319" i="52" s="1"/>
  <c r="A320" i="52" s="1"/>
  <c r="A321" i="52" s="1"/>
  <c r="A322" i="52" s="1"/>
  <c r="A323" i="52" s="1"/>
  <c r="A324" i="52" s="1"/>
  <c r="A325" i="52" s="1"/>
  <c r="A326" i="52" s="1"/>
  <c r="A327" i="52" s="1"/>
  <c r="A328" i="52" s="1"/>
  <c r="A329" i="52" s="1"/>
  <c r="A330" i="52" s="1"/>
  <c r="A331" i="52" s="1"/>
  <c r="A332" i="52" s="1"/>
  <c r="A333" i="52" s="1"/>
  <c r="A334" i="52" s="1"/>
  <c r="A335" i="52" s="1"/>
  <c r="A336" i="52" s="1"/>
  <c r="A337" i="52" s="1"/>
  <c r="A338" i="52" s="1"/>
  <c r="A339" i="52" s="1"/>
  <c r="A340" i="52" s="1"/>
  <c r="A341" i="52" s="1"/>
  <c r="A342" i="52" s="1"/>
  <c r="A343" i="52" s="1"/>
  <c r="A344" i="52" s="1"/>
  <c r="A345" i="52" s="1"/>
  <c r="A346" i="52" s="1"/>
  <c r="A347" i="52" s="1"/>
  <c r="A348" i="52" s="1"/>
  <c r="A349" i="52" s="1"/>
  <c r="A350" i="52" s="1"/>
  <c r="A351" i="52" s="1"/>
  <c r="A352" i="52" s="1"/>
  <c r="A353" i="52" s="1"/>
  <c r="A354" i="52" s="1"/>
  <c r="A355" i="52" s="1"/>
  <c r="A356" i="52" s="1"/>
  <c r="A357" i="52" s="1"/>
  <c r="A358" i="52" s="1"/>
  <c r="A359" i="52" s="1"/>
  <c r="A360" i="52" s="1"/>
  <c r="A361" i="52" s="1"/>
  <c r="A362" i="52" s="1"/>
  <c r="A363" i="52" s="1"/>
  <c r="A364" i="52" s="1"/>
  <c r="A365" i="52" s="1"/>
  <c r="A366" i="52" s="1"/>
  <c r="A367" i="52" s="1"/>
  <c r="A368" i="52" s="1"/>
  <c r="A369" i="52" s="1"/>
  <c r="A370" i="52" s="1"/>
  <c r="A371" i="52" s="1"/>
  <c r="A372" i="52" s="1"/>
  <c r="A373" i="52" s="1"/>
  <c r="A374" i="52" s="1"/>
  <c r="A375" i="52" s="1"/>
  <c r="A376" i="52" s="1"/>
  <c r="A377" i="52" s="1"/>
  <c r="A378" i="52" s="1"/>
  <c r="A379" i="52" s="1"/>
  <c r="A380" i="52" s="1"/>
  <c r="A381" i="52" s="1"/>
  <c r="A382" i="52" s="1"/>
  <c r="A383" i="52" s="1"/>
  <c r="A384" i="52" s="1"/>
  <c r="A385" i="52" s="1"/>
  <c r="A386" i="52" s="1"/>
  <c r="A387" i="52" s="1"/>
  <c r="A388" i="52" s="1"/>
  <c r="A389" i="52" s="1"/>
  <c r="A390" i="52" s="1"/>
  <c r="A391" i="52" s="1"/>
  <c r="A392" i="52" s="1"/>
  <c r="A393" i="52" s="1"/>
  <c r="A394" i="52" s="1"/>
  <c r="A395" i="52" s="1"/>
  <c r="A396" i="52" s="1"/>
  <c r="A397" i="52" s="1"/>
  <c r="A398" i="52" s="1"/>
  <c r="A399" i="52" s="1"/>
  <c r="A400" i="52" s="1"/>
  <c r="A401" i="52" s="1"/>
  <c r="A402" i="52" s="1"/>
  <c r="A403" i="52" s="1"/>
  <c r="A404" i="52" s="1"/>
  <c r="A405" i="52" s="1"/>
  <c r="A406" i="52" s="1"/>
  <c r="A407" i="52" s="1"/>
  <c r="A408" i="52" s="1"/>
  <c r="A409" i="52" s="1"/>
  <c r="A410" i="52" s="1"/>
  <c r="A411" i="52" s="1"/>
  <c r="A412" i="52" s="1"/>
  <c r="A413" i="52" s="1"/>
  <c r="A414" i="52" s="1"/>
  <c r="A415" i="52" s="1"/>
  <c r="A416" i="52" s="1"/>
  <c r="A417" i="52" s="1"/>
  <c r="A418" i="52" s="1"/>
  <c r="A419" i="52" s="1"/>
  <c r="A420" i="52" s="1"/>
  <c r="A421" i="52" s="1"/>
  <c r="A422" i="52" s="1"/>
  <c r="A423" i="52" s="1"/>
  <c r="A424" i="52" s="1"/>
  <c r="A425" i="52" s="1"/>
  <c r="A426" i="52" s="1"/>
  <c r="A427" i="52" s="1"/>
  <c r="A428" i="52" s="1"/>
  <c r="A429" i="52" s="1"/>
  <c r="A430" i="52" s="1"/>
  <c r="A431" i="52" s="1"/>
  <c r="A432" i="52" s="1"/>
  <c r="A433" i="52" s="1"/>
  <c r="A434" i="52" s="1"/>
  <c r="A435" i="52" s="1"/>
  <c r="A436" i="52" s="1"/>
  <c r="A437" i="52" s="1"/>
  <c r="A438" i="52" s="1"/>
  <c r="A439" i="52" s="1"/>
  <c r="A440" i="52" s="1"/>
  <c r="A441" i="52" s="1"/>
  <c r="A442" i="52" s="1"/>
  <c r="A443" i="52" s="1"/>
  <c r="A444" i="52" s="1"/>
  <c r="A445" i="52" s="1"/>
  <c r="A446" i="52" s="1"/>
  <c r="A447" i="52" s="1"/>
  <c r="A448" i="52" s="1"/>
  <c r="A449" i="52" s="1"/>
  <c r="A450" i="52" s="1"/>
  <c r="A451" i="52" s="1"/>
  <c r="A452" i="52" s="1"/>
  <c r="A453" i="52" s="1"/>
  <c r="A454" i="52" s="1"/>
  <c r="A455" i="52" s="1"/>
  <c r="A456" i="52" s="1"/>
  <c r="A457" i="52" s="1"/>
  <c r="A458" i="52" s="1"/>
  <c r="A459" i="52" s="1"/>
  <c r="A460" i="52" s="1"/>
  <c r="A461" i="52" s="1"/>
  <c r="A462" i="52" s="1"/>
  <c r="A463" i="52" s="1"/>
  <c r="A464" i="52" s="1"/>
  <c r="A465" i="52" s="1"/>
  <c r="A466" i="52" s="1"/>
  <c r="A233" i="52"/>
  <c r="C233" i="52"/>
  <c r="C234" i="52"/>
  <c r="C235" i="52" s="1"/>
  <c r="C236" i="52" s="1"/>
  <c r="C237" i="52" s="1"/>
  <c r="C238" i="52" s="1"/>
  <c r="C239" i="52" s="1"/>
  <c r="C240" i="52" s="1"/>
  <c r="C241" i="52" s="1"/>
  <c r="C242" i="52" s="1"/>
  <c r="C243" i="52" s="1"/>
  <c r="C244" i="52" s="1"/>
  <c r="C245" i="52" s="1"/>
  <c r="C246" i="52" s="1"/>
  <c r="C247" i="52" s="1"/>
  <c r="C248" i="52" s="1"/>
  <c r="C249" i="52" s="1"/>
  <c r="C250" i="52" s="1"/>
  <c r="C251" i="52" s="1"/>
  <c r="C252" i="52" s="1"/>
  <c r="C253" i="52" s="1"/>
  <c r="C254" i="52" s="1"/>
  <c r="C255" i="52" s="1"/>
  <c r="C256" i="52" s="1"/>
  <c r="C257" i="52" s="1"/>
  <c r="C258" i="52" s="1"/>
  <c r="C259" i="52" s="1"/>
  <c r="C260" i="52" s="1"/>
  <c r="C261" i="52" s="1"/>
  <c r="C262" i="52" s="1"/>
  <c r="C263" i="52" s="1"/>
  <c r="C264" i="52" s="1"/>
  <c r="C265" i="52" s="1"/>
  <c r="C266" i="52" s="1"/>
  <c r="C267" i="52" s="1"/>
  <c r="C268" i="52" s="1"/>
  <c r="C269" i="52" s="1"/>
  <c r="C270" i="52" s="1"/>
  <c r="C271" i="52" s="1"/>
  <c r="C272" i="52" s="1"/>
  <c r="C273" i="52" s="1"/>
  <c r="C274" i="52" s="1"/>
  <c r="C275" i="52" s="1"/>
  <c r="C276" i="52" s="1"/>
  <c r="C277" i="52" s="1"/>
  <c r="C278" i="52" s="1"/>
  <c r="C279" i="52" s="1"/>
  <c r="C280" i="52" s="1"/>
  <c r="C281" i="52" s="1"/>
  <c r="C282" i="52" s="1"/>
  <c r="C283" i="52" s="1"/>
  <c r="C284" i="52" s="1"/>
  <c r="C285" i="52" s="1"/>
  <c r="C286" i="52" s="1"/>
  <c r="C287" i="52" s="1"/>
  <c r="C288" i="52" s="1"/>
  <c r="C289" i="52" s="1"/>
  <c r="C290" i="52" s="1"/>
  <c r="C291" i="52" s="1"/>
  <c r="C292" i="52" s="1"/>
  <c r="C293" i="52" s="1"/>
  <c r="C294" i="52" s="1"/>
  <c r="C295" i="52" s="1"/>
  <c r="C296" i="52" s="1"/>
  <c r="C297" i="52" s="1"/>
  <c r="C298" i="52" s="1"/>
  <c r="C299" i="52" s="1"/>
  <c r="C300" i="52" s="1"/>
  <c r="C301" i="52" s="1"/>
  <c r="C302" i="52" s="1"/>
  <c r="C303" i="52" s="1"/>
  <c r="C304" i="52" s="1"/>
  <c r="C305" i="52" s="1"/>
  <c r="C306" i="52" s="1"/>
  <c r="C307" i="52" s="1"/>
  <c r="C308" i="52" s="1"/>
  <c r="C309" i="52" s="1"/>
  <c r="C310" i="52" s="1"/>
  <c r="C311" i="52" s="1"/>
  <c r="C312" i="52" s="1"/>
  <c r="C313" i="52" s="1"/>
  <c r="C314" i="52" s="1"/>
  <c r="C315" i="52" s="1"/>
  <c r="C316" i="52" s="1"/>
  <c r="C317" i="52" s="1"/>
  <c r="C318" i="52" s="1"/>
  <c r="C319" i="52" s="1"/>
  <c r="C320" i="52" s="1"/>
  <c r="C321" i="52" s="1"/>
  <c r="C322" i="52" s="1"/>
  <c r="C323" i="52" s="1"/>
  <c r="C324" i="52" s="1"/>
  <c r="C325" i="52" s="1"/>
  <c r="C326" i="52" s="1"/>
  <c r="C327" i="52" s="1"/>
  <c r="C328" i="52" s="1"/>
  <c r="C329" i="52" s="1"/>
  <c r="C330" i="52" s="1"/>
  <c r="C331" i="52" s="1"/>
  <c r="C332" i="52" s="1"/>
  <c r="C333" i="52" s="1"/>
  <c r="C334" i="52" s="1"/>
  <c r="C335" i="52" s="1"/>
  <c r="C336" i="52" s="1"/>
  <c r="C337" i="52" s="1"/>
  <c r="C338" i="52" s="1"/>
  <c r="C339" i="52" s="1"/>
  <c r="C340" i="52" s="1"/>
  <c r="C341" i="52" s="1"/>
  <c r="C342" i="52" s="1"/>
  <c r="C343" i="52" s="1"/>
  <c r="C344" i="52" s="1"/>
  <c r="C345" i="52" s="1"/>
  <c r="C346" i="52" s="1"/>
  <c r="C347" i="52" s="1"/>
  <c r="C348" i="52" s="1"/>
  <c r="C349" i="52" s="1"/>
  <c r="C350" i="52" s="1"/>
  <c r="C351" i="52" s="1"/>
  <c r="C352" i="52" s="1"/>
  <c r="C353" i="52" s="1"/>
  <c r="C354" i="52" s="1"/>
  <c r="C355" i="52" s="1"/>
  <c r="C356" i="52" s="1"/>
  <c r="C357" i="52" s="1"/>
  <c r="C358" i="52" s="1"/>
  <c r="C359" i="52" s="1"/>
  <c r="C360" i="52" s="1"/>
  <c r="C361" i="52" s="1"/>
  <c r="C362" i="52" s="1"/>
  <c r="C363" i="52" s="1"/>
  <c r="C364" i="52" s="1"/>
  <c r="C365" i="52" s="1"/>
  <c r="C366" i="52" s="1"/>
  <c r="C367" i="52" s="1"/>
  <c r="C368" i="52" s="1"/>
  <c r="C369" i="52" s="1"/>
  <c r="C370" i="52" s="1"/>
  <c r="C371" i="52" s="1"/>
  <c r="C372" i="52" s="1"/>
  <c r="C373" i="52" s="1"/>
  <c r="C374" i="52" s="1"/>
  <c r="C375" i="52" s="1"/>
  <c r="C376" i="52" s="1"/>
  <c r="C377" i="52" s="1"/>
  <c r="C378" i="52" s="1"/>
  <c r="C379" i="52" s="1"/>
  <c r="C380" i="52" s="1"/>
  <c r="C381" i="52" s="1"/>
  <c r="C382" i="52" s="1"/>
  <c r="C383" i="52" s="1"/>
  <c r="C384" i="52" s="1"/>
  <c r="C385" i="52" s="1"/>
  <c r="C386" i="52" s="1"/>
  <c r="C387" i="52" s="1"/>
  <c r="C388" i="52" s="1"/>
  <c r="C389" i="52" s="1"/>
  <c r="C390" i="52" s="1"/>
  <c r="C391" i="52" s="1"/>
  <c r="C392" i="52" s="1"/>
  <c r="C393" i="52" s="1"/>
  <c r="C394" i="52" s="1"/>
  <c r="C395" i="52" s="1"/>
  <c r="C396" i="52" s="1"/>
  <c r="C397" i="52" s="1"/>
  <c r="C398" i="52" s="1"/>
  <c r="C399" i="52" s="1"/>
  <c r="C400" i="52" s="1"/>
  <c r="C401" i="52" s="1"/>
  <c r="C402" i="52" s="1"/>
  <c r="C403" i="52" s="1"/>
  <c r="C404" i="52" s="1"/>
  <c r="C405" i="52" s="1"/>
  <c r="C406" i="52" s="1"/>
  <c r="C407" i="52" s="1"/>
  <c r="C408" i="52" s="1"/>
  <c r="C409" i="52" s="1"/>
  <c r="C410" i="52" s="1"/>
  <c r="C411" i="52" s="1"/>
  <c r="C412" i="52" s="1"/>
  <c r="C413" i="52" s="1"/>
  <c r="C414" i="52" s="1"/>
  <c r="C415" i="52" s="1"/>
  <c r="C416" i="52" s="1"/>
  <c r="C417" i="52" s="1"/>
  <c r="C418" i="52" s="1"/>
  <c r="C419" i="52" s="1"/>
  <c r="C420" i="52" s="1"/>
  <c r="C421" i="52" s="1"/>
  <c r="C422" i="52" s="1"/>
  <c r="C423" i="52" s="1"/>
  <c r="C424" i="52" s="1"/>
  <c r="C425" i="52" s="1"/>
  <c r="C426" i="52" s="1"/>
  <c r="C427" i="52" s="1"/>
  <c r="C428" i="52" s="1"/>
  <c r="C429" i="52" s="1"/>
  <c r="C430" i="52" s="1"/>
  <c r="C431" i="52" s="1"/>
  <c r="C432" i="52" s="1"/>
  <c r="C433" i="52" s="1"/>
  <c r="C434" i="52" s="1"/>
  <c r="C435" i="52" s="1"/>
  <c r="C436" i="52" s="1"/>
  <c r="C437" i="52" s="1"/>
  <c r="C438" i="52" s="1"/>
  <c r="C439" i="52" s="1"/>
  <c r="C440" i="52" s="1"/>
  <c r="C441" i="52" s="1"/>
  <c r="C442" i="52" s="1"/>
  <c r="C443" i="52" s="1"/>
  <c r="C444" i="52" s="1"/>
  <c r="C445" i="52" s="1"/>
  <c r="C446" i="52" s="1"/>
  <c r="C447" i="52" s="1"/>
  <c r="C448" i="52" s="1"/>
  <c r="C449" i="52" s="1"/>
  <c r="C450" i="52" s="1"/>
  <c r="C451" i="52" s="1"/>
  <c r="C452" i="52" s="1"/>
  <c r="C453" i="52" s="1"/>
  <c r="C454" i="52" s="1"/>
  <c r="C455" i="52" s="1"/>
  <c r="C456" i="52" s="1"/>
  <c r="C457" i="52" s="1"/>
  <c r="C458" i="52" s="1"/>
  <c r="C459" i="52" s="1"/>
  <c r="C460" i="52" s="1"/>
  <c r="C461" i="52" s="1"/>
  <c r="C462" i="52" s="1"/>
  <c r="C463" i="52" s="1"/>
  <c r="C464" i="52" s="1"/>
  <c r="C465" i="52" s="1"/>
  <c r="C466" i="52" s="1"/>
  <c r="B234" i="52"/>
  <c r="B235" i="52" s="1"/>
  <c r="B236" i="52" s="1"/>
  <c r="B237" i="52" s="1"/>
  <c r="B238" i="52" s="1"/>
  <c r="B239" i="52" s="1"/>
  <c r="B240" i="52" s="1"/>
  <c r="B241" i="52" s="1"/>
  <c r="B242" i="52" s="1"/>
  <c r="B243" i="52" s="1"/>
  <c r="B244" i="52" s="1"/>
  <c r="B245" i="52" s="1"/>
  <c r="B246" i="52" s="1"/>
  <c r="B247" i="52" s="1"/>
  <c r="B248" i="52" s="1"/>
  <c r="B249" i="52" s="1"/>
  <c r="B250" i="52" s="1"/>
  <c r="B251" i="52" s="1"/>
  <c r="B252" i="52" s="1"/>
  <c r="B253" i="52" s="1"/>
  <c r="B254" i="52" s="1"/>
  <c r="B255" i="52" s="1"/>
  <c r="B256" i="52" s="1"/>
  <c r="B257" i="52" s="1"/>
  <c r="B258" i="52" s="1"/>
  <c r="B259" i="52" s="1"/>
  <c r="B260" i="52" s="1"/>
  <c r="B261" i="52" s="1"/>
  <c r="B262" i="52" s="1"/>
  <c r="B263" i="52" s="1"/>
  <c r="B264" i="52" s="1"/>
  <c r="B265" i="52" s="1"/>
  <c r="B266" i="52" s="1"/>
  <c r="B267" i="52" s="1"/>
  <c r="B268" i="52" s="1"/>
  <c r="B269" i="52" s="1"/>
  <c r="B270" i="52" s="1"/>
  <c r="B271" i="52" s="1"/>
  <c r="B272" i="52" s="1"/>
  <c r="B273" i="52" s="1"/>
  <c r="B274" i="52" s="1"/>
  <c r="B275" i="52" s="1"/>
  <c r="B276" i="52" s="1"/>
  <c r="B277" i="52" s="1"/>
  <c r="B278" i="52" s="1"/>
  <c r="B279" i="52" s="1"/>
  <c r="B280" i="52" s="1"/>
  <c r="B281" i="52" s="1"/>
  <c r="B282" i="52" s="1"/>
  <c r="B283" i="52" s="1"/>
  <c r="B284" i="52" s="1"/>
  <c r="B285" i="52" s="1"/>
  <c r="B286" i="52" s="1"/>
  <c r="B287" i="52" s="1"/>
  <c r="B288" i="52" s="1"/>
  <c r="B289" i="52" s="1"/>
  <c r="B290" i="52" s="1"/>
  <c r="B291" i="52" s="1"/>
  <c r="B292" i="52" s="1"/>
  <c r="B293" i="52" s="1"/>
  <c r="B294" i="52" s="1"/>
  <c r="B295" i="52" s="1"/>
  <c r="B296" i="52" s="1"/>
  <c r="B297" i="52" s="1"/>
  <c r="B298" i="52" s="1"/>
  <c r="B299" i="52" s="1"/>
  <c r="B300" i="52" s="1"/>
  <c r="B301" i="52" s="1"/>
  <c r="B302" i="52" s="1"/>
  <c r="B303" i="52" s="1"/>
  <c r="B304" i="52" s="1"/>
  <c r="B305" i="52" s="1"/>
  <c r="B306" i="52" s="1"/>
  <c r="B307" i="52" s="1"/>
  <c r="B308" i="52" s="1"/>
  <c r="B309" i="52" s="1"/>
  <c r="B310" i="52" s="1"/>
  <c r="B311" i="52" s="1"/>
  <c r="B312" i="52" s="1"/>
  <c r="B313" i="52" s="1"/>
  <c r="B314" i="52" s="1"/>
  <c r="B315" i="52" s="1"/>
  <c r="B316" i="52" s="1"/>
  <c r="B317" i="52" s="1"/>
  <c r="B318" i="52" s="1"/>
  <c r="B319" i="52" s="1"/>
  <c r="B320" i="52" s="1"/>
  <c r="B321" i="52" s="1"/>
  <c r="B322" i="52" s="1"/>
  <c r="B323" i="52" s="1"/>
  <c r="B324" i="52" s="1"/>
  <c r="B325" i="52" s="1"/>
  <c r="B326" i="52" s="1"/>
  <c r="B327" i="52" s="1"/>
  <c r="B328" i="52" s="1"/>
  <c r="B329" i="52" s="1"/>
  <c r="B330" i="52" s="1"/>
  <c r="B331" i="52" s="1"/>
  <c r="B332" i="52" s="1"/>
  <c r="B333" i="52" s="1"/>
  <c r="B334" i="52" s="1"/>
  <c r="B335" i="52" s="1"/>
  <c r="B336" i="52" s="1"/>
  <c r="B337" i="52" s="1"/>
  <c r="B338" i="52" s="1"/>
  <c r="B339" i="52" s="1"/>
  <c r="B340" i="52" s="1"/>
  <c r="B341" i="52" s="1"/>
  <c r="B342" i="52" s="1"/>
  <c r="B343" i="52" s="1"/>
  <c r="B344" i="52" s="1"/>
  <c r="B345" i="52" s="1"/>
  <c r="B346" i="52" s="1"/>
  <c r="B347" i="52" s="1"/>
  <c r="B348" i="52" s="1"/>
  <c r="B349" i="52" s="1"/>
  <c r="B350" i="52" s="1"/>
  <c r="B351" i="52" s="1"/>
  <c r="B352" i="52" s="1"/>
  <c r="B353" i="52" s="1"/>
  <c r="B354" i="52" s="1"/>
  <c r="B355" i="52" s="1"/>
  <c r="B356" i="52" s="1"/>
  <c r="B357" i="52" s="1"/>
  <c r="B358" i="52" s="1"/>
  <c r="B359" i="52" s="1"/>
  <c r="B360" i="52" s="1"/>
  <c r="B361" i="52" s="1"/>
  <c r="B362" i="52" s="1"/>
  <c r="B363" i="52" s="1"/>
  <c r="B364" i="52" s="1"/>
  <c r="B365" i="52" s="1"/>
  <c r="B366" i="52" s="1"/>
  <c r="B367" i="52" s="1"/>
  <c r="B368" i="52" s="1"/>
  <c r="B369" i="52" s="1"/>
  <c r="B370" i="52" s="1"/>
  <c r="B371" i="52" s="1"/>
  <c r="B372" i="52" s="1"/>
  <c r="B373" i="52" s="1"/>
  <c r="B374" i="52" s="1"/>
  <c r="B375" i="52" s="1"/>
  <c r="B376" i="52" s="1"/>
  <c r="B377" i="52" s="1"/>
  <c r="B378" i="52" s="1"/>
  <c r="B379" i="52" s="1"/>
  <c r="B380" i="52" s="1"/>
  <c r="B381" i="52" s="1"/>
  <c r="B382" i="52" s="1"/>
  <c r="B383" i="52" s="1"/>
  <c r="B384" i="52" s="1"/>
  <c r="B385" i="52" s="1"/>
  <c r="B386" i="52" s="1"/>
  <c r="B387" i="52" s="1"/>
  <c r="B388" i="52" s="1"/>
  <c r="B389" i="52" s="1"/>
  <c r="B390" i="52" s="1"/>
  <c r="B391" i="52" s="1"/>
  <c r="B392" i="52" s="1"/>
  <c r="B393" i="52" s="1"/>
  <c r="B394" i="52" s="1"/>
  <c r="B395" i="52" s="1"/>
  <c r="B396" i="52" s="1"/>
  <c r="B397" i="52" s="1"/>
  <c r="B398" i="52" s="1"/>
  <c r="B399" i="52" s="1"/>
  <c r="B400" i="52" s="1"/>
  <c r="B401" i="52" s="1"/>
  <c r="B402" i="52" s="1"/>
  <c r="B403" i="52" s="1"/>
  <c r="B404" i="52" s="1"/>
  <c r="B405" i="52" s="1"/>
  <c r="B406" i="52" s="1"/>
  <c r="B407" i="52" s="1"/>
  <c r="B408" i="52" s="1"/>
  <c r="B409" i="52" s="1"/>
  <c r="B410" i="52" s="1"/>
  <c r="B411" i="52" s="1"/>
  <c r="B412" i="52" s="1"/>
  <c r="B413" i="52" s="1"/>
  <c r="B414" i="52" s="1"/>
  <c r="B415" i="52" s="1"/>
  <c r="B416" i="52" s="1"/>
  <c r="B417" i="52" s="1"/>
  <c r="B418" i="52" s="1"/>
  <c r="B419" i="52" s="1"/>
  <c r="B420" i="52" s="1"/>
  <c r="B421" i="52" s="1"/>
  <c r="B422" i="52" s="1"/>
  <c r="B423" i="52" s="1"/>
  <c r="B424" i="52" s="1"/>
  <c r="B425" i="52" s="1"/>
  <c r="B426" i="52" s="1"/>
  <c r="B427" i="52" s="1"/>
  <c r="B428" i="52" s="1"/>
  <c r="B429" i="52" s="1"/>
  <c r="B430" i="52" s="1"/>
  <c r="B431" i="52" s="1"/>
  <c r="B432" i="52" s="1"/>
  <c r="B433" i="52" s="1"/>
  <c r="B434" i="52" s="1"/>
  <c r="B435" i="52" s="1"/>
  <c r="B436" i="52" s="1"/>
  <c r="B437" i="52" s="1"/>
  <c r="B438" i="52" s="1"/>
  <c r="B439" i="52" s="1"/>
  <c r="B440" i="52" s="1"/>
  <c r="B441" i="52" s="1"/>
  <c r="B442" i="52" s="1"/>
  <c r="B443" i="52" s="1"/>
  <c r="B444" i="52" s="1"/>
  <c r="B445" i="52" s="1"/>
  <c r="B446" i="52" s="1"/>
  <c r="B447" i="52" s="1"/>
  <c r="B448" i="52" s="1"/>
  <c r="B449" i="52" s="1"/>
  <c r="B450" i="52" s="1"/>
  <c r="B451" i="52" s="1"/>
  <c r="B452" i="52" s="1"/>
  <c r="B453" i="52" s="1"/>
  <c r="B454" i="52" s="1"/>
  <c r="B455" i="52" s="1"/>
  <c r="B456" i="52" s="1"/>
  <c r="B457" i="52" s="1"/>
  <c r="B458" i="52" s="1"/>
  <c r="B459" i="52" s="1"/>
  <c r="B460" i="52" s="1"/>
  <c r="B461" i="52" s="1"/>
  <c r="B462" i="52" s="1"/>
  <c r="B463" i="52" s="1"/>
  <c r="B464" i="52" s="1"/>
  <c r="B465" i="52" s="1"/>
  <c r="B466" i="52" s="1"/>
  <c r="B233" i="52"/>
  <c r="P234" i="52"/>
  <c r="P235" i="52" s="1"/>
  <c r="P236" i="52" s="1"/>
  <c r="P237" i="52" s="1"/>
  <c r="P238" i="52" s="1"/>
  <c r="P239" i="52" s="1"/>
  <c r="P240" i="52" s="1"/>
  <c r="P241" i="52" s="1"/>
  <c r="P242" i="52" s="1"/>
  <c r="P243" i="52" s="1"/>
  <c r="P244" i="52" s="1"/>
  <c r="P245" i="52" s="1"/>
  <c r="P246" i="52" s="1"/>
  <c r="P247" i="52" s="1"/>
  <c r="P248" i="52" s="1"/>
  <c r="P249" i="52" s="1"/>
  <c r="P250" i="52" s="1"/>
  <c r="P251" i="52" s="1"/>
  <c r="P252" i="52" s="1"/>
  <c r="P253" i="52" s="1"/>
  <c r="P254" i="52" s="1"/>
  <c r="P255" i="52" s="1"/>
  <c r="P256" i="52" s="1"/>
  <c r="P257" i="52" s="1"/>
  <c r="P258" i="52" s="1"/>
  <c r="P259" i="52" s="1"/>
  <c r="P260" i="52" s="1"/>
  <c r="P261" i="52" s="1"/>
  <c r="P262" i="52" s="1"/>
  <c r="P263" i="52" s="1"/>
  <c r="P264" i="52" s="1"/>
  <c r="P265" i="52" s="1"/>
  <c r="P266" i="52" s="1"/>
  <c r="P267" i="52" s="1"/>
  <c r="P268" i="52" s="1"/>
  <c r="P269" i="52" s="1"/>
  <c r="P270" i="52" s="1"/>
  <c r="P271" i="52" s="1"/>
  <c r="P272" i="52" s="1"/>
  <c r="P273" i="52" s="1"/>
  <c r="P274" i="52" s="1"/>
  <c r="P275" i="52" s="1"/>
  <c r="P276" i="52" s="1"/>
  <c r="P277" i="52" s="1"/>
  <c r="P278" i="52" s="1"/>
  <c r="P279" i="52" s="1"/>
  <c r="P280" i="52" s="1"/>
  <c r="P281" i="52" s="1"/>
  <c r="P282" i="52" s="1"/>
  <c r="P283" i="52" s="1"/>
  <c r="P284" i="52" s="1"/>
  <c r="P285" i="52" s="1"/>
  <c r="P286" i="52" s="1"/>
  <c r="P287" i="52" s="1"/>
  <c r="P288" i="52" s="1"/>
  <c r="P289" i="52" s="1"/>
  <c r="P290" i="52" s="1"/>
  <c r="P291" i="52" s="1"/>
  <c r="P292" i="52" s="1"/>
  <c r="P293" i="52" s="1"/>
  <c r="P294" i="52" s="1"/>
  <c r="P295" i="52" s="1"/>
  <c r="P296" i="52" s="1"/>
  <c r="P297" i="52" s="1"/>
  <c r="P298" i="52" s="1"/>
  <c r="P299" i="52" s="1"/>
  <c r="P300" i="52" s="1"/>
  <c r="P301" i="52" s="1"/>
  <c r="P302" i="52" s="1"/>
  <c r="P303" i="52" s="1"/>
  <c r="P304" i="52" s="1"/>
  <c r="P305" i="52" s="1"/>
  <c r="P306" i="52" s="1"/>
  <c r="P307" i="52" s="1"/>
  <c r="P308" i="52" s="1"/>
  <c r="P309" i="52" s="1"/>
  <c r="P310" i="52" s="1"/>
  <c r="P311" i="52" s="1"/>
  <c r="P312" i="52" s="1"/>
  <c r="P313" i="52" s="1"/>
  <c r="P314" i="52" s="1"/>
  <c r="P315" i="52" s="1"/>
  <c r="P316" i="52" s="1"/>
  <c r="P317" i="52" s="1"/>
  <c r="P318" i="52" s="1"/>
  <c r="P319" i="52" s="1"/>
  <c r="P320" i="52" s="1"/>
  <c r="P321" i="52" s="1"/>
  <c r="P322" i="52" s="1"/>
  <c r="P323" i="52" s="1"/>
  <c r="P324" i="52" s="1"/>
  <c r="P325" i="52" s="1"/>
  <c r="P326" i="52" s="1"/>
  <c r="P327" i="52" s="1"/>
  <c r="P328" i="52" s="1"/>
  <c r="P329" i="52" s="1"/>
  <c r="P330" i="52" s="1"/>
  <c r="P331" i="52" s="1"/>
  <c r="P332" i="52" s="1"/>
  <c r="P333" i="52" s="1"/>
  <c r="P334" i="52" s="1"/>
  <c r="P335" i="52" s="1"/>
  <c r="P336" i="52" s="1"/>
  <c r="P337" i="52" s="1"/>
  <c r="P338" i="52" s="1"/>
  <c r="P339" i="52" s="1"/>
  <c r="P340" i="52" s="1"/>
  <c r="P341" i="52" s="1"/>
  <c r="P342" i="52" s="1"/>
  <c r="P343" i="52" s="1"/>
  <c r="P344" i="52" s="1"/>
  <c r="P345" i="52" s="1"/>
  <c r="P346" i="52" s="1"/>
  <c r="P347" i="52" s="1"/>
  <c r="P348" i="52" s="1"/>
  <c r="P349" i="52" s="1"/>
  <c r="P350" i="52" s="1"/>
  <c r="P351" i="52" s="1"/>
  <c r="P352" i="52" s="1"/>
  <c r="P353" i="52" s="1"/>
  <c r="P354" i="52" s="1"/>
  <c r="P355" i="52" s="1"/>
  <c r="P356" i="52" s="1"/>
  <c r="P357" i="52" s="1"/>
  <c r="P358" i="52" s="1"/>
  <c r="P359" i="52" s="1"/>
  <c r="P360" i="52" s="1"/>
  <c r="P361" i="52" s="1"/>
  <c r="P362" i="52" s="1"/>
  <c r="P363" i="52" s="1"/>
  <c r="P364" i="52" s="1"/>
  <c r="P365" i="52" s="1"/>
  <c r="P366" i="52" s="1"/>
  <c r="P367" i="52" s="1"/>
  <c r="P368" i="52" s="1"/>
  <c r="P369" i="52" s="1"/>
  <c r="P370" i="52" s="1"/>
  <c r="P371" i="52" s="1"/>
  <c r="P372" i="52" s="1"/>
  <c r="P373" i="52" s="1"/>
  <c r="P374" i="52" s="1"/>
  <c r="P375" i="52" s="1"/>
  <c r="P376" i="52" s="1"/>
  <c r="P377" i="52" s="1"/>
  <c r="P378" i="52" s="1"/>
  <c r="P379" i="52" s="1"/>
  <c r="P380" i="52" s="1"/>
  <c r="P381" i="52" s="1"/>
  <c r="P382" i="52" s="1"/>
  <c r="P383" i="52" s="1"/>
  <c r="P384" i="52" s="1"/>
  <c r="P385" i="52" s="1"/>
  <c r="P386" i="52" s="1"/>
  <c r="P387" i="52" s="1"/>
  <c r="P388" i="52" s="1"/>
  <c r="P389" i="52" s="1"/>
  <c r="P390" i="52" s="1"/>
  <c r="P391" i="52" s="1"/>
  <c r="P392" i="52" s="1"/>
  <c r="P393" i="52" s="1"/>
  <c r="P394" i="52" s="1"/>
  <c r="P395" i="52" s="1"/>
  <c r="P396" i="52" s="1"/>
  <c r="P397" i="52" s="1"/>
  <c r="P398" i="52" s="1"/>
  <c r="P399" i="52" s="1"/>
  <c r="P400" i="52" s="1"/>
  <c r="P401" i="52" s="1"/>
  <c r="P402" i="52" s="1"/>
  <c r="P403" i="52" s="1"/>
  <c r="P404" i="52" s="1"/>
  <c r="P405" i="52" s="1"/>
  <c r="P406" i="52" s="1"/>
  <c r="P407" i="52" s="1"/>
  <c r="P408" i="52" s="1"/>
  <c r="P409" i="52" s="1"/>
  <c r="P410" i="52" s="1"/>
  <c r="P411" i="52" s="1"/>
  <c r="P412" i="52" s="1"/>
  <c r="P413" i="52" s="1"/>
  <c r="P414" i="52" s="1"/>
  <c r="P415" i="52" s="1"/>
  <c r="P416" i="52" s="1"/>
  <c r="P417" i="52" s="1"/>
  <c r="P418" i="52" s="1"/>
  <c r="P419" i="52" s="1"/>
  <c r="P420" i="52" s="1"/>
  <c r="P421" i="52" s="1"/>
  <c r="P422" i="52" s="1"/>
  <c r="P423" i="52" s="1"/>
  <c r="P424" i="52" s="1"/>
  <c r="P425" i="52" s="1"/>
  <c r="P426" i="52" s="1"/>
  <c r="P427" i="52" s="1"/>
  <c r="P428" i="52" s="1"/>
  <c r="P429" i="52" s="1"/>
  <c r="P430" i="52" s="1"/>
  <c r="P431" i="52" s="1"/>
  <c r="P432" i="52" s="1"/>
  <c r="P433" i="52" s="1"/>
  <c r="P434" i="52" s="1"/>
  <c r="P435" i="52" s="1"/>
  <c r="P436" i="52" s="1"/>
  <c r="P437" i="52" s="1"/>
  <c r="P438" i="52" s="1"/>
  <c r="P439" i="52" s="1"/>
  <c r="P440" i="52" s="1"/>
  <c r="P441" i="52" s="1"/>
  <c r="P442" i="52" s="1"/>
  <c r="P443" i="52" s="1"/>
  <c r="P444" i="52" s="1"/>
  <c r="P445" i="52" s="1"/>
  <c r="P446" i="52" s="1"/>
  <c r="P447" i="52" s="1"/>
  <c r="P448" i="52" s="1"/>
  <c r="P449" i="52" s="1"/>
  <c r="P450" i="52" s="1"/>
  <c r="P451" i="52" s="1"/>
  <c r="P452" i="52" s="1"/>
  <c r="P453" i="52" s="1"/>
  <c r="P454" i="52" s="1"/>
  <c r="P455" i="52" s="1"/>
  <c r="P456" i="52" s="1"/>
  <c r="P457" i="52" s="1"/>
  <c r="P458" i="52" s="1"/>
  <c r="P459" i="52" s="1"/>
  <c r="P460" i="52" s="1"/>
  <c r="P461" i="52" s="1"/>
  <c r="P462" i="52" s="1"/>
  <c r="P463" i="52" s="1"/>
  <c r="P464" i="52" s="1"/>
  <c r="P465" i="52" s="1"/>
  <c r="P466" i="52" s="1"/>
  <c r="P233" i="52"/>
  <c r="O2" i="41" l="1"/>
  <c r="O3" i="41"/>
  <c r="O35" i="41" l="1"/>
  <c r="P32" i="41"/>
  <c r="P21" i="41"/>
  <c r="N5" i="41"/>
  <c r="N6" i="41" s="1"/>
  <c r="N7" i="41" s="1"/>
  <c r="N8" i="41" s="1"/>
  <c r="N9" i="41" s="1"/>
  <c r="N10" i="41" s="1"/>
  <c r="N11" i="41" s="1"/>
  <c r="N12" i="41" s="1"/>
  <c r="N13" i="41" s="1"/>
  <c r="N14" i="41" s="1"/>
  <c r="N15" i="41" s="1"/>
  <c r="N16" i="41" s="1"/>
  <c r="N17" i="41" s="1"/>
  <c r="N18" i="41" s="1"/>
  <c r="N19" i="41" s="1"/>
  <c r="N20" i="41" s="1"/>
  <c r="N21" i="41" s="1"/>
  <c r="N22" i="41" s="1"/>
  <c r="N23" i="41" s="1"/>
  <c r="N24" i="41" s="1"/>
  <c r="N25" i="41" s="1"/>
  <c r="N26" i="41" s="1"/>
  <c r="N27" i="41" s="1"/>
  <c r="N28" i="41" s="1"/>
  <c r="N29" i="41" s="1"/>
  <c r="N30" i="41" s="1"/>
  <c r="N31" i="41" s="1"/>
  <c r="N32" i="41" s="1"/>
  <c r="N33" i="41" s="1"/>
  <c r="N34" i="41" s="1"/>
  <c r="N35" i="41" s="1"/>
  <c r="N4" i="41"/>
  <c r="N3" i="41"/>
  <c r="C19" i="41"/>
  <c r="B32" i="41"/>
  <c r="B21" i="41"/>
  <c r="C18" i="41"/>
  <c r="C2" i="41"/>
  <c r="B2" i="41"/>
  <c r="C17" i="41" l="1"/>
  <c r="C35" i="41" s="1"/>
  <c r="C16" i="41"/>
  <c r="C34" i="41"/>
  <c r="C20" i="41"/>
  <c r="C15" i="41"/>
  <c r="C33" i="41" s="1"/>
  <c r="O4" i="41" l="1"/>
  <c r="O5" i="41" s="1"/>
  <c r="O6" i="41" s="1"/>
  <c r="O7" i="41" s="1"/>
  <c r="O8" i="41" s="1"/>
  <c r="O9" i="41" s="1"/>
  <c r="O10" i="41" s="1"/>
  <c r="O11" i="41" s="1"/>
  <c r="O12" i="41" s="1"/>
  <c r="O13" i="41" s="1"/>
  <c r="O14" i="41" s="1"/>
  <c r="O15" i="41" s="1"/>
  <c r="O16" i="41" s="1"/>
  <c r="O17" i="41" s="1"/>
  <c r="O18" i="41" s="1"/>
  <c r="O19" i="41" s="1"/>
  <c r="O20" i="41" s="1"/>
  <c r="O21" i="41" s="1"/>
  <c r="O22" i="41" s="1"/>
  <c r="O23" i="41" s="1"/>
  <c r="O24" i="41" s="1"/>
  <c r="O25" i="41" s="1"/>
  <c r="O26" i="41" s="1"/>
  <c r="O27" i="41" s="1"/>
  <c r="O28" i="41" s="1"/>
  <c r="O29" i="41" s="1"/>
  <c r="O30" i="41" s="1"/>
  <c r="O31" i="41" s="1"/>
  <c r="O32" i="41" s="1"/>
  <c r="O33" i="41" s="1"/>
  <c r="O34" i="41" s="1"/>
  <c r="G21" i="41"/>
  <c r="E3" i="41"/>
  <c r="E4" i="41" s="1"/>
  <c r="E5" i="41" s="1"/>
  <c r="E6" i="41" s="1"/>
  <c r="E7" i="41" s="1"/>
  <c r="E8" i="41" s="1"/>
  <c r="E9" i="41" s="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D3" i="41"/>
  <c r="D4" i="41" s="1"/>
  <c r="D5" i="41" s="1"/>
  <c r="D6" i="41" s="1"/>
  <c r="D7" i="41" s="1"/>
  <c r="D8" i="41" s="1"/>
  <c r="D9" i="41" s="1"/>
  <c r="D10" i="41" s="1"/>
  <c r="D11" i="41" s="1"/>
  <c r="D12" i="41" s="1"/>
  <c r="D13" i="41" s="1"/>
  <c r="D14" i="41" s="1"/>
  <c r="D15" i="41" s="1"/>
  <c r="D16" i="41" s="1"/>
  <c r="D17" i="41" s="1"/>
  <c r="D18" i="41" s="1"/>
  <c r="D19" i="41" s="1"/>
  <c r="D20" i="41" s="1"/>
  <c r="D21" i="41" s="1"/>
  <c r="D22" i="41" s="1"/>
  <c r="D23" i="41" s="1"/>
  <c r="D24" i="41" s="1"/>
  <c r="D25" i="41" s="1"/>
  <c r="D26" i="41" s="1"/>
  <c r="D27" i="41" s="1"/>
  <c r="D28" i="41" s="1"/>
  <c r="D29" i="41" s="1"/>
  <c r="D30" i="41" s="1"/>
  <c r="D31" i="41" s="1"/>
  <c r="D32" i="41" s="1"/>
  <c r="D33" i="41" s="1"/>
  <c r="D34" i="41" s="1"/>
  <c r="D35" i="41" s="1"/>
  <c r="P3" i="46"/>
  <c r="P4" i="46" s="1"/>
  <c r="P5" i="46" s="1"/>
  <c r="P6" i="46" s="1"/>
  <c r="P7" i="46" s="1"/>
  <c r="P8" i="46" s="1"/>
  <c r="P9" i="46" s="1"/>
  <c r="P10" i="46" s="1"/>
  <c r="P11" i="46" s="1"/>
  <c r="P12" i="46" s="1"/>
  <c r="P13" i="46" s="1"/>
  <c r="P14" i="46" s="1"/>
  <c r="P15" i="46" s="1"/>
  <c r="P16" i="46" s="1"/>
  <c r="P17" i="46" s="1"/>
  <c r="P18" i="46" s="1"/>
  <c r="P19" i="46" s="1"/>
  <c r="P20" i="46" s="1"/>
  <c r="P21" i="46" s="1"/>
  <c r="P22" i="46" s="1"/>
  <c r="P23" i="46" s="1"/>
  <c r="P24" i="46" s="1"/>
  <c r="P25" i="46" s="1"/>
  <c r="P26" i="46" s="1"/>
  <c r="P27" i="46" s="1"/>
  <c r="P28" i="46" s="1"/>
  <c r="P29" i="46" s="1"/>
  <c r="P30" i="46" s="1"/>
  <c r="P31" i="46" s="1"/>
  <c r="P32" i="46" s="1"/>
  <c r="P33" i="46" s="1"/>
  <c r="P34" i="46" s="1"/>
  <c r="P35" i="46" s="1"/>
  <c r="P36" i="46" s="1"/>
  <c r="P37" i="46" s="1"/>
  <c r="P38" i="46" s="1"/>
  <c r="P39" i="46" s="1"/>
  <c r="P40" i="46" s="1"/>
  <c r="P41" i="46" s="1"/>
  <c r="P42" i="46" s="1"/>
  <c r="P43" i="46" s="1"/>
  <c r="O3" i="46"/>
  <c r="O4" i="46" s="1"/>
  <c r="O5" i="46" s="1"/>
  <c r="O6" i="46" s="1"/>
  <c r="O7" i="46" s="1"/>
  <c r="O8" i="46" s="1"/>
  <c r="O9" i="46" s="1"/>
  <c r="O10" i="46" s="1"/>
  <c r="O11" i="46" s="1"/>
  <c r="O12" i="46" s="1"/>
  <c r="O13" i="46" s="1"/>
  <c r="O14" i="46" s="1"/>
  <c r="O15" i="46" s="1"/>
  <c r="O16" i="46" s="1"/>
  <c r="O17" i="46" s="1"/>
  <c r="O18" i="46" s="1"/>
  <c r="O19" i="46" s="1"/>
  <c r="O20" i="46" s="1"/>
  <c r="O21" i="46" s="1"/>
  <c r="O22" i="46" s="1"/>
  <c r="O23" i="46" s="1"/>
  <c r="O24" i="46" s="1"/>
  <c r="O25" i="46" s="1"/>
  <c r="O26" i="46" s="1"/>
  <c r="O27" i="46" s="1"/>
  <c r="O28" i="46" s="1"/>
  <c r="O29" i="46" s="1"/>
  <c r="O30" i="46" s="1"/>
  <c r="O31" i="46" s="1"/>
  <c r="O32" i="46" s="1"/>
  <c r="O33" i="46" s="1"/>
  <c r="O34" i="46" s="1"/>
  <c r="O35" i="46" s="1"/>
  <c r="O36" i="46" s="1"/>
  <c r="O37" i="46" s="1"/>
  <c r="O38" i="46" s="1"/>
  <c r="O39" i="46" s="1"/>
  <c r="O40" i="46" s="1"/>
  <c r="O41" i="46" s="1"/>
  <c r="O42" i="46" s="1"/>
  <c r="O43" i="46" s="1"/>
  <c r="N3" i="46"/>
  <c r="N4" i="46" s="1"/>
  <c r="N5" i="46" s="1"/>
  <c r="N6" i="46" s="1"/>
  <c r="N7" i="46" s="1"/>
  <c r="N8" i="46" s="1"/>
  <c r="N9" i="46" s="1"/>
  <c r="N10" i="46" s="1"/>
  <c r="N11" i="46" s="1"/>
  <c r="N12" i="46" s="1"/>
  <c r="N13" i="46" s="1"/>
  <c r="N14" i="46" s="1"/>
  <c r="N15" i="46" s="1"/>
  <c r="N16" i="46" s="1"/>
  <c r="N17" i="46" s="1"/>
  <c r="N18" i="46" s="1"/>
  <c r="N19" i="46" s="1"/>
  <c r="N20" i="46" s="1"/>
  <c r="N21" i="46" s="1"/>
  <c r="N22" i="46" s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33" i="46" s="1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G129" i="46"/>
  <c r="G130" i="46" s="1"/>
  <c r="G131" i="46" s="1"/>
  <c r="G132" i="46" s="1"/>
  <c r="G133" i="46" s="1"/>
  <c r="G134" i="46" s="1"/>
  <c r="G115" i="46"/>
  <c r="G116" i="46" s="1"/>
  <c r="G117" i="46" s="1"/>
  <c r="G118" i="46" s="1"/>
  <c r="G119" i="46" s="1"/>
  <c r="G120" i="46" s="1"/>
  <c r="G121" i="46" s="1"/>
  <c r="G122" i="46" s="1"/>
  <c r="G123" i="46" s="1"/>
  <c r="G124" i="46" s="1"/>
  <c r="G125" i="46" s="1"/>
  <c r="G126" i="46" s="1"/>
  <c r="G127" i="46" s="1"/>
  <c r="G101" i="46"/>
  <c r="G102" i="46" s="1"/>
  <c r="G103" i="46" s="1"/>
  <c r="G104" i="46" s="1"/>
  <c r="G105" i="46" s="1"/>
  <c r="G106" i="46" s="1"/>
  <c r="G107" i="46" s="1"/>
  <c r="G108" i="46" s="1"/>
  <c r="G109" i="46" s="1"/>
  <c r="G110" i="46" s="1"/>
  <c r="G111" i="46" s="1"/>
  <c r="G112" i="46" s="1"/>
  <c r="G113" i="46" s="1"/>
  <c r="G87" i="46"/>
  <c r="G88" i="46" s="1"/>
  <c r="G89" i="46" s="1"/>
  <c r="G90" i="46" s="1"/>
  <c r="G91" i="46" s="1"/>
  <c r="G92" i="46" s="1"/>
  <c r="G93" i="46" s="1"/>
  <c r="G94" i="46" s="1"/>
  <c r="G95" i="46" s="1"/>
  <c r="G96" i="46" s="1"/>
  <c r="G97" i="46" s="1"/>
  <c r="G98" i="46" s="1"/>
  <c r="G99" i="46" s="1"/>
  <c r="I3" i="46"/>
  <c r="I4" i="46" s="1"/>
  <c r="I5" i="46" s="1"/>
  <c r="I6" i="46" s="1"/>
  <c r="I7" i="46" s="1"/>
  <c r="I8" i="46" s="1"/>
  <c r="I9" i="46" s="1"/>
  <c r="I10" i="46" s="1"/>
  <c r="I11" i="46" s="1"/>
  <c r="I12" i="46" s="1"/>
  <c r="I13" i="46" s="1"/>
  <c r="I14" i="46" s="1"/>
  <c r="I15" i="46" s="1"/>
  <c r="I16" i="46" s="1"/>
  <c r="I17" i="46" s="1"/>
  <c r="I18" i="46" s="1"/>
  <c r="I19" i="46" s="1"/>
  <c r="I20" i="46" s="1"/>
  <c r="I21" i="46" s="1"/>
  <c r="I22" i="46" s="1"/>
  <c r="I23" i="46" s="1"/>
  <c r="I24" i="46" s="1"/>
  <c r="I25" i="46" s="1"/>
  <c r="I26" i="46" s="1"/>
  <c r="I27" i="46" s="1"/>
  <c r="I28" i="46" s="1"/>
  <c r="I29" i="46" s="1"/>
  <c r="I30" i="46" s="1"/>
  <c r="I31" i="46" s="1"/>
  <c r="I32" i="46" s="1"/>
  <c r="I33" i="46" s="1"/>
  <c r="I34" i="46" s="1"/>
  <c r="I35" i="46" s="1"/>
  <c r="I36" i="46" s="1"/>
  <c r="I37" i="46" s="1"/>
  <c r="I38" i="46" s="1"/>
  <c r="I39" i="46" s="1"/>
  <c r="I40" i="46" s="1"/>
  <c r="I41" i="46" s="1"/>
  <c r="I42" i="46" s="1"/>
  <c r="I43" i="46" s="1"/>
  <c r="E3" i="46"/>
  <c r="E4" i="46" s="1"/>
  <c r="E5" i="46" s="1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D3" i="46"/>
  <c r="D4" i="46" s="1"/>
  <c r="D5" i="46" s="1"/>
  <c r="D6" i="46" s="1"/>
  <c r="D7" i="46" s="1"/>
  <c r="D8" i="46" s="1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D37" i="46" s="1"/>
  <c r="D38" i="46" s="1"/>
  <c r="D39" i="46" s="1"/>
  <c r="D40" i="46" s="1"/>
  <c r="D41" i="46" s="1"/>
  <c r="D42" i="46" s="1"/>
  <c r="D43" i="46" s="1"/>
  <c r="A3" i="46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C2" i="46"/>
  <c r="C3" i="46" s="1"/>
  <c r="C4" i="46" s="1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B2" i="46"/>
  <c r="B3" i="46" s="1"/>
  <c r="B4" i="46" s="1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l="1"/>
  <c r="B45" i="46" s="1"/>
  <c r="B46" i="46" s="1"/>
  <c r="B47" i="46" s="1"/>
  <c r="B48" i="46" s="1"/>
  <c r="B49" i="46" s="1"/>
  <c r="B50" i="46" s="1"/>
  <c r="C44" i="46"/>
  <c r="C45" i="46" s="1"/>
  <c r="C46" i="46" s="1"/>
  <c r="C47" i="46" s="1"/>
  <c r="C48" i="46" s="1"/>
  <c r="C49" i="46" s="1"/>
  <c r="C50" i="46" s="1"/>
  <c r="N44" i="46"/>
  <c r="N45" i="46" s="1"/>
  <c r="N46" i="46" s="1"/>
  <c r="N47" i="46" s="1"/>
  <c r="N48" i="46" s="1"/>
  <c r="N49" i="46" s="1"/>
  <c r="N50" i="46" s="1"/>
  <c r="E223" i="55"/>
  <c r="E224" i="55" s="1"/>
  <c r="E225" i="55" s="1"/>
  <c r="E226" i="55" s="1"/>
  <c r="E227" i="55" s="1"/>
  <c r="E228" i="55" s="1"/>
  <c r="E229" i="55" s="1"/>
  <c r="E44" i="46" s="1"/>
  <c r="E45" i="46" s="1"/>
  <c r="E46" i="46" s="1"/>
  <c r="E47" i="46" s="1"/>
  <c r="E48" i="46" s="1"/>
  <c r="E49" i="46" s="1"/>
  <c r="E50" i="46" s="1"/>
  <c r="A45" i="46"/>
  <c r="A46" i="46" s="1"/>
  <c r="A47" i="46" s="1"/>
  <c r="A48" i="46" s="1"/>
  <c r="A49" i="46" s="1"/>
  <c r="A50" i="46" s="1"/>
  <c r="I223" i="55"/>
  <c r="I224" i="55" s="1"/>
  <c r="I225" i="55" s="1"/>
  <c r="I226" i="55" s="1"/>
  <c r="I227" i="55" s="1"/>
  <c r="I228" i="55" s="1"/>
  <c r="I229" i="55" s="1"/>
  <c r="I44" i="46" s="1"/>
  <c r="I45" i="46" s="1"/>
  <c r="I46" i="46" s="1"/>
  <c r="I47" i="46" s="1"/>
  <c r="I48" i="46" s="1"/>
  <c r="I49" i="46" s="1"/>
  <c r="I50" i="46" s="1"/>
  <c r="D44" i="46"/>
  <c r="D45" i="46" s="1"/>
  <c r="D46" i="46" s="1"/>
  <c r="D47" i="46" s="1"/>
  <c r="D48" i="46" s="1"/>
  <c r="D49" i="46" s="1"/>
  <c r="D50" i="46" s="1"/>
  <c r="P44" i="46"/>
  <c r="P45" i="46" s="1"/>
  <c r="P46" i="46" s="1"/>
  <c r="P47" i="46" s="1"/>
  <c r="P48" i="46" s="1"/>
  <c r="P49" i="46" s="1"/>
  <c r="P50" i="46" s="1"/>
  <c r="I3" i="41"/>
  <c r="I4" i="41" s="1"/>
  <c r="I5" i="41" s="1"/>
  <c r="I6" i="41" s="1"/>
  <c r="I7" i="41" s="1"/>
  <c r="I8" i="41" s="1"/>
  <c r="I9" i="41" s="1"/>
  <c r="I10" i="41" s="1"/>
  <c r="I11" i="41" s="1"/>
  <c r="I12" i="41" s="1"/>
  <c r="I13" i="41" s="1"/>
  <c r="I14" i="41" s="1"/>
  <c r="I15" i="41" s="1"/>
  <c r="I16" i="41" s="1"/>
  <c r="I17" i="41" s="1"/>
  <c r="I18" i="41" s="1"/>
  <c r="I19" i="41" s="1"/>
  <c r="I20" i="41" s="1"/>
  <c r="I22" i="41" s="1"/>
  <c r="I23" i="41" s="1"/>
  <c r="I24" i="41" s="1"/>
  <c r="I25" i="41" s="1"/>
  <c r="I26" i="41" s="1"/>
  <c r="I27" i="41" s="1"/>
  <c r="I28" i="41" s="1"/>
  <c r="I29" i="41" s="1"/>
  <c r="I30" i="41" s="1"/>
  <c r="I31" i="41" s="1"/>
  <c r="I33" i="41" s="1"/>
  <c r="I34" i="41" s="1"/>
  <c r="I35" i="41" s="1"/>
  <c r="G22" i="41"/>
  <c r="G23" i="41" s="1"/>
  <c r="G24" i="41" s="1"/>
  <c r="G25" i="41" s="1"/>
  <c r="G26" i="41" s="1"/>
  <c r="G27" i="41" s="1"/>
  <c r="G28" i="41" s="1"/>
  <c r="G29" i="41" s="1"/>
  <c r="G30" i="41" s="1"/>
  <c r="G31" i="41" s="1"/>
  <c r="A86" i="37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C2" i="45"/>
  <c r="C3" i="45" s="1"/>
  <c r="C4" i="45" s="1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C50" i="45" s="1"/>
  <c r="C51" i="45" s="1"/>
  <c r="C52" i="45" s="1"/>
  <c r="C53" i="45" s="1"/>
  <c r="C54" i="45" s="1"/>
  <c r="C55" i="45" s="1"/>
  <c r="C56" i="45" s="1"/>
  <c r="C57" i="45" s="1"/>
  <c r="C58" i="45" s="1"/>
  <c r="C59" i="45" s="1"/>
  <c r="C60" i="45" s="1"/>
  <c r="C61" i="45" s="1"/>
  <c r="C62" i="45" s="1"/>
  <c r="C63" i="45" s="1"/>
  <c r="B2" i="45"/>
  <c r="B3" i="45" s="1"/>
  <c r="B4" i="45" s="1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B50" i="45" s="1"/>
  <c r="B51" i="45" s="1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P3" i="45"/>
  <c r="P4" i="45" s="1"/>
  <c r="P5" i="45" s="1"/>
  <c r="P6" i="45" s="1"/>
  <c r="P7" i="45" s="1"/>
  <c r="P8" i="45" s="1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P39" i="45" s="1"/>
  <c r="P40" i="45" s="1"/>
  <c r="P41" i="45" s="1"/>
  <c r="P42" i="45" s="1"/>
  <c r="P43" i="45" s="1"/>
  <c r="P44" i="45" s="1"/>
  <c r="P45" i="45" s="1"/>
  <c r="P46" i="45" s="1"/>
  <c r="P47" i="45" s="1"/>
  <c r="P48" i="45" s="1"/>
  <c r="P49" i="45" s="1"/>
  <c r="P50" i="45" s="1"/>
  <c r="P51" i="45" s="1"/>
  <c r="P52" i="45" s="1"/>
  <c r="P53" i="45" s="1"/>
  <c r="P54" i="45" s="1"/>
  <c r="P55" i="45" s="1"/>
  <c r="P56" i="45" s="1"/>
  <c r="P57" i="45" s="1"/>
  <c r="P58" i="45" s="1"/>
  <c r="P59" i="45" s="1"/>
  <c r="P60" i="45" s="1"/>
  <c r="P61" i="45" s="1"/>
  <c r="P62" i="45" s="1"/>
  <c r="P63" i="45" s="1"/>
  <c r="O3" i="45"/>
  <c r="O4" i="45" s="1"/>
  <c r="O5" i="45" s="1"/>
  <c r="O6" i="45" s="1"/>
  <c r="O7" i="45" s="1"/>
  <c r="O8" i="45" s="1"/>
  <c r="O9" i="45" s="1"/>
  <c r="O10" i="45" s="1"/>
  <c r="O11" i="45" s="1"/>
  <c r="O12" i="45" s="1"/>
  <c r="O13" i="45" s="1"/>
  <c r="O14" i="45" s="1"/>
  <c r="O15" i="45" s="1"/>
  <c r="O16" i="45" s="1"/>
  <c r="O17" i="45" s="1"/>
  <c r="O18" i="45" s="1"/>
  <c r="O19" i="45" s="1"/>
  <c r="O20" i="45" s="1"/>
  <c r="O21" i="45" s="1"/>
  <c r="O22" i="45" s="1"/>
  <c r="O23" i="45" s="1"/>
  <c r="O24" i="45" s="1"/>
  <c r="O25" i="45" s="1"/>
  <c r="O26" i="45" s="1"/>
  <c r="O27" i="45" s="1"/>
  <c r="O28" i="45" s="1"/>
  <c r="O29" i="45" s="1"/>
  <c r="O30" i="45" s="1"/>
  <c r="O31" i="45" s="1"/>
  <c r="O32" i="45" s="1"/>
  <c r="O33" i="45" s="1"/>
  <c r="O34" i="45" s="1"/>
  <c r="O35" i="45" s="1"/>
  <c r="O36" i="45" s="1"/>
  <c r="O37" i="45" s="1"/>
  <c r="O38" i="45" s="1"/>
  <c r="O39" i="45" s="1"/>
  <c r="O40" i="45" s="1"/>
  <c r="O41" i="45" s="1"/>
  <c r="O42" i="45" s="1"/>
  <c r="O43" i="45" s="1"/>
  <c r="O44" i="45" s="1"/>
  <c r="O45" i="45" s="1"/>
  <c r="O46" i="45" s="1"/>
  <c r="O47" i="45" s="1"/>
  <c r="O48" i="45" s="1"/>
  <c r="O49" i="45" s="1"/>
  <c r="O50" i="45" s="1"/>
  <c r="O51" i="45" s="1"/>
  <c r="O52" i="45" s="1"/>
  <c r="O53" i="45" s="1"/>
  <c r="O54" i="45" s="1"/>
  <c r="O55" i="45" s="1"/>
  <c r="O56" i="45" s="1"/>
  <c r="O57" i="45" s="1"/>
  <c r="O58" i="45" s="1"/>
  <c r="O59" i="45" s="1"/>
  <c r="O60" i="45" s="1"/>
  <c r="O61" i="45" s="1"/>
  <c r="O62" i="45" s="1"/>
  <c r="O63" i="45" s="1"/>
  <c r="N3" i="45"/>
  <c r="N4" i="45" s="1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N35" i="45" s="1"/>
  <c r="N36" i="45" s="1"/>
  <c r="N37" i="45" s="1"/>
  <c r="N38" i="45" s="1"/>
  <c r="N39" i="45" s="1"/>
  <c r="N40" i="45" s="1"/>
  <c r="N41" i="45" s="1"/>
  <c r="N42" i="45" s="1"/>
  <c r="N43" i="45" s="1"/>
  <c r="N44" i="45" s="1"/>
  <c r="N45" i="45" s="1"/>
  <c r="N46" i="45" s="1"/>
  <c r="N47" i="45" s="1"/>
  <c r="N48" i="45" s="1"/>
  <c r="N49" i="45" s="1"/>
  <c r="N50" i="45" s="1"/>
  <c r="N51" i="45" s="1"/>
  <c r="N52" i="45" s="1"/>
  <c r="N53" i="45" s="1"/>
  <c r="N54" i="45" s="1"/>
  <c r="N55" i="45" s="1"/>
  <c r="N56" i="45" s="1"/>
  <c r="N57" i="45" s="1"/>
  <c r="N58" i="45" s="1"/>
  <c r="N59" i="45" s="1"/>
  <c r="N60" i="45" s="1"/>
  <c r="N61" i="45" s="1"/>
  <c r="N62" i="45" s="1"/>
  <c r="N63" i="45" s="1"/>
  <c r="E3" i="45"/>
  <c r="E4" i="45" s="1"/>
  <c r="E5" i="45" s="1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D3" i="45"/>
  <c r="D4" i="45" s="1"/>
  <c r="D5" i="45" s="1"/>
  <c r="D6" i="45" s="1"/>
  <c r="D7" i="45" s="1"/>
  <c r="D8" i="45" s="1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D59" i="45" s="1"/>
  <c r="D60" i="45" s="1"/>
  <c r="D61" i="45" s="1"/>
  <c r="D62" i="45" s="1"/>
  <c r="D63" i="45" s="1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O86" i="37"/>
  <c r="O87" i="37" s="1"/>
  <c r="O88" i="37" s="1"/>
  <c r="O89" i="37" s="1"/>
  <c r="O90" i="37" s="1"/>
  <c r="O91" i="37" s="1"/>
  <c r="O92" i="37" s="1"/>
  <c r="O93" i="37" s="1"/>
  <c r="O94" i="37" s="1"/>
  <c r="O95" i="37" s="1"/>
  <c r="O96" i="37" s="1"/>
  <c r="O97" i="37" s="1"/>
  <c r="O98" i="37" s="1"/>
  <c r="O99" i="37" s="1"/>
  <c r="O100" i="37" s="1"/>
  <c r="O101" i="37" s="1"/>
  <c r="O102" i="37" s="1"/>
  <c r="O103" i="37" s="1"/>
  <c r="O104" i="37" s="1"/>
  <c r="O105" i="37" s="1"/>
  <c r="O106" i="37" s="1"/>
  <c r="O107" i="37" s="1"/>
  <c r="O108" i="37" s="1"/>
  <c r="O109" i="37" s="1"/>
  <c r="O110" i="37" s="1"/>
  <c r="O111" i="37" s="1"/>
  <c r="O112" i="37" s="1"/>
  <c r="O113" i="37" s="1"/>
  <c r="O114" i="37" s="1"/>
  <c r="O115" i="37" s="1"/>
  <c r="O116" i="37" s="1"/>
  <c r="O117" i="37" s="1"/>
  <c r="I88" i="37"/>
  <c r="I89" i="37" s="1"/>
  <c r="I90" i="37" s="1"/>
  <c r="I91" i="37" s="1"/>
  <c r="I92" i="37" s="1"/>
  <c r="I93" i="37" s="1"/>
  <c r="I94" i="37" s="1"/>
  <c r="I95" i="37" s="1"/>
  <c r="I96" i="37" s="1"/>
  <c r="I97" i="37" s="1"/>
  <c r="I98" i="37" s="1"/>
  <c r="I99" i="37" s="1"/>
  <c r="I100" i="37" s="1"/>
  <c r="I101" i="37" s="1"/>
  <c r="I102" i="37" s="1"/>
  <c r="I103" i="37" s="1"/>
  <c r="I104" i="37" s="1"/>
  <c r="I105" i="37" s="1"/>
  <c r="I106" i="37" s="1"/>
  <c r="I107" i="37" s="1"/>
  <c r="I108" i="37" s="1"/>
  <c r="I109" i="37" s="1"/>
  <c r="I110" i="37" s="1"/>
  <c r="I111" i="37" s="1"/>
  <c r="I112" i="37" s="1"/>
  <c r="I113" i="37" s="1"/>
  <c r="I114" i="37" s="1"/>
  <c r="I115" i="37" s="1"/>
  <c r="I116" i="37" s="1"/>
  <c r="I117" i="37" s="1"/>
  <c r="I87" i="37"/>
  <c r="I230" i="55" l="1"/>
  <c r="I231" i="55" s="1"/>
  <c r="I232" i="55" s="1"/>
  <c r="I233" i="55" s="1"/>
  <c r="I234" i="55" s="1"/>
  <c r="I235" i="55" s="1"/>
  <c r="I236" i="55" s="1"/>
  <c r="I237" i="55" s="1"/>
  <c r="I238" i="55" s="1"/>
  <c r="I239" i="55" s="1"/>
  <c r="I240" i="55" s="1"/>
  <c r="I241" i="55" s="1"/>
  <c r="I242" i="55" s="1"/>
  <c r="I243" i="55" s="1"/>
  <c r="E230" i="55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B51" i="46"/>
  <c r="B52" i="46" s="1"/>
  <c r="B53" i="46" s="1"/>
  <c r="B54" i="46" s="1"/>
  <c r="B55" i="46" s="1"/>
  <c r="B56" i="46" s="1"/>
  <c r="B57" i="46" s="1"/>
  <c r="B58" i="46" s="1"/>
  <c r="B59" i="46" s="1"/>
  <c r="B60" i="46" s="1"/>
  <c r="B61" i="46" s="1"/>
  <c r="B62" i="46" s="1"/>
  <c r="B63" i="46" s="1"/>
  <c r="B64" i="46" s="1"/>
  <c r="B65" i="46" s="1"/>
  <c r="B66" i="46" s="1"/>
  <c r="B67" i="46" s="1"/>
  <c r="B68" i="46" s="1"/>
  <c r="B69" i="46" s="1"/>
  <c r="B70" i="46" s="1"/>
  <c r="B71" i="46" s="1"/>
  <c r="B72" i="46" s="1"/>
  <c r="B73" i="46" s="1"/>
  <c r="B74" i="46" s="1"/>
  <c r="B75" i="46" s="1"/>
  <c r="B76" i="46" s="1"/>
  <c r="B77" i="46" s="1"/>
  <c r="B78" i="46" s="1"/>
  <c r="B79" i="46" s="1"/>
  <c r="B80" i="46" s="1"/>
  <c r="B81" i="46" s="1"/>
  <c r="B82" i="46" s="1"/>
  <c r="B83" i="46" s="1"/>
  <c r="B84" i="46" s="1"/>
  <c r="B85" i="46" s="1"/>
  <c r="B86" i="46" s="1"/>
  <c r="B87" i="46" s="1"/>
  <c r="B88" i="46" s="1"/>
  <c r="B89" i="46" s="1"/>
  <c r="B90" i="46" s="1"/>
  <c r="B91" i="46" s="1"/>
  <c r="B92" i="46" s="1"/>
  <c r="B93" i="46" s="1"/>
  <c r="B94" i="46" s="1"/>
  <c r="B95" i="46" s="1"/>
  <c r="B96" i="46" s="1"/>
  <c r="B97" i="46" s="1"/>
  <c r="B98" i="46" s="1"/>
  <c r="B99" i="46" s="1"/>
  <c r="B100" i="46" s="1"/>
  <c r="B101" i="46" s="1"/>
  <c r="B102" i="46" s="1"/>
  <c r="B103" i="46" s="1"/>
  <c r="B104" i="46" s="1"/>
  <c r="B105" i="46" s="1"/>
  <c r="B106" i="46" s="1"/>
  <c r="B107" i="46" s="1"/>
  <c r="B108" i="46" s="1"/>
  <c r="B109" i="46" s="1"/>
  <c r="B110" i="46" s="1"/>
  <c r="B111" i="46" s="1"/>
  <c r="B112" i="46" s="1"/>
  <c r="B113" i="46" s="1"/>
  <c r="B114" i="46" s="1"/>
  <c r="B115" i="46" s="1"/>
  <c r="B116" i="46" s="1"/>
  <c r="B117" i="46" s="1"/>
  <c r="B118" i="46" s="1"/>
  <c r="B119" i="46" s="1"/>
  <c r="B120" i="46" s="1"/>
  <c r="B121" i="46" s="1"/>
  <c r="B122" i="46" s="1"/>
  <c r="B123" i="46" s="1"/>
  <c r="B124" i="46" s="1"/>
  <c r="B125" i="46" s="1"/>
  <c r="B126" i="46" s="1"/>
  <c r="B127" i="46" s="1"/>
  <c r="B128" i="46" s="1"/>
  <c r="B129" i="46" s="1"/>
  <c r="B130" i="46" s="1"/>
  <c r="B131" i="46" s="1"/>
  <c r="B132" i="46" s="1"/>
  <c r="B133" i="46" s="1"/>
  <c r="B134" i="46" s="1"/>
  <c r="D51" i="46"/>
  <c r="D52" i="46" s="1"/>
  <c r="D53" i="46" s="1"/>
  <c r="D54" i="46" s="1"/>
  <c r="D55" i="46" s="1"/>
  <c r="D56" i="46" s="1"/>
  <c r="D57" i="46" s="1"/>
  <c r="D58" i="46" s="1"/>
  <c r="D59" i="46" s="1"/>
  <c r="D60" i="46" s="1"/>
  <c r="D61" i="46" s="1"/>
  <c r="D62" i="46" s="1"/>
  <c r="D63" i="46" s="1"/>
  <c r="D64" i="46" s="1"/>
  <c r="D65" i="46" s="1"/>
  <c r="D66" i="46" s="1"/>
  <c r="D67" i="46" s="1"/>
  <c r="D68" i="46" s="1"/>
  <c r="D69" i="46" s="1"/>
  <c r="D70" i="46" s="1"/>
  <c r="D71" i="46" s="1"/>
  <c r="D72" i="46" s="1"/>
  <c r="D73" i="46" s="1"/>
  <c r="D74" i="46" s="1"/>
  <c r="D75" i="46" s="1"/>
  <c r="D76" i="46" s="1"/>
  <c r="D77" i="46" s="1"/>
  <c r="D78" i="46" s="1"/>
  <c r="D79" i="46" s="1"/>
  <c r="D80" i="46" s="1"/>
  <c r="D81" i="46" s="1"/>
  <c r="D82" i="46" s="1"/>
  <c r="D83" i="46" s="1"/>
  <c r="D84" i="46" s="1"/>
  <c r="D85" i="46" s="1"/>
  <c r="D86" i="46" s="1"/>
  <c r="D87" i="46" s="1"/>
  <c r="D88" i="46" s="1"/>
  <c r="D89" i="46" s="1"/>
  <c r="D90" i="46" s="1"/>
  <c r="D91" i="46" s="1"/>
  <c r="D92" i="46" s="1"/>
  <c r="D93" i="46" s="1"/>
  <c r="D94" i="46" s="1"/>
  <c r="D95" i="46" s="1"/>
  <c r="D96" i="46" s="1"/>
  <c r="D97" i="46" s="1"/>
  <c r="D98" i="46" s="1"/>
  <c r="D99" i="46" s="1"/>
  <c r="D100" i="46" s="1"/>
  <c r="D101" i="46" s="1"/>
  <c r="D102" i="46" s="1"/>
  <c r="D103" i="46" s="1"/>
  <c r="D104" i="46" s="1"/>
  <c r="D105" i="46" s="1"/>
  <c r="D106" i="46" s="1"/>
  <c r="D107" i="46" s="1"/>
  <c r="D108" i="46" s="1"/>
  <c r="D109" i="46" s="1"/>
  <c r="D110" i="46" s="1"/>
  <c r="D111" i="46" s="1"/>
  <c r="D112" i="46" s="1"/>
  <c r="D113" i="46" s="1"/>
  <c r="D114" i="46" s="1"/>
  <c r="D115" i="46" s="1"/>
  <c r="D116" i="46" s="1"/>
  <c r="D117" i="46" s="1"/>
  <c r="D118" i="46" s="1"/>
  <c r="D119" i="46" s="1"/>
  <c r="D120" i="46" s="1"/>
  <c r="D121" i="46" s="1"/>
  <c r="D122" i="46" s="1"/>
  <c r="D123" i="46" s="1"/>
  <c r="D124" i="46" s="1"/>
  <c r="D125" i="46" s="1"/>
  <c r="D126" i="46" s="1"/>
  <c r="D127" i="46" s="1"/>
  <c r="D128" i="46" s="1"/>
  <c r="D129" i="46" s="1"/>
  <c r="D130" i="46" s="1"/>
  <c r="D131" i="46" s="1"/>
  <c r="D132" i="46" s="1"/>
  <c r="D133" i="46" s="1"/>
  <c r="D134" i="46" s="1"/>
  <c r="C51" i="46"/>
  <c r="C52" i="46" s="1"/>
  <c r="C53" i="46" s="1"/>
  <c r="C54" i="46" s="1"/>
  <c r="C55" i="46" s="1"/>
  <c r="C56" i="46" s="1"/>
  <c r="C57" i="46" s="1"/>
  <c r="C58" i="46" s="1"/>
  <c r="C59" i="46" s="1"/>
  <c r="C60" i="46" s="1"/>
  <c r="C61" i="46" s="1"/>
  <c r="C62" i="46" s="1"/>
  <c r="C63" i="46" s="1"/>
  <c r="C64" i="46" s="1"/>
  <c r="C65" i="46" s="1"/>
  <c r="C66" i="46" s="1"/>
  <c r="C67" i="46" s="1"/>
  <c r="C68" i="46" s="1"/>
  <c r="C69" i="46" s="1"/>
  <c r="C70" i="46" s="1"/>
  <c r="C71" i="46" s="1"/>
  <c r="C72" i="46" s="1"/>
  <c r="C73" i="46" s="1"/>
  <c r="C74" i="46" s="1"/>
  <c r="C75" i="46" s="1"/>
  <c r="C76" i="46" s="1"/>
  <c r="C77" i="46" s="1"/>
  <c r="C78" i="46" s="1"/>
  <c r="C79" i="46" s="1"/>
  <c r="C80" i="46" s="1"/>
  <c r="C81" i="46" s="1"/>
  <c r="C82" i="46" s="1"/>
  <c r="C83" i="46" s="1"/>
  <c r="C84" i="46" s="1"/>
  <c r="C85" i="46" s="1"/>
  <c r="C86" i="46" s="1"/>
  <c r="C87" i="46" s="1"/>
  <c r="C88" i="46" s="1"/>
  <c r="C89" i="46" s="1"/>
  <c r="C90" i="46" s="1"/>
  <c r="C91" i="46" s="1"/>
  <c r="C92" i="46" s="1"/>
  <c r="C93" i="46" s="1"/>
  <c r="C94" i="46" s="1"/>
  <c r="C95" i="46" s="1"/>
  <c r="C96" i="46" s="1"/>
  <c r="C97" i="46" s="1"/>
  <c r="C98" i="46" s="1"/>
  <c r="C99" i="46" s="1"/>
  <c r="C100" i="46" s="1"/>
  <c r="C101" i="46" s="1"/>
  <c r="C102" i="46" s="1"/>
  <c r="C103" i="46" s="1"/>
  <c r="C104" i="46" s="1"/>
  <c r="C105" i="46" s="1"/>
  <c r="C106" i="46" s="1"/>
  <c r="C107" i="46" s="1"/>
  <c r="C108" i="46" s="1"/>
  <c r="C109" i="46" s="1"/>
  <c r="C110" i="46" s="1"/>
  <c r="C111" i="46" s="1"/>
  <c r="C112" i="46" s="1"/>
  <c r="C113" i="46" s="1"/>
  <c r="C114" i="46" s="1"/>
  <c r="C115" i="46" s="1"/>
  <c r="C116" i="46" s="1"/>
  <c r="C117" i="46" s="1"/>
  <c r="C118" i="46" s="1"/>
  <c r="C119" i="46" s="1"/>
  <c r="C120" i="46" s="1"/>
  <c r="C121" i="46" s="1"/>
  <c r="C122" i="46" s="1"/>
  <c r="C123" i="46" s="1"/>
  <c r="C124" i="46" s="1"/>
  <c r="C125" i="46" s="1"/>
  <c r="C126" i="46" s="1"/>
  <c r="C127" i="46" s="1"/>
  <c r="C128" i="46" s="1"/>
  <c r="C129" i="46" s="1"/>
  <c r="C130" i="46" s="1"/>
  <c r="C131" i="46" s="1"/>
  <c r="C132" i="46" s="1"/>
  <c r="C133" i="46" s="1"/>
  <c r="C134" i="46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I51" i="46" l="1"/>
  <c r="I52" i="46" s="1"/>
  <c r="I53" i="46" s="1"/>
  <c r="I54" i="46" s="1"/>
  <c r="I55" i="46" s="1"/>
  <c r="I56" i="46" s="1"/>
  <c r="I57" i="46" s="1"/>
  <c r="I58" i="46" s="1"/>
  <c r="I59" i="46" s="1"/>
  <c r="I60" i="46" s="1"/>
  <c r="I61" i="46" s="1"/>
  <c r="I62" i="46" s="1"/>
  <c r="I63" i="46" s="1"/>
  <c r="I64" i="46" s="1"/>
  <c r="I65" i="46" s="1"/>
  <c r="I66" i="46" s="1"/>
  <c r="I67" i="46" s="1"/>
  <c r="I68" i="46" s="1"/>
  <c r="I69" i="46" s="1"/>
  <c r="I70" i="46" s="1"/>
  <c r="I71" i="46" s="1"/>
  <c r="I72" i="46" s="1"/>
  <c r="I73" i="46" s="1"/>
  <c r="I74" i="46" s="1"/>
  <c r="I75" i="46" s="1"/>
  <c r="I76" i="46" s="1"/>
  <c r="I77" i="46" s="1"/>
  <c r="I78" i="46" s="1"/>
  <c r="I79" i="46" s="1"/>
  <c r="I80" i="46" s="1"/>
  <c r="I81" i="46" s="1"/>
  <c r="I82" i="46" s="1"/>
  <c r="I83" i="46" s="1"/>
  <c r="I84" i="46" s="1"/>
  <c r="I85" i="46" s="1"/>
  <c r="I86" i="46" s="1"/>
  <c r="I87" i="46" s="1"/>
  <c r="I88" i="46" s="1"/>
  <c r="I89" i="46" s="1"/>
  <c r="I90" i="46" s="1"/>
  <c r="I91" i="46" s="1"/>
  <c r="I92" i="46" s="1"/>
  <c r="I93" i="46" s="1"/>
  <c r="I94" i="46" s="1"/>
  <c r="I95" i="46" s="1"/>
  <c r="I96" i="46" s="1"/>
  <c r="I97" i="46" s="1"/>
  <c r="I98" i="46" s="1"/>
  <c r="I99" i="46" s="1"/>
  <c r="I100" i="46" s="1"/>
  <c r="I101" i="46" s="1"/>
  <c r="I102" i="46" s="1"/>
  <c r="I103" i="46" s="1"/>
  <c r="I104" i="46" s="1"/>
  <c r="I105" i="46" s="1"/>
  <c r="I106" i="46" s="1"/>
  <c r="I107" i="46" s="1"/>
  <c r="I108" i="46" s="1"/>
  <c r="I109" i="46" s="1"/>
  <c r="I110" i="46" s="1"/>
  <c r="I111" i="46" s="1"/>
  <c r="I112" i="46" s="1"/>
  <c r="I113" i="46" s="1"/>
  <c r="I114" i="46" s="1"/>
  <c r="I115" i="46" s="1"/>
  <c r="I116" i="46" s="1"/>
  <c r="I117" i="46" s="1"/>
  <c r="I118" i="46" s="1"/>
  <c r="I119" i="46" s="1"/>
  <c r="I120" i="46" s="1"/>
  <c r="I121" i="46" s="1"/>
  <c r="I122" i="46" s="1"/>
  <c r="I123" i="46" s="1"/>
  <c r="I124" i="46" s="1"/>
  <c r="I125" i="46" s="1"/>
  <c r="I126" i="46" s="1"/>
  <c r="I127" i="46" s="1"/>
  <c r="I128" i="46" s="1"/>
  <c r="I129" i="46" s="1"/>
  <c r="I130" i="46" s="1"/>
  <c r="I131" i="46" s="1"/>
  <c r="I132" i="46" s="1"/>
  <c r="I133" i="46" s="1"/>
  <c r="I134" i="46" s="1"/>
  <c r="I244" i="55"/>
  <c r="I245" i="55" s="1"/>
  <c r="I246" i="55" s="1"/>
  <c r="I247" i="55" s="1"/>
  <c r="I248" i="55" s="1"/>
  <c r="I249" i="55" s="1"/>
  <c r="I250" i="55" s="1"/>
  <c r="I251" i="55" s="1"/>
  <c r="I252" i="55" s="1"/>
  <c r="I253" i="55" s="1"/>
  <c r="I254" i="55" s="1"/>
  <c r="I255" i="55" s="1"/>
  <c r="I256" i="55" s="1"/>
  <c r="I257" i="55" s="1"/>
  <c r="I258" i="55" s="1"/>
  <c r="P51" i="46"/>
  <c r="P52" i="46" s="1"/>
  <c r="P53" i="46" s="1"/>
  <c r="P54" i="46" s="1"/>
  <c r="P55" i="46" s="1"/>
  <c r="P56" i="46" s="1"/>
  <c r="P57" i="46" s="1"/>
  <c r="P58" i="46" s="1"/>
  <c r="P59" i="46" s="1"/>
  <c r="P60" i="46" s="1"/>
  <c r="P61" i="46" s="1"/>
  <c r="P62" i="46" s="1"/>
  <c r="P63" i="46" s="1"/>
  <c r="P64" i="46" s="1"/>
  <c r="P65" i="46" s="1"/>
  <c r="P66" i="46" s="1"/>
  <c r="P67" i="46" s="1"/>
  <c r="P68" i="46" s="1"/>
  <c r="P69" i="46" s="1"/>
  <c r="P70" i="46" s="1"/>
  <c r="P71" i="46" s="1"/>
  <c r="P72" i="46" s="1"/>
  <c r="P73" i="46" s="1"/>
  <c r="P74" i="46" s="1"/>
  <c r="P75" i="46" s="1"/>
  <c r="P76" i="46" s="1"/>
  <c r="P77" i="46" s="1"/>
  <c r="P78" i="46" s="1"/>
  <c r="P79" i="46" s="1"/>
  <c r="P80" i="46" s="1"/>
  <c r="P81" i="46" s="1"/>
  <c r="P82" i="46" s="1"/>
  <c r="P83" i="46" s="1"/>
  <c r="P84" i="46" s="1"/>
  <c r="P85" i="46" s="1"/>
  <c r="P86" i="46" s="1"/>
  <c r="P87" i="46" s="1"/>
  <c r="P88" i="46" s="1"/>
  <c r="P89" i="46" s="1"/>
  <c r="P90" i="46" s="1"/>
  <c r="P91" i="46" s="1"/>
  <c r="P92" i="46" s="1"/>
  <c r="P93" i="46" s="1"/>
  <c r="P94" i="46" s="1"/>
  <c r="P95" i="46" s="1"/>
  <c r="P96" i="46" s="1"/>
  <c r="P97" i="46" s="1"/>
  <c r="P98" i="46" s="1"/>
  <c r="P99" i="46" s="1"/>
  <c r="P100" i="46" s="1"/>
  <c r="P101" i="46" s="1"/>
  <c r="P102" i="46" s="1"/>
  <c r="P103" i="46" s="1"/>
  <c r="P104" i="46" s="1"/>
  <c r="P105" i="46" s="1"/>
  <c r="P106" i="46" s="1"/>
  <c r="P107" i="46" s="1"/>
  <c r="P108" i="46" s="1"/>
  <c r="P109" i="46" s="1"/>
  <c r="P110" i="46" s="1"/>
  <c r="P111" i="46" s="1"/>
  <c r="P112" i="46" s="1"/>
  <c r="P113" i="46" s="1"/>
  <c r="P114" i="46" s="1"/>
  <c r="P115" i="46" s="1"/>
  <c r="P116" i="46" s="1"/>
  <c r="P117" i="46" s="1"/>
  <c r="P118" i="46" s="1"/>
  <c r="P119" i="46" s="1"/>
  <c r="P120" i="46" s="1"/>
  <c r="P121" i="46" s="1"/>
  <c r="P122" i="46" s="1"/>
  <c r="P123" i="46" s="1"/>
  <c r="P124" i="46" s="1"/>
  <c r="P125" i="46" s="1"/>
  <c r="P126" i="46" s="1"/>
  <c r="P127" i="46" s="1"/>
  <c r="P128" i="46" s="1"/>
  <c r="P129" i="46" s="1"/>
  <c r="P130" i="46" s="1"/>
  <c r="P131" i="46" s="1"/>
  <c r="P132" i="46" s="1"/>
  <c r="P133" i="46" s="1"/>
  <c r="P134" i="46" s="1"/>
  <c r="N51" i="46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N83" i="46" s="1"/>
  <c r="N84" i="46" s="1"/>
  <c r="N85" i="46" s="1"/>
  <c r="N86" i="46" s="1"/>
  <c r="N87" i="46" s="1"/>
  <c r="N88" i="46" s="1"/>
  <c r="N89" i="46" s="1"/>
  <c r="N90" i="46" s="1"/>
  <c r="N91" i="46" s="1"/>
  <c r="N92" i="46" s="1"/>
  <c r="N93" i="46" s="1"/>
  <c r="N94" i="46" s="1"/>
  <c r="N95" i="46" s="1"/>
  <c r="N96" i="46" s="1"/>
  <c r="N97" i="46" s="1"/>
  <c r="N98" i="46" s="1"/>
  <c r="N99" i="46" s="1"/>
  <c r="N100" i="46" s="1"/>
  <c r="N101" i="46" s="1"/>
  <c r="N102" i="46" s="1"/>
  <c r="N103" i="46" s="1"/>
  <c r="N104" i="46" s="1"/>
  <c r="N105" i="46" s="1"/>
  <c r="N106" i="46" s="1"/>
  <c r="N107" i="46" s="1"/>
  <c r="N108" i="46" s="1"/>
  <c r="N109" i="46" s="1"/>
  <c r="N110" i="46" s="1"/>
  <c r="N111" i="46" s="1"/>
  <c r="N112" i="46" s="1"/>
  <c r="N113" i="46" s="1"/>
  <c r="N114" i="46" s="1"/>
  <c r="N115" i="46" s="1"/>
  <c r="N116" i="46" s="1"/>
  <c r="N117" i="46" s="1"/>
  <c r="N118" i="46" s="1"/>
  <c r="N119" i="46" s="1"/>
  <c r="N120" i="46" s="1"/>
  <c r="N121" i="46" s="1"/>
  <c r="N122" i="46" s="1"/>
  <c r="N123" i="46" s="1"/>
  <c r="N124" i="46" s="1"/>
  <c r="N125" i="46" s="1"/>
  <c r="N126" i="46" s="1"/>
  <c r="N127" i="46" s="1"/>
  <c r="N128" i="46" s="1"/>
  <c r="N129" i="46" s="1"/>
  <c r="N130" i="46" s="1"/>
  <c r="N131" i="46" s="1"/>
  <c r="N132" i="46" s="1"/>
  <c r="N133" i="46" s="1"/>
  <c r="N134" i="46" s="1"/>
  <c r="P3" i="41"/>
  <c r="P4" i="41" s="1"/>
  <c r="P5" i="41" s="1"/>
  <c r="P6" i="41" s="1"/>
  <c r="P7" i="41" s="1"/>
  <c r="P8" i="41" s="1"/>
  <c r="P9" i="41" s="1"/>
  <c r="P10" i="41" s="1"/>
  <c r="P11" i="41" s="1"/>
  <c r="P12" i="41" s="1"/>
  <c r="P13" i="41" s="1"/>
  <c r="P14" i="41" s="1"/>
  <c r="P15" i="41" s="1"/>
  <c r="P16" i="41" s="1"/>
  <c r="P17" i="41" s="1"/>
  <c r="P18" i="41" s="1"/>
  <c r="P19" i="41" s="1"/>
  <c r="P20" i="41" s="1"/>
  <c r="P22" i="41" s="1"/>
  <c r="P23" i="41" s="1"/>
  <c r="P24" i="41" s="1"/>
  <c r="P25" i="41" s="1"/>
  <c r="P26" i="41" s="1"/>
  <c r="P27" i="41" s="1"/>
  <c r="P28" i="41" s="1"/>
  <c r="P29" i="41" s="1"/>
  <c r="P30" i="41" s="1"/>
  <c r="P31" i="41" s="1"/>
  <c r="P33" i="41" s="1"/>
  <c r="P34" i="41" s="1"/>
  <c r="P35" i="41" s="1"/>
  <c r="A3" i="41"/>
  <c r="A4" i="41" s="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3" i="41" s="1"/>
  <c r="A34" i="41" s="1"/>
  <c r="A35" i="41" s="1"/>
  <c r="B3" i="41"/>
  <c r="B4" i="41" s="1"/>
  <c r="B5" i="41" s="1"/>
  <c r="B6" i="41" s="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B17" i="41" s="1"/>
  <c r="B18" i="41" s="1"/>
  <c r="B19" i="41" s="1"/>
  <c r="B20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3" i="41" s="1"/>
  <c r="B34" i="41" s="1"/>
  <c r="B35" i="41" s="1"/>
  <c r="C2" i="39"/>
  <c r="C3" i="39" s="1"/>
  <c r="C4" i="39" s="1"/>
  <c r="C5" i="39" s="1"/>
  <c r="C6" i="39" s="1"/>
  <c r="C7" i="39" s="1"/>
  <c r="C8" i="39" s="1"/>
  <c r="C9" i="39" s="1"/>
  <c r="C10" i="39" s="1"/>
  <c r="C11" i="39" s="1"/>
  <c r="C12" i="39" s="1"/>
  <c r="C13" i="39" s="1"/>
  <c r="C14" i="39" s="1"/>
  <c r="C15" i="39" s="1"/>
  <c r="C16" i="39" s="1"/>
  <c r="C17" i="39" s="1"/>
  <c r="C18" i="39" s="1"/>
  <c r="C19" i="39" s="1"/>
  <c r="C20" i="39" s="1"/>
  <c r="C21" i="39" s="1"/>
  <c r="C22" i="39" s="1"/>
  <c r="C23" i="39" s="1"/>
  <c r="C24" i="39" s="1"/>
  <c r="C25" i="39" s="1"/>
  <c r="C26" i="39" s="1"/>
  <c r="C27" i="39" s="1"/>
  <c r="C28" i="39" s="1"/>
  <c r="C29" i="39" s="1"/>
  <c r="C30" i="39" s="1"/>
  <c r="C31" i="39" s="1"/>
  <c r="C32" i="39" s="1"/>
  <c r="C33" i="39" s="1"/>
  <c r="C34" i="39" s="1"/>
  <c r="C35" i="39" s="1"/>
  <c r="C36" i="39" s="1"/>
  <c r="C37" i="39" s="1"/>
  <c r="C38" i="39" s="1"/>
  <c r="C39" i="39" s="1"/>
  <c r="C40" i="39" s="1"/>
  <c r="C41" i="39" s="1"/>
  <c r="C42" i="39" s="1"/>
  <c r="C43" i="39" s="1"/>
  <c r="C44" i="39" s="1"/>
  <c r="C45" i="39" s="1"/>
  <c r="C46" i="39" s="1"/>
  <c r="C47" i="39" s="1"/>
  <c r="C48" i="39" s="1"/>
  <c r="C49" i="39" s="1"/>
  <c r="C50" i="39" s="1"/>
  <c r="C51" i="39" s="1"/>
  <c r="C52" i="39" s="1"/>
  <c r="C53" i="39" s="1"/>
  <c r="C54" i="39" s="1"/>
  <c r="C55" i="39" s="1"/>
  <c r="C56" i="39" s="1"/>
  <c r="C57" i="39" s="1"/>
  <c r="C58" i="39" s="1"/>
  <c r="C59" i="39" s="1"/>
  <c r="C60" i="39" s="1"/>
  <c r="C61" i="39" s="1"/>
  <c r="C62" i="39" s="1"/>
  <c r="C63" i="39" s="1"/>
  <c r="C64" i="39" s="1"/>
  <c r="C65" i="39" s="1"/>
  <c r="C66" i="39" s="1"/>
  <c r="C67" i="39" s="1"/>
  <c r="C68" i="39" s="1"/>
  <c r="C69" i="39" s="1"/>
  <c r="C70" i="39" s="1"/>
  <c r="C71" i="39" s="1"/>
  <c r="C72" i="39" s="1"/>
  <c r="C73" i="39" s="1"/>
  <c r="C74" i="39" s="1"/>
  <c r="C75" i="39" s="1"/>
  <c r="C76" i="39" s="1"/>
  <c r="C77" i="39" s="1"/>
  <c r="C78" i="39" s="1"/>
  <c r="C79" i="39" s="1"/>
  <c r="C80" i="39" s="1"/>
  <c r="C81" i="39" s="1"/>
  <c r="C82" i="39" s="1"/>
  <c r="C83" i="39" s="1"/>
  <c r="C84" i="39" s="1"/>
  <c r="C85" i="39" s="1"/>
  <c r="C86" i="39" s="1"/>
  <c r="C87" i="39" s="1"/>
  <c r="C88" i="39" s="1"/>
  <c r="C89" i="39" s="1"/>
  <c r="C90" i="39" s="1"/>
  <c r="C91" i="39" s="1"/>
  <c r="C92" i="39" s="1"/>
  <c r="C93" i="39" s="1"/>
  <c r="C94" i="39" s="1"/>
  <c r="C95" i="39" s="1"/>
  <c r="C96" i="39" s="1"/>
  <c r="C97" i="39" s="1"/>
  <c r="C98" i="39" s="1"/>
  <c r="C99" i="39" s="1"/>
  <c r="C100" i="39" s="1"/>
  <c r="C101" i="39" s="1"/>
  <c r="C102" i="39" s="1"/>
  <c r="C103" i="39" s="1"/>
  <c r="C104" i="39" s="1"/>
  <c r="C105" i="39" s="1"/>
  <c r="C106" i="39" s="1"/>
  <c r="C107" i="39" s="1"/>
  <c r="C108" i="39" s="1"/>
  <c r="C109" i="39" s="1"/>
  <c r="C110" i="39" s="1"/>
  <c r="C111" i="39" s="1"/>
  <c r="C112" i="39" s="1"/>
  <c r="C113" i="39" s="1"/>
  <c r="C114" i="39" s="1"/>
  <c r="C115" i="39" s="1"/>
  <c r="C116" i="39" s="1"/>
  <c r="C117" i="39" s="1"/>
  <c r="C118" i="39" s="1"/>
  <c r="C119" i="39" s="1"/>
  <c r="C120" i="39" s="1"/>
  <c r="C121" i="39" s="1"/>
  <c r="C122" i="39" s="1"/>
  <c r="C123" i="39" s="1"/>
  <c r="B2" i="39"/>
  <c r="B3" i="39" s="1"/>
  <c r="B4" i="39" s="1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B40" i="39" s="1"/>
  <c r="B41" i="39" s="1"/>
  <c r="B42" i="39" s="1"/>
  <c r="B43" i="39" s="1"/>
  <c r="B44" i="39" s="1"/>
  <c r="B45" i="39" s="1"/>
  <c r="B46" i="39" s="1"/>
  <c r="B47" i="39" s="1"/>
  <c r="B48" i="39" s="1"/>
  <c r="B49" i="39" s="1"/>
  <c r="B50" i="39" s="1"/>
  <c r="B51" i="39" s="1"/>
  <c r="B52" i="39" s="1"/>
  <c r="B53" i="39" s="1"/>
  <c r="B54" i="39" s="1"/>
  <c r="B55" i="39" s="1"/>
  <c r="B56" i="39" s="1"/>
  <c r="B57" i="39" s="1"/>
  <c r="B58" i="39" s="1"/>
  <c r="B59" i="39" s="1"/>
  <c r="B60" i="39" s="1"/>
  <c r="B61" i="39" s="1"/>
  <c r="B62" i="39" s="1"/>
  <c r="B63" i="39" s="1"/>
  <c r="B64" i="39" s="1"/>
  <c r="B65" i="39" s="1"/>
  <c r="B66" i="39" s="1"/>
  <c r="B67" i="39" s="1"/>
  <c r="B68" i="39" s="1"/>
  <c r="B69" i="39" s="1"/>
  <c r="B70" i="39" s="1"/>
  <c r="B71" i="39" s="1"/>
  <c r="B72" i="39" s="1"/>
  <c r="B73" i="39" s="1"/>
  <c r="B74" i="39" s="1"/>
  <c r="B75" i="39" s="1"/>
  <c r="B76" i="39" s="1"/>
  <c r="B77" i="39" s="1"/>
  <c r="B78" i="39" s="1"/>
  <c r="B79" i="39" s="1"/>
  <c r="B80" i="39" s="1"/>
  <c r="B81" i="39" s="1"/>
  <c r="B82" i="39" s="1"/>
  <c r="B83" i="39" s="1"/>
  <c r="B84" i="39" s="1"/>
  <c r="B85" i="39" s="1"/>
  <c r="B86" i="39" s="1"/>
  <c r="B87" i="39" s="1"/>
  <c r="B88" i="39" s="1"/>
  <c r="B89" i="39" s="1"/>
  <c r="B90" i="39" s="1"/>
  <c r="B91" i="39" s="1"/>
  <c r="B92" i="39" s="1"/>
  <c r="B93" i="39" s="1"/>
  <c r="B94" i="39" s="1"/>
  <c r="B95" i="39" s="1"/>
  <c r="B96" i="39" s="1"/>
  <c r="B97" i="39" s="1"/>
  <c r="B98" i="39" s="1"/>
  <c r="B99" i="39" s="1"/>
  <c r="B100" i="39" s="1"/>
  <c r="B101" i="39" s="1"/>
  <c r="B102" i="39" s="1"/>
  <c r="B103" i="39" s="1"/>
  <c r="B104" i="39" s="1"/>
  <c r="B105" i="39" s="1"/>
  <c r="B106" i="39" s="1"/>
  <c r="B107" i="39" s="1"/>
  <c r="B108" i="39" s="1"/>
  <c r="B109" i="39" s="1"/>
  <c r="B110" i="39" s="1"/>
  <c r="B111" i="39" s="1"/>
  <c r="B112" i="39" s="1"/>
  <c r="B113" i="39" s="1"/>
  <c r="B114" i="39" s="1"/>
  <c r="B115" i="39" s="1"/>
  <c r="B116" i="39" s="1"/>
  <c r="B117" i="39" s="1"/>
  <c r="B118" i="39" s="1"/>
  <c r="B119" i="39" s="1"/>
  <c r="B120" i="39" s="1"/>
  <c r="B121" i="39" s="1"/>
  <c r="B122" i="39" s="1"/>
  <c r="B123" i="39" s="1"/>
  <c r="A3" i="39"/>
  <c r="O3" i="39"/>
  <c r="O4" i="39" s="1"/>
  <c r="O5" i="39" s="1"/>
  <c r="O6" i="39" s="1"/>
  <c r="O7" i="39" s="1"/>
  <c r="O8" i="39" s="1"/>
  <c r="O9" i="39" s="1"/>
  <c r="O10" i="39" s="1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O40" i="39" s="1"/>
  <c r="O41" i="39" s="1"/>
  <c r="O42" i="39" s="1"/>
  <c r="O43" i="39" s="1"/>
  <c r="O44" i="39" s="1"/>
  <c r="O45" i="39" s="1"/>
  <c r="O46" i="39" s="1"/>
  <c r="O47" i="39" s="1"/>
  <c r="O48" i="39" s="1"/>
  <c r="O49" i="39" s="1"/>
  <c r="O50" i="39" s="1"/>
  <c r="O51" i="39" s="1"/>
  <c r="O52" i="39" s="1"/>
  <c r="O53" i="39" s="1"/>
  <c r="O54" i="39" s="1"/>
  <c r="O55" i="39" s="1"/>
  <c r="O56" i="39" s="1"/>
  <c r="O57" i="39" s="1"/>
  <c r="O58" i="39" s="1"/>
  <c r="O59" i="39" s="1"/>
  <c r="O60" i="39" s="1"/>
  <c r="O61" i="39" s="1"/>
  <c r="O62" i="39" s="1"/>
  <c r="O63" i="39" s="1"/>
  <c r="O64" i="39" s="1"/>
  <c r="O65" i="39" s="1"/>
  <c r="O66" i="39" s="1"/>
  <c r="O67" i="39" s="1"/>
  <c r="O68" i="39" s="1"/>
  <c r="O69" i="39" s="1"/>
  <c r="O70" i="39" s="1"/>
  <c r="O71" i="39" s="1"/>
  <c r="O72" i="39" s="1"/>
  <c r="O73" i="39" s="1"/>
  <c r="O74" i="39" s="1"/>
  <c r="O75" i="39" s="1"/>
  <c r="O76" i="39" s="1"/>
  <c r="O77" i="39" s="1"/>
  <c r="O78" i="39" s="1"/>
  <c r="O79" i="39" s="1"/>
  <c r="O80" i="39" s="1"/>
  <c r="O81" i="39" s="1"/>
  <c r="O82" i="39" s="1"/>
  <c r="O83" i="39" s="1"/>
  <c r="O84" i="39" s="1"/>
  <c r="O85" i="39" s="1"/>
  <c r="O86" i="39" s="1"/>
  <c r="O87" i="39" s="1"/>
  <c r="O88" i="39" s="1"/>
  <c r="O89" i="39" s="1"/>
  <c r="O90" i="39" s="1"/>
  <c r="O91" i="39" s="1"/>
  <c r="O92" i="39" s="1"/>
  <c r="O93" i="39" s="1"/>
  <c r="O94" i="39" s="1"/>
  <c r="O95" i="39" s="1"/>
  <c r="O96" i="39" s="1"/>
  <c r="O97" i="39" s="1"/>
  <c r="O98" i="39" s="1"/>
  <c r="O99" i="39" s="1"/>
  <c r="O100" i="39" s="1"/>
  <c r="O101" i="39" s="1"/>
  <c r="O102" i="39" s="1"/>
  <c r="O103" i="39" s="1"/>
  <c r="O104" i="39" s="1"/>
  <c r="O105" i="39" s="1"/>
  <c r="O106" i="39" s="1"/>
  <c r="O107" i="39" s="1"/>
  <c r="O108" i="39" s="1"/>
  <c r="O109" i="39" s="1"/>
  <c r="O110" i="39" s="1"/>
  <c r="O111" i="39" s="1"/>
  <c r="O112" i="39" s="1"/>
  <c r="O113" i="39" s="1"/>
  <c r="O114" i="39" s="1"/>
  <c r="O115" i="39" s="1"/>
  <c r="O116" i="39" s="1"/>
  <c r="O117" i="39" s="1"/>
  <c r="O118" i="39" s="1"/>
  <c r="O119" i="39" s="1"/>
  <c r="O120" i="39" s="1"/>
  <c r="O121" i="39" s="1"/>
  <c r="O122" i="39" s="1"/>
  <c r="O123" i="39" s="1"/>
  <c r="A4" i="39"/>
  <c r="A5" i="39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I4" i="37"/>
  <c r="I5" i="37" s="1"/>
  <c r="I6" i="37" s="1"/>
  <c r="I7" i="37" s="1"/>
  <c r="I8" i="37" s="1"/>
  <c r="I9" i="37" s="1"/>
  <c r="I10" i="37" s="1"/>
  <c r="I11" i="37" s="1"/>
  <c r="I12" i="37" s="1"/>
  <c r="I13" i="37" s="1"/>
  <c r="I14" i="37" s="1"/>
  <c r="I15" i="37" s="1"/>
  <c r="I16" i="37" s="1"/>
  <c r="I17" i="37" s="1"/>
  <c r="I18" i="37" s="1"/>
  <c r="I19" i="37" s="1"/>
  <c r="I20" i="37" s="1"/>
  <c r="I21" i="37" s="1"/>
  <c r="I22" i="37" s="1"/>
  <c r="I23" i="37" s="1"/>
  <c r="I24" i="37" s="1"/>
  <c r="I25" i="37" s="1"/>
  <c r="I26" i="37" s="1"/>
  <c r="I27" i="37" s="1"/>
  <c r="I28" i="37" s="1"/>
  <c r="I29" i="37" s="1"/>
  <c r="I30" i="37" s="1"/>
  <c r="I31" i="37" s="1"/>
  <c r="I32" i="37" s="1"/>
  <c r="I33" i="37" s="1"/>
  <c r="I34" i="37" s="1"/>
  <c r="I35" i="37" s="1"/>
  <c r="I36" i="37" s="1"/>
  <c r="I37" i="37" s="1"/>
  <c r="I38" i="37" s="1"/>
  <c r="I39" i="37" s="1"/>
  <c r="I40" i="37" s="1"/>
  <c r="I41" i="37" s="1"/>
  <c r="I42" i="37" s="1"/>
  <c r="I43" i="37" s="1"/>
  <c r="I44" i="37" s="1"/>
  <c r="I45" i="37" s="1"/>
  <c r="I46" i="37" s="1"/>
  <c r="I47" i="37" s="1"/>
  <c r="I48" i="37" s="1"/>
  <c r="I49" i="37" s="1"/>
  <c r="I50" i="37" s="1"/>
  <c r="I51" i="37" s="1"/>
  <c r="I52" i="37" s="1"/>
  <c r="I53" i="37" s="1"/>
  <c r="I54" i="37" s="1"/>
  <c r="I55" i="37" s="1"/>
  <c r="I56" i="37" s="1"/>
  <c r="I57" i="37" s="1"/>
  <c r="I58" i="37" s="1"/>
  <c r="I59" i="37" s="1"/>
  <c r="I60" i="37" s="1"/>
  <c r="I61" i="37" s="1"/>
  <c r="I62" i="37" s="1"/>
  <c r="I63" i="37" s="1"/>
  <c r="I64" i="37" s="1"/>
  <c r="I65" i="37" s="1"/>
  <c r="I66" i="37" s="1"/>
  <c r="I67" i="37" s="1"/>
  <c r="I68" i="37" s="1"/>
  <c r="I69" i="37" s="1"/>
  <c r="I70" i="37" s="1"/>
  <c r="I71" i="37" s="1"/>
  <c r="I72" i="37" s="1"/>
  <c r="I73" i="37" s="1"/>
  <c r="I74" i="37" s="1"/>
  <c r="I75" i="37" s="1"/>
  <c r="I76" i="37" s="1"/>
  <c r="I77" i="37" s="1"/>
  <c r="I78" i="37" s="1"/>
  <c r="I79" i="37" s="1"/>
  <c r="I80" i="37" s="1"/>
  <c r="I81" i="37" s="1"/>
  <c r="I82" i="37" s="1"/>
  <c r="I83" i="37" s="1"/>
  <c r="I84" i="37" s="1"/>
  <c r="I85" i="37" s="1"/>
  <c r="I3" i="37"/>
  <c r="P4" i="37"/>
  <c r="P5" i="37" s="1"/>
  <c r="P6" i="37" s="1"/>
  <c r="P7" i="37" s="1"/>
  <c r="P8" i="37" s="1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 s="1"/>
  <c r="P80" i="37" s="1"/>
  <c r="P81" i="37" s="1"/>
  <c r="P82" i="37" s="1"/>
  <c r="P83" i="37" s="1"/>
  <c r="P84" i="37" s="1"/>
  <c r="P85" i="37" s="1"/>
  <c r="O4" i="37"/>
  <c r="O5" i="37" s="1"/>
  <c r="O6" i="37" s="1"/>
  <c r="O7" i="37" s="1"/>
  <c r="O8" i="37" s="1"/>
  <c r="O9" i="37" s="1"/>
  <c r="O10" i="37" s="1"/>
  <c r="O11" i="37" s="1"/>
  <c r="O12" i="37" s="1"/>
  <c r="O13" i="37" s="1"/>
  <c r="O14" i="37" s="1"/>
  <c r="O15" i="37" s="1"/>
  <c r="O16" i="37" s="1"/>
  <c r="O17" i="37" s="1"/>
  <c r="O18" i="37" s="1"/>
  <c r="O19" i="37" s="1"/>
  <c r="O20" i="37" s="1"/>
  <c r="O21" i="37" s="1"/>
  <c r="O22" i="37" s="1"/>
  <c r="O23" i="37" s="1"/>
  <c r="O24" i="37" s="1"/>
  <c r="O25" i="37" s="1"/>
  <c r="O26" i="37" s="1"/>
  <c r="O27" i="37" s="1"/>
  <c r="O28" i="37" s="1"/>
  <c r="O29" i="37" s="1"/>
  <c r="O30" i="37" s="1"/>
  <c r="O31" i="37" s="1"/>
  <c r="O32" i="37" s="1"/>
  <c r="O33" i="37" s="1"/>
  <c r="O34" i="37" s="1"/>
  <c r="O35" i="37" s="1"/>
  <c r="O36" i="37" s="1"/>
  <c r="O37" i="37" s="1"/>
  <c r="O38" i="37" s="1"/>
  <c r="O39" i="37" s="1"/>
  <c r="O40" i="37" s="1"/>
  <c r="O41" i="37" s="1"/>
  <c r="O42" i="37" s="1"/>
  <c r="O43" i="37" s="1"/>
  <c r="O44" i="37" s="1"/>
  <c r="O45" i="37" s="1"/>
  <c r="O46" i="37" s="1"/>
  <c r="O47" i="37" s="1"/>
  <c r="O48" i="37" s="1"/>
  <c r="O49" i="37" s="1"/>
  <c r="O50" i="37" s="1"/>
  <c r="O51" i="37" s="1"/>
  <c r="O52" i="37" s="1"/>
  <c r="O53" i="37" s="1"/>
  <c r="O54" i="37" s="1"/>
  <c r="O55" i="37" s="1"/>
  <c r="O56" i="37" s="1"/>
  <c r="O57" i="37" s="1"/>
  <c r="O58" i="37" s="1"/>
  <c r="O59" i="37" s="1"/>
  <c r="O60" i="37" s="1"/>
  <c r="O61" i="37" s="1"/>
  <c r="O62" i="37" s="1"/>
  <c r="O63" i="37" s="1"/>
  <c r="O64" i="37" s="1"/>
  <c r="O65" i="37" s="1"/>
  <c r="O66" i="37" s="1"/>
  <c r="O67" i="37" s="1"/>
  <c r="O68" i="37" s="1"/>
  <c r="O69" i="37" s="1"/>
  <c r="O70" i="37" s="1"/>
  <c r="O71" i="37" s="1"/>
  <c r="O72" i="37" s="1"/>
  <c r="O73" i="37" s="1"/>
  <c r="O74" i="37" s="1"/>
  <c r="O75" i="37" s="1"/>
  <c r="O76" i="37" s="1"/>
  <c r="O77" i="37" s="1"/>
  <c r="O78" i="37" s="1"/>
  <c r="O79" i="37" s="1"/>
  <c r="O80" i="37" s="1"/>
  <c r="O81" i="37" s="1"/>
  <c r="O82" i="37" s="1"/>
  <c r="O83" i="37" s="1"/>
  <c r="O84" i="37" s="1"/>
  <c r="O85" i="37" s="1"/>
  <c r="N4" i="37"/>
  <c r="N5" i="37" s="1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N70" i="37" s="1"/>
  <c r="N71" i="37" s="1"/>
  <c r="N72" i="37" s="1"/>
  <c r="N73" i="37" s="1"/>
  <c r="N74" i="37" s="1"/>
  <c r="N75" i="37" s="1"/>
  <c r="N76" i="37" s="1"/>
  <c r="N77" i="37" s="1"/>
  <c r="N78" i="37" s="1"/>
  <c r="N79" i="37" s="1"/>
  <c r="N80" i="37" s="1"/>
  <c r="N81" i="37" s="1"/>
  <c r="N82" i="37" s="1"/>
  <c r="N83" i="37" s="1"/>
  <c r="N84" i="37" s="1"/>
  <c r="N85" i="37" s="1"/>
  <c r="P3" i="37"/>
  <c r="O3" i="37"/>
  <c r="N3" i="37"/>
  <c r="A3" i="37" l="1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C2" i="37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B2" i="37"/>
  <c r="B3" i="37" s="1"/>
  <c r="B4" i="37" s="1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F434" i="30" l="1"/>
  <c r="F435" i="30" s="1"/>
  <c r="F436" i="30" s="1"/>
  <c r="F437" i="30" s="1"/>
  <c r="F438" i="30" s="1"/>
  <c r="F439" i="30" s="1"/>
  <c r="F440" i="30" s="1"/>
  <c r="F441" i="30" s="1"/>
  <c r="F442" i="30" s="1"/>
  <c r="F443" i="30" s="1"/>
  <c r="F444" i="30" s="1"/>
  <c r="F445" i="30" s="1"/>
  <c r="F446" i="30" s="1"/>
  <c r="F447" i="30" s="1"/>
  <c r="F448" i="30" s="1"/>
  <c r="F449" i="30" s="1"/>
  <c r="F450" i="30" s="1"/>
  <c r="F451" i="30" s="1"/>
  <c r="F452" i="30" s="1"/>
  <c r="F453" i="30" s="1"/>
  <c r="E434" i="30"/>
  <c r="E435" i="30" s="1"/>
  <c r="E436" i="30" s="1"/>
  <c r="E437" i="30" s="1"/>
  <c r="E438" i="30" s="1"/>
  <c r="E439" i="30" s="1"/>
  <c r="E440" i="30" s="1"/>
  <c r="E441" i="30" s="1"/>
  <c r="E442" i="30" s="1"/>
  <c r="E443" i="30" s="1"/>
  <c r="E444" i="30" s="1"/>
  <c r="E445" i="30" s="1"/>
  <c r="E446" i="30" s="1"/>
  <c r="E447" i="30" s="1"/>
  <c r="E448" i="30" s="1"/>
  <c r="E449" i="30" s="1"/>
  <c r="E450" i="30" s="1"/>
  <c r="E451" i="30" s="1"/>
  <c r="E452" i="30" s="1"/>
  <c r="E453" i="30" s="1"/>
  <c r="D434" i="30"/>
  <c r="D435" i="30" s="1"/>
  <c r="D436" i="30" s="1"/>
  <c r="D437" i="30" s="1"/>
  <c r="D438" i="30" s="1"/>
  <c r="D439" i="30" s="1"/>
  <c r="D440" i="30" s="1"/>
  <c r="D441" i="30" s="1"/>
  <c r="D442" i="30" s="1"/>
  <c r="D443" i="30" s="1"/>
  <c r="D444" i="30" s="1"/>
  <c r="D445" i="30" s="1"/>
  <c r="D446" i="30" s="1"/>
  <c r="D447" i="30" s="1"/>
  <c r="D448" i="30" s="1"/>
  <c r="D449" i="30" s="1"/>
  <c r="D450" i="30" s="1"/>
  <c r="D451" i="30" s="1"/>
  <c r="D452" i="30" s="1"/>
  <c r="D453" i="30" s="1"/>
  <c r="A3" i="30" l="1"/>
  <c r="A4" i="30" s="1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P310" i="30"/>
  <c r="P311" i="30" s="1"/>
  <c r="P312" i="30" s="1"/>
  <c r="P313" i="30" s="1"/>
  <c r="P314" i="30" s="1"/>
  <c r="P315" i="30" s="1"/>
  <c r="P316" i="30" s="1"/>
  <c r="P317" i="30" s="1"/>
  <c r="P318" i="30" s="1"/>
  <c r="P319" i="30" s="1"/>
  <c r="P320" i="30" s="1"/>
  <c r="P321" i="30" s="1"/>
  <c r="P322" i="30" s="1"/>
  <c r="P323" i="30" s="1"/>
  <c r="P324" i="30" s="1"/>
  <c r="P325" i="30" s="1"/>
  <c r="P326" i="30" s="1"/>
  <c r="P327" i="30" s="1"/>
  <c r="P328" i="30" s="1"/>
  <c r="P329" i="30" s="1"/>
  <c r="P330" i="30" s="1"/>
  <c r="P331" i="30" s="1"/>
  <c r="P332" i="30" s="1"/>
  <c r="P333" i="30" s="1"/>
  <c r="P334" i="30" s="1"/>
  <c r="P335" i="30" s="1"/>
  <c r="P336" i="30" s="1"/>
  <c r="P337" i="30" s="1"/>
  <c r="P338" i="30" s="1"/>
  <c r="P339" i="30" s="1"/>
  <c r="P340" i="30" s="1"/>
  <c r="P341" i="30" s="1"/>
  <c r="P342" i="30" s="1"/>
  <c r="P343" i="30" s="1"/>
  <c r="P344" i="30" s="1"/>
  <c r="P345" i="30" s="1"/>
  <c r="P346" i="30" s="1"/>
  <c r="P347" i="30" s="1"/>
  <c r="P348" i="30" s="1"/>
  <c r="P349" i="30" s="1"/>
  <c r="P350" i="30" s="1"/>
  <c r="P351" i="30" s="1"/>
  <c r="P352" i="30" s="1"/>
  <c r="P353" i="30" s="1"/>
  <c r="P354" i="30" s="1"/>
  <c r="P355" i="30" s="1"/>
  <c r="P356" i="30" s="1"/>
  <c r="P357" i="30" s="1"/>
  <c r="P358" i="30" s="1"/>
  <c r="P359" i="30" s="1"/>
  <c r="P360" i="30" s="1"/>
  <c r="P361" i="30" s="1"/>
  <c r="P362" i="30" s="1"/>
  <c r="P363" i="30" s="1"/>
  <c r="P364" i="30" s="1"/>
  <c r="P365" i="30" s="1"/>
  <c r="P366" i="30" s="1"/>
  <c r="P367" i="30" s="1"/>
  <c r="P368" i="30" s="1"/>
  <c r="P369" i="30" s="1"/>
  <c r="P370" i="30" s="1"/>
  <c r="P371" i="30" s="1"/>
  <c r="P372" i="30" s="1"/>
  <c r="P373" i="30" s="1"/>
  <c r="P374" i="30" s="1"/>
  <c r="P375" i="30" s="1"/>
  <c r="P376" i="30" s="1"/>
  <c r="P377" i="30" s="1"/>
  <c r="P378" i="30" s="1"/>
  <c r="P379" i="30" s="1"/>
  <c r="P380" i="30" s="1"/>
  <c r="P381" i="30" s="1"/>
  <c r="P382" i="30" s="1"/>
  <c r="P383" i="30" s="1"/>
  <c r="P384" i="30" s="1"/>
  <c r="P385" i="30" s="1"/>
  <c r="P386" i="30" s="1"/>
  <c r="P387" i="30" s="1"/>
  <c r="P388" i="30" s="1"/>
  <c r="P389" i="30" s="1"/>
  <c r="P390" i="30" s="1"/>
  <c r="P391" i="30" s="1"/>
  <c r="P392" i="30" s="1"/>
  <c r="P393" i="30" s="1"/>
  <c r="P394" i="30" s="1"/>
  <c r="P395" i="30" s="1"/>
  <c r="P396" i="30" s="1"/>
  <c r="P397" i="30" s="1"/>
  <c r="P398" i="30" s="1"/>
  <c r="P399" i="30" s="1"/>
  <c r="P400" i="30" s="1"/>
  <c r="P401" i="30" s="1"/>
  <c r="P402" i="30" s="1"/>
  <c r="P403" i="30" s="1"/>
  <c r="P404" i="30" s="1"/>
  <c r="P405" i="30" s="1"/>
  <c r="P406" i="30" s="1"/>
  <c r="P407" i="30" s="1"/>
  <c r="P408" i="30" s="1"/>
  <c r="P409" i="30" s="1"/>
  <c r="P410" i="30" s="1"/>
  <c r="P411" i="30" s="1"/>
  <c r="P412" i="30" s="1"/>
  <c r="P413" i="30" s="1"/>
  <c r="P414" i="30" s="1"/>
  <c r="P415" i="30" s="1"/>
  <c r="P416" i="30" s="1"/>
  <c r="P417" i="30" s="1"/>
  <c r="P418" i="30" s="1"/>
  <c r="P419" i="30" s="1"/>
  <c r="P420" i="30" s="1"/>
  <c r="P421" i="30" s="1"/>
  <c r="P422" i="30" s="1"/>
  <c r="P423" i="30" s="1"/>
  <c r="P424" i="30" s="1"/>
  <c r="P425" i="30" s="1"/>
  <c r="P426" i="30" s="1"/>
  <c r="P427" i="30" s="1"/>
  <c r="P428" i="30" s="1"/>
  <c r="P429" i="30" s="1"/>
  <c r="P430" i="30" s="1"/>
  <c r="P431" i="30" s="1"/>
  <c r="P432" i="30" s="1"/>
  <c r="P433" i="30" s="1"/>
  <c r="P434" i="30" s="1"/>
  <c r="P435" i="30" s="1"/>
  <c r="P436" i="30" s="1"/>
  <c r="P437" i="30" s="1"/>
  <c r="P438" i="30" s="1"/>
  <c r="P439" i="30" s="1"/>
  <c r="P440" i="30" s="1"/>
  <c r="P441" i="30" s="1"/>
  <c r="P442" i="30" s="1"/>
  <c r="P443" i="30" s="1"/>
  <c r="P444" i="30" s="1"/>
  <c r="P445" i="30" s="1"/>
  <c r="P446" i="30" s="1"/>
  <c r="P447" i="30" s="1"/>
  <c r="P448" i="30" s="1"/>
  <c r="P449" i="30" s="1"/>
  <c r="P450" i="30" s="1"/>
  <c r="P451" i="30" s="1"/>
  <c r="P452" i="30" s="1"/>
  <c r="P453" i="30" s="1"/>
  <c r="F227" i="30" l="1"/>
  <c r="F228" i="30" s="1"/>
  <c r="F229" i="30" s="1"/>
  <c r="F230" i="30" s="1"/>
  <c r="F231" i="30" s="1"/>
  <c r="F232" i="30" s="1"/>
  <c r="F233" i="30" s="1"/>
  <c r="F234" i="30" s="1"/>
  <c r="F235" i="30" s="1"/>
  <c r="F236" i="30" s="1"/>
  <c r="F237" i="30" s="1"/>
  <c r="F238" i="30" s="1"/>
  <c r="F239" i="30" s="1"/>
  <c r="F240" i="30" s="1"/>
  <c r="F241" i="30" s="1"/>
  <c r="F242" i="30" s="1"/>
  <c r="F243" i="30" s="1"/>
  <c r="F244" i="30" s="1"/>
  <c r="F245" i="30" s="1"/>
  <c r="F246" i="30" s="1"/>
  <c r="F247" i="30" s="1"/>
  <c r="F248" i="30" s="1"/>
  <c r="F249" i="30" s="1"/>
  <c r="F250" i="30" s="1"/>
  <c r="F251" i="30" s="1"/>
  <c r="F252" i="30" s="1"/>
  <c r="F253" i="30" s="1"/>
  <c r="F254" i="30" s="1"/>
  <c r="F255" i="30" s="1"/>
  <c r="F256" i="30" s="1"/>
  <c r="F257" i="30" s="1"/>
  <c r="F258" i="30" s="1"/>
  <c r="F259" i="30" s="1"/>
  <c r="F260" i="30" s="1"/>
  <c r="F261" i="30" s="1"/>
  <c r="F262" i="30" s="1"/>
  <c r="F263" i="30" s="1"/>
  <c r="F264" i="30" s="1"/>
  <c r="F265" i="30" s="1"/>
  <c r="F266" i="30" s="1"/>
  <c r="F267" i="30" s="1"/>
  <c r="F268" i="30" s="1"/>
  <c r="F269" i="30" s="1"/>
  <c r="F270" i="30" s="1"/>
  <c r="F271" i="30" s="1"/>
  <c r="F272" i="30" s="1"/>
  <c r="F273" i="30" s="1"/>
  <c r="F274" i="30" s="1"/>
  <c r="F275" i="30" s="1"/>
  <c r="F276" i="30" s="1"/>
  <c r="F277" i="30" s="1"/>
  <c r="F278" i="30" s="1"/>
  <c r="F279" i="30" s="1"/>
  <c r="F280" i="30" s="1"/>
  <c r="F281" i="30" s="1"/>
  <c r="F282" i="30" s="1"/>
  <c r="F283" i="30" s="1"/>
  <c r="F284" i="30" s="1"/>
  <c r="F285" i="30" s="1"/>
  <c r="F286" i="30" s="1"/>
  <c r="F287" i="30" s="1"/>
  <c r="F288" i="30" s="1"/>
  <c r="F289" i="30" s="1"/>
  <c r="F290" i="30" s="1"/>
  <c r="F291" i="30" s="1"/>
  <c r="F292" i="30" s="1"/>
  <c r="F293" i="30" s="1"/>
  <c r="F294" i="30" s="1"/>
  <c r="F295" i="30" s="1"/>
  <c r="F296" i="30" s="1"/>
  <c r="F297" i="30" s="1"/>
  <c r="F298" i="30" s="1"/>
  <c r="F299" i="30" s="1"/>
  <c r="F300" i="30" s="1"/>
  <c r="F301" i="30" s="1"/>
  <c r="F302" i="30" s="1"/>
  <c r="F303" i="30" s="1"/>
  <c r="F304" i="30" s="1"/>
  <c r="F305" i="30" s="1"/>
  <c r="F306" i="30" s="1"/>
  <c r="F307" i="30" s="1"/>
  <c r="F308" i="30" s="1"/>
  <c r="F309" i="30" s="1"/>
  <c r="E227" i="30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D227" i="30"/>
  <c r="D228" i="30" s="1"/>
  <c r="D229" i="30" s="1"/>
  <c r="D230" i="30" s="1"/>
  <c r="D231" i="30" s="1"/>
  <c r="D232" i="30" s="1"/>
  <c r="D233" i="30" s="1"/>
  <c r="D234" i="30" s="1"/>
  <c r="D235" i="30" s="1"/>
  <c r="D236" i="30" s="1"/>
  <c r="D237" i="30" s="1"/>
  <c r="D238" i="30" s="1"/>
  <c r="D239" i="30" s="1"/>
  <c r="D240" i="30" s="1"/>
  <c r="D241" i="30" s="1"/>
  <c r="D242" i="30" s="1"/>
  <c r="D243" i="30" s="1"/>
  <c r="D244" i="30" s="1"/>
  <c r="D245" i="30" s="1"/>
  <c r="D246" i="30" s="1"/>
  <c r="D247" i="30" s="1"/>
  <c r="D248" i="30" s="1"/>
  <c r="D249" i="30" s="1"/>
  <c r="D250" i="30" s="1"/>
  <c r="D251" i="30" s="1"/>
  <c r="D252" i="30" s="1"/>
  <c r="D253" i="30" s="1"/>
  <c r="D254" i="30" s="1"/>
  <c r="D255" i="30" s="1"/>
  <c r="D256" i="30" s="1"/>
  <c r="D257" i="30" s="1"/>
  <c r="D258" i="30" s="1"/>
  <c r="D259" i="30" s="1"/>
  <c r="D260" i="30" s="1"/>
  <c r="D261" i="30" s="1"/>
  <c r="D262" i="30" s="1"/>
  <c r="D263" i="30" s="1"/>
  <c r="D264" i="30" s="1"/>
  <c r="D265" i="30" s="1"/>
  <c r="D266" i="30" s="1"/>
  <c r="D267" i="30" s="1"/>
  <c r="D268" i="30" s="1"/>
  <c r="D269" i="30" s="1"/>
  <c r="D270" i="30" s="1"/>
  <c r="D271" i="30" s="1"/>
  <c r="D272" i="30" s="1"/>
  <c r="D273" i="30" s="1"/>
  <c r="D274" i="30" s="1"/>
  <c r="D275" i="30" s="1"/>
  <c r="D276" i="30" s="1"/>
  <c r="D277" i="30" s="1"/>
  <c r="D278" i="30" s="1"/>
  <c r="D279" i="30" s="1"/>
  <c r="D280" i="30" s="1"/>
  <c r="D281" i="30" s="1"/>
  <c r="D282" i="30" s="1"/>
  <c r="D283" i="30" s="1"/>
  <c r="D284" i="30" s="1"/>
  <c r="D285" i="30" s="1"/>
  <c r="D286" i="30" s="1"/>
  <c r="D287" i="30" s="1"/>
  <c r="D288" i="30" s="1"/>
  <c r="D289" i="30" s="1"/>
  <c r="D290" i="30" s="1"/>
  <c r="D291" i="30" s="1"/>
  <c r="D292" i="30" s="1"/>
  <c r="D293" i="30" s="1"/>
  <c r="D294" i="30" s="1"/>
  <c r="D295" i="30" s="1"/>
  <c r="D296" i="30" s="1"/>
  <c r="D297" i="30" s="1"/>
  <c r="D298" i="30" s="1"/>
  <c r="D299" i="30" s="1"/>
  <c r="D300" i="30" s="1"/>
  <c r="D301" i="30" s="1"/>
  <c r="D302" i="30" s="1"/>
  <c r="D303" i="30" s="1"/>
  <c r="D304" i="30" s="1"/>
  <c r="D305" i="30" s="1"/>
  <c r="D306" i="30" s="1"/>
  <c r="D307" i="30" s="1"/>
  <c r="D308" i="30" s="1"/>
  <c r="D309" i="30" s="1"/>
  <c r="O3" i="30"/>
  <c r="O4" i="30" s="1"/>
  <c r="O5" i="30" s="1"/>
  <c r="O6" i="30" s="1"/>
  <c r="O7" i="30" s="1"/>
  <c r="O8" i="30" s="1"/>
  <c r="O9" i="30" s="1"/>
  <c r="O10" i="30" s="1"/>
  <c r="O11" i="30" s="1"/>
  <c r="O12" i="30" s="1"/>
  <c r="O13" i="30" s="1"/>
  <c r="O14" i="30" s="1"/>
  <c r="O15" i="30" s="1"/>
  <c r="O16" i="30" s="1"/>
  <c r="O17" i="30" s="1"/>
  <c r="O18" i="30" s="1"/>
  <c r="O19" i="30" s="1"/>
  <c r="O20" i="30" s="1"/>
  <c r="O21" i="30" s="1"/>
  <c r="O22" i="30" s="1"/>
  <c r="O23" i="30" s="1"/>
  <c r="O24" i="30" s="1"/>
  <c r="O25" i="30" s="1"/>
  <c r="O26" i="30" s="1"/>
  <c r="O27" i="30" s="1"/>
  <c r="O28" i="30" s="1"/>
  <c r="O29" i="30" s="1"/>
  <c r="O30" i="30" s="1"/>
  <c r="O31" i="30" s="1"/>
  <c r="O32" i="30" s="1"/>
  <c r="O33" i="30" s="1"/>
  <c r="O34" i="30" s="1"/>
  <c r="O35" i="30" s="1"/>
  <c r="O36" i="30" s="1"/>
  <c r="O37" i="30" s="1"/>
  <c r="O38" i="30" s="1"/>
  <c r="O39" i="30" s="1"/>
  <c r="O40" i="30" s="1"/>
  <c r="O41" i="30" s="1"/>
  <c r="O42" i="30" s="1"/>
  <c r="O43" i="30" s="1"/>
  <c r="O44" i="30" s="1"/>
  <c r="O45" i="30" s="1"/>
  <c r="O46" i="30" s="1"/>
  <c r="O47" i="30" s="1"/>
  <c r="O48" i="30" s="1"/>
  <c r="O49" i="30" s="1"/>
  <c r="O50" i="30" s="1"/>
  <c r="O51" i="30" s="1"/>
  <c r="O52" i="30" s="1"/>
  <c r="O53" i="30" s="1"/>
  <c r="O54" i="30" s="1"/>
  <c r="O55" i="30" s="1"/>
  <c r="O56" i="30" s="1"/>
  <c r="O57" i="30" s="1"/>
  <c r="O58" i="30" s="1"/>
  <c r="O59" i="30" s="1"/>
  <c r="O60" i="30" s="1"/>
  <c r="O61" i="30" s="1"/>
  <c r="O62" i="30" s="1"/>
  <c r="O63" i="30" s="1"/>
  <c r="O64" i="30" s="1"/>
  <c r="O65" i="30" s="1"/>
  <c r="O66" i="30" s="1"/>
  <c r="O67" i="30" s="1"/>
  <c r="O68" i="30" s="1"/>
  <c r="O69" i="30" s="1"/>
  <c r="O70" i="30" s="1"/>
  <c r="O71" i="30" s="1"/>
  <c r="O72" i="30" s="1"/>
  <c r="O73" i="30" s="1"/>
  <c r="O74" i="30" s="1"/>
  <c r="O75" i="30" s="1"/>
  <c r="O76" i="30" s="1"/>
  <c r="O77" i="30" s="1"/>
  <c r="O78" i="30" s="1"/>
  <c r="O79" i="30" s="1"/>
  <c r="O80" i="30" s="1"/>
  <c r="O81" i="30" s="1"/>
  <c r="O82" i="30" s="1"/>
  <c r="O83" i="30" s="1"/>
  <c r="O84" i="30" s="1"/>
  <c r="O85" i="30" s="1"/>
  <c r="O86" i="30" s="1"/>
  <c r="O87" i="30" s="1"/>
  <c r="O88" i="30" s="1"/>
  <c r="O89" i="30" s="1"/>
  <c r="O90" i="30" s="1"/>
  <c r="O91" i="30" s="1"/>
  <c r="O92" i="30" s="1"/>
  <c r="O93" i="30" s="1"/>
  <c r="O94" i="30" s="1"/>
  <c r="O95" i="30" s="1"/>
  <c r="O96" i="30" s="1"/>
  <c r="O97" i="30" s="1"/>
  <c r="O98" i="30" s="1"/>
  <c r="O99" i="30" s="1"/>
  <c r="O100" i="30" s="1"/>
  <c r="O101" i="30" s="1"/>
  <c r="O102" i="30" s="1"/>
  <c r="O103" i="30" s="1"/>
  <c r="O104" i="30" s="1"/>
  <c r="O105" i="30" s="1"/>
  <c r="O106" i="30" s="1"/>
  <c r="O107" i="30" s="1"/>
  <c r="O108" i="30" s="1"/>
  <c r="O109" i="30" s="1"/>
  <c r="O110" i="30" s="1"/>
  <c r="O111" i="30" s="1"/>
  <c r="O112" i="30" s="1"/>
  <c r="O113" i="30" s="1"/>
  <c r="O114" i="30" s="1"/>
  <c r="O115" i="30" s="1"/>
  <c r="O116" i="30" s="1"/>
  <c r="O117" i="30" s="1"/>
  <c r="O118" i="30" s="1"/>
  <c r="O119" i="30" s="1"/>
  <c r="O120" i="30" s="1"/>
  <c r="O121" i="30" s="1"/>
  <c r="O122" i="30" s="1"/>
  <c r="O123" i="30" s="1"/>
  <c r="O124" i="30" s="1"/>
  <c r="O125" i="30" s="1"/>
  <c r="O126" i="30" s="1"/>
  <c r="O127" i="30" s="1"/>
  <c r="O128" i="30" s="1"/>
  <c r="O129" i="30" s="1"/>
  <c r="O130" i="30" s="1"/>
  <c r="O131" i="30" s="1"/>
  <c r="O132" i="30" s="1"/>
  <c r="O133" i="30" s="1"/>
  <c r="O134" i="30" s="1"/>
  <c r="O135" i="30" s="1"/>
  <c r="O136" i="30" s="1"/>
  <c r="O137" i="30" s="1"/>
  <c r="O138" i="30" s="1"/>
  <c r="O139" i="30" s="1"/>
  <c r="O140" i="30" s="1"/>
  <c r="O141" i="30" s="1"/>
  <c r="O142" i="30" s="1"/>
  <c r="O143" i="30" s="1"/>
  <c r="O144" i="30" s="1"/>
  <c r="O145" i="30" s="1"/>
  <c r="O146" i="30" s="1"/>
  <c r="O147" i="30" s="1"/>
  <c r="O148" i="30" s="1"/>
  <c r="O149" i="30" s="1"/>
  <c r="O150" i="30" s="1"/>
  <c r="O151" i="30" s="1"/>
  <c r="O152" i="30" s="1"/>
  <c r="O153" i="30" s="1"/>
  <c r="O154" i="30" s="1"/>
  <c r="O155" i="30" s="1"/>
  <c r="O156" i="30" s="1"/>
  <c r="O157" i="30" s="1"/>
  <c r="O158" i="30" s="1"/>
  <c r="O159" i="30" s="1"/>
  <c r="O160" i="30" s="1"/>
  <c r="O161" i="30" s="1"/>
  <c r="O162" i="30" s="1"/>
  <c r="O163" i="30" s="1"/>
  <c r="O164" i="30" s="1"/>
  <c r="O165" i="30" s="1"/>
  <c r="O166" i="30" s="1"/>
  <c r="O167" i="30" s="1"/>
  <c r="O168" i="30" s="1"/>
  <c r="O169" i="30" s="1"/>
  <c r="O170" i="30" s="1"/>
  <c r="O171" i="30" s="1"/>
  <c r="O172" i="30" s="1"/>
  <c r="O173" i="30" s="1"/>
  <c r="O174" i="30" s="1"/>
  <c r="O175" i="30" s="1"/>
  <c r="O176" i="30" s="1"/>
  <c r="O177" i="30" s="1"/>
  <c r="O178" i="30" s="1"/>
  <c r="O179" i="30" s="1"/>
  <c r="O180" i="30" s="1"/>
  <c r="O181" i="30" s="1"/>
  <c r="O182" i="30" s="1"/>
  <c r="O183" i="30" s="1"/>
  <c r="O184" i="30" s="1"/>
  <c r="O185" i="30" s="1"/>
  <c r="O186" i="30" s="1"/>
  <c r="O187" i="30" s="1"/>
  <c r="O188" i="30" s="1"/>
  <c r="O189" i="30" s="1"/>
  <c r="O190" i="30" s="1"/>
  <c r="O191" i="30" s="1"/>
  <c r="O192" i="30" s="1"/>
  <c r="O193" i="30" s="1"/>
  <c r="O194" i="30" s="1"/>
  <c r="O195" i="30" s="1"/>
  <c r="O196" i="30" s="1"/>
  <c r="O197" i="30" s="1"/>
  <c r="O198" i="30" s="1"/>
  <c r="O199" i="30" s="1"/>
  <c r="O200" i="30" s="1"/>
  <c r="O201" i="30" s="1"/>
  <c r="O202" i="30" s="1"/>
  <c r="O203" i="30" s="1"/>
  <c r="O204" i="30" s="1"/>
  <c r="O205" i="30" s="1"/>
  <c r="O206" i="30" s="1"/>
  <c r="O207" i="30" s="1"/>
  <c r="O208" i="30" s="1"/>
  <c r="O209" i="30" s="1"/>
  <c r="O210" i="30" s="1"/>
  <c r="O211" i="30" s="1"/>
  <c r="O212" i="30" s="1"/>
  <c r="O213" i="30" s="1"/>
  <c r="O214" i="30" s="1"/>
  <c r="O215" i="30" s="1"/>
  <c r="O216" i="30" s="1"/>
  <c r="O217" i="30" s="1"/>
  <c r="O218" i="30" s="1"/>
  <c r="O219" i="30" s="1"/>
  <c r="O220" i="30" s="1"/>
  <c r="O221" i="30" s="1"/>
  <c r="O222" i="30" s="1"/>
  <c r="O223" i="30" s="1"/>
  <c r="O224" i="30" s="1"/>
  <c r="O225" i="30" s="1"/>
  <c r="O226" i="30" s="1"/>
  <c r="O227" i="30" s="1"/>
  <c r="O228" i="30" s="1"/>
  <c r="O229" i="30" s="1"/>
  <c r="O230" i="30" s="1"/>
  <c r="O231" i="30" s="1"/>
  <c r="O232" i="30" s="1"/>
  <c r="O233" i="30" s="1"/>
  <c r="O234" i="30" s="1"/>
  <c r="O235" i="30" s="1"/>
  <c r="O236" i="30" s="1"/>
  <c r="O237" i="30" s="1"/>
  <c r="O238" i="30" s="1"/>
  <c r="O239" i="30" s="1"/>
  <c r="O240" i="30" s="1"/>
  <c r="O241" i="30" s="1"/>
  <c r="O242" i="30" s="1"/>
  <c r="O243" i="30" s="1"/>
  <c r="O244" i="30" s="1"/>
  <c r="O245" i="30" s="1"/>
  <c r="O246" i="30" s="1"/>
  <c r="O247" i="30" s="1"/>
  <c r="O248" i="30" s="1"/>
  <c r="O249" i="30" s="1"/>
  <c r="O250" i="30" s="1"/>
  <c r="O251" i="30" s="1"/>
  <c r="O252" i="30" s="1"/>
  <c r="O253" i="30" s="1"/>
  <c r="O254" i="30" s="1"/>
  <c r="O255" i="30" s="1"/>
  <c r="O256" i="30" s="1"/>
  <c r="O257" i="30" s="1"/>
  <c r="O258" i="30" s="1"/>
  <c r="O259" i="30" s="1"/>
  <c r="O260" i="30" s="1"/>
  <c r="O261" i="30" s="1"/>
  <c r="O262" i="30" s="1"/>
  <c r="O263" i="30" s="1"/>
  <c r="O264" i="30" s="1"/>
  <c r="O265" i="30" s="1"/>
  <c r="O266" i="30" s="1"/>
  <c r="O267" i="30" s="1"/>
  <c r="O268" i="30" s="1"/>
  <c r="O269" i="30" s="1"/>
  <c r="O270" i="30" s="1"/>
  <c r="O271" i="30" s="1"/>
  <c r="O272" i="30" s="1"/>
  <c r="O273" i="30" s="1"/>
  <c r="O274" i="30" s="1"/>
  <c r="O275" i="30" s="1"/>
  <c r="O276" i="30" s="1"/>
  <c r="O277" i="30" s="1"/>
  <c r="O278" i="30" s="1"/>
  <c r="O279" i="30" s="1"/>
  <c r="O280" i="30" s="1"/>
  <c r="O281" i="30" s="1"/>
  <c r="O282" i="30" s="1"/>
  <c r="O283" i="30" s="1"/>
  <c r="O284" i="30" s="1"/>
  <c r="O285" i="30" s="1"/>
  <c r="O286" i="30" s="1"/>
  <c r="O287" i="30" s="1"/>
  <c r="O288" i="30" s="1"/>
  <c r="O289" i="30" s="1"/>
  <c r="O290" i="30" s="1"/>
  <c r="O291" i="30" s="1"/>
  <c r="O292" i="30" s="1"/>
  <c r="O293" i="30" s="1"/>
  <c r="O294" i="30" s="1"/>
  <c r="O295" i="30" s="1"/>
  <c r="O296" i="30" s="1"/>
  <c r="O297" i="30" s="1"/>
  <c r="O298" i="30" s="1"/>
  <c r="O299" i="30" s="1"/>
  <c r="O300" i="30" s="1"/>
  <c r="O301" i="30" s="1"/>
  <c r="O302" i="30" s="1"/>
  <c r="O303" i="30" s="1"/>
  <c r="O304" i="30" s="1"/>
  <c r="O305" i="30" s="1"/>
  <c r="O306" i="30" s="1"/>
  <c r="O307" i="30" s="1"/>
  <c r="O308" i="30" s="1"/>
  <c r="O309" i="30" s="1"/>
  <c r="O310" i="30" s="1"/>
  <c r="O311" i="30" s="1"/>
  <c r="O312" i="30" s="1"/>
  <c r="O313" i="30" s="1"/>
  <c r="O314" i="30" s="1"/>
  <c r="O315" i="30" s="1"/>
  <c r="O316" i="30" s="1"/>
  <c r="O317" i="30" s="1"/>
  <c r="O318" i="30" s="1"/>
  <c r="O319" i="30" s="1"/>
  <c r="O320" i="30" s="1"/>
  <c r="O321" i="30" s="1"/>
  <c r="O322" i="30" s="1"/>
  <c r="O323" i="30" s="1"/>
  <c r="O324" i="30" s="1"/>
  <c r="O325" i="30" s="1"/>
  <c r="O326" i="30" s="1"/>
  <c r="O327" i="30" s="1"/>
  <c r="O328" i="30" s="1"/>
  <c r="O329" i="30" s="1"/>
  <c r="O330" i="30" s="1"/>
  <c r="O331" i="30" s="1"/>
  <c r="O332" i="30" s="1"/>
  <c r="O333" i="30" s="1"/>
  <c r="O334" i="30" s="1"/>
  <c r="O335" i="30" s="1"/>
  <c r="O336" i="30" s="1"/>
  <c r="O337" i="30" s="1"/>
  <c r="O338" i="30" s="1"/>
  <c r="O339" i="30" s="1"/>
  <c r="O340" i="30" s="1"/>
  <c r="O341" i="30" s="1"/>
  <c r="O342" i="30" s="1"/>
  <c r="O343" i="30" s="1"/>
  <c r="O344" i="30" s="1"/>
  <c r="O345" i="30" s="1"/>
  <c r="O346" i="30" s="1"/>
  <c r="O347" i="30" s="1"/>
  <c r="O348" i="30" s="1"/>
  <c r="O349" i="30" s="1"/>
  <c r="O350" i="30" s="1"/>
  <c r="O351" i="30" s="1"/>
  <c r="O352" i="30" s="1"/>
  <c r="O353" i="30" s="1"/>
  <c r="O354" i="30" s="1"/>
  <c r="O355" i="30" s="1"/>
  <c r="O356" i="30" s="1"/>
  <c r="O357" i="30" s="1"/>
  <c r="O358" i="30" s="1"/>
  <c r="O359" i="30" s="1"/>
  <c r="O360" i="30" s="1"/>
  <c r="O361" i="30" s="1"/>
  <c r="O362" i="30" s="1"/>
  <c r="O363" i="30" s="1"/>
  <c r="O364" i="30" s="1"/>
  <c r="O365" i="30" s="1"/>
  <c r="O366" i="30" s="1"/>
  <c r="O367" i="30" s="1"/>
  <c r="O368" i="30" s="1"/>
  <c r="O369" i="30" s="1"/>
  <c r="O370" i="30" s="1"/>
  <c r="O371" i="30" s="1"/>
  <c r="O372" i="30" s="1"/>
  <c r="O373" i="30" s="1"/>
  <c r="O374" i="30" s="1"/>
  <c r="O375" i="30" s="1"/>
  <c r="O376" i="30" s="1"/>
  <c r="O377" i="30" s="1"/>
  <c r="O378" i="30" s="1"/>
  <c r="O379" i="30" s="1"/>
  <c r="O380" i="30" s="1"/>
  <c r="O381" i="30" s="1"/>
  <c r="O382" i="30" s="1"/>
  <c r="O383" i="30" s="1"/>
  <c r="O384" i="30" s="1"/>
  <c r="O385" i="30" s="1"/>
  <c r="O386" i="30" s="1"/>
  <c r="O387" i="30" s="1"/>
  <c r="O388" i="30" s="1"/>
  <c r="O389" i="30" s="1"/>
  <c r="O390" i="30" s="1"/>
  <c r="O391" i="30" s="1"/>
  <c r="O392" i="30" s="1"/>
  <c r="O393" i="30" s="1"/>
  <c r="O394" i="30" s="1"/>
  <c r="O395" i="30" s="1"/>
  <c r="O396" i="30" s="1"/>
  <c r="O397" i="30" s="1"/>
  <c r="O398" i="30" s="1"/>
  <c r="O399" i="30" s="1"/>
  <c r="O400" i="30" s="1"/>
  <c r="O401" i="30" s="1"/>
  <c r="O402" i="30" s="1"/>
  <c r="O403" i="30" s="1"/>
  <c r="O404" i="30" s="1"/>
  <c r="O405" i="30" s="1"/>
  <c r="O406" i="30" s="1"/>
  <c r="O407" i="30" s="1"/>
  <c r="O408" i="30" s="1"/>
  <c r="O409" i="30" s="1"/>
  <c r="O410" i="30" s="1"/>
  <c r="O411" i="30" s="1"/>
  <c r="O412" i="30" s="1"/>
  <c r="O413" i="30" s="1"/>
  <c r="O414" i="30" s="1"/>
  <c r="O415" i="30" s="1"/>
  <c r="O416" i="30" s="1"/>
  <c r="O417" i="30" s="1"/>
  <c r="O418" i="30" s="1"/>
  <c r="O419" i="30" s="1"/>
  <c r="O420" i="30" s="1"/>
  <c r="O421" i="30" s="1"/>
  <c r="O422" i="30" s="1"/>
  <c r="O423" i="30" s="1"/>
  <c r="O424" i="30" s="1"/>
  <c r="O425" i="30" s="1"/>
  <c r="O426" i="30" s="1"/>
  <c r="O427" i="30" s="1"/>
  <c r="O428" i="30" s="1"/>
  <c r="O429" i="30" s="1"/>
  <c r="O430" i="30" s="1"/>
  <c r="O431" i="30" s="1"/>
  <c r="O432" i="30" s="1"/>
  <c r="O433" i="30" s="1"/>
  <c r="O434" i="30" s="1"/>
  <c r="O435" i="30" s="1"/>
  <c r="O436" i="30" s="1"/>
  <c r="O437" i="30" s="1"/>
  <c r="O438" i="30" s="1"/>
  <c r="O439" i="30" s="1"/>
  <c r="O440" i="30" s="1"/>
  <c r="O441" i="30" s="1"/>
  <c r="O442" i="30" s="1"/>
  <c r="O443" i="30" s="1"/>
  <c r="O444" i="30" s="1"/>
  <c r="O445" i="30" s="1"/>
  <c r="O446" i="30" s="1"/>
  <c r="O447" i="30" s="1"/>
  <c r="O448" i="30" s="1"/>
  <c r="O449" i="30" s="1"/>
  <c r="O450" i="30" s="1"/>
  <c r="O451" i="30" s="1"/>
  <c r="O452" i="30" s="1"/>
  <c r="O453" i="30" s="1"/>
  <c r="O454" i="30" s="1"/>
  <c r="O455" i="30" s="1"/>
  <c r="O456" i="30" s="1"/>
  <c r="O457" i="30" s="1"/>
  <c r="O458" i="30" s="1"/>
  <c r="O459" i="30" s="1"/>
  <c r="O460" i="30" s="1"/>
  <c r="O461" i="30" s="1"/>
  <c r="O462" i="30" s="1"/>
  <c r="O463" i="30" s="1"/>
  <c r="O464" i="30" s="1"/>
  <c r="O465" i="30" s="1"/>
  <c r="O466" i="30" s="1"/>
  <c r="O467" i="30" s="1"/>
  <c r="O468" i="30" s="1"/>
  <c r="O469" i="30" s="1"/>
  <c r="O470" i="30" s="1"/>
  <c r="O471" i="30" s="1"/>
  <c r="O472" i="30" s="1"/>
  <c r="O473" i="30" s="1"/>
  <c r="O474" i="30" s="1"/>
  <c r="O475" i="30" s="1"/>
  <c r="O476" i="30" s="1"/>
  <c r="O477" i="30" s="1"/>
  <c r="O478" i="30" s="1"/>
  <c r="O479" i="30" s="1"/>
  <c r="O480" i="30" s="1"/>
  <c r="O481" i="30" s="1"/>
  <c r="O482" i="30" s="1"/>
  <c r="O483" i="30" s="1"/>
  <c r="O484" i="30" s="1"/>
  <c r="O485" i="30" s="1"/>
  <c r="O486" i="30" s="1"/>
  <c r="O487" i="30" s="1"/>
  <c r="O488" i="30" s="1"/>
  <c r="O489" i="30" s="1"/>
  <c r="O490" i="30" s="1"/>
  <c r="O491" i="30" s="1"/>
  <c r="O492" i="30" s="1"/>
  <c r="O493" i="30" s="1"/>
  <c r="O494" i="30" s="1"/>
  <c r="O495" i="30" s="1"/>
  <c r="O496" i="30" s="1"/>
  <c r="O497" i="30" s="1"/>
  <c r="O498" i="30" s="1"/>
  <c r="O499" i="30" s="1"/>
  <c r="O500" i="30" s="1"/>
  <c r="O501" i="30" s="1"/>
  <c r="O502" i="30" s="1"/>
  <c r="O503" i="30" s="1"/>
  <c r="O504" i="30" s="1"/>
  <c r="O505" i="30" s="1"/>
  <c r="O506" i="30" s="1"/>
  <c r="O507" i="30" s="1"/>
  <c r="O508" i="30" s="1"/>
  <c r="O509" i="30" s="1"/>
  <c r="O510" i="30" s="1"/>
  <c r="O511" i="30" s="1"/>
  <c r="O512" i="30" s="1"/>
  <c r="O513" i="30" s="1"/>
  <c r="O514" i="30" s="1"/>
  <c r="O515" i="30" s="1"/>
  <c r="O516" i="30" s="1"/>
  <c r="O517" i="30" s="1"/>
  <c r="O518" i="30" s="1"/>
  <c r="O519" i="30" s="1"/>
  <c r="O520" i="30" s="1"/>
  <c r="O521" i="30" s="1"/>
  <c r="O522" i="30" s="1"/>
  <c r="O523" i="30" s="1"/>
  <c r="O524" i="30" s="1"/>
  <c r="O525" i="30" s="1"/>
  <c r="O526" i="30" s="1"/>
  <c r="O527" i="30" s="1"/>
  <c r="O528" i="30" s="1"/>
  <c r="O529" i="30" s="1"/>
  <c r="O530" i="30" s="1"/>
  <c r="O531" i="30" s="1"/>
  <c r="O532" i="30" s="1"/>
  <c r="O533" i="30" s="1"/>
  <c r="O534" i="30" s="1"/>
  <c r="O535" i="30" s="1"/>
  <c r="O536" i="30" s="1"/>
  <c r="O537" i="30" s="1"/>
  <c r="O538" i="30" s="1"/>
  <c r="O539" i="30" s="1"/>
  <c r="O540" i="30" s="1"/>
  <c r="O541" i="30" s="1"/>
  <c r="O542" i="30" s="1"/>
  <c r="O543" i="30" s="1"/>
  <c r="O544" i="30" s="1"/>
  <c r="O545" i="30" s="1"/>
  <c r="O546" i="30" s="1"/>
  <c r="O547" i="30" s="1"/>
  <c r="O548" i="30" s="1"/>
  <c r="O549" i="30" s="1"/>
  <c r="O550" i="30" s="1"/>
  <c r="O551" i="30" s="1"/>
  <c r="O552" i="30" s="1"/>
  <c r="O553" i="30" s="1"/>
  <c r="O554" i="30" s="1"/>
  <c r="O555" i="30" s="1"/>
  <c r="O556" i="30" s="1"/>
  <c r="O557" i="30" s="1"/>
  <c r="O558" i="30" s="1"/>
  <c r="O559" i="30" s="1"/>
  <c r="O560" i="30" s="1"/>
  <c r="O561" i="30" s="1"/>
  <c r="O562" i="30" s="1"/>
  <c r="O563" i="30" s="1"/>
  <c r="O564" i="30" s="1"/>
  <c r="O565" i="30" s="1"/>
  <c r="O566" i="30" s="1"/>
  <c r="O567" i="30" s="1"/>
  <c r="O568" i="30" s="1"/>
  <c r="C2" i="30"/>
  <c r="C3" i="30" s="1"/>
  <c r="C4" i="30" s="1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C46" i="30" s="1"/>
  <c r="C47" i="30" s="1"/>
  <c r="C48" i="30" s="1"/>
  <c r="C49" i="30" s="1"/>
  <c r="C50" i="30" s="1"/>
  <c r="C51" i="30" s="1"/>
  <c r="C52" i="30" s="1"/>
  <c r="C53" i="30" s="1"/>
  <c r="C54" i="30" s="1"/>
  <c r="C55" i="30" s="1"/>
  <c r="C56" i="30" s="1"/>
  <c r="C57" i="30" s="1"/>
  <c r="C58" i="30" s="1"/>
  <c r="C59" i="30" s="1"/>
  <c r="C60" i="30" s="1"/>
  <c r="C61" i="30" s="1"/>
  <c r="C62" i="30" s="1"/>
  <c r="C63" i="30" s="1"/>
  <c r="C64" i="30" s="1"/>
  <c r="C65" i="30" s="1"/>
  <c r="C66" i="30" s="1"/>
  <c r="C67" i="30" s="1"/>
  <c r="C68" i="30" s="1"/>
  <c r="C69" i="30" s="1"/>
  <c r="C70" i="30" s="1"/>
  <c r="C71" i="30" s="1"/>
  <c r="C72" i="30" s="1"/>
  <c r="C73" i="30" s="1"/>
  <c r="C74" i="30" s="1"/>
  <c r="C75" i="30" s="1"/>
  <c r="C76" i="30" s="1"/>
  <c r="C77" i="30" s="1"/>
  <c r="C78" i="30" s="1"/>
  <c r="C79" i="30" s="1"/>
  <c r="C80" i="30" s="1"/>
  <c r="C81" i="30" s="1"/>
  <c r="C82" i="30" s="1"/>
  <c r="C83" i="30" s="1"/>
  <c r="C84" i="30" s="1"/>
  <c r="C85" i="30" s="1"/>
  <c r="C86" i="30" s="1"/>
  <c r="C87" i="30" s="1"/>
  <c r="C88" i="30" s="1"/>
  <c r="C89" i="30" s="1"/>
  <c r="C90" i="30" s="1"/>
  <c r="C91" i="30" s="1"/>
  <c r="C92" i="30" s="1"/>
  <c r="C93" i="30" s="1"/>
  <c r="C94" i="30" s="1"/>
  <c r="C95" i="30" s="1"/>
  <c r="C96" i="30" s="1"/>
  <c r="C97" i="30" s="1"/>
  <c r="C98" i="30" s="1"/>
  <c r="C99" i="30" s="1"/>
  <c r="C100" i="30" s="1"/>
  <c r="C101" i="30" s="1"/>
  <c r="C102" i="30" s="1"/>
  <c r="C103" i="30" s="1"/>
  <c r="C104" i="30" s="1"/>
  <c r="C105" i="30" s="1"/>
  <c r="C106" i="30" s="1"/>
  <c r="C107" i="30" s="1"/>
  <c r="C108" i="30" s="1"/>
  <c r="C109" i="30" s="1"/>
  <c r="C110" i="30" s="1"/>
  <c r="C111" i="30" s="1"/>
  <c r="C112" i="30" s="1"/>
  <c r="C113" i="30" s="1"/>
  <c r="C114" i="30" s="1"/>
  <c r="C115" i="30" s="1"/>
  <c r="C116" i="30" s="1"/>
  <c r="C117" i="30" s="1"/>
  <c r="C118" i="30" s="1"/>
  <c r="C119" i="30" s="1"/>
  <c r="C120" i="30" s="1"/>
  <c r="C121" i="30" s="1"/>
  <c r="C122" i="30" s="1"/>
  <c r="C123" i="30" s="1"/>
  <c r="C124" i="30" s="1"/>
  <c r="C125" i="30" s="1"/>
  <c r="C126" i="30" s="1"/>
  <c r="C127" i="30" s="1"/>
  <c r="C128" i="30" s="1"/>
  <c r="C129" i="30" s="1"/>
  <c r="C130" i="30" s="1"/>
  <c r="C131" i="30" s="1"/>
  <c r="C132" i="30" s="1"/>
  <c r="C133" i="30" s="1"/>
  <c r="C134" i="30" s="1"/>
  <c r="C135" i="30" s="1"/>
  <c r="C136" i="30" s="1"/>
  <c r="C137" i="30" s="1"/>
  <c r="C138" i="30" s="1"/>
  <c r="C139" i="30" s="1"/>
  <c r="C140" i="30" s="1"/>
  <c r="C141" i="30" s="1"/>
  <c r="C142" i="30" s="1"/>
  <c r="C143" i="30" s="1"/>
  <c r="C144" i="30" s="1"/>
  <c r="C145" i="30" s="1"/>
  <c r="C146" i="30" s="1"/>
  <c r="C147" i="30" s="1"/>
  <c r="C148" i="30" s="1"/>
  <c r="C149" i="30" s="1"/>
  <c r="C150" i="30" s="1"/>
  <c r="C151" i="30" s="1"/>
  <c r="C152" i="30" s="1"/>
  <c r="C153" i="30" s="1"/>
  <c r="C154" i="30" s="1"/>
  <c r="C155" i="30" s="1"/>
  <c r="C156" i="30" s="1"/>
  <c r="C157" i="30" s="1"/>
  <c r="C158" i="30" s="1"/>
  <c r="C159" i="30" s="1"/>
  <c r="C160" i="30" s="1"/>
  <c r="C161" i="30" s="1"/>
  <c r="C162" i="30" s="1"/>
  <c r="C163" i="30" s="1"/>
  <c r="C164" i="30" s="1"/>
  <c r="C165" i="30" s="1"/>
  <c r="C166" i="30" s="1"/>
  <c r="C167" i="30" s="1"/>
  <c r="C168" i="30" s="1"/>
  <c r="C169" i="30" s="1"/>
  <c r="C170" i="30" s="1"/>
  <c r="C171" i="30" s="1"/>
  <c r="C172" i="30" s="1"/>
  <c r="C173" i="30" s="1"/>
  <c r="C174" i="30" s="1"/>
  <c r="C175" i="30" s="1"/>
  <c r="C176" i="30" s="1"/>
  <c r="C177" i="30" s="1"/>
  <c r="C178" i="30" s="1"/>
  <c r="C179" i="30" s="1"/>
  <c r="C180" i="30" s="1"/>
  <c r="C181" i="30" s="1"/>
  <c r="C182" i="30" s="1"/>
  <c r="C183" i="30" s="1"/>
  <c r="C184" i="30" s="1"/>
  <c r="C185" i="30" s="1"/>
  <c r="C186" i="30" s="1"/>
  <c r="C187" i="30" s="1"/>
  <c r="C188" i="30" s="1"/>
  <c r="C189" i="30" s="1"/>
  <c r="C190" i="30" s="1"/>
  <c r="C191" i="30" s="1"/>
  <c r="C192" i="30" s="1"/>
  <c r="C193" i="30" s="1"/>
  <c r="C194" i="30" s="1"/>
  <c r="C195" i="30" s="1"/>
  <c r="C196" i="30" s="1"/>
  <c r="C197" i="30" s="1"/>
  <c r="C198" i="30" s="1"/>
  <c r="C199" i="30" s="1"/>
  <c r="C200" i="30" s="1"/>
  <c r="C201" i="30" s="1"/>
  <c r="C202" i="30" s="1"/>
  <c r="C203" i="30" s="1"/>
  <c r="C204" i="30" s="1"/>
  <c r="C205" i="30" s="1"/>
  <c r="C206" i="30" s="1"/>
  <c r="C207" i="30" s="1"/>
  <c r="C208" i="30" s="1"/>
  <c r="C209" i="30" s="1"/>
  <c r="C210" i="30" s="1"/>
  <c r="C211" i="30" s="1"/>
  <c r="C212" i="30" s="1"/>
  <c r="C213" i="30" s="1"/>
  <c r="C214" i="30" s="1"/>
  <c r="C215" i="30" s="1"/>
  <c r="C216" i="30" s="1"/>
  <c r="C217" i="30" s="1"/>
  <c r="C218" i="30" s="1"/>
  <c r="C219" i="30" s="1"/>
  <c r="C220" i="30" s="1"/>
  <c r="C221" i="30" s="1"/>
  <c r="C222" i="30" s="1"/>
  <c r="C223" i="30" s="1"/>
  <c r="C224" i="30" s="1"/>
  <c r="C225" i="30" s="1"/>
  <c r="C226" i="30" s="1"/>
  <c r="C227" i="30" s="1"/>
  <c r="C228" i="30" s="1"/>
  <c r="C229" i="30" s="1"/>
  <c r="C230" i="30" s="1"/>
  <c r="C231" i="30" s="1"/>
  <c r="C232" i="30" s="1"/>
  <c r="C233" i="30" s="1"/>
  <c r="C234" i="30" s="1"/>
  <c r="C235" i="30" s="1"/>
  <c r="C236" i="30" s="1"/>
  <c r="C237" i="30" s="1"/>
  <c r="C238" i="30" s="1"/>
  <c r="C239" i="30" s="1"/>
  <c r="C240" i="30" s="1"/>
  <c r="C241" i="30" s="1"/>
  <c r="C242" i="30" s="1"/>
  <c r="C243" i="30" s="1"/>
  <c r="C244" i="30" s="1"/>
  <c r="C245" i="30" s="1"/>
  <c r="C246" i="30" s="1"/>
  <c r="C247" i="30" s="1"/>
  <c r="C248" i="30" s="1"/>
  <c r="C249" i="30" s="1"/>
  <c r="C250" i="30" s="1"/>
  <c r="C251" i="30" s="1"/>
  <c r="C252" i="30" s="1"/>
  <c r="C253" i="30" s="1"/>
  <c r="C254" i="30" s="1"/>
  <c r="C255" i="30" s="1"/>
  <c r="C256" i="30" s="1"/>
  <c r="C257" i="30" s="1"/>
  <c r="C258" i="30" s="1"/>
  <c r="C259" i="30" s="1"/>
  <c r="C260" i="30" s="1"/>
  <c r="C261" i="30" s="1"/>
  <c r="C262" i="30" s="1"/>
  <c r="C263" i="30" s="1"/>
  <c r="C264" i="30" s="1"/>
  <c r="C265" i="30" s="1"/>
  <c r="C266" i="30" s="1"/>
  <c r="C267" i="30" s="1"/>
  <c r="C268" i="30" s="1"/>
  <c r="C269" i="30" s="1"/>
  <c r="C270" i="30" s="1"/>
  <c r="C271" i="30" s="1"/>
  <c r="C272" i="30" s="1"/>
  <c r="C273" i="30" s="1"/>
  <c r="C274" i="30" s="1"/>
  <c r="C275" i="30" s="1"/>
  <c r="C276" i="30" s="1"/>
  <c r="C277" i="30" s="1"/>
  <c r="C278" i="30" s="1"/>
  <c r="C279" i="30" s="1"/>
  <c r="C280" i="30" s="1"/>
  <c r="C281" i="30" s="1"/>
  <c r="C282" i="30" s="1"/>
  <c r="C283" i="30" s="1"/>
  <c r="C284" i="30" s="1"/>
  <c r="C285" i="30" s="1"/>
  <c r="C286" i="30" s="1"/>
  <c r="C287" i="30" s="1"/>
  <c r="C288" i="30" s="1"/>
  <c r="C289" i="30" s="1"/>
  <c r="C290" i="30" s="1"/>
  <c r="C291" i="30" s="1"/>
  <c r="C292" i="30" s="1"/>
  <c r="C293" i="30" s="1"/>
  <c r="C294" i="30" s="1"/>
  <c r="C295" i="30" s="1"/>
  <c r="C296" i="30" s="1"/>
  <c r="C297" i="30" s="1"/>
  <c r="C298" i="30" s="1"/>
  <c r="C299" i="30" s="1"/>
  <c r="C300" i="30" s="1"/>
  <c r="C301" i="30" s="1"/>
  <c r="C302" i="30" s="1"/>
  <c r="C303" i="30" s="1"/>
  <c r="C304" i="30" s="1"/>
  <c r="C305" i="30" s="1"/>
  <c r="C306" i="30" s="1"/>
  <c r="C307" i="30" s="1"/>
  <c r="C308" i="30" s="1"/>
  <c r="C309" i="30" s="1"/>
  <c r="C310" i="30" s="1"/>
  <c r="C311" i="30" s="1"/>
  <c r="C312" i="30" s="1"/>
  <c r="C313" i="30" s="1"/>
  <c r="C314" i="30" s="1"/>
  <c r="C315" i="30" s="1"/>
  <c r="C316" i="30" s="1"/>
  <c r="C317" i="30" s="1"/>
  <c r="C318" i="30" s="1"/>
  <c r="C319" i="30" s="1"/>
  <c r="C320" i="30" s="1"/>
  <c r="C321" i="30" s="1"/>
  <c r="C322" i="30" s="1"/>
  <c r="C323" i="30" s="1"/>
  <c r="C324" i="30" s="1"/>
  <c r="C325" i="30" s="1"/>
  <c r="C326" i="30" s="1"/>
  <c r="C327" i="30" s="1"/>
  <c r="C328" i="30" s="1"/>
  <c r="C329" i="30" s="1"/>
  <c r="C330" i="30" s="1"/>
  <c r="C331" i="30" s="1"/>
  <c r="C332" i="30" s="1"/>
  <c r="C333" i="30" s="1"/>
  <c r="C334" i="30" s="1"/>
  <c r="C335" i="30" s="1"/>
  <c r="C336" i="30" s="1"/>
  <c r="C337" i="30" s="1"/>
  <c r="C338" i="30" s="1"/>
  <c r="C339" i="30" s="1"/>
  <c r="C340" i="30" s="1"/>
  <c r="C341" i="30" s="1"/>
  <c r="C342" i="30" s="1"/>
  <c r="C343" i="30" s="1"/>
  <c r="C344" i="30" s="1"/>
  <c r="C345" i="30" s="1"/>
  <c r="C346" i="30" s="1"/>
  <c r="C347" i="30" s="1"/>
  <c r="C348" i="30" s="1"/>
  <c r="C349" i="30" s="1"/>
  <c r="C350" i="30" s="1"/>
  <c r="C351" i="30" s="1"/>
  <c r="C352" i="30" s="1"/>
  <c r="C353" i="30" s="1"/>
  <c r="C354" i="30" s="1"/>
  <c r="C355" i="30" s="1"/>
  <c r="C356" i="30" s="1"/>
  <c r="C357" i="30" s="1"/>
  <c r="C358" i="30" s="1"/>
  <c r="C359" i="30" s="1"/>
  <c r="C360" i="30" s="1"/>
  <c r="C361" i="30" s="1"/>
  <c r="C362" i="30" s="1"/>
  <c r="C363" i="30" s="1"/>
  <c r="C364" i="30" s="1"/>
  <c r="C365" i="30" s="1"/>
  <c r="C366" i="30" s="1"/>
  <c r="C367" i="30" s="1"/>
  <c r="C368" i="30" s="1"/>
  <c r="C369" i="30" s="1"/>
  <c r="C370" i="30" s="1"/>
  <c r="C371" i="30" s="1"/>
  <c r="C372" i="30" s="1"/>
  <c r="C373" i="30" s="1"/>
  <c r="C374" i="30" s="1"/>
  <c r="C375" i="30" s="1"/>
  <c r="C376" i="30" s="1"/>
  <c r="C377" i="30" s="1"/>
  <c r="C378" i="30" s="1"/>
  <c r="C379" i="30" s="1"/>
  <c r="C380" i="30" s="1"/>
  <c r="C381" i="30" s="1"/>
  <c r="C382" i="30" s="1"/>
  <c r="C383" i="30" s="1"/>
  <c r="C384" i="30" s="1"/>
  <c r="C385" i="30" s="1"/>
  <c r="C386" i="30" s="1"/>
  <c r="C387" i="30" s="1"/>
  <c r="C388" i="30" s="1"/>
  <c r="C389" i="30" s="1"/>
  <c r="C390" i="30" s="1"/>
  <c r="C391" i="30" s="1"/>
  <c r="C392" i="30" s="1"/>
  <c r="C393" i="30" s="1"/>
  <c r="C394" i="30" s="1"/>
  <c r="C395" i="30" s="1"/>
  <c r="C396" i="30" s="1"/>
  <c r="C397" i="30" s="1"/>
  <c r="C398" i="30" s="1"/>
  <c r="C399" i="30" s="1"/>
  <c r="C400" i="30" s="1"/>
  <c r="C401" i="30" s="1"/>
  <c r="C402" i="30" s="1"/>
  <c r="C403" i="30" s="1"/>
  <c r="C404" i="30" s="1"/>
  <c r="C405" i="30" s="1"/>
  <c r="C406" i="30" s="1"/>
  <c r="C407" i="30" s="1"/>
  <c r="C408" i="30" s="1"/>
  <c r="C409" i="30" s="1"/>
  <c r="C410" i="30" s="1"/>
  <c r="C411" i="30" s="1"/>
  <c r="C412" i="30" s="1"/>
  <c r="C413" i="30" s="1"/>
  <c r="C414" i="30" s="1"/>
  <c r="C415" i="30" s="1"/>
  <c r="C416" i="30" s="1"/>
  <c r="C417" i="30" s="1"/>
  <c r="C418" i="30" s="1"/>
  <c r="C419" i="30" s="1"/>
  <c r="C420" i="30" s="1"/>
  <c r="C421" i="30" s="1"/>
  <c r="C422" i="30" s="1"/>
  <c r="C423" i="30" s="1"/>
  <c r="C424" i="30" s="1"/>
  <c r="C425" i="30" s="1"/>
  <c r="C426" i="30" s="1"/>
  <c r="C427" i="30" s="1"/>
  <c r="C428" i="30" s="1"/>
  <c r="C429" i="30" s="1"/>
  <c r="C430" i="30" s="1"/>
  <c r="C431" i="30" s="1"/>
  <c r="C432" i="30" s="1"/>
  <c r="C433" i="30" s="1"/>
  <c r="C434" i="30" s="1"/>
  <c r="C435" i="30" s="1"/>
  <c r="C436" i="30" s="1"/>
  <c r="C437" i="30" s="1"/>
  <c r="C438" i="30" s="1"/>
  <c r="C439" i="30" s="1"/>
  <c r="C440" i="30" s="1"/>
  <c r="C441" i="30" s="1"/>
  <c r="C442" i="30" s="1"/>
  <c r="C443" i="30" s="1"/>
  <c r="C444" i="30" s="1"/>
  <c r="C445" i="30" s="1"/>
  <c r="C446" i="30" s="1"/>
  <c r="C447" i="30" s="1"/>
  <c r="C448" i="30" s="1"/>
  <c r="C449" i="30" s="1"/>
  <c r="C450" i="30" s="1"/>
  <c r="C451" i="30" s="1"/>
  <c r="C452" i="30" s="1"/>
  <c r="C453" i="30" s="1"/>
  <c r="C454" i="30" s="1"/>
  <c r="C455" i="30" s="1"/>
  <c r="C456" i="30" s="1"/>
  <c r="C457" i="30" s="1"/>
  <c r="C458" i="30" s="1"/>
  <c r="C459" i="30" s="1"/>
  <c r="C460" i="30" s="1"/>
  <c r="C461" i="30" s="1"/>
  <c r="C462" i="30" s="1"/>
  <c r="C463" i="30" s="1"/>
  <c r="C464" i="30" s="1"/>
  <c r="C465" i="30" s="1"/>
  <c r="C466" i="30" s="1"/>
  <c r="C467" i="30" s="1"/>
  <c r="C468" i="30" s="1"/>
  <c r="C469" i="30" s="1"/>
  <c r="C470" i="30" s="1"/>
  <c r="C471" i="30" s="1"/>
  <c r="C472" i="30" s="1"/>
  <c r="C473" i="30" s="1"/>
  <c r="C474" i="30" s="1"/>
  <c r="C475" i="30" s="1"/>
  <c r="C476" i="30" s="1"/>
  <c r="C477" i="30" s="1"/>
  <c r="C478" i="30" s="1"/>
  <c r="C479" i="30" s="1"/>
  <c r="C480" i="30" s="1"/>
  <c r="C481" i="30" s="1"/>
  <c r="C482" i="30" s="1"/>
  <c r="C483" i="30" s="1"/>
  <c r="C484" i="30" s="1"/>
  <c r="C485" i="30" s="1"/>
  <c r="C486" i="30" s="1"/>
  <c r="C487" i="30" s="1"/>
  <c r="C488" i="30" s="1"/>
  <c r="C489" i="30" s="1"/>
  <c r="C490" i="30" s="1"/>
  <c r="C491" i="30" s="1"/>
  <c r="C492" i="30" s="1"/>
  <c r="C493" i="30" s="1"/>
  <c r="C494" i="30" s="1"/>
  <c r="C495" i="30" s="1"/>
  <c r="C496" i="30" s="1"/>
  <c r="C497" i="30" s="1"/>
  <c r="C498" i="30" s="1"/>
  <c r="C499" i="30" s="1"/>
  <c r="C500" i="30" s="1"/>
  <c r="C501" i="30" s="1"/>
  <c r="C502" i="30" s="1"/>
  <c r="C503" i="30" s="1"/>
  <c r="C504" i="30" s="1"/>
  <c r="C505" i="30" s="1"/>
  <c r="C506" i="30" s="1"/>
  <c r="C507" i="30" s="1"/>
  <c r="C508" i="30" s="1"/>
  <c r="C509" i="30" s="1"/>
  <c r="C510" i="30" s="1"/>
  <c r="C511" i="30" s="1"/>
  <c r="C512" i="30" s="1"/>
  <c r="C513" i="30" s="1"/>
  <c r="C514" i="30" s="1"/>
  <c r="C515" i="30" s="1"/>
  <c r="C516" i="30" s="1"/>
  <c r="C517" i="30" s="1"/>
  <c r="C518" i="30" s="1"/>
  <c r="C519" i="30" s="1"/>
  <c r="C520" i="30" s="1"/>
  <c r="C521" i="30" s="1"/>
  <c r="C522" i="30" s="1"/>
  <c r="C523" i="30" s="1"/>
  <c r="C524" i="30" s="1"/>
  <c r="C525" i="30" s="1"/>
  <c r="C526" i="30" s="1"/>
  <c r="C527" i="30" s="1"/>
  <c r="C528" i="30" s="1"/>
  <c r="C529" i="30" s="1"/>
  <c r="C530" i="30" s="1"/>
  <c r="C531" i="30" s="1"/>
  <c r="C532" i="30" s="1"/>
  <c r="C533" i="30" s="1"/>
  <c r="C534" i="30" s="1"/>
  <c r="C535" i="30" s="1"/>
  <c r="C536" i="30" s="1"/>
  <c r="C537" i="30" s="1"/>
  <c r="C538" i="30" s="1"/>
  <c r="C539" i="30" s="1"/>
  <c r="C540" i="30" s="1"/>
  <c r="C541" i="30" s="1"/>
  <c r="C542" i="30" s="1"/>
  <c r="C543" i="30" s="1"/>
  <c r="C544" i="30" s="1"/>
  <c r="C545" i="30" s="1"/>
  <c r="C546" i="30" s="1"/>
  <c r="C547" i="30" s="1"/>
  <c r="C548" i="30" s="1"/>
  <c r="C549" i="30" s="1"/>
  <c r="C550" i="30" s="1"/>
  <c r="C551" i="30" s="1"/>
  <c r="C552" i="30" s="1"/>
  <c r="C553" i="30" s="1"/>
  <c r="C554" i="30" s="1"/>
  <c r="C555" i="30" s="1"/>
  <c r="C556" i="30" s="1"/>
  <c r="C557" i="30" s="1"/>
  <c r="C558" i="30" s="1"/>
  <c r="C559" i="30" s="1"/>
  <c r="C560" i="30" s="1"/>
  <c r="C561" i="30" s="1"/>
  <c r="C562" i="30" s="1"/>
  <c r="C563" i="30" s="1"/>
  <c r="C564" i="30" s="1"/>
  <c r="C565" i="30" s="1"/>
  <c r="C566" i="30" s="1"/>
  <c r="C567" i="30" s="1"/>
  <c r="C568" i="30" s="1"/>
  <c r="B2" i="30"/>
  <c r="B3" i="30" s="1"/>
  <c r="B4" i="30" s="1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105" i="30" s="1"/>
  <c r="B106" i="30" s="1"/>
  <c r="B107" i="30" s="1"/>
  <c r="B108" i="30" s="1"/>
  <c r="B109" i="30" s="1"/>
  <c r="B110" i="30" s="1"/>
  <c r="B111" i="30" s="1"/>
  <c r="B112" i="30" s="1"/>
  <c r="B113" i="30" s="1"/>
  <c r="B114" i="30" s="1"/>
  <c r="B115" i="30" s="1"/>
  <c r="B116" i="30" s="1"/>
  <c r="B117" i="30" s="1"/>
  <c r="B118" i="30" s="1"/>
  <c r="B119" i="30" s="1"/>
  <c r="B120" i="30" s="1"/>
  <c r="B121" i="30" s="1"/>
  <c r="B122" i="30" s="1"/>
  <c r="B123" i="30" s="1"/>
  <c r="B124" i="30" s="1"/>
  <c r="B125" i="30" s="1"/>
  <c r="B126" i="30" s="1"/>
  <c r="B127" i="30" s="1"/>
  <c r="B128" i="30" s="1"/>
  <c r="B129" i="30" s="1"/>
  <c r="B130" i="30" s="1"/>
  <c r="B131" i="30" s="1"/>
  <c r="B132" i="30" s="1"/>
  <c r="B133" i="30" s="1"/>
  <c r="B134" i="30" s="1"/>
  <c r="B135" i="30" s="1"/>
  <c r="B136" i="30" s="1"/>
  <c r="B137" i="30" s="1"/>
  <c r="B138" i="30" s="1"/>
  <c r="B139" i="30" s="1"/>
  <c r="B140" i="30" s="1"/>
  <c r="B141" i="30" s="1"/>
  <c r="B142" i="30" s="1"/>
  <c r="B143" i="30" s="1"/>
  <c r="B144" i="30" s="1"/>
  <c r="B145" i="30" s="1"/>
  <c r="B146" i="30" s="1"/>
  <c r="B147" i="30" s="1"/>
  <c r="B148" i="30" s="1"/>
  <c r="B149" i="30" s="1"/>
  <c r="B150" i="30" s="1"/>
  <c r="B151" i="30" s="1"/>
  <c r="B152" i="30" s="1"/>
  <c r="B153" i="30" s="1"/>
  <c r="B154" i="30" s="1"/>
  <c r="B155" i="30" s="1"/>
  <c r="B156" i="30" s="1"/>
  <c r="B157" i="30" s="1"/>
  <c r="B158" i="30" s="1"/>
  <c r="B159" i="30" s="1"/>
  <c r="B160" i="30" s="1"/>
  <c r="B161" i="30" s="1"/>
  <c r="B162" i="30" s="1"/>
  <c r="B163" i="30" s="1"/>
  <c r="B164" i="30" s="1"/>
  <c r="B165" i="30" s="1"/>
  <c r="B166" i="30" s="1"/>
  <c r="B167" i="30" s="1"/>
  <c r="B168" i="30" s="1"/>
  <c r="B169" i="30" s="1"/>
  <c r="B170" i="30" s="1"/>
  <c r="B171" i="30" s="1"/>
  <c r="B172" i="30" s="1"/>
  <c r="B173" i="30" s="1"/>
  <c r="B174" i="30" s="1"/>
  <c r="B175" i="30" s="1"/>
  <c r="B176" i="30" s="1"/>
  <c r="B177" i="30" s="1"/>
  <c r="B178" i="30" s="1"/>
  <c r="B179" i="30" s="1"/>
  <c r="B180" i="30" s="1"/>
  <c r="B181" i="30" s="1"/>
  <c r="B182" i="30" s="1"/>
  <c r="B183" i="30" s="1"/>
  <c r="B184" i="30" s="1"/>
  <c r="B185" i="30" s="1"/>
  <c r="B186" i="30" s="1"/>
  <c r="B187" i="30" s="1"/>
  <c r="B188" i="30" s="1"/>
  <c r="B189" i="30" s="1"/>
  <c r="B190" i="30" s="1"/>
  <c r="B191" i="30" s="1"/>
  <c r="B192" i="30" s="1"/>
  <c r="B193" i="30" s="1"/>
  <c r="B194" i="30" s="1"/>
  <c r="B195" i="30" s="1"/>
  <c r="B196" i="30" s="1"/>
  <c r="B197" i="30" s="1"/>
  <c r="B198" i="30" s="1"/>
  <c r="B199" i="30" s="1"/>
  <c r="B200" i="30" s="1"/>
  <c r="B201" i="30" s="1"/>
  <c r="B202" i="30" s="1"/>
  <c r="B203" i="30" s="1"/>
  <c r="B204" i="30" s="1"/>
  <c r="B205" i="30" s="1"/>
  <c r="B206" i="30" s="1"/>
  <c r="B207" i="30" s="1"/>
  <c r="B208" i="30" s="1"/>
  <c r="B209" i="30" s="1"/>
  <c r="B210" i="30" s="1"/>
  <c r="B211" i="30" s="1"/>
  <c r="B212" i="30" s="1"/>
  <c r="B213" i="30" s="1"/>
  <c r="B214" i="30" s="1"/>
  <c r="B215" i="30" s="1"/>
  <c r="B216" i="30" s="1"/>
  <c r="B217" i="30" s="1"/>
  <c r="B218" i="30" s="1"/>
  <c r="B219" i="30" s="1"/>
  <c r="B220" i="30" s="1"/>
  <c r="B221" i="30" s="1"/>
  <c r="B222" i="30" s="1"/>
  <c r="B223" i="30" s="1"/>
  <c r="B224" i="30" s="1"/>
  <c r="B225" i="30" s="1"/>
  <c r="B226" i="30" s="1"/>
  <c r="B227" i="30" s="1"/>
  <c r="B228" i="30" s="1"/>
  <c r="B229" i="30" s="1"/>
  <c r="B230" i="30" s="1"/>
  <c r="B231" i="30" s="1"/>
  <c r="B232" i="30" s="1"/>
  <c r="B233" i="30" s="1"/>
  <c r="B234" i="30" s="1"/>
  <c r="B235" i="30" s="1"/>
  <c r="B236" i="30" s="1"/>
  <c r="B237" i="30" s="1"/>
  <c r="B238" i="30" s="1"/>
  <c r="B239" i="30" s="1"/>
  <c r="B240" i="30" s="1"/>
  <c r="B241" i="30" s="1"/>
  <c r="B242" i="30" s="1"/>
  <c r="B243" i="30" s="1"/>
  <c r="B244" i="30" s="1"/>
  <c r="B245" i="30" s="1"/>
  <c r="B246" i="30" s="1"/>
  <c r="B247" i="30" s="1"/>
  <c r="B248" i="30" s="1"/>
  <c r="B249" i="30" s="1"/>
  <c r="B250" i="30" s="1"/>
  <c r="B251" i="30" s="1"/>
  <c r="B252" i="30" s="1"/>
  <c r="B253" i="30" s="1"/>
  <c r="B254" i="30" s="1"/>
  <c r="B255" i="30" s="1"/>
  <c r="B256" i="30" s="1"/>
  <c r="B257" i="30" s="1"/>
  <c r="B258" i="30" s="1"/>
  <c r="B259" i="30" s="1"/>
  <c r="B260" i="30" s="1"/>
  <c r="B261" i="30" s="1"/>
  <c r="B262" i="30" s="1"/>
  <c r="B263" i="30" s="1"/>
  <c r="B264" i="30" s="1"/>
  <c r="B265" i="30" s="1"/>
  <c r="B266" i="30" s="1"/>
  <c r="B267" i="30" s="1"/>
  <c r="B268" i="30" s="1"/>
  <c r="B269" i="30" s="1"/>
  <c r="B270" i="30" s="1"/>
  <c r="B271" i="30" s="1"/>
  <c r="B272" i="30" s="1"/>
  <c r="B273" i="30" s="1"/>
  <c r="B274" i="30" s="1"/>
  <c r="B275" i="30" s="1"/>
  <c r="B276" i="30" s="1"/>
  <c r="B277" i="30" s="1"/>
  <c r="B278" i="30" s="1"/>
  <c r="B279" i="30" s="1"/>
  <c r="B280" i="30" s="1"/>
  <c r="B281" i="30" s="1"/>
  <c r="B282" i="30" s="1"/>
  <c r="B283" i="30" s="1"/>
  <c r="B284" i="30" s="1"/>
  <c r="B285" i="30" s="1"/>
  <c r="B286" i="30" s="1"/>
  <c r="B287" i="30" s="1"/>
  <c r="B288" i="30" s="1"/>
  <c r="B289" i="30" s="1"/>
  <c r="B290" i="30" s="1"/>
  <c r="B291" i="30" s="1"/>
  <c r="B292" i="30" s="1"/>
  <c r="B293" i="30" s="1"/>
  <c r="B294" i="30" s="1"/>
  <c r="B295" i="30" s="1"/>
  <c r="B296" i="30" s="1"/>
  <c r="B297" i="30" s="1"/>
  <c r="B298" i="30" s="1"/>
  <c r="B299" i="30" s="1"/>
  <c r="B300" i="30" s="1"/>
  <c r="B301" i="30" s="1"/>
  <c r="B302" i="30" s="1"/>
  <c r="B303" i="30" s="1"/>
  <c r="B304" i="30" s="1"/>
  <c r="B305" i="30" s="1"/>
  <c r="B306" i="30" s="1"/>
  <c r="B307" i="30" s="1"/>
  <c r="B308" i="30" s="1"/>
  <c r="B309" i="30" s="1"/>
  <c r="B310" i="30" s="1"/>
  <c r="B311" i="30" s="1"/>
  <c r="B312" i="30" s="1"/>
  <c r="B313" i="30" s="1"/>
  <c r="B314" i="30" s="1"/>
  <c r="B315" i="30" s="1"/>
  <c r="B316" i="30" s="1"/>
  <c r="B317" i="30" s="1"/>
  <c r="B318" i="30" s="1"/>
  <c r="B319" i="30" s="1"/>
  <c r="B320" i="30" s="1"/>
  <c r="B321" i="30" s="1"/>
  <c r="B322" i="30" s="1"/>
  <c r="B323" i="30" s="1"/>
  <c r="B324" i="30" s="1"/>
  <c r="B325" i="30" s="1"/>
  <c r="B326" i="30" s="1"/>
  <c r="B327" i="30" s="1"/>
  <c r="B328" i="30" s="1"/>
  <c r="B329" i="30" s="1"/>
  <c r="B330" i="30" s="1"/>
  <c r="B331" i="30" s="1"/>
  <c r="B332" i="30" s="1"/>
  <c r="B333" i="30" s="1"/>
  <c r="B334" i="30" s="1"/>
  <c r="B335" i="30" s="1"/>
  <c r="B336" i="30" s="1"/>
  <c r="B337" i="30" s="1"/>
  <c r="B338" i="30" s="1"/>
  <c r="B339" i="30" s="1"/>
  <c r="B340" i="30" s="1"/>
  <c r="B341" i="30" s="1"/>
  <c r="B342" i="30" s="1"/>
  <c r="B343" i="30" s="1"/>
  <c r="B344" i="30" s="1"/>
  <c r="B345" i="30" s="1"/>
  <c r="B346" i="30" s="1"/>
  <c r="B347" i="30" s="1"/>
  <c r="B348" i="30" s="1"/>
  <c r="B349" i="30" s="1"/>
  <c r="B350" i="30" s="1"/>
  <c r="B351" i="30" s="1"/>
  <c r="B352" i="30" s="1"/>
  <c r="B353" i="30" s="1"/>
  <c r="B354" i="30" s="1"/>
  <c r="B355" i="30" s="1"/>
  <c r="B356" i="30" s="1"/>
  <c r="B357" i="30" s="1"/>
  <c r="B358" i="30" s="1"/>
  <c r="B359" i="30" s="1"/>
  <c r="B360" i="30" s="1"/>
  <c r="B361" i="30" s="1"/>
  <c r="B362" i="30" s="1"/>
  <c r="B363" i="30" s="1"/>
  <c r="B364" i="30" s="1"/>
  <c r="B365" i="30" s="1"/>
  <c r="B366" i="30" s="1"/>
  <c r="B367" i="30" s="1"/>
  <c r="B368" i="30" s="1"/>
  <c r="B369" i="30" s="1"/>
  <c r="B370" i="30" s="1"/>
  <c r="B371" i="30" s="1"/>
  <c r="B372" i="30" s="1"/>
  <c r="B373" i="30" s="1"/>
  <c r="B374" i="30" s="1"/>
  <c r="B375" i="30" s="1"/>
  <c r="B376" i="30" s="1"/>
  <c r="B377" i="30" s="1"/>
  <c r="B378" i="30" s="1"/>
  <c r="B379" i="30" s="1"/>
  <c r="B380" i="30" s="1"/>
  <c r="B381" i="30" s="1"/>
  <c r="B382" i="30" s="1"/>
  <c r="B383" i="30" s="1"/>
  <c r="B384" i="30" s="1"/>
  <c r="B385" i="30" s="1"/>
  <c r="B386" i="30" s="1"/>
  <c r="B387" i="30" s="1"/>
  <c r="B388" i="30" s="1"/>
  <c r="B389" i="30" s="1"/>
  <c r="B390" i="30" s="1"/>
  <c r="B391" i="30" s="1"/>
  <c r="B392" i="30" s="1"/>
  <c r="B393" i="30" s="1"/>
  <c r="B394" i="30" s="1"/>
  <c r="B395" i="30" s="1"/>
  <c r="B396" i="30" s="1"/>
  <c r="B397" i="30" s="1"/>
  <c r="B398" i="30" s="1"/>
  <c r="B399" i="30" s="1"/>
  <c r="B400" i="30" s="1"/>
  <c r="B401" i="30" s="1"/>
  <c r="B402" i="30" s="1"/>
  <c r="B403" i="30" s="1"/>
  <c r="B404" i="30" s="1"/>
  <c r="B405" i="30" s="1"/>
  <c r="B406" i="30" s="1"/>
  <c r="B407" i="30" s="1"/>
  <c r="B408" i="30" s="1"/>
  <c r="B409" i="30" s="1"/>
  <c r="B410" i="30" s="1"/>
  <c r="B411" i="30" s="1"/>
  <c r="B412" i="30" s="1"/>
  <c r="B413" i="30" s="1"/>
  <c r="B414" i="30" s="1"/>
  <c r="B415" i="30" s="1"/>
  <c r="B416" i="30" s="1"/>
  <c r="B417" i="30" s="1"/>
  <c r="B418" i="30" s="1"/>
  <c r="B419" i="30" s="1"/>
  <c r="B420" i="30" s="1"/>
  <c r="B421" i="30" s="1"/>
  <c r="B422" i="30" s="1"/>
  <c r="B423" i="30" s="1"/>
  <c r="B424" i="30" s="1"/>
  <c r="B425" i="30" s="1"/>
  <c r="B426" i="30" s="1"/>
  <c r="B427" i="30" s="1"/>
  <c r="B428" i="30" s="1"/>
  <c r="B429" i="30" s="1"/>
  <c r="B430" i="30" s="1"/>
  <c r="B431" i="30" s="1"/>
  <c r="B432" i="30" s="1"/>
  <c r="B433" i="30" s="1"/>
  <c r="B434" i="30" s="1"/>
  <c r="B435" i="30" s="1"/>
  <c r="B436" i="30" s="1"/>
  <c r="B437" i="30" s="1"/>
  <c r="B438" i="30" s="1"/>
  <c r="B439" i="30" s="1"/>
  <c r="B440" i="30" s="1"/>
  <c r="B441" i="30" s="1"/>
  <c r="B442" i="30" s="1"/>
  <c r="B443" i="30" s="1"/>
  <c r="B444" i="30" s="1"/>
  <c r="B445" i="30" s="1"/>
  <c r="B446" i="30" s="1"/>
  <c r="B447" i="30" s="1"/>
  <c r="B448" i="30" s="1"/>
  <c r="B449" i="30" s="1"/>
  <c r="B450" i="30" s="1"/>
  <c r="B451" i="30" s="1"/>
  <c r="B452" i="30" s="1"/>
  <c r="B453" i="30" s="1"/>
  <c r="B454" i="30" s="1"/>
  <c r="B455" i="30" s="1"/>
  <c r="B456" i="30" s="1"/>
  <c r="B457" i="30" s="1"/>
  <c r="B458" i="30" s="1"/>
  <c r="B459" i="30" s="1"/>
  <c r="B460" i="30" s="1"/>
  <c r="B461" i="30" s="1"/>
  <c r="B462" i="30" s="1"/>
  <c r="B463" i="30" s="1"/>
  <c r="B464" i="30" s="1"/>
  <c r="B465" i="30" s="1"/>
  <c r="B466" i="30" s="1"/>
  <c r="B467" i="30" s="1"/>
  <c r="B468" i="30" s="1"/>
  <c r="B469" i="30" s="1"/>
  <c r="B470" i="30" s="1"/>
  <c r="B471" i="30" s="1"/>
  <c r="B472" i="30" s="1"/>
  <c r="B473" i="30" s="1"/>
  <c r="B474" i="30" s="1"/>
  <c r="B475" i="30" s="1"/>
  <c r="B476" i="30" s="1"/>
  <c r="B477" i="30" s="1"/>
  <c r="B478" i="30" s="1"/>
  <c r="B479" i="30" s="1"/>
  <c r="B480" i="30" s="1"/>
  <c r="B481" i="30" s="1"/>
  <c r="B482" i="30" s="1"/>
  <c r="B483" i="30" s="1"/>
  <c r="B484" i="30" s="1"/>
  <c r="B485" i="30" s="1"/>
  <c r="B486" i="30" s="1"/>
  <c r="B487" i="30" s="1"/>
  <c r="B488" i="30" s="1"/>
  <c r="B489" i="30" s="1"/>
  <c r="B490" i="30" s="1"/>
  <c r="B491" i="30" s="1"/>
  <c r="B492" i="30" s="1"/>
  <c r="B493" i="30" s="1"/>
  <c r="B494" i="30" s="1"/>
  <c r="B495" i="30" s="1"/>
  <c r="B496" i="30" s="1"/>
  <c r="B497" i="30" s="1"/>
  <c r="B498" i="30" s="1"/>
  <c r="B499" i="30" s="1"/>
  <c r="B500" i="30" s="1"/>
  <c r="B501" i="30" s="1"/>
  <c r="B502" i="30" s="1"/>
  <c r="B503" i="30" s="1"/>
  <c r="B504" i="30" s="1"/>
  <c r="B505" i="30" s="1"/>
  <c r="B506" i="30" s="1"/>
  <c r="B507" i="30" s="1"/>
  <c r="B508" i="30" s="1"/>
  <c r="B509" i="30" s="1"/>
  <c r="B510" i="30" s="1"/>
  <c r="B511" i="30" s="1"/>
  <c r="B512" i="30" s="1"/>
  <c r="B513" i="30" s="1"/>
  <c r="B514" i="30" s="1"/>
  <c r="B515" i="30" s="1"/>
  <c r="B516" i="30" s="1"/>
  <c r="B517" i="30" s="1"/>
  <c r="B518" i="30" s="1"/>
  <c r="B519" i="30" s="1"/>
  <c r="B520" i="30" s="1"/>
  <c r="B521" i="30" s="1"/>
  <c r="B522" i="30" s="1"/>
  <c r="B523" i="30" s="1"/>
  <c r="B524" i="30" s="1"/>
  <c r="B525" i="30" s="1"/>
  <c r="B526" i="30" s="1"/>
  <c r="B527" i="30" s="1"/>
  <c r="B528" i="30" s="1"/>
  <c r="B529" i="30" s="1"/>
  <c r="B530" i="30" s="1"/>
  <c r="B531" i="30" s="1"/>
  <c r="B532" i="30" s="1"/>
  <c r="B533" i="30" s="1"/>
  <c r="B534" i="30" s="1"/>
  <c r="B535" i="30" s="1"/>
  <c r="B536" i="30" s="1"/>
  <c r="B537" i="30" s="1"/>
  <c r="B538" i="30" s="1"/>
  <c r="B539" i="30" s="1"/>
  <c r="B540" i="30" s="1"/>
  <c r="B541" i="30" s="1"/>
  <c r="B542" i="30" s="1"/>
  <c r="B543" i="30" s="1"/>
  <c r="B544" i="30" s="1"/>
  <c r="B545" i="30" s="1"/>
  <c r="B546" i="30" s="1"/>
  <c r="B547" i="30" s="1"/>
  <c r="B548" i="30" s="1"/>
  <c r="B549" i="30" s="1"/>
  <c r="B550" i="30" s="1"/>
  <c r="B551" i="30" s="1"/>
  <c r="B552" i="30" s="1"/>
  <c r="B553" i="30" s="1"/>
  <c r="B554" i="30" s="1"/>
  <c r="B555" i="30" s="1"/>
  <c r="B556" i="30" s="1"/>
  <c r="B557" i="30" s="1"/>
  <c r="B558" i="30" s="1"/>
  <c r="B559" i="30" s="1"/>
  <c r="B560" i="30" s="1"/>
  <c r="B561" i="30" s="1"/>
  <c r="B562" i="30" s="1"/>
  <c r="B563" i="30" s="1"/>
  <c r="B564" i="30" s="1"/>
  <c r="B565" i="30" s="1"/>
  <c r="B566" i="30" s="1"/>
  <c r="B567" i="30" s="1"/>
  <c r="B568" i="30" s="1"/>
  <c r="C2" i="25" l="1"/>
  <c r="B2" i="25"/>
  <c r="C2" i="3"/>
  <c r="B2" i="3"/>
  <c r="C2" i="2"/>
  <c r="B2" i="2"/>
  <c r="O2" i="25" l="1"/>
  <c r="C3" i="1" l="1"/>
  <c r="C3" i="41" s="1"/>
  <c r="C21" i="41" s="1"/>
  <c r="B3" i="1"/>
  <c r="C4" i="1" l="1"/>
  <c r="C4" i="41" s="1"/>
  <c r="C22" i="41" s="1"/>
  <c r="B4" i="1"/>
  <c r="C3" i="25"/>
  <c r="B3" i="25"/>
  <c r="C3" i="3"/>
  <c r="B3" i="3"/>
  <c r="C3" i="2"/>
  <c r="B3" i="2"/>
  <c r="C5" i="1" l="1"/>
  <c r="C5" i="41" s="1"/>
  <c r="C23" i="41" s="1"/>
  <c r="B5" i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67" i="25" s="1"/>
  <c r="B268" i="25" s="1"/>
  <c r="B269" i="25" s="1"/>
  <c r="B270" i="25" s="1"/>
  <c r="B271" i="25" s="1"/>
  <c r="B272" i="25" s="1"/>
  <c r="B273" i="25" s="1"/>
  <c r="B274" i="25" s="1"/>
  <c r="B275" i="25" s="1"/>
  <c r="B276" i="25" s="1"/>
  <c r="B277" i="25" s="1"/>
  <c r="B278" i="25" s="1"/>
  <c r="B279" i="25" s="1"/>
  <c r="B280" i="25" s="1"/>
  <c r="B281" i="25" s="1"/>
  <c r="B282" i="25" s="1"/>
  <c r="B283" i="25" s="1"/>
  <c r="B284" i="25" s="1"/>
  <c r="B285" i="25" s="1"/>
  <c r="B286" i="25" s="1"/>
  <c r="B287" i="25" s="1"/>
  <c r="B288" i="25" s="1"/>
  <c r="B289" i="25" s="1"/>
  <c r="B290" i="25" s="1"/>
  <c r="B291" i="25" s="1"/>
  <c r="B292" i="25" s="1"/>
  <c r="B293" i="25" s="1"/>
  <c r="B294" i="25" s="1"/>
  <c r="B295" i="25" s="1"/>
  <c r="B296" i="25" s="1"/>
  <c r="B297" i="25" s="1"/>
  <c r="B298" i="25" s="1"/>
  <c r="B299" i="25" s="1"/>
  <c r="B300" i="25" s="1"/>
  <c r="B301" i="25" s="1"/>
  <c r="B302" i="25" s="1"/>
  <c r="B303" i="25" s="1"/>
  <c r="B304" i="25" s="1"/>
  <c r="B305" i="25" s="1"/>
  <c r="B306" i="25" s="1"/>
  <c r="B307" i="25" s="1"/>
  <c r="B308" i="25" s="1"/>
  <c r="B309" i="25" s="1"/>
  <c r="B310" i="25" s="1"/>
  <c r="B311" i="25" s="1"/>
  <c r="B312" i="25" s="1"/>
  <c r="B313" i="25" s="1"/>
  <c r="B314" i="25" s="1"/>
  <c r="B315" i="25" s="1"/>
  <c r="B316" i="25" s="1"/>
  <c r="B317" i="25" s="1"/>
  <c r="B318" i="25" s="1"/>
  <c r="B319" i="25" s="1"/>
  <c r="B320" i="25" s="1"/>
  <c r="B321" i="25" s="1"/>
  <c r="B322" i="25" s="1"/>
  <c r="B323" i="25" s="1"/>
  <c r="B324" i="25" s="1"/>
  <c r="B325" i="25" s="1"/>
  <c r="B326" i="25" s="1"/>
  <c r="B327" i="25" s="1"/>
  <c r="B328" i="25" s="1"/>
  <c r="B329" i="25" s="1"/>
  <c r="B330" i="25" s="1"/>
  <c r="B331" i="25" s="1"/>
  <c r="B332" i="25" s="1"/>
  <c r="B333" i="25" s="1"/>
  <c r="B334" i="25" s="1"/>
  <c r="B335" i="25" s="1"/>
  <c r="B336" i="25" s="1"/>
  <c r="B337" i="25" s="1"/>
  <c r="B338" i="25" s="1"/>
  <c r="B339" i="25" s="1"/>
  <c r="B340" i="25" s="1"/>
  <c r="B341" i="25" s="1"/>
  <c r="B342" i="25" s="1"/>
  <c r="B343" i="25" s="1"/>
  <c r="B344" i="25" s="1"/>
  <c r="B345" i="25" s="1"/>
  <c r="B346" i="25" s="1"/>
  <c r="B347" i="25" s="1"/>
  <c r="B348" i="25" s="1"/>
  <c r="B349" i="25" s="1"/>
  <c r="B350" i="25" s="1"/>
  <c r="B351" i="25" s="1"/>
  <c r="B352" i="25" s="1"/>
  <c r="B353" i="25" s="1"/>
  <c r="B354" i="25" s="1"/>
  <c r="B355" i="25" s="1"/>
  <c r="B356" i="25" s="1"/>
  <c r="B357" i="25" s="1"/>
  <c r="B358" i="25" s="1"/>
  <c r="B359" i="25" s="1"/>
  <c r="B360" i="25" s="1"/>
  <c r="B361" i="25" s="1"/>
  <c r="B362" i="25" s="1"/>
  <c r="B363" i="25" s="1"/>
  <c r="B364" i="25" s="1"/>
  <c r="B365" i="25" s="1"/>
  <c r="B366" i="25" s="1"/>
  <c r="B367" i="25" s="1"/>
  <c r="B368" i="25" s="1"/>
  <c r="B369" i="25" s="1"/>
  <c r="B370" i="25" s="1"/>
  <c r="B371" i="25" s="1"/>
  <c r="B372" i="25" s="1"/>
  <c r="B373" i="25" s="1"/>
  <c r="B374" i="25" s="1"/>
  <c r="B375" i="25" s="1"/>
  <c r="B376" i="25" s="1"/>
  <c r="B377" i="25" s="1"/>
  <c r="B378" i="25" s="1"/>
  <c r="B379" i="25" s="1"/>
  <c r="B380" i="25" s="1"/>
  <c r="B381" i="25" s="1"/>
  <c r="B382" i="25" s="1"/>
  <c r="B383" i="25" s="1"/>
  <c r="B384" i="25" s="1"/>
  <c r="B385" i="25" s="1"/>
  <c r="B386" i="25" s="1"/>
  <c r="B387" i="25" s="1"/>
  <c r="B388" i="25" s="1"/>
  <c r="B389" i="25" s="1"/>
  <c r="B390" i="25" s="1"/>
  <c r="B391" i="25" s="1"/>
  <c r="B392" i="25" s="1"/>
  <c r="B393" i="25" s="1"/>
  <c r="B394" i="25" s="1"/>
  <c r="B395" i="25" s="1"/>
  <c r="B396" i="25" s="1"/>
  <c r="B397" i="25" s="1"/>
  <c r="B398" i="25" s="1"/>
  <c r="B399" i="25" s="1"/>
  <c r="B400" i="25" s="1"/>
  <c r="B401" i="25" s="1"/>
  <c r="B402" i="25" s="1"/>
  <c r="B403" i="25" s="1"/>
  <c r="B404" i="25" s="1"/>
  <c r="B405" i="25" s="1"/>
  <c r="B406" i="25" s="1"/>
  <c r="B407" i="25" s="1"/>
  <c r="B408" i="25" s="1"/>
  <c r="B409" i="25" s="1"/>
  <c r="B410" i="25" s="1"/>
  <c r="B411" i="25" s="1"/>
  <c r="B412" i="25" s="1"/>
  <c r="B413" i="25" s="1"/>
  <c r="B414" i="25" s="1"/>
  <c r="B415" i="25" s="1"/>
  <c r="B416" i="25" s="1"/>
  <c r="B417" i="25" s="1"/>
  <c r="B418" i="25" s="1"/>
  <c r="B419" i="25" s="1"/>
  <c r="B420" i="25" s="1"/>
  <c r="B421" i="25" s="1"/>
  <c r="B422" i="25" s="1"/>
  <c r="B423" i="25" s="1"/>
  <c r="B424" i="25" s="1"/>
  <c r="B425" i="25" s="1"/>
  <c r="B426" i="25" s="1"/>
  <c r="B427" i="25" s="1"/>
  <c r="B428" i="25" s="1"/>
  <c r="B429" i="25" s="1"/>
  <c r="B430" i="25" s="1"/>
  <c r="B431" i="25" s="1"/>
  <c r="B432" i="25" s="1"/>
  <c r="B433" i="25" s="1"/>
  <c r="B434" i="25" s="1"/>
  <c r="B435" i="25" s="1"/>
  <c r="B436" i="25" s="1"/>
  <c r="B437" i="25" s="1"/>
  <c r="B438" i="25" s="1"/>
  <c r="B439" i="25" s="1"/>
  <c r="B440" i="25" s="1"/>
  <c r="B441" i="25" s="1"/>
  <c r="B442" i="25" s="1"/>
  <c r="B443" i="25" s="1"/>
  <c r="B444" i="25" s="1"/>
  <c r="B445" i="25" s="1"/>
  <c r="B446" i="25" s="1"/>
  <c r="B447" i="25" s="1"/>
  <c r="B448" i="25" s="1"/>
  <c r="B449" i="25" s="1"/>
  <c r="B450" i="25" s="1"/>
  <c r="B451" i="25" s="1"/>
  <c r="B452" i="25" s="1"/>
  <c r="B453" i="25" s="1"/>
  <c r="B454" i="25" s="1"/>
  <c r="B455" i="25" s="1"/>
  <c r="B456" i="25" s="1"/>
  <c r="B457" i="25" s="1"/>
  <c r="B458" i="25" s="1"/>
  <c r="B459" i="25" s="1"/>
  <c r="B460" i="25" s="1"/>
  <c r="B461" i="25" s="1"/>
  <c r="B462" i="25" s="1"/>
  <c r="B463" i="25" s="1"/>
  <c r="B464" i="25" s="1"/>
  <c r="B465" i="25" s="1"/>
  <c r="B466" i="25" s="1"/>
  <c r="B467" i="25" s="1"/>
  <c r="B468" i="25" s="1"/>
  <c r="B469" i="25" s="1"/>
  <c r="B470" i="25" s="1"/>
  <c r="B471" i="25" s="1"/>
  <c r="B472" i="25" s="1"/>
  <c r="B473" i="25" s="1"/>
  <c r="B474" i="25" s="1"/>
  <c r="B475" i="25" s="1"/>
  <c r="B476" i="25" s="1"/>
  <c r="B477" i="25" s="1"/>
  <c r="B478" i="25" s="1"/>
  <c r="B479" i="25" s="1"/>
  <c r="B480" i="25" s="1"/>
  <c r="B481" i="25" s="1"/>
  <c r="B482" i="25" s="1"/>
  <c r="B483" i="25" s="1"/>
  <c r="B484" i="25" s="1"/>
  <c r="B485" i="25" s="1"/>
  <c r="B486" i="25" s="1"/>
  <c r="B487" i="25" s="1"/>
  <c r="B488" i="25" s="1"/>
  <c r="B489" i="25" s="1"/>
  <c r="B490" i="25" s="1"/>
  <c r="B491" i="25" s="1"/>
  <c r="B492" i="25" s="1"/>
  <c r="B493" i="25" s="1"/>
  <c r="B494" i="25" s="1"/>
  <c r="B495" i="25" s="1"/>
  <c r="B496" i="25" s="1"/>
  <c r="B497" i="25" s="1"/>
  <c r="B498" i="25" s="1"/>
  <c r="B499" i="25" s="1"/>
  <c r="B500" i="25" s="1"/>
  <c r="B501" i="25" s="1"/>
  <c r="B502" i="25" s="1"/>
  <c r="B503" i="25" s="1"/>
  <c r="B504" i="25" s="1"/>
  <c r="B505" i="25" s="1"/>
  <c r="B506" i="25" s="1"/>
  <c r="B507" i="25" s="1"/>
  <c r="B508" i="25" s="1"/>
  <c r="B509" i="25" s="1"/>
  <c r="B510" i="25" s="1"/>
  <c r="B511" i="25" s="1"/>
  <c r="B512" i="25" s="1"/>
  <c r="B513" i="25" s="1"/>
  <c r="B514" i="25" s="1"/>
  <c r="B515" i="25" s="1"/>
  <c r="B516" i="25" s="1"/>
  <c r="B517" i="25" s="1"/>
  <c r="B518" i="25" s="1"/>
  <c r="B519" i="25" s="1"/>
  <c r="B520" i="25" s="1"/>
  <c r="B521" i="25" s="1"/>
  <c r="B522" i="25" s="1"/>
  <c r="B523" i="25" s="1"/>
  <c r="B524" i="25" s="1"/>
  <c r="B525" i="25" s="1"/>
  <c r="B526" i="25" s="1"/>
  <c r="B527" i="25" s="1"/>
  <c r="B528" i="25" s="1"/>
  <c r="B529" i="25" s="1"/>
  <c r="B530" i="25" s="1"/>
  <c r="B531" i="25" s="1"/>
  <c r="B532" i="25" s="1"/>
  <c r="B533" i="25" s="1"/>
  <c r="B534" i="25" s="1"/>
  <c r="B535" i="25" s="1"/>
  <c r="B536" i="25" s="1"/>
  <c r="B537" i="25" s="1"/>
  <c r="B538" i="25" s="1"/>
  <c r="B539" i="25" s="1"/>
  <c r="B540" i="25" s="1"/>
  <c r="B541" i="25" s="1"/>
  <c r="B542" i="25" s="1"/>
  <c r="B543" i="25" s="1"/>
  <c r="B544" i="25" s="1"/>
  <c r="B545" i="25" s="1"/>
  <c r="B546" i="25" s="1"/>
  <c r="B547" i="25" s="1"/>
  <c r="B548" i="25" s="1"/>
  <c r="B549" i="25" s="1"/>
  <c r="B550" i="25" s="1"/>
  <c r="B551" i="25" s="1"/>
  <c r="B552" i="25" s="1"/>
  <c r="B553" i="25" s="1"/>
  <c r="B554" i="25" s="1"/>
  <c r="B555" i="25" s="1"/>
  <c r="B556" i="25" s="1"/>
  <c r="B557" i="25" s="1"/>
  <c r="B558" i="25" s="1"/>
  <c r="B559" i="25" s="1"/>
  <c r="B560" i="25" s="1"/>
  <c r="B561" i="25" s="1"/>
  <c r="B562" i="25" s="1"/>
  <c r="B563" i="25" s="1"/>
  <c r="B564" i="25" s="1"/>
  <c r="B565" i="25" s="1"/>
  <c r="B566" i="25" s="1"/>
  <c r="B567" i="25" s="1"/>
  <c r="B568" i="25" s="1"/>
  <c r="B569" i="25" s="1"/>
  <c r="B570" i="25" s="1"/>
  <c r="B571" i="25" s="1"/>
  <c r="B572" i="25" s="1"/>
  <c r="B573" i="25" s="1"/>
  <c r="B574" i="25" s="1"/>
  <c r="B575" i="25" s="1"/>
  <c r="B576" i="25" s="1"/>
  <c r="B577" i="25" s="1"/>
  <c r="B578" i="25" s="1"/>
  <c r="B579" i="25" s="1"/>
  <c r="B580" i="25" s="1"/>
  <c r="B581" i="25" s="1"/>
  <c r="B582" i="25" s="1"/>
  <c r="B583" i="25" s="1"/>
  <c r="B584" i="25" s="1"/>
  <c r="B585" i="25" s="1"/>
  <c r="B586" i="25" s="1"/>
  <c r="B587" i="25" s="1"/>
  <c r="B588" i="25" s="1"/>
  <c r="B589" i="25" s="1"/>
  <c r="B590" i="25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18" i="25" s="1"/>
  <c r="A319" i="25" s="1"/>
  <c r="A320" i="25" s="1"/>
  <c r="A321" i="25" s="1"/>
  <c r="A322" i="25" s="1"/>
  <c r="A323" i="25" s="1"/>
  <c r="A324" i="25" s="1"/>
  <c r="A325" i="25" s="1"/>
  <c r="A326" i="25" s="1"/>
  <c r="A327" i="25" s="1"/>
  <c r="A328" i="25" s="1"/>
  <c r="A329" i="25" s="1"/>
  <c r="A330" i="25" s="1"/>
  <c r="A331" i="25" s="1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56" i="25" s="1"/>
  <c r="A357" i="25" s="1"/>
  <c r="A358" i="25" s="1"/>
  <c r="A359" i="25" s="1"/>
  <c r="A360" i="25" s="1"/>
  <c r="A361" i="25" s="1"/>
  <c r="A362" i="25" s="1"/>
  <c r="A363" i="25" s="1"/>
  <c r="A364" i="25" s="1"/>
  <c r="A365" i="25" s="1"/>
  <c r="A366" i="25" s="1"/>
  <c r="A367" i="25" s="1"/>
  <c r="A368" i="25" s="1"/>
  <c r="A369" i="25" s="1"/>
  <c r="A370" i="25" s="1"/>
  <c r="A371" i="25" s="1"/>
  <c r="A372" i="25" s="1"/>
  <c r="A373" i="25" s="1"/>
  <c r="A374" i="25" s="1"/>
  <c r="A375" i="25" s="1"/>
  <c r="A376" i="25" s="1"/>
  <c r="A377" i="25" s="1"/>
  <c r="A378" i="25" s="1"/>
  <c r="A379" i="25" s="1"/>
  <c r="A380" i="25" s="1"/>
  <c r="A381" i="25" s="1"/>
  <c r="A382" i="25" s="1"/>
  <c r="A383" i="25" s="1"/>
  <c r="A384" i="25" s="1"/>
  <c r="A385" i="25" s="1"/>
  <c r="A386" i="25" s="1"/>
  <c r="A387" i="25" s="1"/>
  <c r="A388" i="25" s="1"/>
  <c r="A389" i="25" s="1"/>
  <c r="A390" i="25" s="1"/>
  <c r="A391" i="25" s="1"/>
  <c r="A392" i="25" s="1"/>
  <c r="A393" i="25" s="1"/>
  <c r="A394" i="25" s="1"/>
  <c r="A395" i="25" s="1"/>
  <c r="A396" i="25" s="1"/>
  <c r="A397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0" i="25" s="1"/>
  <c r="A411" i="25" s="1"/>
  <c r="A412" i="25" s="1"/>
  <c r="A413" i="25" s="1"/>
  <c r="A414" i="25" s="1"/>
  <c r="A415" i="25" s="1"/>
  <c r="A416" i="25" s="1"/>
  <c r="A417" i="25" s="1"/>
  <c r="A418" i="25" s="1"/>
  <c r="A419" i="25" s="1"/>
  <c r="A420" i="25" s="1"/>
  <c r="A421" i="25" s="1"/>
  <c r="A422" i="25" s="1"/>
  <c r="A423" i="25" s="1"/>
  <c r="A424" i="25" s="1"/>
  <c r="A425" i="25" s="1"/>
  <c r="A426" i="25" s="1"/>
  <c r="A427" i="25" s="1"/>
  <c r="A428" i="25" s="1"/>
  <c r="A429" i="25" s="1"/>
  <c r="A430" i="25" s="1"/>
  <c r="A431" i="25" s="1"/>
  <c r="A432" i="25" s="1"/>
  <c r="A433" i="25" s="1"/>
  <c r="A434" i="25" s="1"/>
  <c r="A435" i="25" s="1"/>
  <c r="A436" i="25" s="1"/>
  <c r="A437" i="25" s="1"/>
  <c r="A438" i="25" s="1"/>
  <c r="A439" i="25" s="1"/>
  <c r="A440" i="25" s="1"/>
  <c r="A441" i="25" s="1"/>
  <c r="A442" i="25" s="1"/>
  <c r="A443" i="25" s="1"/>
  <c r="A444" i="25" s="1"/>
  <c r="A445" i="25" s="1"/>
  <c r="A446" i="25" s="1"/>
  <c r="A447" i="25" s="1"/>
  <c r="A448" i="25" s="1"/>
  <c r="A449" i="25" s="1"/>
  <c r="A450" i="25" s="1"/>
  <c r="A451" i="25" s="1"/>
  <c r="A452" i="25" s="1"/>
  <c r="A453" i="25" s="1"/>
  <c r="A454" i="25" s="1"/>
  <c r="A455" i="25" s="1"/>
  <c r="A456" i="25" s="1"/>
  <c r="A457" i="25" s="1"/>
  <c r="A458" i="25" s="1"/>
  <c r="A459" i="25" s="1"/>
  <c r="A460" i="25" s="1"/>
  <c r="A461" i="25" s="1"/>
  <c r="A462" i="25" s="1"/>
  <c r="A463" i="25" s="1"/>
  <c r="A464" i="25" s="1"/>
  <c r="A465" i="25" s="1"/>
  <c r="A466" i="25" s="1"/>
  <c r="A467" i="25" s="1"/>
  <c r="A468" i="25" s="1"/>
  <c r="A469" i="25" s="1"/>
  <c r="A470" i="25" s="1"/>
  <c r="A471" i="25" s="1"/>
  <c r="A472" i="25" s="1"/>
  <c r="A473" i="25" s="1"/>
  <c r="A474" i="25" s="1"/>
  <c r="A475" i="25" s="1"/>
  <c r="A476" i="25" s="1"/>
  <c r="A477" i="25" s="1"/>
  <c r="A478" i="25" s="1"/>
  <c r="A479" i="25" s="1"/>
  <c r="A480" i="25" s="1"/>
  <c r="A481" i="25" s="1"/>
  <c r="A482" i="25" s="1"/>
  <c r="A483" i="25" s="1"/>
  <c r="A484" i="25" s="1"/>
  <c r="A485" i="25" s="1"/>
  <c r="A486" i="25" s="1"/>
  <c r="A487" i="25" s="1"/>
  <c r="A488" i="25" s="1"/>
  <c r="A489" i="25" s="1"/>
  <c r="A490" i="25" s="1"/>
  <c r="A491" i="25" s="1"/>
  <c r="A492" i="25" s="1"/>
  <c r="A493" i="25" s="1"/>
  <c r="A494" i="25" s="1"/>
  <c r="A495" i="25" s="1"/>
  <c r="A496" i="25" s="1"/>
  <c r="A497" i="25" s="1"/>
  <c r="A498" i="25" s="1"/>
  <c r="A499" i="25" s="1"/>
  <c r="A500" i="25" s="1"/>
  <c r="A501" i="25" s="1"/>
  <c r="A502" i="25" s="1"/>
  <c r="A503" i="25" s="1"/>
  <c r="A504" i="25" s="1"/>
  <c r="A505" i="25" s="1"/>
  <c r="A506" i="25" s="1"/>
  <c r="A507" i="25" s="1"/>
  <c r="A508" i="25" s="1"/>
  <c r="A509" i="25" s="1"/>
  <c r="A510" i="25" s="1"/>
  <c r="A511" i="25" s="1"/>
  <c r="A512" i="25" s="1"/>
  <c r="A513" i="25" s="1"/>
  <c r="A514" i="25" s="1"/>
  <c r="A515" i="25" s="1"/>
  <c r="A516" i="25" s="1"/>
  <c r="A517" i="25" s="1"/>
  <c r="A518" i="25" s="1"/>
  <c r="A519" i="25" s="1"/>
  <c r="A520" i="25" s="1"/>
  <c r="A521" i="25" s="1"/>
  <c r="A522" i="25" s="1"/>
  <c r="A523" i="25" s="1"/>
  <c r="A524" i="25" s="1"/>
  <c r="A525" i="25" s="1"/>
  <c r="A526" i="25" s="1"/>
  <c r="A527" i="25" s="1"/>
  <c r="A528" i="25" s="1"/>
  <c r="A529" i="25" s="1"/>
  <c r="A530" i="25" s="1"/>
  <c r="A531" i="25" s="1"/>
  <c r="A532" i="25" s="1"/>
  <c r="A533" i="25" s="1"/>
  <c r="A534" i="25" s="1"/>
  <c r="A535" i="25" s="1"/>
  <c r="A536" i="25" s="1"/>
  <c r="A537" i="25" s="1"/>
  <c r="A538" i="25" s="1"/>
  <c r="A539" i="25" s="1"/>
  <c r="A540" i="25" s="1"/>
  <c r="A541" i="25" s="1"/>
  <c r="A542" i="25" s="1"/>
  <c r="A543" i="25" s="1"/>
  <c r="A544" i="25" s="1"/>
  <c r="A545" i="25" s="1"/>
  <c r="A546" i="25" s="1"/>
  <c r="A547" i="25" s="1"/>
  <c r="A548" i="25" s="1"/>
  <c r="A549" i="25" s="1"/>
  <c r="A550" i="25" s="1"/>
  <c r="A551" i="25" s="1"/>
  <c r="A552" i="25" s="1"/>
  <c r="A553" i="25" s="1"/>
  <c r="A554" i="25" s="1"/>
  <c r="A555" i="25" s="1"/>
  <c r="A556" i="25" s="1"/>
  <c r="A557" i="25" s="1"/>
  <c r="A558" i="25" s="1"/>
  <c r="A559" i="25" s="1"/>
  <c r="A560" i="25" s="1"/>
  <c r="A561" i="25" s="1"/>
  <c r="A562" i="25" s="1"/>
  <c r="A563" i="25" s="1"/>
  <c r="A564" i="25" s="1"/>
  <c r="A565" i="25" s="1"/>
  <c r="A566" i="25" s="1"/>
  <c r="A567" i="25" s="1"/>
  <c r="A568" i="25" s="1"/>
  <c r="A569" i="25" s="1"/>
  <c r="A570" i="25" s="1"/>
  <c r="A571" i="25" s="1"/>
  <c r="A572" i="25" s="1"/>
  <c r="A573" i="25" s="1"/>
  <c r="A574" i="25" s="1"/>
  <c r="A575" i="25" s="1"/>
  <c r="A576" i="25" s="1"/>
  <c r="A577" i="25" s="1"/>
  <c r="A578" i="25" s="1"/>
  <c r="A579" i="25" s="1"/>
  <c r="A580" i="25" s="1"/>
  <c r="A581" i="25" s="1"/>
  <c r="A582" i="25" s="1"/>
  <c r="A583" i="25" s="1"/>
  <c r="A584" i="25" s="1"/>
  <c r="A585" i="25" s="1"/>
  <c r="A586" i="25" s="1"/>
  <c r="A587" i="25" s="1"/>
  <c r="A588" i="25" s="1"/>
  <c r="A589" i="25" s="1"/>
  <c r="A590" i="25" s="1"/>
  <c r="C4" i="25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67" i="25" s="1"/>
  <c r="C268" i="25" s="1"/>
  <c r="C269" i="25" s="1"/>
  <c r="C270" i="25" s="1"/>
  <c r="C271" i="25" s="1"/>
  <c r="C272" i="25" s="1"/>
  <c r="C273" i="25" s="1"/>
  <c r="C274" i="25" s="1"/>
  <c r="C275" i="25" s="1"/>
  <c r="C276" i="25" s="1"/>
  <c r="C277" i="25" s="1"/>
  <c r="C278" i="25" s="1"/>
  <c r="C279" i="25" s="1"/>
  <c r="C280" i="25" s="1"/>
  <c r="C281" i="25" s="1"/>
  <c r="C282" i="25" s="1"/>
  <c r="C283" i="25" s="1"/>
  <c r="C284" i="25" s="1"/>
  <c r="C285" i="25" s="1"/>
  <c r="C286" i="25" s="1"/>
  <c r="C287" i="25" s="1"/>
  <c r="C288" i="25" s="1"/>
  <c r="C289" i="25" s="1"/>
  <c r="C290" i="25" s="1"/>
  <c r="C291" i="25" s="1"/>
  <c r="C292" i="25" s="1"/>
  <c r="C293" i="25" s="1"/>
  <c r="C294" i="25" s="1"/>
  <c r="C295" i="25" s="1"/>
  <c r="C296" i="25" s="1"/>
  <c r="C297" i="25" s="1"/>
  <c r="C298" i="25" s="1"/>
  <c r="C299" i="25" s="1"/>
  <c r="C300" i="25" s="1"/>
  <c r="C301" i="25" s="1"/>
  <c r="C302" i="25" s="1"/>
  <c r="C303" i="25" s="1"/>
  <c r="C304" i="25" s="1"/>
  <c r="C305" i="25" s="1"/>
  <c r="C306" i="25" s="1"/>
  <c r="C307" i="25" s="1"/>
  <c r="C308" i="25" s="1"/>
  <c r="C309" i="25" s="1"/>
  <c r="C310" i="25" s="1"/>
  <c r="C311" i="25" s="1"/>
  <c r="C312" i="25" s="1"/>
  <c r="C313" i="25" s="1"/>
  <c r="C314" i="25" s="1"/>
  <c r="C315" i="25" s="1"/>
  <c r="C316" i="25" s="1"/>
  <c r="C317" i="25" s="1"/>
  <c r="C318" i="25" s="1"/>
  <c r="C319" i="25" s="1"/>
  <c r="C320" i="25" s="1"/>
  <c r="C321" i="25" s="1"/>
  <c r="C322" i="25" s="1"/>
  <c r="C323" i="25" s="1"/>
  <c r="C324" i="25" s="1"/>
  <c r="C325" i="25" s="1"/>
  <c r="C326" i="25" s="1"/>
  <c r="C327" i="25" s="1"/>
  <c r="C328" i="25" s="1"/>
  <c r="C329" i="25" s="1"/>
  <c r="C330" i="25" s="1"/>
  <c r="C331" i="25" s="1"/>
  <c r="C332" i="25" s="1"/>
  <c r="C333" i="25" s="1"/>
  <c r="C334" i="25" s="1"/>
  <c r="C335" i="25" s="1"/>
  <c r="C336" i="25" s="1"/>
  <c r="C337" i="25" s="1"/>
  <c r="C338" i="25" s="1"/>
  <c r="C339" i="25" s="1"/>
  <c r="C340" i="25" s="1"/>
  <c r="C341" i="25" s="1"/>
  <c r="C342" i="25" s="1"/>
  <c r="C343" i="25" s="1"/>
  <c r="C344" i="25" s="1"/>
  <c r="C345" i="25" s="1"/>
  <c r="C346" i="25" s="1"/>
  <c r="C347" i="25" s="1"/>
  <c r="C348" i="25" s="1"/>
  <c r="C349" i="25" s="1"/>
  <c r="C350" i="25" s="1"/>
  <c r="C351" i="25" s="1"/>
  <c r="C352" i="25" s="1"/>
  <c r="C353" i="25" s="1"/>
  <c r="C354" i="25" s="1"/>
  <c r="C355" i="25" s="1"/>
  <c r="C356" i="25" s="1"/>
  <c r="C357" i="25" s="1"/>
  <c r="C358" i="25" s="1"/>
  <c r="C359" i="25" s="1"/>
  <c r="C360" i="25" s="1"/>
  <c r="C361" i="25" s="1"/>
  <c r="C362" i="25" s="1"/>
  <c r="C363" i="25" s="1"/>
  <c r="C364" i="25" s="1"/>
  <c r="C365" i="25" s="1"/>
  <c r="C366" i="25" s="1"/>
  <c r="C367" i="25" s="1"/>
  <c r="C368" i="25" s="1"/>
  <c r="C369" i="25" s="1"/>
  <c r="C370" i="25" s="1"/>
  <c r="C371" i="25" s="1"/>
  <c r="C372" i="25" s="1"/>
  <c r="C373" i="25" s="1"/>
  <c r="C374" i="25" s="1"/>
  <c r="C375" i="25" s="1"/>
  <c r="C376" i="25" s="1"/>
  <c r="C377" i="25" s="1"/>
  <c r="C378" i="25" s="1"/>
  <c r="C379" i="25" s="1"/>
  <c r="C380" i="25" s="1"/>
  <c r="C381" i="25" s="1"/>
  <c r="C382" i="25" s="1"/>
  <c r="C383" i="25" s="1"/>
  <c r="C384" i="25" s="1"/>
  <c r="C385" i="25" s="1"/>
  <c r="C386" i="25" s="1"/>
  <c r="C387" i="25" s="1"/>
  <c r="C388" i="25" s="1"/>
  <c r="C389" i="25" s="1"/>
  <c r="C390" i="25" s="1"/>
  <c r="C391" i="25" s="1"/>
  <c r="C392" i="25" s="1"/>
  <c r="C393" i="25" s="1"/>
  <c r="C394" i="25" s="1"/>
  <c r="C395" i="25" s="1"/>
  <c r="C396" i="25" s="1"/>
  <c r="C397" i="25" s="1"/>
  <c r="C398" i="25" s="1"/>
  <c r="C399" i="25" s="1"/>
  <c r="C400" i="25" s="1"/>
  <c r="C401" i="25" s="1"/>
  <c r="C402" i="25" s="1"/>
  <c r="C403" i="25" s="1"/>
  <c r="C404" i="25" s="1"/>
  <c r="C405" i="25" s="1"/>
  <c r="C406" i="25" s="1"/>
  <c r="C407" i="25" s="1"/>
  <c r="C408" i="25" s="1"/>
  <c r="C409" i="25" s="1"/>
  <c r="C410" i="25" s="1"/>
  <c r="C411" i="25" s="1"/>
  <c r="C412" i="25" s="1"/>
  <c r="C413" i="25" s="1"/>
  <c r="C414" i="25" s="1"/>
  <c r="C415" i="25" s="1"/>
  <c r="C416" i="25" s="1"/>
  <c r="C417" i="25" s="1"/>
  <c r="C418" i="25" s="1"/>
  <c r="C419" i="25" s="1"/>
  <c r="C420" i="25" s="1"/>
  <c r="C421" i="25" s="1"/>
  <c r="C422" i="25" s="1"/>
  <c r="C423" i="25" s="1"/>
  <c r="C424" i="25" s="1"/>
  <c r="C425" i="25" s="1"/>
  <c r="C426" i="25" s="1"/>
  <c r="C427" i="25" s="1"/>
  <c r="C428" i="25" s="1"/>
  <c r="C429" i="25" s="1"/>
  <c r="C430" i="25" s="1"/>
  <c r="C431" i="25" s="1"/>
  <c r="C432" i="25" s="1"/>
  <c r="C433" i="25" s="1"/>
  <c r="C434" i="25" s="1"/>
  <c r="C435" i="25" s="1"/>
  <c r="C436" i="25" s="1"/>
  <c r="C437" i="25" s="1"/>
  <c r="C438" i="25" s="1"/>
  <c r="C439" i="25" s="1"/>
  <c r="C440" i="25" s="1"/>
  <c r="C441" i="25" s="1"/>
  <c r="C442" i="25" s="1"/>
  <c r="C443" i="25" s="1"/>
  <c r="C444" i="25" s="1"/>
  <c r="C445" i="25" s="1"/>
  <c r="C446" i="25" s="1"/>
  <c r="C447" i="25" s="1"/>
  <c r="C448" i="25" s="1"/>
  <c r="C449" i="25" s="1"/>
  <c r="C450" i="25" s="1"/>
  <c r="C451" i="25" s="1"/>
  <c r="C452" i="25" s="1"/>
  <c r="C453" i="25" s="1"/>
  <c r="C454" i="25" s="1"/>
  <c r="C455" i="25" s="1"/>
  <c r="C456" i="25" s="1"/>
  <c r="C457" i="25" s="1"/>
  <c r="C458" i="25" s="1"/>
  <c r="C459" i="25" s="1"/>
  <c r="C460" i="25" s="1"/>
  <c r="C461" i="25" s="1"/>
  <c r="C462" i="25" s="1"/>
  <c r="C463" i="25" s="1"/>
  <c r="C464" i="25" s="1"/>
  <c r="C465" i="25" s="1"/>
  <c r="C466" i="25" s="1"/>
  <c r="C467" i="25" s="1"/>
  <c r="C468" i="25" s="1"/>
  <c r="C469" i="25" s="1"/>
  <c r="C470" i="25" s="1"/>
  <c r="C471" i="25" s="1"/>
  <c r="C472" i="25" s="1"/>
  <c r="C473" i="25" s="1"/>
  <c r="C474" i="25" s="1"/>
  <c r="C475" i="25" s="1"/>
  <c r="C476" i="25" s="1"/>
  <c r="C477" i="25" s="1"/>
  <c r="C478" i="25" s="1"/>
  <c r="C479" i="25" s="1"/>
  <c r="C480" i="25" s="1"/>
  <c r="C481" i="25" s="1"/>
  <c r="C482" i="25" s="1"/>
  <c r="C483" i="25" s="1"/>
  <c r="C484" i="25" s="1"/>
  <c r="C485" i="25" s="1"/>
  <c r="C486" i="25" s="1"/>
  <c r="C487" i="25" s="1"/>
  <c r="C488" i="25" s="1"/>
  <c r="C489" i="25" s="1"/>
  <c r="C490" i="25" s="1"/>
  <c r="C491" i="25" s="1"/>
  <c r="C492" i="25" s="1"/>
  <c r="C493" i="25" s="1"/>
  <c r="C494" i="25" s="1"/>
  <c r="C495" i="25" s="1"/>
  <c r="C496" i="25" s="1"/>
  <c r="C497" i="25" s="1"/>
  <c r="C498" i="25" s="1"/>
  <c r="C499" i="25" s="1"/>
  <c r="C500" i="25" s="1"/>
  <c r="C501" i="25" s="1"/>
  <c r="C502" i="25" s="1"/>
  <c r="C503" i="25" s="1"/>
  <c r="C504" i="25" s="1"/>
  <c r="C505" i="25" s="1"/>
  <c r="C506" i="25" s="1"/>
  <c r="C507" i="25" s="1"/>
  <c r="C508" i="25" s="1"/>
  <c r="C509" i="25" s="1"/>
  <c r="C510" i="25" s="1"/>
  <c r="C511" i="25" s="1"/>
  <c r="C512" i="25" s="1"/>
  <c r="C513" i="25" s="1"/>
  <c r="C514" i="25" s="1"/>
  <c r="C515" i="25" s="1"/>
  <c r="C516" i="25" s="1"/>
  <c r="C517" i="25" s="1"/>
  <c r="C518" i="25" s="1"/>
  <c r="C519" i="25" s="1"/>
  <c r="C520" i="25" s="1"/>
  <c r="C521" i="25" s="1"/>
  <c r="C522" i="25" s="1"/>
  <c r="C523" i="25" s="1"/>
  <c r="C524" i="25" s="1"/>
  <c r="C525" i="25" s="1"/>
  <c r="C526" i="25" s="1"/>
  <c r="C527" i="25" s="1"/>
  <c r="C528" i="25" s="1"/>
  <c r="C529" i="25" s="1"/>
  <c r="C530" i="25" s="1"/>
  <c r="C531" i="25" s="1"/>
  <c r="C532" i="25" s="1"/>
  <c r="C533" i="25" s="1"/>
  <c r="C534" i="25" s="1"/>
  <c r="C535" i="25" s="1"/>
  <c r="C536" i="25" s="1"/>
  <c r="C537" i="25" s="1"/>
  <c r="C538" i="25" s="1"/>
  <c r="C539" i="25" s="1"/>
  <c r="C540" i="25" s="1"/>
  <c r="C541" i="25" s="1"/>
  <c r="C542" i="25" s="1"/>
  <c r="C543" i="25" s="1"/>
  <c r="C544" i="25" s="1"/>
  <c r="C545" i="25" s="1"/>
  <c r="C546" i="25" s="1"/>
  <c r="C547" i="25" s="1"/>
  <c r="C548" i="25" s="1"/>
  <c r="C549" i="25" s="1"/>
  <c r="C550" i="25" s="1"/>
  <c r="C551" i="25" s="1"/>
  <c r="C552" i="25" s="1"/>
  <c r="C553" i="25" s="1"/>
  <c r="C554" i="25" s="1"/>
  <c r="C555" i="25" s="1"/>
  <c r="C556" i="25" s="1"/>
  <c r="C557" i="25" s="1"/>
  <c r="C558" i="25" s="1"/>
  <c r="C559" i="25" s="1"/>
  <c r="C560" i="25" s="1"/>
  <c r="C561" i="25" s="1"/>
  <c r="C562" i="25" s="1"/>
  <c r="C563" i="25" s="1"/>
  <c r="C564" i="25" s="1"/>
  <c r="C565" i="25" s="1"/>
  <c r="C566" i="25" s="1"/>
  <c r="C567" i="25" s="1"/>
  <c r="C568" i="25" s="1"/>
  <c r="C569" i="25" s="1"/>
  <c r="C570" i="25" s="1"/>
  <c r="C571" i="25" s="1"/>
  <c r="C572" i="25" s="1"/>
  <c r="C573" i="25" s="1"/>
  <c r="C574" i="25" s="1"/>
  <c r="C575" i="25" s="1"/>
  <c r="C576" i="25" s="1"/>
  <c r="C577" i="25" s="1"/>
  <c r="C578" i="25" s="1"/>
  <c r="C579" i="25" s="1"/>
  <c r="C580" i="25" s="1"/>
  <c r="C581" i="25" s="1"/>
  <c r="C582" i="25" s="1"/>
  <c r="C583" i="25" s="1"/>
  <c r="C584" i="25" s="1"/>
  <c r="C585" i="25" s="1"/>
  <c r="C586" i="25" s="1"/>
  <c r="C587" i="25" s="1"/>
  <c r="C588" i="25" s="1"/>
  <c r="C589" i="25" s="1"/>
  <c r="C590" i="25" s="1"/>
  <c r="N3" i="25"/>
  <c r="P3" i="25"/>
  <c r="P4" i="25" s="1"/>
  <c r="P5" i="25" s="1"/>
  <c r="P6" i="25" s="1"/>
  <c r="P7" i="25" s="1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P84" i="25" s="1"/>
  <c r="P85" i="25" s="1"/>
  <c r="P86" i="25" s="1"/>
  <c r="P87" i="25" s="1"/>
  <c r="P88" i="25" s="1"/>
  <c r="P89" i="25" s="1"/>
  <c r="P90" i="25" s="1"/>
  <c r="P91" i="25" s="1"/>
  <c r="P92" i="25" s="1"/>
  <c r="P93" i="25" s="1"/>
  <c r="P94" i="25" s="1"/>
  <c r="P95" i="25" s="1"/>
  <c r="P96" i="25" s="1"/>
  <c r="P97" i="25" s="1"/>
  <c r="P98" i="25" s="1"/>
  <c r="P99" i="25" s="1"/>
  <c r="P100" i="25" s="1"/>
  <c r="P101" i="25" s="1"/>
  <c r="P102" i="25" s="1"/>
  <c r="P103" i="25" s="1"/>
  <c r="P104" i="25" s="1"/>
  <c r="P105" i="25" s="1"/>
  <c r="P106" i="25" s="1"/>
  <c r="P107" i="25" s="1"/>
  <c r="P108" i="25" s="1"/>
  <c r="P109" i="25" s="1"/>
  <c r="P110" i="25" s="1"/>
  <c r="P111" i="25" s="1"/>
  <c r="P112" i="25" s="1"/>
  <c r="P113" i="25" s="1"/>
  <c r="P114" i="25" s="1"/>
  <c r="P115" i="25" s="1"/>
  <c r="P116" i="25" s="1"/>
  <c r="P117" i="25" s="1"/>
  <c r="P118" i="25" s="1"/>
  <c r="P119" i="25" s="1"/>
  <c r="P120" i="25" s="1"/>
  <c r="P121" i="25" s="1"/>
  <c r="P122" i="25" s="1"/>
  <c r="P123" i="25" s="1"/>
  <c r="P124" i="25" s="1"/>
  <c r="P125" i="25" s="1"/>
  <c r="P126" i="25" s="1"/>
  <c r="P127" i="25" s="1"/>
  <c r="P128" i="25" s="1"/>
  <c r="P129" i="25" s="1"/>
  <c r="P130" i="25" s="1"/>
  <c r="P131" i="25" s="1"/>
  <c r="P132" i="25" s="1"/>
  <c r="P133" i="25" s="1"/>
  <c r="P134" i="25" s="1"/>
  <c r="P135" i="25" s="1"/>
  <c r="P136" i="25" s="1"/>
  <c r="P137" i="25" s="1"/>
  <c r="P138" i="25" s="1"/>
  <c r="P139" i="25" s="1"/>
  <c r="P140" i="25" s="1"/>
  <c r="P141" i="25" s="1"/>
  <c r="P142" i="25" s="1"/>
  <c r="P143" i="25" s="1"/>
  <c r="P144" i="25" s="1"/>
  <c r="P145" i="25" s="1"/>
  <c r="P146" i="25" s="1"/>
  <c r="P147" i="25" s="1"/>
  <c r="P148" i="25" s="1"/>
  <c r="P149" i="25" s="1"/>
  <c r="P150" i="25" s="1"/>
  <c r="P151" i="25" s="1"/>
  <c r="P152" i="25" s="1"/>
  <c r="P153" i="25" s="1"/>
  <c r="P154" i="25" s="1"/>
  <c r="P155" i="25" s="1"/>
  <c r="P156" i="25" s="1"/>
  <c r="P157" i="25" s="1"/>
  <c r="P158" i="25" s="1"/>
  <c r="P159" i="25" s="1"/>
  <c r="P160" i="25" s="1"/>
  <c r="P161" i="25" s="1"/>
  <c r="P162" i="25" s="1"/>
  <c r="P163" i="25" s="1"/>
  <c r="P164" i="25" s="1"/>
  <c r="P165" i="25" s="1"/>
  <c r="P166" i="25" s="1"/>
  <c r="P167" i="25" s="1"/>
  <c r="P168" i="25" s="1"/>
  <c r="P169" i="25" s="1"/>
  <c r="P170" i="25" s="1"/>
  <c r="P171" i="25" s="1"/>
  <c r="P172" i="25" s="1"/>
  <c r="P173" i="25" s="1"/>
  <c r="P174" i="25" s="1"/>
  <c r="P175" i="25" s="1"/>
  <c r="P176" i="25" s="1"/>
  <c r="P177" i="25" s="1"/>
  <c r="P178" i="25" s="1"/>
  <c r="P179" i="25" s="1"/>
  <c r="P180" i="25" s="1"/>
  <c r="P181" i="25" s="1"/>
  <c r="P182" i="25" s="1"/>
  <c r="P183" i="25" s="1"/>
  <c r="P184" i="25" s="1"/>
  <c r="P185" i="25" s="1"/>
  <c r="P186" i="25" s="1"/>
  <c r="P187" i="25" s="1"/>
  <c r="P188" i="25" s="1"/>
  <c r="P189" i="25" s="1"/>
  <c r="P190" i="25" s="1"/>
  <c r="P191" i="25" s="1"/>
  <c r="P192" i="25" s="1"/>
  <c r="P193" i="25" s="1"/>
  <c r="P194" i="25" s="1"/>
  <c r="P195" i="25" s="1"/>
  <c r="P196" i="25" s="1"/>
  <c r="P197" i="25" s="1"/>
  <c r="P198" i="25" s="1"/>
  <c r="P199" i="25" s="1"/>
  <c r="P200" i="25" s="1"/>
  <c r="P201" i="25" s="1"/>
  <c r="P202" i="25" s="1"/>
  <c r="P203" i="25" s="1"/>
  <c r="P204" i="25" s="1"/>
  <c r="P205" i="25" s="1"/>
  <c r="P206" i="25" s="1"/>
  <c r="P207" i="25" s="1"/>
  <c r="P208" i="25" s="1"/>
  <c r="P209" i="25" s="1"/>
  <c r="P210" i="25" s="1"/>
  <c r="P211" i="25" s="1"/>
  <c r="P212" i="25" s="1"/>
  <c r="P213" i="25" s="1"/>
  <c r="P214" i="25" s="1"/>
  <c r="P215" i="25" s="1"/>
  <c r="P216" i="25" s="1"/>
  <c r="P217" i="25" s="1"/>
  <c r="P218" i="25" s="1"/>
  <c r="P219" i="25" s="1"/>
  <c r="P220" i="25" s="1"/>
  <c r="P221" i="25" s="1"/>
  <c r="P222" i="25" s="1"/>
  <c r="P223" i="25" s="1"/>
  <c r="P224" i="25" s="1"/>
  <c r="P225" i="25" s="1"/>
  <c r="P226" i="25" s="1"/>
  <c r="P227" i="25" s="1"/>
  <c r="P228" i="25" s="1"/>
  <c r="P229" i="25" s="1"/>
  <c r="P230" i="25" s="1"/>
  <c r="P231" i="25" s="1"/>
  <c r="P232" i="25" s="1"/>
  <c r="P233" i="25" s="1"/>
  <c r="P234" i="25" s="1"/>
  <c r="P235" i="25" s="1"/>
  <c r="P236" i="25" s="1"/>
  <c r="P237" i="25" s="1"/>
  <c r="P238" i="25" s="1"/>
  <c r="P239" i="25" s="1"/>
  <c r="P240" i="25" s="1"/>
  <c r="P241" i="25" s="1"/>
  <c r="P242" i="25" s="1"/>
  <c r="P243" i="25" s="1"/>
  <c r="P244" i="25" s="1"/>
  <c r="P245" i="25" s="1"/>
  <c r="P246" i="25" s="1"/>
  <c r="P247" i="25" s="1"/>
  <c r="P248" i="25" s="1"/>
  <c r="P249" i="25" s="1"/>
  <c r="P250" i="25" s="1"/>
  <c r="P251" i="25" s="1"/>
  <c r="P252" i="25" s="1"/>
  <c r="P253" i="25" s="1"/>
  <c r="P254" i="25" s="1"/>
  <c r="P255" i="25" s="1"/>
  <c r="P256" i="25" s="1"/>
  <c r="P257" i="25" s="1"/>
  <c r="P258" i="25" s="1"/>
  <c r="P259" i="25" s="1"/>
  <c r="P260" i="25" s="1"/>
  <c r="P261" i="25" s="1"/>
  <c r="P262" i="25" s="1"/>
  <c r="P263" i="25" s="1"/>
  <c r="P264" i="25" s="1"/>
  <c r="P265" i="25" s="1"/>
  <c r="P266" i="25" s="1"/>
  <c r="P267" i="25" s="1"/>
  <c r="P268" i="25" s="1"/>
  <c r="P269" i="25" s="1"/>
  <c r="P270" i="25" s="1"/>
  <c r="P271" i="25" s="1"/>
  <c r="P272" i="25" s="1"/>
  <c r="P273" i="25" s="1"/>
  <c r="P274" i="25" s="1"/>
  <c r="P275" i="25" s="1"/>
  <c r="P276" i="25" s="1"/>
  <c r="P277" i="25" s="1"/>
  <c r="P278" i="25" s="1"/>
  <c r="P279" i="25" s="1"/>
  <c r="P280" i="25" s="1"/>
  <c r="P281" i="25" s="1"/>
  <c r="P282" i="25" s="1"/>
  <c r="P283" i="25" s="1"/>
  <c r="P284" i="25" s="1"/>
  <c r="P285" i="25" s="1"/>
  <c r="P286" i="25" s="1"/>
  <c r="P287" i="25" s="1"/>
  <c r="P288" i="25" s="1"/>
  <c r="P289" i="25" s="1"/>
  <c r="P290" i="25" s="1"/>
  <c r="P291" i="25" s="1"/>
  <c r="P292" i="25" s="1"/>
  <c r="P293" i="25" s="1"/>
  <c r="P294" i="25" s="1"/>
  <c r="P295" i="25" s="1"/>
  <c r="P296" i="25" s="1"/>
  <c r="P297" i="25" s="1"/>
  <c r="P298" i="25" s="1"/>
  <c r="P299" i="25" s="1"/>
  <c r="P300" i="25" s="1"/>
  <c r="P301" i="25" s="1"/>
  <c r="P302" i="25" s="1"/>
  <c r="P303" i="25" s="1"/>
  <c r="P304" i="25" s="1"/>
  <c r="P305" i="25" s="1"/>
  <c r="P306" i="25" s="1"/>
  <c r="P307" i="25" s="1"/>
  <c r="P308" i="25" s="1"/>
  <c r="P309" i="25" s="1"/>
  <c r="P310" i="25" s="1"/>
  <c r="P311" i="25" s="1"/>
  <c r="P312" i="25" s="1"/>
  <c r="P313" i="25" s="1"/>
  <c r="P314" i="25" s="1"/>
  <c r="P315" i="25" s="1"/>
  <c r="P316" i="25" s="1"/>
  <c r="P317" i="25" s="1"/>
  <c r="P318" i="25" s="1"/>
  <c r="P319" i="25" s="1"/>
  <c r="P320" i="25" s="1"/>
  <c r="P321" i="25" s="1"/>
  <c r="P322" i="25" s="1"/>
  <c r="P323" i="25" s="1"/>
  <c r="P324" i="25" s="1"/>
  <c r="P325" i="25" s="1"/>
  <c r="P326" i="25" s="1"/>
  <c r="P327" i="25" s="1"/>
  <c r="P328" i="25" s="1"/>
  <c r="P329" i="25" s="1"/>
  <c r="P330" i="25" s="1"/>
  <c r="P331" i="25" s="1"/>
  <c r="P332" i="25" s="1"/>
  <c r="P333" i="25" s="1"/>
  <c r="P334" i="25" s="1"/>
  <c r="P335" i="25" s="1"/>
  <c r="P336" i="25" s="1"/>
  <c r="P337" i="25" s="1"/>
  <c r="P338" i="25" s="1"/>
  <c r="P339" i="25" s="1"/>
  <c r="P340" i="25" s="1"/>
  <c r="P341" i="25" s="1"/>
  <c r="P342" i="25" s="1"/>
  <c r="P343" i="25" s="1"/>
  <c r="P344" i="25" s="1"/>
  <c r="P345" i="25" s="1"/>
  <c r="P346" i="25" s="1"/>
  <c r="P347" i="25" s="1"/>
  <c r="P348" i="25" s="1"/>
  <c r="P349" i="25" s="1"/>
  <c r="P350" i="25" s="1"/>
  <c r="P351" i="25" s="1"/>
  <c r="P352" i="25" s="1"/>
  <c r="P353" i="25" s="1"/>
  <c r="P354" i="25" s="1"/>
  <c r="P355" i="25" s="1"/>
  <c r="P356" i="25" s="1"/>
  <c r="P357" i="25" s="1"/>
  <c r="P358" i="25" s="1"/>
  <c r="P359" i="25" s="1"/>
  <c r="P360" i="25" s="1"/>
  <c r="P361" i="25" s="1"/>
  <c r="P362" i="25" s="1"/>
  <c r="P363" i="25" s="1"/>
  <c r="P364" i="25" s="1"/>
  <c r="P365" i="25" s="1"/>
  <c r="P366" i="25" s="1"/>
  <c r="P367" i="25" s="1"/>
  <c r="P368" i="25" s="1"/>
  <c r="P369" i="25" s="1"/>
  <c r="P370" i="25" s="1"/>
  <c r="P371" i="25" s="1"/>
  <c r="P372" i="25" s="1"/>
  <c r="P373" i="25" s="1"/>
  <c r="P374" i="25" s="1"/>
  <c r="P375" i="25" s="1"/>
  <c r="P376" i="25" s="1"/>
  <c r="P377" i="25" s="1"/>
  <c r="P378" i="25" s="1"/>
  <c r="P379" i="25" s="1"/>
  <c r="P380" i="25" s="1"/>
  <c r="P381" i="25" s="1"/>
  <c r="P382" i="25" s="1"/>
  <c r="P383" i="25" s="1"/>
  <c r="P384" i="25" s="1"/>
  <c r="P385" i="25" s="1"/>
  <c r="P386" i="25" s="1"/>
  <c r="P387" i="25" s="1"/>
  <c r="P388" i="25" s="1"/>
  <c r="P389" i="25" s="1"/>
  <c r="P390" i="25" s="1"/>
  <c r="P391" i="25" s="1"/>
  <c r="P392" i="25" s="1"/>
  <c r="P393" i="25" s="1"/>
  <c r="P394" i="25" s="1"/>
  <c r="P395" i="25" s="1"/>
  <c r="P396" i="25" s="1"/>
  <c r="P397" i="25" s="1"/>
  <c r="P398" i="25" s="1"/>
  <c r="P399" i="25" s="1"/>
  <c r="P400" i="25" s="1"/>
  <c r="P401" i="25" s="1"/>
  <c r="P402" i="25" s="1"/>
  <c r="P403" i="25" s="1"/>
  <c r="P404" i="25" s="1"/>
  <c r="P405" i="25" s="1"/>
  <c r="P406" i="25" s="1"/>
  <c r="P407" i="25" s="1"/>
  <c r="P408" i="25" s="1"/>
  <c r="P409" i="25" s="1"/>
  <c r="P410" i="25" s="1"/>
  <c r="P411" i="25" s="1"/>
  <c r="P412" i="25" s="1"/>
  <c r="P413" i="25" s="1"/>
  <c r="P414" i="25" s="1"/>
  <c r="P415" i="25" s="1"/>
  <c r="P416" i="25" s="1"/>
  <c r="P417" i="25" s="1"/>
  <c r="P418" i="25" s="1"/>
  <c r="P419" i="25" s="1"/>
  <c r="P420" i="25" s="1"/>
  <c r="P421" i="25" s="1"/>
  <c r="P422" i="25" s="1"/>
  <c r="P423" i="25" s="1"/>
  <c r="P424" i="25" s="1"/>
  <c r="P425" i="25" s="1"/>
  <c r="P426" i="25" s="1"/>
  <c r="P427" i="25" s="1"/>
  <c r="P428" i="25" s="1"/>
  <c r="P429" i="25" s="1"/>
  <c r="P430" i="25" s="1"/>
  <c r="P431" i="25" s="1"/>
  <c r="P432" i="25" s="1"/>
  <c r="P433" i="25" s="1"/>
  <c r="P434" i="25" s="1"/>
  <c r="P435" i="25" s="1"/>
  <c r="P436" i="25" s="1"/>
  <c r="P437" i="25" s="1"/>
  <c r="P438" i="25" s="1"/>
  <c r="P439" i="25" s="1"/>
  <c r="P440" i="25" s="1"/>
  <c r="P441" i="25" s="1"/>
  <c r="P442" i="25" s="1"/>
  <c r="P443" i="25" s="1"/>
  <c r="P444" i="25" s="1"/>
  <c r="P445" i="25" s="1"/>
  <c r="P446" i="25" s="1"/>
  <c r="P447" i="25" s="1"/>
  <c r="P448" i="25" s="1"/>
  <c r="P449" i="25" s="1"/>
  <c r="P450" i="25" s="1"/>
  <c r="P451" i="25" s="1"/>
  <c r="P452" i="25" s="1"/>
  <c r="P453" i="25" s="1"/>
  <c r="P454" i="25" s="1"/>
  <c r="P455" i="25" s="1"/>
  <c r="P456" i="25" s="1"/>
  <c r="P457" i="25" s="1"/>
  <c r="P458" i="25" s="1"/>
  <c r="P459" i="25" s="1"/>
  <c r="P460" i="25" s="1"/>
  <c r="P461" i="25" s="1"/>
  <c r="P462" i="25" s="1"/>
  <c r="P463" i="25" s="1"/>
  <c r="P464" i="25" s="1"/>
  <c r="P465" i="25" s="1"/>
  <c r="P466" i="25" s="1"/>
  <c r="P467" i="25" s="1"/>
  <c r="P468" i="25" s="1"/>
  <c r="P469" i="25" s="1"/>
  <c r="P470" i="25" s="1"/>
  <c r="P471" i="25" s="1"/>
  <c r="P472" i="25" s="1"/>
  <c r="P473" i="25" s="1"/>
  <c r="P474" i="25" s="1"/>
  <c r="P475" i="25" s="1"/>
  <c r="P476" i="25" s="1"/>
  <c r="P477" i="25" s="1"/>
  <c r="P478" i="25" s="1"/>
  <c r="P479" i="25" s="1"/>
  <c r="P480" i="25" s="1"/>
  <c r="P481" i="25" s="1"/>
  <c r="P482" i="25" s="1"/>
  <c r="P483" i="25" s="1"/>
  <c r="P484" i="25" s="1"/>
  <c r="P485" i="25" s="1"/>
  <c r="P486" i="25" s="1"/>
  <c r="P487" i="25" s="1"/>
  <c r="P488" i="25" s="1"/>
  <c r="P489" i="25" s="1"/>
  <c r="P490" i="25" s="1"/>
  <c r="P491" i="25" s="1"/>
  <c r="P492" i="25" s="1"/>
  <c r="P493" i="25" s="1"/>
  <c r="P494" i="25" s="1"/>
  <c r="P495" i="25" s="1"/>
  <c r="P496" i="25" s="1"/>
  <c r="P497" i="25" s="1"/>
  <c r="P498" i="25" s="1"/>
  <c r="P499" i="25" s="1"/>
  <c r="P500" i="25" s="1"/>
  <c r="P501" i="25" s="1"/>
  <c r="P502" i="25" s="1"/>
  <c r="P503" i="25" s="1"/>
  <c r="P504" i="25" s="1"/>
  <c r="P505" i="25" s="1"/>
  <c r="P506" i="25" s="1"/>
  <c r="P507" i="25" s="1"/>
  <c r="P508" i="25" s="1"/>
  <c r="P509" i="25" s="1"/>
  <c r="P510" i="25" s="1"/>
  <c r="P511" i="25" s="1"/>
  <c r="P512" i="25" s="1"/>
  <c r="P513" i="25" s="1"/>
  <c r="P514" i="25" s="1"/>
  <c r="P515" i="25" s="1"/>
  <c r="P516" i="25" s="1"/>
  <c r="P517" i="25" s="1"/>
  <c r="P518" i="25" s="1"/>
  <c r="P519" i="25" s="1"/>
  <c r="P520" i="25" s="1"/>
  <c r="P521" i="25" s="1"/>
  <c r="P522" i="25" s="1"/>
  <c r="P523" i="25" s="1"/>
  <c r="P524" i="25" s="1"/>
  <c r="P525" i="25" s="1"/>
  <c r="P526" i="25" s="1"/>
  <c r="P527" i="25" s="1"/>
  <c r="P528" i="25" s="1"/>
  <c r="P529" i="25" s="1"/>
  <c r="P530" i="25" s="1"/>
  <c r="P531" i="25" s="1"/>
  <c r="P532" i="25" s="1"/>
  <c r="P533" i="25" s="1"/>
  <c r="P534" i="25" s="1"/>
  <c r="P535" i="25" s="1"/>
  <c r="P536" i="25" s="1"/>
  <c r="P537" i="25" s="1"/>
  <c r="P538" i="25" s="1"/>
  <c r="P539" i="25" s="1"/>
  <c r="P540" i="25" s="1"/>
  <c r="P541" i="25" s="1"/>
  <c r="P542" i="25" s="1"/>
  <c r="P543" i="25" s="1"/>
  <c r="P544" i="25" s="1"/>
  <c r="P545" i="25" s="1"/>
  <c r="P546" i="25" s="1"/>
  <c r="P547" i="25" s="1"/>
  <c r="P548" i="25" s="1"/>
  <c r="P549" i="25" s="1"/>
  <c r="P550" i="25" s="1"/>
  <c r="P551" i="25" s="1"/>
  <c r="P552" i="25" s="1"/>
  <c r="P553" i="25" s="1"/>
  <c r="P554" i="25" s="1"/>
  <c r="P555" i="25" s="1"/>
  <c r="P556" i="25" s="1"/>
  <c r="P557" i="25" s="1"/>
  <c r="P558" i="25" s="1"/>
  <c r="P559" i="25" s="1"/>
  <c r="P560" i="25" s="1"/>
  <c r="P561" i="25" s="1"/>
  <c r="P562" i="25" s="1"/>
  <c r="P563" i="25" s="1"/>
  <c r="P564" i="25" s="1"/>
  <c r="P565" i="25" s="1"/>
  <c r="P566" i="25" s="1"/>
  <c r="P567" i="25" s="1"/>
  <c r="P568" i="25" s="1"/>
  <c r="P569" i="25" s="1"/>
  <c r="P570" i="25" s="1"/>
  <c r="P571" i="25" s="1"/>
  <c r="P572" i="25" s="1"/>
  <c r="P573" i="25" s="1"/>
  <c r="P574" i="25" s="1"/>
  <c r="P575" i="25" s="1"/>
  <c r="P576" i="25" s="1"/>
  <c r="P577" i="25" s="1"/>
  <c r="P578" i="25" s="1"/>
  <c r="P579" i="25" s="1"/>
  <c r="P580" i="25" s="1"/>
  <c r="P581" i="25" s="1"/>
  <c r="P582" i="25" s="1"/>
  <c r="P583" i="25" s="1"/>
  <c r="P584" i="25" s="1"/>
  <c r="P585" i="25" s="1"/>
  <c r="P586" i="25" s="1"/>
  <c r="P587" i="25" s="1"/>
  <c r="P588" i="25" s="1"/>
  <c r="P589" i="25" s="1"/>
  <c r="P590" i="25" s="1"/>
  <c r="N4" i="25" l="1"/>
  <c r="O3" i="25"/>
  <c r="C6" i="1"/>
  <c r="C6" i="41" s="1"/>
  <c r="C24" i="41" s="1"/>
  <c r="B6" i="1"/>
  <c r="N5" i="25" l="1"/>
  <c r="O4" i="25"/>
  <c r="C7" i="1"/>
  <c r="C7" i="41" s="1"/>
  <c r="C25" i="41" s="1"/>
  <c r="B7" i="1"/>
  <c r="N3" i="10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14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N6" i="25" l="1"/>
  <c r="O5" i="25"/>
  <c r="N15" i="10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N108" i="10" s="1"/>
  <c r="N109" i="10" s="1"/>
  <c r="N110" i="10" s="1"/>
  <c r="N111" i="10" s="1"/>
  <c r="N112" i="10" s="1"/>
  <c r="N113" i="10" s="1"/>
  <c r="N114" i="10" s="1"/>
  <c r="N115" i="10" s="1"/>
  <c r="N116" i="10" s="1"/>
  <c r="N117" i="10" s="1"/>
  <c r="N118" i="10" s="1"/>
  <c r="N119" i="10" s="1"/>
  <c r="N120" i="10" s="1"/>
  <c r="N121" i="10" s="1"/>
  <c r="N122" i="10" s="1"/>
  <c r="N123" i="10" s="1"/>
  <c r="N124" i="10" s="1"/>
  <c r="N125" i="10" s="1"/>
  <c r="N126" i="10" s="1"/>
  <c r="N127" i="10" s="1"/>
  <c r="N128" i="10" s="1"/>
  <c r="N129" i="10" s="1"/>
  <c r="N130" i="10" s="1"/>
  <c r="N131" i="10" s="1"/>
  <c r="N132" i="10" s="1"/>
  <c r="N133" i="10" s="1"/>
  <c r="N134" i="10" s="1"/>
  <c r="N135" i="10" s="1"/>
  <c r="N136" i="10" s="1"/>
  <c r="N137" i="10" s="1"/>
  <c r="N138" i="10" s="1"/>
  <c r="N139" i="10" s="1"/>
  <c r="N140" i="10" s="1"/>
  <c r="N141" i="10" s="1"/>
  <c r="N142" i="10" s="1"/>
  <c r="N143" i="10" s="1"/>
  <c r="N144" i="10" s="1"/>
  <c r="N145" i="10" s="1"/>
  <c r="N146" i="10" s="1"/>
  <c r="N147" i="10" s="1"/>
  <c r="N148" i="10" s="1"/>
  <c r="N149" i="10" s="1"/>
  <c r="N150" i="10" s="1"/>
  <c r="N151" i="10" s="1"/>
  <c r="N152" i="10" s="1"/>
  <c r="N153" i="10" s="1"/>
  <c r="N154" i="10" s="1"/>
  <c r="N155" i="10" s="1"/>
  <c r="N156" i="10" s="1"/>
  <c r="N157" i="10" s="1"/>
  <c r="N158" i="10" s="1"/>
  <c r="N159" i="10" s="1"/>
  <c r="N160" i="10" s="1"/>
  <c r="N161" i="10" s="1"/>
  <c r="N162" i="10" s="1"/>
  <c r="N163" i="10" s="1"/>
  <c r="N164" i="10" s="1"/>
  <c r="N165" i="10" s="1"/>
  <c r="N166" i="10" s="1"/>
  <c r="N167" i="10" s="1"/>
  <c r="N168" i="10" s="1"/>
  <c r="N169" i="10" s="1"/>
  <c r="N170" i="10" s="1"/>
  <c r="N171" i="10" s="1"/>
  <c r="N172" i="10" s="1"/>
  <c r="N173" i="10" s="1"/>
  <c r="N174" i="10" s="1"/>
  <c r="N175" i="10" s="1"/>
  <c r="N176" i="10" s="1"/>
  <c r="N177" i="10" s="1"/>
  <c r="N178" i="10" s="1"/>
  <c r="N179" i="10" s="1"/>
  <c r="N180" i="10" s="1"/>
  <c r="N181" i="10" s="1"/>
  <c r="N182" i="10" s="1"/>
  <c r="N183" i="10" s="1"/>
  <c r="N184" i="10" s="1"/>
  <c r="N185" i="10" s="1"/>
  <c r="N186" i="10" s="1"/>
  <c r="N187" i="10" s="1"/>
  <c r="N188" i="10" s="1"/>
  <c r="N189" i="10" s="1"/>
  <c r="N190" i="10" s="1"/>
  <c r="N191" i="10" s="1"/>
  <c r="N192" i="10" s="1"/>
  <c r="N193" i="10" s="1"/>
  <c r="N194" i="10" s="1"/>
  <c r="N195" i="10" s="1"/>
  <c r="N196" i="10" s="1"/>
  <c r="N197" i="10" s="1"/>
  <c r="N198" i="10" s="1"/>
  <c r="N199" i="10" s="1"/>
  <c r="N200" i="10" s="1"/>
  <c r="N201" i="10" s="1"/>
  <c r="N202" i="10" s="1"/>
  <c r="N203" i="10" s="1"/>
  <c r="N204" i="10" s="1"/>
  <c r="N205" i="10" s="1"/>
  <c r="N206" i="10" s="1"/>
  <c r="N207" i="10" s="1"/>
  <c r="N208" i="10" s="1"/>
  <c r="N209" i="10" s="1"/>
  <c r="N210" i="10" s="1"/>
  <c r="N211" i="10" s="1"/>
  <c r="N212" i="10" s="1"/>
  <c r="N213" i="10" s="1"/>
  <c r="N214" i="10" s="1"/>
  <c r="N215" i="10" s="1"/>
  <c r="N216" i="10" s="1"/>
  <c r="N217" i="10" s="1"/>
  <c r="N218" i="10" s="1"/>
  <c r="N219" i="10" s="1"/>
  <c r="N220" i="10" s="1"/>
  <c r="N221" i="10" s="1"/>
  <c r="N222" i="10" s="1"/>
  <c r="N223" i="10" s="1"/>
  <c r="N224" i="10" s="1"/>
  <c r="N225" i="10" s="1"/>
  <c r="N226" i="10" s="1"/>
  <c r="N227" i="10" s="1"/>
  <c r="N228" i="10" s="1"/>
  <c r="N229" i="10" s="1"/>
  <c r="N230" i="10" s="1"/>
  <c r="N231" i="10" s="1"/>
  <c r="N232" i="10" s="1"/>
  <c r="N233" i="10" s="1"/>
  <c r="N234" i="10" s="1"/>
  <c r="N235" i="10" s="1"/>
  <c r="N236" i="10" s="1"/>
  <c r="N237" i="10" s="1"/>
  <c r="N238" i="10" s="1"/>
  <c r="N239" i="10" s="1"/>
  <c r="N240" i="10" s="1"/>
  <c r="N241" i="10" s="1"/>
  <c r="N242" i="10" s="1"/>
  <c r="N243" i="10" s="1"/>
  <c r="N244" i="10" s="1"/>
  <c r="N245" i="10" s="1"/>
  <c r="N246" i="10" s="1"/>
  <c r="N247" i="10" s="1"/>
  <c r="N248" i="10" s="1"/>
  <c r="N249" i="10" s="1"/>
  <c r="N250" i="10" s="1"/>
  <c r="N251" i="10" s="1"/>
  <c r="N252" i="10" s="1"/>
  <c r="N253" i="10" s="1"/>
  <c r="N254" i="10" s="1"/>
  <c r="N255" i="10" s="1"/>
  <c r="N256" i="10" s="1"/>
  <c r="N257" i="10" s="1"/>
  <c r="N258" i="10" s="1"/>
  <c r="N259" i="10" s="1"/>
  <c r="N260" i="10" s="1"/>
  <c r="N261" i="10" s="1"/>
  <c r="N262" i="10" s="1"/>
  <c r="N263" i="10" s="1"/>
  <c r="N264" i="10" s="1"/>
  <c r="N265" i="10" s="1"/>
  <c r="N266" i="10" s="1"/>
  <c r="N267" i="10" s="1"/>
  <c r="N268" i="10" s="1"/>
  <c r="N269" i="10" s="1"/>
  <c r="N270" i="10" s="1"/>
  <c r="N271" i="10" s="1"/>
  <c r="N272" i="10" s="1"/>
  <c r="N273" i="10" s="1"/>
  <c r="N274" i="10" s="1"/>
  <c r="N275" i="10" s="1"/>
  <c r="N276" i="10" s="1"/>
  <c r="N277" i="10" s="1"/>
  <c r="N278" i="10" s="1"/>
  <c r="N279" i="10" s="1"/>
  <c r="N280" i="10" s="1"/>
  <c r="N281" i="10" s="1"/>
  <c r="N282" i="10" s="1"/>
  <c r="N283" i="10" s="1"/>
  <c r="N284" i="10" s="1"/>
  <c r="N285" i="10" s="1"/>
  <c r="N286" i="10" s="1"/>
  <c r="N287" i="10" s="1"/>
  <c r="N288" i="10" s="1"/>
  <c r="N289" i="10" s="1"/>
  <c r="N290" i="10" s="1"/>
  <c r="N291" i="10" s="1"/>
  <c r="N292" i="10" s="1"/>
  <c r="N293" i="10" s="1"/>
  <c r="N294" i="10" s="1"/>
  <c r="N295" i="10" s="1"/>
  <c r="N296" i="10" s="1"/>
  <c r="N297" i="10" s="1"/>
  <c r="N298" i="10" s="1"/>
  <c r="N299" i="10" s="1"/>
  <c r="N300" i="10" s="1"/>
  <c r="N301" i="10" s="1"/>
  <c r="N302" i="10" s="1"/>
  <c r="N303" i="10" s="1"/>
  <c r="N304" i="10" s="1"/>
  <c r="N305" i="10" s="1"/>
  <c r="N306" i="10" s="1"/>
  <c r="N307" i="10" s="1"/>
  <c r="N308" i="10" s="1"/>
  <c r="N309" i="10" s="1"/>
  <c r="N310" i="10" s="1"/>
  <c r="N311" i="10" s="1"/>
  <c r="N312" i="10" s="1"/>
  <c r="N313" i="10" s="1"/>
  <c r="N314" i="10" s="1"/>
  <c r="N315" i="10" s="1"/>
  <c r="N316" i="10" s="1"/>
  <c r="N317" i="10" s="1"/>
  <c r="N318" i="10" s="1"/>
  <c r="N319" i="10" s="1"/>
  <c r="N320" i="10" s="1"/>
  <c r="N321" i="10" s="1"/>
  <c r="N322" i="10" s="1"/>
  <c r="N323" i="10" s="1"/>
  <c r="N324" i="10" s="1"/>
  <c r="N325" i="10" s="1"/>
  <c r="N326" i="10" s="1"/>
  <c r="N327" i="10" s="1"/>
  <c r="N328" i="10" s="1"/>
  <c r="N329" i="10" s="1"/>
  <c r="N330" i="10" s="1"/>
  <c r="N331" i="10" s="1"/>
  <c r="N332" i="10" s="1"/>
  <c r="N333" i="10" s="1"/>
  <c r="N334" i="10" s="1"/>
  <c r="N335" i="10" s="1"/>
  <c r="N336" i="10" s="1"/>
  <c r="N337" i="10" s="1"/>
  <c r="N338" i="10" s="1"/>
  <c r="N339" i="10" s="1"/>
  <c r="N340" i="10" s="1"/>
  <c r="N341" i="10" s="1"/>
  <c r="N342" i="10" s="1"/>
  <c r="N343" i="10" s="1"/>
  <c r="N344" i="10" s="1"/>
  <c r="N345" i="10" s="1"/>
  <c r="N346" i="10" s="1"/>
  <c r="N347" i="10" s="1"/>
  <c r="N348" i="10" s="1"/>
  <c r="N349" i="10" s="1"/>
  <c r="N350" i="10" s="1"/>
  <c r="N351" i="10" s="1"/>
  <c r="N352" i="10" s="1"/>
  <c r="N353" i="10" s="1"/>
  <c r="N354" i="10" s="1"/>
  <c r="N355" i="10" s="1"/>
  <c r="N356" i="10" s="1"/>
  <c r="N357" i="10" s="1"/>
  <c r="N358" i="10" s="1"/>
  <c r="N359" i="10" s="1"/>
  <c r="N360" i="10" s="1"/>
  <c r="N361" i="10" s="1"/>
  <c r="C8" i="1"/>
  <c r="C8" i="41" s="1"/>
  <c r="C26" i="41" s="1"/>
  <c r="B8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N7" i="25" l="1"/>
  <c r="O6" i="25"/>
  <c r="C9" i="1"/>
  <c r="C9" i="41" s="1"/>
  <c r="C27" i="41" s="1"/>
  <c r="B9" i="1"/>
  <c r="N8" i="25" l="1"/>
  <c r="O7" i="25"/>
  <c r="C10" i="1"/>
  <c r="C10" i="41" s="1"/>
  <c r="C28" i="41" s="1"/>
  <c r="B10" i="1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N9" i="25" l="1"/>
  <c r="O8" i="25"/>
  <c r="C11" i="1"/>
  <c r="C11" i="41" s="1"/>
  <c r="C29" i="41" s="1"/>
  <c r="B11" i="1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14" i="1"/>
  <c r="O13" i="1"/>
  <c r="O12" i="1"/>
  <c r="O11" i="1"/>
  <c r="O10" i="1"/>
  <c r="O9" i="1"/>
  <c r="O8" i="1"/>
  <c r="O4" i="1"/>
  <c r="O3" i="1"/>
  <c r="O7" i="1"/>
  <c r="O6" i="1"/>
  <c r="O5" i="1"/>
  <c r="N10" i="25" l="1"/>
  <c r="O9" i="25"/>
  <c r="C12" i="1"/>
  <c r="C12" i="41" s="1"/>
  <c r="C30" i="41" s="1"/>
  <c r="B12" i="1"/>
  <c r="O2" i="3"/>
  <c r="O2" i="2"/>
  <c r="O2" i="1"/>
  <c r="N11" i="25" l="1"/>
  <c r="O10" i="25"/>
  <c r="C13" i="1"/>
  <c r="C13" i="41" s="1"/>
  <c r="C31" i="41" s="1"/>
  <c r="B13" i="1"/>
  <c r="N12" i="25" l="1"/>
  <c r="O11" i="25"/>
  <c r="C14" i="1"/>
  <c r="C14" i="41" s="1"/>
  <c r="C32" i="41" s="1"/>
  <c r="B14" i="1"/>
  <c r="N13" i="25" l="1"/>
  <c r="O12" i="25"/>
  <c r="N14" i="25" l="1"/>
  <c r="O13" i="25"/>
  <c r="N15" i="25" l="1"/>
  <c r="O14" i="25"/>
  <c r="N16" i="25" l="1"/>
  <c r="O15" i="25"/>
  <c r="N17" i="25" l="1"/>
  <c r="O16" i="25"/>
  <c r="N18" i="25" l="1"/>
  <c r="O17" i="25"/>
  <c r="N19" i="25" l="1"/>
  <c r="O18" i="25"/>
  <c r="N20" i="25" l="1"/>
  <c r="O19" i="25"/>
  <c r="N21" i="25" l="1"/>
  <c r="O20" i="25"/>
  <c r="N22" i="25" l="1"/>
  <c r="O21" i="25"/>
  <c r="N23" i="25" l="1"/>
  <c r="O22" i="25"/>
  <c r="N24" i="25" l="1"/>
  <c r="O23" i="25"/>
  <c r="N25" i="25" l="1"/>
  <c r="O24" i="25"/>
  <c r="N26" i="25" l="1"/>
  <c r="O25" i="25"/>
  <c r="N27" i="25" l="1"/>
  <c r="O26" i="25"/>
  <c r="N28" i="25" l="1"/>
  <c r="O27" i="25"/>
  <c r="N29" i="25" l="1"/>
  <c r="O28" i="25"/>
  <c r="N30" i="25" l="1"/>
  <c r="O29" i="25"/>
  <c r="N31" i="25" l="1"/>
  <c r="O30" i="25"/>
  <c r="N32" i="25" l="1"/>
  <c r="O31" i="25"/>
  <c r="N33" i="25" l="1"/>
  <c r="O32" i="25"/>
  <c r="N34" i="25" l="1"/>
  <c r="O33" i="25"/>
  <c r="N35" i="25" l="1"/>
  <c r="O34" i="25"/>
  <c r="N36" i="25" l="1"/>
  <c r="O35" i="25"/>
  <c r="N37" i="25" l="1"/>
  <c r="O36" i="25"/>
  <c r="N38" i="25" l="1"/>
  <c r="O37" i="25"/>
  <c r="N39" i="25" l="1"/>
  <c r="O38" i="25"/>
  <c r="N40" i="25" l="1"/>
  <c r="O39" i="25"/>
  <c r="N41" i="25" l="1"/>
  <c r="O40" i="25"/>
  <c r="N42" i="25" l="1"/>
  <c r="O41" i="25"/>
  <c r="N43" i="25" l="1"/>
  <c r="O42" i="25"/>
  <c r="N44" i="25" l="1"/>
  <c r="O43" i="25"/>
  <c r="N45" i="25" l="1"/>
  <c r="O44" i="25"/>
  <c r="N46" i="25" l="1"/>
  <c r="O45" i="25"/>
  <c r="N47" i="25" l="1"/>
  <c r="O46" i="25"/>
  <c r="N48" i="25" l="1"/>
  <c r="O47" i="25"/>
  <c r="N49" i="25" l="1"/>
  <c r="O48" i="25"/>
  <c r="N50" i="25" l="1"/>
  <c r="O49" i="25"/>
  <c r="N51" i="25" l="1"/>
  <c r="O50" i="25"/>
  <c r="N52" i="25" l="1"/>
  <c r="O51" i="25"/>
  <c r="N53" i="25" l="1"/>
  <c r="O52" i="25"/>
  <c r="N54" i="25" l="1"/>
  <c r="O53" i="25"/>
  <c r="N55" i="25" l="1"/>
  <c r="O54" i="25"/>
  <c r="N56" i="25" l="1"/>
  <c r="O55" i="25"/>
  <c r="N57" i="25" l="1"/>
  <c r="O56" i="25"/>
  <c r="N58" i="25" l="1"/>
  <c r="O57" i="25"/>
  <c r="N59" i="25" l="1"/>
  <c r="O58" i="25"/>
  <c r="N60" i="25" l="1"/>
  <c r="O59" i="25"/>
  <c r="N61" i="25" l="1"/>
  <c r="O60" i="25"/>
  <c r="N62" i="25" l="1"/>
  <c r="O61" i="25"/>
  <c r="N63" i="25" l="1"/>
  <c r="O62" i="25"/>
  <c r="N64" i="25" l="1"/>
  <c r="O63" i="25"/>
  <c r="N65" i="25" l="1"/>
  <c r="O64" i="25"/>
  <c r="N66" i="25" l="1"/>
  <c r="O65" i="25"/>
  <c r="N67" i="25" l="1"/>
  <c r="O66" i="25"/>
  <c r="N68" i="25" l="1"/>
  <c r="O67" i="25"/>
  <c r="N69" i="25" l="1"/>
  <c r="O68" i="25"/>
  <c r="N70" i="25" l="1"/>
  <c r="O69" i="25"/>
  <c r="N71" i="25" l="1"/>
  <c r="O70" i="25"/>
  <c r="N72" i="25" l="1"/>
  <c r="O71" i="25"/>
  <c r="N73" i="25" l="1"/>
  <c r="O72" i="25"/>
  <c r="N74" i="25" l="1"/>
  <c r="O73" i="25"/>
  <c r="N75" i="25" l="1"/>
  <c r="O74" i="25"/>
  <c r="N76" i="25" l="1"/>
  <c r="O75" i="25"/>
  <c r="N77" i="25" l="1"/>
  <c r="O76" i="25"/>
  <c r="N78" i="25" l="1"/>
  <c r="O77" i="25"/>
  <c r="N79" i="25" l="1"/>
  <c r="O78" i="25"/>
  <c r="N80" i="25" l="1"/>
  <c r="O79" i="25"/>
  <c r="N81" i="25" l="1"/>
  <c r="O80" i="25"/>
  <c r="N82" i="25" l="1"/>
  <c r="O81" i="25"/>
  <c r="N83" i="25" l="1"/>
  <c r="O82" i="25"/>
  <c r="N84" i="25" l="1"/>
  <c r="O83" i="25"/>
  <c r="N85" i="25" l="1"/>
  <c r="O84" i="25"/>
  <c r="N86" i="25" l="1"/>
  <c r="O85" i="25"/>
  <c r="N87" i="25" l="1"/>
  <c r="O86" i="25"/>
  <c r="N88" i="25" l="1"/>
  <c r="O87" i="25"/>
  <c r="N89" i="25" l="1"/>
  <c r="O88" i="25"/>
  <c r="N90" i="25" l="1"/>
  <c r="O89" i="25"/>
  <c r="N91" i="25" l="1"/>
  <c r="O90" i="25"/>
  <c r="N92" i="25" l="1"/>
  <c r="O91" i="25"/>
  <c r="N93" i="25" l="1"/>
  <c r="O92" i="25"/>
  <c r="N94" i="25" l="1"/>
  <c r="O93" i="25"/>
  <c r="N95" i="25" l="1"/>
  <c r="O94" i="25"/>
  <c r="N96" i="25" l="1"/>
  <c r="O95" i="25"/>
  <c r="N97" i="25" l="1"/>
  <c r="O96" i="25"/>
  <c r="N98" i="25" l="1"/>
  <c r="O97" i="25"/>
  <c r="N99" i="25" l="1"/>
  <c r="O98" i="25"/>
  <c r="N100" i="25" l="1"/>
  <c r="O99" i="25"/>
  <c r="N101" i="25" l="1"/>
  <c r="O100" i="25"/>
  <c r="N102" i="25" l="1"/>
  <c r="O101" i="25"/>
  <c r="N103" i="25" l="1"/>
  <c r="O102" i="25"/>
  <c r="N104" i="25" l="1"/>
  <c r="O103" i="25"/>
  <c r="N105" i="25" l="1"/>
  <c r="O104" i="25"/>
  <c r="N106" i="25" l="1"/>
  <c r="O105" i="25"/>
  <c r="N107" i="25" l="1"/>
  <c r="O106" i="25"/>
  <c r="N108" i="25" l="1"/>
  <c r="O107" i="25"/>
  <c r="N109" i="25" l="1"/>
  <c r="O108" i="25"/>
  <c r="N110" i="25" l="1"/>
  <c r="O109" i="25"/>
  <c r="N111" i="25" l="1"/>
  <c r="O110" i="25"/>
  <c r="N112" i="25" l="1"/>
  <c r="O111" i="25"/>
  <c r="N113" i="25" l="1"/>
  <c r="O112" i="25"/>
  <c r="N114" i="25" l="1"/>
  <c r="O113" i="25"/>
  <c r="N115" i="25" l="1"/>
  <c r="O114" i="25"/>
  <c r="N116" i="25" l="1"/>
  <c r="O115" i="25"/>
  <c r="N117" i="25" l="1"/>
  <c r="O116" i="25"/>
  <c r="N118" i="25" l="1"/>
  <c r="O117" i="25"/>
  <c r="N119" i="25" l="1"/>
  <c r="O118" i="25"/>
  <c r="N120" i="25" l="1"/>
  <c r="O119" i="25"/>
  <c r="N121" i="25" l="1"/>
  <c r="O120" i="25"/>
  <c r="N122" i="25" l="1"/>
  <c r="O121" i="25"/>
  <c r="N123" i="25" l="1"/>
  <c r="O122" i="25"/>
  <c r="N124" i="25" l="1"/>
  <c r="O123" i="25"/>
  <c r="N125" i="25" l="1"/>
  <c r="O124" i="25"/>
  <c r="N126" i="25" l="1"/>
  <c r="O125" i="25"/>
  <c r="N127" i="25" l="1"/>
  <c r="O126" i="25"/>
  <c r="N128" i="25" l="1"/>
  <c r="O127" i="25"/>
  <c r="N129" i="25" l="1"/>
  <c r="O128" i="25"/>
  <c r="N130" i="25" l="1"/>
  <c r="O129" i="25"/>
  <c r="N131" i="25" l="1"/>
  <c r="O130" i="25"/>
  <c r="N132" i="25" l="1"/>
  <c r="O131" i="25"/>
  <c r="N133" i="25" l="1"/>
  <c r="O132" i="25"/>
  <c r="N134" i="25" l="1"/>
  <c r="O133" i="25"/>
  <c r="N135" i="25" l="1"/>
  <c r="O134" i="25"/>
  <c r="N136" i="25" l="1"/>
  <c r="O135" i="25"/>
  <c r="N137" i="25" l="1"/>
  <c r="O136" i="25"/>
  <c r="N138" i="25" l="1"/>
  <c r="O137" i="25"/>
  <c r="N139" i="25" l="1"/>
  <c r="O138" i="25"/>
  <c r="N140" i="25" l="1"/>
  <c r="O139" i="25"/>
  <c r="N141" i="25" l="1"/>
  <c r="O140" i="25"/>
  <c r="N142" i="25" l="1"/>
  <c r="O141" i="25"/>
  <c r="N143" i="25" l="1"/>
  <c r="O142" i="25"/>
  <c r="N144" i="25" l="1"/>
  <c r="O143" i="25"/>
  <c r="N145" i="25" l="1"/>
  <c r="O144" i="25"/>
  <c r="N146" i="25" l="1"/>
  <c r="O145" i="25"/>
  <c r="N147" i="25" l="1"/>
  <c r="O146" i="25"/>
  <c r="N148" i="25" l="1"/>
  <c r="O147" i="25"/>
  <c r="N149" i="25" l="1"/>
  <c r="O148" i="25"/>
  <c r="N150" i="25" l="1"/>
  <c r="O149" i="25"/>
  <c r="N151" i="25" l="1"/>
  <c r="O150" i="25"/>
  <c r="N152" i="25" l="1"/>
  <c r="O151" i="25"/>
  <c r="N153" i="25" l="1"/>
  <c r="O152" i="25"/>
  <c r="N154" i="25" l="1"/>
  <c r="O153" i="25"/>
  <c r="N155" i="25" l="1"/>
  <c r="O154" i="25"/>
  <c r="N156" i="25" l="1"/>
  <c r="O155" i="25"/>
  <c r="N157" i="25" l="1"/>
  <c r="O156" i="25"/>
  <c r="N158" i="25" l="1"/>
  <c r="O157" i="25"/>
  <c r="N159" i="25" l="1"/>
  <c r="O158" i="25"/>
  <c r="N160" i="25" l="1"/>
  <c r="O159" i="25"/>
  <c r="N161" i="25" l="1"/>
  <c r="O160" i="25"/>
  <c r="N162" i="25" l="1"/>
  <c r="O161" i="25"/>
  <c r="N163" i="25" l="1"/>
  <c r="O162" i="25"/>
  <c r="N164" i="25" l="1"/>
  <c r="O163" i="25"/>
  <c r="N165" i="25" l="1"/>
  <c r="O164" i="25"/>
  <c r="N166" i="25" l="1"/>
  <c r="O165" i="25"/>
  <c r="N167" i="25" l="1"/>
  <c r="O166" i="25"/>
  <c r="N168" i="25" l="1"/>
  <c r="O167" i="25"/>
  <c r="N169" i="25" l="1"/>
  <c r="O168" i="25"/>
  <c r="N170" i="25" l="1"/>
  <c r="O169" i="25"/>
  <c r="N171" i="25" l="1"/>
  <c r="O170" i="25"/>
  <c r="N172" i="25" l="1"/>
  <c r="O171" i="25"/>
  <c r="N173" i="25" l="1"/>
  <c r="O172" i="25"/>
  <c r="N174" i="25" l="1"/>
  <c r="O173" i="25"/>
  <c r="N175" i="25" l="1"/>
  <c r="O174" i="25"/>
  <c r="N176" i="25" l="1"/>
  <c r="O175" i="25"/>
  <c r="N177" i="25" l="1"/>
  <c r="O176" i="25"/>
  <c r="N178" i="25" l="1"/>
  <c r="O177" i="25"/>
  <c r="N179" i="25" l="1"/>
  <c r="O178" i="25"/>
  <c r="N180" i="25" l="1"/>
  <c r="O179" i="25"/>
  <c r="N181" i="25" l="1"/>
  <c r="O180" i="25"/>
  <c r="N182" i="25" l="1"/>
  <c r="O181" i="25"/>
  <c r="N183" i="25" l="1"/>
  <c r="O182" i="25"/>
  <c r="N184" i="25" l="1"/>
  <c r="O183" i="25"/>
  <c r="N185" i="25" l="1"/>
  <c r="O184" i="25"/>
  <c r="N186" i="25" l="1"/>
  <c r="O185" i="25"/>
  <c r="N187" i="25" l="1"/>
  <c r="O186" i="25"/>
  <c r="N188" i="25" l="1"/>
  <c r="O187" i="25"/>
  <c r="N189" i="25" l="1"/>
  <c r="O188" i="25"/>
  <c r="N190" i="25" l="1"/>
  <c r="O189" i="25"/>
  <c r="N191" i="25" l="1"/>
  <c r="O190" i="25"/>
  <c r="N192" i="25" l="1"/>
  <c r="O191" i="25"/>
  <c r="N193" i="25" l="1"/>
  <c r="O192" i="25"/>
  <c r="N194" i="25" l="1"/>
  <c r="O193" i="25"/>
  <c r="N195" i="25" l="1"/>
  <c r="O194" i="25"/>
  <c r="N196" i="25" l="1"/>
  <c r="O195" i="25"/>
  <c r="N197" i="25" l="1"/>
  <c r="O196" i="25"/>
  <c r="N198" i="25" l="1"/>
  <c r="O197" i="25"/>
  <c r="N199" i="25" l="1"/>
  <c r="O198" i="25"/>
  <c r="N200" i="25" l="1"/>
  <c r="O199" i="25"/>
  <c r="N201" i="25" l="1"/>
  <c r="O200" i="25"/>
  <c r="N202" i="25" l="1"/>
  <c r="O201" i="25"/>
  <c r="N203" i="25" l="1"/>
  <c r="O202" i="25"/>
  <c r="N204" i="25" l="1"/>
  <c r="O203" i="25"/>
  <c r="N205" i="25" l="1"/>
  <c r="O204" i="25"/>
  <c r="N206" i="25" l="1"/>
  <c r="O205" i="25"/>
  <c r="N207" i="25" l="1"/>
  <c r="O206" i="25"/>
  <c r="N208" i="25" l="1"/>
  <c r="O207" i="25"/>
  <c r="N209" i="25" l="1"/>
  <c r="O208" i="25"/>
  <c r="N210" i="25" l="1"/>
  <c r="O209" i="25"/>
  <c r="N211" i="25" l="1"/>
  <c r="O210" i="25"/>
  <c r="N212" i="25" l="1"/>
  <c r="O211" i="25"/>
  <c r="N213" i="25" l="1"/>
  <c r="O212" i="25"/>
  <c r="N214" i="25" l="1"/>
  <c r="O213" i="25"/>
  <c r="N215" i="25" l="1"/>
  <c r="O214" i="25"/>
  <c r="N216" i="25" l="1"/>
  <c r="O215" i="25"/>
  <c r="N217" i="25" l="1"/>
  <c r="O216" i="25"/>
  <c r="N218" i="25" l="1"/>
  <c r="O217" i="25"/>
  <c r="N219" i="25" l="1"/>
  <c r="O218" i="25"/>
  <c r="N220" i="25" l="1"/>
  <c r="O219" i="25"/>
  <c r="N221" i="25" l="1"/>
  <c r="O220" i="25"/>
  <c r="N222" i="25" l="1"/>
  <c r="O221" i="25"/>
  <c r="N223" i="25" l="1"/>
  <c r="O222" i="25"/>
  <c r="N224" i="25" l="1"/>
  <c r="O223" i="25"/>
  <c r="N225" i="25" l="1"/>
  <c r="O224" i="25"/>
  <c r="N226" i="25" l="1"/>
  <c r="O225" i="25"/>
  <c r="N227" i="25" l="1"/>
  <c r="O226" i="25"/>
  <c r="N228" i="25" l="1"/>
  <c r="O227" i="25"/>
  <c r="N229" i="25" l="1"/>
  <c r="O228" i="25"/>
  <c r="N230" i="25" l="1"/>
  <c r="O229" i="25"/>
  <c r="N231" i="25" l="1"/>
  <c r="O230" i="25"/>
  <c r="N232" i="25" l="1"/>
  <c r="O231" i="25"/>
  <c r="N233" i="25" l="1"/>
  <c r="O232" i="25"/>
  <c r="N234" i="25" l="1"/>
  <c r="O233" i="25"/>
  <c r="N235" i="25" l="1"/>
  <c r="O234" i="25"/>
  <c r="N236" i="25" l="1"/>
  <c r="O235" i="25"/>
  <c r="N237" i="25" l="1"/>
  <c r="O236" i="25"/>
  <c r="N238" i="25" l="1"/>
  <c r="O237" i="25"/>
  <c r="N239" i="25" l="1"/>
  <c r="O238" i="25"/>
  <c r="N240" i="25" l="1"/>
  <c r="O239" i="25"/>
  <c r="N241" i="25" l="1"/>
  <c r="O240" i="25"/>
  <c r="N242" i="25" l="1"/>
  <c r="O241" i="25"/>
  <c r="N243" i="25" l="1"/>
  <c r="O242" i="25"/>
  <c r="N244" i="25" l="1"/>
  <c r="O243" i="25"/>
  <c r="N245" i="25" l="1"/>
  <c r="O244" i="25"/>
  <c r="N246" i="25" l="1"/>
  <c r="O245" i="25"/>
  <c r="N247" i="25" l="1"/>
  <c r="O246" i="25"/>
  <c r="N248" i="25" l="1"/>
  <c r="O247" i="25"/>
  <c r="N249" i="25" l="1"/>
  <c r="O248" i="25"/>
  <c r="N250" i="25" l="1"/>
  <c r="O249" i="25"/>
  <c r="N251" i="25" l="1"/>
  <c r="O250" i="25"/>
  <c r="N252" i="25" l="1"/>
  <c r="O251" i="25"/>
  <c r="N253" i="25" l="1"/>
  <c r="O252" i="25"/>
  <c r="N254" i="25" l="1"/>
  <c r="O253" i="25"/>
  <c r="N255" i="25" l="1"/>
  <c r="O254" i="25"/>
  <c r="N256" i="25" l="1"/>
  <c r="O255" i="25"/>
  <c r="N257" i="25" l="1"/>
  <c r="O256" i="25"/>
  <c r="N258" i="25" l="1"/>
  <c r="O257" i="25"/>
  <c r="N259" i="25" l="1"/>
  <c r="O258" i="25"/>
  <c r="N260" i="25" l="1"/>
  <c r="O259" i="25"/>
  <c r="N261" i="25" l="1"/>
  <c r="O260" i="25"/>
  <c r="N262" i="25" l="1"/>
  <c r="O261" i="25"/>
  <c r="N263" i="25" l="1"/>
  <c r="O262" i="25"/>
  <c r="N264" i="25" l="1"/>
  <c r="O263" i="25"/>
  <c r="N265" i="25" l="1"/>
  <c r="O264" i="25"/>
  <c r="N266" i="25" l="1"/>
  <c r="O265" i="25"/>
  <c r="N267" i="25" l="1"/>
  <c r="O266" i="25"/>
  <c r="N268" i="25" l="1"/>
  <c r="O267" i="25"/>
  <c r="N269" i="25" l="1"/>
  <c r="O268" i="25"/>
  <c r="N270" i="25" l="1"/>
  <c r="O269" i="25"/>
  <c r="N271" i="25" l="1"/>
  <c r="O270" i="25"/>
  <c r="N272" i="25" l="1"/>
  <c r="O271" i="25"/>
  <c r="N273" i="25" l="1"/>
  <c r="O272" i="25"/>
  <c r="N274" i="25" l="1"/>
  <c r="O273" i="25"/>
  <c r="N275" i="25" l="1"/>
  <c r="O274" i="25"/>
  <c r="N276" i="25" l="1"/>
  <c r="O275" i="25"/>
  <c r="N277" i="25" l="1"/>
  <c r="O276" i="25"/>
  <c r="N278" i="25" l="1"/>
  <c r="O277" i="25"/>
  <c r="N279" i="25" l="1"/>
  <c r="O278" i="25"/>
  <c r="N280" i="25" l="1"/>
  <c r="O279" i="25"/>
  <c r="N281" i="25" l="1"/>
  <c r="O280" i="25"/>
  <c r="N282" i="25" l="1"/>
  <c r="O281" i="25"/>
  <c r="N283" i="25" l="1"/>
  <c r="O282" i="25"/>
  <c r="N284" i="25" l="1"/>
  <c r="O283" i="25"/>
  <c r="N285" i="25" l="1"/>
  <c r="O284" i="25"/>
  <c r="N286" i="25" l="1"/>
  <c r="O285" i="25"/>
  <c r="N287" i="25" l="1"/>
  <c r="O286" i="25"/>
  <c r="N288" i="25" l="1"/>
  <c r="O287" i="25"/>
  <c r="N289" i="25" l="1"/>
  <c r="O288" i="25"/>
  <c r="N290" i="25" l="1"/>
  <c r="O289" i="25"/>
  <c r="N291" i="25" l="1"/>
  <c r="O290" i="25"/>
  <c r="N292" i="25" l="1"/>
  <c r="O291" i="25"/>
  <c r="N293" i="25" l="1"/>
  <c r="O292" i="25"/>
  <c r="N294" i="25" l="1"/>
  <c r="O293" i="25"/>
  <c r="N295" i="25" l="1"/>
  <c r="O294" i="25"/>
  <c r="N296" i="25" l="1"/>
  <c r="O295" i="25"/>
  <c r="N297" i="25" l="1"/>
  <c r="O296" i="25"/>
  <c r="N298" i="25" l="1"/>
  <c r="O297" i="25"/>
  <c r="N299" i="25" l="1"/>
  <c r="O298" i="25"/>
  <c r="N300" i="25" l="1"/>
  <c r="O299" i="25"/>
  <c r="N301" i="25" l="1"/>
  <c r="O300" i="25"/>
  <c r="N302" i="25" l="1"/>
  <c r="O301" i="25"/>
  <c r="N303" i="25" l="1"/>
  <c r="O302" i="25"/>
  <c r="N304" i="25" l="1"/>
  <c r="O303" i="25"/>
  <c r="N305" i="25" l="1"/>
  <c r="O304" i="25"/>
  <c r="N306" i="25" l="1"/>
  <c r="O305" i="25"/>
  <c r="N307" i="25" l="1"/>
  <c r="O306" i="25"/>
  <c r="N308" i="25" l="1"/>
  <c r="O307" i="25"/>
  <c r="N309" i="25" l="1"/>
  <c r="O308" i="25"/>
  <c r="N310" i="25" l="1"/>
  <c r="O309" i="25"/>
  <c r="N311" i="25" l="1"/>
  <c r="O310" i="25"/>
  <c r="N312" i="25" l="1"/>
  <c r="O311" i="25"/>
  <c r="N313" i="25" l="1"/>
  <c r="O312" i="25"/>
  <c r="N314" i="25" l="1"/>
  <c r="O313" i="25"/>
  <c r="N315" i="25" l="1"/>
  <c r="O314" i="25"/>
  <c r="N316" i="25" l="1"/>
  <c r="O315" i="25"/>
  <c r="N317" i="25" l="1"/>
  <c r="O316" i="25"/>
  <c r="N318" i="25" l="1"/>
  <c r="O317" i="25"/>
  <c r="N319" i="25" l="1"/>
  <c r="O318" i="25"/>
  <c r="N320" i="25" l="1"/>
  <c r="O319" i="25"/>
  <c r="N321" i="25" l="1"/>
  <c r="O320" i="25"/>
  <c r="N322" i="25" l="1"/>
  <c r="O321" i="25"/>
  <c r="N323" i="25" l="1"/>
  <c r="O322" i="25"/>
  <c r="N324" i="25" l="1"/>
  <c r="O323" i="25"/>
  <c r="N325" i="25" l="1"/>
  <c r="O324" i="25"/>
  <c r="N326" i="25" l="1"/>
  <c r="O325" i="25"/>
  <c r="N327" i="25" l="1"/>
  <c r="O326" i="25"/>
  <c r="N328" i="25" l="1"/>
  <c r="O327" i="25"/>
  <c r="N329" i="25" l="1"/>
  <c r="O328" i="25"/>
  <c r="N330" i="25" l="1"/>
  <c r="O329" i="25"/>
  <c r="N331" i="25" l="1"/>
  <c r="O330" i="25"/>
  <c r="N332" i="25" l="1"/>
  <c r="O331" i="25"/>
  <c r="N333" i="25" l="1"/>
  <c r="O332" i="25"/>
  <c r="N334" i="25" l="1"/>
  <c r="O333" i="25"/>
  <c r="N335" i="25" l="1"/>
  <c r="O334" i="25"/>
  <c r="N336" i="25" l="1"/>
  <c r="O335" i="25"/>
  <c r="N337" i="25" l="1"/>
  <c r="O336" i="25"/>
  <c r="N338" i="25" l="1"/>
  <c r="O337" i="25"/>
  <c r="N339" i="25" l="1"/>
  <c r="O338" i="25"/>
  <c r="N340" i="25" l="1"/>
  <c r="O339" i="25"/>
  <c r="N341" i="25" l="1"/>
  <c r="O340" i="25"/>
  <c r="N342" i="25" l="1"/>
  <c r="O341" i="25"/>
  <c r="N343" i="25" l="1"/>
  <c r="O342" i="25"/>
  <c r="N344" i="25" l="1"/>
  <c r="O343" i="25"/>
  <c r="N345" i="25" l="1"/>
  <c r="O344" i="25"/>
  <c r="N346" i="25" l="1"/>
  <c r="O345" i="25"/>
  <c r="N347" i="25" l="1"/>
  <c r="O346" i="25"/>
  <c r="N348" i="25" l="1"/>
  <c r="O347" i="25"/>
  <c r="N349" i="25" l="1"/>
  <c r="O348" i="25"/>
  <c r="N350" i="25" l="1"/>
  <c r="O349" i="25"/>
  <c r="N351" i="25" l="1"/>
  <c r="O350" i="25"/>
  <c r="N352" i="25" l="1"/>
  <c r="O351" i="25"/>
  <c r="N353" i="25" l="1"/>
  <c r="O352" i="25"/>
  <c r="N354" i="25" l="1"/>
  <c r="O353" i="25"/>
  <c r="N355" i="25" l="1"/>
  <c r="O354" i="25"/>
  <c r="N356" i="25" l="1"/>
  <c r="O355" i="25"/>
  <c r="N357" i="25" l="1"/>
  <c r="O356" i="25"/>
  <c r="N358" i="25" l="1"/>
  <c r="O357" i="25"/>
  <c r="N359" i="25" l="1"/>
  <c r="O358" i="25"/>
  <c r="N360" i="25" l="1"/>
  <c r="O359" i="25"/>
  <c r="N361" i="25" l="1"/>
  <c r="O360" i="25"/>
  <c r="N362" i="25" l="1"/>
  <c r="O361" i="25"/>
  <c r="N363" i="25" l="1"/>
  <c r="O362" i="25"/>
  <c r="N364" i="25" l="1"/>
  <c r="O363" i="25"/>
  <c r="N365" i="25" l="1"/>
  <c r="O364" i="25"/>
  <c r="N366" i="25" l="1"/>
  <c r="O365" i="25"/>
  <c r="N367" i="25" l="1"/>
  <c r="O366" i="25"/>
  <c r="N368" i="25" l="1"/>
  <c r="O367" i="25"/>
  <c r="N369" i="25" l="1"/>
  <c r="O368" i="25"/>
  <c r="N370" i="25" l="1"/>
  <c r="O369" i="25"/>
  <c r="N371" i="25" l="1"/>
  <c r="O370" i="25"/>
  <c r="N372" i="25" l="1"/>
  <c r="O371" i="25"/>
  <c r="N373" i="25" l="1"/>
  <c r="O372" i="25"/>
  <c r="N374" i="25" l="1"/>
  <c r="O373" i="25"/>
  <c r="N375" i="25" l="1"/>
  <c r="O374" i="25"/>
  <c r="N376" i="25" l="1"/>
  <c r="O375" i="25"/>
  <c r="N377" i="25" l="1"/>
  <c r="O376" i="25"/>
  <c r="N378" i="25" l="1"/>
  <c r="O377" i="25"/>
  <c r="N379" i="25" l="1"/>
  <c r="O378" i="25"/>
  <c r="N380" i="25" l="1"/>
  <c r="O379" i="25"/>
  <c r="N381" i="25" l="1"/>
  <c r="O380" i="25"/>
  <c r="N382" i="25" l="1"/>
  <c r="O381" i="25"/>
  <c r="N383" i="25" l="1"/>
  <c r="O382" i="25"/>
  <c r="N384" i="25" l="1"/>
  <c r="O383" i="25"/>
  <c r="N385" i="25" l="1"/>
  <c r="O384" i="25"/>
  <c r="N386" i="25" l="1"/>
  <c r="O385" i="25"/>
  <c r="N387" i="25" l="1"/>
  <c r="O386" i="25"/>
  <c r="N388" i="25" l="1"/>
  <c r="O387" i="25"/>
  <c r="N389" i="25" l="1"/>
  <c r="O388" i="25"/>
  <c r="N390" i="25" l="1"/>
  <c r="O389" i="25"/>
  <c r="N391" i="25" l="1"/>
  <c r="O390" i="25"/>
  <c r="N392" i="25" l="1"/>
  <c r="O391" i="25"/>
  <c r="N393" i="25" l="1"/>
  <c r="O392" i="25"/>
  <c r="N394" i="25" l="1"/>
  <c r="O393" i="25"/>
  <c r="N395" i="25" l="1"/>
  <c r="O394" i="25"/>
  <c r="N396" i="25" l="1"/>
  <c r="O395" i="25"/>
  <c r="N397" i="25" l="1"/>
  <c r="O396" i="25"/>
  <c r="N398" i="25" l="1"/>
  <c r="O397" i="25"/>
  <c r="N399" i="25" l="1"/>
  <c r="O398" i="25"/>
  <c r="N400" i="25" l="1"/>
  <c r="O399" i="25"/>
  <c r="N401" i="25" l="1"/>
  <c r="O400" i="25"/>
  <c r="N402" i="25" l="1"/>
  <c r="O401" i="25"/>
  <c r="N403" i="25" l="1"/>
  <c r="O402" i="25"/>
  <c r="N404" i="25" l="1"/>
  <c r="O403" i="25"/>
  <c r="N405" i="25" l="1"/>
  <c r="O404" i="25"/>
  <c r="N406" i="25" l="1"/>
  <c r="O405" i="25"/>
  <c r="N407" i="25" l="1"/>
  <c r="O406" i="25"/>
  <c r="N408" i="25" l="1"/>
  <c r="O407" i="25"/>
  <c r="N409" i="25" l="1"/>
  <c r="O408" i="25"/>
  <c r="N410" i="25" l="1"/>
  <c r="O409" i="25"/>
  <c r="N411" i="25" l="1"/>
  <c r="O410" i="25"/>
  <c r="N412" i="25" l="1"/>
  <c r="O411" i="25"/>
  <c r="N413" i="25" l="1"/>
  <c r="O412" i="25"/>
  <c r="N414" i="25" l="1"/>
  <c r="O413" i="25"/>
  <c r="N415" i="25" l="1"/>
  <c r="O414" i="25"/>
  <c r="N416" i="25" l="1"/>
  <c r="O415" i="25"/>
  <c r="N417" i="25" l="1"/>
  <c r="O416" i="25"/>
  <c r="N418" i="25" l="1"/>
  <c r="O417" i="25"/>
  <c r="N419" i="25" l="1"/>
  <c r="O418" i="25"/>
  <c r="N420" i="25" l="1"/>
  <c r="O419" i="25"/>
  <c r="N421" i="25" l="1"/>
  <c r="O420" i="25"/>
  <c r="N422" i="25" l="1"/>
  <c r="O421" i="25"/>
  <c r="N423" i="25" l="1"/>
  <c r="O422" i="25"/>
  <c r="N424" i="25" l="1"/>
  <c r="O423" i="25"/>
  <c r="N425" i="25" l="1"/>
  <c r="O424" i="25"/>
  <c r="N426" i="25" l="1"/>
  <c r="O425" i="25"/>
  <c r="N427" i="25" l="1"/>
  <c r="O426" i="25"/>
  <c r="N428" i="25" l="1"/>
  <c r="O427" i="25"/>
  <c r="N429" i="25" l="1"/>
  <c r="O428" i="25"/>
  <c r="N430" i="25" l="1"/>
  <c r="O429" i="25"/>
  <c r="N431" i="25" l="1"/>
  <c r="O430" i="25"/>
  <c r="N432" i="25" l="1"/>
  <c r="O431" i="25"/>
  <c r="N433" i="25" l="1"/>
  <c r="O432" i="25"/>
  <c r="N434" i="25" l="1"/>
  <c r="O433" i="25"/>
  <c r="N435" i="25" l="1"/>
  <c r="O434" i="25"/>
  <c r="N436" i="25" l="1"/>
  <c r="O435" i="25"/>
  <c r="N437" i="25" l="1"/>
  <c r="O436" i="25"/>
  <c r="N438" i="25" l="1"/>
  <c r="O437" i="25"/>
  <c r="N439" i="25" l="1"/>
  <c r="O438" i="25"/>
  <c r="N440" i="25" l="1"/>
  <c r="O439" i="25"/>
  <c r="N441" i="25" l="1"/>
  <c r="O440" i="25"/>
  <c r="N442" i="25" l="1"/>
  <c r="O441" i="25"/>
  <c r="N443" i="25" l="1"/>
  <c r="O442" i="25"/>
  <c r="N444" i="25" l="1"/>
  <c r="O443" i="25"/>
  <c r="N445" i="25" l="1"/>
  <c r="O444" i="25"/>
  <c r="N446" i="25" l="1"/>
  <c r="O445" i="25"/>
  <c r="N447" i="25" l="1"/>
  <c r="O446" i="25"/>
  <c r="N448" i="25" l="1"/>
  <c r="O447" i="25"/>
  <c r="N449" i="25" l="1"/>
  <c r="O448" i="25"/>
  <c r="N450" i="25" l="1"/>
  <c r="O449" i="25"/>
  <c r="N451" i="25" l="1"/>
  <c r="O450" i="25"/>
  <c r="N452" i="25" l="1"/>
  <c r="O451" i="25"/>
  <c r="N453" i="25" l="1"/>
  <c r="O452" i="25"/>
  <c r="N454" i="25" l="1"/>
  <c r="O453" i="25"/>
  <c r="N455" i="25" l="1"/>
  <c r="O454" i="25"/>
  <c r="N456" i="25" l="1"/>
  <c r="O455" i="25"/>
  <c r="N457" i="25" l="1"/>
  <c r="O456" i="25"/>
  <c r="N458" i="25" l="1"/>
  <c r="O457" i="25"/>
  <c r="N459" i="25" l="1"/>
  <c r="O458" i="25"/>
  <c r="N460" i="25" l="1"/>
  <c r="O459" i="25"/>
  <c r="N461" i="25" l="1"/>
  <c r="O460" i="25"/>
  <c r="N462" i="25" l="1"/>
  <c r="O461" i="25"/>
  <c r="N463" i="25" l="1"/>
  <c r="O462" i="25"/>
  <c r="N464" i="25" l="1"/>
  <c r="O463" i="25"/>
  <c r="N465" i="25" l="1"/>
  <c r="O464" i="25"/>
  <c r="N466" i="25" l="1"/>
  <c r="O465" i="25"/>
  <c r="N467" i="25" l="1"/>
  <c r="O466" i="25"/>
  <c r="N468" i="25" l="1"/>
  <c r="O467" i="25"/>
  <c r="N469" i="25" l="1"/>
  <c r="O468" i="25"/>
  <c r="N470" i="25" l="1"/>
  <c r="O469" i="25"/>
  <c r="N471" i="25" l="1"/>
  <c r="O470" i="25"/>
  <c r="N472" i="25" l="1"/>
  <c r="O471" i="25"/>
  <c r="N473" i="25" l="1"/>
  <c r="O472" i="25"/>
  <c r="N474" i="25" l="1"/>
  <c r="O473" i="25"/>
  <c r="N475" i="25" l="1"/>
  <c r="O474" i="25"/>
  <c r="N476" i="25" l="1"/>
  <c r="O475" i="25"/>
  <c r="N477" i="25" l="1"/>
  <c r="O476" i="25"/>
  <c r="N478" i="25" l="1"/>
  <c r="O477" i="25"/>
  <c r="N479" i="25" l="1"/>
  <c r="O478" i="25"/>
  <c r="N480" i="25" l="1"/>
  <c r="O479" i="25"/>
  <c r="N481" i="25" l="1"/>
  <c r="O480" i="25"/>
  <c r="N482" i="25" l="1"/>
  <c r="O481" i="25"/>
  <c r="N483" i="25" l="1"/>
  <c r="O482" i="25"/>
  <c r="N484" i="25" l="1"/>
  <c r="O483" i="25"/>
  <c r="N485" i="25" l="1"/>
  <c r="O484" i="25"/>
  <c r="N486" i="25" l="1"/>
  <c r="O485" i="25"/>
  <c r="N487" i="25" l="1"/>
  <c r="O486" i="25"/>
  <c r="N488" i="25" l="1"/>
  <c r="O487" i="25"/>
  <c r="N489" i="25" l="1"/>
  <c r="O488" i="25"/>
  <c r="N490" i="25" l="1"/>
  <c r="O489" i="25"/>
  <c r="N491" i="25" l="1"/>
  <c r="O490" i="25"/>
  <c r="N492" i="25" l="1"/>
  <c r="O491" i="25"/>
  <c r="N493" i="25" l="1"/>
  <c r="O492" i="25"/>
  <c r="N494" i="25" l="1"/>
  <c r="O493" i="25"/>
  <c r="N495" i="25" l="1"/>
  <c r="O494" i="25"/>
  <c r="N496" i="25" l="1"/>
  <c r="O495" i="25"/>
  <c r="N497" i="25" l="1"/>
  <c r="O496" i="25"/>
  <c r="N498" i="25" l="1"/>
  <c r="O497" i="25"/>
  <c r="N499" i="25" l="1"/>
  <c r="O498" i="25"/>
  <c r="N500" i="25" l="1"/>
  <c r="O499" i="25"/>
  <c r="N501" i="25" l="1"/>
  <c r="O500" i="25"/>
  <c r="N502" i="25" l="1"/>
  <c r="O501" i="25"/>
  <c r="N503" i="25" l="1"/>
  <c r="O502" i="25"/>
  <c r="N504" i="25" l="1"/>
  <c r="O503" i="25"/>
  <c r="N505" i="25" l="1"/>
  <c r="O504" i="25"/>
  <c r="N506" i="25" l="1"/>
  <c r="O505" i="25"/>
  <c r="N507" i="25" l="1"/>
  <c r="O506" i="25"/>
  <c r="N508" i="25" l="1"/>
  <c r="O507" i="25"/>
  <c r="N509" i="25" l="1"/>
  <c r="O508" i="25"/>
  <c r="N510" i="25" l="1"/>
  <c r="O509" i="25"/>
  <c r="N511" i="25" l="1"/>
  <c r="O510" i="25"/>
  <c r="N512" i="25" l="1"/>
  <c r="O511" i="25"/>
  <c r="N513" i="25" l="1"/>
  <c r="O512" i="25"/>
  <c r="N514" i="25" l="1"/>
  <c r="O513" i="25"/>
  <c r="N515" i="25" l="1"/>
  <c r="O514" i="25"/>
  <c r="N516" i="25" l="1"/>
  <c r="O515" i="25"/>
  <c r="N517" i="25" l="1"/>
  <c r="O516" i="25"/>
  <c r="N518" i="25" l="1"/>
  <c r="O517" i="25"/>
  <c r="N519" i="25" l="1"/>
  <c r="O518" i="25"/>
  <c r="N520" i="25" l="1"/>
  <c r="O519" i="25"/>
  <c r="N521" i="25" l="1"/>
  <c r="O520" i="25"/>
  <c r="N522" i="25" l="1"/>
  <c r="O521" i="25"/>
  <c r="N523" i="25" l="1"/>
  <c r="O522" i="25"/>
  <c r="N524" i="25" l="1"/>
  <c r="O523" i="25"/>
  <c r="N525" i="25" l="1"/>
  <c r="O524" i="25"/>
  <c r="N526" i="25" l="1"/>
  <c r="O525" i="25"/>
  <c r="N527" i="25" l="1"/>
  <c r="O526" i="25"/>
  <c r="N528" i="25" l="1"/>
  <c r="O527" i="25"/>
  <c r="N529" i="25" l="1"/>
  <c r="O528" i="25"/>
  <c r="N530" i="25" l="1"/>
  <c r="O529" i="25"/>
  <c r="N531" i="25" l="1"/>
  <c r="O530" i="25"/>
  <c r="N532" i="25" l="1"/>
  <c r="O531" i="25"/>
  <c r="N533" i="25" l="1"/>
  <c r="O532" i="25"/>
  <c r="N534" i="25" l="1"/>
  <c r="O533" i="25"/>
  <c r="N535" i="25" l="1"/>
  <c r="O534" i="25"/>
  <c r="N536" i="25" l="1"/>
  <c r="O535" i="25"/>
  <c r="N537" i="25" l="1"/>
  <c r="O536" i="25"/>
  <c r="N538" i="25" l="1"/>
  <c r="O537" i="25"/>
  <c r="N539" i="25" l="1"/>
  <c r="O538" i="25"/>
  <c r="N540" i="25" l="1"/>
  <c r="O539" i="25"/>
  <c r="N541" i="25" l="1"/>
  <c r="O540" i="25"/>
  <c r="N542" i="25" l="1"/>
  <c r="O541" i="25"/>
  <c r="N543" i="25" l="1"/>
  <c r="O542" i="25"/>
  <c r="N544" i="25" l="1"/>
  <c r="O543" i="25"/>
  <c r="N545" i="25" l="1"/>
  <c r="O544" i="25"/>
  <c r="N546" i="25" l="1"/>
  <c r="O545" i="25"/>
  <c r="N547" i="25" l="1"/>
  <c r="O546" i="25"/>
  <c r="N548" i="25" l="1"/>
  <c r="O547" i="25"/>
  <c r="N549" i="25" l="1"/>
  <c r="O548" i="25"/>
  <c r="N550" i="25" l="1"/>
  <c r="O549" i="25"/>
  <c r="N551" i="25" l="1"/>
  <c r="O550" i="25"/>
  <c r="N552" i="25" l="1"/>
  <c r="O551" i="25"/>
  <c r="N553" i="25" l="1"/>
  <c r="O552" i="25"/>
  <c r="N554" i="25" l="1"/>
  <c r="O553" i="25"/>
  <c r="N555" i="25" l="1"/>
  <c r="O554" i="25"/>
  <c r="N556" i="25" l="1"/>
  <c r="O555" i="25"/>
  <c r="N557" i="25" l="1"/>
  <c r="O556" i="25"/>
  <c r="N558" i="25" l="1"/>
  <c r="O557" i="25"/>
  <c r="N559" i="25" l="1"/>
  <c r="O558" i="25"/>
  <c r="N560" i="25" l="1"/>
  <c r="O559" i="25"/>
  <c r="N561" i="25" l="1"/>
  <c r="O560" i="25"/>
  <c r="N562" i="25" l="1"/>
  <c r="O561" i="25"/>
  <c r="N563" i="25" l="1"/>
  <c r="O562" i="25"/>
  <c r="N564" i="25" l="1"/>
  <c r="O563" i="25"/>
  <c r="N565" i="25" l="1"/>
  <c r="O564" i="25"/>
  <c r="N566" i="25" l="1"/>
  <c r="O565" i="25"/>
  <c r="N567" i="25" l="1"/>
  <c r="O566" i="25"/>
  <c r="N568" i="25" l="1"/>
  <c r="O567" i="25"/>
  <c r="N569" i="25" l="1"/>
  <c r="O568" i="25"/>
  <c r="N570" i="25" l="1"/>
  <c r="O569" i="25"/>
  <c r="N571" i="25" l="1"/>
  <c r="O570" i="25"/>
  <c r="N572" i="25" l="1"/>
  <c r="O571" i="25"/>
  <c r="N573" i="25" l="1"/>
  <c r="O572" i="25"/>
  <c r="N574" i="25" l="1"/>
  <c r="O573" i="25"/>
  <c r="N575" i="25" l="1"/>
  <c r="O574" i="25"/>
  <c r="N576" i="25" l="1"/>
  <c r="O575" i="25"/>
  <c r="N577" i="25" l="1"/>
  <c r="O576" i="25"/>
  <c r="N578" i="25" l="1"/>
  <c r="O577" i="25"/>
  <c r="N579" i="25" l="1"/>
  <c r="O578" i="25"/>
  <c r="N580" i="25" l="1"/>
  <c r="O579" i="25"/>
  <c r="N581" i="25" l="1"/>
  <c r="O580" i="25"/>
  <c r="N582" i="25" l="1"/>
  <c r="O581" i="25"/>
  <c r="N583" i="25" l="1"/>
  <c r="O582" i="25"/>
  <c r="N584" i="25" l="1"/>
  <c r="O583" i="25"/>
  <c r="N585" i="25" l="1"/>
  <c r="O584" i="25"/>
  <c r="N586" i="25" l="1"/>
  <c r="O585" i="25"/>
  <c r="N587" i="25" l="1"/>
  <c r="O586" i="25"/>
  <c r="N588" i="25" l="1"/>
  <c r="O587" i="25"/>
  <c r="N589" i="25" l="1"/>
  <c r="O588" i="25"/>
  <c r="N590" i="25" l="1"/>
  <c r="O590" i="25" s="1"/>
  <c r="O589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C82B2F-7587-4EE3-95CE-FFD21E970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2188805-07A6-4BDF-8649-1A1567C773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14BB34-5A74-44FF-B52E-6B41BE383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98B972-BF31-400C-BDC1-EC454E35F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A482D3-97A1-4114-A233-3056D7F37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4BBC63-49A5-4C41-8839-89AC01087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0C495D-D570-4F11-86D4-1F6EC58244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60FD6A9-AE6A-4FF2-926B-31E0CCC3D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BD0CDE7-BB3B-4C90-95DD-67979D1F2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240B717-A5B1-40AC-95CD-7419477B4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FF6A6-C2CC-4A16-9BC6-B53E235C1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0A981E-0CE3-4392-8761-50435E60B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639B6D-46D9-415B-8A4D-D00ADFD07F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BE6719-7B99-41A1-8B2E-75ABD7392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B701502-56F7-4EAC-AF85-B43123D8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C8DAD7C-9E9E-4D58-B6D6-4A0515396E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4A284E-603A-4015-8A15-4817C450B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F4C505-51E7-488E-AE41-2F1717BBA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5E7813A-DE16-497E-888E-D1788BE44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B98FF2C-ED62-4A23-AEE7-9C36F3E371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33F58D-D447-46C1-BF05-C17249FA45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4C2C9B-F7F7-45A3-9FA0-30E38C196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2BFBD3-E582-492A-B67B-D05615E82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FAD915A-4F54-4470-A150-3B446A132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FE657-814C-4F2B-85C2-AA34186C3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827734-D72A-4A04-B53C-7C336EFE8B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088B36-8520-4A96-8316-7ABCA0874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20D96F0-845D-448C-B58B-90FECE9089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4ABC7CC-3F3A-44B3-8A88-F738EC13F2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72A0F0-CCB0-40A4-98E9-3E1B26778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1AA5CE-C972-4A8F-8BB2-2A5C47E61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BAD48-BCCB-4524-88E8-539AB382F2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AE420C-21C5-4017-B294-A83277575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AFDCC70-8827-46E1-B4A4-AD2825992F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5DA3B5F-31DC-499E-B521-302C66C683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FA3BC17-BBF0-4EA0-89CC-BE5C67028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B6090F6-80D1-45D8-BC60-F4533DF697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BB2ADA1-28F1-4150-B655-DAF7A4DF1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A43A97-733B-4355-A3CB-C423A9F4E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C68080-E4B8-4689-A507-80214761C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2A84E58-6ED5-4383-B4A8-AF812112D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B68C2F-6724-43D7-85D6-1E679764B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3E626-FE03-4B90-9FE0-19E8C0381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92CE95-30F3-48FC-876B-7A46350F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6EBEE8-DE4E-4F65-9D11-111BF715E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DED135B-4CD3-4881-AF34-7D07B72EC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0C732C4-42A7-4939-9C77-4465F2FFD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F505E40-4673-4B87-95D8-DD47F0FCF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7903189-3586-448F-B75B-47B99F5A3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F1E92E2-50DE-4617-AEE6-E7A1B3BDCA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695F40-A027-466D-80E0-6C0F29E7B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E170A8-37E8-4122-8C33-5324F9BE2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B500223-F224-4296-9D79-D9B88FAD3F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7D9414-FB95-4511-BF49-F5CE987BF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AE1AE4D-8759-46DB-AE23-B90E8BF07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FD863C7-9678-4052-B2B7-3900A783D6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B39A90-7087-45D1-8572-6E3042D63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B72210-82C6-48E6-B944-8893352AD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D07C36-E7B9-46F9-B6A2-85DE4C076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7AA0BE-D4FC-4EDE-BB49-0A2099923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1F836B-AFEC-4DD4-BE06-3D74E6081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E363DB-C899-42EE-9FA8-5984C45768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BBCEAAF-67EB-473E-AF7F-991788EEA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DB5A4E1-D25E-4E77-8FB4-770EFDDCF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81655D9-A5C3-42C1-BE39-6FF3391A37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52FD17-92E4-46F6-9D24-608C164461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63AB16-2756-4D5A-815C-82C522DB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BECC47-52AE-4F32-94C1-2EA7E635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F9CC26-0F8B-48FB-9784-2BF4075C1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E38654-36FB-42A4-835B-EEFF696C14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96BEDD7-FDA7-43F9-9A36-905B3469A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E8EDAD-2B1E-4C42-B6A7-4AB5774D1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9939A6B-B098-4D3D-A9AB-BA06DEF08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4ADE1DC-F77B-4380-994E-612C1DF7F7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9A645B4-BC5B-41E0-A63E-228AFC9D55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0290A3-4288-4695-AF22-6F888EF190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45F443-DA67-4D4F-AF0D-7AA67928AD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4B2B58-02A6-4092-8643-C58CAA83C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36AF8F-E38B-4734-AF8A-FC79DD933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B4E472-7CC2-444A-BB26-538AB9AFA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641CE5-EA1D-45A0-B980-9EE0B28C2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A77A51-2771-48B6-9FC8-3E0FCE539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CB6805-98B5-4925-A9F7-E479BAE1C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8510AE-3C7D-4553-8970-C0742B80B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FF0218-8257-4EC1-AD96-60E185085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0B8C16-1F5A-4E30-9AB9-F5C471760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D8CA1D-D674-4422-985E-33A4D2E282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9C746A0-BC72-45B7-BF07-67280BB60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33C574-A3C9-4DAF-81E2-1F00EE0A8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EDD38F-467C-449E-8280-AF7B45245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CA8BED-9D0B-4224-9094-2EFFFA4AC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80EA1D-1592-48C7-979C-CDA7C589EF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9DC78E-1B1D-4C73-8647-C87867245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40CC14-4C9D-4586-8474-32FE374656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06EB81-1D53-4EAC-A720-83E48C165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2D37A5-0670-428E-A572-57E92EEC9D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C01C79-80FE-438D-8023-7DAD45C283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E104757-5427-45F6-8AD9-C9A4E553A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742811-EFCC-4065-BA98-FB950A44CA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A6F08A-4F3E-472B-9BCF-04BF80C0A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E7B221-DC6E-43D0-95C4-AD761D7ED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0D253CE-DF2A-460C-9B99-BFFA6D0CB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2288A5-092B-4D80-B3A9-B75953498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744D433-3126-4E5E-9E88-47CB60A5D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4CA60E-0604-417B-A958-282C18058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3D38E9-B02C-46FA-A720-31877573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93A804-732C-4103-874E-9FEF30B4B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0646025-9A9E-46F2-8964-CD143FA58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7A35-1C18-4685-94D4-BF6E66F0E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5F58F6-1D29-4430-BCCD-DEA8C683A1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37425E8-FABB-4E68-A13B-EA05E0073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BA5C06-2592-46F4-A2DE-3E2943AB4E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A96D28-489A-4B3E-A795-77EBD4DCE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7FF55F2-42CE-4C88-843A-1B3E16D96F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03C6B1-F6D7-458F-93D4-8741E1D9F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0A9DC8A-31DD-42E3-937A-E0A2C7426F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8487E9-AC8A-4377-81E2-C22295376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2C137B-08A0-4A2F-BB97-48DC276DB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CF1A3AF-E4A4-46E1-A64A-C7EEBA6DD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8DB7015-4E9A-4E16-ABC8-F6D4D5710A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E85164-B084-4C97-9466-DF6F797D8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149C637-4487-42CD-87AD-0F4B9D59E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703D4-921B-4449-B909-0CE5DA539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7B5B90-947A-4BC2-9110-0DAF1D019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7DE7B-5D90-425F-8495-5A3A84E69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7F32B1-111C-4FD5-A93A-D63257433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ADA34EB-9AFE-4359-AF9C-245E66957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25D6A05-1612-4D33-AB08-80670CE375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0A324D-E9D5-490C-A2B5-DE337D246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4E2568-1934-44B7-8BDB-3EBAE11EA4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3E3D47B-56C5-433C-8F27-E063E95C6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F19B701-F3D8-43CB-BB25-868127E9C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DBAB70-BE17-4F1F-BD65-FAF58ECB9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553430B-46FD-4FCC-B04A-3FDD8949E6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5A3C77C-DC3A-430D-B400-C875E2AEDB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E2145B-F605-4FC4-AC33-4DBB9142B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A4F68D-FB33-4C92-9878-A44568EA7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C5A2B2-EF00-44E6-9B07-96C94FA47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0F6C5F-2627-447C-9B18-11CAE7242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1275A4-8285-44FD-95C5-ED6E81437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46A8A3-C2EC-4FDD-A141-6E643C013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A29B9D6-5554-422E-A765-D0D3D7AA1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63F4839-591D-45D6-A293-FFF566879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96F987-E3A8-44FE-BC59-628DAA411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078602-4543-413D-BD52-5B056353A1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B1ED07-2B3F-44DA-A55B-D0CF37F0F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766AB9-E7A0-43FC-81AB-D0E726FE97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899850C-BC05-4CF5-B362-7EF4A055F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086242-A15E-42D6-82A7-D883C3C881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449E647-2807-4477-ACBD-E164EA46D6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F04DB9-3B91-41EE-949A-4B83E09C6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823D7B-0814-42F2-92EE-5B1602BC5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A287B5-0C0C-447F-8C6A-4C542711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3FA104-6E42-4097-B85B-D598240FB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EEEEC0-BBA3-4636-A14F-B0F5B4BD2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597DF2-FEAB-4DC8-8CA1-134A73A2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735A63-A1FC-4DA0-93E9-A580DB0F9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A7BEC-7360-4827-BE44-723AAB824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224583-2413-486C-870C-814B31CBF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39B947-C3CC-401A-A0B0-9D6717200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E5EEC3-1536-49DB-887E-2D46859EF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6F5545-227C-4006-A37B-E459BBDAB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5E2DAC-5DD1-4CBF-99F1-9F9E684F0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960E40-BE9A-4462-A0AF-4C821B30C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46FE81E-81E2-478C-B388-C9147BBF4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1E80FA-926D-435D-8A45-0450ADEB4D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2747B1-09C5-4085-B55C-331E76FB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789B1-5034-4169-912F-EAD905B7C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569CB9-BF91-41EE-94EA-069F3E3BB1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7DCA3EB-AA0A-41C2-98D4-C2CA917019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96C6B5-0F23-4E34-9343-05B5D4A098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5E3021-6478-490C-9ACA-6406DE80D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0CBC5E1-602F-4E72-9995-FF7D7E00B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37D8E5-DF08-4B08-B9BD-947F51EAD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B48A07D-7B1A-4FA4-9352-9D6EB8918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B7EDDE-62BB-4DB9-B8B8-F928634D7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EEE9261-ADC2-48C7-8328-6AE556C83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CAB73B-AF8B-4C47-BF33-AD8C584C9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D086DD-C3F3-4553-A36C-ABBE60D8B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F345D-99F6-4758-B075-6591E553E8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CCBB02-1A37-4213-8C6E-FAF405B63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3F4880-8305-451A-8CC3-7FD570BF2F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77B8FB0-E842-4A84-9DC9-5C9E7588DA9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1C43E00-009B-41A5-B9FD-8C4FF50A0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93CBB807-83FB-4945-973E-C3D42D7BC3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3C5460DF-C161-4528-94A8-0F835F9F3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AFFB267-7C59-49E3-8DF2-F926F7D36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F2E1B83-1E0B-4C25-972A-05BDC03160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EABC6C0-3DB1-4947-8071-2A3CEC98CF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2D2127B-6374-4ECE-BC3C-C08C439AC9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998E88E-2EAD-4B3D-A396-05574D5A8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F53F718C-75B2-4367-97D9-296978DEE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64229DF-5428-4477-97A0-624F822C5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C1108F3E-DA44-4101-9F6B-1637CA1372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5A73EAB-7B9B-45E6-8E0F-1D6FCB987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24CEAEB-E1D1-442C-A84E-AE8F20948F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<sst xmlns="http://schemas.openxmlformats.org/spreadsheetml/2006/main" count="12947" uniqueCount="4328">
  <si>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</si>
  <si>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</si>
  <si>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</si>
  <si>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</si>
  <si>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</si>
  <si>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</si>
  <si>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</si>
  <si>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</si>
  <si>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</si>
  <si>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</si>
  <si>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</si>
  <si>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</si>
  <si>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</si>
  <si>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</si>
  <si>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</si>
  <si>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</si>
  <si>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</si>
  <si>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HR314</t>
  </si>
  <si>
    <t>TS BATMAN FP SPLASH LOGO:BLACK:11-12</t>
  </si>
  <si>
    <t>SUP36A</t>
  </si>
  <si>
    <t>TS SUPERMAN LOGO FP GRADASI A:CLASSIC RED:S</t>
  </si>
  <si>
    <t>TS SUPERMAN LOGO FP GRADASI A:CLASSIC RED:M</t>
  </si>
  <si>
    <t>TS SUPERMAN LOGO FP GRADASI A:CLASSIC RED:L</t>
  </si>
  <si>
    <t>TS SUPERMAN LOGO FP GRADASI A:CLASSIC RED:XL</t>
  </si>
  <si>
    <t>TS SUPERMAN LOGO FP GRADASI A:CLASSIC RED:XS</t>
  </si>
  <si>
    <t>SUP36B</t>
  </si>
  <si>
    <t>TS SUPERMAN LOGO FP GRADASI B:CLASSIC BLUE:7-8</t>
  </si>
  <si>
    <t>TS SUPERMAN LOGO FP GRADASI B:CLASSIC BLUE:9-10</t>
  </si>
  <si>
    <t>TS SUPERMAN LOGO FP GRADASI B:CLASSIC BLUE:11-12</t>
  </si>
  <si>
    <t>TS SUPERMAN LOGO FP GRADASI B:CLASSIC BLUE:13-14</t>
  </si>
  <si>
    <t>TS SUPERMAN LOGO FP GRADASI B:CLASSIC BLUE:15-16</t>
  </si>
  <si>
    <t>H416A</t>
  </si>
  <si>
    <t>SS T-SHIRT BATMAN FULLPRINT ACTION LOGO H416A:WHITE:XS:PRINT:SS T-SHIRT</t>
  </si>
  <si>
    <t>SS T-SHIRT BATMAN FULLPRINT ACTION LOGO H416A:WHITE:S:PRINT:SS T-SHIRT</t>
  </si>
  <si>
    <t>SS T-SHIRT BATMAN FULLPRINT ACTION LOGO H416A:WHITE:M:PRINT:SS T-SHIRT</t>
  </si>
  <si>
    <t>SS T-SHIRT BATMAN FULLPRINT ACTION LOGO H416A:WHITE:L:PRINT:SS T-SHIRT</t>
  </si>
  <si>
    <t>SS T-SHIRT BATMAN FULLPRINT ACTION LOGO H416A:WHITE:XL:PRINT:SS T-SHIRT</t>
  </si>
  <si>
    <t>HR202A</t>
  </si>
  <si>
    <t>SS T-SHIRT BATMAN FLY SPLASH BAHU HR202A:CLASSIC YELLOW:S:GRAPHIC:SS T-SHIRT</t>
  </si>
  <si>
    <t>SS T-SHIRT BATMAN FLY SPLASH BAHU HR202A:CLASSIC YELLOW:L:GRAPHIC:SS T-SHIRT</t>
  </si>
  <si>
    <t>HR430</t>
  </si>
  <si>
    <t>SS T-SHIRT BATMAN FLY TALI CITY FLOCKING HR430:WHITE:XS:GRAPHIC:SS T-SHIRT</t>
  </si>
  <si>
    <t>SS T-SHIRT BATMAN FLY TALI CITY FLOCKING HR430:WHITE:S:GRAPHIC:SS T-SHIRT</t>
  </si>
  <si>
    <t>SS T-SHIRT BATMAN FLY TALI CITY FLOCKING HR430:WHITE:M:GRAPHIC:SS T-SHIRT</t>
  </si>
  <si>
    <t>SS T-SHIRT BATMAN FLY TALI CITY FLOCKING HR430:WHITE:L:GRAPHIC:SS T-SHIRT</t>
  </si>
  <si>
    <t>SS T-SHIRT BATMAN FLY TALI CITY FLOCKING HR430:WHITE:XL:GRAPHIC:SS T-SHIRT</t>
  </si>
  <si>
    <t>HR202B</t>
  </si>
  <si>
    <t>SS T-SHIRT BATMAN FLY SPLASH BAHU HR202B:MISTY MEDIUM G:9-10:GRAPHIC:SS T-SHIRT</t>
  </si>
  <si>
    <t>SS T-SHIRT BATMAN FLY SPLASH BAHU HR202B:MISTY MEDIUM G:11-12:GRAPHIC:SS T-SHIRT</t>
  </si>
  <si>
    <t>HR424A</t>
  </si>
  <si>
    <t>SS T-SHIRT SUPERMAN KOSTUM FULL BODY SBA HR424A:BLACK:M:PRINT:SS T-SHIRT</t>
  </si>
  <si>
    <t>SS T-SHIRT SUPERMAN KOSTUM FULL BODY SBA HR424A:BLACK:L:PRINT:SS T-SHIRT</t>
  </si>
  <si>
    <t>HR449A</t>
  </si>
  <si>
    <t>SS T-SHIRT SUPERMAN STAND 3 ACTION HR449A:TURQOUISE:XS:GRAPHIC:SS T-SHIRT</t>
  </si>
  <si>
    <t>SS T-SHIRT SUPERMAN STAND 3 ACTION HR449A:TURQOUISE:S:GRAPHIC:SS T-SHIRT</t>
  </si>
  <si>
    <t>SS T-SHIRT SUPERMAN STAND 3 ACTION HR449A:TURQOUISE:M:GRAPHIC:SS T-SHIRT</t>
  </si>
  <si>
    <t>SS T-SHIRT SUPERMAN STAND 3 ACTION HR449A:TURQOUISE:L:GRAPHIC:SS T-SHIRT</t>
  </si>
  <si>
    <t>N067C</t>
  </si>
  <si>
    <t>SS T-SHIRT SUPERMAN FULLPRINT HERO LOGO FLOCKING C N067C:CLASSIC RE:7-8:PRINT:SS T-SHIRT</t>
  </si>
  <si>
    <t>SS T-SHIRT SUPERMAN FULLPRINT HERO LOGO FLOCKING C N067C:CLASSIC RE:9-10:PRINT:SS T-SHIRT</t>
  </si>
  <si>
    <t>SS T-SHIRT SUPERMAN FULLPRINT HERO LOGO FLOCKING C N067C:CLASSIC RE:11-12:PRINT:SS T-SHIRT</t>
  </si>
  <si>
    <t>SS T-SHIRT SUPERMAN FULLPRINT HERO LOGO FLOCKING C N067C:CLASSIC RE:13-14:PRINT:SS T-SHIRT</t>
  </si>
  <si>
    <t>N067A</t>
  </si>
  <si>
    <t>SS T-SHIRT SUPERMAN FULLPRINT HERO LOGO FLOCKING A N067A:CLASSIC RE:XL:GRAPHIC:SS T-SHIRT</t>
  </si>
  <si>
    <t>N060C</t>
  </si>
  <si>
    <t>SS T-SHIRT BATMAN RAGLAN FULLPRINT LENGAN LOGO BORDIR N060C:CLASSIC Y:7-8:GRAPHIC:SS T-SHIR</t>
  </si>
  <si>
    <t>SS T-SHIRT BATMAN RAGLAN FULLPRINT LENGAN LOGO BORDIR N060C:CLASSIC Y:13-14:GRAPHIC:SS T-SHIR</t>
  </si>
  <si>
    <t>SS T-SHIRT BATMAN RAGLAN FULLPRINT LENGAN LOGO BORDIR N060C:CLASSIC Y:15-16:GRAPHIC:SS T-SHIR</t>
  </si>
  <si>
    <t>N065A</t>
  </si>
  <si>
    <t>SS T-SHIRT SUPERMAN RG FP LGN COMICS LOGO A N065A:CLASSIC BLU:S:GRAPHIC:SS T-SHIRT</t>
  </si>
  <si>
    <t>SS T-SHIRT SUPERMAN RG FP LGN COMICS LOGO A N065A:CLASSIC BLU:L:GRAPHIC:SS T-SHIRT</t>
  </si>
  <si>
    <t>SS T-SHIRT SUPERMAN RG FP LGN COMICS LOGO A N065A:CLASSIC BLU:XL:GRAPHIC:SS T-SHIRT</t>
  </si>
  <si>
    <t>N065C</t>
  </si>
  <si>
    <t>SS T-SHIRT SUPERMAN RG FP LGN COMICS LOGO C N065C:MISTY MEDIU:9-10:GRAPHIC:SS T-SHIRT</t>
  </si>
  <si>
    <t>SS T-SHIRT SUPERMAN RG FP LGN COMICS LOGO C N065C:MISTY MEDIU:11-12:GRAPHIC:SS T-SHIRT</t>
  </si>
  <si>
    <t>HR415B</t>
  </si>
  <si>
    <t>SS T-SHIRT BATMAN STAND CUT SEWN PINGGIR B HR415B:CLASSIC YELLOW:9-10:GRAPHIC:SS T-SHIRT</t>
  </si>
  <si>
    <t>GBMTS1A</t>
  </si>
  <si>
    <t>SS T-SHIRT BATMAN FP COMICS FLY A GBMTS1A:WHITE:M:PRINT:SS T-SHIRT</t>
  </si>
  <si>
    <t>SS T-SHIRT BATMAN FP COMICS FLY A GBMTS1A:WHITE:L:PRINT:SS T-SHIRT</t>
  </si>
  <si>
    <t>HR304</t>
  </si>
  <si>
    <t>SHORT PANTS CROP KNIT BATMAN CUT SEWN LOGO HR304:BLACK:9-10:GRAPHIC:SHORT PANTS</t>
  </si>
  <si>
    <t>N175C</t>
  </si>
  <si>
    <t>LONG PANTS KNIT BATMAN RIBBON LOGO HANDUK C N175C:MISTY MEDIU:7-8:GRAPHIC:LONG PANTS</t>
  </si>
  <si>
    <t>LONG PANTS KNIT BATMAN RIBBON LOGO HANDUK C N175C:MISTY MEDIU:9-10:GRAPHIC:LONG PANTS</t>
  </si>
  <si>
    <t>LONG PANTS KNIT BATMAN RIBBON LOGO HANDUK C N175C:MISTY MEDIU:11-12:GRAPHIC:LONG PANTS</t>
  </si>
  <si>
    <t>LONG PANTS KNIT BATMAN RIBBON LOGO HANDUK C N175C:MISTY MEDIU:13-14:GRAPHIC:LONG PANTS</t>
  </si>
  <si>
    <t>RGBATMANWH</t>
  </si>
  <si>
    <t>3/2 RAGLAN BATMAN LOGO:WHITE:7-8</t>
  </si>
  <si>
    <t>KSBAT2YL</t>
  </si>
  <si>
    <t>LS BATMAN LOGO KOSTUM PAKAI SAYAP:CLASSIC YELLOW:M</t>
  </si>
  <si>
    <t>TRFW3B</t>
  </si>
  <si>
    <t>TS TRF OPTIMUS LOGO BULAT:MISTY MEDIUM BLUE:9-10</t>
  </si>
  <si>
    <t>LSCBSPBU</t>
  </si>
  <si>
    <t>LS TSHIRT LAYER TANGAN CHIBBY SUPERMAN KOSTUM:CLASSIC BLUE:S</t>
  </si>
  <si>
    <t>LS TSHIRT LAYER TANGAN CHIBBY SUPERMAN KOSTUM:CLASSIC BLUE:M</t>
  </si>
  <si>
    <t>3/2 RAGLAN BATMAN LOGO:WHITE:5-6</t>
  </si>
  <si>
    <t>3/2 RAGLAN BATMAN LOGO:WHITE:9-10</t>
  </si>
  <si>
    <t>LS TSHIRT LAYER TANGAN CHIBBY SUPERMAN KOSTUM:CLASSIC BLUE:L</t>
  </si>
  <si>
    <t>TS TRF OPTIMUS LOGO BULAT:MISTY MEDIUM BLUE:S</t>
  </si>
  <si>
    <t>TS TRF OPTIMUS LOGO BULAT:MISTY MEDIUM BLUE:M</t>
  </si>
  <si>
    <t>TS TRF OPTIMUS LOGO BULAT:MISTY MEDIUM BLUE:L</t>
  </si>
  <si>
    <t>TS TRF OPTIMUS LOGO BULAT:MISTY MEDIUM BLUE:5-6</t>
  </si>
  <si>
    <t>TS TRF OPTIMUS LOGO BULAT:MISTY MEDIUM BLUE:7-8</t>
  </si>
  <si>
    <t>CHARACTER</t>
  </si>
  <si>
    <t>N024</t>
  </si>
  <si>
    <t>KOSTUM BATMAN SAYAP:MISTY DARK GREY:M</t>
  </si>
  <si>
    <t>KOSTUM BATMAN SAYAP:MISTY DARK GREY:L</t>
  </si>
  <si>
    <t>KOSTUM BATMAN SAYAP:MISTY DARK GREY:XL</t>
  </si>
  <si>
    <t>KOSTUM BATMAN SAYAP:MISTY DARK GREY:XS</t>
  </si>
  <si>
    <t>N063A</t>
  </si>
  <si>
    <t>SS T-SHIRT BATMAN RG LGN FULL SABLON A N063A:CLASSIC YELLO:L:TEXT:SS T-SHIRT</t>
  </si>
  <si>
    <t>SS T-SHIRT BATMAN RG LGN FULL SABLON A N063A:CLASSIC YELLO:XL:TEXT:SS T-SHIRT</t>
  </si>
  <si>
    <t>N063C</t>
  </si>
  <si>
    <t>SS T-SHIRT BATMAN RG LENGAN FULL SABLON C N063C:MISTY LIGHT:11-12:TEXT:SS T-SHIRT</t>
  </si>
  <si>
    <t>SS T-SHIRT BATMAN RG LENGAN FULL SABLON C N063C:MISTY LIGHT:15-16:TEXT:SS T-SHIRT</t>
  </si>
  <si>
    <t>SS T-SHIRT BATMAN RG LENGAN FULL SABLON C N063C:MISTY LIGHT:9-10:TEXT:SS T-SHIRT</t>
  </si>
  <si>
    <t>H445C</t>
  </si>
  <si>
    <t>SS T-SHIRT BATMAN LOGO FLOCKING FP SPLASH C H445C:CLASSIC YEL:7-8:GRAPHIC:SS T-SHIRT</t>
  </si>
  <si>
    <t>GBMTS2C</t>
  </si>
  <si>
    <t>SS T-SHIRT BATMAN FLY TIE DYE C GBMTS2C:CLASSIC BLUE:9-10:GRAPHIC:SS T-SHIRT</t>
  </si>
  <si>
    <t>WBBT9B</t>
  </si>
  <si>
    <t>SS T-SHIRT TS BATMAN FLY CITY B WBBT9B:WHITE:7-8:GRAPHIC:SS T-SHIRT</t>
  </si>
  <si>
    <t>N061A</t>
  </si>
  <si>
    <t>SS T-SHIRT BATMAN RG CRUSADER FLOCKING A N061A:MISTY MEDIUM:M:GRAPHIC:SS T-SHIRT</t>
  </si>
  <si>
    <t>BN087C</t>
  </si>
  <si>
    <t>TS BATMAN FP COMICS FLOCKING C BN087C:WHITE:11-12:PRINT:SS T-SHIRT</t>
  </si>
  <si>
    <t>TS BATMAN FP COMICS FLOCKING C BN087C:WHITE:13-14:PRINT:SS T-SHIRT</t>
  </si>
  <si>
    <t>TS BATMAN FP COMICS FLOCKING C BN087C:WHITE:15-16:PRINT:SS T-SHIRT</t>
  </si>
  <si>
    <t>BN090C</t>
  </si>
  <si>
    <t>SS T-SHIRT TS BATMAN CITY LOGO FLOCKING C BN090C:MISTY MEDIUM GREY:15-16:GRAPHIC:SS T-SHIRT</t>
  </si>
  <si>
    <t>N128C</t>
  </si>
  <si>
    <t>SS T-SHIRT TS BATMAN PRINT LOGO 2 BATTECH C N128C:BLACK:7-8:GRAPHIC:SS T-SHIRT</t>
  </si>
  <si>
    <t>SS T-SHIRT TS BATMAN PRINT LOGO 2 BATTECH C N128C:BLACK:9-10:GRAPHIC:SS T-SHIRT</t>
  </si>
  <si>
    <t>SS T-SHIRT TS BATMAN PRINT LOGO 2 BATTECH C N128C:BLACK:11-12:GRAPHIC:SS T-SHIRT</t>
  </si>
  <si>
    <t>SS T-SHIRT TS BATMAN PRINT LOGO 2 BATTECH C N128C:BLACK:13-14:GRAPHIC:SS T-SHIRT</t>
  </si>
  <si>
    <t>N138A</t>
  </si>
  <si>
    <t>SS T-SHIRT TS BATMAN FP LOGO BAT TECH FOIL A N138A:CLASSIC BLU:XS:GRAPHIC:SS T-SHIRT</t>
  </si>
  <si>
    <t>SS T-SHIRT TS BATMAN FP LOGO BAT TECH FOIL A N138A:CLASSIC BLU:L:GRAPHIC:SS T-SHIRT</t>
  </si>
  <si>
    <t>SS T-SHIRT TS BATMAN FP LOGO BAT TECH FOIL A N138A:CLASSIC BLU:XL:GRAPHIC:SS T-SHIRT</t>
  </si>
  <si>
    <t>N136C</t>
  </si>
  <si>
    <t>SS T-SHIRT TS BATMAN FP LOGO BAT TECH FOIL C N136C:BLACK:7-8:GRAPHIC:SS T-SHIRT</t>
  </si>
  <si>
    <t>SS T-SHIRT TS BATMAN FP LOGO BAT TECH FOIL C N136C:BLACK:9-10:GRAPHIC:SS T-SHIRT</t>
  </si>
  <si>
    <t>SS T-SHIRT TS BATMAN FP LOGO BAT TECH FOIL C N136C:BLACK:11-12:GRAPHIC:SS T-SHIRT</t>
  </si>
  <si>
    <t>SS T-SHIRT TS BATMAN FP LOGO BAT TECH FOIL C N136C:BLACK:13-14:GRAPHIC:SS T-SHIRT</t>
  </si>
  <si>
    <t>SS T-SHIRT TS BATMAN FP LOGO BAT TECH FOIL C N136C:BLACK:15-16:GRAPHIC:SS T-SHIRT</t>
  </si>
  <si>
    <t>N145C</t>
  </si>
  <si>
    <t>SS T-SHIRT TS BATMAN FP TIE DYE LOGO PRINT C N145C:MISTY MEDIUM GREY:9-10:GRAPHIC:SS T-SHIRT</t>
  </si>
  <si>
    <t>SS T-SHIRT TS BATMAN FP TIE DYE LOGO PRINT C N145C:MISTY MEDIUM GREY:11-12:GRAPHIC:SS T-SHIRT</t>
  </si>
  <si>
    <t>SS T-SHIRT TS BATMAN FP TIE DYE LOGO PRINT C N145C:MISTY MEDIUM GREY:15-16:GRAPHIC:SS T-SHIRT</t>
  </si>
  <si>
    <t>N127A</t>
  </si>
  <si>
    <t>SS T-SHIRT TS BATMAN FOIL LOGO BATTECH A N127A:NAVY BLUE:S:GRAPHIC:SS T-SHIRT</t>
  </si>
  <si>
    <t>SS T-SHIRT TS BATMAN FOIL LOGO BATTECH A N127A:NAVY BLUE:XL:GRAPHIC:SS T-SHIRT</t>
  </si>
  <si>
    <t>GCBT1A</t>
  </si>
  <si>
    <t>SS T-SHIRT TS BATMAN FP LETTER LOGO FLOCKING A GCBT1A:CLASSIC YE:XS:PRINT:SS T-SHIRT</t>
  </si>
  <si>
    <t>SS T-SHIRT TS BATMAN FP LETTER LOGO FLOCKING A GCBT1A:CLASSIC YE:S:PRINT:SS T-SHIRT</t>
  </si>
  <si>
    <t>N129C</t>
  </si>
  <si>
    <t>SS T-SHIRT TS BATMAN PRINT TULISAN TENGAH C N129C:CLASSIC YELLOW:9-10:GRAPHIC:SS T-SHIRT</t>
  </si>
  <si>
    <t>SS T-SHIRT TS BATMAN PRINT TULISAN TENGAH C N129C:CLASSIC YELLOW:11-12:GRAPHIC:SS T-SHIRT</t>
  </si>
  <si>
    <t>GCBT1C</t>
  </si>
  <si>
    <t>SS T-SHIRT TS BATMAN FP LETTER LOGO FLOCKING C GCBT1C:MISTY LIGH:7-8:PRINT:SS T-SHIRT</t>
  </si>
  <si>
    <t>SS T-SHIRT TS BATMAN FP LETTER LOGO FLOCKING C GCBT1C:MISTY LIGH:15-16:PRINT:SS T-SHIRT</t>
  </si>
  <si>
    <t>H447C</t>
  </si>
  <si>
    <t>SS T-SHIRT SUPERMAN STAND RIGHT SUBLIM C H447C:CLASSIC BLUE:9-10:GRAPHIC:SS T-SHIRT</t>
  </si>
  <si>
    <t>SS T-SHIRT SUPERMAN STAND RIGHT SUBLIM C H447C:CLASSIC BLUE:11-12:GRAPHIC:SS T-SHIRT</t>
  </si>
  <si>
    <t>SS T-SHIRT SUPERMAN STAND RIGHT SUBLIM C H447C:CLASSIC BLUE:15-16:GRAPHIC:SS T-SHIRT</t>
  </si>
  <si>
    <t>N066A</t>
  </si>
  <si>
    <t>SS T-SHIRT SUPERMAN CUT SEWN LOGO BORDIR N066C:CLASSIC RED:11-12:GRAPHIC:SS T-SHIRT</t>
  </si>
  <si>
    <t>SS T-SHIRT SUPERMAN CUT SEWN LOGO BORDIR N066C:CLASSIC RED:13-14:GRAPHIC:SS T-SHIRT</t>
  </si>
  <si>
    <t>SS T-SHIRT SUPERMAN CUT SEWN LOGO BORDIR N066C:CLASSIC RED:15-16:GRAPHIC:SS T-SHIRT</t>
  </si>
  <si>
    <t>SS T-SHIRT SUPERMAN CUT SEWN LOGO BORDIR N066C:CLASSIC RED:9-10:GRAPHIC:SS T-SHIRT</t>
  </si>
  <si>
    <t>HR452C</t>
  </si>
  <si>
    <t>SS T-SHIRT SUPERMAN RIBBON 3 ACTION C HR452C:TURQOUISE:7-8:GRAPHIC:SS T-SHIRT</t>
  </si>
  <si>
    <t>SS T-SHIRT SUPERMAN RIBBON 3 ACTION C HR452C:TURQOUISE:11-12:GRAPHIC:SS T-SHIRT</t>
  </si>
  <si>
    <t>SS T-SHIRT SUPERMAN RIBBON 3 ACTION C HR452C:TURQOUISE:15-16:GRAPHIC:SS T-SHIRT</t>
  </si>
  <si>
    <t>HR464C</t>
  </si>
  <si>
    <t>SS T-SHIRT SUPERMAN FLY LOGO LGN SPLASHC HR464C:TURQOUISE:7-8:GRAPHIC:SS T-SHIRT</t>
  </si>
  <si>
    <t>HR464A</t>
  </si>
  <si>
    <t>SS T-SHIRT SUPERMAN FLY LOGO LGN SPLASHA HR464A:CLASSIC RED:S:GRAPHIC:SS T-SHIRT</t>
  </si>
  <si>
    <t>SS T-SHIRT SUPERMAN FLY LOGO LGN SPLASHA HR464A:CLASSIC RED:M:GRAPHIC:SS T-SHIRT</t>
  </si>
  <si>
    <t>SS T-SHIRT SUPERMAN FLY LOGO LGN SPLASHA HR464A:CLASSIC RED:XL:GRAPHIC:SS T-SHIRT</t>
  </si>
  <si>
    <t>H467A</t>
  </si>
  <si>
    <t>SS T-SHIRT SUPERMAN STAND SUBLIM STRIPE LGN H467A:CLASSIC RED:S:GRAPHIC:SS T-SHIRT</t>
  </si>
  <si>
    <t>SS T-SHIRT SUPERMAN STAND SUBLIM STRIPE LGN H467A:CLASSIC RED:M:GRAPHIC:SS T-SHIRT</t>
  </si>
  <si>
    <t>SS T-SHIRT SUPERMAN STAND SUBLIM STRIPE LGN H467A:CLASSIC RED:XL:GRAPHIC:SS T-SHIRT</t>
  </si>
  <si>
    <t>H417A</t>
  </si>
  <si>
    <t>SS T-SHIRT SUPERMAN FLY CITY SUBLIM H417A:CLASSIC BLUE:XS:PRINT:SS T-SHIRT</t>
  </si>
  <si>
    <t>SS T-SHIRT SUPERMAN FLY CITY SUBLIM H417A:CLASSIC BLUE:S:PRINT:SS T-SHIRT</t>
  </si>
  <si>
    <t>H467B</t>
  </si>
  <si>
    <t>SS T-SHIRT TS SUPERMAN STAND SUBLIM STRIPE LGNB H467B:TURQOUISE:5-6:GRAPHIC:SS T-SHIRT</t>
  </si>
  <si>
    <t>SN100C</t>
  </si>
  <si>
    <t>TS SUPERMAN LOGO GOLD SPLASH SN100C:BLACK:13-14:GRAPHIC:SS T-SHIRT</t>
  </si>
  <si>
    <t>SN101B</t>
  </si>
  <si>
    <t>SS T-SHIRT SUPERMAN LETTER LOGO SN101B:NAVY BLUE:11-12:TEXT:SS T-SHIRT</t>
  </si>
  <si>
    <t>N064C</t>
  </si>
  <si>
    <t>SS T-SHIRT SUPERMAN RG FULLPRINT LOGO HANDUK C N064C:MISTY MEDIU:11-12:GRAPHIC:SS T-SHIRT</t>
  </si>
  <si>
    <t>SN102C</t>
  </si>
  <si>
    <t>SS T-SHIRT TS SUPERMAN FP COMICS LOGO S SN102C:WHITE:11-12:PRINT:SS T-SHIRT</t>
  </si>
  <si>
    <t>SN053A</t>
  </si>
  <si>
    <t>SS T-SHIRT TS SUPERMAN FP MARBLE RIBBON SA SN053A:CLASSIC BLU:XS:GRAPHIC:SS T-SHIRT</t>
  </si>
  <si>
    <t>SS T-SHIRT TS SUPERMAN FP MARBLE RIBBON SA SN053A:CLASSIC BLU:S:GRAPHIC:SS T-SHIRT</t>
  </si>
  <si>
    <t>SN038C</t>
  </si>
  <si>
    <t>SS T-SHIRT TS SUPERMAN FP MARBLE S HANDUKC SN038C:BLACK:7-8:PRINT:SS T-SHIRT</t>
  </si>
  <si>
    <t>SS T-SHIRT TS SUPERMAN FP MARBLE S HANDUKC SN038C:BLACK:9-10:PRINT:SS T-SHIRT</t>
  </si>
  <si>
    <t>SS T-SHIRT TS SUPERMAN FP MARBLE S HANDUKC SN038C:BLACK:11-12:PRINT:SS T-SHIRT</t>
  </si>
  <si>
    <t>SS T-SHIRT TS SUPERMAN FP MARBLE S HANDUKC SN038C:BLACK:15-16:PRINT:SS T-SHIRT</t>
  </si>
  <si>
    <t>H446</t>
  </si>
  <si>
    <t>SWEATER BATMAN FULLPRINT LENGAN LOGO FLOCK H446:MISTY MEDIUM:L:GRAPHIC:JACKET</t>
  </si>
  <si>
    <t>HR303</t>
  </si>
  <si>
    <t>SHORT PANTS CROP KNIT BATMAN LIST LOGO HR303:MISTY MEDIUM:9-10:TEXT:SHORT PANTS</t>
  </si>
  <si>
    <t>SHORT PANTS CROP KNIT BATMAN LIST LOGO HR303:MISTY MEDIUM:11-12:TEXT:SHORT PANTS</t>
  </si>
  <si>
    <t>SHORT PANTS CROP KNIT BATMAN LIST LOGO HR303:MISTY MEDIUM:15-16:TEXT:SHORT PANTS</t>
  </si>
  <si>
    <t>SN071C</t>
  </si>
  <si>
    <t>SHORT PANTS KN SUPERMAN LOGO BORDIR HANDUK SN071C:NAVY BLUE:9-10:SOLID:SHORT PANTS</t>
  </si>
  <si>
    <t>SHORT PANTS KN SUPERMAN LOGO BORDIR HANDUK SN071C:NAVY BLUE:13-14:SOLID:SHORT PANTS</t>
  </si>
  <si>
    <t>SN071A</t>
  </si>
  <si>
    <t>SHORT PANTS KN SUPERMAN LOGO BORDIR HANDUK SN071A:CLASSIC RED:S:SOLID:SHORT PANTS</t>
  </si>
  <si>
    <t>SHORT PANTS KN SUPERMAN LOGO BORDIR HANDUK SN071A:CLASSIC RED:M:SOLID:SHORT PANTS</t>
  </si>
  <si>
    <t>SHORT PANTS KN SUPERMAN LOGO BORDIR HANDUK SN071A:CLASSIC RED:L:SOLID:SHORT PANTS</t>
  </si>
  <si>
    <t>SHORT PANTS KN SUPERMAN LOGO BORDIR HANDUK SN071A:CLASSIC RED:XL:SOLID:SHORT PANTS</t>
  </si>
  <si>
    <t>N116A</t>
  </si>
  <si>
    <t>LONG PANTS LP KNIT BATMAN LOGO KOMB SAYAP N116A:BLACK:S:PRINT:LONG PANTS</t>
  </si>
  <si>
    <t>GNPBM1C</t>
  </si>
  <si>
    <t>LONG PANTS KNIT BATMAN LOGO SMALL RIGHT C GNPBM1C:BLACK:7-8:SOLID:LONG PANTS</t>
  </si>
  <si>
    <t>LONG PANTS KNIT BATMAN LOGO SMALL RIGHT C GNPBM1C:BLACK:13-14:SOLID:LONG PANTS</t>
  </si>
  <si>
    <t>GNBTP1C</t>
  </si>
  <si>
    <t>JOGGER KNIT BATMAN TYPO SAMPING C GNBTP1C:MISTY MEDIUM:7-8:TEXT:JOGGER</t>
  </si>
  <si>
    <t>JOGGER KNIT BATMAN TYPO SAMPING C GNBTP1C:MISTY MEDIUM:9-10:TEXT:JOGGER</t>
  </si>
  <si>
    <t>JOGGER KNIT BATMAN TYPO SAMPING C GNBTP1C:MISTY MEDIUM:15-16:TEXT:JOGGER</t>
  </si>
  <si>
    <t>N170C</t>
  </si>
  <si>
    <t>TS BATMAN DARK KNIGHT CITY C N170C:MISTY MEDIUM GREY:7-8:GRAPHIC:SS T-SHIRT</t>
  </si>
  <si>
    <t>TS BATMAN DARK KNIGHT CITY C N170C:MISTY MEDIUM GREY:9-10:GRAPHIC:SS T-SHIRT</t>
  </si>
  <si>
    <t>TS BATMAN DARK KNIGHT CITY C N170C:MISTY MEDIUM GREY:11-12:GRAPHIC:SS T-SHIRT</t>
  </si>
  <si>
    <t>TS BATMAN DARK KNIGHT CITY C N170C:MISTY MEDIUM GREY:13-14:GRAPHIC:SS T-SHIRT</t>
  </si>
  <si>
    <t>BMA38C</t>
  </si>
  <si>
    <t>TS BATMAN LOGO TENGAH RIBBON C BMA38C:CLASSIC YELLOW:7-8:GRAPHIC:SS T-SHIRT</t>
  </si>
  <si>
    <t>TS BATMAN LOGO TENGAH RIBBON C BMA38C:CLASSIC YELLOW:9-10:GRAPHIC:SS T-SHIRT</t>
  </si>
  <si>
    <t>TS BATMAN LOGO TENGAH RIBBON C BMA38C:CLASSIC YELLOW:13-14:GRAPHIC:SS T-SHIRT</t>
  </si>
  <si>
    <t>A80A</t>
  </si>
  <si>
    <t>TS BATMAN LORENG A A80A:CLASSIC YELLOW:3-4:PRINT:SS T-SHIRT</t>
  </si>
  <si>
    <t>TS BATMAN LORENG A A80A:CLASSIC YELLOW:4-5:PRINT:SS T-SHIRT</t>
  </si>
  <si>
    <t>TS BATMAN LORENG A A80A:CLASSIC YELLOW:5-6:PRINT:SS T-SHIRT</t>
  </si>
  <si>
    <t>TS BATMAN LORENG A A80A:CLASSIC YELLOW:7-8:PRINT:SS T-SHIRT</t>
  </si>
  <si>
    <t>TS BATMAN LORENG A A80A:CLASSIC YELLOW:9-10:PRINT:SS T-SHIRT</t>
  </si>
  <si>
    <t>A86A</t>
  </si>
  <si>
    <t>TS BATMAN DARK KNIGHT ACTION CITY A A86A:MISTY LIGHT YELLOW:3-4:GRAPHIC:SS T-SHIRT</t>
  </si>
  <si>
    <t>TS BATMAN DARK KNIGHT ACTION CITY A A86A:MISTY LIGHT YELLOW:4-5:GRAPHIC:SS T-SHIRT</t>
  </si>
  <si>
    <t>TS BATMAN DARK KNIGHT ACTION CITY A A86A:MISTY LIGHT YELLOW:5-6:GRAPHIC:SS T-SHIRT</t>
  </si>
  <si>
    <t>TS BATMAN DARK KNIGHT ACTION CITY A A86A:MISTY LIGHT YELLOW:7-8:GRAPHIC:SS T-SHIRT</t>
  </si>
  <si>
    <t>TS BATMAN DARK KNIGHT ACTION CITY A A86A:MISTY LIGHT YELLOW:9-10:GRAPHIC:SS T-SHIRT</t>
  </si>
  <si>
    <t>A87C</t>
  </si>
  <si>
    <t>TS BATMAN LOGO TENGAH RIBBON C A87C:BLACK:7-8:GRAPHIC:SS T-SHIRT</t>
  </si>
  <si>
    <t>TS BATMAN LOGO TENGAH RIBBON C A87C:BLACK:9-10:GRAPHIC:SS T-SHIRT</t>
  </si>
  <si>
    <t>TS BATMAN LOGO TENGAH RIBBON C A87C:BLACK:11-12:GRAPHIC:SS T-SHIRT</t>
  </si>
  <si>
    <t>TS BATMAN LOGO TENGAH RIBBON C A87C:BLACK:13-14:GRAPHIC:SS T-SHIRT</t>
  </si>
  <si>
    <t>A76C</t>
  </si>
  <si>
    <t>TS BATMAN LOGO THE CRUSADER C A76C:MISTY MEDIUM GREY:7-8:GRAPHIC:SS T-SHIRT</t>
  </si>
  <si>
    <t>TS BATMAN LOGO THE CRUSADER C A76C:MISTY MEDIUM GREY:9-10:GRAPHIC:SS T-SHIRT</t>
  </si>
  <si>
    <t>TS BATMAN LOGO THE CRUSADER C A76C:MISTY MEDIUM GREY:11-12:GRAPHIC:SS T-SHIRT</t>
  </si>
  <si>
    <t>TS BATMAN LOGO THE CRUSADER C A76C:MISTY MEDIUM GREY:13-14:GRAPHIC:SS T-SHIRT</t>
  </si>
  <si>
    <t>TS BATMAN LOGO THE CRUSADER C A76C:MISTY MEDIUM GREY:15-16:GRAPHIC:SS T-SHIRT</t>
  </si>
  <si>
    <t>BMA44A</t>
  </si>
  <si>
    <t>TS BATMAN KNIGHT KOTAK A BMA44A:CLASSIC YELLOW:3-4:GRAPHIC:SS T-SHIRT</t>
  </si>
  <si>
    <t>TS BATMAN KNIGHT KOTAK A BMA44A:CLASSIC YELLOW:4-5:GRAPHIC:SS T-SHIRT</t>
  </si>
  <si>
    <t>A79C</t>
  </si>
  <si>
    <t>TS BATMAN CUT SEW LORENG C A79C:MISTY DARK GREY:7-8:TEXT:SS T-SHIRT</t>
  </si>
  <si>
    <t>TS BATMAN CUT SEW LORENG C A79C:MISTY DARK GREY:9-10:TEXT:SS T-SHIRT</t>
  </si>
  <si>
    <t>TS BATMAN CUT SEW LORENG C A79C:MISTY DARK GREY:11-12:TEXT:SS T-SHIRT</t>
  </si>
  <si>
    <t>TS BATMAN CUT SEW LORENG C A79C:MISTY DARK GREY:13-14:TEXT:SS T-SHIRT</t>
  </si>
  <si>
    <t>TS BATMAN CUT SEW LORENG C A79C:MISTY DARK GREY:15-16:TEXT:SS T-SHIRT</t>
  </si>
  <si>
    <t>N182C</t>
  </si>
  <si>
    <t>TS BATMAN ANIME JOKER LAUGH C N182C:MISTY MEDIUM GREY:7-8:GRAPHIC:SS T-SHIRT</t>
  </si>
  <si>
    <t>TS BATMAN ANIME JOKER LAUGH C N182C:MISTY MEDIUM GREY:9-10:GRAPHIC:SS T-SHIRT</t>
  </si>
  <si>
    <t>TS BATMAN ANIME JOKER LAUGH C N182C:MISTY MEDIUM GREY:11-12:GRAPHIC:SS T-SHIRT</t>
  </si>
  <si>
    <t>TS BATMAN ANIME JOKER LAUGH C N182C:MISTY MEDIUM GREY:13-14:GRAPHIC:SS T-SHIRT</t>
  </si>
  <si>
    <t>TS BATMAN ANIME JOKER LAUGH C N182C:MISTY MEDIUM GREY:15-16:GRAPHIC:SS T-SHIRT</t>
  </si>
  <si>
    <t>N180A</t>
  </si>
  <si>
    <t>TS BATMAN ANIME KOMIK WAK A N180A:MISTY LIGHT BLUE:3-4:GRAPHIC:SS T-SHIRT</t>
  </si>
  <si>
    <t>TS BATMAN ANIME KOMIK WAK A N180A:MISTY LIGHT BLUE:4-5:GRAPHIC:SS T-SHIRT</t>
  </si>
  <si>
    <t>TS BATMAN ANIME KOMIK WAK A N180A:MISTY LIGHT BLUE:9-10:GRAPHIC:SS T-SHIRT</t>
  </si>
  <si>
    <t>HR663C</t>
  </si>
  <si>
    <t>T-SHIRT BATMAN THE DARK KNIGHT TENGAH C HR663C:BLACK:7-8:GRAPHIC:SS T-SHIRT</t>
  </si>
  <si>
    <t>T-SHIRT BATMAN THE DARK KNIGHT TENGAH C HR663C:BLACK:9-10:GRAPHIC:SS T-SHIRT</t>
  </si>
  <si>
    <t>T-SHIRT BATMAN THE DARK KNIGHT TENGAH C HR663C:BLACK:11-12:GRAPHIC:SS T-SHIRT</t>
  </si>
  <si>
    <t>T-SHIRT BATMAN THE DARK KNIGHT TENGAH C HR663C:BLACK:13-14:GRAPHIC:SS T-SHIRT</t>
  </si>
  <si>
    <t>T-SHIRT BATMAN THE DARK KNIGHT TENGAH C HR663C:BLACK:15-16:GRAPHIC:SS T-SHIRT</t>
  </si>
  <si>
    <t>HR665C</t>
  </si>
  <si>
    <t>T-SHIRT BATMAN LOGO TENGAH CITY LIS BAHU C HR665C:MISTY LIGHT GREY:9-10:GRAPHIC:SS T-SHIRT</t>
  </si>
  <si>
    <t>T-SHIRT BATMAN LOGO TENGAH CITY LIS BAHU C HR665C:MISTY LIGHT GREY:15-16:GRAPHIC:SS T-SHIRT</t>
  </si>
  <si>
    <t>BM-N172A</t>
  </si>
  <si>
    <t>TS BATMAN LOGO FP A BM-N172A:MISTY MEDIUM GREY:3-4:GRAPHIC:SS T-SHIRT</t>
  </si>
  <si>
    <t>TS BATMAN LOGO FP A BM-N172A:MISTY MEDIUM GREY:4-5:GRAPHIC:SS T-SHIRT</t>
  </si>
  <si>
    <t>TS BATMAN LOGO FP A BM-N172A:MISTY MEDIUM GREY:5-6:GRAPHIC:SS T-SHIRT</t>
  </si>
  <si>
    <t>TS BATMAN LOGO FP A BM-N172A:MISTY MEDIUM GREY:7-8:GRAPHIC:SS T-SHIRT</t>
  </si>
  <si>
    <t>TS BATMAN LOGO FP A BM-N172A:MISTY MEDIUM GREY:9-10:GRAPHIC:SS T-SHIRT</t>
  </si>
  <si>
    <t>BM-A85A</t>
  </si>
  <si>
    <t>TS BATMAN CUT SEW LOGO TENGAH A BM-A85A:CLASSIC YELLOW:3-4:GRAPHIC:SS T-SHIRT</t>
  </si>
  <si>
    <t>TS BATMAN CUT SEW LOGO TENGAH A BM-A85A:CLASSIC YELLOW:4-5:GRAPHIC:SS T-SHIRT</t>
  </si>
  <si>
    <t>TS BATMAN CUT SEW LOGO TENGAH A BM-A85A:CLASSIC YELLOW:7-8:GRAPHIC:SS T-SHIRT</t>
  </si>
  <si>
    <t>TS BATMAN CUT SEW LOGO TENGAH A BM-A85A:CLASSIC YELLOW:9-10:GRAPHIC:SS T-SHIRT</t>
  </si>
  <si>
    <t>BM-A52A</t>
  </si>
  <si>
    <t>TS BATMAN ACTION CITY CUT SEW A BM-A52A:BLACK:3-4:GRAPHIC:SS T-SHIRT</t>
  </si>
  <si>
    <t>TS BATMAN ACTION CITY CUT SEW A BM-A52A:BLACK:4-5:GRAPHIC:SS T-SHIRT</t>
  </si>
  <si>
    <t>TS BATMAN ACTION CITY CUT SEW A BM-A52A:BLACK:5-6:GRAPHIC:SS T-SHIRT</t>
  </si>
  <si>
    <t>TS BATMAN ACTION CITY CUT SEW A BM-A52A:BLACK:7-8:GRAPHIC:SS T-SHIRT</t>
  </si>
  <si>
    <t>TS BATMAN ACTION CITY CUT SEW A BM-A52A:BLACK:9-10:GRAPHIC:SS T-SHIRT</t>
  </si>
  <si>
    <t>BM-A93A</t>
  </si>
  <si>
    <t>TS BATMAN LOGO TENGAH CUTSEW LGN A BM-A93A:MISTY LIGHT YELLOW:3-4:GRAPHIC:SS T-SHIRT</t>
  </si>
  <si>
    <t>TS BATMAN LOGO TENGAH CUTSEW LGN A BM-A93A:MISTY LIGHT YELLOW:4-5:GRAPHIC:SS T-SHIRT</t>
  </si>
  <si>
    <t>TS BATMAN LOGO TENGAH CUTSEW LGN A BM-A93A:MISTY LIGHT YELLOW:5-6:GRAPHIC:SS T-SHIRT</t>
  </si>
  <si>
    <t>TS BATMAN LOGO TENGAH CUTSEW LGN A BM-A93A:MISTY LIGHT YELLOW:7-8:GRAPHIC:SS T-SHIRT</t>
  </si>
  <si>
    <t>TS BATMAN LOGO TENGAH CUTSEW LGN A BM-A93A:MISTY LIGHT YELLOW:9-10:GRAPHIC:SS T-SHIRT</t>
  </si>
  <si>
    <t>BM-A84C</t>
  </si>
  <si>
    <t>TS BATMAN JUMP LIS LENGAN C BM-A84C:MISTY LIGHT YELLOW:7-8:GRAPHIC:SS T-SHIRT</t>
  </si>
  <si>
    <t>TS BATMAN JUMP LIS LENGAN C BM-A84C:MISTY LIGHT YELLOW:9-10:GRAPHIC:SS T-SHIRT</t>
  </si>
  <si>
    <t>TS BATMAN JUMP LIS LENGAN C BM-A84C:MISTY LIGHT YELLOW:11-12:GRAPHIC:SS T-SHIRT</t>
  </si>
  <si>
    <t>TS BATMAN JUMP LIS LENGAN C BM-A84C:MISTY LIGHT YELLOW:13-14:GRAPHIC:SS T-SHIRT</t>
  </si>
  <si>
    <t>TS BATMAN JUMP LIS LENGAN C BM-A84C:MISTY LIGHT YELLOW:15-16:GRAPHIC:SS T-SHIRT</t>
  </si>
  <si>
    <t>BM-A186C</t>
  </si>
  <si>
    <t>TS BATMAN JOKER LOGO TENGAH C BM-A186C:BLACK:7-8:GRAPHIC:SS T-SHIRT</t>
  </si>
  <si>
    <t>TS BATMAN JOKER LOGO TENGAH C BM-A186C:BLACK:9-10:GRAPHIC:SS T-SHIRT</t>
  </si>
  <si>
    <t>TS BATMAN JOKER LOGO TENGAH C BM-A186C:BLACK:13-14:GRAPHIC:SS T-SHIRT</t>
  </si>
  <si>
    <t>BM-A83A</t>
  </si>
  <si>
    <t>TS BATMAN FP TD GOTHAM GUARDIAN A BM-A83A:BLACK:3-4:GRAPHIC:SS T-SHIRT</t>
  </si>
  <si>
    <t>TS BATMAN FP TD GOTHAM GUARDIAN A BM-A83A:BLACK:5-6:GRAPHIC:SS T-SHIRT</t>
  </si>
  <si>
    <t>TS BATMAN FP TD GOTHAM GUARDIAN A BM-A83A:BLACK:7-8:GRAPHIC:SS T-SHIRT</t>
  </si>
  <si>
    <t>TS BATMAN FP TD GOTHAM GUARDIAN A BM-A83A:BLACK:9-10:GRAPHIC:SS T-SHIRT</t>
  </si>
  <si>
    <t>BM-HN5C</t>
  </si>
  <si>
    <t>TS BATMAN CUT SEW LOGO MOVIE C BM-HN5C:BLACK:7-8:GRAPHIC:SS T-SHIRT</t>
  </si>
  <si>
    <t>TS BATMAN CUT SEW LOGO MOVIE C BM-HN5C:BLACK:9-10:GRAPHIC:SS T-SHIRT</t>
  </si>
  <si>
    <t>TS BATMAN CUT SEW LOGO MOVIE C BM-HN5C:BLACK:11-12:GRAPHIC:SS T-SHIRT</t>
  </si>
  <si>
    <t>TS BATMAN CUT SEW LOGO MOVIE C BM-HN5C:BLACK:13-14:GRAPHIC:SS T-SHIRT</t>
  </si>
  <si>
    <t>TS BATMAN CUT SEW LOGO MOVIE C BM-HN5C:BLACK:15-16:GRAPHIC:SS T-SHIRT</t>
  </si>
  <si>
    <t>BM-A57A</t>
  </si>
  <si>
    <t>TS BATMAN DARK KNIGHT KOTAK A BM-A57A:CLASSIC YELLOW:3-4:GRAPHIC:SS T-SHIRT</t>
  </si>
  <si>
    <t>TS BATMAN DARK KNIGHT KOTAK A BM-A57A:CLASSIC YELLOW:4-5:GRAPHIC:SS T-SHIRT</t>
  </si>
  <si>
    <t>TS BATMAN DARK KNIGHT KOTAK A BM-A57A:CLASSIC YELLOW:5-6:GRAPHIC:SS T-SHIRT</t>
  </si>
  <si>
    <t>TS BATMAN DARK KNIGHT KOTAK A BM-A57A:CLASSIC YELLOW:7-8:GRAPHIC:SS T-SHIRT</t>
  </si>
  <si>
    <t>TS BATMAN DARK KNIGHT KOTAK A BM-A57A:CLASSIC YELLOW:9-10:GRAPHIC:SS T-SHIRT</t>
  </si>
  <si>
    <t>BM-A54A</t>
  </si>
  <si>
    <t>TS BATMAN JUMP ACTION CITY A BM-A54A:MISTY LIGHT BLUE:3-4:GRAPHIC:SS T-SHIRT</t>
  </si>
  <si>
    <t>TS BATMAN JUMP ACTION CITY A BM-A54A:MISTY LIGHT BLUE:4-5:GRAPHIC:SS T-SHIRT</t>
  </si>
  <si>
    <t>TS BATMAN JUMP ACTION CITY A BM-A54A:MISTY LIGHT BLUE:7-8:GRAPHIC:SS T-SHIRT</t>
  </si>
  <si>
    <t>TS BATMAN JUMP ACTION CITY A BM-A54A:MISTY LIGHT BLUE:9-10:GRAPHIC:SS T-SHIRT</t>
  </si>
  <si>
    <t>NN024</t>
  </si>
  <si>
    <t>T-SHIRT BATMAN SAYAP CLASSIC A NN024:MISTY DARK GREY:3-4:GRAPHIC:SS T-SHIRT</t>
  </si>
  <si>
    <t>T-SHIRT BATMAN SAYAP CLASSIC A NN024:MISTY DARK GREY:4-5:GRAPHIC:SS T-SHIRT</t>
  </si>
  <si>
    <t>T-SHIRT BATMAN SAYAP CLASSIC A NN024:MISTY DARK GREY:5-6:GRAPHIC:SS T-SHIRT</t>
  </si>
  <si>
    <t>T-SHIRT BATMAN SAYAP CLASSIC A NN024:MISTY DARK GREY:7-8:GRAPHIC:SS T-SHIRT</t>
  </si>
  <si>
    <t>T-SHIRT BATMAN SAYAP CLASSIC A NN024:MISTY DARK GREY:9-10:GRAPHIC:SS T-SHIRT</t>
  </si>
  <si>
    <t>BM-A820A</t>
  </si>
  <si>
    <t>SS T-SHIRT BATMAN ACTION FLY CUT SEW A BM-A820A:MISTY LIGHT GREY:3-4:GRAPHIC:SS T-SHIRT</t>
  </si>
  <si>
    <t>SS T-SHIRT BATMAN ACTION FLY CUT SEW A BM-A820A:MISTY LIGHT GREY:4-5:GRAPHIC:SS T-SHIRT</t>
  </si>
  <si>
    <t>SS T-SHIRT BATMAN ACTION FLY CUT SEW A BM-A820A:MISTY LIGHT GREY:5-6:GRAPHIC:SS T-SHIRT</t>
  </si>
  <si>
    <t>SS T-SHIRT BATMAN ACTION FLY CUT SEW A BM-A820A:MISTY LIGHT GREY:7-8:GRAPHIC:SS T-SHIRT</t>
  </si>
  <si>
    <t>SS T-SHIRT BATMAN ACTION FLY CUT SEW A BM-A820A:MISTY LIGHT GREY:9-10:GRAPHIC:SS T-SHIRT</t>
  </si>
  <si>
    <t>BM-N1680A</t>
  </si>
  <si>
    <t>SS T-SHIRT BATMAN FP LOGO GOLD BASS T-SHIRT A BM-N1680A:MISTY DARK GREY:4-5:TEXT:SS T-SHIRT</t>
  </si>
  <si>
    <t>SS T-SHIRT BATMAN FP LOGO GOLD BASS T-SHIRT A BM-N1680A:MISTY DARK GREY:7-8:TEXT:SS T-SHIRT</t>
  </si>
  <si>
    <t>SS T-SHIRT BATMAN FP LOGO GOLD BASS T-SHIRT A BM-N1680A:MISTY DARK GREY:9-10:TEXT:SS T-SHIRT</t>
  </si>
  <si>
    <t>BM-A450C</t>
  </si>
  <si>
    <t>SS T-SHIRT BATMAN FP TD LOGO CLASSIC C BM-A450C:WHITE:7-8:GRAPHIC:SS T-SHIRT</t>
  </si>
  <si>
    <t>SS T-SHIRT BATMAN FP TD LOGO CLASSIC C BM-A450C:WHITE:9-10:GRAPHIC:SS T-SHIRT</t>
  </si>
  <si>
    <t>SS T-SHIRT BATMAN FP TD LOGO CLASSIC C BM-A450C:WHITE:11-12:GRAPHIC:SS T-SHIRT</t>
  </si>
  <si>
    <t>SS T-SHIRT BATMAN FP TD LOGO CLASSIC C BM-A450C:WHITE:13-14:GRAPHIC:SS T-SHIRT</t>
  </si>
  <si>
    <t>SS T-SHIRT BATMAN FP TD LOGO CLASSIC C BM-A450C:WHITE:15-16:GRAPHIC:SS T-SHIRT</t>
  </si>
  <si>
    <t>BM-N1690C</t>
  </si>
  <si>
    <t>SS T-SHIRT BATMAN FP TD SPLASH LOGO C BM-N1690C:BLACK:11-12:GRAPHIC:SS T-SHIRT</t>
  </si>
  <si>
    <t>SS T-SHIRT BATMAN FP TD SPLASH LOGO C BM-N1690C:BLACK:15-16:GRAPHIC:SS T-SHIRT</t>
  </si>
  <si>
    <t>N181</t>
  </si>
  <si>
    <t>TS BATMAN ANIME JOKER SMILE C N181:MISTY DARK GREY:7-8:GRAPHIC:SS T-SHIRT</t>
  </si>
  <si>
    <t>TS BATMAN ANIME JOKER SMILE C N181:MISTY DARK GREY:9-10:GRAPHIC:SS T-SHIRT</t>
  </si>
  <si>
    <t>TS BATMAN ANIME JOKER SMILE C N181:MISTY DARK GREY:11-12:GRAPHIC:SS T-SHIRT</t>
  </si>
  <si>
    <t>TS BATMAN ANIME JOKER SMILE C N181:MISTY DARK GREY:13-14:GRAPHIC:SS T-SHIRT</t>
  </si>
  <si>
    <t>TS BATMAN ANIME JOKER SMILE C N181:MISTY DARK GREY:15-16:GRAPHIC:SS T-SHIRT</t>
  </si>
  <si>
    <t>SM-A81A</t>
  </si>
  <si>
    <t>T-SHIRT SUPERMAN MAN OF STEEL A SM-A81A:MISTY MEDIUM BLUE:3-4:GRAPHIC:SS T-SHIRT</t>
  </si>
  <si>
    <t>T-SHIRT SUPERMAN MAN OF STEEL A SM-A81A:MISTY MEDIUM BLUE:4-5:GRAPHIC:SS T-SHIRT</t>
  </si>
  <si>
    <t>T-SHIRT SUPERMAN MAN OF STEEL A SM-A81A:MISTY MEDIUM BLUE:7-8:GRAPHIC:SS T-SHIRT</t>
  </si>
  <si>
    <t>T-SHIRT SUPERMAN MAN OF STEEL A SM-A81A:MISTY MEDIUM BLUE:9-10:GRAPHIC:SS T-SHIRT</t>
  </si>
  <si>
    <t>SM-A72A</t>
  </si>
  <si>
    <t>T-SHIRT SUPERMAN STRENGTH JUSTICE A SM-A72A:MISTY DARK BLUE:3-4:GRAPHIC:SS T-SHIRT</t>
  </si>
  <si>
    <t>T-SHIRT SUPERMAN STRENGTH JUSTICE A SM-A72A:MISTY DARK BLUE:4-5:GRAPHIC:SS T-SHIRT</t>
  </si>
  <si>
    <t>T-SHIRT SUPERMAN STRENGTH JUSTICE A SM-A72A:MISTY DARK BLUE:5-6:GRAPHIC:SS T-SHIRT</t>
  </si>
  <si>
    <t>T-SHIRT SUPERMAN STRENGTH JUSTICE A SM-A72A:MISTY DARK BLUE:7-8:GRAPHIC:SS T-SHIRT</t>
  </si>
  <si>
    <t>T-SHIRT SUPERMAN STRENGTH JUSTICE A SM-A72A:MISTY DARK BLUE:9-10:GRAPHIC:SS T-SHIRT</t>
  </si>
  <si>
    <t>SM-A60A</t>
  </si>
  <si>
    <t>T-SHIRT SUPERMAN FLY NEW YORK A SM-A60A:WHITE:5-6:GRAPHIC:SS T-SHIRT</t>
  </si>
  <si>
    <t>SM-A52A</t>
  </si>
  <si>
    <t>T-SHIRT SUPERMAN RIBBON LOGO TENGAH A SM-A52A:NAVY BLUE:3-4:GRAPHIC:SS T-SHIRT</t>
  </si>
  <si>
    <t>T-SHIRT SUPERMAN RIBBON LOGO TENGAH A SM-A52A:NAVY BLUE:4-5:GRAPHIC:SS T-SHIRT</t>
  </si>
  <si>
    <t>T-SHIRT SUPERMAN RIBBON LOGO TENGAH A SM-A52A:NAVY BLUE:5-6:GRAPHIC:SS T-SHIRT</t>
  </si>
  <si>
    <t>T-SHIRT SUPERMAN RIBBON LOGO TENGAH A SM-A52A:NAVY BLUE:7-8:GRAPHIC:SS T-SHIRT</t>
  </si>
  <si>
    <t>T-SHIRT SUPERMAN RIBBON LOGO TENGAH A SM-A52A:NAVY BLUE:9-10:GRAPHIC:SS T-SHIRT</t>
  </si>
  <si>
    <t>SM-A59A</t>
  </si>
  <si>
    <t>T-SHIRT SUPERMAN RIBBON LENGAN A SM-A59A:CLASSIC RED:3-4:GRAPHIC:SS T-SHIRT</t>
  </si>
  <si>
    <t>T-SHIRT SUPERMAN RIBBON LENGAN A SM-A59A:CLASSIC RED:4-5:GRAPHIC:SS T-SHIRT</t>
  </si>
  <si>
    <t>T-SHIRT SUPERMAN RIBBON LENGAN A SM-A59A:CLASSIC RED:5-6:GRAPHIC:SS T-SHIRT</t>
  </si>
  <si>
    <t>T-SHIRT SUPERMAN RIBBON LENGAN A SM-A59A:CLASSIC RED:7-8:GRAPHIC:SS T-SHIRT</t>
  </si>
  <si>
    <t>SM-A58C</t>
  </si>
  <si>
    <t>T-SHIRT SUPERMAN LOGO TENGAH FLY C SM-A58C:MISTY MEDIUM BLUE:7-8:GRAPHIC:SS T-SHIRT</t>
  </si>
  <si>
    <t>T-SHIRT SUPERMAN LOGO TENGAH FLY C SM-A58C:MISTY MEDIUM BLUE:9-10:GRAPHIC:SS T-SHIRT</t>
  </si>
  <si>
    <t>T-SHIRT SUPERMAN LOGO TENGAH FLY C SM-A58C:MISTY MEDIUM BLUE:11-12:GRAPHIC:SS T-SHIRT</t>
  </si>
  <si>
    <t>T-SHIRT SUPERMAN LOGO TENGAH FLY C SM-A58C:MISTY MEDIUM BLUE:13-14:GRAPHIC:SS T-SHIRT</t>
  </si>
  <si>
    <t>SM-N165C</t>
  </si>
  <si>
    <t>T-SHIRT SUPERMAN SON OF KRYPTON C SM-N165C:BLACK:7-8:GRAPHIC:SS T-SHIRT</t>
  </si>
  <si>
    <t>T-SHIRT SUPERMAN SON OF KRYPTON C SM-N165C:BLACK:9-10:GRAPHIC:SS T-SHIRT</t>
  </si>
  <si>
    <t>T-SHIRT SUPERMAN SON OF KRYPTON C SM-N165C:BLACK:11-12:GRAPHIC:SS T-SHIRT</t>
  </si>
  <si>
    <t>T-SHIRT SUPERMAN SON OF KRYPTON C SM-N165C:BLACK:13-14:GRAPHIC:SS T-SHIRT</t>
  </si>
  <si>
    <t>T-SHIRT SUPERMAN SON OF KRYPTON C SM-N165C:BLACK:15-16:GRAPHIC:SS T-SHIRT</t>
  </si>
  <si>
    <t>SM-A51C</t>
  </si>
  <si>
    <t>T-SHIRT SUPERMAN TULISAN LIS LENGAN C SM-A51C:MISTY LIGHT GREY:7-8:TEXT:SS T-SHIRT</t>
  </si>
  <si>
    <t>T-SHIRT SUPERMAN TULISAN LIS LENGAN C SM-A51C:MISTY LIGHT GREY:9-10:TEXT:SS T-SHIRT</t>
  </si>
  <si>
    <t>T-SHIRT SUPERMAN TULISAN LIS LENGAN C SM-A51C:MISTY LIGHT GREY:11-12:TEXT:SS T-SHIRT</t>
  </si>
  <si>
    <t>T-SHIRT SUPERMAN TULISAN LIS LENGAN C SM-A51C:MISTY LIGHT GREY:13-14:TEXT:SS T-SHIRT</t>
  </si>
  <si>
    <t>T-SHIRT SUPERMAN TULISAN LIS LENGAN C SM-A51C:MISTY LIGHT GREY:15-16:TEXT:SS T-SHIRT</t>
  </si>
  <si>
    <t>SM-A59C</t>
  </si>
  <si>
    <t>TS SUPERMAN SPLASH LOGO LIS LENGAN C SM-A59C:NAVY BLUE:11-12:GRAPHIC:SS T-SHIRT</t>
  </si>
  <si>
    <t>TS SUPERMAN SPLASH LOGO LIS LENGAN C SM-A59C:NAVY BLUE:13-14:GRAPHIC:SS T-SHIRT</t>
  </si>
  <si>
    <t>TS SUPERMAN SPLASH LOGO LIS LENGAN C SM-A59C:NAVY BLUE:15-16:GRAPHIC:SS T-SHIRT</t>
  </si>
  <si>
    <t>HR39C</t>
  </si>
  <si>
    <t>TS SUPERMAN FP TD MARBLE LOGO TENGAH C HR39C:CLASSIC BLUE:7-8:GRAPHIC:SS T-SHIRT</t>
  </si>
  <si>
    <t>TS SUPERMAN FP TD MARBLE LOGO TENGAH C HR39C:CLASSIC BLUE:9-10:GRAPHIC:SS T-SHIRT</t>
  </si>
  <si>
    <t>TS SUPERMAN FP TD MARBLE LOGO TENGAH C HR39C:CLASSIC BLUE:11-12:GRAPHIC:SS T-SHIRT</t>
  </si>
  <si>
    <t>TS SUPERMAN FP TD MARBLE LOGO TENGAH C HR39C:CLASSIC BLUE:13-14:GRAPHIC:SS T-SHIRT</t>
  </si>
  <si>
    <t>TS SUPERMAN FP TD MARBLE LOGO TENGAH C HR39C:CLASSIC BLUE:15-16:GRAPHIC:SS T-SHIRT</t>
  </si>
  <si>
    <t>HPA03C</t>
  </si>
  <si>
    <t>TS  HARRY POTTER FP MARBLE  WITCH C HPA03C:BLACK:9-10:PRINT:SS T-SHIRT</t>
  </si>
  <si>
    <t>TS  HARRY POTTER FP MARBLE  WITCH C HPA03C:BLACK:13-14:PRINT:SS T-SHIRT</t>
  </si>
  <si>
    <t>HP695A</t>
  </si>
  <si>
    <t>TS  HARRY POTTER FP TD LOGO TULISAN A HP695A:CLASSIC RED:3-4:GRAPHIC:SS T-SHIRT</t>
  </si>
  <si>
    <t>TS  HARRY POTTER FP TD LOGO TULISAN A HP695A:CLASSIC RED:4-5:GRAPHIC:SS T-SHIRT</t>
  </si>
  <si>
    <t>TS  HARRY POTTER FP TD LOGO TULISAN A HP695A:CLASSIC RED:5-6:GRAPHIC:SS T-SHIRT</t>
  </si>
  <si>
    <t>TS  HARRY POTTER FP TD LOGO TULISAN A HP695A:CLASSIC RED:9-10:GRAPHIC:SS T-SHIRT</t>
  </si>
  <si>
    <t>HP698C</t>
  </si>
  <si>
    <t>TS  HARRY POTTER TULISAN FP TD C HP698C:MISTY DARK GREY:9-10:GRAPHIC:SS T-SHIRT</t>
  </si>
  <si>
    <t>TS  HARRY POTTER TULISAN FP TD C HP698C:MISTY DARK GREY:11-12:GRAPHIC:SS T-SHIRT</t>
  </si>
  <si>
    <t>TS  HARRY POTTER TULISAN FP TD C HP698C:MISTY DARK GREY:13-14:GRAPHIC:SS T-SHIRT</t>
  </si>
  <si>
    <t>HP385A</t>
  </si>
  <si>
    <t>TS  HARRY POTTER FLY A HP385A:MISTY MEDIUM GREY:3-4:GRAPHIC:SS T-SHIRT</t>
  </si>
  <si>
    <t>TS  HARRY POTTER FLY A HP385A:MISTY MEDIUM GREY:4-5:GRAPHIC:SS T-SHIRT</t>
  </si>
  <si>
    <t>TS  HARRY POTTER FLY A HP385A:MISTY MEDIUM GREY:5-6:GRAPHIC:SS T-SHIRT</t>
  </si>
  <si>
    <t>TS  HARRY POTTER FLY A HP385A:MISTY MEDIUM GREY:7-8:GRAPHIC:SS T-SHIRT</t>
  </si>
  <si>
    <t>TS  HARRY POTTER FLY A HP385A:MISTY MEDIUM GREY:9-10:GRAPHIC:SS T-SHIRT</t>
  </si>
  <si>
    <t>HP693A</t>
  </si>
  <si>
    <t>TS  HARRY POTTER FP TD LOGO A HP693A:WHITE:3-4:GRAPHIC:SS T-SHIRT</t>
  </si>
  <si>
    <t>TS  HARRY POTTER FP TD LOGO A HP693A:WHITE:4-5:GRAPHIC:SS T-SHIRT</t>
  </si>
  <si>
    <t>TS  HARRY POTTER FP TD LOGO A HP693A:WHITE:5-6:GRAPHIC:SS T-SHIRT</t>
  </si>
  <si>
    <t>TS  HARRY POTTER FP TD LOGO A HP693A:WHITE:7-8:GRAPHIC:SS T-SHIRT</t>
  </si>
  <si>
    <t>TS  HARRY POTTER FP TD LOGO A HP693A:WHITE:9-10:GRAPHIC:SS T-SHIRT</t>
  </si>
  <si>
    <t>HPA26A</t>
  </si>
  <si>
    <t>TS HARRY POTTER TEAMS A HPA26A:CLASSIC BLUE:3-4:GRAPHIC:SS T-SHIRT</t>
  </si>
  <si>
    <t>TS HARRY POTTER TEAMS A HPA26A:CLASSIC BLUE:4-5:GRAPHIC:SS T-SHIRT</t>
  </si>
  <si>
    <t>TS HARRY POTTER TEAMS A HPA26A:CLASSIC BLUE:5-6:GRAPHIC:SS T-SHIRT</t>
  </si>
  <si>
    <t>TS HARRY POTTER TEAMS A HPA26A:CLASSIC BLUE:7-8:GRAPHIC:SS T-SHIRT</t>
  </si>
  <si>
    <t>TS HARRY POTTER TEAMS A HPA26A:CLASSIC BLUE:9-10:GRAPHIC:SS T-SHIRT</t>
  </si>
  <si>
    <t>HPHN02A</t>
  </si>
  <si>
    <t>TS HARRY POTTER SUBLIM HOGWARTS A HPHN02A:NAVY BLUE:3-4:GRAPHIC:SS T-SHIRT</t>
  </si>
  <si>
    <t>TS HARRY POTTER SUBLIM HOGWARTS A HPHN02A:NAVY BLUE:4-5:GRAPHIC:SS T-SHIRT</t>
  </si>
  <si>
    <t>TS HARRY POTTER SUBLIM HOGWARTS A HPHN02A:NAVY BLUE:5-6:GRAPHIC:SS T-SHIRT</t>
  </si>
  <si>
    <t>TS HARRY POTTER SUBLIM HOGWARTS A HPHN02A:NAVY BLUE:7-8:GRAPHIC:SS T-SHIRT</t>
  </si>
  <si>
    <t>TS HARRY POTTER SUBLIM HOGWARTS A HPHN02A:NAVY BLUE:9-10:GRAPHIC:SS T-SHIRT</t>
  </si>
  <si>
    <t>HPA33C</t>
  </si>
  <si>
    <t>TS HARRY POTTER FP SPLASH LOGO C HPA33C:BLACK:7-8:GRAPHIC:SS T-SHIRT</t>
  </si>
  <si>
    <t>TS HARRY POTTER FP SPLASH LOGO C HPA33C:BLACK:13-14:GRAPHIC:SS T-SHIRT</t>
  </si>
  <si>
    <t>TS HARRY POTTER FP SPLASH LOGO C HPA33C:BLACK:15-16:GRAPHIC:SS T-SHIRT</t>
  </si>
  <si>
    <t>HPHR6920C</t>
  </si>
  <si>
    <t>SS T-SHIRT  HARRY POTTER TULISAN FP TD C HPHR6920C:BLACK:9-10:TEXT:SS T-SHIRT</t>
  </si>
  <si>
    <t>SS T-SHIRT  HARRY POTTER TULISAN FP TD C HPHR6920C:BLACK:11-12:TEXT:SS T-SHIRT</t>
  </si>
  <si>
    <t>SS T-SHIRT  HARRY POTTER TULISAN FP TD C HPHR6920C:BLACK:13-14:TEXT:SS T-SHIRT</t>
  </si>
  <si>
    <t>LT031A</t>
  </si>
  <si>
    <t xml:space="preserve"> T-SHIRT LOONEY TOONS MARVIN N FRIENDS A LT031A:MISTY DARK G:3-4:GRAPHIC:SS T-SHIRT</t>
  </si>
  <si>
    <t xml:space="preserve"> T-SHIRT LOONEY TOONS MARVIN N FRIENDS A LT031A:MISTY DARK G:4-5:GRAPHIC:SS T-SHIRT</t>
  </si>
  <si>
    <t>LT026C</t>
  </si>
  <si>
    <t xml:space="preserve"> T-SHIRT LOONEY TOONS BUGS ON LOGO SMALL C LT026C:BLACK:9-10:GRAPHIC:SS T-SHIRT</t>
  </si>
  <si>
    <t xml:space="preserve"> T-SHIRT LOONEY TOONS BUGS ON LOGO SMALL C LT026C:BLACK:11-12:GRAPHIC:SS T-SHIRT</t>
  </si>
  <si>
    <t xml:space="preserve"> T-SHIRT LOONEY TOONS BUGS ON LOGO SMALL C LT026C:BLACK:13-14:GRAPHIC:SS T-SHIRT</t>
  </si>
  <si>
    <t xml:space="preserve"> T-SHIRT LOONEY TOONS BUGS ON LOGO SMALL C LT026C:BLACK:15-16:GRAPHIC:SS T-SHIRT</t>
  </si>
  <si>
    <t>LT028C</t>
  </si>
  <si>
    <t>T-SHIRT LOONEY TOONS BUGS AND DAFFY FP TD A LT028C:WHITE:3-4:GRAPHIC:SS T-SHIRT</t>
  </si>
  <si>
    <t>T-SHIRT LOONEY TOONS BUGS AND DAFFY FP TD A LT028C:WHITE:4-5:GRAPHIC:SS T-SHIRT</t>
  </si>
  <si>
    <t>T-SHIRT LOONEY TOONS BUGS AND DAFFY FP TD A LT028C:WHITE:5-6:GRAPHIC:SS T-SHIRT</t>
  </si>
  <si>
    <t>T-SHIRT LOONEY TOONS BUGS AND DAFFY FP TD A LT028C:WHITE:7-8:GRAPHIC:SS T-SHIRT</t>
  </si>
  <si>
    <t>T-SHIRT LOONEY TOONS BUGS AND DAFFY FP TD A LT028C:WHITE:9-10:GRAPHIC:SS T-SHIRT</t>
  </si>
  <si>
    <t>LT016C</t>
  </si>
  <si>
    <t>TS LOONEY TOONS FP TD TEAM RUN C LT016C:CLASSIC RED:7-8:GRAPHIC:SS T-SHIRT</t>
  </si>
  <si>
    <t>TS LOONEY TOONS FP TD TEAM RUN C LT016C:CLASSIC RED:9-10:GRAPHIC:SS T-SHIRT</t>
  </si>
  <si>
    <t>TS LOONEY TOONS FP TD TEAM RUN C LT016C:CLASSIC RED:11-12:GRAPHIC:SS T-SHIRT</t>
  </si>
  <si>
    <t>TS LOONEY TOONS FP TD TEAM RUN C LT016C:CLASSIC RED:15-16:GRAPHIC:SS T-SHIRT</t>
  </si>
  <si>
    <t>LT014C</t>
  </si>
  <si>
    <t>T-SHIRT TS LOONEY TOONS FP TD TEAM LOGO C LT014C:NAVY BLUE:9-10:GRAPHIC:SS T-SHIRT</t>
  </si>
  <si>
    <t>T-SHIRT TS LOONEY TOONS FP TD TEAM LOGO C LT014C:NAVY BLUE:11-12:GRAPHIC:SS T-SHIRT</t>
  </si>
  <si>
    <t>LTA03A</t>
  </si>
  <si>
    <t>TS LOONEY TOONS BUGS SMILES A LTA03A:CLASSIC YELLOW:3-4:GRAPHIC:SS T-SHIRT</t>
  </si>
  <si>
    <t>TS LOONEY TOONS BUGS SMILES A LTA03A:CLASSIC YELLOW:4-5:GRAPHIC:SS T-SHIRT</t>
  </si>
  <si>
    <t>TS LOONEY TOONS BUGS SMILES A LTA03A:CLASSIC YELLOW:5-6:GRAPHIC:SS T-SHIRT</t>
  </si>
  <si>
    <t>TS LOONEY TOONS BUGS SMILES A LTA03A:CLASSIC YELLOW:7-8:GRAPHIC:SS T-SHIRT</t>
  </si>
  <si>
    <t>TS LOONEY TOONS BUGS SMILES A LTA03A:CLASSIC YELLOW:9-10:GRAPHIC:SS T-SHIRT</t>
  </si>
  <si>
    <t>LTA10A</t>
  </si>
  <si>
    <t>TS LOONEY TOONS BUGS SOCCER A LTA10A:MISTY LIGHT BLUE:3-4:GRAPHIC:SS T-SHIRT</t>
  </si>
  <si>
    <t>TS LOONEY TOONS BUGS SOCCER A LTA10A:MISTY LIGHT BLUE:4-5:GRAPHIC:SS T-SHIRT</t>
  </si>
  <si>
    <t>TS LOONEY TOONS BUGS SOCCER A LTA10A:MISTY LIGHT BLUE:5-6:GRAPHIC:SS T-SHIRT</t>
  </si>
  <si>
    <t>TS LOONEY TOONS BUGS SOCCER A LTA10A:MISTY LIGHT BLUE:7-8:GRAPHIC:SS T-SHIRT</t>
  </si>
  <si>
    <t>TS LOONEY TOONS BUGS SOCCER A LTA10A:MISTY LIGHT BLUE:9-10:GRAPHIC:SS T-SHIRT</t>
  </si>
  <si>
    <t>LTA06A</t>
  </si>
  <si>
    <t>TS LOONEY TOONS BUGS RUN A LTA06A:CLASSIC YELLOW:3-4:GRAPHIC:SS T-SHIRT</t>
  </si>
  <si>
    <t>TS LOONEY TOONS BUGS RUN A LTA06A:CLASSIC YELLOW:4-5:GRAPHIC:SS T-SHIRT</t>
  </si>
  <si>
    <t>TS LOONEY TOONS BUGS RUN A LTA06A:CLASSIC YELLOW:5-6:GRAPHIC:SS T-SHIRT</t>
  </si>
  <si>
    <t>TS LOONEY TOONS BUGS RUN A LTA06A:CLASSIC YELLOW:7-8:GRAPHIC:SS T-SHIRT</t>
  </si>
  <si>
    <t>TS LOONEY TOONS BUGS RUN A LTA06A:CLASSIC YELLOW:9-10:GRAPHIC:SS T-SHIRT</t>
  </si>
  <si>
    <t>LTA08A</t>
  </si>
  <si>
    <t>TS LOONEY TOONS BUGS RELAX KTG A LTA08A:MISTY LIGHT BLUE:3-4:GRAPHIC:SS T-SHIRT</t>
  </si>
  <si>
    <t>TS LOONEY TOONS BUGS RELAX KTG A LTA08A:MISTY LIGHT BLUE:4-5:GRAPHIC:SS T-SHIRT</t>
  </si>
  <si>
    <t>TS LOONEY TOONS BUGS RELAX KTG A LTA08A:MISTY LIGHT BLUE:5-6:GRAPHIC:SS T-SHIRT</t>
  </si>
  <si>
    <t>TS LOONEY TOONS BUGS RELAX KTG A LTA08A:MISTY LIGHT BLUE:7-8:GRAPHIC:SS T-SHIRT</t>
  </si>
  <si>
    <t>TS LOONEY TOONS BUGS RELAX KTG A LTA08A:MISTY LIGHT BLUE:9-10:GRAPHIC:SS T-SHIRT</t>
  </si>
  <si>
    <t>LTA17A</t>
  </si>
  <si>
    <t>TS LOONEY TOONS BUGS &amp; DUFFY A LTA17A:CLASSIC YELLOW:3-4:GRAPHIC:SS T-SHIRT</t>
  </si>
  <si>
    <t>TS LOONEY TOONS BUGS &amp; DUFFY A LTA17A:CLASSIC YELLOW:4-5:GRAPHIC:SS T-SHIRT</t>
  </si>
  <si>
    <t>TS LOONEY TOONS BUGS &amp; DUFFY A LTA17A:CLASSIC YELLOW:5-6:GRAPHIC:SS T-SHIRT</t>
  </si>
  <si>
    <t>LTA17C</t>
  </si>
  <si>
    <t>TS LOONEY TOONS BEACH TEAM C LTA17C:MISTY DARK BLUE:7-8:GRAPHIC:SS T-SHIRT</t>
  </si>
  <si>
    <t>TS LOONEY TOONS BEACH TEAM C LTA17C:MISTY DARK BLUE:9-10:GRAPHIC:SS T-SHIRT</t>
  </si>
  <si>
    <t>TS LOONEY TOONS BEACH TEAM C LTA17C:MISTY DARK BLUE:11-12:GRAPHIC:SS T-SHIRT</t>
  </si>
  <si>
    <t>TS LOONEY TOONS BEACH TEAM C LTA17C:MISTY DARK BLUE:13-14:GRAPHIC:SS T-SHIRT</t>
  </si>
  <si>
    <t>TS LOONEY TOONS BEACH TEAM C LTA17C:MISTY DARK BLUE:15-16:GRAPHIC:SS T-SHIRT</t>
  </si>
  <si>
    <t>LTA020A</t>
  </si>
  <si>
    <t>SS T-SHIRT LOONEY TOONS BUGS &amp; TWEETY A LTA020A:MISTY LIGHT BLUE:3-4:GRAPHIC:SS T-SHIRT</t>
  </si>
  <si>
    <t>SS T-SHIRT LOONEY TOONS BUGS &amp; TWEETY A LTA020A:MISTY LIGHT BLUE:4-5:GRAPHIC:SS T-SHIRT</t>
  </si>
  <si>
    <t>SS T-SHIRT LOONEY TOONS BUGS &amp; TWEETY A LTA020A:MISTY LIGHT BLUE:5-6:GRAPHIC:SS T-SHIRT</t>
  </si>
  <si>
    <t>SS T-SHIRT LOONEY TOONS BUGS &amp; TWEETY A LTA020A:MISTY LIGHT BLUE:7-8:GRAPHIC:SS T-SHIRT</t>
  </si>
  <si>
    <t>SS T-SHIRT LOONEY TOONS BUGS &amp; TWEETY A LTA020A:MISTY LIGHT BLUE:9-10:GRAPHIC:SS T-SHIRT</t>
  </si>
  <si>
    <t>LTA050C</t>
  </si>
  <si>
    <t>SS T-SHIRT LOONEY TOONS WHATSUP DOC KTG C LTA050C:MISTY DARK GREY:9-10:GRAPHIC:SS T-SHIRT</t>
  </si>
  <si>
    <t>SS T-SHIRT LOONEY TOONS WHATSUP DOC KTG C LTA050C:MISTY DARK GREY:11-12:GRAPHIC:SS T-SHIRT</t>
  </si>
  <si>
    <t>SS T-SHIRT LOONEY TOONS WHATSUP DOC KTG C LTA050C:MISTY DARK GREY:13-14:GRAPHIC:SS T-SHIRT</t>
  </si>
  <si>
    <t>SS T-SHIRT LOONEY TOONS WHATSUP DOC KTG C LTA050C:MISTY DARK GREY:15-16:GRAPHIC:SS T-SHIRT</t>
  </si>
  <si>
    <t>LTA010C</t>
  </si>
  <si>
    <t>SS T-SHIRT LOONEY TOONS BUGS STANDING C LTA010C:PASTEL YELLOW:13-14:GRAPHIC:SS T-SHIRT</t>
  </si>
  <si>
    <t>HR1330C</t>
  </si>
  <si>
    <t>SS T-SHIRT LOONEY TOONS FP MARBLE OKAY C HR1330C:WHITE:7-8:GRAPHIC:SS T-SHIRT</t>
  </si>
  <si>
    <t>SS T-SHIRT LOONEY TOONS FP MARBLE OKAY C HR1330C:WHITE:9-10:GRAPHIC:SS T-SHIRT</t>
  </si>
  <si>
    <t>SS T-SHIRT LOONEY TOONS FP MARBLE OKAY C HR1330C:WHITE:11-12:GRAPHIC:SS T-SHIRT</t>
  </si>
  <si>
    <t>SS T-SHIRT LOONEY TOONS FP MARBLE OKAY C HR1330C:WHITE:13-14:GRAPHIC:SS T-SHIRT</t>
  </si>
  <si>
    <t>SS T-SHIRT LOONEY TOONS FP MARBLE OKAY C HR1330C:WHITE:15-16:GRAPHIC:SS T-SHIRT</t>
  </si>
  <si>
    <t>LT-HR198C</t>
  </si>
  <si>
    <t>TS LOONEY TOONS LOGO FP C LT-HR198C:BLACK:7-8:GRAPHIC:SS T-SHIRT</t>
  </si>
  <si>
    <t>TS LOONEY TOONS LOGO FP C LT-HR198C:BLACK:9-10:GRAPHIC:SS T-SHIRT</t>
  </si>
  <si>
    <t>TS LOONEY TOONS LOGO FP C LT-HR198C:BLACK:11-12:GRAPHIC:SS T-SHIRT</t>
  </si>
  <si>
    <t>TS LOONEY TOONS LOGO FP C LT-HR198C:BLACK:13-14:GRAPHIC:SS T-SHIRT</t>
  </si>
  <si>
    <t>TS LOONEY TOONS LOGO FP C LT-HR198C:BLACK:15-16:GRAPHIC:SS T-SHIRT</t>
  </si>
  <si>
    <t>SWF71C</t>
  </si>
  <si>
    <t>SWEATER HOOD BATMAN MOVIE LOGO C SWF71C:BLACK:7-8:GRAPHIC:SWEATER</t>
  </si>
  <si>
    <t>SWEATER HOOD BATMAN MOVIE LOGO C SWF71C:BLACK:9-10:GRAPHIC:SWEATER</t>
  </si>
  <si>
    <t>SWEATER HOOD BATMAN MOVIE LOGO C SWF71C:BLACK:11-12:GRAPHIC:SWEATER</t>
  </si>
  <si>
    <t>SWEATER HOOD BATMAN MOVIE LOGO C SWF71C:BLACK:13-14:GRAPHIC:SWEATER</t>
  </si>
  <si>
    <t>SWEATER HOOD BATMAN MOVIE LOGO C SWF71C:BLACK:15-16:GRAPHIC:SWEATER</t>
  </si>
  <si>
    <t>SWJ08C</t>
  </si>
  <si>
    <t>JAKET BOMBER BATMAN C SWJ08C:BLACK:7-8:GRAPHIC:SWEATER</t>
  </si>
  <si>
    <t>JAKET BOMBER BATMAN C SWJ08C:BLACK:9-10:GRAPHIC:SWEATER</t>
  </si>
  <si>
    <t>JAKET BOMBER BATMAN C SWJ08C:BLACK:11-12:GRAPHIC:SWEATER</t>
  </si>
  <si>
    <t>JAKET BOMBER BATMAN C SWJ08C:BLACK:13-14:GRAPHIC:SWEATER</t>
  </si>
  <si>
    <t>JAKET BOMBER BATMAN C SWJ08C:BLACK:15-16:GRAPHIC:SWEATER</t>
  </si>
  <si>
    <t>SWF70C</t>
  </si>
  <si>
    <t>SWEATER HOOD BATMAN LOGO LIS LGN C SWF70C:BLACK:7-8:GRAPHIC:SWEATER</t>
  </si>
  <si>
    <t>SWEATER HOOD BATMAN LOGO LIS LGN C SWF70C:BLACK:9-10:GRAPHIC:SWEATER</t>
  </si>
  <si>
    <t>SWEATER HOOD BATMAN LOGO LIS LGN C SWF70C:BLACK:11-12:GRAPHIC:SWEATER</t>
  </si>
  <si>
    <t>SWEATER HOOD BATMAN LOGO LIS LGN C SWF70C:BLACK:13-14:GRAPHIC:SWEATER</t>
  </si>
  <si>
    <t>SWEATER HOOD BATMAN LOGO LIS LGN C SWF70C:BLACK:15-16:GRAPHIC:SWEATER</t>
  </si>
  <si>
    <t>SWF69A</t>
  </si>
  <si>
    <t>SWEATER HOOD BATMAN LOGO TENGAH A SWF69A:MISTY MEDIUM GREY:3-4:GRAPHIC:SWEATER</t>
  </si>
  <si>
    <t>SWEATER HOOD BATMAN LOGO TENGAH A SWF69A:MISTY MEDIUM GREY:5-6:GRAPHIC:SWEATER</t>
  </si>
  <si>
    <t>SWEATER HOOD BATMAN LOGO TENGAH A SWF69A:MISTY MEDIUM GREY:7-8:GRAPHIC:SWEATER</t>
  </si>
  <si>
    <t>SWEATER HOOD BATMAN LOGO TENGAH A SWF69A:MISTY MEDIUM GREY:9-10:GRAPHIC:SWEATER</t>
  </si>
  <si>
    <t>HR667C</t>
  </si>
  <si>
    <t>SWEATER HOOD BATMAN DARK KNIGHT C HR667C:BLACK:7-8:GRAPHIC:SWEATSHIRT</t>
  </si>
  <si>
    <t>SWEATER HOOD BATMAN DARK KNIGHT C HR667C:BLACK:9-10:GRAPHIC:SWEATSHIRT</t>
  </si>
  <si>
    <t>SWEATER HOOD BATMAN DARK KNIGHT C HR667C:BLACK:11-12:GRAPHIC:SWEATSHIRT</t>
  </si>
  <si>
    <t>SWEATER HOOD BATMAN DARK KNIGHT C HR667C:BLACK:13-14:GRAPHIC:SWEATSHIRT</t>
  </si>
  <si>
    <t>SWEATER HOOD BATMAN DARK KNIGHT C HR667C:BLACK:15-16:GRAPHIC:SWEATSHIRT</t>
  </si>
  <si>
    <t>HPOU1C</t>
  </si>
  <si>
    <t>SWEATER KANTONG HARRY POTTER C HPOU1C:MUSTARD:7-8:SOLID:SWEATSHIRT</t>
  </si>
  <si>
    <t>SWEATER KANTONG HARRY POTTER C HPOU1C:MUSTARD:9-10:SOLID:SWEATSHIRT</t>
  </si>
  <si>
    <t>SWEATER KANTONG HARRY POTTER C HPOU1C:MUSTARD:11-12:SOLID:SWEATSHIRT</t>
  </si>
  <si>
    <t>SWEATER KANTONG HARRY POTTER C HPOU1C:MUSTARD:15-16:SOLID:SWEATSHIRT</t>
  </si>
  <si>
    <t>HPA180C</t>
  </si>
  <si>
    <t>SWEATER HARRY POTTER HOOD LOGO LGN C HPA180C:MISTY DARK GREY:7-8:GRAPHIC:SWEATSHIRT</t>
  </si>
  <si>
    <t>SWEATER HARRY POTTER HOOD LOGO LGN C HPA180C:MISTY DARK GREY:9-10:GRAPHIC:SWEATSHIRT</t>
  </si>
  <si>
    <t>SWEATER HARRY POTTER HOOD LOGO LGN C HPA180C:MISTY DARK GREY:11-12:GRAPHIC:SWEATSHIRT</t>
  </si>
  <si>
    <t>SWEATER HARRY POTTER HOOD LOGO LGN C HPA180C:MISTY DARK GREY:13-14:GRAPHIC:SWEATSHIRT</t>
  </si>
  <si>
    <t>SWEATER HARRY POTTER HOOD LOGO LGN C HPA180C:MISTY DARK GREY:15-16:GRAPHIC:SWEATSHIRT</t>
  </si>
  <si>
    <t>BMA62C</t>
  </si>
  <si>
    <t>CP KNIT BATMAN DARK KNIGHT LOGO C BMA62C:MISTY MEDIUM GREY:9-10:GRAPHIC:SHORT PANTS</t>
  </si>
  <si>
    <t>CP KNIT BATMAN DARK KNIGHT LOGO C BMA62C:MISTY MEDIUM GREY:11-12:GRAPHIC:SHORT PANTS</t>
  </si>
  <si>
    <t>CP KNIT BATMAN DARK KNIGHT LOGO C BMA62C:MISTY MEDIUM GREY:13-14:GRAPHIC:SHORT PANTS</t>
  </si>
  <si>
    <t>CP KNIT BATMAN DARK KNIGHT LOGO C BMA62C:MISTY MEDIUM GREY:15-16:GRAPHIC:SHORT PANTS</t>
  </si>
  <si>
    <t>HR664C</t>
  </si>
  <si>
    <t>SHORT PANTS KNIT BATMAN LOGO LIS SAMPING C HR664C:BLACK:7-8:GRAPHIC:SHORT PANTS</t>
  </si>
  <si>
    <t>SHORT PANTS KNIT BATMAN LOGO LIS SAMPING C HR664C:BLACK:9-10:GRAPHIC:SHORT PANTS</t>
  </si>
  <si>
    <t>SHORT PANTS KNIT BATMAN LOGO LIS SAMPING C HR664C:BLACK:13-14:GRAPHIC:SHORT PANTS</t>
  </si>
  <si>
    <t>SHORT PANTS KNIT BATMAN LOGO LIS SAMPING C HR664C:BLACK:15-16:GRAPHIC:SHORT PANTS</t>
  </si>
  <si>
    <t>HR37C</t>
  </si>
  <si>
    <t>JOGGER BATMAN  LOGO SAMPING C HR37C:BLACK:7-8:GRAPHIC:JOGGER</t>
  </si>
  <si>
    <t>JOGGER BATMAN  LOGO SAMPING C HR37C:BLACK:9-10:GRAPHIC:JOGGER</t>
  </si>
  <si>
    <t>JOGGER BATMAN  LOGO SAMPING C HR37C:BLACK:11-12:GRAPHIC:JOGGER</t>
  </si>
  <si>
    <t>JOGGER BATMAN  LOGO SAMPING C HR37C:BLACK:13-14:GRAPHIC:JOGGER</t>
  </si>
  <si>
    <t>JOGGER BATMAN  LOGO SAMPING C HR37C:BLACK:15-16:GRAPHIC:JOGGER</t>
  </si>
  <si>
    <t>HPJG1C</t>
  </si>
  <si>
    <t>JOGGER KNIT HARRY POTTER KANTONG C HPJG1C:BLACK:9-10:SOLID:LONG PANTS</t>
  </si>
  <si>
    <t>JOGGER KNIT HARRY POTTER KANTONG C HPJG1C:BLACK:13-14:SOLID:LONG PANTS</t>
  </si>
  <si>
    <t>TPBT01</t>
  </si>
  <si>
    <t>TOPI BATMAN FP LOGO BDR HANDUK TPBT01:BLACK:F:GRAPHIC:CAPS</t>
  </si>
  <si>
    <t>TPBT02</t>
  </si>
  <si>
    <t>TOPI BATMAN FP LOGO ANIME TPBT02:BLACK:F:GRAPHIC:CAPS</t>
  </si>
  <si>
    <t>TPSP06</t>
  </si>
  <si>
    <t>TOPI SUPERMAN FP TD TPSP06:WHITE:F:GRAPHIC:CAPS</t>
  </si>
  <si>
    <t>TPHRP01</t>
  </si>
  <si>
    <t>TOPI HARRY POTTER FP STG TPHRP01:BLACK:F:TEXT:CAPS</t>
  </si>
  <si>
    <t>BXGY</t>
  </si>
  <si>
    <t>LT-N043A</t>
  </si>
  <si>
    <t>TS LOONEY TOONS WB ALT-N043A:MISTY MEDIUM BLUE:3-4:GRAPHIC:SS T-SHIRT</t>
  </si>
  <si>
    <t>TS LOONEY TOONS WB ALT-N043A:MISTY MEDIUM BLUE:4-5:GRAPHIC:SS T-SHIRT</t>
  </si>
  <si>
    <t>TS LOONEY TOONS WB ALT-N043A:MISTY MEDIUM BLUE:5-6:GRAPHIC:SS T-SHIRT</t>
  </si>
  <si>
    <t>TS LOONEY TOONS WB ALT-N043A:MISTY MEDIUM BLUE:7-8:GRAPHIC:SS T-SHIRT</t>
  </si>
  <si>
    <t>TS LOONEY TOONS WB ALT-N043A:MISTY MEDIUM BLUE:9-10:GRAPHIC:SS T-SHIRT</t>
  </si>
  <si>
    <t>LT-N042A</t>
  </si>
  <si>
    <t>TS LOONEY TOONS BUGS STANDING ALT-N042A:CLASSIC BLUE:3-4:GRAPHIC:SS T-SHIRT</t>
  </si>
  <si>
    <t>TS LOONEY TOONS BUGS STANDING ALT-N042A:CLASSIC BLUE:4-5:GRAPHIC:SS T-SHIRT</t>
  </si>
  <si>
    <t>TS LOONEY TOONS BUGS STANDING ALT-N042A:CLASSIC BLUE:5-6:GRAPHIC:SS T-SHIRT</t>
  </si>
  <si>
    <t>TS LOONEY TOONS BUGS STANDING ALT-N042A:CLASSIC BLUE:7-8:GRAPHIC:SS T-SHIRT</t>
  </si>
  <si>
    <t>TS LOONEY TOONS BUGS STANDING ALT-N042A:CLASSIC BLUE:9-10:GRAPHIC:SS T-SHIRT</t>
  </si>
  <si>
    <t>LT-N042C</t>
  </si>
  <si>
    <t>TS LOONEY TOONS WB TEAMS CLT-N042C:PASTEL GREY:7-8:GRAPHIC:SS T-SHIRT</t>
  </si>
  <si>
    <t>TS LOONEY TOONS WB TEAMS CLT-N042C:PASTEL GREY:9-10:GRAPHIC:SS T-SHIRT</t>
  </si>
  <si>
    <t>TS LOONEY TOONS WB TEAMS CLT-N042C:PASTEL GREY:11-12:GRAPHIC:SS T-SHIRT</t>
  </si>
  <si>
    <t>TS LOONEY TOONS WB TEAMS CLT-N042C:PASTEL GREY:13-14:GRAPHIC:SS T-SHIRT</t>
  </si>
  <si>
    <t>TS LOONEY TOONS WB TEAMS CLT-N042C:PASTEL GREY:15-16:GRAPHIC:SS T-SHIRT</t>
  </si>
  <si>
    <t>LT-N049C</t>
  </si>
  <si>
    <t>TS LOONEY TOONS WB BUGS KTG PRINT CLT-N049C:WHITE:7-8:GRAPHIC:SS T-SHIRT</t>
  </si>
  <si>
    <t>TS LOONEY TOONS WB BUGS KTG PRINT CLT-N049C:WHITE:9-10:GRAPHIC:SS T-SHIRT</t>
  </si>
  <si>
    <t>TS LOONEY TOONS WB BUGS KTG PRINT CLT-N049C:WHITE:11-12:GRAPHIC:SS T-SHIRT</t>
  </si>
  <si>
    <t>TS LOONEY TOONS WB BUGS KTG PRINT CLT-N049C:WHITE:13-14:GRAPHIC:SS T-SHIRT</t>
  </si>
  <si>
    <t>TS LOONEY TOONS WB BUGS KTG PRINT CLT-N049C:WHITE:15-16:GRAPHIC:SS T-SHIRT</t>
  </si>
  <si>
    <t>LT-N039C</t>
  </si>
  <si>
    <t>TS LOONEY TOONS BUGS LOGO WB STUDIO CLT-N039C:BLACK:7-8:GRAPHIC:SS T-SHIRT</t>
  </si>
  <si>
    <t>TS LOONEY TOONS BUGS LOGO WB STUDIO CLT-N039C:BLACK:9-10:GRAPHIC:SS T-SHIRT</t>
  </si>
  <si>
    <t>TS LOONEY TOONS BUGS LOGO WB STUDIO CLT-N039C:BLACK:11-12:GRAPHIC:SS T-SHIRT</t>
  </si>
  <si>
    <t>TS LOONEY TOONS BUGS LOGO WB STUDIO CLT-N039C:BLACK:13-14:GRAPHIC:SS T-SHIRT</t>
  </si>
  <si>
    <t>TS LOONEY TOONS BUGS LOGO WB STUDIO CLT-N039C:BLACK:15-16:GRAPHIC:SS T-SHIRT</t>
  </si>
  <si>
    <t>TF-A018</t>
  </si>
  <si>
    <t>SWEATER TF7 LOGO TENGAH TF-A018:NAVY BLUE:3-4:PRINT:JACKET</t>
  </si>
  <si>
    <t>SWEATER TF7 LOGO TENGAH TF-A018:NAVY BLUE:4-5:PRINT:JACKET</t>
  </si>
  <si>
    <t>SWEATER TF7 LOGO TENGAH TF-A018:NAVY BLUE:5-6:PRINT:JACKET</t>
  </si>
  <si>
    <t>SWEATER TF7 LOGO TENGAH TF-A018:NAVY BLUE:7-8:PRINT:JACKET</t>
  </si>
  <si>
    <t>SWEATER TF7 LOGO TENGAH TF-A018:NAVY BLUE:9-10:PRINT:JACKET</t>
  </si>
  <si>
    <t>SWEATER TF7 LOGO TENGAH TF-A018:NAVY BLUE:11-12:PRINT:JACKET</t>
  </si>
  <si>
    <t>SWEATER TF7 LOGO TENGAH TF-A018:NAVY BLUE:13-14:PRINT:JACKET</t>
  </si>
  <si>
    <t>SWEATER TF7 LOGO TENGAH TF-A018:NAVY BLUE:15-16:PRINT:JACKET</t>
  </si>
  <si>
    <t>HP-HR1810C</t>
  </si>
  <si>
    <t>SWEATER HARRY POTTER CUT SEW C HP-HR1790C:NAVY BLUE:7-8:GRAPHIC:SWEATSHIRT</t>
  </si>
  <si>
    <t>SWEATER HARRY POTTER CUT SEW C HP-HR1790C:NAVY BLUE:9-10:GRAPHIC:SWEATSHIRT</t>
  </si>
  <si>
    <t>SWEATER HARRY POTTER CUT SEW C HP-HR1790C:NAVY BLUE:11-12:GRAPHIC:SWEATSHIRT</t>
  </si>
  <si>
    <t>SWEATER HARRY POTTER CUT SEW C HP-HR1790C:NAVY BLUE:13-14:GRAPHIC:SWEATSHIRT</t>
  </si>
  <si>
    <t>SWEATER HARRY POTTER CUT SEW C HP-HR1790C:NAVY BLUE:15-16:GRAPHIC:SWEATSHIRT</t>
  </si>
  <si>
    <t>TF-A28</t>
  </si>
  <si>
    <t>SHORT TF7 AUTOBOT TF-A28:MISTY LIGHT GREY:3-4:PRINT:SHORT PANTS</t>
  </si>
  <si>
    <t>SHORT TF7 AUTOBOT TF-A28:MISTY LIGHT GREY:4-5:PRINT:SHORT PANTS</t>
  </si>
  <si>
    <t>SHORT TF7 AUTOBOT TF-A28:MISTY LIGHT GREY:5-6:PRINT:SHORT PANTS</t>
  </si>
  <si>
    <t>SHORT TF7 AUTOBOT TF-A28:MISTY LIGHT GREY:7-8:PRINT:SHORT PANTS</t>
  </si>
  <si>
    <t>SHORT TF7 AUTOBOT TF-A28:MISTY LIGHT GREY:9-10:PRINT:SHORT PANTS</t>
  </si>
  <si>
    <t>SHORT TF7 AUTOBOT TF-A28:MISTY LIGHT GREY:11-12:PRINT:SHORT PANTS</t>
  </si>
  <si>
    <t>SHORT TF7 AUTOBOT TF-A28:MISTY LIGHT GREY:13-14:PRINT:SHORT PANTS</t>
  </si>
  <si>
    <t>SHORT TF7 AUTOBOT TF-A28:MISTY LIGHT GREY:15-16:PRINT:SHORT PANTS</t>
  </si>
  <si>
    <t>A63C</t>
  </si>
  <si>
    <t>CP KNIT SUPERMAN KANTONG SAMPING TULISAN C A63C:PASTEL GREY:7-8:GRAPHIC:SHORT PANTS</t>
  </si>
  <si>
    <t>CP KNIT SUPERMAN KANTONG SAMPING TULISAN C A63C:PASTEL GREY:9-10:GRAPHIC:SHORT PANTS</t>
  </si>
  <si>
    <t>CP KNIT SUPERMAN KANTONG SAMPING TULISAN C A63C:PASTEL GREY:11-12:GRAPHIC:SHORT PANTS</t>
  </si>
  <si>
    <t>CP KNIT SUPERMAN KANTONG SAMPING TULISAN C A63C:PASTEL GREY:13-14:GRAPHIC:SHORT PANTS</t>
  </si>
  <si>
    <t>CP KNIT SUPERMAN KANTONG SAMPING TULISAN C A63C:PASTEL GREY:15-16:GRAPHIC:SHORT PANTS</t>
  </si>
  <si>
    <t>HR295C</t>
  </si>
  <si>
    <t>JOGGER BATMAN  LOGO SAMPING CHR295C:BLACK:7-8:GRAPHIC:JOGGER</t>
  </si>
  <si>
    <t>JOGGER BATMAN  LOGO SAMPING CHR295C:BLACK:9-10:GRAPHIC:JOGGER</t>
  </si>
  <si>
    <t>JOGGER BATMAN  LOGO SAMPING CHR295C:BLACK:11-12:GRAPHIC:JOGGER</t>
  </si>
  <si>
    <t>JOGGER BATMAN  LOGO SAMPING CHR295C:BLACK:13-14:GRAPHIC:JOGGER</t>
  </si>
  <si>
    <t>JOGGER BATMAN  LOGO SAMPING CHR295C:BLACK:15-16:GRAPHIC:JOGGER</t>
  </si>
  <si>
    <t>BTM055</t>
  </si>
  <si>
    <t>TOPI BATMAN FP LOGO COMIC BTM055:BLACK:F:GRAPHIC:CAPS</t>
  </si>
  <si>
    <t>TPHRP02</t>
  </si>
  <si>
    <t>TOPI HARRY POTTER FP TD LOGO TPHRP02:WHITE:F:TEXT:CAPS</t>
  </si>
  <si>
    <t>BL-HN02</t>
  </si>
  <si>
    <t>SS T-SHIRT BUMI LANGIT 3 PATRIOT BL-HN02:WHITE:3-4:GRAPHIC:SS T-SHIRT</t>
  </si>
  <si>
    <t>SS T-SHIRT BUMI LANGIT 3 PATRIOT BL-HN02:WHITE:4-5:GRAPHIC:SS T-SHIRT</t>
  </si>
  <si>
    <t>SS T-SHIRT BUMI LANGIT 3 PATRIOT BL-HN02:WHITE:5-6:GRAPHIC:SS T-SHIRT</t>
  </si>
  <si>
    <t>SS T-SHIRT BUMI LANGIT 3 PATRIOT BL-HN02:WHITE:7-8:GRAPHIC:SS T-SHIRT</t>
  </si>
  <si>
    <t>SS T-SHIRT BUMI LANGIT 3 PATRIOT BL-HN02:WHITE:9-10:GRAPHIC:SS T-SHIRT</t>
  </si>
  <si>
    <t>SS T-SHIRT BUMI LANGIT 3 PATRIOT BL-HN02:WHITE:11-12:GRAPHIC:SS T-SHIRT</t>
  </si>
  <si>
    <t>SS T-SHIRT BUMI LANGIT 3 PATRIOT BL-HN02:WHITE:13-14:GRAPHIC:SS T-SHIRT</t>
  </si>
  <si>
    <t>SS T-SHIRT BUMI LANGIT 3 PATRIOT BL-HN02:WHITE:15-16:GRAPHIC:SS T-SHIRT</t>
  </si>
  <si>
    <t>BL-N004</t>
  </si>
  <si>
    <t>SS T-SHIRT BUMI LANGIT GUNDALA BL-N004:WHITE:3-4:GRAPHIC:SS T-SHIRT</t>
  </si>
  <si>
    <t>SS T-SHIRT BUMI LANGIT GUNDALA BL-N004:WHITE:4-5:GRAPHIC:SS T-SHIRT</t>
  </si>
  <si>
    <t>SS T-SHIRT BUMI LANGIT GUNDALA BL-N004:WHITE:5-6:GRAPHIC:SS T-SHIRT</t>
  </si>
  <si>
    <t>SS T-SHIRT BUMI LANGIT GUNDALA BL-N004:WHITE:7-8:GRAPHIC:SS T-SHIRT</t>
  </si>
  <si>
    <t>SS T-SHIRT BUMI LANGIT GUNDALA BL-N004:WHITE:9-10:GRAPHIC:SS T-SHIRT</t>
  </si>
  <si>
    <t>SS T-SHIRT BUMI LANGIT GUNDALA BL-N004:WHITE:11-12:GRAPHIC:SS T-SHIRT</t>
  </si>
  <si>
    <t>SS T-SHIRT BUMI LANGIT GUNDALA BL-N004:WHITE:13-14:GRAPHIC:SS T-SHIRT</t>
  </si>
  <si>
    <t>SS T-SHIRT BUMI LANGIT GUNDALA BL-N004:WHITE:15-16:GRAPHIC:SS T-SHIRT</t>
  </si>
  <si>
    <t>BL-N015</t>
  </si>
  <si>
    <t>SS T-SHIRT BUMI LANGIT GUNDALA TENGAH BL-N015:CLASSIC RED:3-4:GRAPHIC:SS T-SHIRT</t>
  </si>
  <si>
    <t>SS T-SHIRT BUMI LANGIT GUNDALA TENGAH BL-N015:CLASSIC RED:4-5:GRAPHIC:SS T-SHIRT</t>
  </si>
  <si>
    <t>SS T-SHIRT BUMI LANGIT GUNDALA TENGAH BL-N015:CLASSIC RED:5-6:GRAPHIC:SS T-SHIRT</t>
  </si>
  <si>
    <t>SS T-SHIRT BUMI LANGIT GUNDALA TENGAH BL-N015:CLASSIC RED:7-8:GRAPHIC:SS T-SHIRT</t>
  </si>
  <si>
    <t>SS T-SHIRT BUMI LANGIT GUNDALA TENGAH BL-N015:CLASSIC RED:9-10:GRAPHIC:SS T-SHIRT</t>
  </si>
  <si>
    <t>SS T-SHIRT BUMI LANGIT GUNDALA TENGAH BL-N015:CLASSIC RED:11-12:GRAPHIC:SS T-SHIRT</t>
  </si>
  <si>
    <t>SS T-SHIRT BUMI LANGIT GUNDALA TENGAH BL-N015:CLASSIC RED:13-14:GRAPHIC:SS T-SHIRT</t>
  </si>
  <si>
    <t>SS T-SHIRT BUMI LANGIT GUNDALA TENGAH BL-N015:CLASSIC RED:15-16:GRAPHIC:SS T-SHIRT</t>
  </si>
  <si>
    <t>BL-N011</t>
  </si>
  <si>
    <t>SS T-SHIRT BUMI LANGIT PATRIOT SLIDES BL-N011:NAVY BLUE:3-4:GRAPHIC:SS T-SHIRT</t>
  </si>
  <si>
    <t>SS T-SHIRT BUMI LANGIT PATRIOT SLIDES BL-N011:NAVY BLUE:4-5:GRAPHIC:SS T-SHIRT</t>
  </si>
  <si>
    <t>SS T-SHIRT BUMI LANGIT PATRIOT SLIDES BL-N011:NAVY BLUE:5-6:GRAPHIC:SS T-SHIRT</t>
  </si>
  <si>
    <t>SS T-SHIRT BUMI LANGIT PATRIOT SLIDES BL-N011:NAVY BLUE:7-8:GRAPHIC:SS T-SHIRT</t>
  </si>
  <si>
    <t>SS T-SHIRT BUMI LANGIT PATRIOT SLIDES BL-N011:NAVY BLUE:9-10:GRAPHIC:SS T-SHIRT</t>
  </si>
  <si>
    <t>SS T-SHIRT BUMI LANGIT PATRIOT SLIDES BL-N011:NAVY BLUE:11-12:GRAPHIC:SS T-SHIRT</t>
  </si>
  <si>
    <t>SS T-SHIRT BUMI LANGIT PATRIOT SLIDES BL-N011:NAVY BLUE:13-14:GRAPHIC:SS T-SHIRT</t>
  </si>
  <si>
    <t>SS T-SHIRT BUMI LANGIT PATRIOT SLIDES BL-N011:NAVY BLUE:15-16:GRAPHIC:SS T-SHIRT</t>
  </si>
  <si>
    <t>BL-N010</t>
  </si>
  <si>
    <t>SS T-SHIRT BUMI LANGIT PATRIOT TEAMS BL-N010:MISTY DARK RED:3-4:GRAPHIC:SS T-SHIRT</t>
  </si>
  <si>
    <t>SS T-SHIRT BUMI LANGIT PATRIOT TEAMS BL-N010:MISTY DARK RED:4-5:GRAPHIC:SS T-SHIRT</t>
  </si>
  <si>
    <t>SS T-SHIRT BUMI LANGIT PATRIOT TEAMS BL-N010:MISTY DARK RED:5-6:GRAPHIC:SS T-SHIRT</t>
  </si>
  <si>
    <t>SS T-SHIRT BUMI LANGIT PATRIOT TEAMS BL-N010:MISTY DARK RED:7-8:GRAPHIC:SS T-SHIRT</t>
  </si>
  <si>
    <t>SS T-SHIRT BUMI LANGIT PATRIOT TEAMS BL-N010:MISTY DARK RED:9-10:GRAPHIC:SS T-SHIRT</t>
  </si>
  <si>
    <t>SS T-SHIRT BUMI LANGIT PATRIOT TEAMS BL-N010:MISTY DARK RED:11-12:GRAPHIC:SS T-SHIRT</t>
  </si>
  <si>
    <t>SS T-SHIRT BUMI LANGIT PATRIOT TEAMS BL-N010:MISTY DARK RED:13-14:GRAPHIC:SS T-SHIRT</t>
  </si>
  <si>
    <t>SS T-SHIRT BUMI LANGIT PATRIOT TEAMS BL-N010:MISTY DARK RED:15-16:GRAPHIC:SS T-SHIRT</t>
  </si>
  <si>
    <t>BL-N012</t>
  </si>
  <si>
    <t>SS T-SHIRT BUMI LANGIT PATRIOT INDO BL-N012:MISTY DARK BLUE:3-4:GRAPHIC:SS T-SHIRT</t>
  </si>
  <si>
    <t>SS T-SHIRT BUMI LANGIT PATRIOT INDO BL-N012:MISTY DARK BLUE:4-5:GRAPHIC:SS T-SHIRT</t>
  </si>
  <si>
    <t>SS T-SHIRT BUMI LANGIT PATRIOT INDO BL-N012:MISTY DARK BLUE:5-6:GRAPHIC:SS T-SHIRT</t>
  </si>
  <si>
    <t>SS T-SHIRT BUMI LANGIT PATRIOT INDO BL-N012:MISTY DARK BLUE:7-8:GRAPHIC:SS T-SHIRT</t>
  </si>
  <si>
    <t>SS T-SHIRT BUMI LANGIT PATRIOT INDO BL-N012:MISTY DARK BLUE:9-10:GRAPHIC:SS T-SHIRT</t>
  </si>
  <si>
    <t>SS T-SHIRT BUMI LANGIT PATRIOT INDO BL-N012:MISTY DARK BLUE:11-12:GRAPHIC:SS T-SHIRT</t>
  </si>
  <si>
    <t>SS T-SHIRT BUMI LANGIT PATRIOT INDO BL-N012:MISTY DARK BLUE:13-14:GRAPHIC:SS T-SHIRT</t>
  </si>
  <si>
    <t>SS T-SHIRT BUMI LANGIT PATRIOT INDO BL-N012:MISTY DARK BLUE:15-16:GRAPHIC:SS T-SHIRT</t>
  </si>
  <si>
    <t>BL-N013</t>
  </si>
  <si>
    <t>SS T-SHIRT BUMI LANGIT FP PATRIOT BL-N013:PASTEL BLUE:3-4:GRAPHIC:SS T-SHIRT</t>
  </si>
  <si>
    <t>SS T-SHIRT BUMI LANGIT FP PATRIOT BL-N013:PASTEL BLUE:4-5:GRAPHIC:SS T-SHIRT</t>
  </si>
  <si>
    <t>SS T-SHIRT BUMI LANGIT FP PATRIOT BL-N013:PASTEL BLUE:5-6:GRAPHIC:SS T-SHIRT</t>
  </si>
  <si>
    <t>SS T-SHIRT BUMI LANGIT FP PATRIOT BL-N013:PASTEL BLUE:7-8:GRAPHIC:SS T-SHIRT</t>
  </si>
  <si>
    <t>SS T-SHIRT BUMI LANGIT FP PATRIOT BL-N013:PASTEL BLUE:9-10:GRAPHIC:SS T-SHIRT</t>
  </si>
  <si>
    <t>SS T-SHIRT BUMI LANGIT FP PATRIOT BL-N013:PASTEL BLUE:11-12:GRAPHIC:SS T-SHIRT</t>
  </si>
  <si>
    <t>SS T-SHIRT BUMI LANGIT FP PATRIOT BL-N013:PASTEL BLUE:13-14:GRAPHIC:SS T-SHIRT</t>
  </si>
  <si>
    <t>SS T-SHIRT BUMI LANGIT FP PATRIOT BL-N013:PASTEL BLUE:15-16:GRAPHIC:SS T-SHIRT</t>
  </si>
  <si>
    <t>GBL01</t>
  </si>
  <si>
    <t>SS T-SHIRT BUMI LANGIT 3 PATRIOT GBL01:CLASSIC BLUE:3-4:GRAPHIC:SS T-SHIRT</t>
  </si>
  <si>
    <t>SS T-SHIRT BUMI LANGIT 3 PATRIOT GBL01:CLASSIC BLUE:4-5:GRAPHIC:SS T-SHIRT</t>
  </si>
  <si>
    <t>SS T-SHIRT BUMI LANGIT 3 PATRIOT GBL01:CLASSIC BLUE:5-6:GRAPHIC:SS T-SHIRT</t>
  </si>
  <si>
    <t>SS T-SHIRT BUMI LANGIT 3 PATRIOT GBL01:CLASSIC BLUE:7-8:GRAPHIC:SS T-SHIRT</t>
  </si>
  <si>
    <t>SS T-SHIRT BUMI LANGIT 3 PATRIOT GBL01:CLASSIC BLUE:9-10:GRAPHIC:SS T-SHIRT</t>
  </si>
  <si>
    <t>SS T-SHIRT BUMI LANGIT 3 PATRIOT GBL01:CLASSIC BLUE:11-12:GRAPHIC:SS T-SHIRT</t>
  </si>
  <si>
    <t>GBL02</t>
  </si>
  <si>
    <t>SS T-SHIRT BUMI LANGIT GARUDA MERAH GBL02:WHITE:3-4:GRAPHIC:SS T-SHIRT</t>
  </si>
  <si>
    <t>SS T-SHIRT BUMI LANGIT GARUDA MERAH GBL02:WHITE:4-5:GRAPHIC:SS T-SHIRT</t>
  </si>
  <si>
    <t>SS T-SHIRT BUMI LANGIT GARUDA MERAH GBL02:WHITE:5-6:GRAPHIC:SS T-SHIRT</t>
  </si>
  <si>
    <t>SS T-SHIRT BUMI LANGIT GARUDA MERAH GBL02:WHITE:7-8:GRAPHIC:SS T-SHIRT</t>
  </si>
  <si>
    <t>SS T-SHIRT BUMI LANGIT GARUDA MERAH GBL02:WHITE:9-10:GRAPHIC:SS T-SHIRT</t>
  </si>
  <si>
    <t>SS T-SHIRT BUMI LANGIT GARUDA MERAH GBL02:WHITE:11-12:GRAPHIC:SS T-SHIRT</t>
  </si>
  <si>
    <t>SS T-SHIRT BUMI LANGIT GARUDA MERAH GBL02:WHITE:13-14:GRAPHIC:SS T-SHIRT</t>
  </si>
  <si>
    <t>SS T-SHIRT BUMI LANGIT GARUDA MERAH GBL02:WHITE:15-16:GRAPHIC:SS T-SHIRT</t>
  </si>
  <si>
    <t>GBL03</t>
  </si>
  <si>
    <t>SS T-SHIRT BUMI LANGIT PATRIOT INDO GBL03:BLACK:5-6:GRAPHIC:SS T-SHIRT</t>
  </si>
  <si>
    <t>SS T-SHIRT BUMI LANGIT PATRIOT INDO GBL03:BLACK:7-8:GRAPHIC:SS T-SHIRT</t>
  </si>
  <si>
    <t>SS T-SHIRT BUMI LANGIT PATRIOT INDO GBL03:BLACK:9-10:GRAPHIC:SS T-SHIRT</t>
  </si>
  <si>
    <t>SS T-SHIRT BUMI LANGIT PATRIOT INDO GBL03:BLACK:11-12:GRAPHIC:SS T-SHIRT</t>
  </si>
  <si>
    <t>SS T-SHIRT BUMI LANGIT PATRIOT INDO GBL03:BLACK:13-14:GRAPHIC:SS T-SHIRT</t>
  </si>
  <si>
    <t>SS T-SHIRT BUMI LANGIT PATRIOT INDO GBL03:BLACK:15-16:GRAPHIC:SS T-SHIRT</t>
  </si>
  <si>
    <t>GBL04</t>
  </si>
  <si>
    <t>SS T-SHIRT BUMI LANGIT FP GUNDALA LOGO GBL04:CLASSIC RED:3-4:GRAPHIC:SS T-SHIRT</t>
  </si>
  <si>
    <t>SS T-SHIRT BUMI LANGIT FP GUNDALA LOGO GBL04:CLASSIC RED:4-5:GRAPHIC:SS T-SHIRT</t>
  </si>
  <si>
    <t>SS T-SHIRT BUMI LANGIT FP GUNDALA LOGO GBL04:CLASSIC RED:5-6:GRAPHIC:SS T-SHIRT</t>
  </si>
  <si>
    <t>SS T-SHIRT BUMI LANGIT FP GUNDALA LOGO GBL04:CLASSIC RED:7-8:GRAPHIC:SS T-SHIRT</t>
  </si>
  <si>
    <t>SS T-SHIRT BUMI LANGIT FP GUNDALA LOGO GBL04:CLASSIC RED:9-10:GRAPHIC:SS T-SHIRT</t>
  </si>
  <si>
    <t>SS T-SHIRT BUMI LANGIT FP GUNDALA LOGO GBL04:CLASSIC RED:11-12:GRAPHIC:SS T-SHIRT</t>
  </si>
  <si>
    <t>SS T-SHIRT BUMI LANGIT FP GUNDALA LOGO GBL04:CLASSIC RED:13-14:GRAPHIC:SS T-SHIRT</t>
  </si>
  <si>
    <t>SS T-SHIRT BUMI LANGIT FP GUNDALA LOGO GBL04:CLASSIC RED:15-16:GRAPHIC:SS T-SHIRT</t>
  </si>
  <si>
    <t>GBL05</t>
  </si>
  <si>
    <t>SS T-SHIRT BUMI LANGIT FP PATRIOT LOGO GBL05:BLACK:3-4:GRAPHIC:SS T-SHIRT</t>
  </si>
  <si>
    <t>SS T-SHIRT BUMI LANGIT FP PATRIOT LOGO GBL05:BLACK:4-5:GRAPHIC:SS T-SHIRT</t>
  </si>
  <si>
    <t>SS T-SHIRT BUMI LANGIT FP PATRIOT LOGO GBL05:BLACK:5-6:GRAPHIC:SS T-SHIRT</t>
  </si>
  <si>
    <t>SS T-SHIRT BUMI LANGIT FP PATRIOT LOGO GBL05:BLACK:7-8:GRAPHIC:SS T-SHIRT</t>
  </si>
  <si>
    <t>SS T-SHIRT BUMI LANGIT FP PATRIOT LOGO GBL05:BLACK:9-10:GRAPHIC:SS T-SHIRT</t>
  </si>
  <si>
    <t>SS T-SHIRT BUMI LANGIT FP PATRIOT LOGO GBL05:BLACK:11-12:GRAPHIC:SS T-SHIRT</t>
  </si>
  <si>
    <t>SS T-SHIRT BUMI LANGIT FP PATRIOT LOGO GBL05:BLACK:13-14:GRAPHIC:SS T-SHIRT</t>
  </si>
  <si>
    <t>SS T-SHIRT BUMI LANGIT FP PATRIOT LOGO GBL05:BLACK:15-16:GRAPHIC:SS T-SHIRT</t>
  </si>
  <si>
    <t>BM-A98A</t>
  </si>
  <si>
    <t>TS BATMAN FP LOGO CUT SEW ABM-A98A:BLACK:3-4:GRAPHIC:SS T-SHIRT</t>
  </si>
  <si>
    <t>TS BATMAN FP LOGO CUT SEW ABM-A98A:BLACK:4-5:GRAPHIC:SS T-SHIRT</t>
  </si>
  <si>
    <t>TS BATMAN FP LOGO CUT SEW ABM-A98A:BLACK:5-6:GRAPHIC:SS T-SHIRT</t>
  </si>
  <si>
    <t>TS BATMAN FP LOGO CUT SEW ABM-A98A:BLACK:7-8:GRAPHIC:SS T-SHIRT</t>
  </si>
  <si>
    <t>TS BATMAN FP LOGO CUT SEW ABM-A98A:BLACK:9-10:GRAPHIC:SS T-SHIRT</t>
  </si>
  <si>
    <t>BM-HR293C</t>
  </si>
  <si>
    <t>TS BATMAN FP DARK KNIGHT CBM-HR293C:CLASSIC YELLOW:7-8:GRAPHIC:SS T-SHIRT</t>
  </si>
  <si>
    <t>TS BATMAN FP DARK KNIGHT CBM-HR293C:CLASSIC YELLOW:9-10:GRAPHIC:SS T-SHIRT</t>
  </si>
  <si>
    <t>TS BATMAN FP DARK KNIGHT CBM-HR293C:CLASSIC YELLOW:11-12:GRAPHIC:SS T-SHIRT</t>
  </si>
  <si>
    <t>TS BATMAN FP DARK KNIGHT CBM-HR293C:CLASSIC YELLOW:13-14:GRAPHIC:SS T-SHIRT</t>
  </si>
  <si>
    <t>TS BATMAN FP DARK KNIGHT CBM-HR293C:CLASSIC YELLOW:15-16:GRAPHIC:SS T-SHIRT</t>
  </si>
  <si>
    <t>BM-A92A</t>
  </si>
  <si>
    <t>TS BATMAN  SPLASH LOGO KTG LIS ABM-A92A:CLASSIC YELLOW:3-4:GRAPHIC:SS T-SHIRT</t>
  </si>
  <si>
    <t>TS BATMAN  SPLASH LOGO KTG LIS ABM-A92A:CLASSIC YELLOW:4-5:GRAPHIC:SS T-SHIRT</t>
  </si>
  <si>
    <t>TS BATMAN  SPLASH LOGO KTG LIS ABM-A92A:CLASSIC YELLOW:5-6:GRAPHIC:SS T-SHIRT</t>
  </si>
  <si>
    <t>TS BATMAN  SPLASH LOGO KTG LIS ABM-A92A:CLASSIC YELLOW:7-8:GRAPHIC:SS T-SHIRT</t>
  </si>
  <si>
    <t>TS BATMAN  SPLASH LOGO KTG LIS ABM-A92A:CLASSIC YELLOW:9-10:GRAPHIC:SS T-SHIRT</t>
  </si>
  <si>
    <t>A91C</t>
  </si>
  <si>
    <t>TS BATMAN LOGO TULISAN TENGAH CA91C:BLACK:7-8:GRAPHIC:SS T-SHIRT</t>
  </si>
  <si>
    <t>TS BATMAN LOGO TULISAN TENGAH CA91C:BLACK:9-10:GRAPHIC:SS T-SHIRT</t>
  </si>
  <si>
    <t>TS BATMAN LOGO TULISAN TENGAH CA91C:BLACK:11-12:GRAPHIC:SS T-SHIRT</t>
  </si>
  <si>
    <t>TS BATMAN LOGO TULISAN TENGAH CA91C:BLACK:13-14:GRAPHIC:SS T-SHIRT</t>
  </si>
  <si>
    <t>TS BATMAN LOGO TULISAN TENGAH CA91C:BLACK:15-16:GRAPHIC:SS T-SHIRT</t>
  </si>
  <si>
    <t>BM-A99A</t>
  </si>
  <si>
    <t>TS BATMAN ACTION FLY WINGS ABM-A99A:PASTEL YELLOW:3-4:GRAPHIC:SS T-SHIRT</t>
  </si>
  <si>
    <t>TS BATMAN ACTION FLY WINGS ABM-A99A:PASTEL YELLOW:4-5:GRAPHIC:SS T-SHIRT</t>
  </si>
  <si>
    <t>TS BATMAN ACTION FLY WINGS ABM-A99A:PASTEL YELLOW:5-6:GRAPHIC:SS T-SHIRT</t>
  </si>
  <si>
    <t>TS BATMAN ACTION FLY WINGS ABM-A99A:PASTEL YELLOW:7-8:GRAPHIC:SS T-SHIRT</t>
  </si>
  <si>
    <t>TS BATMAN ACTION FLY WINGS ABM-A99A:PASTEL YELLOW:9-10:GRAPHIC:SS T-SHIRT</t>
  </si>
  <si>
    <t>BM-HN2C</t>
  </si>
  <si>
    <t>TS BATMAN UNMASK CBM-HN2C:BLACK:7-8:GRAPHIC:SS T-SHIRT</t>
  </si>
  <si>
    <t>TS BATMAN UNMASK CBM-HN2C:BLACK:11-12:GRAPHIC:SS T-SHIRT</t>
  </si>
  <si>
    <t>TS BATMAN UNMASK CBM-HN2C:BLACK:13-14:GRAPHIC:SS T-SHIRT</t>
  </si>
  <si>
    <t>TS BATMAN UNMASK CBM-HN2C:BLACK:15-16:GRAPHIC:SS T-SHIRT</t>
  </si>
  <si>
    <t>TS BATMAN UNMASK CBM-HN2C:BLACK:9-10:GRAPHIC:SS T-SHIRT</t>
  </si>
  <si>
    <t>BM-HR296C</t>
  </si>
  <si>
    <t>TS BATMAN FP OMBRE LOGO CBM-HR296C:CLASSIC YELLOW:7-8:GRAPHIC:SS T-SHIRT</t>
  </si>
  <si>
    <t>TS BATMAN FP OMBRE LOGO CBM-HR296C:CLASSIC YELLOW:11-12:GRAPHIC:SS T-SHIRT</t>
  </si>
  <si>
    <t>TS BATMAN FP OMBRE LOGO CBM-HR296C:CLASSIC YELLOW:13-14:GRAPHIC:SS T-SHIRT</t>
  </si>
  <si>
    <t>TS BATMAN FP OMBRE LOGO CBM-HR296C:CLASSIC YELLOW:15-16:GRAPHIC:SS T-SHIRT</t>
  </si>
  <si>
    <t>TS BATMAN FP OMBRE LOGO CBM-HR296C:CLASSIC YELLOW:9-10:GRAPHIC:SS T-SHIRT</t>
  </si>
  <si>
    <t>TF-A030</t>
  </si>
  <si>
    <t>TS TF7 OPTIMUS BATTLE TF-A030:MISTY LIGHT GREY:3-4:PRINT:SS T-SHIRT</t>
  </si>
  <si>
    <t>TS TF7 OPTIMUS BATTLE TF-A030:MISTY LIGHT GREY:4-5:PRINT:SS T-SHIRT</t>
  </si>
  <si>
    <t>TS TF7 OPTIMUS BATTLE TF-A030:MISTY LIGHT GREY:5-6:PRINT:SS T-SHIRT</t>
  </si>
  <si>
    <t>TS TF7 OPTIMUS BATTLE TF-A030:MISTY LIGHT GREY:7-8:PRINT:SS T-SHIRT</t>
  </si>
  <si>
    <t>TS TF7 OPTIMUS BATTLE TF-A030:MISTY LIGHT GREY:9-10:PRINT:SS T-SHIRT</t>
  </si>
  <si>
    <t>TS TF7 OPTIMUS BATTLE TF-A030:MISTY LIGHT GREY:11-12:PRINT:SS T-SHIRT</t>
  </si>
  <si>
    <t>TS TF7 OPTIMUS BATTLE TF-A030:MISTY LIGHT GREY:13-14:PRINT:SS T-SHIRT</t>
  </si>
  <si>
    <t>TS TF7 OPTIMUS BATTLE TF-A030:MISTY LIGHT GREY:15-16:PRINT:SS T-SHIRT</t>
  </si>
  <si>
    <t>TF-A029</t>
  </si>
  <si>
    <t>TS TF7 TEAMS LIS LGN TF-A029:NAVY BLUE:3-4:PRINT:SS T-SHIRT</t>
  </si>
  <si>
    <t>TS TF7 TEAMS LIS LGN TF-A029:NAVY BLUE:4-5:PRINT:SS T-SHIRT</t>
  </si>
  <si>
    <t>TS TF7 TEAMS LIS LGN TF-A029:NAVY BLUE:5-6:PRINT:SS T-SHIRT</t>
  </si>
  <si>
    <t>TS TF7 TEAMS LIS LGN TF-A029:NAVY BLUE:7-8:PRINT:SS T-SHIRT</t>
  </si>
  <si>
    <t>TS TF7 TEAMS LIS LGN TF-A029:NAVY BLUE:9-10:PRINT:SS T-SHIRT</t>
  </si>
  <si>
    <t>TS TF7 TEAMS LIS LGN TF-A029:NAVY BLUE:11-12:PRINT:SS T-SHIRT</t>
  </si>
  <si>
    <t>TS TF7 TEAMS LIS LGN TF-A029:NAVY BLUE:13-14:PRINT:SS T-SHIRT</t>
  </si>
  <si>
    <t>TS TF7 TEAMS LIS LGN TF-A029:NAVY BLUE:15-16:PRINT:SS T-SHIRT</t>
  </si>
  <si>
    <t>TF-K26</t>
  </si>
  <si>
    <t>TS TF7 BUMBLEBEE FP TF-K26:CLASSIC YELLOW:3-4:PRINT:SS T-SHIRT</t>
  </si>
  <si>
    <t>TS TF7 BUMBLEBEE FP TF-K26:CLASSIC YELLOW:4-5:PRINT:SS T-SHIRT</t>
  </si>
  <si>
    <t>TS TF7 BUMBLEBEE FP TF-K26:CLASSIC YELLOW:5-6:PRINT:SS T-SHIRT</t>
  </si>
  <si>
    <t>TS TF7 BUMBLEBEE FP TF-K26:CLASSIC YELLOW:7-8:PRINT:SS T-SHIRT</t>
  </si>
  <si>
    <t>TS TF7 BUMBLEBEE FP TF-K26:CLASSIC YELLOW:9-10:PRINT:SS T-SHIRT</t>
  </si>
  <si>
    <t>TS TF7 BUMBLEBEE FP TF-K26:CLASSIC YELLOW:11-12:PRINT:SS T-SHIRT</t>
  </si>
  <si>
    <t>TS TF7 BUMBLEBEE FP TF-K26:CLASSIC YELLOW:13-14:PRINT:SS T-SHIRT</t>
  </si>
  <si>
    <t>TS TF7 BUMBLEBEE FP TF-K26:CLASSIC YELLOW:15-16:PRINT:SS T-SHIRT</t>
  </si>
  <si>
    <t>TF-K037</t>
  </si>
  <si>
    <t>TS TF7 OPTIMUS CUT N SEW TF-K037:CLASSIC RED:3-4:PRINT:SS T-SHIRT</t>
  </si>
  <si>
    <t>TS TF7 OPTIMUS CUT N SEW TF-K037:CLASSIC RED:4-5:PRINT:SS T-SHIRT</t>
  </si>
  <si>
    <t>TS TF7 OPTIMUS CUT N SEW TF-K037:CLASSIC RED:5-6:PRINT:SS T-SHIRT</t>
  </si>
  <si>
    <t>TS TF7 OPTIMUS CUT N SEW TF-K037:CLASSIC RED:7-8:PRINT:SS T-SHIRT</t>
  </si>
  <si>
    <t>TS TF7 OPTIMUS CUT N SEW TF-K037:CLASSIC RED:9-10:PRINT:SS T-SHIRT</t>
  </si>
  <si>
    <t>TS TF7 OPTIMUS CUT N SEW TF-K037:CLASSIC RED:11-12:PRINT:SS T-SHIRT</t>
  </si>
  <si>
    <t>TS TF7 OPTIMUS CUT N SEW TF-K037:CLASSIC RED:13-14:PRINT:SS T-SHIRT</t>
  </si>
  <si>
    <t>TS TF7 OPTIMUS CUT N SEW TF-K037:CLASSIC RED:15-16:PRINT:SS T-SHIRT</t>
  </si>
  <si>
    <t>TF-A33</t>
  </si>
  <si>
    <t>TS TF7 FP TEAMS TF-A33:MISTY MEDIUM BLUE:3-4:PRINT:SS T-SHIRT</t>
  </si>
  <si>
    <t>TS TF7 FP TEAMS TF-A33:MISTY MEDIUM BLUE:4-5:PRINT:SS T-SHIRT</t>
  </si>
  <si>
    <t>TS TF7 FP TEAMS TF-A33:MISTY MEDIUM BLUE:5-6:PRINT:SS T-SHIRT</t>
  </si>
  <si>
    <t>TS TF7 FP TEAMS TF-A33:MISTY MEDIUM BLUE:7-8:PRINT:SS T-SHIRT</t>
  </si>
  <si>
    <t>TS TF7 FP TEAMS TF-A33:MISTY MEDIUM BLUE:9-10:PRINT:SS T-SHIRT</t>
  </si>
  <si>
    <t>TS TF7 FP TEAMS TF-A33:MISTY MEDIUM BLUE:11-12:PRINT:SS T-SHIRT</t>
  </si>
  <si>
    <t>TS TF7 FP TEAMS TF-A33:MISTY MEDIUM BLUE:13-14:PRINT:SS T-SHIRT</t>
  </si>
  <si>
    <t>TS TF7 FP TEAMS TF-A33:MISTY MEDIUM BLUE:15-16:PRINT:SS T-SHIRT</t>
  </si>
  <si>
    <t>TF-N28</t>
  </si>
  <si>
    <t>TS TF7 LOGO AUTOBOTS FP TF-N28:MISTY DARK GREY:3-4:PRINT:SS T-SHIRT</t>
  </si>
  <si>
    <t>TS TF7 LOGO AUTOBOTS FP TF-N28:MISTY DARK GREY:4-5:PRINT:SS T-SHIRT</t>
  </si>
  <si>
    <t>TS TF7 LOGO AUTOBOTS FP TF-N28:MISTY DARK GREY:5-6:PRINT:SS T-SHIRT</t>
  </si>
  <si>
    <t>TS TF7 LOGO AUTOBOTS FP TF-N28:MISTY DARK GREY:7-8:PRINT:SS T-SHIRT</t>
  </si>
  <si>
    <t>TS TF7 LOGO AUTOBOTS FP TF-N28:MISTY DARK GREY:9-10:PRINT:SS T-SHIRT</t>
  </si>
  <si>
    <t>TS TF7 LOGO AUTOBOTS FP TF-N28:MISTY DARK GREY:11-12:PRINT:SS T-SHIRT</t>
  </si>
  <si>
    <t>TS TF7 LOGO AUTOBOTS FP TF-N28:MISTY DARK GREY:13-14:PRINT:SS T-SHIRT</t>
  </si>
  <si>
    <t>TS TF7 LOGO AUTOBOTS FP TF-N28:MISTY DARK GREY:15-16:PRINT:SS T-SHIRT</t>
  </si>
  <si>
    <t>TF-K025</t>
  </si>
  <si>
    <t>TS TF7 OPTIMUS LOGO LIS LGN TF-K025:NAVY BLUE:3-4:PRINT:SS T-SHIRT</t>
  </si>
  <si>
    <t>TS TF7 OPTIMUS LOGO LIS LGN TF-K025:NAVY BLUE:4-5:PRINT:SS T-SHIRT</t>
  </si>
  <si>
    <t>TS TF7 OPTIMUS LOGO LIS LGN TF-K025:NAVY BLUE:5-6:PRINT:SS T-SHIRT</t>
  </si>
  <si>
    <t>TS TF7 OPTIMUS LOGO LIS LGN TF-K025:NAVY BLUE:7-8:PRINT:SS T-SHIRT</t>
  </si>
  <si>
    <t>TS TF7 OPTIMUS LOGO LIS LGN TF-K025:NAVY BLUE:9-10:PRINT:SS T-SHIRT</t>
  </si>
  <si>
    <t>TS TF7 OPTIMUS LOGO LIS LGN TF-K025:NAVY BLUE:11-12:PRINT:SS T-SHIRT</t>
  </si>
  <si>
    <t>TS TF7 OPTIMUS LOGO LIS LGN TF-K025:NAVY BLUE:13-14:PRINT:SS T-SHIRT</t>
  </si>
  <si>
    <t>TS TF7 OPTIMUS LOGO LIS LGN TF-K025:NAVY BLUE:15-16:PRINT:SS T-SHIRT</t>
  </si>
  <si>
    <t>TF-A35</t>
  </si>
  <si>
    <t>TS TF7 AUTOBOTS TF-A35:MISTY LIGHT GREY:3-4:PRINT:SS T-SHIRT</t>
  </si>
  <si>
    <t>TS TF7 AUTOBOTS TF-A35:MISTY LIGHT GREY:4-5:PRINT:SS T-SHIRT</t>
  </si>
  <si>
    <t>TS TF7 AUTOBOTS TF-A35:MISTY LIGHT GREY:5-6:PRINT:SS T-SHIRT</t>
  </si>
  <si>
    <t>TS TF7 AUTOBOTS TF-A35:MISTY LIGHT GREY:7-8:PRINT:SS T-SHIRT</t>
  </si>
  <si>
    <t>TS TF7 AUTOBOTS TF-A35:MISTY LIGHT GREY:9-10:PRINT:SS T-SHIRT</t>
  </si>
  <si>
    <t>TS TF7 AUTOBOTS TF-A35:MISTY LIGHT GREY:11-12:PRINT:SS T-SHIRT</t>
  </si>
  <si>
    <t>TS TF7 AUTOBOTS TF-A35:MISTY LIGHT GREY:13-14:PRINT:SS T-SHIRT</t>
  </si>
  <si>
    <t>TS TF7 AUTOBOTS TF-A35:MISTY LIGHT GREY:15-16:PRINT:SS T-SHIRT</t>
  </si>
  <si>
    <t>TF-A17</t>
  </si>
  <si>
    <t>TS TF7 OPTIMUS LIS LGN TF-A17:MISTY MEDIUM BLUE:3-4:PRINT:SS T-SHIRT</t>
  </si>
  <si>
    <t>TS TF7 OPTIMUS LIS LGN TF-A17:MISTY MEDIUM BLUE:4-5:PRINT:SS T-SHIRT</t>
  </si>
  <si>
    <t>TS TF7 OPTIMUS LIS LGN TF-A17:MISTY MEDIUM BLUE:5-6:PRINT:SS T-SHIRT</t>
  </si>
  <si>
    <t>TS TF7 OPTIMUS LIS LGN TF-A17:MISTY MEDIUM BLUE:7-8:PRINT:SS T-SHIRT</t>
  </si>
  <si>
    <t>TS TF7 OPTIMUS LIS LGN TF-A17:MISTY MEDIUM BLUE:9-10:PRINT:SS T-SHIRT</t>
  </si>
  <si>
    <t>TS TF7 OPTIMUS LIS LGN TF-A17:MISTY MEDIUM BLUE:11-12:PRINT:SS T-SHIRT</t>
  </si>
  <si>
    <t>TS TF7 OPTIMUS LIS LGN TF-A17:MISTY MEDIUM BLUE:13-14:PRINT:SS T-SHIRT</t>
  </si>
  <si>
    <t>TS TF7 OPTIMUS LIS LGN TF-A17:MISTY MEDIUM BLUE:15-16:PRINT:SS T-SHIRT</t>
  </si>
  <si>
    <t>TF-N020</t>
  </si>
  <si>
    <t>TS TF7 BUMBLEBEE BATTLE TF-N020:BLACK:3-4:PRINT:SS T-SHIRT</t>
  </si>
  <si>
    <t>TS TF7 BUMBLEBEE BATTLE TF-N020:BLACK:4-5:PRINT:SS T-SHIRT</t>
  </si>
  <si>
    <t>TS TF7 BUMBLEBEE BATTLE TF-N020:BLACK:5-6:PRINT:SS T-SHIRT</t>
  </si>
  <si>
    <t>TS TF7 BUMBLEBEE BATTLE TF-N020:BLACK:7-8:PRINT:SS T-SHIRT</t>
  </si>
  <si>
    <t>TS TF7 BUMBLEBEE BATTLE TF-N020:BLACK:9-10:PRINT:SS T-SHIRT</t>
  </si>
  <si>
    <t>TS TF7 BUMBLEBEE BATTLE TF-N020:BLACK:11-12:PRINT:SS T-SHIRT</t>
  </si>
  <si>
    <t>TS TF7 BUMBLEBEE BATTLE TF-N020:BLACK:13-14:PRINT:SS T-SHIRT</t>
  </si>
  <si>
    <t>TS TF7 BUMBLEBEE BATTLE TF-N020:BLACK:15-16:PRINT:SS T-SHIRT</t>
  </si>
  <si>
    <t>TF-A024</t>
  </si>
  <si>
    <t>TS TF7 TEAM TENGAH LOGO LGN TF-A024:NAVY BLUE:3-4:PRINT:SS T-SHIRT</t>
  </si>
  <si>
    <t>TS TF7 TEAM TENGAH LOGO LGN TF-A024:NAVY BLUE:4-5:PRINT:SS T-SHIRT</t>
  </si>
  <si>
    <t>TS TF7 TEAM TENGAH LOGO LGN TF-A024:NAVY BLUE:5-6:PRINT:SS T-SHIRT</t>
  </si>
  <si>
    <t>TS TF7 TEAM TENGAH LOGO LGN TF-A024:NAVY BLUE:7-8:PRINT:SS T-SHIRT</t>
  </si>
  <si>
    <t>TS TF7 TEAM TENGAH LOGO LGN TF-A024:NAVY BLUE:9-10:PRINT:SS T-SHIRT</t>
  </si>
  <si>
    <t>TS TF7 TEAM TENGAH LOGO LGN TF-A024:NAVY BLUE:11-12:PRINT:SS T-SHIRT</t>
  </si>
  <si>
    <t>TS TF7 TEAM TENGAH LOGO LGN TF-A024:NAVY BLUE:13-14:PRINT:SS T-SHIRT</t>
  </si>
  <si>
    <t>TS TF7 TEAM TENGAH LOGO LGN TF-A024:NAVY BLUE:15-16:PRINT:SS T-SHIRT</t>
  </si>
  <si>
    <t>TF-A32</t>
  </si>
  <si>
    <t>TS TF7 BUMBLEBEE LIS LGN TF-A32:CLASSIC YELLOW:3-4:PRINT:SS T-SHIRT</t>
  </si>
  <si>
    <t>TS TF7 BUMBLEBEE LIS LGN TF-A32:CLASSIC YELLOW:4-5:PRINT:SS T-SHIRT</t>
  </si>
  <si>
    <t>TS TF7 BUMBLEBEE LIS LGN TF-A32:CLASSIC YELLOW:5-6:PRINT:SS T-SHIRT</t>
  </si>
  <si>
    <t>TS TF7 BUMBLEBEE LIS LGN TF-A32:CLASSIC YELLOW:7-8:PRINT:SS T-SHIRT</t>
  </si>
  <si>
    <t>TS TF7 BUMBLEBEE LIS LGN TF-A32:CLASSIC YELLOW:9-10:PRINT:SS T-SHIRT</t>
  </si>
  <si>
    <t>TS TF7 BUMBLEBEE LIS LGN TF-A32:CLASSIC YELLOW:11-12:PRINT:SS T-SHIRT</t>
  </si>
  <si>
    <t>TF-A36</t>
  </si>
  <si>
    <t>TS TF7 BUMBLEBEE ACTION TF-A36:CLASSIC YELLOW:3-4:PRINT:SS T-SHIRT</t>
  </si>
  <si>
    <t>TS TF7 BUMBLEBEE ACTION TF-A36:CLASSIC YELLOW:4-5:PRINT:SS T-SHIRT</t>
  </si>
  <si>
    <t>TS TF7 BUMBLEBEE ACTION TF-A36:CLASSIC YELLOW:5-6:PRINT:SS T-SHIRT</t>
  </si>
  <si>
    <t>TS TF7 BUMBLEBEE ACTION TF-A36:CLASSIC YELLOW:7-8:PRINT:SS T-SHIRT</t>
  </si>
  <si>
    <t>TS TF7 BUMBLEBEE ACTION TF-A36:CLASSIC YELLOW:9-10:PRINT:SS T-SHIRT</t>
  </si>
  <si>
    <t>TS TF7 BUMBLEBEE ACTION TF-A36:CLASSIC YELLOW:11-12:PRINT:SS T-SHIRT</t>
  </si>
  <si>
    <t>TF-N26</t>
  </si>
  <si>
    <t>TS TF7 LOGO CUT N SEW TF-N26:BLACK:3-4:PRINT:SS T-SHIRT</t>
  </si>
  <si>
    <t>TS TF7 LOGO CUT N SEW TF-N26:BLACK:4-5:PRINT:SS T-SHIRT</t>
  </si>
  <si>
    <t>TS TF7 LOGO CUT N SEW TF-N26:BLACK:5-6:PRINT:SS T-SHIRT</t>
  </si>
  <si>
    <t>TS TF7 LOGO CUT N SEW TF-N26:BLACK:7-8:PRINT:SS T-SHIRT</t>
  </si>
  <si>
    <t>TS TF7 LOGO CUT N SEW TF-N26:BLACK:9-10:PRINT:SS T-SHIRT</t>
  </si>
  <si>
    <t>TS TF7 LOGO CUT N SEW TF-N26:BLACK:11-12:PRINT:SS T-SHIRT</t>
  </si>
  <si>
    <t>TS TF7 LOGO CUT N SEW TF-N26:BLACK:13-14:PRINT:SS T-SHIRT</t>
  </si>
  <si>
    <t>TS TF7 LOGO CUT N SEW TF-N26:BLACK:15-16:PRINT:SS T-SHIRT</t>
  </si>
  <si>
    <t>TF-A34</t>
  </si>
  <si>
    <t>TS TF7 LOGO AUTOBOTS OMBRE TF-A34:CLASSIC RED:3-4:PRINT:SS T-SHIRT</t>
  </si>
  <si>
    <t>TS TF7 LOGO AUTOBOTS OMBRE TF-A34:CLASSIC RED:4-5:PRINT:SS T-SHIRT</t>
  </si>
  <si>
    <t>TS TF7 LOGO AUTOBOTS OMBRE TF-A34:CLASSIC RED:5-6:PRINT:SS T-SHIRT</t>
  </si>
  <si>
    <t>TS TF7 LOGO AUTOBOTS OMBRE TF-A34:CLASSIC RED:7-8:PRINT:SS T-SHIRT</t>
  </si>
  <si>
    <t>TS TF7 LOGO AUTOBOTS OMBRE TF-A34:CLASSIC RED:9-10:PRINT:SS T-SHIRT</t>
  </si>
  <si>
    <t>TS TF7 LOGO AUTOBOTS OMBRE TF-A34:CLASSIC RED:11-12:PRINT:SS T-SHIRT</t>
  </si>
  <si>
    <t>TS TF7 LOGO AUTOBOTS OMBRE TF-A34:CLASSIC RED:13-14:PRINT:SS T-SHIRT</t>
  </si>
  <si>
    <t>TS TF7 LOGO AUTOBOTS OMBRE TF-A34:CLASSIC RED:15-16:PRINT:SS T-SHIRT</t>
  </si>
  <si>
    <t>HR38C</t>
  </si>
  <si>
    <t>TS SUPERMAN LOGO TULISAN CUT SEW BAHU C HR38C:PASTEL GREY:7-8:GRAPHIC:SS T-SHIRT</t>
  </si>
  <si>
    <t>TS SUPERMAN LOGO TULISAN CUT SEW BAHU C HR38C:PASTEL GREY:9-10:GRAPHIC:SS T-SHIRT</t>
  </si>
  <si>
    <t>TS SUPERMAN LOGO TULISAN CUT SEW BAHU C HR38C:PASTEL GREY:11-12:GRAPHIC:SS T-SHIRT</t>
  </si>
  <si>
    <t>TS SUPERMAN LOGO TULISAN CUT SEW BAHU C HR38C:PASTEL GREY:13-14:GRAPHIC:SS T-SHIRT</t>
  </si>
  <si>
    <t>TS SUPERMAN LOGO TULISAN CUT SEW BAHU C HR38C:PASTEL GREY:15-16:GRAPHIC:SS T-SHIRT</t>
  </si>
  <si>
    <t>SM-HR341C</t>
  </si>
  <si>
    <t>TS SUPERMAN 85 LOGO RAGLAN C  SM-HR341C:WHITE:7-8:GRAPHIC:SS T-SHIRT</t>
  </si>
  <si>
    <t>TS SUPERMAN 85 LOGO RAGLAN C  SM-HR341C:WHITE:9-10:GRAPHIC:SS T-SHIRT</t>
  </si>
  <si>
    <t>TS SUPERMAN 85 LOGO RAGLAN C  SM-HR341C:WHITE:11-12:GRAPHIC:SS T-SHIRT</t>
  </si>
  <si>
    <t>TS SUPERMAN 85 LOGO RAGLAN C  SM-HR341C:WHITE:13-14:GRAPHIC:SS T-SHIRT</t>
  </si>
  <si>
    <t>TS SUPERMAN 85 LOGO RAGLAN C  SM-HR341C:WHITE:15-16:GRAPHIC:SS T-SHIRT</t>
  </si>
  <si>
    <t>SM-HR339A</t>
  </si>
  <si>
    <t>TS SUPERMAN RIBBON CUT SEW A  SM-HR339A:LIGHT BLUE:3-4:GRAPHIC:SS T-SHIRT</t>
  </si>
  <si>
    <t>TS SUPERMAN RIBBON CUT SEW A  SM-HR339A:LIGHT BLUE:4-5:GRAPHIC:SS T-SHIRT</t>
  </si>
  <si>
    <t>TS SUPERMAN RIBBON CUT SEW A  SM-HR339A:LIGHT BLUE:5-6:GRAPHIC:SS T-SHIRT</t>
  </si>
  <si>
    <t>TS SUPERMAN RIBBON CUT SEW A  SM-HR339A:LIGHT BLUE:7-8:GRAPHIC:SS T-SHIRT</t>
  </si>
  <si>
    <t>TS SUPERMAN RIBBON CUT SEW A  SM-HR339A:LIGHT BLUE:9-10:GRAPHIC:SS T-SHIRT</t>
  </si>
  <si>
    <t>SM-HR343C</t>
  </si>
  <si>
    <t>TS SUPERMAN 85 LOGO TENGAH C  SM-HR343C:CLASSIC BLUE:7-8:GRAPHIC:SS T-SHIRT</t>
  </si>
  <si>
    <t>TS SUPERMAN 85 LOGO TENGAH C  SM-HR343C:CLASSIC BLUE:9-10:GRAPHIC:SS T-SHIRT</t>
  </si>
  <si>
    <t>TS SUPERMAN 85 LOGO TENGAH C  SM-HR343C:CLASSIC BLUE:11-12:GRAPHIC:SS T-SHIRT</t>
  </si>
  <si>
    <t>TS SUPERMAN 85 LOGO TENGAH C  SM-HR343C:CLASSIC BLUE:13-14:GRAPHIC:SS T-SHIRT</t>
  </si>
  <si>
    <t>TS SUPERMAN 85 LOGO TENGAH C  SM-HR343C:CLASSIC BLUE:15-16:GRAPHIC:SS T-SHIRT</t>
  </si>
  <si>
    <t>A119A</t>
  </si>
  <si>
    <t>T-SHIRT SUPERMAN CUT SEW KTG LGN A A119A:CLASSIC RED:3-4:GRAPHIC:SS T-SHIRT</t>
  </si>
  <si>
    <t>T-SHIRT SUPERMAN CUT SEW KTG LGN A A119A:CLASSIC RED:4-5:GRAPHIC:SS T-SHIRT</t>
  </si>
  <si>
    <t>T-SHIRT SUPERMAN CUT SEW KTG LGN A A119A:CLASSIC RED:5-6:GRAPHIC:SS T-SHIRT</t>
  </si>
  <si>
    <t>T-SHIRT SUPERMAN CUT SEW KTG LGN A A119A:CLASSIC RED:7-8:GRAPHIC:SS T-SHIRT</t>
  </si>
  <si>
    <t>T-SHIRT SUPERMAN CUT SEW KTG LGN A A119A:CLASSIC RED:9-10:GRAPHIC:SS T-SHIRT</t>
  </si>
  <si>
    <t>A148C</t>
  </si>
  <si>
    <t>T-SHIRT SUPERMAN SAVE THE WORLD C A148C:NAVY BLUE:7-8:GRAPHIC:SS T-SHIRT</t>
  </si>
  <si>
    <t>T-SHIRT SUPERMAN SAVE THE WORLD C A148C:NAVY BLUE:9-10:GRAPHIC:SS T-SHIRT</t>
  </si>
  <si>
    <t>T-SHIRT SUPERMAN SAVE THE WORLD C A148C:NAVY BLUE:11-12:GRAPHIC:SS T-SHIRT</t>
  </si>
  <si>
    <t>T-SHIRT SUPERMAN SAVE THE WORLD C A148C:NAVY BLUE:13-14:GRAPHIC:SS T-SHIRT</t>
  </si>
  <si>
    <t>T-SHIRT SUPERMAN SAVE THE WORLD C A148C:NAVY BLUE:15-16:GRAPHIC:SS T-SHIRT</t>
  </si>
  <si>
    <t>HP-HR1790C</t>
  </si>
  <si>
    <t>TS  HARRY POTTER CUT SEW HOGWARTS C HP-HR1790C:BLACK:7-8:GRAPHIC:SS T-SHIRT</t>
  </si>
  <si>
    <t>TS  HARRY POTTER CUT SEW HOGWARTS C HP-HR1790C:BLACK:9-10:GRAPHIC:SS T-SHIRT</t>
  </si>
  <si>
    <t>TS  HARRY POTTER CUT SEW HOGWARTS C HP-HR1790C:BLACK:11-12:GRAPHIC:SS T-SHIRT</t>
  </si>
  <si>
    <t>TS  HARRY POTTER CUT SEW HOGWARTS C HP-HR1790C:BLACK:13-14:GRAPHIC:SS T-SHIRT</t>
  </si>
  <si>
    <t>TS  HARRY POTTER CUT SEW HOGWARTS C HP-HR1790C:BLACK:15-16:GRAPHIC:SS T-SHIRT</t>
  </si>
  <si>
    <t>LT-HR199A</t>
  </si>
  <si>
    <t>TS LOONEY TOONS BUGS CARROT LGN LIS ALT-HR199A:PASTEL GREY:3-4:GRAPHIC:SS T-SHIRT</t>
  </si>
  <si>
    <t>TS LOONEY TOONS BUGS CARROT LGN LIS ALT-HR199A:PASTEL GREY:4-5:GRAPHIC:SS T-SHIRT</t>
  </si>
  <si>
    <t>TS LOONEY TOONS BUGS CARROT LGN LIS ALT-HR199A:PASTEL GREY:5-6:GRAPHIC:SS T-SHIRT</t>
  </si>
  <si>
    <t>TS LOONEY TOONS BUGS CARROT LGN LIS ALT-HR199A:PASTEL GREY:7-8:GRAPHIC:SS T-SHIRT</t>
  </si>
  <si>
    <t>TS LOONEY TOONS BUGS CARROT LGN LIS ALT-HR199A:PASTEL GREY:9-10:GRAPHIC:SS T-SHIRT</t>
  </si>
  <si>
    <t>BM-N173A</t>
  </si>
  <si>
    <t>SWEATER HOOD BATMAN FP LOGO HANDUK ABM-N173A:BLACK:3-4:GRAPHIC:SWEATSHIRT</t>
  </si>
  <si>
    <t>SWEATER HOOD BATMAN FP LOGO HANDUK ABM-N173A:BLACK:4-5:GRAPHIC:SWEATSHIRT</t>
  </si>
  <si>
    <t>SWEATER HOOD BATMAN FP LOGO HANDUK ABM-N173A:BLACK:5-6:GRAPHIC:SWEATSHIRT</t>
  </si>
  <si>
    <t>SWEATER HOOD BATMAN FP LOGO HANDUK ABM-N173A:BLACK:7-8:GRAPHIC:SWEATSHIRT</t>
  </si>
  <si>
    <t>SWEATER HOOD BATMAN FP LOGO HANDUK ABM-N173A:BLACK:9-10:GRAPHIC:SWEATSHIRT</t>
  </si>
  <si>
    <t>BM-A100C</t>
  </si>
  <si>
    <t>SWEATER HOOD BATMAN CUT SEW CBM-A100C:BLACK:7-8:GRAPHIC:SWEATSHIRT</t>
  </si>
  <si>
    <t>SWEATER HOOD BATMAN CUT SEW CBM-A100C:BLACK:9-10:GRAPHIC:SWEATSHIRT</t>
  </si>
  <si>
    <t>SWEATER HOOD BATMAN CUT SEW CBM-A100C:BLACK:11-12:GRAPHIC:SWEATSHIRT</t>
  </si>
  <si>
    <t>SWEATER HOOD BATMAN CUT SEW CBM-A100C:BLACK:13-14:GRAPHIC:SWEATSHIRT</t>
  </si>
  <si>
    <t>SWEATER HOOD BATMAN CUT SEW CBM-A100C:BLACK:15-16:GRAPHIC:SWEATSHIRT</t>
  </si>
  <si>
    <t>HR36C-SM</t>
  </si>
  <si>
    <t>SWEATER HOOD SUPERMAN LOGO TENGAH C HR36C-SM:NAVY BLUE:7-8:GRAPHIC:JACKET</t>
  </si>
  <si>
    <t>SWEATER HOOD SUPERMAN LOGO TENGAH C HR36C-SM:NAVY BLUE:9-10:GRAPHIC:JACKET</t>
  </si>
  <si>
    <t>SWEATER HOOD SUPERMAN LOGO TENGAH C HR36C-SM:NAVY BLUE:11-12:GRAPHIC:JACKET</t>
  </si>
  <si>
    <t>SWEATER HOOD SUPERMAN LOGO TENGAH C HR36C-SM:NAVY BLUE:13-14:GRAPHIC:JACKET</t>
  </si>
  <si>
    <t>SWEATER HOOD SUPERMAN LOGO TENGAH C HR36C-SM:NAVY BLUE:15-16:GRAPHIC:JACKET</t>
  </si>
  <si>
    <t>TF-A27</t>
  </si>
  <si>
    <t>JOGGER TF7 LOGO TULISAN TF-A27:NAVY BLUE:3-4:PRINT:JOGGER</t>
  </si>
  <si>
    <t>JOGGER TF7 LOGO TULISAN TF-A27:NAVY BLUE:4-5:PRINT:JOGGER</t>
  </si>
  <si>
    <t>JOGGER TF7 LOGO TULISAN TF-A27:NAVY BLUE:5-6:PRINT:JOGGER</t>
  </si>
  <si>
    <t>JOGGER TF7 LOGO TULISAN TF-A27:NAVY BLUE:7-8:PRINT:JOGGER</t>
  </si>
  <si>
    <t>JOGGER TF7 LOGO TULISAN TF-A27:NAVY BLUE:9-10:PRINT:JOGGER</t>
  </si>
  <si>
    <t>JOGGER TF7 LOGO TULISAN TF-A27:NAVY BLUE:11-12:PRINT:JOGGER</t>
  </si>
  <si>
    <t>JOGGER TF7 LOGO TULISAN TF-A27:NAVY BLUE:13-14:PRINT:JOGGER</t>
  </si>
  <si>
    <t>JOGGER TF7 LOGO TULISAN TF-A27:NAVY BLUE:15-16:PRINT:JOGGER</t>
  </si>
  <si>
    <t>HR43C</t>
  </si>
  <si>
    <t>JOGGER SUPERMAN  LOGO LIS SAMPING C HR43C:NAVY BLUE:7-8:GRAPHIC:JOGGER</t>
  </si>
  <si>
    <t>JOGGER SUPERMAN  LOGO LIS SAMPING C HR43C:NAVY BLUE:9-10:GRAPHIC:JOGGER</t>
  </si>
  <si>
    <t>JOGGER SUPERMAN  LOGO LIS SAMPING C HR43C:NAVY BLUE:11-12:GRAPHIC:JOGGER</t>
  </si>
  <si>
    <t>JOGGER SUPERMAN  LOGO LIS SAMPING C HR43C:NAVY BLUE:13-14:GRAPHIC:JOGGER</t>
  </si>
  <si>
    <t>JOGGER SUPERMAN  LOGO LIS SAMPING C HR43C:NAVY BLUE:15-16:GRAPHIC:JOGGER</t>
  </si>
  <si>
    <t>TPBT05</t>
  </si>
  <si>
    <t>TOPI BATMAN FP TD LOGO BORDIR TPBT05:BLACK:F:GRAPHIC:CAPS</t>
  </si>
  <si>
    <t>N132A</t>
  </si>
  <si>
    <t>SS T-SHIRT BATMAN FP MARBLE LOGO CLASSIC FOIL A N132A:CLASSIC YE:5-6:GRAPHIC:SS T-SHIRT</t>
  </si>
  <si>
    <t>SS T-SHIRT BATMAN FP MARBLE LOGO CLASSIC FOIL A N132A:CLASSIC YE:7-8:GRAPHIC:SS T-SHIRT</t>
  </si>
  <si>
    <t>SS T-SHIRT BATMAN FP MARBLE LOGO CLASSIC FOIL A N132A:CLASSIC YE:9-10:GRAPHIC:SS T-SHIRT</t>
  </si>
  <si>
    <t>SS T-SHIRT BATMAN FP MARBLE LOGO CLASSIC FOIL A N132A:CLASSIC YE:3-4:GRAPHIC:SS T-SHIRT</t>
  </si>
  <si>
    <t>SS T-SHIRT BATMAN FP MARBLE LOGO CLASSIC FOIL A N132A:CLASSIC YE:4-5:GRAPHIC:SS T-SHIRT</t>
  </si>
  <si>
    <t>BN087A</t>
  </si>
  <si>
    <t>TS BATMAN FP COMICS FLOCKING A:CLASSIC YELLOW:5-6:PRINT:SS T-SHIRT</t>
  </si>
  <si>
    <t>TS BATMAN FP COMICS FLOCKING A:CLASSIC YELLOW:7-8:PRINT:SS T-SHIRT</t>
  </si>
  <si>
    <t>TS BATMAN FP COMICS FLOCKING A:CLASSIC YELLOW:9-10:PRINT:SS T-SHIRT</t>
  </si>
  <si>
    <t>TS BATMAN FP COMICS FLOCKING A:CLASSIC YELLOW:3-4:PRINT:SS T-SHIRT</t>
  </si>
  <si>
    <t>TS BATMAN FP COMICS FLOCKING A:CLASSIC YELLOW:4-5:PRINT:SS T-SHIRT</t>
  </si>
  <si>
    <t>N144C</t>
  </si>
  <si>
    <t>TS BATMAN KONTRAS LOGO ALUMINIUM C:BLACK:7-8:GRAPHIC:SS T-SHIRT</t>
  </si>
  <si>
    <t>TS BATMAN KONTRAS LOGO ALUMINIUM C:BLACK:9-10:GRAPHIC:SS T-SHIRT</t>
  </si>
  <si>
    <t>TS BATMAN KONTRAS LOGO ALUMINIUM C:BLACK:11-12:GRAPHIC:SS T-SHIRT</t>
  </si>
  <si>
    <t>TS BATMAN KONTRAS LOGO ALUMINIUM C:BLACK:13-14:GRAPHIC:SS T-SHIRT</t>
  </si>
  <si>
    <t>N131A</t>
  </si>
  <si>
    <t>TS BATMAN OMBRE SABLON LOGO A N131A:BLACK:5-6:OMBRE:SS T-SHIRT</t>
  </si>
  <si>
    <t>TS BATMAN OMBRE SABLON LOGO A N131A:BLACK:7-8:OMBRE:SS T-SHIRT</t>
  </si>
  <si>
    <t>TS BATMAN OMBRE SABLON LOGO A N131A:BLACK:3-4:OMBRE:SS T-SHIRT</t>
  </si>
  <si>
    <t>TS BATMAN OMBRE SABLON LOGO A N131A:BLACK:4-5:OMBRE:SS T-SHIRT</t>
  </si>
  <si>
    <t>A09C</t>
  </si>
  <si>
    <t>TS BATMAN MOVIE MOBIL C A09C:MISTY MEDIUM GREY:7-8:GRAPHIC:SS T-SHIRT</t>
  </si>
  <si>
    <t>TS BATMAN MOVIE MOBIL C A09C:MISTY MEDIUM GREY:11-12:GRAPHIC:SS T-SHIRT</t>
  </si>
  <si>
    <t>TS BATMAN MOVIE MOBIL C A09C:MISTY MEDIUM GREY:13-14:GRAPHIC:SS T-SHIRT</t>
  </si>
  <si>
    <t>TS BATMAN MOVIE MOBIL C A09C:MISTY MEDIUM GREY:9-10:GRAPHIC:SS T-SHIRT</t>
  </si>
  <si>
    <t>N024A</t>
  </si>
  <si>
    <t>KOSTUM BATMAN SAYAP N024A:MISTY DARK GREY:5-6:GRAPHIC:SS T-SHIRT</t>
  </si>
  <si>
    <t>KOSTUM BATMAN SAYAP N024A:MISTY DARK GREY:7-8:GRAPHIC:SS T-SHIRT</t>
  </si>
  <si>
    <t>KOSTUM BATMAN SAYAP N024A:MISTY DARK GREY:9-10:GRAPHIC:SS T-SHIRT</t>
  </si>
  <si>
    <t>KOSTUM BATMAN SAYAP N024A:MISTY DARK GREY:3-4:GRAPHIC:SS T-SHIRT</t>
  </si>
  <si>
    <t>KOSTUM BATMAN SAYAP N024A:MISTY DARK GREY:4-5:GRAPHIC:SS T-SHIRT</t>
  </si>
  <si>
    <t>N131C</t>
  </si>
  <si>
    <t>TS BATMAN OMBRE SABLON LOGO C N131C:BLACK:11-12:OMBRE:SS T-SHIRT</t>
  </si>
  <si>
    <t>TS BATMAN OMBRE SABLON LOGO C N131C:BLACK:13-14:OMBRE:SS T-SHIRT</t>
  </si>
  <si>
    <t>TS BATMAN OMBRE SABLON LOGO C N131C:BLACK:15-16:OMBRE:SS T-SHIRT</t>
  </si>
  <si>
    <t>TS BATMAN OMBRE SABLON LOGO C N131C:BLACK:9-10:OMBRE:SS T-SHIRT</t>
  </si>
  <si>
    <t>N146C</t>
  </si>
  <si>
    <t>TS BATMAN MOVIE SPLASH C N146C:BLACK:7-8:TEXT:SS T-SHIRT</t>
  </si>
  <si>
    <t>TS BATMAN MOVIE SPLASH C N146C:BLACK:11-12:TEXT:SS T-SHIRT</t>
  </si>
  <si>
    <t>TS BATMAN MOVIE SPLASH C N146C:BLACK:13-14:TEXT:SS T-SHIRT</t>
  </si>
  <si>
    <t>TS BATMAN MOVIE SPLASH C N146C:BLACK:15-16:TEXT:SS T-SHIRT</t>
  </si>
  <si>
    <t>TS BATMAN MOVIE SPLASH C N146C:BLACK:9-10:TEXT:SS T-SHIRT</t>
  </si>
  <si>
    <t>A05C</t>
  </si>
  <si>
    <t>TS BATMAN MOVIE FP LOGO C A05C:BLACK:7-8:PRINT:SS T-SHIRT</t>
  </si>
  <si>
    <t>A02C</t>
  </si>
  <si>
    <t>TS BATMAN MOVIE POSTER FP C A02C:BLACK:7-8:GRAPHIC:SS T-SHIRT</t>
  </si>
  <si>
    <t>TS BATMAN MOVIE POSTER FP C A02C:BLACK:11-12:GRAPHIC:SS T-SHIRT</t>
  </si>
  <si>
    <t>TS BATMAN MOVIE POSTER FP C A02C:BLACK:9-10:GRAPHIC:SS T-SHIRT</t>
  </si>
  <si>
    <t>N130C</t>
  </si>
  <si>
    <t>SS T-SHIRT TS BATMAN FP MARBLE LOGO CLASSIC FOIL C N130C:BLACK:11-12:GRAPHIC:SS T-SHIRT</t>
  </si>
  <si>
    <t>SS T-SHIRT TS BATMAN FP MARBLE LOGO CLASSIC FOIL C N130C:BLACK:13-14:GRAPHIC:SS T-SHIRT</t>
  </si>
  <si>
    <t>SS T-SHIRT TS BATMAN FP MARBLE LOGO CLASSIC FOIL C N130C:BLACK:9-10:GRAPHIC:SS T-SHIRT</t>
  </si>
  <si>
    <t>HR608C</t>
  </si>
  <si>
    <t>SS T-SHIRT TS BATMAN MOVIE MOBIL C HR608C:CLASSIC RED:7-8:PRINT:SS T-SHIRT</t>
  </si>
  <si>
    <t>SS T-SHIRT TS BATMAN MOVIE MOBIL C HR608C:CLASSIC RED:9-10:PRINT:SS T-SHIRT</t>
  </si>
  <si>
    <t>SS T-SHIRT TS BATMAN MOVIE MOBIL C HR608C:CLASSIC RED:11-12:PRINT:SS T-SHIRT</t>
  </si>
  <si>
    <t>SS T-SHIRT TS BATMAN MOVIE MOBIL C HR608C:CLASSIC RED:13-14:PRINT:SS T-SHIRT</t>
  </si>
  <si>
    <t>SS T-SHIRT TS BATMAN MOVIE MOBIL C HR608C:CLASSIC RED:15-16:PRINT:SS T-SHIRT</t>
  </si>
  <si>
    <t>HR312A</t>
  </si>
  <si>
    <t>SS T-SHIRT TS BATMAN FP GRAFITI LOGO A HR312A:MISTY MEDIUM:5-6:PRINT:SS T-SHIRT</t>
  </si>
  <si>
    <t>SS T-SHIRT TS BATMAN FP GRAFITI LOGO A HR312A:MISTY MEDIUM:7-8:PRINT:SS T-SHIRT</t>
  </si>
  <si>
    <t>SS T-SHIRT TS BATMAN FP GRAFITI LOGO A HR312A:MISTY MEDIUM:9-10:PRINT:SS T-SHIRT</t>
  </si>
  <si>
    <t>SS T-SHIRT TS BATMAN FP GRAFITI LOGO A HR312A:MISTY MEDIUM:3-4:PRINT:SS T-SHIRT</t>
  </si>
  <si>
    <t>SS T-SHIRT TS BATMAN FP GRAFITI LOGO A HR312A:MISTY MEDIUM:4-5:PRINT:SS T-SHIRT</t>
  </si>
  <si>
    <t>HR311C</t>
  </si>
  <si>
    <t>SS T-SHIRT TS BATMAN FP LOGO C HR311C:CLASSIC YELLOW:7-8:GRAPHIC:SS T-SHIRT</t>
  </si>
  <si>
    <t>SS T-SHIRT TS BATMAN FP LOGO C HR311C:CLASSIC YELLOW:9-10:GRAPHIC:SS T-SHIRT</t>
  </si>
  <si>
    <t>SS T-SHIRT TS BATMAN FP LOGO C HR311C:CLASSIC YELLOW:11-12:GRAPHIC:SS T-SHIRT</t>
  </si>
  <si>
    <t>SS T-SHIRT TS BATMAN FP LOGO C HR311C:CLASSIC YELLOW:13-14:GRAPHIC:SS T-SHIRT</t>
  </si>
  <si>
    <t>HR609C</t>
  </si>
  <si>
    <t>SS T-SHIRT TS BATMAN MOVIE LOGO C HR609C:BLACK:7-8:GRAPHIC:SS T-SHIRT</t>
  </si>
  <si>
    <t>SS T-SHIRT TS BATMAN MOVIE LOGO C HR609C:BLACK:9-10:GRAPHIC:SS T-SHIRT</t>
  </si>
  <si>
    <t>SS T-SHIRT TS BATMAN MOVIE LOGO C HR609C:BLACK:11-12:GRAPHIC:SS T-SHIRT</t>
  </si>
  <si>
    <t>SS T-SHIRT TS BATMAN MOVIE LOGO C HR609C:BLACK:15-16:GRAPHIC:SS T-SHIRT</t>
  </si>
  <si>
    <t>A04C</t>
  </si>
  <si>
    <t>TS BATMAN MOVIE FP LOGO C A04C:CLASSIC YELLOW:7-8:PRINT:SS T-SHIRT</t>
  </si>
  <si>
    <t>TS BATMAN MOVIE FP LOGO C A04C:CLASSIC YELLOW:11-12:PRINT:SS T-SHIRT</t>
  </si>
  <si>
    <t>TS BATMAN MOVIE FP LOGO C A04C:CLASSIC YELLOW:13-14:PRINT:SS T-SHIRT</t>
  </si>
  <si>
    <t>TS BATMAN MOVIE FP LOGO C A04C:CLASSIC YELLOW:9-10:PRINT:SS T-SHIRT</t>
  </si>
  <si>
    <t>HR56A</t>
  </si>
  <si>
    <t>SS T-SHIRT TS BATMAN PRINT LOGO TULISAN TENGAH A HR56A:CLASSIC YE:3-4:TEXT:SS T-SHIRT</t>
  </si>
  <si>
    <t>SS T-SHIRT TS BATMAN PRINT LOGO TULISAN TENGAH A HR56A:CLASSIC YE:4-5:TEXT:SS T-SHIRT</t>
  </si>
  <si>
    <t>SS T-SHIRT TS BATMAN PRINT LOGO TULISAN TENGAH A HR56A:CLASSIC YE:5-6:TEXT:SS T-SHIRT</t>
  </si>
  <si>
    <t>SS T-SHIRT TS BATMAN PRINT LOGO TULISAN TENGAH A HR56A:CLASSIC YE:7-8:TEXT:SS T-SHIRT</t>
  </si>
  <si>
    <t>BN090A</t>
  </si>
  <si>
    <t>TS BATMAN CITY LOGO FLOCKING A BN090A:CLASSIC YELLOW:5-6:GRAPHIC:SS T-SHIRT</t>
  </si>
  <si>
    <t>TS BATMAN CITY LOGO FLOCKING A BN090A:CLASSIC YELLOW:7-8:GRAPHIC:SS T-SHIRT</t>
  </si>
  <si>
    <t>TS BATMAN CITY LOGO FLOCKING A BN090A:CLASSIC YELLOW:9-10:GRAPHIC:SS T-SHIRT</t>
  </si>
  <si>
    <t>TS BATMAN CITY LOGO FLOCKING A BN090A:CLASSIC YELLOW:3-4:GRAPHIC:SS T-SHIRT</t>
  </si>
  <si>
    <t>TS BATMAN CITY LOGO FLOCKING A BN090A:CLASSIC YELLOW:4-5:GRAPHIC:SS T-SHIRT</t>
  </si>
  <si>
    <t>HR52C</t>
  </si>
  <si>
    <t>SS T-SHIRT TS BATMAN TULISAN KANTONG LOGO C HR52C:MISTY MEDIU:7-8:TEXT:SS T-SHIRT</t>
  </si>
  <si>
    <t>SS T-SHIRT TS BATMAN TULISAN KANTONG LOGO C HR52C:MISTY MEDIU:9-10:TEXT:SS T-SHIRT</t>
  </si>
  <si>
    <t>SS T-SHIRT TS BATMAN TULISAN KANTONG LOGO C HR52C:MISTY MEDIU:11-12:TEXT:SS T-SHIRT</t>
  </si>
  <si>
    <t>SS T-SHIRT TS BATMAN TULISAN KANTONG LOGO C HR52C:MISTY MEDIU:13-14:TEXT:SS T-SHIRT</t>
  </si>
  <si>
    <t>SS T-SHIRT TS BATMAN TULISAN KANTONG LOGO C HR52C:MISTY MEDIU:15-16:TEXT:SS T-SHIRT</t>
  </si>
  <si>
    <t>HR963A</t>
  </si>
  <si>
    <t>SS T-SHIRT BATMAN DARK KNIGHT FLY HR963A:NAVY BLUE:3-4:GRAPHIC:SS T-SHIRT</t>
  </si>
  <si>
    <t>SS T-SHIRT BATMAN DARK KNIGHT FLY HR963A:NAVY BLUE:4-5:GRAPHIC:SS T-SHIRT</t>
  </si>
  <si>
    <t>SS T-SHIRT BATMAN DARK KNIGHT FLY HR963A:NAVY BLUE:5-6:GRAPHIC:SS T-SHIRT</t>
  </si>
  <si>
    <t>SS T-SHIRT BATMAN DARK KNIGHT FLY HR963A:NAVY BLUE:7-8:GRAPHIC:SS T-SHIRT</t>
  </si>
  <si>
    <t>HR35C</t>
  </si>
  <si>
    <t>SS T-SHIRT BATMAN LOGO TENGAH SPLASH BAHU C HR35C:BLACK:7-8:TEXT:SS T-SHIRT</t>
  </si>
  <si>
    <t>SS T-SHIRT BATMAN LOGO TENGAH SPLASH BAHU C HR35C:BLACK:9-10:TEXT:SS T-SHIRT</t>
  </si>
  <si>
    <t>SS T-SHIRT BATMAN LOGO TENGAH SPLASH BAHU C HR35C:BLACK:11-12:TEXT:SS T-SHIRT</t>
  </si>
  <si>
    <t>SS T-SHIRT BATMAN LOGO TENGAH SPLASH BAHU C HR35C:BLACK:13-14:TEXT:SS T-SHIRT</t>
  </si>
  <si>
    <t>SS T-SHIRT BATMAN LOGO TENGAH SPLASH BAHU C HR35C:BLACK:15-16:TEXT:SS T-SHIRT</t>
  </si>
  <si>
    <t>HR36C</t>
  </si>
  <si>
    <t>SS T-SHIRT BATMAN LOGO TENGAH FP TIEDYE C HR36C:CLASSIC YELL:7-8:GRAPHIC:SS T-SHIRT</t>
  </si>
  <si>
    <t>SS T-SHIRT BATMAN LOGO TENGAH FP TIEDYE C HR36C:CLASSIC YELL:9-10:GRAPHIC:SS T-SHIRT</t>
  </si>
  <si>
    <t>SS T-SHIRT BATMAN LOGO TENGAH FP TIEDYE C HR36C:CLASSIC YELL:11-12:GRAPHIC:SS T-SHIRT</t>
  </si>
  <si>
    <t>SS T-SHIRT BATMAN LOGO TENGAH FP TIEDYE C HR36C:CLASSIC YELL:13-14:GRAPHIC:SS T-SHIRT</t>
  </si>
  <si>
    <t>SS T-SHIRT BATMAN LOGO TENGAH FP TIEDYE C HR36C:CLASSIC YELL:15-16:GRAPHIC:SS T-SHIRT</t>
  </si>
  <si>
    <t>BMA32A</t>
  </si>
  <si>
    <t>SS T-SHIRT BATMAN DARK KNIGHT FLY A BMA32A:CLASSIC YELLO:3-4:GRAPHIC:SS T-SHIRT</t>
  </si>
  <si>
    <t>SS T-SHIRT BATMAN DARK KNIGHT FLY A BMA32A:CLASSIC YELLO:4-5:GRAPHIC:SS T-SHIRT</t>
  </si>
  <si>
    <t>SS T-SHIRT BATMAN DARK KNIGHT FLY A BMA32A:CLASSIC YELLO:5-6:GRAPHIC:SS T-SHIRT</t>
  </si>
  <si>
    <t>SS T-SHIRT BATMAN DARK KNIGHT FLY A BMA32A:CLASSIC YELLO:7-8:GRAPHIC:SS T-SHIRT</t>
  </si>
  <si>
    <t>SS T-SHIRT BATMAN DARK KNIGHT FLY A BMA32A:CLASSIC YELLO:9-10:GRAPHIC:SS T-SHIRT</t>
  </si>
  <si>
    <t>BMA36C</t>
  </si>
  <si>
    <t>SS T-SHIRT BATMAN DARK KNIGHT FLY C BMA36C:BLACK:7-8:GRAPHIC:SS T-SHIRT</t>
  </si>
  <si>
    <t>SS T-SHIRT BATMAN DARK KNIGHT FLY C BMA36C:BLACK:9-10:GRAPHIC:SS T-SHIRT</t>
  </si>
  <si>
    <t>SS T-SHIRT BATMAN DARK KNIGHT FLY C BMA36C:BLACK:11-12:GRAPHIC:SS T-SHIRT</t>
  </si>
  <si>
    <t>SS T-SHIRT BATMAN DARK KNIGHT FLY C BMA36C:BLACK:13-14:GRAPHIC:SS T-SHIRT</t>
  </si>
  <si>
    <t>SS T-SHIRT BATMAN DARK KNIGHT FLY C BMA36C:BLACK:15-16:GRAPHIC:SS T-SHIRT</t>
  </si>
  <si>
    <t>HR882C</t>
  </si>
  <si>
    <t>TS BATMAN LOGO TENGAH OMBRE LENGAN C HR882C:CLASSIC YELLOW:7-8:GRAPHIC:SS T-SHIRT</t>
  </si>
  <si>
    <t>TS BATMAN LOGO TENGAH OMBRE LENGAN C HR882C:CLASSIC YELLOW:9-10:GRAPHIC:SS T-SHIRT</t>
  </si>
  <si>
    <t>TS BATMAN LOGO TENGAH OMBRE LENGAN C HR882C:CLASSIC YELLOW:11-12:GRAPHIC:SS T-SHIRT</t>
  </si>
  <si>
    <t>TS BATMAN LOGO TENGAH OMBRE LENGAN C HR882C:CLASSIC YELLOW:13-14:GRAPHIC:SS T-SHIRT</t>
  </si>
  <si>
    <t>TS BATMAN LOGO TENGAH OMBRE LENGAN C HR882C:CLASSIC YELLOW:15-16:GRAPHIC:SS T-SHIRT</t>
  </si>
  <si>
    <t>HR883C</t>
  </si>
  <si>
    <t>TS BATMAN LOGO TENGAH SPLASH BAHU C HR883C:BLACK:7-8:GRAPHIC:SS T-SHIRT</t>
  </si>
  <si>
    <t>TS BATMAN LOGO TENGAH SPLASH BAHU C HR883C:BLACK:9-10:GRAPHIC:SS T-SHIRT</t>
  </si>
  <si>
    <t>TS BATMAN LOGO TENGAH SPLASH BAHU C HR883C:BLACK:11-12:GRAPHIC:SS T-SHIRT</t>
  </si>
  <si>
    <t>TS BATMAN LOGO TENGAH SPLASH BAHU C HR883C:BLACK:13-14:GRAPHIC:SS T-SHIRT</t>
  </si>
  <si>
    <t>TS BATMAN LOGO TENGAH SPLASH BAHU C HR883C:BLACK:15-16:GRAPHIC:SS T-SHIRT</t>
  </si>
  <si>
    <t>BMA21C</t>
  </si>
  <si>
    <t>TS BATMAN TULISAN TENGAH FP HALF C BMA21C:CLASSIC YELLOW:7-8:GRAPHIC:SS T-SHIRT</t>
  </si>
  <si>
    <t>TS BATMAN TULISAN TENGAH FP HALF C BMA21C:CLASSIC YELLOW:9-10:GRAPHIC:SS T-SHIRT</t>
  </si>
  <si>
    <t>TS BATMAN TULISAN TENGAH FP HALF C BMA21C:CLASSIC YELLOW:11-12:GRAPHIC:SS T-SHIRT</t>
  </si>
  <si>
    <t>TS BATMAN TULISAN TENGAH FP HALF C BMA21C:CLASSIC YELLOW:13-14:GRAPHIC:SS T-SHIRT</t>
  </si>
  <si>
    <t>TS BATMAN TULISAN TENGAH FP HALF C BMA21C:CLASSIC YELLOW:15-16:GRAPHIC:SS T-SHIRT</t>
  </si>
  <si>
    <t>BMA37A</t>
  </si>
  <si>
    <t>TS BATMAN FLY FULL BODY A BMA37A:MISTY MEDIUM GREY:3-4:GRAPHIC:SS T-SHIRT</t>
  </si>
  <si>
    <t>TS BATMAN FLY FULL BODY A BMA37A:MISTY MEDIUM GREY:4-5:GRAPHIC:SS T-SHIRT</t>
  </si>
  <si>
    <t>TS BATMAN FLY FULL BODY A BMA37A:MISTY MEDIUM GREY:5-6:GRAPHIC:SS T-SHIRT</t>
  </si>
  <si>
    <t>TS BATMAN FLY FULL BODY A BMA37A:MISTY MEDIUM GREY:7-8:GRAPHIC:SS T-SHIRT</t>
  </si>
  <si>
    <t>TS BATMAN FLY FULL BODY A BMA37A:MISTY MEDIUM GREY:9-10:GRAPHIC:SS T-SHIRT</t>
  </si>
  <si>
    <t>N025</t>
  </si>
  <si>
    <t>KOSTUM SUPERMAN SAYAP:CLASSIC BLUE:S</t>
  </si>
  <si>
    <t>KOSTUM SUPERMAN SAYAP:CLASSIC BLUE:M</t>
  </si>
  <si>
    <t>KOSTUM SUPERMAN SAYAP:CLASSIC BLUE:L</t>
  </si>
  <si>
    <t>KOSTUM SUPERMAN SAYAP:CLASSIC BLUE:XL</t>
  </si>
  <si>
    <t>KOSTUM SUPERMAN SAYAP:CLASSIC BLUE:XS</t>
  </si>
  <si>
    <t>HR318C</t>
  </si>
  <si>
    <t>TS SUPERMAN FP KANTONG C HR318C:MISTY MEDIUM GRE:7-8:PRINT:SS T-SHIRT</t>
  </si>
  <si>
    <t>TS SUPERMAN FP KANTONG C HR318C:MISTY MEDIUM GRE:11-12:PRINT:SS T-SHIRT</t>
  </si>
  <si>
    <t>TS SUPERMAN FP KANTONG C HR318C:MISTY MEDIUM GRE:13-14:PRINT:SS T-SHIRT</t>
  </si>
  <si>
    <t>TS SUPERMAN FP KANTONG C HR318C:MISTY MEDIUM GRE:15-16:PRINT:SS T-SHIRT</t>
  </si>
  <si>
    <t>TS SUPERMAN FP KANTONG C HR318C:MISTY MEDIUM GRE:9-10:PRINT:SS T-SHIRT</t>
  </si>
  <si>
    <t>SPTD3C</t>
  </si>
  <si>
    <t>TS SUPERMAN FP TD LOGO C SPTD3C:CLASSIC BLUE:7-8:PRINT:SS T-SHIRT</t>
  </si>
  <si>
    <t>TS SUPERMAN FP TD LOGO C SPTD3C:CLASSIC BLUE:9-10:PRINT:SS T-SHIRT</t>
  </si>
  <si>
    <t>TS SUPERMAN FP TD LOGO C SPTD3C:CLASSIC BLUE:11-12:PRINT:SS T-SHIRT</t>
  </si>
  <si>
    <t>TS SUPERMAN FP TD LOGO C SPTD3C:CLASSIC BLUE:13-14:PRINT:SS T-SHIRT</t>
  </si>
  <si>
    <t>TS SUPERMAN FP TD LOGO C SPTD3C:CLASSIC BLUE:15-16:PRINT:SS T-SHIRT</t>
  </si>
  <si>
    <t>HR15C</t>
  </si>
  <si>
    <t>SS T-SHIRT TS SUPERMAN FP LOGO C HR15C:BLACK:7-8:PRINT:SS T-SHIRT</t>
  </si>
  <si>
    <t>SS T-SHIRT TS SUPERMAN FP LOGO C HR15C:BLACK:9-10:PRINT:SS T-SHIRT</t>
  </si>
  <si>
    <t>SS T-SHIRT TS SUPERMAN FP LOGO C HR15C:BLACK:11-12:PRINT:SS T-SHIRT</t>
  </si>
  <si>
    <t>SS T-SHIRT TS SUPERMAN FP LOGO C HR15C:BLACK:13-14:PRINT:SS T-SHIRT</t>
  </si>
  <si>
    <t>SS T-SHIRT TS SUPERMAN FP LOGO C HR15C:BLACK:15-16:PRINT:SS T-SHIRT</t>
  </si>
  <si>
    <t>A13A</t>
  </si>
  <si>
    <t>TS SUPERMAN FP LOGO A A13A:WHITE:3-4:PRINT:SS T-SHIRT</t>
  </si>
  <si>
    <t>TS SUPERMAN FP LOGO A A13A:WHITE:4-5:PRINT:SS T-SHIRT</t>
  </si>
  <si>
    <t>TS SUPERMAN FP LOGO A A13A:WHITE:5-6:PRINT:SS T-SHIRT</t>
  </si>
  <si>
    <t>TS SUPERMAN FP LOGO A A13A:WHITE:7-8:PRINT:SS T-SHIRT</t>
  </si>
  <si>
    <t>TS SUPERMAN FP LOGO A A13A:WHITE:9-10:PRINT:SS T-SHIRT</t>
  </si>
  <si>
    <t>N025A</t>
  </si>
  <si>
    <t>COSTUME KOSTUM SUPERMAN SAYAP N025A:CLASSIC BLUE:3-4:GRAPHIC:COSTUME</t>
  </si>
  <si>
    <t>COSTUME KOSTUM SUPERMAN SAYAP N025A:CLASSIC BLUE:4-5:GRAPHIC:COSTUME</t>
  </si>
  <si>
    <t>COSTUME KOSTUM SUPERMAN SAYAP N025A:CLASSIC BLUE:5-6:GRAPHIC:COSTUME</t>
  </si>
  <si>
    <t>COSTUME KOSTUM SUPERMAN SAYAP N025A:CLASSIC BLUE:7-8:GRAPHIC:COSTUME</t>
  </si>
  <si>
    <t>COSTUME KOSTUM SUPERMAN SAYAP N025A:CLASSIC BLUE:9-10:GRAPHIC:COSTUME</t>
  </si>
  <si>
    <t>A14A</t>
  </si>
  <si>
    <t>SS T-SHIRT TS SUPERMAN FP TULISAN LOGO A A14A:MISTY MEDIUM:3-4:PRINT:SS T-SHIRT</t>
  </si>
  <si>
    <t>SS T-SHIRT TS SUPERMAN FP TULISAN LOGO A A14A:MISTY MEDIUM:4-5:PRINT:SS T-SHIRT</t>
  </si>
  <si>
    <t>SS T-SHIRT TS SUPERMAN FP TULISAN LOGO A A14A:MISTY MEDIUM:5-6:PRINT:SS T-SHIRT</t>
  </si>
  <si>
    <t>SS T-SHIRT TS SUPERMAN FP TULISAN LOGO A A14A:MISTY MEDIUM:7-8:PRINT:SS T-SHIRT</t>
  </si>
  <si>
    <t>SS T-SHIRT TS SUPERMAN FP TULISAN LOGO A A14A:MISTY MEDIUM:9-10:PRINT:SS T-SHIRT</t>
  </si>
  <si>
    <t>HR876A</t>
  </si>
  <si>
    <t>SS T-SHIRT TS SUPERMAN LOGO LGN RIBBON A HR876A:CLASSIC RED:3-4:GRAPHIC:SS T-SHIRT</t>
  </si>
  <si>
    <t>SS T-SHIRT TS SUPERMAN LOGO LGN RIBBON A HR876A:CLASSIC RED:4-5:GRAPHIC:SS T-SHIRT</t>
  </si>
  <si>
    <t>SS T-SHIRT TS SUPERMAN LOGO LGN RIBBON A HR876A:CLASSIC RED:5-6:GRAPHIC:SS T-SHIRT</t>
  </si>
  <si>
    <t>SS T-SHIRT TS SUPERMAN LOGO LGN RIBBON A HR876A:CLASSIC RED:7-8:GRAPHIC:SS T-SHIRT</t>
  </si>
  <si>
    <t>SS T-SHIRT TS SUPERMAN LOGO LGN RIBBON A HR876A:CLASSIC RED:9-10:GRAPHIC:SS T-SHIRT</t>
  </si>
  <si>
    <t>HR877C</t>
  </si>
  <si>
    <t>SS T-SHIRT TS SUPERMAN LOGO KOMB RIBBON C HR877C:NAVY BLUE:7-8:GRAPHIC:SS T-SHIRT</t>
  </si>
  <si>
    <t>SS T-SHIRT TS SUPERMAN LOGO KOMB RIBBON C HR877C:NAVY BLUE:9-10:GRAPHIC:SS T-SHIRT</t>
  </si>
  <si>
    <t>SS T-SHIRT TS SUPERMAN LOGO KOMB RIBBON C HR877C:NAVY BLUE:11-12:GRAPHIC:SS T-SHIRT</t>
  </si>
  <si>
    <t>SS T-SHIRT TS SUPERMAN LOGO KOMB RIBBON C HR877C:NAVY BLUE:13-14:GRAPHIC:SS T-SHIRT</t>
  </si>
  <si>
    <t>SS T-SHIRT TS SUPERMAN LOGO KOMB RIBBON C HR877C:NAVY BLUE:15-16:GRAPHIC:SS T-SHIRT</t>
  </si>
  <si>
    <t>A49A</t>
  </si>
  <si>
    <t>SS T-SHIRT TS SUPERMAN LOGO LGN GARIS A A49A:MISTY MEDIUM:3-4:GRAPHIC:SS T-SHIRT</t>
  </si>
  <si>
    <t>SS T-SHIRT TS SUPERMAN LOGO LGN GARIS A A49A:MISTY MEDIUM:4-5:GRAPHIC:SS T-SHIRT</t>
  </si>
  <si>
    <t>SS T-SHIRT TS SUPERMAN LOGO LGN GARIS A A49A:MISTY MEDIUM:5-6:GRAPHIC:SS T-SHIRT</t>
  </si>
  <si>
    <t>SS T-SHIRT TS SUPERMAN LOGO LGN GARIS A A49A:MISTY MEDIUM:7-8:GRAPHIC:SS T-SHIRT</t>
  </si>
  <si>
    <t>SS T-SHIRT TS SUPERMAN LOGO LGN GARIS A A49A:MISTY MEDIUM:9-10:GRAPHIC:SS T-SHIRT</t>
  </si>
  <si>
    <t>A48A</t>
  </si>
  <si>
    <t>SS T-SHIRT TS SUPERMAN FLY ABOVE WING A A48A:WHITE:3-4:GRAPHIC:SS T-SHIRT</t>
  </si>
  <si>
    <t>SS T-SHIRT TS SUPERMAN FLY ABOVE WING A A48A:WHITE:4-5:GRAPHIC:SS T-SHIRT</t>
  </si>
  <si>
    <t>SS T-SHIRT TS SUPERMAN FLY ABOVE WING A A48A:WHITE:5-6:GRAPHIC:SS T-SHIRT</t>
  </si>
  <si>
    <t>SS T-SHIRT TS SUPERMAN FLY ABOVE WING A A48A:WHITE:7-8:GRAPHIC:SS T-SHIRT</t>
  </si>
  <si>
    <t>SS T-SHIRT TS SUPERMAN FLY ABOVE WING A A48A:WHITE:9-10:GRAPHIC:SS T-SHIRT</t>
  </si>
  <si>
    <t>HR41A</t>
  </si>
  <si>
    <t>SS T-SHIRT SUPERMAN  FLY SPLASH BAHU A HR41A:NAVY BLUE:3-4:GRAPHIC:SS T-SHIRT</t>
  </si>
  <si>
    <t>SS T-SHIRT SUPERMAN  FLY SPLASH BAHU A HR41A:NAVY BLUE:4-5:GRAPHIC:SS T-SHIRT</t>
  </si>
  <si>
    <t>SS T-SHIRT SUPERMAN  FLY SPLASH BAHU A HR41A:NAVY BLUE:5-6:GRAPHIC:SS T-SHIRT</t>
  </si>
  <si>
    <t>SS T-SHIRT SUPERMAN  FLY SPLASH BAHU A HR41A:NAVY BLUE:7-8:GRAPHIC:SS T-SHIRT</t>
  </si>
  <si>
    <t>SS T-SHIRT SUPERMAN  FLY SPLASH BAHU A HR41A:NAVY BLUE:9-10:GRAPHIC:SS T-SHIRT</t>
  </si>
  <si>
    <t>A47C</t>
  </si>
  <si>
    <t>SS T-SHIRT SUPERMAN LOGO KOMB LIS LGN C A47C:NAVY BLUE:7-8:GRAPHIC:SS T-SHIRT</t>
  </si>
  <si>
    <t>SS T-SHIRT SUPERMAN LOGO KOMB LIS LGN C A47C:NAVY BLUE:9-10:GRAPHIC:SS T-SHIRT</t>
  </si>
  <si>
    <t>SS T-SHIRT SUPERMAN LOGO KOMB LIS LGN C A47C:NAVY BLUE:11-12:GRAPHIC:SS T-SHIRT</t>
  </si>
  <si>
    <t>SS T-SHIRT SUPERMAN LOGO KOMB LIS LGN C A47C:NAVY BLUE:13-14:GRAPHIC:SS T-SHIRT</t>
  </si>
  <si>
    <t>SS T-SHIRT SUPERMAN LOGO KOMB LIS LGN C A47C:NAVY BLUE:15-16:GRAPHIC:SS T-SHIRT</t>
  </si>
  <si>
    <t>N166C</t>
  </si>
  <si>
    <t>TS SUPERMAN FP LOGO TENGAH C N166C:WHITE:7-8:GRAPHIC:SS T-SHIRT</t>
  </si>
  <si>
    <t>TS SUPERMAN FP LOGO TENGAH C N166C:WHITE:9-10:GRAPHIC:SS T-SHIRT</t>
  </si>
  <si>
    <t>TS SUPERMAN FP LOGO TENGAH C N166C:WHITE:11-12:GRAPHIC:SS T-SHIRT</t>
  </si>
  <si>
    <t>TS SUPERMAN FP LOGO TENGAH C N166C:WHITE:13-14:GRAPHIC:SS T-SHIRT</t>
  </si>
  <si>
    <t>TS SUPERMAN FP LOGO TENGAH C N166C:WHITE:15-16:GRAPHIC:SS T-SHIRT</t>
  </si>
  <si>
    <t>SMA79A</t>
  </si>
  <si>
    <t>TS SUPERMAN FACE KOTAK A SMA79A:NAVY BLUE:3-4:GRAPHIC:SS T-SHIRT</t>
  </si>
  <si>
    <t>TS SUPERMAN FACE KOTAK A SMA79A:NAVY BLUE:4-5:GRAPHIC:SS T-SHIRT</t>
  </si>
  <si>
    <t>TS SUPERMAN FACE KOTAK A SMA79A:NAVY BLUE:5-6:GRAPHIC:SS T-SHIRT</t>
  </si>
  <si>
    <t>TS SUPERMAN FACE KOTAK A SMA79A:NAVY BLUE:7-8:GRAPHIC:SS T-SHIRT</t>
  </si>
  <si>
    <t>TS SUPERMAN FACE KOTAK A SMA79A:NAVY BLUE:9-10:GRAPHIC:SS T-SHIRT</t>
  </si>
  <si>
    <t>HR48A</t>
  </si>
  <si>
    <t>TS SUPERMAN LENGAN RIBBON A HR48A:CLASSIC RED:3-4:GRAPHIC:SS T-SHIRT</t>
  </si>
  <si>
    <t>TS SUPERMAN LENGAN RIBBON A HR48A:CLASSIC RED:4-5:GRAPHIC:SS T-SHIRT</t>
  </si>
  <si>
    <t>TS SUPERMAN LENGAN RIBBON A HR48A:CLASSIC RED:5-6:GRAPHIC:SS T-SHIRT</t>
  </si>
  <si>
    <t>TS SUPERMAN LENGAN RIBBON A HR48A:CLASSIC RED:7-8:GRAPHIC:SS T-SHIRT</t>
  </si>
  <si>
    <t>TS SUPERMAN LENGAN RIBBON A HR48A:CLASSIC RED:9-10:GRAPHIC:SS T-SHIRT</t>
  </si>
  <si>
    <t>A44C</t>
  </si>
  <si>
    <t>TS SUPERMAN FP TD LOGO C A44C:WHITE:7-8:GRAPHIC:SS T-SHIRT</t>
  </si>
  <si>
    <t>TS SUPERMAN FP TD LOGO C A44C:WHITE:9-10:GRAPHIC:SS T-SHIRT</t>
  </si>
  <si>
    <t>TS SUPERMAN FP TD LOGO C A44C:WHITE:11-12:GRAPHIC:SS T-SHIRT</t>
  </si>
  <si>
    <t>TS SUPERMAN FP TD LOGO C A44C:WHITE:13-14:GRAPHIC:SS T-SHIRT</t>
  </si>
  <si>
    <t>TS SUPERMAN FP TD LOGO C A44C:WHITE:15-16:GRAPHIC:SS T-SHIRT</t>
  </si>
  <si>
    <t>HRN006C</t>
  </si>
  <si>
    <t>TS  HARRY POTTER  LOGO KANTONG C HRN006C:MISTY MEDIUM G:7-8:GRAPHIC:SS T-SHIRT</t>
  </si>
  <si>
    <t>TS  HARRY POTTER  LOGO KANTONG C HRN006C:MISTY MEDIUM G:9-10:GRAPHIC:SS T-SHIRT</t>
  </si>
  <si>
    <t>TS  HARRY POTTER  LOGO KANTONG C HRN006C:MISTY MEDIUM G:11-12:GRAPHIC:SS T-SHIRT</t>
  </si>
  <si>
    <t>TS  HARRY POTTER  LOGO KANTONG C HRN006C:MISTY MEDIUM G:13-14:GRAPHIC:SS T-SHIRT</t>
  </si>
  <si>
    <t>TS  HARRY POTTER  LOGO KANTONG C HRN006C:MISTY MEDIUM G:15-16:GRAPHIC:SS T-SHIRT</t>
  </si>
  <si>
    <t>HPN001C</t>
  </si>
  <si>
    <t>TS  HARRY POTTER MOVIE 1 POSTER C HPN001C:BLACK:7-8:GRAPHIC:SS T-SHIRT</t>
  </si>
  <si>
    <t>TS  HARRY POTTER MOVIE 1 POSTER C HPN001C:BLACK:9-10:GRAPHIC:SS T-SHIRT</t>
  </si>
  <si>
    <t>TS  HARRY POTTER MOVIE 1 POSTER C HPN001C:BLACK:13-14:GRAPHIC:SS T-SHIRT</t>
  </si>
  <si>
    <t>TS  HARRY POTTER MOVIE 1 POSTER C HPN001C:BLACK:15-16:GRAPHIC:SS T-SHIRT</t>
  </si>
  <si>
    <t>HR404C</t>
  </si>
  <si>
    <t>TS  HARRY POTTER FP HOGWARTS C HR404C:MISTY MEDIUM G:7-8:PRINT:SS T-SHIRT</t>
  </si>
  <si>
    <t>TS  HARRY POTTER FP HOGWARTS C HR404C:MISTY MEDIUM G:9-10:PRINT:SS T-SHIRT</t>
  </si>
  <si>
    <t>TS  HARRY POTTER FP HOGWARTS C HR404C:MISTY MEDIUM G:13-14:PRINT:SS T-SHIRT</t>
  </si>
  <si>
    <t>HPA01C</t>
  </si>
  <si>
    <t>TS  HARRY POTTER FP SPLASH FACE C HPA01C:BLACK:7-8:PRINT:SS T-SHIRT</t>
  </si>
  <si>
    <t>TS  HARRY POTTER FP SPLASH FACE C HPA01C:BLACK:9-10:PRINT:SS T-SHIRT</t>
  </si>
  <si>
    <t>TS  HARRY POTTER FP SPLASH FACE C HPA01C:BLACK:11-12:PRINT:SS T-SHIRT</t>
  </si>
  <si>
    <t>TS  HARRY POTTER FP SPLASH FACE C HPA01C:BLACK:13-14:PRINT:SS T-SHIRT</t>
  </si>
  <si>
    <t>TS  HARRY POTTER FP SPLASH FACE C HPA01C:BLACK:15-16:PRINT:SS T-SHIRT</t>
  </si>
  <si>
    <t>HR402C</t>
  </si>
  <si>
    <t>TS  HARRY POTTER FP TD LOGO C HR402C:CLASSIC YELLOW:7-8:PRINT:SS T-SHIRT</t>
  </si>
  <si>
    <t>TS  HARRY POTTER FP TD LOGO C HR402C:CLASSIC YELLOW:9-10:PRINT:SS T-SHIRT</t>
  </si>
  <si>
    <t>TS  HARRY POTTER FP TD LOGO C HR402C:CLASSIC YELLOW:11-12:PRINT:SS T-SHIRT</t>
  </si>
  <si>
    <t>TS  HARRY POTTER FP TD LOGO C HR402C:CLASSIC YELLOW:13-14:PRINT:SS T-SHIRT</t>
  </si>
  <si>
    <t>TS  HARRY POTTER FP TD LOGO C HR402C:CLASSIC YELLOW:15-16:PRINT:SS T-SHIRT</t>
  </si>
  <si>
    <t>HPN003C</t>
  </si>
  <si>
    <t>TS  HARRY POTTER FP KONTRAST C HPN003C:CLASSIC BLUE:7-8:OMBRE:SS T-SHIRT</t>
  </si>
  <si>
    <t>TS  HARRY POTTER FP KONTRAST C HPN003C:CLASSIC BLUE:9-10:OMBRE:SS T-SHIRT</t>
  </si>
  <si>
    <t>TS  HARRY POTTER FP KONTRAST C HPN003C:CLASSIC BLUE:11-12:OMBRE:SS T-SHIRT</t>
  </si>
  <si>
    <t>TS  HARRY POTTER FP KONTRAST C HPN003C:CLASSIC BLUE:13-14:OMBRE:SS T-SHIRT</t>
  </si>
  <si>
    <t>TS  HARRY POTTER FP KONTRAST C HPN003C:CLASSIC BLUE:15-16:OMBRE:SS T-SHIRT</t>
  </si>
  <si>
    <t>HP850C</t>
  </si>
  <si>
    <t>TS  HARRY POTTER GRIFFINDOR FP TD C HP850C:NAVY BLUE:7-8:GRAPHIC:SS T-SHIRT</t>
  </si>
  <si>
    <t>TS  HARRY POTTER GRIFFINDOR FP TD C HP850C:NAVY BLUE:9-10:GRAPHIC:SS T-SHIRT</t>
  </si>
  <si>
    <t>TS  HARRY POTTER GRIFFINDOR FP TD C HP850C:NAVY BLUE:11-12:GRAPHIC:SS T-SHIRT</t>
  </si>
  <si>
    <t>TS  HARRY POTTER GRIFFINDOR FP TD C HP850C:NAVY BLUE:13-14:GRAPHIC:SS T-SHIRT</t>
  </si>
  <si>
    <t>TS  HARRY POTTER GRIFFINDOR FP TD C HP850C:NAVY BLUE:15-16:GRAPHIC:SS T-SHIRT</t>
  </si>
  <si>
    <t>LT019C</t>
  </si>
  <si>
    <t>T-SHIRT LOONEY TOONS BUGS FACE POCKET C LT019C:BLACK:7-8:GRAPHIC:SS T-SHIRT</t>
  </si>
  <si>
    <t>T-SHIRT LOONEY TOONS BUGS FACE POCKET C LT019C:BLACK:9-10:GRAPHIC:SS T-SHIRT</t>
  </si>
  <si>
    <t>T-SHIRT LOONEY TOONS BUGS FACE POCKET C LT019C:BLACK:11-12:GRAPHIC:SS T-SHIRT</t>
  </si>
  <si>
    <t>T-SHIRT LOONEY TOONS BUGS FACE POCKET C LT019C:BLACK:13-14:GRAPHIC:SS T-SHIRT</t>
  </si>
  <si>
    <t>T-SHIRT LOONEY TOONS BUGS FACE POCKET C LT019C:BLACK:15-16:GRAPHIC:SS T-SHIRT</t>
  </si>
  <si>
    <t>LT015C</t>
  </si>
  <si>
    <t>T-SHIRT LOONEY TOONS FP TD TEAM JUMP C LT015C:WHITE:7-8:GRAPHIC:SS T-SHIRT</t>
  </si>
  <si>
    <t>T-SHIRT LOONEY TOONS FP TD TEAM JUMP C LT015C:WHITE:9-10:GRAPHIC:SS T-SHIRT</t>
  </si>
  <si>
    <t>T-SHIRT LOONEY TOONS FP TD TEAM JUMP C LT015C:WHITE:11-12:GRAPHIC:SS T-SHIRT</t>
  </si>
  <si>
    <t>T-SHIRT LOONEY TOONS FP TD TEAM JUMP C LT015C:WHITE:13-14:GRAPHIC:SS T-SHIRT</t>
  </si>
  <si>
    <t>T-SHIRT LOONEY TOONS FP TD TEAM JUMP C LT015C:WHITE:15-16:GRAPHIC:SS T-SHIRT</t>
  </si>
  <si>
    <t>LT08A</t>
  </si>
  <si>
    <t>TS LOONEY TOONS DAFFY N FRIENDS A LT08A:CLASSIC RED:3-4:GRAPHIC:SS T-SHIRT</t>
  </si>
  <si>
    <t>TS LOONEY TOONS DAFFY N FRIENDS A LT08A:CLASSIC RED:4-5:GRAPHIC:SS T-SHIRT</t>
  </si>
  <si>
    <t>TS LOONEY TOONS DAFFY N FRIENDS A LT08A:CLASSIC RED:5-6:GRAPHIC:SS T-SHIRT</t>
  </si>
  <si>
    <t>TS LOONEY TOONS DAFFY N FRIENDS A LT08A:CLASSIC RED:9-10:GRAPHIC:SS T-SHIRT</t>
  </si>
  <si>
    <t>LT037B</t>
  </si>
  <si>
    <t>TS LOONEY TOONS CNY BUGS B LT037B:CLASSIC YELLOW:5-6:GRAPHIC:SS T-SHIRT</t>
  </si>
  <si>
    <t>TS LOONEY TOONS CNY BUGS B LT037B:CLASSIC YELLOW:7-8:GRAPHIC:SS T-SHIRT</t>
  </si>
  <si>
    <t>TS LOONEY TOONS CNY BUGS B LT037B:CLASSIC YELLOW:9-10:GRAPHIC:SS T-SHIRT</t>
  </si>
  <si>
    <t>TS LOONEY TOONS CNY BUGS B LT037B:CLASSIC YELLOW:11-12:GRAPHIC:SS T-SHIRT</t>
  </si>
  <si>
    <t>LT035B</t>
  </si>
  <si>
    <t>TS LOONEY TOONS CNY GREETINGS B LT035B:WHITE:5-6:GRAPHIC:SS T-SHIRT</t>
  </si>
  <si>
    <t>TS LOONEY TOONS CNY GREETINGS B LT035B:WHITE:7-8:GRAPHIC:SS T-SHIRT</t>
  </si>
  <si>
    <t>TS LOONEY TOONS CNY GREETINGS B LT035B:WHITE:9-10:GRAPHIC:SS T-SHIRT</t>
  </si>
  <si>
    <t>TS LOONEY TOONS CNY GREETINGS B LT035B:WHITE:11-12:GRAPHIC:SS T-SHIRT</t>
  </si>
  <si>
    <t>LT034B</t>
  </si>
  <si>
    <t>TS LOONEY TOONS CNY BUGS GREETINGS B LT034B:CLASSIC RED:5-6:GRAPHIC:SS T-SHIRT</t>
  </si>
  <si>
    <t>TS LOONEY TOONS CNY BUGS GREETINGS B LT034B:CLASSIC RED:11-12:GRAPHIC:SS T-SHIRT</t>
  </si>
  <si>
    <t>LT036B</t>
  </si>
  <si>
    <t>TS LOONEY TOONS CNY YEAR RABBIT TEAMS B LT036B:WHITE:5-6:PRINT:SS T-SHIRT</t>
  </si>
  <si>
    <t>TS LOONEY TOONS CNY YEAR RABBIT TEAMS B LT036B:WHITE:7-8:PRINT:SS T-SHIRT</t>
  </si>
  <si>
    <t>TS LOONEY TOONS CNY YEAR RABBIT TEAMS B LT036B:WHITE:9-10:PRINT:SS T-SHIRT</t>
  </si>
  <si>
    <t>TS LOONEY TOONS CNY YEAR RABBIT TEAMS B LT036B:WHITE:11-12:PRINT:SS T-SHIRT</t>
  </si>
  <si>
    <t>LT07A</t>
  </si>
  <si>
    <t>TS LOONEY TOONS WHATSUP DOC A LT07A:CLASSIC RED:3-4:GRAPHIC:SS T-SHIRT</t>
  </si>
  <si>
    <t>TS LOONEY TOONS WHATSUP DOC A LT07A:CLASSIC RED:4-5:GRAPHIC:SS T-SHIRT</t>
  </si>
  <si>
    <t>TS LOONEY TOONS WHATSUP DOC A LT07A:CLASSIC RED:5-6:GRAPHIC:SS T-SHIRT</t>
  </si>
  <si>
    <t>TS LOONEY TOONS WHATSUP DOC A LT07A:CLASSIC RED:7-8:GRAPHIC:SS T-SHIRT</t>
  </si>
  <si>
    <t>TS LOONEY TOONS WHATSUP DOC A LT07A:CLASSIC RED:9-10:GRAPHIC:SS T-SHIRT</t>
  </si>
  <si>
    <t>LT013A</t>
  </si>
  <si>
    <t>TS LOONEY TOONS BUGS N FRIENDS KOMB BAHU A LT013A:CLASSIC RED:3-4:GRAPHIC:SS T-SHIRT</t>
  </si>
  <si>
    <t>TS LOONEY TOONS BUGS N FRIENDS KOMB BAHU A LT013A:CLASSIC RED:4-5:GRAPHIC:SS T-SHIRT</t>
  </si>
  <si>
    <t>TS LOONEY TOONS BUGS N FRIENDS KOMB BAHU A LT013A:CLASSIC RED:5-6:GRAPHIC:SS T-SHIRT</t>
  </si>
  <si>
    <t>TS LOONEY TOONS BUGS N FRIENDS KOMB BAHU A LT013A:CLASSIC RED:7-8:GRAPHIC:SS T-SHIRT</t>
  </si>
  <si>
    <t>TS LOONEY TOONS BUGS N FRIENDS KOMB BAHU A LT013A:CLASSIC RED:9-10:GRAPHIC:SS T-SHIRT</t>
  </si>
  <si>
    <t>LT033B</t>
  </si>
  <si>
    <t>TS LOONEY TOONS CNY YEAR RABBIT B LT033B:CLASSIC RED:5-6:GRAPHIC:SS T-SHIRT</t>
  </si>
  <si>
    <t>TS LOONEY TOONS CNY YEAR RABBIT B LT033B:CLASSIC RED:7-8:GRAPHIC:SS T-SHIRT</t>
  </si>
  <si>
    <t>TS LOONEY TOONS CNY YEAR RABBIT B LT033B:CLASSIC RED:9-10:GRAPHIC:SS T-SHIRT</t>
  </si>
  <si>
    <t>TS LOONEY TOONS CNY YEAR RABBIT B LT033B:CLASSIC RED:11-12:GRAPHIC:SS T-SHIRT</t>
  </si>
  <si>
    <t>HRBT5A</t>
  </si>
  <si>
    <t>SWEATER BATMAN LOGO HOOD EAR RIBBON A:BLACK:5-6:GRAPHIC:SWEATSHIRT</t>
  </si>
  <si>
    <t>SWEATER BATMAN LOGO HOOD EAR RIBBON A:BLACK:7-8:GRAPHIC:SWEATSHIRT</t>
  </si>
  <si>
    <t>SWEATER BATMAN LOGO HOOD EAR RIBBON A:BLACK:9-10:GRAPHIC:SWEATSHIRT</t>
  </si>
  <si>
    <t>SWEATER BATMAN LOGO HOOD EAR RIBBON A:BLACK:3-4:GRAPHIC:SWEATSHIRT</t>
  </si>
  <si>
    <t>SWEATER BATMAN LOGO HOOD EAR RIBBON A:BLACK:4-5:GRAPHIC:SWEATSHIRT</t>
  </si>
  <si>
    <t>SWB02C</t>
  </si>
  <si>
    <t>SWEATER BATMAN MV HOOD LGN OMBRE C SWB02C:CLASSIC RED:9-10:OMBRE:SWEATSHIRT</t>
  </si>
  <si>
    <t>SWEATER BATMAN MV HOOD LGN OMBRE C SWB02C:CLASSIC RED:11-12:OMBRE:SWEATSHIRT</t>
  </si>
  <si>
    <t>SWB01C</t>
  </si>
  <si>
    <t>SWEATER BATMAN HOOD FP C SWB01C:BLACK:7-8:PRINT:SWEATSHIRT</t>
  </si>
  <si>
    <t>SWEATER BATMAN HOOD FP C SWB01C:BLACK:9-10:PRINT:SWEATSHIRT</t>
  </si>
  <si>
    <t>SWEATER BATMAN HOOD FP C SWB01C:BLACK:11-12:PRINT:SWEATSHIRT</t>
  </si>
  <si>
    <t>SWEATER BATMAN HOOD FP C SWB01C:BLACK:13-14:PRINT:SWEATSHIRT</t>
  </si>
  <si>
    <t>SWEATER BATMAN HOOD FP C SWB01C:BLACK:15-16:PRINT:SWEATSHIRT</t>
  </si>
  <si>
    <t>HRB06C</t>
  </si>
  <si>
    <t>SWEATER BATMAN HOOD FP LGN LOGO C HRB06C:BLACK:7-8:PRINT:SWEATER</t>
  </si>
  <si>
    <t>SWEATER BATMAN HOOD FP LGN LOGO C HRB06C:BLACK:9-10:PRINT:SWEATER</t>
  </si>
  <si>
    <t>SWEATER BATMAN HOOD FP LGN LOGO C HRB06C:BLACK:11-12:PRINT:SWEATER</t>
  </si>
  <si>
    <t>SWEATER BATMAN HOOD FP LGN LOGO C HRB06C:BLACK:13-14:PRINT:SWEATER</t>
  </si>
  <si>
    <t>SWEATER BATMAN HOOD FP LGN LOGO C HRB06C:BLACK:15-16:PRINT:SWEATER</t>
  </si>
  <si>
    <t>SWB087C</t>
  </si>
  <si>
    <t>SWEATER BATMAN LOGO OMBRE SWB087C:BLACK:9-10:GRAPHIC:SWEATER</t>
  </si>
  <si>
    <t>SWEATER BATMAN LOGO OMBRE SWB087C:BLACK:7-8:GRAPHIC:SWEATER</t>
  </si>
  <si>
    <t>SWEATER BATMAN LOGO OMBRE SWB087C:BLACK:11-12:GRAPHIC:SWEATER</t>
  </si>
  <si>
    <t>SWEATER BATMAN LOGO OMBRE SWB087C:BLACK:13-14:GRAPHIC:SWEATER</t>
  </si>
  <si>
    <t>SWEATER BATMAN LOGO OMBRE SWB087C:BLACK:15-16:GRAPHIC:SWEATER</t>
  </si>
  <si>
    <t>SWF68A</t>
  </si>
  <si>
    <t>SWEATER HOOD  BATMAN MOVIE FACE SAMPING A SWF68A:CLASSIC RED:3-4:TEXT:SWEATER</t>
  </si>
  <si>
    <t>SWEATER HOOD  BATMAN MOVIE FACE SAMPING A SWF68A:CLASSIC RED:4-5:TEXT:SWEATER</t>
  </si>
  <si>
    <t>SWEATER HOOD  BATMAN MOVIE FACE SAMPING A SWF68A:CLASSIC RED:5-6:TEXT:SWEATER</t>
  </si>
  <si>
    <t>SWEATER HOOD  BATMAN MOVIE FACE SAMPING A SWF68A:CLASSIC RED:7-8:TEXT:SWEATER</t>
  </si>
  <si>
    <t>SWEATER HOOD  BATMAN MOVIE FACE SAMPING A SWF68A:CLASSIC RED:9-10:TEXT:SWEATER</t>
  </si>
  <si>
    <t>HR884C</t>
  </si>
  <si>
    <t>SWEATER HOOD BATMAN LOGO LIS SAMPING C HR884C:MISTY MEDIUM GREY:7-8:GRAPHIC:SWEATER</t>
  </si>
  <si>
    <t>SWEATER HOOD BATMAN LOGO LIS SAMPING C HR884C:MISTY MEDIUM GREY:9-10:GRAPHIC:SWEATER</t>
  </si>
  <si>
    <t>SWEATER HOOD BATMAN LOGO LIS SAMPING C HR884C:MISTY MEDIUM GREY:11-12:GRAPHIC:SWEATER</t>
  </si>
  <si>
    <t>SWEATER HOOD BATMAN LOGO LIS SAMPING C HR884C:MISTY MEDIUM GREY:13-14:GRAPHIC:SWEATER</t>
  </si>
  <si>
    <t>SWEATER HOOD BATMAN LOGO LIS SAMPING C HR884C:MISTY MEDIUM GREY:15-16:GRAPHIC:SWEATER</t>
  </si>
  <si>
    <t>SWS01C</t>
  </si>
  <si>
    <t>SWEATER SUPERMAN HOOD KTG C SWS01C:NAVY BLUE:7-8:GRAPHIC:SWEATSHIRT</t>
  </si>
  <si>
    <t>SWEATER SUPERMAN HOOD KTG C SWS01C:NAVY BLUE:9-10:GRAPHIC:SWEATSHIRT</t>
  </si>
  <si>
    <t>SWEATER SUPERMAN HOOD KTG C SWS01C:NAVY BLUE:11-12:GRAPHIC:SWEATSHIRT</t>
  </si>
  <si>
    <t>SWEATER SUPERMAN HOOD KTG C SWS01C:NAVY BLUE:13-14:GRAPHIC:SWEATSHIRT</t>
  </si>
  <si>
    <t>SWEATER SUPERMAN HOOD KTG C SWS01C:NAVY BLUE:15-16:GRAPHIC:SWEATSHIRT</t>
  </si>
  <si>
    <t>SWF72C</t>
  </si>
  <si>
    <t>SWEATER HOOD SUPERMAN JUSTICE LOGO C SWF72C:CLASSIC BLUE:9-10:GRAPHIC:SWEATER</t>
  </si>
  <si>
    <t>SWEATER HOOD SUPERMAN JUSTICE LOGO C SWF72C:CLASSIC BLUE:7-8:GRAPHIC:SWEATER</t>
  </si>
  <si>
    <t>SWEATER HOOD SUPERMAN JUSTICE LOGO C SWF72C:CLASSIC BLUE:11-12:GRAPHIC:SWEATER</t>
  </si>
  <si>
    <t>SWEATER HOOD SUPERMAN JUSTICE LOGO C SWF72C:CLASSIC BLUE:13-14:GRAPHIC:SWEATER</t>
  </si>
  <si>
    <t>SWEATER HOOD SUPERMAN JUSTICE LOGO C SWF72C:CLASSIC BLUE:15-16:GRAPHIC:SWEATER</t>
  </si>
  <si>
    <t>HRN010C</t>
  </si>
  <si>
    <t>SWEATER HOOD HARRY POTTER C HRN010C:NAVY BLUE:7-8:TEXT:SWEATSHIRT</t>
  </si>
  <si>
    <t>SWEATER HOOD HARRY POTTER C HRN010C:NAVY BLUE:9-10:TEXT:SWEATSHIRT</t>
  </si>
  <si>
    <t>SWEATER HOOD HARRY POTTER C HRN010C:NAVY BLUE:11-12:TEXT:SWEATSHIRT</t>
  </si>
  <si>
    <t>SWEATER HOOD HARRY POTTER C HRN010C:NAVY BLUE:15-16:TEXT:SWEATSHIRT</t>
  </si>
  <si>
    <t>HPA20C</t>
  </si>
  <si>
    <t>SWEATER HARRY POTTER HOOD LOGO LIS LGN C HPA20C:MISTY MEDIUM GREY:7-8:GRAPHIC:SWEATER</t>
  </si>
  <si>
    <t>SWEATER HARRY POTTER HOOD LOGO LIS LGN C HPA20C:MISTY MEDIUM GREY:9-10:GRAPHIC:SWEATER</t>
  </si>
  <si>
    <t>SWEATER HARRY POTTER HOOD LOGO LIS LGN C HPA20C:MISTY MEDIUM GREY:11-12:GRAPHIC:SWEATER</t>
  </si>
  <si>
    <t>SWEATER HARRY POTTER HOOD LOGO LIS LGN C HPA20C:MISTY MEDIUM GREY:13-14:GRAPHIC:SWEATER</t>
  </si>
  <si>
    <t>SWEATER HARRY POTTER HOOD LOGO LIS LGN C HPA20C:MISTY MEDIUM GREY:15-16:GRAPHIC:SWEATER</t>
  </si>
  <si>
    <t>LTA20C</t>
  </si>
  <si>
    <t>SWEATER LOONEY TUNES HOOD LOGO LGN C LTA20C:NAVY BLUE:7-8:TEXT:SWEATER</t>
  </si>
  <si>
    <t>SWEATER LOONEY TUNES HOOD LOGO LGN C LTA20C:NAVY BLUE:9-10:TEXT:SWEATER</t>
  </si>
  <si>
    <t>SWEATER LOONEY TUNES HOOD LOGO LGN C LTA20C:NAVY BLUE:11-12:TEXT:SWEATER</t>
  </si>
  <si>
    <t>SWEATER LOONEY TUNES HOOD LOGO LGN C LTA20C:NAVY BLUE:13-14:TEXT:SWEATER</t>
  </si>
  <si>
    <t>HR887C</t>
  </si>
  <si>
    <t>CP KNIT BATMAN LOGO LIS BAWAH C HR887C:BLACK:7-8:GRAPHIC:SHORT PANTS</t>
  </si>
  <si>
    <t>CP KNIT BATMAN LOGO LIS BAWAH C HR887C:BLACK:9-10:GRAPHIC:SHORT PANTS</t>
  </si>
  <si>
    <t>CP KNIT BATMAN LOGO LIS BAWAH C HR887C:BLACK:11-12:GRAPHIC:SHORT PANTS</t>
  </si>
  <si>
    <t>CP KNIT BATMAN LOGO LIS BAWAH C HR887C:BLACK:13-14:GRAPHIC:SHORT PANTS</t>
  </si>
  <si>
    <t>CP KNIT BATMAN LOGO LIS BAWAH C HR887C:BLACK:15-16:GRAPHIC:SHORT PANTS</t>
  </si>
  <si>
    <t>HPCP1C</t>
  </si>
  <si>
    <t>CP KNIT HARRY POTTER C HPCP1C:BLACK:11-12:PRINT:SHORT PANTS</t>
  </si>
  <si>
    <t>CP KNIT HARRY POTTER C HPCP1C:BLACK:13-14:PRINT:SHORT PANTS</t>
  </si>
  <si>
    <t>CP KNIT HARRY POTTER C HPCP1C:BLACK:15-16:PRINT:SHORT PANTS</t>
  </si>
  <si>
    <t>HR886C</t>
  </si>
  <si>
    <t>JOGGER BATMAN  LOGO LIS SAMPING C HR886C:MISTY MEDIUM GREY:7-8:GRAPHIC:JOGGER</t>
  </si>
  <si>
    <t>JOGGER BATMAN  LOGO LIS SAMPING C HR886C:MISTY MEDIUM GREY:9-10:GRAPHIC:JOGGER</t>
  </si>
  <si>
    <t>JOGGER BATMAN  LOGO LIS SAMPING C HR886C:MISTY MEDIUM GREY:11-12:GRAPHIC:JOGGER</t>
  </si>
  <si>
    <t>JOGGER BATMAN  LOGO LIS SAMPING C HR886C:MISTY MEDIUM GREY:13-14:GRAPHIC:JOGGER</t>
  </si>
  <si>
    <t>JOGGER BATMAN  LOGO LIS SAMPING C HR886C:MISTY MEDIUM GREY:15-16:GRAPHIC:JOGGER</t>
  </si>
  <si>
    <t>BTM03</t>
  </si>
  <si>
    <t>TOPI BATMAN EAR 3D BTM03:BLACK:F:GRAPHIC:CAPS</t>
  </si>
  <si>
    <t>BTM01</t>
  </si>
  <si>
    <t>TOPI BATMAN HALF NET BTM01:BLACK:F:SOLID:CAPS</t>
  </si>
  <si>
    <t>BTM02</t>
  </si>
  <si>
    <t>CAP TOPI BATMAN FP KOMIK BTM02:BLACK:F:PRINT:CAPS</t>
  </si>
  <si>
    <t>BTM011</t>
  </si>
  <si>
    <t>TOPI BATMAN JARING FP BATS TULISAN BTM011:WHITE:F:GRAPHIC:CAPS</t>
  </si>
  <si>
    <t>STM01</t>
  </si>
  <si>
    <t>TOPI SUPERMAN CLASSIC STM01:CLASSIC BLUE:F:GRAPHIC:CAPS</t>
  </si>
  <si>
    <t>SPM03</t>
  </si>
  <si>
    <t>CAP TOPI SUPERMAN FP TULISAN SPM03:BLACK:F:GRAPHIC:CAPS</t>
  </si>
  <si>
    <t>SPM02</t>
  </si>
  <si>
    <t>CAP TOPI SUPERMAN FP KOMIK LOGO SPM02:WHITE:F:GRAPHIC:CAPS</t>
  </si>
  <si>
    <t>SPM066</t>
  </si>
  <si>
    <t>CAP TOPI SUPERMAN FP CAMOU SPM066:FROST GREY:F:GRAPHIC:CAPS</t>
  </si>
  <si>
    <t>TPHR5</t>
  </si>
  <si>
    <t>TOPI HARRY POTTER FP TD LOGO TPHR5:CHARCOAL:F:PRINT:CAPS</t>
  </si>
  <si>
    <t>TPHR1</t>
  </si>
  <si>
    <t>TOPI HARRY POTTER LOGO TPHR1:BLACK:F:GRAPHIC:CAPS</t>
  </si>
  <si>
    <t>B1G2</t>
  </si>
  <si>
    <t>KT-HN11A</t>
  </si>
  <si>
    <t>T-SHIRT BATMAN FP LOGO DARK KNIGHT A KT-HN11A:CLASSIC YELLOW:3-4:GRAPHIC:SS T-SHIRT</t>
  </si>
  <si>
    <t>T-SHIRT BATMAN FP LOGO DARK KNIGHT A KT-HN11A:CLASSIC YELLOW:4-5:GRAPHIC:SS T-SHIRT</t>
  </si>
  <si>
    <t>T-SHIRT BATMAN FP LOGO DARK KNIGHT A KT-HN11A:CLASSIC YELLOW:5-6:GRAPHIC:SS T-SHIRT</t>
  </si>
  <si>
    <t>T-SHIRT BATMAN FP LOGO DARK KNIGHT A KT-HN11A:CLASSIC YELLOW:7-8:GRAPHIC:SS T-SHIRT</t>
  </si>
  <si>
    <t>T-SHIRT BATMAN FP LOGO DARK KNIGHT A KT-HN11A:CLASSIC YELLOW:9-10:GRAPHIC:SS T-SHIRT</t>
  </si>
  <si>
    <t>BT-HN314A</t>
  </si>
  <si>
    <t>T-SHIRT BATMAN LIS LENGAN CITY A BT-HN314A:BLACK:3-4:GRAPHIC:SS T-SHIRT</t>
  </si>
  <si>
    <t>T-SHIRT BATMAN LIS LENGAN CITY A BT-HN314A:BLACK:4-5:GRAPHIC:SS T-SHIRT</t>
  </si>
  <si>
    <t>T-SHIRT BATMAN LIS LENGAN CITY A BT-HN314A:BLACK:5-6:GRAPHIC:SS T-SHIRT</t>
  </si>
  <si>
    <t>T-SHIRT BATMAN LIS LENGAN CITY A BT-HN314A:BLACK:7-8:GRAPHIC:SS T-SHIRT</t>
  </si>
  <si>
    <t>T-SHIRT BATMAN LIS LENGAN CITY A BT-HN314A:BLACK:9-10:GRAPHIC:SS T-SHIRT</t>
  </si>
  <si>
    <t>KT-HN19A</t>
  </si>
  <si>
    <t>T-SHIRT BATMAN JUMP CUT SEW A KT-HN19A:BLACK:3-4:GRAPHIC:SS T-SHIRT</t>
  </si>
  <si>
    <t>T-SHIRT BATMAN JUMP CUT SEW A KT-HN19A:BLACK:4-5:GRAPHIC:SS T-SHIRT</t>
  </si>
  <si>
    <t>T-SHIRT BATMAN JUMP CUT SEW A KT-HN19A:BLACK:5-6:GRAPHIC:SS T-SHIRT</t>
  </si>
  <si>
    <t>T-SHIRT BATMAN JUMP CUT SEW A KT-HN19A:BLACK:7-8:GRAPHIC:SS T-SHIRT</t>
  </si>
  <si>
    <t>T-SHIRT BATMAN JUMP CUT SEW A KT-HN19A:BLACK:9-10:GRAPHIC:SS T-SHIRT</t>
  </si>
  <si>
    <t>BT-HN10C</t>
  </si>
  <si>
    <t>T-SHIRT BATMAN DARK KNIGHT RED C BT-HN10C:BLACK:7-8:GRAPHIC:SS T-SHIRT</t>
  </si>
  <si>
    <t>T-SHIRT BATMAN DARK KNIGHT RED C BT-HN10C:BLACK:9-10:GRAPHIC:SS T-SHIRT</t>
  </si>
  <si>
    <t>T-SHIRT BATMAN DARK KNIGHT RED C BT-HN10C:BLACK:11-12:GRAPHIC:SS T-SHIRT</t>
  </si>
  <si>
    <t>T-SHIRT BATMAN DARK KNIGHT RED C BT-HN10C:BLACK:13-14:GRAPHIC:SS T-SHIRT</t>
  </si>
  <si>
    <t>T-SHIRT BATMAN DARK KNIGHT RED C BT-HN10C:BLACK:15-16:GRAPHIC:SS T-SHIRT</t>
  </si>
  <si>
    <t>KT-HN368C</t>
  </si>
  <si>
    <t>T-SHIRT BATMAN FP TD  LOGO TENGAH C KT-HN368C:BLACK:7-8:GRAPHIC:SS T-SHIRT</t>
  </si>
  <si>
    <t>T-SHIRT BATMAN FP TD  LOGO TENGAH C KT-HN368C:BLACK:9-10:GRAPHIC:SS T-SHIRT</t>
  </si>
  <si>
    <t>T-SHIRT BATMAN FP TD  LOGO TENGAH C KT-HN368C:BLACK:11-12:GRAPHIC:SS T-SHIRT</t>
  </si>
  <si>
    <t>T-SHIRT BATMAN FP TD  LOGO TENGAH C KT-HN368C:BLACK:13-14:GRAPHIC:SS T-SHIRT</t>
  </si>
  <si>
    <t>T-SHIRT BATMAN FP TD  LOGO TENGAH C KT-HN368C:BLACK:15-16:GRAPHIC:SS T-SHIRT</t>
  </si>
  <si>
    <t>BT-HN360C</t>
  </si>
  <si>
    <t>T-SHIRT BATMAN MOBILE LOGO LGN C BT-HN360C:MISTY DARK BLUE:7-8:GRAPHIC:SS T-SHIRT</t>
  </si>
  <si>
    <t>T-SHIRT BATMAN MOBILE LOGO LGN C BT-HN360C:MISTY DARK BLUE:9-10:GRAPHIC:SS T-SHIRT</t>
  </si>
  <si>
    <t>T-SHIRT BATMAN MOBILE LOGO LGN C BT-HN360C:MISTY DARK BLUE:11-12:GRAPHIC:SS T-SHIRT</t>
  </si>
  <si>
    <t>T-SHIRT BATMAN MOBILE LOGO LGN C BT-HN360C:MISTY DARK BLUE:13-14:GRAPHIC:SS T-SHIRT</t>
  </si>
  <si>
    <t>T-SHIRT BATMAN MOBILE LOGO LGN C BT-HN360C:MISTY DARK BLUE:15-16:GRAPHIC:SS T-SHIRT</t>
  </si>
  <si>
    <t>KT-HN3C</t>
  </si>
  <si>
    <t>T-SHIRT BATMAN CUT SEW YELLOW C KT-HN3C:BLACK:7-8:GRAPHIC:SS T-SHIRT</t>
  </si>
  <si>
    <t>T-SHIRT BATMAN CUT SEW YELLOW C KT-HN3C:BLACK:9-10:GRAPHIC:SS T-SHIRT</t>
  </si>
  <si>
    <t>T-SHIRT BATMAN CUT SEW YELLOW C KT-HN3C:BLACK:11-12:GRAPHIC:SS T-SHIRT</t>
  </si>
  <si>
    <t>T-SHIRT BATMAN CUT SEW YELLOW C KT-HN3C:BLACK:13-14:GRAPHIC:SS T-SHIRT</t>
  </si>
  <si>
    <t>T-SHIRT BATMAN CUT SEW YELLOW C KT-HN3C:BLACK:15-16:GRAPHIC:SS T-SHIRT</t>
  </si>
  <si>
    <t>BG-097A</t>
  </si>
  <si>
    <t>T-SHIRT BATMAN POSE PRINT BLKG A BG-097A:CLASSIC YELLOW:3-4:PRINT:SS T-SHIRT</t>
  </si>
  <si>
    <t>T-SHIRT BATMAN POSE PRINT BLKG A BG-097A:CLASSIC YELLOW:4-5:PRINT:SS T-SHIRT</t>
  </si>
  <si>
    <t>T-SHIRT BATMAN POSE PRINT BLKG A BG-097A:CLASSIC YELLOW:5-6:PRINT:SS T-SHIRT</t>
  </si>
  <si>
    <t>T-SHIRT BATMAN POSE PRINT BLKG A BG-097A:CLASSIC YELLOW:7-8:PRINT:SS T-SHIRT</t>
  </si>
  <si>
    <t>T-SHIRT BATMAN POSE PRINT BLKG A BG-097A:CLASSIC YELLOW:9-10:PRINT:SS T-SHIRT</t>
  </si>
  <si>
    <t>BT-HN13A</t>
  </si>
  <si>
    <t>T-SHIRT BATMAN LOGO LOGO LAYERING A BT-HN13A:BLACK:3-4:PRINT:SS T-SHIRT</t>
  </si>
  <si>
    <t>T-SHIRT BATMAN LOGO LOGO LAYERING A BT-HN13A:BLACK:4-5:PRINT:SS T-SHIRT</t>
  </si>
  <si>
    <t>T-SHIRT BATMAN LOGO LOGO LAYERING A BT-HN13A:BLACK:5-6:PRINT:SS T-SHIRT</t>
  </si>
  <si>
    <t>T-SHIRT BATMAN LOGO LOGO LAYERING A BT-HN13A:BLACK:7-8:PRINT:SS T-SHIRT</t>
  </si>
  <si>
    <t>T-SHIRT BATMAN LOGO LOGO LAYERING A BT-HN13A:BLACK:9-10:PRINT:SS T-SHIRT</t>
  </si>
  <si>
    <t>BT-HN15C</t>
  </si>
  <si>
    <t>T-SHIRT BATMAN GOTHAM CITY LIGHT-SHIRT C BT-HN15C:MISTY MEDIUM GREY:7-8:PRINT:SS T-SHIRT</t>
  </si>
  <si>
    <t>T-SHIRT BATMAN GOTHAM CITY LIGHT-SHIRT C BT-HN15C:MISTY MEDIUM GREY:9-10:PRINT:SS T-SHIRT</t>
  </si>
  <si>
    <t>T-SHIRT BATMAN GOTHAM CITY LIGHT-SHIRT C BT-HN15C:MISTY MEDIUM GREY:11-12:PRINT:SS T-SHIRT</t>
  </si>
  <si>
    <t>T-SHIRT BATMAN GOTHAM CITY LIGHT-SHIRT C BT-HN15C:MISTY MEDIUM GREY:13-14:PRINT:SS T-SHIRT</t>
  </si>
  <si>
    <t>T-SHIRT BATMAN GOTHAM CITY LIGHT-SHIRT C BT-HN15C:MISTY MEDIUM GREY:15-16:PRINT:SS T-SHIRT</t>
  </si>
  <si>
    <t>BT-HR315C</t>
  </si>
  <si>
    <t>T-SHIRT BATMAN DARK KNIGHT BODY C BT-HR315C:BLACK:7-8:PRINT:SS T-SHIRT</t>
  </si>
  <si>
    <t>T-SHIRT BATMAN DARK KNIGHT BODY C BT-HR315C:BLACK:9-10:PRINT:SS T-SHIRT</t>
  </si>
  <si>
    <t>T-SHIRT BATMAN DARK KNIGHT BODY C BT-HR315C:BLACK:11-12:PRINT:SS T-SHIRT</t>
  </si>
  <si>
    <t>T-SHIRT BATMAN DARK KNIGHT BODY C BT-HR315C:BLACK:13-14:PRINT:SS T-SHIRT</t>
  </si>
  <si>
    <t>T-SHIRT BATMAN DARK KNIGHT BODY C BT-HR315C:BLACK:15-16:PRINT:SS T-SHIRT</t>
  </si>
  <si>
    <t>BT-HN32C</t>
  </si>
  <si>
    <t>T-SHIRT BATMAN LOGO FOIL TENGAH C BT-HN32C:CLASSIC YELLOW:7-8:PRINT:SS T-SHIRT</t>
  </si>
  <si>
    <t>T-SHIRT BATMAN LOGO FOIL TENGAH C BT-HN32C:CLASSIC YELLOW:9-10:PRINT:SS T-SHIRT</t>
  </si>
  <si>
    <t>T-SHIRT BATMAN LOGO FOIL TENGAH C BT-HN32C:CLASSIC YELLOW:11-12:PRINT:SS T-SHIRT</t>
  </si>
  <si>
    <t>T-SHIRT BATMAN LOGO FOIL TENGAH C BT-HN32C:CLASSIC YELLOW:13-14:PRINT:SS T-SHIRT</t>
  </si>
  <si>
    <t>T-SHIRT BATMAN LOGO FOIL TENGAH C BT-HN32C:CLASSIC YELLOW:15-16:PRINT:SS T-SHIRT</t>
  </si>
  <si>
    <t>BT-HT330C</t>
  </si>
  <si>
    <t>T-SHIRT BATMAN TULISAN TENGAH LGN C BT-HT330C:CLASSIC YELLOW:5-6:PRINT:SS T-SHIRT</t>
  </si>
  <si>
    <t>T-SHIRT BATMAN TULISAN TENGAH LGN C BT-HT330C:CLASSIC YELLOW:7-8:PRINT:SS T-SHIRT</t>
  </si>
  <si>
    <t>T-SHIRT BATMAN TULISAN TENGAH LGN C BT-HT330C:CLASSIC YELLOW:9-10:PRINT:SS T-SHIRT</t>
  </si>
  <si>
    <t>T-SHIRT BATMAN TULISAN TENGAH LGN C BT-HT330C:CLASSIC YELLOW:11-12:PRINT:SS T-SHIRT</t>
  </si>
  <si>
    <t>T-SHIRT BATMAN TULISAN TENGAH LGN C BT-HT330C:CLASSIC YELLOW:13-14:PRINT:SS T-SHIRT</t>
  </si>
  <si>
    <t>BT-HR331C</t>
  </si>
  <si>
    <t>T-SHIRT BATMAN DARK KNIGHT BWH C BT-HR331C:BLACK:5-6:PRINT:SS T-SHIRT</t>
  </si>
  <si>
    <t>T-SHIRT BATMAN DARK KNIGHT BWH C BT-HR331C:BLACK:7-8:PRINT:SS T-SHIRT</t>
  </si>
  <si>
    <t>T-SHIRT BATMAN DARK KNIGHT BWH C BT-HR331C:BLACK:9-10:PRINT:SS T-SHIRT</t>
  </si>
  <si>
    <t>T-SHIRT BATMAN DARK KNIGHT BWH C BT-HR331C:BLACK:11-12:PRINT:SS T-SHIRT</t>
  </si>
  <si>
    <t>T-SHIRT BATMAN DARK KNIGHT BWH C BT-HR331C:BLACK:13-14:PRINT:SS T-SHIRT</t>
  </si>
  <si>
    <t>NC244A</t>
  </si>
  <si>
    <t>T-SHIRT BATMAN CLASSIC WING A NC244A:MISTY MEDIUM GREY:3-4:PRINT:COSTUME</t>
  </si>
  <si>
    <t>T-SHIRT BATMAN CLASSIC WING A NC244A:MISTY MEDIUM GREY:4-5:PRINT:COSTUME</t>
  </si>
  <si>
    <t>T-SHIRT BATMAN CLASSIC WING A NC244A:MISTY MEDIUM GREY:5-6:PRINT:COSTUME</t>
  </si>
  <si>
    <t>T-SHIRT BATMAN CLASSIC WING A NC244A:MISTY MEDIUM GREY:7-8:PRINT:COSTUME</t>
  </si>
  <si>
    <t>T-SHIRT BATMAN CLASSIC WING A NC244A:MISTY MEDIUM GREY:9-10:PRINT:COSTUME</t>
  </si>
  <si>
    <t>BT-HN6A</t>
  </si>
  <si>
    <t>T-SHIRT BATMAN ACTION DARK KNIGHT A BT-HN6A:MISTY MEDIUM BLUE:3-4:GRAPHIC:SS T-SHIRT</t>
  </si>
  <si>
    <t>T-SHIRT BATMAN ACTION DARK KNIGHT A BT-HN6A:MISTY MEDIUM BLUE:4-5:GRAPHIC:SS T-SHIRT</t>
  </si>
  <si>
    <t>T-SHIRT BATMAN ACTION DARK KNIGHT A BT-HN6A:MISTY MEDIUM BLUE:5-6:GRAPHIC:SS T-SHIRT</t>
  </si>
  <si>
    <t>T-SHIRT BATMAN ACTION DARK KNIGHT A BT-HN6A:MISTY MEDIUM BLUE:7-8:GRAPHIC:SS T-SHIRT</t>
  </si>
  <si>
    <t>T-SHIRT BATMAN ACTION DARK KNIGHT A BT-HN6A:MISTY MEDIUM BLUE:9-10:GRAPHIC:SS T-SHIRT</t>
  </si>
  <si>
    <t>BG-067A</t>
  </si>
  <si>
    <t>T-SHIRT BATMAN STANDING A BG-067A:MISTY LIGHT BLUE:3-4:PRINT:SS T-SHIRT</t>
  </si>
  <si>
    <t>T-SHIRT BATMAN STANDING A BG-067A:MISTY LIGHT BLUE:4-5:PRINT:SS T-SHIRT</t>
  </si>
  <si>
    <t>T-SHIRT BATMAN STANDING A BG-067A:MISTY LIGHT BLUE:5-6:PRINT:SS T-SHIRT</t>
  </si>
  <si>
    <t>T-SHIRT BATMAN STANDING A BG-067A:MISTY LIGHT BLUE:7-8:PRINT:SS T-SHIRT</t>
  </si>
  <si>
    <t>T-SHIRT BATMAN STANDING A BG-067A:MISTY LIGHT BLUE:9-10:PRINT:SS T-SHIRT</t>
  </si>
  <si>
    <t>BG-071C</t>
  </si>
  <si>
    <t>T-SHIRT BATMAN TULISAN FP MARBLE C BG-071C:WHITE:7-8:PRINT:SS T-SHIRT</t>
  </si>
  <si>
    <t>T-SHIRT BATMAN TULISAN FP MARBLE C BG-071C:WHITE:9-10:PRINT:SS T-SHIRT</t>
  </si>
  <si>
    <t>T-SHIRT BATMAN TULISAN FP MARBLE C BG-071C:WHITE:11-12:PRINT:SS T-SHIRT</t>
  </si>
  <si>
    <t>T-SHIRT BATMAN TULISAN FP MARBLE C BG-071C:WHITE:13-14:PRINT:SS T-SHIRT</t>
  </si>
  <si>
    <t>T-SHIRT BATMAN TULISAN FP MARBLE C BG-071C:WHITE:15-16:PRINT:SS T-SHIRT</t>
  </si>
  <si>
    <t>BG-072C</t>
  </si>
  <si>
    <t>T-SHIRT BATMAN FLY FP MARBLE C BG-072C:BLACK:7-8:PRINT:SS T-SHIRT</t>
  </si>
  <si>
    <t>T-SHIRT BATMAN FLY FP MARBLE C BG-072C:BLACK:9-10:PRINT:SS T-SHIRT</t>
  </si>
  <si>
    <t>T-SHIRT BATMAN FLY FP MARBLE C BG-072C:BLACK:11-12:PRINT:SS T-SHIRT</t>
  </si>
  <si>
    <t>T-SHIRT BATMAN FLY FP MARBLE C BG-072C:BLACK:13-14:PRINT:SS T-SHIRT</t>
  </si>
  <si>
    <t>T-SHIRT BATMAN FLY FP MARBLE C BG-072C:BLACK:15-16:PRINT:SS T-SHIRT</t>
  </si>
  <si>
    <t>BG-070C</t>
  </si>
  <si>
    <t>T-SHIRT BATMAN THE JOKER FP C BG-070C:NAVY BLUE:7-8:PRINT:SS T-SHIRT</t>
  </si>
  <si>
    <t>T-SHIRT BATMAN THE JOKER FP C BG-070C:NAVY BLUE:9-10:PRINT:SS T-SHIRT</t>
  </si>
  <si>
    <t>T-SHIRT BATMAN THE JOKER FP C BG-070C:NAVY BLUE:11-12:PRINT:SS T-SHIRT</t>
  </si>
  <si>
    <t>T-SHIRT BATMAN THE JOKER FP C BG-070C:NAVY BLUE:13-14:PRINT:SS T-SHIRT</t>
  </si>
  <si>
    <t>T-SHIRT BATMAN THE JOKER FP C BG-070C:NAVY BLUE:15-16:PRINT:SS T-SHIRT</t>
  </si>
  <si>
    <t>BG-068A</t>
  </si>
  <si>
    <t>T-SHIRT BATMAN JOKER A BG-068A:BLACK:3-4:PRINT:SS T-SHIRT</t>
  </si>
  <si>
    <t>T-SHIRT BATMAN JOKER A BG-068A:BLACK:4-5:PRINT:SS T-SHIRT</t>
  </si>
  <si>
    <t>T-SHIRT BATMAN JOKER A BG-068A:BLACK:5-6:PRINT:SS T-SHIRT</t>
  </si>
  <si>
    <t>T-SHIRT BATMAN JOKER A BG-068A:BLACK:7-8:PRINT:SS T-SHIRT</t>
  </si>
  <si>
    <t>T-SHIRT BATMAN JOKER A BG-068A:BLACK:9-10:PRINT:SS T-SHIRT</t>
  </si>
  <si>
    <t>BM-HN54A</t>
  </si>
  <si>
    <t>T-SHIRT BATMAN 85 BATMOBILE LIS LENGAN A BM-HN54A:CLASSIC YELLOW:3-4:PRINT:SS T-SHIRT</t>
  </si>
  <si>
    <t>T-SHIRT BATMAN 85 BATMOBILE LIS LENGAN A BM-HN54A:CLASSIC YELLOW:4-5:PRINT:SS T-SHIRT</t>
  </si>
  <si>
    <t>T-SHIRT BATMAN 85 BATMOBILE LIS LENGAN A BM-HN54A:CLASSIC YELLOW:5-6:PRINT:SS T-SHIRT</t>
  </si>
  <si>
    <t>T-SHIRT BATMAN 85 BATMOBILE LIS LENGAN A BM-HN54A:CLASSIC YELLOW:7-8:PRINT:SS T-SHIRT</t>
  </si>
  <si>
    <t>T-SHIRT BATMAN 85 BATMOBILE LIS LENGAN A BM-HN54A:CLASSIC YELLOW:9-10:PRINT:SS T-SHIRT</t>
  </si>
  <si>
    <t>BT-HN50A</t>
  </si>
  <si>
    <t>T-SHIRT BATMAN 85 LEGEND A BT-HN50A:MISTY LIGHT BLUE:3-4:PRINT:SS T-SHIRT</t>
  </si>
  <si>
    <t>T-SHIRT BATMAN 85 LEGEND A BT-HN50A:MISTY LIGHT BLUE:4-5:PRINT:SS T-SHIRT</t>
  </si>
  <si>
    <t>T-SHIRT BATMAN 85 LEGEND A BT-HN50A:MISTY LIGHT BLUE:5-6:PRINT:SS T-SHIRT</t>
  </si>
  <si>
    <t>T-SHIRT BATMAN 85 LEGEND A BT-HN50A:MISTY LIGHT BLUE:7-8:PRINT:SS T-SHIRT</t>
  </si>
  <si>
    <t>T-SHIRT BATMAN 85 LEGEND A BT-HN50A:MISTY LIGHT BLUE:9-10:PRINT:SS T-SHIRT</t>
  </si>
  <si>
    <t>BT-HT325A</t>
  </si>
  <si>
    <t>T-SHIRT BATMAN DARK KNIGHT KANTONG A BT-HT325A:CLASSIC YELLOW:3-4:PRINT:SS T-SHIRT</t>
  </si>
  <si>
    <t>T-SHIRT BATMAN DARK KNIGHT KANTONG A BT-HT325A:CLASSIC YELLOW:4-5:PRINT:SS T-SHIRT</t>
  </si>
  <si>
    <t>T-SHIRT BATMAN DARK KNIGHT KANTONG A BT-HT325A:CLASSIC YELLOW:5-6:PRINT:SS T-SHIRT</t>
  </si>
  <si>
    <t>T-SHIRT BATMAN DARK KNIGHT KANTONG A BT-HT325A:CLASSIC YELLOW:7-8:PRINT:SS T-SHIRT</t>
  </si>
  <si>
    <t>T-SHIRT BATMAN DARK KNIGHT KANTONG A BT-HT325A:CLASSIC YELLOW:9-10:PRINT:SS T-SHIRT</t>
  </si>
  <si>
    <t>A151A</t>
  </si>
  <si>
    <t>T-SHIRT SUPERMAN TULISAN BAWAH A A151A:NAVY BLUE:3-4:GRAPHIC:SS T-SHIRT</t>
  </si>
  <si>
    <t>T-SHIRT SUPERMAN TULISAN BAWAH A A151A:NAVY BLUE:4-5:GRAPHIC:SS T-SHIRT</t>
  </si>
  <si>
    <t>T-SHIRT SUPERMAN TULISAN BAWAH A A151A:NAVY BLUE:5-6:GRAPHIC:SS T-SHIRT</t>
  </si>
  <si>
    <t>T-SHIRT SUPERMAN TULISAN BAWAH A A151A:NAVY BLUE:7-8:GRAPHIC:SS T-SHIRT</t>
  </si>
  <si>
    <t>T-SHIRT SUPERMAN TULISAN BAWAH A A151A:NAVY BLUE:9-10:GRAPHIC:SS T-SHIRT</t>
  </si>
  <si>
    <t>A122A</t>
  </si>
  <si>
    <t>T-SHIRT SUPERMAN FLY CITY A A122A:WHITE:3-4:GRAPHIC:SS T-SHIRT</t>
  </si>
  <si>
    <t>T-SHIRT SUPERMAN FLY CITY A A122A:WHITE:4-5:GRAPHIC:SS T-SHIRT</t>
  </si>
  <si>
    <t>T-SHIRT SUPERMAN FLY CITY A A122A:WHITE:5-6:GRAPHIC:SS T-SHIRT</t>
  </si>
  <si>
    <t>T-SHIRT SUPERMAN FLY CITY A A122A:WHITE:7-8:GRAPHIC:SS T-SHIRT</t>
  </si>
  <si>
    <t>T-SHIRT SUPERMAN FLY CITY A A122A:WHITE:9-10:GRAPHIC:SS T-SHIRT</t>
  </si>
  <si>
    <t>A136A</t>
  </si>
  <si>
    <t>T-SHIRT SUPERMAN LOGO LIS TENGAH A A136A:NAVY BLUE:3-4:GRAPHIC:SS T-SHIRT</t>
  </si>
  <si>
    <t>T-SHIRT SUPERMAN LOGO LIS TENGAH A A136A:NAVY BLUE:4-5:GRAPHIC:SS T-SHIRT</t>
  </si>
  <si>
    <t>T-SHIRT SUPERMAN LOGO LIS TENGAH A A136A:NAVY BLUE:5-6:GRAPHIC:SS T-SHIRT</t>
  </si>
  <si>
    <t>T-SHIRT SUPERMAN LOGO LIS TENGAH A A136A:NAVY BLUE:7-8:GRAPHIC:SS T-SHIRT</t>
  </si>
  <si>
    <t>T-SHIRT SUPERMAN LOGO LIS TENGAH A A136A:NAVY BLUE:9-10:GRAPHIC:SS T-SHIRT</t>
  </si>
  <si>
    <t>A119C</t>
  </si>
  <si>
    <t>T-SHIRT SUPERMAN CUT SEW KTG LGN C A119C:NAVY BLUE:7-8:GRAPHIC:SS T-SHIRT</t>
  </si>
  <si>
    <t>T-SHIRT SUPERMAN CUT SEW KTG LGN C A119C:NAVY BLUE:9-10:GRAPHIC:SS T-SHIRT</t>
  </si>
  <si>
    <t>T-SHIRT SUPERMAN CUT SEW KTG LGN C A119C:NAVY BLUE:11-12:GRAPHIC:SS T-SHIRT</t>
  </si>
  <si>
    <t>T-SHIRT SUPERMAN CUT SEW KTG LGN C A119C:NAVY BLUE:13-14:GRAPHIC:SS T-SHIRT</t>
  </si>
  <si>
    <t>T-SHIRT SUPERMAN CUT SEW KTG LGN C A119C:NAVY BLUE:15-16:GRAPHIC:SS T-SHIRT</t>
  </si>
  <si>
    <t>A165C</t>
  </si>
  <si>
    <t>T-SHIRT SUPERMAN FLY ACTION C A165C:BLACK:7-8:GRAPHIC:SS T-SHIRT</t>
  </si>
  <si>
    <t>T-SHIRT SUPERMAN FLY ACTION C A165C:BLACK:9-10:GRAPHIC:SS T-SHIRT</t>
  </si>
  <si>
    <t>T-SHIRT SUPERMAN FLY ACTION C A165C:BLACK:11-12:GRAPHIC:SS T-SHIRT</t>
  </si>
  <si>
    <t>T-SHIRT SUPERMAN FLY ACTION C A165C:BLACK:13-14:GRAPHIC:SS T-SHIRT</t>
  </si>
  <si>
    <t>T-SHIRT SUPERMAN FLY ACTION C A165C:BLACK:15-16:GRAPHIC:SS T-SHIRT</t>
  </si>
  <si>
    <t>HR372C</t>
  </si>
  <si>
    <t>T-SHIRT SUPERMAN LOGO FP C HR372C:NAVY BLUE:5-6:PRINT:SS T-SHIRT</t>
  </si>
  <si>
    <t>T-SHIRT SUPERMAN LOGO FP C HR372C:NAVY BLUE:7-8:PRINT:SS T-SHIRT</t>
  </si>
  <si>
    <t>T-SHIRT SUPERMAN LOGO FP C HR372C:NAVY BLUE:9-10:PRINT:SS T-SHIRT</t>
  </si>
  <si>
    <t>T-SHIRT SUPERMAN LOGO FP C HR372C:NAVY BLUE:11-12:PRINT:SS T-SHIRT</t>
  </si>
  <si>
    <t>T-SHIRT SUPERMAN LOGO FP C HR372C:NAVY BLUE:13-14:PRINT:SS T-SHIRT</t>
  </si>
  <si>
    <t>HN10C</t>
  </si>
  <si>
    <t>T-SHIRT SUPERMAN TULISAN OMBRE LGN C HN10C:WHITE:5-6:PRINT:SS T-SHIRT</t>
  </si>
  <si>
    <t>T-SHIRT SUPERMAN TULISAN OMBRE LGN C HN10C:WHITE:7-8:PRINT:SS T-SHIRT</t>
  </si>
  <si>
    <t>T-SHIRT SUPERMAN TULISAN OMBRE LGN C HN10C:WHITE:9-10:PRINT:SS T-SHIRT</t>
  </si>
  <si>
    <t>T-SHIRT SUPERMAN TULISAN OMBRE LGN C HN10C:WHITE:11-12:PRINT:SS T-SHIRT</t>
  </si>
  <si>
    <t>T-SHIRT SUPERMAN TULISAN OMBRE LGN C HN10C:WHITE:13-14:PRINT:SS T-SHIRT</t>
  </si>
  <si>
    <t>A193C</t>
  </si>
  <si>
    <t>T-SHIRT SUPERMAN LOGO GRADASI C A193C:NAVY BLUE:7-8:GRAPHIC:SS T-SHIRT</t>
  </si>
  <si>
    <t>T-SHIRT SUPERMAN LOGO GRADASI C A193C:NAVY BLUE:9-10:GRAPHIC:SS T-SHIRT</t>
  </si>
  <si>
    <t>T-SHIRT SUPERMAN LOGO GRADASI C A193C:NAVY BLUE:11-12:GRAPHIC:SS T-SHIRT</t>
  </si>
  <si>
    <t>T-SHIRT SUPERMAN LOGO GRADASI C A193C:NAVY BLUE:13-14:GRAPHIC:SS T-SHIRT</t>
  </si>
  <si>
    <t>T-SHIRT SUPERMAN LOGO GRADASI C A193C:NAVY BLUE:15-16:GRAPHIC:SS T-SHIRT</t>
  </si>
  <si>
    <t>HR338C</t>
  </si>
  <si>
    <t>T-SHIRT SUPERMAN MAN OF STEEL C HR338C:NAVY BLUE:5-6:PRINT:SS T-SHIRT</t>
  </si>
  <si>
    <t>T-SHIRT SUPERMAN MAN OF STEEL C HR338C:NAVY BLUE:7-8:PRINT:SS T-SHIRT</t>
  </si>
  <si>
    <t>T-SHIRT SUPERMAN MAN OF STEEL C HR338C:NAVY BLUE:9-10:PRINT:SS T-SHIRT</t>
  </si>
  <si>
    <t>T-SHIRT SUPERMAN MAN OF STEEL C HR338C:NAVY BLUE:11-12:PRINT:SS T-SHIRT</t>
  </si>
  <si>
    <t>T-SHIRT SUPERMAN MAN OF STEEL C HR338C:NAVY BLUE:13-14:PRINT:SS T-SHIRT</t>
  </si>
  <si>
    <t>BG-091C</t>
  </si>
  <si>
    <t>T-SHIRT SUPERMAN FLY FP MARBLE C BG-091C:BLACK:7-8:PRINT:SS T-SHIRT</t>
  </si>
  <si>
    <t>T-SHIRT SUPERMAN FLY FP MARBLE C BG-091C:BLACK:9-10:PRINT:SS T-SHIRT</t>
  </si>
  <si>
    <t>T-SHIRT SUPERMAN FLY FP MARBLE C BG-091C:BLACK:11-12:PRINT:SS T-SHIRT</t>
  </si>
  <si>
    <t>T-SHIRT SUPERMAN FLY FP MARBLE C BG-091C:BLACK:13-14:PRINT:SS T-SHIRT</t>
  </si>
  <si>
    <t>T-SHIRT SUPERMAN FLY FP MARBLE C BG-091C:BLACK:15-16:PRINT:SS T-SHIRT</t>
  </si>
  <si>
    <t>KP-HR01C</t>
  </si>
  <si>
    <t>T-SHIRT  KUNGFU PANDA FP C KP-HR01C:WHITE:5-6:PRINT:SS T-SHIRT</t>
  </si>
  <si>
    <t>T-SHIRT  KUNGFU PANDA FP C KP-HR01C:WHITE:7-8:PRINT:SS T-SHIRT</t>
  </si>
  <si>
    <t>T-SHIRT  KUNGFU PANDA FP C KP-HR01C:WHITE:9-10:PRINT:SS T-SHIRT</t>
  </si>
  <si>
    <t>T-SHIRT  KUNGFU PANDA FP C KP-HR01C:WHITE:11-12:PRINT:SS T-SHIRT</t>
  </si>
  <si>
    <t>T-SHIRT  KUNGFU PANDA FP C KP-HR01C:WHITE:13-14:PRINT:SS T-SHIRT</t>
  </si>
  <si>
    <t>KP-A11A</t>
  </si>
  <si>
    <t>T-SHIRT  KUNGFU PANDA MIGHTY A KP-A11A:CLASSIC RED:3-4:PRINT:SS T-SHIRT</t>
  </si>
  <si>
    <t>T-SHIRT  KUNGFU PANDA MIGHTY A KP-A11A:CLASSIC RED:4-5:PRINT:SS T-SHIRT</t>
  </si>
  <si>
    <t>T-SHIRT  KUNGFU PANDA MIGHTY A KP-A11A:CLASSIC RED:5-6:PRINT:SS T-SHIRT</t>
  </si>
  <si>
    <t>T-SHIRT  KUNGFU PANDA MIGHTY A KP-A11A:CLASSIC RED:7-8:PRINT:SS T-SHIRT</t>
  </si>
  <si>
    <t>T-SHIRT  KUNGFU PANDA MIGHTY A KP-A11A:CLASSIC RED:9-10:PRINT:SS T-SHIRT</t>
  </si>
  <si>
    <t>KP-A12A</t>
  </si>
  <si>
    <t>T-SHIRT  KUNGFU PANDA KICK A KP-A12A:CLASSIC YELLOW:3-4:PRINT:SS T-SHIRT</t>
  </si>
  <si>
    <t>T-SHIRT  KUNGFU PANDA KICK A KP-A12A:CLASSIC YELLOW:4-5:PRINT:SS T-SHIRT</t>
  </si>
  <si>
    <t>T-SHIRT  KUNGFU PANDA KICK A KP-A12A:CLASSIC YELLOW:5-6:PRINT:SS T-SHIRT</t>
  </si>
  <si>
    <t>T-SHIRT  KUNGFU PANDA KICK A KP-A12A:CLASSIC YELLOW:7-8:PRINT:SS T-SHIRT</t>
  </si>
  <si>
    <t>T-SHIRT  KUNGFU PANDA KICK A KP-A12A:CLASSIC YELLOW:9-10:PRINT:SS T-SHIRT</t>
  </si>
  <si>
    <t>KP-A02A</t>
  </si>
  <si>
    <t>T-SHIRT  KUNGFU PANDA WARRIOR A KP-A02A:MISTY MEDIUM BLUE:3-4:PRINT:SS T-SHIRT</t>
  </si>
  <si>
    <t>T-SHIRT  KUNGFU PANDA WARRIOR A KP-A02A:MISTY MEDIUM BLUE:4-5:PRINT:SS T-SHIRT</t>
  </si>
  <si>
    <t>T-SHIRT  KUNGFU PANDA WARRIOR A KP-A02A:MISTY MEDIUM BLUE:5-6:PRINT:SS T-SHIRT</t>
  </si>
  <si>
    <t>T-SHIRT  KUNGFU PANDA WARRIOR A KP-A02A:MISTY MEDIUM BLUE:7-8:PRINT:SS T-SHIRT</t>
  </si>
  <si>
    <t>T-SHIRT  KUNGFU PANDA WARRIOR A KP-A02A:MISTY MEDIUM BLUE:9-10:PRINT:SS T-SHIRT</t>
  </si>
  <si>
    <t>KP-HR02A</t>
  </si>
  <si>
    <t>T-SHIRT  KUNGFU PANDA LIS LGN A KP-HR02A:MISTY LIGHT GREY:3-4:PRINT:SS T-SHIRT</t>
  </si>
  <si>
    <t>T-SHIRT  KUNGFU PANDA LIS LGN A KP-HR02A:MISTY LIGHT GREY:4-5:PRINT:SS T-SHIRT</t>
  </si>
  <si>
    <t>T-SHIRT  KUNGFU PANDA LIS LGN A KP-HR02A:MISTY LIGHT GREY:5-6:PRINT:SS T-SHIRT</t>
  </si>
  <si>
    <t>T-SHIRT  KUNGFU PANDA LIS LGN A KP-HR02A:MISTY LIGHT GREY:7-8:PRINT:SS T-SHIRT</t>
  </si>
  <si>
    <t>T-SHIRT  KUNGFU PANDA LIS LGN A KP-HR02A:MISTY LIGHT GREY:9-10:PRINT:SS T-SHIRT</t>
  </si>
  <si>
    <t>KP-A03C</t>
  </si>
  <si>
    <t>T-SHIRT  KUNGFU PANDA ACTION C KP-A03C:NAVY BLUE:7-8:PRINT:SS T-SHIRT</t>
  </si>
  <si>
    <t>T-SHIRT  KUNGFU PANDA ACTION C KP-A03C:NAVY BLUE:9-10:PRINT:SS T-SHIRT</t>
  </si>
  <si>
    <t>T-SHIRT  KUNGFU PANDA ACTION C KP-A03C:NAVY BLUE:11-12:PRINT:SS T-SHIRT</t>
  </si>
  <si>
    <t>T-SHIRT  KUNGFU PANDA ACTION C KP-A03C:NAVY BLUE:13-14:PRINT:SS T-SHIRT</t>
  </si>
  <si>
    <t>T-SHIRT  KUNGFU PANDA ACTION C KP-A03C:NAVY BLUE:15-16:PRINT:SS T-SHIRT</t>
  </si>
  <si>
    <t>KP-HR03C</t>
  </si>
  <si>
    <t>T-SHIRT  KUNGFU PANDA OMBRE C KP-HR03C:CLASSIC RED:5-6:PRINT:SS T-SHIRT</t>
  </si>
  <si>
    <t>T-SHIRT  KUNGFU PANDA OMBRE C KP-HR03C:CLASSIC RED:7-8:PRINT:SS T-SHIRT</t>
  </si>
  <si>
    <t>T-SHIRT  KUNGFU PANDA OMBRE C KP-HR03C:CLASSIC RED:9-10:PRINT:SS T-SHIRT</t>
  </si>
  <si>
    <t>T-SHIRT  KUNGFU PANDA OMBRE C KP-HR03C:CLASSIC RED:11-12:PRINT:SS T-SHIRT</t>
  </si>
  <si>
    <t>T-SHIRT  KUNGFU PANDA OMBRE C KP-HR03C:CLASSIC RED:13-14:PRINT:SS T-SHIRT</t>
  </si>
  <si>
    <t>KP-A13A</t>
  </si>
  <si>
    <t>T-SHIRT  KUNGFU PANDA FP STICK A KP-A13A:CLASSIC RED:3-4:PRINT:SS T-SHIRT</t>
  </si>
  <si>
    <t>T-SHIRT  KUNGFU PANDA FP STICK A KP-A13A:CLASSIC RED:4-5:PRINT:SS T-SHIRT</t>
  </si>
  <si>
    <t>T-SHIRT  KUNGFU PANDA FP STICK A KP-A13A:CLASSIC RED:5-6:PRINT:SS T-SHIRT</t>
  </si>
  <si>
    <t>T-SHIRT  KUNGFU PANDA FP STICK A KP-A13A:CLASSIC RED:7-8:PRINT:SS T-SHIRT</t>
  </si>
  <si>
    <t>T-SHIRT  KUNGFU PANDA FP STICK A KP-A13A:CLASSIC RED:9-10:PRINT:SS T-SHIRT</t>
  </si>
  <si>
    <t>KP-A07C</t>
  </si>
  <si>
    <t>T-SHIRT  KUNGFU PANDA STRIKES C KP-A07C:CLASSIC RED:7-8:PRINT:SS T-SHIRT</t>
  </si>
  <si>
    <t>T-SHIRT  KUNGFU PANDA STRIKES C KP-A07C:CLASSIC RED:9-10:PRINT:SS T-SHIRT</t>
  </si>
  <si>
    <t>T-SHIRT  KUNGFU PANDA STRIKES C KP-A07C:CLASSIC RED:11-12:PRINT:SS T-SHIRT</t>
  </si>
  <si>
    <t>T-SHIRT  KUNGFU PANDA STRIKES C KP-A07C:CLASSIC RED:13-14:PRINT:SS T-SHIRT</t>
  </si>
  <si>
    <t>T-SHIRT  KUNGFU PANDA STRIKES C KP-A07C:CLASSIC RED:15-16:PRINT:SS T-SHIRT</t>
  </si>
  <si>
    <t>KP-A14C</t>
  </si>
  <si>
    <t>T-SHIRT  KUNGFU PANDA FP FIGHT C KP-A14C:WHITE:7-8:PRINT:SS T-SHIRT</t>
  </si>
  <si>
    <t>T-SHIRT  KUNGFU PANDA FP FIGHT C KP-A14C:WHITE:9-10:PRINT:SS T-SHIRT</t>
  </si>
  <si>
    <t>T-SHIRT  KUNGFU PANDA FP FIGHT C KP-A14C:WHITE:11-12:PRINT:SS T-SHIRT</t>
  </si>
  <si>
    <t>T-SHIRT  KUNGFU PANDA FP FIGHT C KP-A14C:WHITE:13-14:PRINT:SS T-SHIRT</t>
  </si>
  <si>
    <t>T-SHIRT  KUNGFU PANDA FP FIGHT C KP-A14C:WHITE:15-16:PRINT:SS T-SHIRT</t>
  </si>
  <si>
    <t>KP-A070C</t>
  </si>
  <si>
    <t>SS T-SHIRT KUNGFU PANDA FLY KICK C KP-A070C:CLASSIC YELLOW:7-8:PRINT:SS T-SHIRT</t>
  </si>
  <si>
    <t>SS T-SHIRT KUNGFU PANDA FLY KICK C KP-A070C:CLASSIC YELLOW:9-10:PRINT:SS T-SHIRT</t>
  </si>
  <si>
    <t>SS T-SHIRT KUNGFU PANDA FLY KICK C KP-A070C:CLASSIC YELLOW:11-12:PRINT:SS T-SHIRT</t>
  </si>
  <si>
    <t>SS T-SHIRT KUNGFU PANDA FLY KICK C KP-A070C:CLASSIC YELLOW:13-14:PRINT:SS T-SHIRT</t>
  </si>
  <si>
    <t>SS T-SHIRT KUNGFU PANDA FLY KICK C KP-A070C:CLASSIC YELLOW:15-16:PRINT:SS T-SHIRT</t>
  </si>
  <si>
    <t>KP-HR06C</t>
  </si>
  <si>
    <t>SWEATER KUNGFU PANDA HOODY LIS C KP-HR06C:BLACK:5-6:PRINT:JACKET</t>
  </si>
  <si>
    <t>SWEATER KUNGFU PANDA HOODY LIS C KP-HR06C:BLACK:7-8:PRINT:JACKET</t>
  </si>
  <si>
    <t>SWEATER KUNGFU PANDA HOODY LIS C KP-HR06C:BLACK:9-10:PRINT:JACKET</t>
  </si>
  <si>
    <t>SWEATER KUNGFU PANDA HOODY LIS C KP-HR06C:BLACK:11-12:PRINT:JACKET</t>
  </si>
  <si>
    <t>SWEATER KUNGFU PANDA HOODY LIS C KP-HR06C:BLACK:13-14:PRINT:JACKET</t>
  </si>
  <si>
    <t>KP-HR04C</t>
  </si>
  <si>
    <t>SHORT KUNGFU PANDA LIS C KP-HR04C:MISTY LIGHT GREY:5-6:PRINT:SHORT PANTS</t>
  </si>
  <si>
    <t>SHORT KUNGFU PANDA LIS C KP-HR04C:MISTY LIGHT GREY:7-8:PRINT:SHORT PANTS</t>
  </si>
  <si>
    <t>SHORT KUNGFU PANDA LIS C KP-HR04C:MISTY LIGHT GREY:9-10:PRINT:SHORT PANTS</t>
  </si>
  <si>
    <t>SHORT KUNGFU PANDA LIS C KP-HR04C:MISTY LIGHT GREY:11-12:PRINT:SHORT PANTS</t>
  </si>
  <si>
    <t>SHORT KUNGFU PANDA LIS C KP-HR04C:MISTY LIGHT GREY:13-14:PRINT:SHORT PANTS</t>
  </si>
  <si>
    <t>KP-HR060C</t>
  </si>
  <si>
    <t>JOGGER KUNGFU PANDA C KP-HR060C:BLACK:5-6:PRINT:JOGGER</t>
  </si>
  <si>
    <t>JOGGER KUNGFU PANDA C KP-HR060C:BLACK:7-8:PRINT:JOGGER</t>
  </si>
  <si>
    <t>JOGGER KUNGFU PANDA C KP-HR060C:BLACK:9-10:PRINT:JOGGER</t>
  </si>
  <si>
    <t>JOGGER KUNGFU PANDA C KP-HR060C:BLACK:11-12:PRINT:JOGGER</t>
  </si>
  <si>
    <t>JOGGER KUNGFU PANDA C KP-HR060C:BLACK:13-14:PRINT:JOGGER</t>
  </si>
  <si>
    <t>HR327C</t>
  </si>
  <si>
    <t>SWEATER BATMAN GOTHAM LIS C HR327C:BLACK:5-6:PRINT:JACKET</t>
  </si>
  <si>
    <t>SWEATER BATMAN GOTHAM LIS C HR327C:BLACK:7-8:PRINT:JACKET</t>
  </si>
  <si>
    <t>SWEATER BATMAN GOTHAM LIS C HR327C:BLACK:11-12:PRINT:JACKET</t>
  </si>
  <si>
    <t>SWEATER BATMAN GOTHAM LIS C HR327C:BLACK:13-14:PRINT:JACKET</t>
  </si>
  <si>
    <t>HR375C</t>
  </si>
  <si>
    <t>SWEATER SUPERMAN LOGO LIS C HR375C:NAVY BLUE:5-6:PRINT:JACKET</t>
  </si>
  <si>
    <t>SWEATER SUPERMAN LOGO LIS C HR375C:NAVY BLUE:7-8:PRINT:JACKET</t>
  </si>
  <si>
    <t>SWEATER SUPERMAN LOGO LIS C HR375C:NAVY BLUE:11-12:PRINT:JACKET</t>
  </si>
  <si>
    <t>SWEATER SUPERMAN LOGO LIS C HR375C:NAVY BLUE:13-14:PRINT:JACKET</t>
  </si>
  <si>
    <t>HR328C</t>
  </si>
  <si>
    <t>SHORT PANTS KNIT BATMAN LOGO C HR328C:MISTY LIGHT GREY:5-6:PRINT:SHORT PANTS</t>
  </si>
  <si>
    <t>SHORT PANTS KNIT BATMAN LOGO C HR328C:MISTY LIGHT GREY:7-8:PRINT:SHORT PANTS</t>
  </si>
  <si>
    <t>SHORT PANTS KNIT BATMAN LOGO C HR328C:MISTY LIGHT GREY:11-12:PRINT:SHORT PANTS</t>
  </si>
  <si>
    <t>SHORT PANTS KNIT BATMAN LOGO C HR328C:MISTY LIGHT GREY:13-14:PRINT:SHORT PANTS</t>
  </si>
  <si>
    <t>HR373C</t>
  </si>
  <si>
    <t>SHORT SUPERMAN LOGO LIS C HR373C:NAVY BLUE:5-6:PRINT:SHORT PANTS</t>
  </si>
  <si>
    <t>SHORT SUPERMAN LOGO LIS C HR373C:NAVY BLUE:7-8:PRINT:SHORT PANTS</t>
  </si>
  <si>
    <t>SHORT SUPERMAN LOGO LIS C HR373C:NAVY BLUE:11-12:PRINT:SHORT PANTS</t>
  </si>
  <si>
    <t>SHORT SUPERMAN LOGO LIS C HR373C:NAVY BLUE:13-14:PRINT:SHORT PANTS</t>
  </si>
  <si>
    <t>HR329C</t>
  </si>
  <si>
    <t>JOGGER BATMAN DARK KNIGHT LIS C HR329C:BLACK:5-6:PRINT:JOGGER</t>
  </si>
  <si>
    <t>JOGGER BATMAN DARK KNIGHT LIS C HR329C:BLACK:7-8:PRINT:JOGGER</t>
  </si>
  <si>
    <t>JOGGER BATMAN DARK KNIGHT LIS C HR329C:BLACK:11-12:PRINT:JOGGER</t>
  </si>
  <si>
    <t>JOGGER BATMAN DARK KNIGHT LIS C HR329C:BLACK:13-14:PRINT:JOGGER</t>
  </si>
  <si>
    <t>HR374C</t>
  </si>
  <si>
    <t>JOGGER SUPERMAN LOGO LIS C HR374C:NAVY BLUE:5-6:PRINT:JOGGER</t>
  </si>
  <si>
    <t>JOGGER SUPERMAN LOGO LIS C HR374C:NAVY BLUE:7-8:PRINT:JOGGER</t>
  </si>
  <si>
    <t>JOGGER SUPERMAN LOGO LIS C HR374C:NAVY BLUE:11-12:PRINT:JOGGER</t>
  </si>
  <si>
    <t>JOGGER SUPERMAN LOGO LIS C HR374C:NAVY BLUE:13-14:PRINT:JOGGER</t>
  </si>
  <si>
    <t>TF-A78</t>
  </si>
  <si>
    <t>SS T-SHIRT TF FP DEPAN LOGO LIS TF-A78:MISTY LIGHT GREY:3-4:PRINT:SS T-SHIRT</t>
  </si>
  <si>
    <t>SS T-SHIRT TF FP DEPAN LOGO LIS TF-A78:MISTY LIGHT GREY:4-5:PRINT:SS T-SHIRT</t>
  </si>
  <si>
    <t>SS T-SHIRT TF FP DEPAN LOGO LIS TF-A78:MISTY LIGHT GREY:5-6:PRINT:SS T-SHIRT</t>
  </si>
  <si>
    <t>SS T-SHIRT TF FP DEPAN LOGO LIS TF-A78:MISTY LIGHT GREY:7-8:PRINT:SS T-SHIRT</t>
  </si>
  <si>
    <t>SS T-SHIRT TF FP DEPAN LOGO LIS TF-A78:MISTY LIGHT GREY:9-10:PRINT:SS T-SHIRT</t>
  </si>
  <si>
    <t>SS T-SHIRT TF FP DEPAN LOGO LIS TF-A78:MISTY LIGHT GREY:11-12:PRINT:SS T-SHIRT</t>
  </si>
  <si>
    <t>SS T-SHIRT TF FP DEPAN LOGO LIS TF-A78:MISTY LIGHT GREY:13-14:PRINT:SS T-SHIRT</t>
  </si>
  <si>
    <t>TF-HN22</t>
  </si>
  <si>
    <t>SS T-SHIRT TF7 BUMBLEBEE LIS LGN TF-HN22:BLACK:3-4:PRINT:SS T-SHIRT</t>
  </si>
  <si>
    <t>SS T-SHIRT TF7 BUMBLEBEE LIS LGN TF-HN22:BLACK:4-5:PRINT:SS T-SHIRT</t>
  </si>
  <si>
    <t>SS T-SHIRT TF7 BUMBLEBEE LIS LGN TF-HN22:BLACK:5-6:PRINT:SS T-SHIRT</t>
  </si>
  <si>
    <t>SS T-SHIRT TF7 BUMBLEBEE LIS LGN TF-HN22:BLACK:7-8:PRINT:SS T-SHIRT</t>
  </si>
  <si>
    <t>SS T-SHIRT TF7 BUMBLEBEE LIS LGN TF-HN22:BLACK:9-10:PRINT:SS T-SHIRT</t>
  </si>
  <si>
    <t>SS T-SHIRT TF7 BUMBLEBEE LIS LGN TF-HN22:BLACK:11-12:PRINT:SS T-SHIRT</t>
  </si>
  <si>
    <t>TF-HN16</t>
  </si>
  <si>
    <t>SS T-SHIRT TF TEAM STAND TF-HN16:BLACK:3-4:PRINT:SS T-SHIRT</t>
  </si>
  <si>
    <t>SS T-SHIRT TF TEAM STAND TF-HN16:BLACK:4-5:PRINT:SS T-SHIRT</t>
  </si>
  <si>
    <t>SS T-SHIRT TF TEAM STAND TF-HN16:BLACK:5-6:PRINT:SS T-SHIRT</t>
  </si>
  <si>
    <t>SS T-SHIRT TF TEAM STAND TF-HN16:BLACK:7-8:PRINT:SS T-SHIRT</t>
  </si>
  <si>
    <t>SS T-SHIRT TF TEAM STAND TF-HN16:BLACK:9-10:PRINT:SS T-SHIRT</t>
  </si>
  <si>
    <t>SS T-SHIRT TF TEAM STAND TF-HN16:BLACK:11-12:PRINT:SS T-SHIRT</t>
  </si>
  <si>
    <t>SS T-SHIRT TF TEAM STAND TF-HN16:BLACK:13-14:PRINT:SS T-SHIRT</t>
  </si>
  <si>
    <t>SS T-SHIRT TF TEAM STAND TF-HN16:BLACK:15-16:PRINT:SS T-SHIRT</t>
  </si>
  <si>
    <t>TF-HN21</t>
  </si>
  <si>
    <t>SS T-SHIRT TF LOGO TEAMS A TF-HN21:CLASSIC YELLOW:3-4:PRINT:SS T-SHIRT</t>
  </si>
  <si>
    <t>SS T-SHIRT TF LOGO TEAMS A TF-HN21:CLASSIC YELLOW:4-5:PRINT:SS T-SHIRT</t>
  </si>
  <si>
    <t>SS T-SHIRT TF LOGO TEAMS A TF-HN21:CLASSIC YELLOW:5-6:PRINT:SS T-SHIRT</t>
  </si>
  <si>
    <t>SS T-SHIRT TF LOGO TEAMS A TF-HN21:CLASSIC YELLOW:7-8:PRINT:SS T-SHIRT</t>
  </si>
  <si>
    <t>SS T-SHIRT TF LOGO TEAMS A TF-HN21:CLASSIC YELLOW:9-10:PRINT:SS T-SHIRT</t>
  </si>
  <si>
    <t>SS T-SHIRT TF LOGO TEAMS A TF-HN21:CLASSIC YELLOW:11-12:PRINT:SS T-SHIRT</t>
  </si>
  <si>
    <t>SS T-SHIRT TF LOGO TEAMS A TF-HN21:CLASSIC YELLOW:13-14:PRINT:SS T-SHIRT</t>
  </si>
  <si>
    <t>SS T-SHIRT TF LOGO TEAMS A TF-HN21:CLASSIC YELLOW:15-16:PRINT:SS T-SHIRT</t>
  </si>
  <si>
    <t>TF-A62</t>
  </si>
  <si>
    <t>SS T-SHIRT TF AUTOBOT FP MARBLE TF-A62:MISTY MEDIUM BLUE:3-4:TEXTURE:SS T-SHIRT</t>
  </si>
  <si>
    <t>SS T-SHIRT TF AUTOBOT FP MARBLE TF-A62:MISTY MEDIUM BLUE:4-5:TEXTURE:SS T-SHIRT</t>
  </si>
  <si>
    <t>SS T-SHIRT TF AUTOBOT FP MARBLE TF-A62:MISTY MEDIUM BLUE:5-6:TEXTURE:SS T-SHIRT</t>
  </si>
  <si>
    <t>SS T-SHIRT TF AUTOBOT FP MARBLE TF-A62:MISTY MEDIUM BLUE:7-8:TEXTURE:SS T-SHIRT</t>
  </si>
  <si>
    <t>SS T-SHIRT TF AUTOBOT FP MARBLE TF-A62:MISTY MEDIUM BLUE:9-10:TEXTURE:SS T-SHIRT</t>
  </si>
  <si>
    <t>SS T-SHIRT TF AUTOBOT FP MARBLE TF-A62:MISTY MEDIUM BLUE:11-12:TEXTURE:SS T-SHIRT</t>
  </si>
  <si>
    <t>SS T-SHIRT TF AUTOBOT FP MARBLE TF-A62:MISTY MEDIUM BLUE:13-14:TEXTURE:SS T-SHIRT</t>
  </si>
  <si>
    <t>SS T-SHIRT TF AUTOBOT FP MARBLE TF-A62:MISTY MEDIUM BLUE:15-16:TEXTURE:SS T-SHIRT</t>
  </si>
  <si>
    <t>TF-HN24</t>
  </si>
  <si>
    <t>SS T-SHIRT TF BUMBLEBEE BATTLE TF-HN24:CLASSIC YELLOW:3-4:PRINT:SS T-SHIRT</t>
  </si>
  <si>
    <t>SS T-SHIRT TF BUMBLEBEE BATTLE TF-HN24:CLASSIC YELLOW:4-5:PRINT:SS T-SHIRT</t>
  </si>
  <si>
    <t>SS T-SHIRT TF BUMBLEBEE BATTLE TF-HN24:CLASSIC YELLOW:5-6:PRINT:SS T-SHIRT</t>
  </si>
  <si>
    <t>SS T-SHIRT TF BUMBLEBEE BATTLE TF-HN24:CLASSIC YELLOW:7-8:PRINT:SS T-SHIRT</t>
  </si>
  <si>
    <t>SS T-SHIRT TF BUMBLEBEE BATTLE TF-HN24:CLASSIC YELLOW:9-10:PRINT:SS T-SHIRT</t>
  </si>
  <si>
    <t>SS T-SHIRT TF BUMBLEBEE BATTLE TF-HN24:CLASSIC YELLOW:11-12:PRINT:SS T-SHIRT</t>
  </si>
  <si>
    <t>SS T-SHIRT TF BUMBLEBEE BATTLE TF-HN24:CLASSIC YELLOW:13-14:PRINT:SS T-SHIRT</t>
  </si>
  <si>
    <t>SS T-SHIRT TF BUMBLEBEE BATTLE TF-HN24:CLASSIC YELLOW:15-16:PRINT:SS T-SHIRT</t>
  </si>
  <si>
    <t>TF-A77</t>
  </si>
  <si>
    <t>SS T-SHIRT TF LOGO HOLOGRAM FP TF-A77:CLASSIC RED:3-4:TEXTURE:SS T-SHIRT</t>
  </si>
  <si>
    <t>SS T-SHIRT TF LOGO HOLOGRAM FP TF-A77:CLASSIC RED:4-5:TEXTURE:SS T-SHIRT</t>
  </si>
  <si>
    <t>SS T-SHIRT TF LOGO HOLOGRAM FP TF-A77:CLASSIC RED:5-6:TEXTURE:SS T-SHIRT</t>
  </si>
  <si>
    <t>SS T-SHIRT TF LOGO HOLOGRAM FP TF-A77:CLASSIC RED:7-8:TEXTURE:SS T-SHIRT</t>
  </si>
  <si>
    <t>SS T-SHIRT TF LOGO HOLOGRAM FP TF-A77:CLASSIC RED:9-10:TEXTURE:SS T-SHIRT</t>
  </si>
  <si>
    <t>SS T-SHIRT TF LOGO HOLOGRAM FP TF-A77:CLASSIC RED:11-12:TEXTURE:SS T-SHIRT</t>
  </si>
  <si>
    <t>SS T-SHIRT TF LOGO HOLOGRAM FP TF-A77:CLASSIC RED:13-14:TEXTURE:SS T-SHIRT</t>
  </si>
  <si>
    <t>SS T-SHIRT TF LOGO HOLOGRAM FP TF-A77:CLASSIC RED:15-16:TEXTURE:SS T-SHIRT</t>
  </si>
  <si>
    <t>TF-A09</t>
  </si>
  <si>
    <t>SS T-SHIRT TF FP CAMO TF-A09:NAVY BLUE:3-4:PRINT:SS T-SHIRT</t>
  </si>
  <si>
    <t>SS T-SHIRT TF FP CAMO TF-A09:NAVY BLUE:4-5:PRINT:SS T-SHIRT</t>
  </si>
  <si>
    <t>SS T-SHIRT TF FP CAMO TF-A09:NAVY BLUE:5-6:PRINT:SS T-SHIRT</t>
  </si>
  <si>
    <t>SS T-SHIRT TF FP CAMO TF-A09:NAVY BLUE:7-8:PRINT:SS T-SHIRT</t>
  </si>
  <si>
    <t>SS T-SHIRT TF FP CAMO TF-A09:NAVY BLUE:9-10:PRINT:SS T-SHIRT</t>
  </si>
  <si>
    <t>SS T-SHIRT TF FP CAMO TF-A09:NAVY BLUE:11-12:PRINT:SS T-SHIRT</t>
  </si>
  <si>
    <t>SS T-SHIRT TF FP CAMO TF-A09:NAVY BLUE:13-14:PRINT:SS T-SHIRT</t>
  </si>
  <si>
    <t>SS T-SHIRT TF FP CAMO TF-A09:NAVY BLUE:15-16:PRINT:SS T-SHIRT</t>
  </si>
  <si>
    <t>TF-HN23</t>
  </si>
  <si>
    <t>SS T-SHIRT TF OPTIMUS PRIME TF-HN23:NAVY BLUE:3-4:PRINT:SS T-SHIRT</t>
  </si>
  <si>
    <t>SS T-SHIRT TF OPTIMUS PRIME TF-HN23:NAVY BLUE:4-5:PRINT:SS T-SHIRT</t>
  </si>
  <si>
    <t>SS T-SHIRT TF OPTIMUS PRIME TF-HN23:NAVY BLUE:5-6:PRINT:SS T-SHIRT</t>
  </si>
  <si>
    <t>SS T-SHIRT TF OPTIMUS PRIME TF-HN23:NAVY BLUE:7-8:PRINT:SS T-SHIRT</t>
  </si>
  <si>
    <t>SS T-SHIRT TF OPTIMUS PRIME TF-HN23:NAVY BLUE:9-10:PRINT:SS T-SHIRT</t>
  </si>
  <si>
    <t>SS T-SHIRT TF OPTIMUS PRIME TF-HN23:NAVY BLUE:11-12:PRINT:SS T-SHIRT</t>
  </si>
  <si>
    <t>SS T-SHIRT TF OPTIMUS PRIME TF-HN23:NAVY BLUE:13-14:PRINT:SS T-SHIRT</t>
  </si>
  <si>
    <t>SS T-SHIRT TF OPTIMUS PRIME TF-HN23:NAVY BLUE:15-16:PRINT:SS T-SHIRT</t>
  </si>
  <si>
    <t>TF7-HN18</t>
  </si>
  <si>
    <t>SS T-SHIRT TF7 BUMBLEBEE ACTION A TF7-HN18:CLASSIC YELLOW:3-4:PRINT:SS T-SHIRT</t>
  </si>
  <si>
    <t>SS T-SHIRT TF7 BUMBLEBEE ACTION A TF7-HN18:CLASSIC YELLOW:4-5:PRINT:SS T-SHIRT</t>
  </si>
  <si>
    <t>SS T-SHIRT TF7 BUMBLEBEE ACTION A TF7-HN18:CLASSIC YELLOW:5-6:PRINT:SS T-SHIRT</t>
  </si>
  <si>
    <t>SS T-SHIRT TF7 BUMBLEBEE ACTION A TF7-HN18:CLASSIC YELLOW:7-8:PRINT:SS T-SHIRT</t>
  </si>
  <si>
    <t>SS T-SHIRT TF7 BUMBLEBEE ACTION A TF7-HN18:CLASSIC YELLOW:9-10:PRINT:SS T-SHIRT</t>
  </si>
  <si>
    <t>SS T-SHIRT TF7 BUMBLEBEE ACTION A TF7-HN18:CLASSIC YELLOW:11-12:PRINT:SS T-SHIRT</t>
  </si>
  <si>
    <t>SS T-SHIRT TF7 BUMBLEBEE ACTION A TF7-HN18:CLASSIC YELLOW:13-14:PRINT:SS T-SHIRT</t>
  </si>
  <si>
    <t>SS T-SHIRT TF7 BUMBLEBEE ACTION A TF7-HN18:CLASSIC YELLOW:15-16:PRINT:SS T-SHIRT</t>
  </si>
  <si>
    <t>SWEATER BATMAN GOTHAM LIS C HR327C:BLACK:9-10:PRINT:JACKET</t>
  </si>
  <si>
    <t>SHORT PANTS KNIT BATMAN LOGO C HR328C:MISTY LIGHT GREY:9-10:PRINT:SHORT PANTS</t>
  </si>
  <si>
    <t>N219C</t>
  </si>
  <si>
    <t>SHORT PANTS KNIT BATMAN DARK KNIGHT LIS C N219C:BLACK:7-8:PRINT:SHORT PANTS</t>
  </si>
  <si>
    <t>SHORT PANTS KNIT BATMAN DARK KNIGHT LIS C N219C:BLACK:9-10:PRINT:SHORT PANTS</t>
  </si>
  <si>
    <t>SHORT PANTS KNIT BATMAN DARK KNIGHT LIS C N219C:BLACK:11-12:PRINT:SHORT PANTS</t>
  </si>
  <si>
    <t>SHORT PANTS KNIT BATMAN DARK KNIGHT LIS C N219C:BLACK:13-14:PRINT:SHORT PANTS</t>
  </si>
  <si>
    <t>SHORT PANTS KNIT BATMAN DARK KNIGHT LIS C N219C:BLACK:15-16:PRINT:SHORT PANTS</t>
  </si>
  <si>
    <t>SHORT SUPERMAN LOGO LIS C HR373C:NAVY BLUE:9-10:PRINT:SHORT PANTS</t>
  </si>
  <si>
    <t>JOGGER BATMAN DARK KNIGHT LIS C HR329C:BLACK:9-10:PRINT:JOGGER</t>
  </si>
  <si>
    <t>JOGGER SUPERMAN LOGO LIS C HR374C:NAVY BLUE:9-10:PRINT:JOGGER</t>
  </si>
  <si>
    <t>BT-HN53C</t>
  </si>
  <si>
    <t>T-SHIRT BATMAN 85 ROBIN C BT-HN53C:MISTY DARK BLUE:7-8:PRINT:SS T-SHIRT</t>
  </si>
  <si>
    <t>T-SHIRT BATMAN 85 ROBIN C BT-HN53C:MISTY DARK BLUE:9-10:PRINT:SS T-SHIRT</t>
  </si>
  <si>
    <t>T-SHIRT BATMAN 85 ROBIN C BT-HN53C:MISTY DARK BLUE:11-12:PRINT:SS T-SHIRT</t>
  </si>
  <si>
    <t>T-SHIRT BATMAN 85 ROBIN C BT-HN53C:MISTY DARK BLUE:13-14:PRINT:SS T-SHIRT</t>
  </si>
  <si>
    <t>T-SHIRT BATMAN 85 ROBIN C BT-HN53C:MISTY DARK BLUE:15-16:PRINT:SS T-SHIRT</t>
  </si>
  <si>
    <t>BT-HN52C</t>
  </si>
  <si>
    <t>T-SHIRT BATMAN 85 LONG LIVE C BT-HN52C:BLACK:7-8:PRINT:SS T-SHIRT</t>
  </si>
  <si>
    <t>T-SHIRT BATMAN 85 LONG LIVE C BT-HN52C:BLACK:9-10:PRINT:SS T-SHIRT</t>
  </si>
  <si>
    <t>T-SHIRT BATMAN 85 LONG LIVE C BT-HN52C:BLACK:11-12:PRINT:SS T-SHIRT</t>
  </si>
  <si>
    <t>T-SHIRT BATMAN 85 LONG LIVE C BT-HN52C:BLACK:13-14:PRINT:SS T-SHIRT</t>
  </si>
  <si>
    <t>T-SHIRT BATMAN 85 LONG LIVE C BT-HN52C:BLACK:15-16:PRINT:SS T-SHIRT</t>
  </si>
  <si>
    <t>N024Y</t>
  </si>
  <si>
    <t>SS T-SHIRT BATMAN CLASSIC WING A:CLASSIC YELLOW:3-4:GRAPHIC:SS T-SHIRT</t>
  </si>
  <si>
    <t>SS T-SHIRT BATMAN CLASSIC WING A:CLASSIC YELLOW:4-5:GRAPHIC:SS T-SHIRT</t>
  </si>
  <si>
    <t>SS T-SHIRT BATMAN CLASSIC WING A:CLASSIC YELLOW:5-6:GRAPHIC:SS T-SHIRT</t>
  </si>
  <si>
    <t>SS T-SHIRT BATMAN CLASSIC WING A:CLASSIC YELLOW:7-8:GRAPHIC:SS T-SHIRT</t>
  </si>
  <si>
    <t>SS T-SHIRT BATMAN CLASSIC WING A:CLASSIC YELLOW:9-10:GRAPHIC:SS T-SHIRT</t>
  </si>
  <si>
    <t>BT-HN53A</t>
  </si>
  <si>
    <t>SS T-SHIRT BATMAN 85 ROBIN A BT-HN53A:MISTY LIGHT BLUE:3-4:PRINT:SS T-SHIRT</t>
  </si>
  <si>
    <t>SS T-SHIRT BATMAN 85 ROBIN A BT-HN53A:MISTY LIGHT BLUE:4-5:PRINT:SS T-SHIRT</t>
  </si>
  <si>
    <t>SS T-SHIRT BATMAN 85 ROBIN A BT-HN53A:MISTY LIGHT BLUE:5-6:PRINT:SS T-SHIRT</t>
  </si>
  <si>
    <t>SS T-SHIRT BATMAN 85 ROBIN A BT-HN53A:MISTY LIGHT BLUE:7-8:PRINT:SS T-SHIRT</t>
  </si>
  <si>
    <t>BT-HN52A</t>
  </si>
  <si>
    <t>SS T-SHIRT BATMAN 85 LONG LIVE A BT-HN52A:BLACK:3-4:PRINT:SS T-SHIRT</t>
  </si>
  <si>
    <t>SS T-SHIRT BATMAN 85 LONG LIVE A BT-HN52A:BLACK:4-5:PRINT:SS T-SHIRT</t>
  </si>
  <si>
    <t>SS T-SHIRT BATMAN 85 LONG LIVE A BT-HN52A:BLACK:5-6:PRINT:SS T-SHIRT</t>
  </si>
  <si>
    <t>SS T-SHIRT BATMAN 85 LONG LIVE A BT-HN52A:BLACK:7-8:PRINT:SS T-SHIRT</t>
  </si>
  <si>
    <t>MN-N033</t>
  </si>
  <si>
    <t>SS T-SHIRT MINIONS CLASSIC FP MN-N033:WHITE:3-4:PRINT:SS T-SHIRT</t>
  </si>
  <si>
    <t>SS T-SHIRT MINIONS CLASSIC FP MN-N033:WHITE:4-5:PRINT:SS T-SHIRT</t>
  </si>
  <si>
    <t>SS T-SHIRT MINIONS CLASSIC FP MN-N033:WHITE:5-6:PRINT:SS T-SHIRT</t>
  </si>
  <si>
    <t>SS T-SHIRT MINIONS CLASSIC FP MN-N033:WHITE:7-8:PRINT:SS T-SHIRT</t>
  </si>
  <si>
    <t>SS T-SHIRT MINIONS CLASSIC FP MN-N033:WHITE:9-10:PRINT:SS T-SHIRT</t>
  </si>
  <si>
    <t>SS T-SHIRT MINIONS CLASSIC FP MN-N033:WHITE:11-12:PRINT:SS T-SHIRT</t>
  </si>
  <si>
    <t>SS T-SHIRT MINIONS CLASSIC FP MN-N033:WHITE:13-14:PRINT:SS T-SHIRT</t>
  </si>
  <si>
    <t>SS T-SHIRT MINIONS CLASSIC FP MN-N033:WHITE:15-16:PRINT:SS T-SHIRT</t>
  </si>
  <si>
    <t>MN-N062</t>
  </si>
  <si>
    <t>SS T-SHIRT MINIONS CLASSIC FP ZIP MN-N062:MISTY LIGHT GREY:5-6:PRINT:SS T-SHIRT</t>
  </si>
  <si>
    <t>SS T-SHIRT MINIONS CLASSIC FP ZIP MN-N062:MISTY LIGHT GREY:7-8:PRINT:SS T-SHIRT</t>
  </si>
  <si>
    <t>SS T-SHIRT MINIONS CLASSIC FP ZIP MN-N062:MISTY LIGHT GREY:9-10:PRINT:SS T-SHIRT</t>
  </si>
  <si>
    <t>SS T-SHIRT MINIONS CLASSIC FP ZIP MN-N062:MISTY LIGHT GREY:11-12:PRINT:SS T-SHIRT</t>
  </si>
  <si>
    <t>SS T-SHIRT MINIONS CLASSIC FP ZIP MN-N062:MISTY LIGHT GREY:13-14:PRINT:SS T-SHIRT</t>
  </si>
  <si>
    <t>SS T-SHIRT MINIONS CLASSIC FP ZIP MN-N062:MISTY LIGHT GREY:15-16:PRINT:SS T-SHIRT</t>
  </si>
  <si>
    <t>MN-N066</t>
  </si>
  <si>
    <t>SS T-SHIRT MINIONS CLASSIC HOOD MN-N066:NAVY BLUE:3-4:PRINT:SS T-SHIRT</t>
  </si>
  <si>
    <t>SS T-SHIRT MINIONS CLASSIC HOOD MN-N066:NAVY BLUE:4-5:PRINT:SS T-SHIRT</t>
  </si>
  <si>
    <t>SS T-SHIRT MINIONS CLASSIC HOOD MN-N066:NAVY BLUE:5-6:PRINT:SS T-SHIRT</t>
  </si>
  <si>
    <t>SS T-SHIRT MINIONS CLASSIC HOOD MN-N066:NAVY BLUE:7-8:PRINT:SS T-SHIRT</t>
  </si>
  <si>
    <t>SS T-SHIRT MINIONS CLASSIC HOOD MN-N066:NAVY BLUE:9-10:PRINT:SS T-SHIRT</t>
  </si>
  <si>
    <t>SS T-SHIRT MINIONS CLASSIC HOOD MN-N066:NAVY BLUE:11-12:PRINT:SS T-SHIRT</t>
  </si>
  <si>
    <t>MN-N064</t>
  </si>
  <si>
    <t>SS T-SHIRT MINIONS CLASSIC KTG JARING MN-N064:CLASSIC YELLOW:4-5:PRINT:SS T-SHIRT</t>
  </si>
  <si>
    <t>SS T-SHIRT MINIONS CLASSIC KTG JARING MN-N064:CLASSIC YELLOW:5-6:PRINT:SS T-SHIRT</t>
  </si>
  <si>
    <t>SS T-SHIRT MINIONS CLASSIC KTG JARING MN-N064:CLASSIC YELLOW:7-8:PRINT:SS T-SHIRT</t>
  </si>
  <si>
    <t>SS T-SHIRT MINIONS CLASSIC KTG JARING MN-N064:CLASSIC YELLOW:9-10:PRINT:SS T-SHIRT</t>
  </si>
  <si>
    <t>SS T-SHIRT MINIONS CLASSIC KTG JARING MN-N064:CLASSIC YELLOW:11-12:PRINT:SS T-SHIRT</t>
  </si>
  <si>
    <t>MN-N063</t>
  </si>
  <si>
    <t>SS T-SHIRT MINIONS CLASSIC KTG ZIP MN-N063:CLASSIC YELLOW:4-5:PRINT:SS T-SHIRT</t>
  </si>
  <si>
    <t>SS T-SHIRT MINIONS CLASSIC KTG ZIP MN-N063:CLASSIC YELLOW:7-8:PRINT:SS T-SHIRT</t>
  </si>
  <si>
    <t>SS T-SHIRT MINIONS CLASSIC KTG ZIP MN-N063:CLASSIC YELLOW:9-10:PRINT:SS T-SHIRT</t>
  </si>
  <si>
    <t>SS T-SHIRT MINIONS CLASSIC KTG ZIP MN-N063:CLASSIC YELLOW:11-12:PRINT:SS T-SHIRT</t>
  </si>
  <si>
    <t>SS T-SHIRT MINIONS CLASSIC KTG ZIP MN-N063:CLASSIC YELLOW:13-14:PRINT:SS T-SHIRT</t>
  </si>
  <si>
    <t>SS T-SHIRT MINIONS CLASSIC KTG ZIP MN-N063:CLASSIC YELLOW:15-16:PRINT:SS T-SHIRT</t>
  </si>
  <si>
    <t>MN-HN02</t>
  </si>
  <si>
    <t>SS T-SHIRT MINIONS MOVIE POSTER MN-HN02:WHITE:3-4:GRAPHIC:SS T-SHIRT</t>
  </si>
  <si>
    <t>SS T-SHIRT MINIONS MOVIE POSTER MN-HN02:WHITE:4-5:GRAPHIC:SS T-SHIRT</t>
  </si>
  <si>
    <t>SS T-SHIRT MINIONS MOVIE POSTER MN-HN02:WHITE:5-6:GRAPHIC:SS T-SHIRT</t>
  </si>
  <si>
    <t>SS T-SHIRT MINIONS MOVIE POSTER MN-HN02:WHITE:7-8:GRAPHIC:SS T-SHIRT</t>
  </si>
  <si>
    <t>SS T-SHIRT MINIONS MOVIE POSTER MN-HN02:WHITE:9-10:GRAPHIC:SS T-SHIRT</t>
  </si>
  <si>
    <t>SS T-SHIRT MINIONS MOVIE POSTER MN-HN02:WHITE:11-12:GRAPHIC:SS T-SHIRT</t>
  </si>
  <si>
    <t>SS T-SHIRT MINIONS MOVIE POSTER MN-HN02:WHITE:13-14:GRAPHIC:SS T-SHIRT</t>
  </si>
  <si>
    <t>SS T-SHIRT MINIONS MOVIE POSTER MN-HN02:WHITE:15-16:GRAPHIC:SS T-SHIRT</t>
  </si>
  <si>
    <t>MN-HN04</t>
  </si>
  <si>
    <t>SS T-SHIRT MINIONS MOVIE MAKE MN-HN04:BLACK:3-4:GRAPHIC:SS T-SHIRT</t>
  </si>
  <si>
    <t>SS T-SHIRT MINIONS MOVIE MAKE MN-HN04:BLACK:4-5:GRAPHIC:SS T-SHIRT</t>
  </si>
  <si>
    <t>SS T-SHIRT MINIONS MOVIE MAKE MN-HN04:BLACK:5-6:GRAPHIC:SS T-SHIRT</t>
  </si>
  <si>
    <t>SS T-SHIRT MINIONS MOVIE MAKE MN-HN04:BLACK:7-8:GRAPHIC:SS T-SHIRT</t>
  </si>
  <si>
    <t>SS T-SHIRT MINIONS MOVIE MAKE MN-HN04:BLACK:9-10:GRAPHIC:SS T-SHIRT</t>
  </si>
  <si>
    <t>SS T-SHIRT MINIONS MOVIE MAKE MN-HN04:BLACK:11-12:GRAPHIC:SS T-SHIRT</t>
  </si>
  <si>
    <t>MN-N004</t>
  </si>
  <si>
    <t>SS T-SHIRT MINIONS MOVIE FP STUART MN-N004:CLASSIC YELLOW:3-4:GRAPHIC:SS T-SHIRT</t>
  </si>
  <si>
    <t>SS T-SHIRT MINIONS MOVIE FP STUART MN-N004:CLASSIC YELLOW:4-5:GRAPHIC:SS T-SHIRT</t>
  </si>
  <si>
    <t>SS T-SHIRT MINIONS MOVIE FP STUART MN-N004:CLASSIC YELLOW:5-6:GRAPHIC:SS T-SHIRT</t>
  </si>
  <si>
    <t>SS T-SHIRT MINIONS MOVIE FP STUART MN-N004:CLASSIC YELLOW:7-8:GRAPHIC:SS T-SHIRT</t>
  </si>
  <si>
    <t>SS T-SHIRT MINIONS MOVIE FP STUART MN-N004:CLASSIC YELLOW:9-10:GRAPHIC:SS T-SHIRT</t>
  </si>
  <si>
    <t>SS T-SHIRT MINIONS MOVIE FP STUART MN-N004:CLASSIC YELLOW:11-12:GRAPHIC:SS T-SHIRT</t>
  </si>
  <si>
    <t>SS T-SHIRT MINIONS MOVIE FP STUART MN-N004:CLASSIC YELLOW:13-14:GRAPHIC:SS T-SHIRT</t>
  </si>
  <si>
    <t>SS T-SHIRT MINIONS MOVIE FP STUART MN-N004:CLASSIC YELLOW:15-16:GRAPHIC:SS T-SHIRT</t>
  </si>
  <si>
    <t>MN-N006</t>
  </si>
  <si>
    <t>SS T-SHIRT MINIONS MOVIE SALUR KTG MN-N006:NAVY BLUE:3-4:STRIPES:SS T-SHIRT</t>
  </si>
  <si>
    <t>SS T-SHIRT MINIONS MOVIE SALUR KTG MN-N006:NAVY BLUE:4-5:STRIPES:SS T-SHIRT</t>
  </si>
  <si>
    <t>SS T-SHIRT MINIONS MOVIE SALUR KTG MN-N006:NAVY BLUE:5-6:STRIPES:SS T-SHIRT</t>
  </si>
  <si>
    <t>SS T-SHIRT MINIONS MOVIE SALUR KTG MN-N006:NAVY BLUE:7-8:STRIPES:SS T-SHIRT</t>
  </si>
  <si>
    <t>SS T-SHIRT MINIONS MOVIE SALUR KTG MN-N006:NAVY BLUE:9-10:STRIPES:SS T-SHIRT</t>
  </si>
  <si>
    <t>SS T-SHIRT MINIONS MOVIE SALUR KTG MN-N006:NAVY BLUE:11-12:STRIPES:SS T-SHIRT</t>
  </si>
  <si>
    <t>SS T-SHIRT MINIONS MOVIE SALUR KTG MN-N006:NAVY BLUE:13-14:STRIPES:SS T-SHIRT</t>
  </si>
  <si>
    <t>SS T-SHIRT MINIONS MOVIE SALUR KTG MN-N006:NAVY BLUE:15-16:STRIPES:SS T-SHIRT</t>
  </si>
  <si>
    <t>MN-N031</t>
  </si>
  <si>
    <t>SS T-SHIRT MINIONS MOVIE FP RGLN MN-N031:WHITE:3-4:GRAPHIC:SS T-SHIRT</t>
  </si>
  <si>
    <t>SS T-SHIRT MINIONS MOVIE FP RGLN MN-N031:WHITE:4-5:GRAPHIC:SS T-SHIRT</t>
  </si>
  <si>
    <t>SS T-SHIRT MINIONS MOVIE FP RGLN MN-N031:WHITE:5-6:GRAPHIC:SS T-SHIRT</t>
  </si>
  <si>
    <t>SS T-SHIRT MINIONS MOVIE FP RGLN MN-N031:WHITE:7-8:GRAPHIC:SS T-SHIRT</t>
  </si>
  <si>
    <t>SS T-SHIRT MINIONS MOVIE FP RGLN MN-N031:WHITE:9-10:GRAPHIC:SS T-SHIRT</t>
  </si>
  <si>
    <t>SS T-SHIRT MINIONS MOVIE FP RGLN MN-N031:WHITE:11-12:GRAPHIC:SS T-SHIRT</t>
  </si>
  <si>
    <t>SS T-SHIRT MINIONS MOVIE FP RGLN MN-N031:WHITE:13-14:GRAPHIC:SS T-SHIRT</t>
  </si>
  <si>
    <t>SS T-SHIRT MINIONS MOVIE FP RGLN MN-N031:WHITE:15-16:GRAPHIC:SS T-SHIRT</t>
  </si>
  <si>
    <t>MN-N010</t>
  </si>
  <si>
    <t>SS T-SHIRT MINIONS MOVIE TEAMS MN-N010:WHITE:3-4:GRAPHIC:SS T-SHIRT</t>
  </si>
  <si>
    <t>SS T-SHIRT MINIONS MOVIE TEAMS MN-N010:WHITE:4-5:GRAPHIC:SS T-SHIRT</t>
  </si>
  <si>
    <t>SS T-SHIRT MINIONS MOVIE TEAMS MN-N010:WHITE:5-6:GRAPHIC:SS T-SHIRT</t>
  </si>
  <si>
    <t>SS T-SHIRT MINIONS MOVIE TEAMS MN-N010:WHITE:7-8:GRAPHIC:SS T-SHIRT</t>
  </si>
  <si>
    <t>SS T-SHIRT MINIONS MOVIE TEAMS MN-N010:WHITE:9-10:GRAPHIC:SS T-SHIRT</t>
  </si>
  <si>
    <t>SS T-SHIRT MINIONS MOVIE TEAMS MN-N010:WHITE:11-12:GRAPHIC:SS T-SHIRT</t>
  </si>
  <si>
    <t>SS T-SHIRT MINIONS MOVIE TEAMS MN-N010:WHITE:13-14:GRAPHIC:SS T-SHIRT</t>
  </si>
  <si>
    <t>SS T-SHIRT MINIONS MOVIE TEAMS MN-N010:WHITE:15-16:GRAPHIC:SS T-SHIRT</t>
  </si>
  <si>
    <t>MN-HN05</t>
  </si>
  <si>
    <t>SS T-SHIRT MINIONS MOVIE US LIS LGN MN-HN05:CLASSIC YELLOW:3-4:GRAPHIC:SS T-SHIRT</t>
  </si>
  <si>
    <t>SS T-SHIRT MINIONS MOVIE US LIS LGN MN-HN05:CLASSIC YELLOW:4-5:GRAPHIC:SS T-SHIRT</t>
  </si>
  <si>
    <t>SS T-SHIRT MINIONS MOVIE US LIS LGN MN-HN05:CLASSIC YELLOW:5-6:GRAPHIC:SS T-SHIRT</t>
  </si>
  <si>
    <t>SS T-SHIRT MINIONS MOVIE US LIS LGN MN-HN05:CLASSIC YELLOW:7-8:GRAPHIC:SS T-SHIRT</t>
  </si>
  <si>
    <t>SS T-SHIRT MINIONS MOVIE US LIS LGN MN-HN05:CLASSIC YELLOW:9-10:GRAPHIC:SS T-SHIRT</t>
  </si>
  <si>
    <t>SS T-SHIRT MINIONS MOVIE US LIS LGN MN-HN05:CLASSIC YELLOW:11-12:GRAPHIC:SS T-SHIRT</t>
  </si>
  <si>
    <t>SS T-SHIRT MINIONS MOVIE US LIS LGN MN-HN05:CLASSIC YELLOW:13-14:GRAPHIC:SS T-SHIRT</t>
  </si>
  <si>
    <t>SS T-SHIRT MINIONS MOVIE US LIS LGN MN-HN05:CLASSIC YELLOW:15-16:GRAPHIC:SS T-SHIRT</t>
  </si>
  <si>
    <t>MN-HN03</t>
  </si>
  <si>
    <t>SS T-SHIRT MINIONS MOVIE SMALL MN-HN03:NAVY BLUE:3-4:GRAPHIC:SS T-SHIRT</t>
  </si>
  <si>
    <t>SS T-SHIRT MINIONS MOVIE SMALL MN-HN03:NAVY BLUE:4-5:GRAPHIC:SS T-SHIRT</t>
  </si>
  <si>
    <t>SS T-SHIRT MINIONS MOVIE SMALL MN-HN03:NAVY BLUE:5-6:GRAPHIC:SS T-SHIRT</t>
  </si>
  <si>
    <t>SS T-SHIRT MINIONS MOVIE SMALL MN-HN03:NAVY BLUE:7-8:GRAPHIC:SS T-SHIRT</t>
  </si>
  <si>
    <t>SS T-SHIRT MINIONS MOVIE SMALL MN-HN03:NAVY BLUE:9-10:GRAPHIC:SS T-SHIRT</t>
  </si>
  <si>
    <t>SS T-SHIRT MINIONS MOVIE SMALL MN-HN03:NAVY BLUE:11-12:GRAPHIC:SS T-SHIRT</t>
  </si>
  <si>
    <t>MN-HR02</t>
  </si>
  <si>
    <t>SS T-SHIRT MINIONS MOVIE CUT SEW MN-HR02:CLASSIC YELLOW:3-4:GRAPHIC:SS T-SHIRT</t>
  </si>
  <si>
    <t>SS T-SHIRT MINIONS MOVIE CUT SEW MN-HR02:CLASSIC YELLOW:4-5:GRAPHIC:SS T-SHIRT</t>
  </si>
  <si>
    <t>SS T-SHIRT MINIONS MOVIE CUT SEW MN-HR02:CLASSIC YELLOW:5-6:GRAPHIC:SS T-SHIRT</t>
  </si>
  <si>
    <t>SS T-SHIRT MINIONS MOVIE CUT SEW MN-HR02:CLASSIC YELLOW:7-8:GRAPHIC:SS T-SHIRT</t>
  </si>
  <si>
    <t>SS T-SHIRT MINIONS MOVIE CUT SEW MN-HR02:CLASSIC YELLOW:9-10:GRAPHIC:SS T-SHIRT</t>
  </si>
  <si>
    <t>SS T-SHIRT MINIONS MOVIE CUT SEW MN-HR02:CLASSIC YELLOW:11-12:GRAPHIC:SS T-SHIRT</t>
  </si>
  <si>
    <t>SS T-SHIRT MINIONS MOVIE CUT SEW MN-HR02:CLASSIC YELLOW:13-14:GRAPHIC:SS T-SHIRT</t>
  </si>
  <si>
    <t>SS T-SHIRT MINIONS MOVIE CUT SEW MN-HR02:CLASSIC YELLOW:15-16:GRAPHIC:SS T-SHIRT</t>
  </si>
  <si>
    <t>SWEATER SUPERMAN LOGO LIS C HR375C:NAVY BLUE:9-10:PRINT:JACKET</t>
  </si>
  <si>
    <t>MN-N068</t>
  </si>
  <si>
    <t>SWEATER MINIONS CLASSIC HOOD MN-N068:BLACK:3-4:PRINT:JACKET</t>
  </si>
  <si>
    <t>SWEATER MINIONS CLASSIC HOOD MN-N068:BLACK:4-5:PRINT:JACKET</t>
  </si>
  <si>
    <t>SWEATER MINIONS CLASSIC HOOD MN-N068:BLACK:5-6:PRINT:JACKET</t>
  </si>
  <si>
    <t>SWEATER MINIONS CLASSIC HOOD MN-N068:BLACK:7-8:PRINT:JACKET</t>
  </si>
  <si>
    <t>SWEATER MINIONS CLASSIC HOOD MN-N068:BLACK:9-10:PRINT:JACKET</t>
  </si>
  <si>
    <t>SWEATER MINIONS CLASSIC HOOD MN-N068:BLACK:11-12:PRINT:JACKET</t>
  </si>
  <si>
    <t>SWEATER MINIONS CLASSIC HOOD MN-N068:BLACK:13-14:PRINT:JACKET</t>
  </si>
  <si>
    <t>SWEATER MINIONS CLASSIC HOOD MN-N068:BLACK:15-16:PRINT:JACKET</t>
  </si>
  <si>
    <t>SWEATER MINIONS MOVIE HOOD MN-N010:CLASSIC YELLOW:3-4:GRAPHIC:JACKET</t>
  </si>
  <si>
    <t>SWEATER MINIONS MOVIE HOOD MN-N010:CLASSIC YELLOW:4-5:GRAPHIC:JACKET</t>
  </si>
  <si>
    <t>SWEATER MINIONS MOVIE HOOD MN-N010:CLASSIC YELLOW:5-6:GRAPHIC:JACKET</t>
  </si>
  <si>
    <t>SWEATER MINIONS MOVIE HOOD MN-N010:CLASSIC YELLOW:7-8:GRAPHIC:JACKET</t>
  </si>
  <si>
    <t>SWEATER MINIONS MOVIE HOOD MN-N010:CLASSIC YELLOW:9-10:GRAPHIC:JACKET</t>
  </si>
  <si>
    <t>SWEATER MINIONS MOVIE HOOD MN-N010:CLASSIC YELLOW:11-12:GRAPHIC:JACKET</t>
  </si>
  <si>
    <t>SWEATER MINIONS MOVIE HOOD MN-N010:CLASSIC YELLOW:13-14:GRAPHIC:JACKET</t>
  </si>
  <si>
    <t>SWEATER MINIONS MOVIE HOOD MN-N010:CLASSIC YELLOW:15-16:GRAPHIC:JACKET</t>
  </si>
  <si>
    <t>MN-N065</t>
  </si>
  <si>
    <t>SHORT MINIONS CLASSIC MN-N065:NAVY BLUE:3-4:PRINT:SHORT PANTS</t>
  </si>
  <si>
    <t>SHORT MINIONS CLASSIC MN-N065:NAVY BLUE:4-5:PRINT:SHORT PANTS</t>
  </si>
  <si>
    <t>SHORT MINIONS CLASSIC MN-N065:NAVY BLUE:7-8:PRINT:SHORT PANTS</t>
  </si>
  <si>
    <t>SHORT MINIONS CLASSIC MN-N065:NAVY BLUE:9-10:PRINT:SHORT PANTS</t>
  </si>
  <si>
    <t>SHORT MINIONS CLASSIC MN-N065:NAVY BLUE:11-12:PRINT:SHORT PANTS</t>
  </si>
  <si>
    <t>MN-N030</t>
  </si>
  <si>
    <t>SHORT PANTS MINIONS MOVIE MN-N030:NAVY BLUE:3-4:GRAPHIC:SHORT PANTS</t>
  </si>
  <si>
    <t>SHORT PANTS MINIONS MOVIE MN-N030:NAVY BLUE:4-5:GRAPHIC:SHORT PANTS</t>
  </si>
  <si>
    <t>SHORT PANTS MINIONS MOVIE MN-N030:NAVY BLUE:5-6:GRAPHIC:SHORT PANTS</t>
  </si>
  <si>
    <t>SHORT PANTS MINIONS MOVIE MN-N030:NAVY BLUE:7-8:GRAPHIC:SHORT PANTS</t>
  </si>
  <si>
    <t>SHORT PANTS MINIONS MOVIE MN-N030:NAVY BLUE:9-10:GRAPHIC:SHORT PANTS</t>
  </si>
  <si>
    <t>SHORT PANTS MINIONS MOVIE MN-N030:NAVY BLUE:11-12:GRAPHIC:SHORT PANTS</t>
  </si>
  <si>
    <t>SHORT PANTS MINIONS MOVIE MN-N030:NAVY BLUE:13-14:GRAPHIC:SHORT PANTS</t>
  </si>
  <si>
    <t>SHORT PANTS MINIONS MOVIE MN-N030:NAVY BLUE:15-16:GRAPHIC:SHORT PANTS</t>
  </si>
  <si>
    <t>MN-N067</t>
  </si>
  <si>
    <t>JOGGER MINIONS CLASSIC MN-N067:BLACK:3-4:PRINT:LONG PANTS</t>
  </si>
  <si>
    <t>JOGGER MINIONS CLASSIC MN-N067:BLACK:4-5:PRINT:LONG PANTS</t>
  </si>
  <si>
    <t>JOGGER MINIONS CLASSIC MN-N067:BLACK:5-6:PRINT:LONG PANTS</t>
  </si>
  <si>
    <t>JOGGER MINIONS CLASSIC MN-N067:BLACK:7-8:PRINT:LONG PANTS</t>
  </si>
  <si>
    <t>JOGGER MINIONS CLASSIC MN-N067:BLACK:9-10:PRINT:LONG PANTS</t>
  </si>
  <si>
    <t>JOGGER MINIONS CLASSIC MN-N067:BLACK:13-14:PRINT:LONG PANTS</t>
  </si>
  <si>
    <t>JOGGER MINIONS CLASSIC MN-N067:BLACK:15-16:PRINT:LONG PANTS</t>
  </si>
  <si>
    <t>MN-N008</t>
  </si>
  <si>
    <t>JOGGER MINIONS MOVIE LIS MN-N008:NAVY BLUE:3-4:GRAPHIC:LONG PANTS</t>
  </si>
  <si>
    <t>JOGGER MINIONS MOVIE LIS MN-N008:NAVY BLUE:4-5:GRAPHIC:LONG PANTS</t>
  </si>
  <si>
    <t>JOGGER MINIONS MOVIE LIS MN-N008:NAVY BLUE:5-6:GRAPHIC:LONG PANTS</t>
  </si>
  <si>
    <t>JOGGER MINIONS MOVIE LIS MN-N008:NAVY BLUE:7-8:GRAPHIC:LONG PANTS</t>
  </si>
  <si>
    <t>JOGGER MINIONS MOVIE LIS MN-N008:NAVY BLUE:9-10:GRAPHIC:LONG PANTS</t>
  </si>
  <si>
    <t>JOGGER MINIONS MOVIE LIS MN-N008:NAVY BLUE:11-12:GRAPHIC:LONG PANTS</t>
  </si>
  <si>
    <t>JOGGER MINIONS MOVIE LIS MN-N008:NAVY BLUE:13-14:GRAPHIC:LONG PANTS</t>
  </si>
  <si>
    <t>JOGGER MINIONS MOVIE LIS MN-N008:NAVY BLUE:15-16:GRAPHIC:LONG PANTS</t>
  </si>
  <si>
    <t>2019 ALL D95</t>
  </si>
  <si>
    <t>TF-N074</t>
  </si>
  <si>
    <t>TF-N073</t>
  </si>
  <si>
    <t>TF-N085</t>
  </si>
  <si>
    <t>SS T-SHIRT TF ONE KTG PRINT OPTIMUS TF-N074:CLASSIC RED:3-4:GRAPHIC:SS T-SHIRT</t>
  </si>
  <si>
    <t>SS T-SHIRT TF ONE KTG PRINT OPTIMUS TF-N074:CLASSIC RED:4-5:GRAPHIC:SS T-SHIRT</t>
  </si>
  <si>
    <t>SS T-SHIRT TF ONE KTG PRINT OPTIMUS TF-N074:CLASSIC RED:5-6:GRAPHIC:SS T-SHIRT</t>
  </si>
  <si>
    <t>SS T-SHIRT TF ONE KTG PRINT OPTIMUS TF-N074:CLASSIC RED:7-8:GRAPHIC:SS T-SHIRT</t>
  </si>
  <si>
    <t>SS T-SHIRT TF ONE KTG PRINT OPTIMUS TF-N074:CLASSIC RED:9-10:GRAPHIC:SS T-SHIRT</t>
  </si>
  <si>
    <t>SS T-SHIRT TF ONE KTG PRINT OPTIMUS TF-N074:CLASSIC RED:11-12:GRAPHIC:SS T-SHIRT</t>
  </si>
  <si>
    <t>SS T-SHIRT TF ONE KTG PRINT OPTIMUS TF-N074:CLASSIC RED:13-14:GRAPHIC:SS T-SHIRT</t>
  </si>
  <si>
    <t>SS T-SHIRT TF ONE KTG PRINT OPTIMUS TF-N074:CLASSIC RED:15-16:GRAPHIC:SS T-SHIRT</t>
  </si>
  <si>
    <t>SS T-SHIRT TF ONE OPTIMUS GREAT TF-N073:MISTY LIGHT BLUE:3-4:GRAPHIC:SS T-SHIRT</t>
  </si>
  <si>
    <t>SS T-SHIRT TF ONE OPTIMUS GREAT TF-N073:MISTY LIGHT BLUE:4-5:GRAPHIC:SS T-SHIRT</t>
  </si>
  <si>
    <t>SS T-SHIRT TF ONE OPTIMUS GREAT TF-N073:MISTY LIGHT BLUE:5-6:GRAPHIC:SS T-SHIRT</t>
  </si>
  <si>
    <t>SS T-SHIRT TF ONE OPTIMUS GREAT TF-N073:MISTY LIGHT BLUE:7-8:GRAPHIC:SS T-SHIRT</t>
  </si>
  <si>
    <t>SS T-SHIRT TF ONE OPTIMUS GREAT TF-N073:MISTY LIGHT BLUE:9-10:GRAPHIC:SS T-SHIRT</t>
  </si>
  <si>
    <t>SS T-SHIRT TF ONE OPTIMUS GREAT TF-N073:MISTY LIGHT BLUE:11-12:GRAPHIC:SS T-SHIRT</t>
  </si>
  <si>
    <t>SS T-SHIRT TF ONE OPTIMUS GREAT TF-N073:MISTY LIGHT BLUE:13-14:GRAPHIC:SS T-SHIRT</t>
  </si>
  <si>
    <t>SS T-SHIRT TF ONE OPTIMUS GREAT TF-N073:MISTY LIGHT BLUE:15-16:GRAPHIC:SS T-SHIRT</t>
  </si>
  <si>
    <t>SS T-SHIRT TF ONE BUMBLEBEE POSE TF-N085:BLACK:3-4:GRAPHIC:SS T-SHIRT</t>
  </si>
  <si>
    <t>SS T-SHIRT TF ONE BUMBLEBEE POSE TF-N085:BLACK:4-5:GRAPHIC:SS T-SHIRT</t>
  </si>
  <si>
    <t>SS T-SHIRT TF ONE BUMBLEBEE POSE TF-N085:BLACK:5-6:GRAPHIC:SS T-SHIRT</t>
  </si>
  <si>
    <t>SS T-SHIRT TF ONE BUMBLEBEE POSE TF-N085:BLACK:7-8:GRAPHIC:SS T-SHIRT</t>
  </si>
  <si>
    <t>SS T-SHIRT TF ONE BUMBLEBEE POSE TF-N085:BLACK:9-10:GRAPHIC:SS T-SHIRT</t>
  </si>
  <si>
    <t>SS T-SHIRT TF ONE BUMBLEBEE POSE TF-N085:BLACK:11-12:GRAPHIC:SS T-SHIRT</t>
  </si>
  <si>
    <t>SS T-SHIRT TF ONE BUMBLEBEE POSE TF-N085:BLACK:13-14:GRAPHIC:SS T-SHIRT</t>
  </si>
  <si>
    <t>SS T-SHIRT TF ONE BUMBLEBEE POSE TF-N085:BLACK:15-16:GRAPHIC:SS T-SHIRT</t>
  </si>
  <si>
    <t>SS T-SHIRT MINIONS CLASSIC FP ZIP MN-N062:MISTY LIGHT GREY:3-4:PRINT:SS T-SHIRT</t>
  </si>
  <si>
    <t>SS T-SHIRT MINIONS CLASSIC FP ZIP MN-N062:MISTY LIGHT GREY:4-5:PRINT:SS T-SHIRT</t>
  </si>
  <si>
    <t>SS T-SHIRT MINIONS CLASSIC KTG ZIP MN-N063:CLASSIC YELLOW:3-4:PRINT:SS T-SHIRT</t>
  </si>
  <si>
    <t>SS T-SHIRT MINIONS CLASSIC KTG ZIP MN-N063:CLASSIC YELLOW:5-6:PRINT:SS T-SHIRT</t>
  </si>
  <si>
    <t>SHORT MINIONS CLASSIC MN-N065:NAVY BLUE:5-6:PRINT:SHORT PANTS</t>
  </si>
  <si>
    <t>BG-069A</t>
  </si>
  <si>
    <t>T-SHIRT BATMAN GOTHAM A BG-069A:WHITE:3-4:PRINT:SS T-SHIRT</t>
  </si>
  <si>
    <t>T-SHIRT BATMAN GOTHAM A BG-069A:WHITE:4-5:PRINT:SS T-SHIRT</t>
  </si>
  <si>
    <t>T-SHIRT BATMAN GOTHAM A BG-069A:WHITE:5-6:PRINT:SS T-SHIRT</t>
  </si>
  <si>
    <t>T-SHIRT BATMAN GOTHAM A BG-069A:WHITE:7-8:PRINT:SS T-SHIRT</t>
  </si>
  <si>
    <t>T-SHIRT BATMAN GOTHAM A BG-069A:WHITE:9-10:PRINT:SS T-SHIRT</t>
  </si>
  <si>
    <t>TF-N071</t>
  </si>
  <si>
    <t>SS T-SHIRT TF ONE LOGO KTG ZIPPER TF-N071:MISTY DARK GREY:5-6:GRAPHIC:SS T-SHIRT</t>
  </si>
  <si>
    <t>SS T-SHIRT TF ONE LOGO KTG ZIPPER TF-N071:MISTY DARK GREY:7-8:GRAPHIC:SS T-SHIRT</t>
  </si>
  <si>
    <t>SS T-SHIRT TF ONE LOGO KTG ZIPPER TF-N071:MISTY DARK GREY:9-10:GRAPHIC:SS T-SHIRT</t>
  </si>
  <si>
    <t>SS T-SHIRT TF ONE LOGO KTG ZIPPER TF-N071:MISTY DARK GREY:11-12:GRAPHIC:SS T-SHIRT</t>
  </si>
  <si>
    <t>SS T-SHIRT TF ONE LOGO KTG ZIPPER TF-N071:MISTY DARK GREY:13-14:GRAPHIC:SS T-SHIRT</t>
  </si>
  <si>
    <t>SS T-SHIRT TF ONE LOGO KTG ZIPPER TF-N071:MISTY DARK GREY:15-16:GRAPHIC:SS T-SHIRT</t>
  </si>
  <si>
    <t>TF-N072</t>
  </si>
  <si>
    <t>SS T-SHIRT TF ONE KTG ZIPPER LOGO TF-N072:MISTY MEDIUM BLUE:5-6:GRAPHIC:SS T-SHIRT</t>
  </si>
  <si>
    <t>SS T-SHIRT TF ONE KTG ZIPPER LOGO TF-N072:MISTY MEDIUM BLUE:7-8:GRAPHIC:SS T-SHIRT</t>
  </si>
  <si>
    <t>SS T-SHIRT TF ONE KTG ZIPPER LOGO TF-N072:MISTY MEDIUM BLUE:9-10:GRAPHIC:SS T-SHIRT</t>
  </si>
  <si>
    <t>SS T-SHIRT TF ONE KTG ZIPPER LOGO TF-N072:MISTY MEDIUM BLUE:11-12:GRAPHIC:SS T-SHIRT</t>
  </si>
  <si>
    <t>SS T-SHIRT TF ONE KTG ZIPPER LOGO TF-N072:MISTY MEDIUM BLUE:13-14:GRAPHIC:SS T-SHIRT</t>
  </si>
  <si>
    <t>SS T-SHIRT TF ONE KTG ZIPPER LOGO TF-N072:MISTY MEDIUM BLUE:15-16:GRAPHIC:SS T-SHIRT</t>
  </si>
  <si>
    <t>SS T-SHIRT MINIONS CLASSIC KTG JARING MN-N064:CLASSIC YELLOW:3-4:PRINT:SS T-SHIRT</t>
  </si>
  <si>
    <t>JOGGER MINIONS CLASSIC MN-N067:BLACK:11-12:PRINT:LONG PANTS</t>
  </si>
  <si>
    <t>BG-090C</t>
  </si>
  <si>
    <t>T-SHIRT BATMAN DARK PRINT BLKG C BG-090C:BLACK:7-8:PRINT:SS T-SHIRT</t>
  </si>
  <si>
    <t>T-SHIRT BATMAN DARK PRINT BLKG C BG-090C:BLACK:9-10:PRINT:SS T-SHIRT</t>
  </si>
  <si>
    <t>T-SHIRT BATMAN DARK PRINT BLKG C BG-090C:BLACK:11-12:PRINT:SS T-SHIRT</t>
  </si>
  <si>
    <t>T-SHIRT BATMAN DARK PRINT BLKG C BG-090C:BLACK:13-14:PRINT:SS T-SHIRT</t>
  </si>
  <si>
    <t>T-SHIRT BATMAN DARK PRINT BLKG C BG-090C:BLACK:15-16:PRINT:SS T-SHIRT</t>
  </si>
  <si>
    <t>TF-N082</t>
  </si>
  <si>
    <t>SS T-SHIRT TF ONE TEAMS TF-N082:MISTY MEDIUM GREY:3-4:GRAPHIC:SS T-SHIRT</t>
  </si>
  <si>
    <t>SS T-SHIRT TF ONE TEAMS TF-N082:MISTY MEDIUM GREY:4-5:GRAPHIC:SS T-SHIRT</t>
  </si>
  <si>
    <t>SS T-SHIRT TF ONE TEAMS TF-N082:MISTY MEDIUM GREY:5-6:GRAPHIC:SS T-SHIRT</t>
  </si>
  <si>
    <t>SS T-SHIRT TF ONE TEAMS TF-N082:MISTY MEDIUM GREY:7-8:GRAPHIC:SS T-SHIRT</t>
  </si>
  <si>
    <t>SS T-SHIRT TF ONE TEAMS TF-N082:MISTY MEDIUM GREY:9-10:GRAPHIC:SS T-SHIRT</t>
  </si>
  <si>
    <t>SS T-SHIRT TF ONE TEAMS TF-N082:MISTY MEDIUM GREY:11-12:GRAPHIC:SS T-SHIRT</t>
  </si>
  <si>
    <t>SS T-SHIRT TF ONE TEAMS TF-N082:MISTY MEDIUM GREY:13-14:GRAPHIC:SS T-SHIRT</t>
  </si>
  <si>
    <t>SS T-SHIRT TF ONE TEAMS TF-N082:MISTY MEDIUM GREY:15-16:GRAPHIC:SS T-SHIRT</t>
  </si>
  <si>
    <t>TF-N087</t>
  </si>
  <si>
    <t>SS T-SHIRT TF ONE BUMBLEBEE CAR TF-N087:WHITE:3-4:GRAPHIC:SS T-SHIRT</t>
  </si>
  <si>
    <t>SS T-SHIRT TF ONE BUMBLEBEE CAR TF-N087:WHITE:4-5:GRAPHIC:SS T-SHIRT</t>
  </si>
  <si>
    <t>SS T-SHIRT TF ONE BUMBLEBEE CAR TF-N087:WHITE:5-6:GRAPHIC:SS T-SHIRT</t>
  </si>
  <si>
    <t>SS T-SHIRT TF ONE BUMBLEBEE CAR TF-N087:WHITE:7-8:GRAPHIC:SS T-SHIRT</t>
  </si>
  <si>
    <t>SS T-SHIRT TF ONE BUMBLEBEE CAR TF-N087:WHITE:9-10:GRAPHIC:SS T-SHIRT</t>
  </si>
  <si>
    <t>SS T-SHIRT TF ONE BUMBLEBEE CAR TF-N087:WHITE:11-12:GRAPHIC:SS T-SHIRT</t>
  </si>
  <si>
    <t>SS T-SHIRT TF ONE BUMBLEBEE CAR TF-N087:WHITE:13-14:GRAPHIC:SS T-SHIRT</t>
  </si>
  <si>
    <t>SS T-SHIRT TF ONE BUMBLEBEE CAR TF-N087:WHITE:15-16:GRAPHIC:SS T-SHIRT</t>
  </si>
  <si>
    <t>TF-N069</t>
  </si>
  <si>
    <t>SS T-SHIRT TF ONE B-127 SLUB TF-N069:NAVY BLUE:3-4:GRAPHIC:SS T-SHIRT</t>
  </si>
  <si>
    <t>SS T-SHIRT TF ONE B-127 SLUB TF-N069:NAVY BLUE:4-5:GRAPHIC:SS T-SHIRT</t>
  </si>
  <si>
    <t>SS T-SHIRT TF ONE B-127 SLUB TF-N069:NAVY BLUE:5-6:GRAPHIC:SS T-SHIRT</t>
  </si>
  <si>
    <t>SS T-SHIRT TF ONE B-127 SLUB TF-N069:NAVY BLUE:7-8:GRAPHIC:SS T-SHIRT</t>
  </si>
  <si>
    <t>SS T-SHIRT TF ONE B-127 SLUB TF-N069:NAVY BLUE:9-10:GRAPHIC:SS T-SHIRT</t>
  </si>
  <si>
    <t>SS T-SHIRT TF ONE B-127 SLUB TF-N069:NAVY BLUE:11-12:GRAPHIC:SS T-SHIRT</t>
  </si>
  <si>
    <t>SS T-SHIRT TF ONE B-127 SLUB TF-N069:NAVY BLUE:13-14:GRAPHIC:SS T-SHIRT</t>
  </si>
  <si>
    <t>SS T-SHIRT TF ONE B-127 SLUB TF-N069:NAVY BLUE:15-16:GRAPHIC:SS T-SHIRT</t>
  </si>
  <si>
    <t>TF-HR02</t>
  </si>
  <si>
    <t>SS T-SHIRT TF ONE LOGO FP FLOCKING TF-HR02:WHITE:3-4:GRAPHIC:SS T-SHIRT</t>
  </si>
  <si>
    <t>SS T-SHIRT TF ONE LOGO FP FLOCKING TF-HR02:WHITE:4-5:GRAPHIC:SS T-SHIRT</t>
  </si>
  <si>
    <t>SS T-SHIRT TF ONE LOGO FP FLOCKING TF-HR02:WHITE:5-6:GRAPHIC:SS T-SHIRT</t>
  </si>
  <si>
    <t>SS T-SHIRT TF ONE LOGO FP FLOCKING TF-HR02:WHITE:7-8:GRAPHIC:SS T-SHIRT</t>
  </si>
  <si>
    <t>SS T-SHIRT TF ONE LOGO FP FLOCKING TF-HR02:WHITE:9-10:GRAPHIC:SS T-SHIRT</t>
  </si>
  <si>
    <t>SS T-SHIRT TF ONE LOGO FP FLOCKING TF-HR02:WHITE:11-12:GRAPHIC:SS T-SHIRT</t>
  </si>
  <si>
    <t>SS T-SHIRT TF ONE LOGO FP FLOCKING TF-HR02:WHITE:13-14:GRAPHIC:SS T-SHIRT</t>
  </si>
  <si>
    <t>SS T-SHIRT TF ONE LOGO FP FLOCKING TF-HR02:WHITE:15-16:GRAPHIC:SS T-SHIRT</t>
  </si>
  <si>
    <t>TF-N068</t>
  </si>
  <si>
    <t>JAKET TF ONE KTG HOOD TF-N068:NAVY BLUE:3-4:GRAPHIC:JACKET</t>
  </si>
  <si>
    <t>JAKET TF ONE KTG HOOD TF-N068:NAVY BLUE:4-5:GRAPHIC:JACKET</t>
  </si>
  <si>
    <t>JAKET TF ONE KTG HOOD TF-N068:NAVY BLUE:5-6:GRAPHIC:JACKET</t>
  </si>
  <si>
    <t>JAKET TF ONE KTG HOOD TF-N068:NAVY BLUE:7-8:GRAPHIC:JACKET</t>
  </si>
  <si>
    <t>JAKET TF ONE KTG HOOD TF-N068:NAVY BLUE:9-10:GRAPHIC:JACKET</t>
  </si>
  <si>
    <t>JAKET TF ONE KTG HOOD TF-N068:NAVY BLUE:11-12:GRAPHIC:JACKET</t>
  </si>
  <si>
    <t>JAKET TF ONE KTG HOOD TF-N068:NAVY BLUE:13-14:GRAPHIC:JACKET</t>
  </si>
  <si>
    <t>JAKET TF ONE KTG HOOD TF-N068:NAVY BLUE:15-16:GRAPHIC:JACKET</t>
  </si>
  <si>
    <t>TF-N065</t>
  </si>
  <si>
    <t>SHORT TF ONE KTG SAMPING PRINT TF-N065:MISTY DARK BLUE:3-4:GRAPHIC:SHORT PANTS</t>
  </si>
  <si>
    <t>SHORT TF ONE KTG SAMPING PRINT TF-N065:MISTY DARK BLUE:4-5:GRAPHIC:SHORT PANTS</t>
  </si>
  <si>
    <t>SHORT TF ONE KTG SAMPING PRINT TF-N065:MISTY DARK BLUE:5-6:GRAPHIC:SHORT PANTS</t>
  </si>
  <si>
    <t>SHORT TF ONE KTG SAMPING PRINT TF-N065:MISTY DARK BLUE:7-8:GRAPHIC:SHORT PANTS</t>
  </si>
  <si>
    <t>SHORT TF ONE KTG SAMPING PRINT TF-N065:MISTY DARK BLUE:9-10:GRAPHIC:SHORT PANTS</t>
  </si>
  <si>
    <t>SHORT TF ONE KTG SAMPING PRINT TF-N065:MISTY DARK BLUE:11-12:GRAPHIC:SHORT PANTS</t>
  </si>
  <si>
    <t>SHORT TF ONE KTG SAMPING PRINT TF-N065:MISTY DARK BLUE:13-14:GRAPHIC:SHORT PANTS</t>
  </si>
  <si>
    <t>SHORT TF ONE KTG SAMPING PRINT TF-N065:MISTY DARK BLUE:15-16:GRAPHIC:SHORT PANTS</t>
  </si>
  <si>
    <t>TF-N075</t>
  </si>
  <si>
    <t>JOGGER TF ONE KTG SAMPING PRINT TF-N075:NAVY BLUE:3-4:GRAPHIC:JOGGER</t>
  </si>
  <si>
    <t>JOGGER TF ONE KTG SAMPING PRINT TF-N075:NAVY BLUE:4-5:GRAPHIC:JOGGER</t>
  </si>
  <si>
    <t>JOGGER TF ONE KTG SAMPING PRINT TF-N075:NAVY BLUE:5-6:GRAPHIC:JOGGER</t>
  </si>
  <si>
    <t>JOGGER TF ONE KTG SAMPING PRINT TF-N075:NAVY BLUE:7-8:GRAPHIC:JOGGER</t>
  </si>
  <si>
    <t>JOGGER TF ONE KTG SAMPING PRINT TF-N075:NAVY BLUE:9-10:GRAPHIC:JOGGER</t>
  </si>
  <si>
    <t>JOGGER TF ONE KTG SAMPING PRINT TF-N075:NAVY BLUE:11-12:GRAPHIC:JOGGER</t>
  </si>
  <si>
    <t>JOGGER TF ONE KTG SAMPING PRINT TF-N075:NAVY BLUE:13-14:GRAPHIC:JOGGER</t>
  </si>
  <si>
    <t>JOGGER TF ONE KTG SAMPING PRINT TF-N075:NAVY BLUE:15-16:GRAPHIC:JOGGER</t>
  </si>
  <si>
    <t>BG-106C</t>
  </si>
  <si>
    <t>SS T-SHIRT BATMAN LOGO PRINT BLKG C BG-106C:MISTY LIGHT YELLOW:7-8:GRAPHIC:SS T-SHIRT</t>
  </si>
  <si>
    <t>SS T-SHIRT BATMAN LOGO PRINT BLKG C BG-106C:MISTY LIGHT YELLOW:9-10:GRAPHIC:SS T-SHIRT</t>
  </si>
  <si>
    <t>SS T-SHIRT BATMAN LOGO PRINT BLKG C BG-106C:MISTY LIGHT YELLOW:11-12:GRAPHIC:SS T-SHIRT</t>
  </si>
  <si>
    <t>SS T-SHIRT BATMAN LOGO PRINT BLKG C BG-106C:MISTY LIGHT YELLOW:13-14:GRAPHIC:SS T-SHIRT</t>
  </si>
  <si>
    <t>SS T-SHIRT BATMAN LOGO PRINT BLKG C BG-106C:MISTY LIGHT YELLOW:15-16:GRAPHIC:SS T-SHIRT</t>
  </si>
  <si>
    <t>HN39A</t>
  </si>
  <si>
    <t>T-SHIRT BATMAN GOTHAM HERO LENGAN A HN39A:CLASSIC YELLOW:3-4:PRINT:SS T-SHIRT</t>
  </si>
  <si>
    <t>T-SHIRT BATMAN GOTHAM HERO LENGAN A HN39A:CLASSIC YELLOW:4-5:PRINT:SS T-SHIRT</t>
  </si>
  <si>
    <t>T-SHIRT BATMAN GOTHAM HERO LENGAN A HN39A:CLASSIC YELLOW:5-6:PRINT:SS T-SHIRT</t>
  </si>
  <si>
    <t>T-SHIRT BATMAN GOTHAM HERO LENGAN A HN39A:CLASSIC YELLOW:7-8:PRINT:SS T-SHIRT</t>
  </si>
  <si>
    <t>T-SHIRT BATMAN GOTHAM HERO LENGAN A HN39A:CLASSIC YELLOW:9-10:PRINT:SS T-SHIRT</t>
  </si>
  <si>
    <t>TF-A106</t>
  </si>
  <si>
    <t>SS T-SHIRT TF FP BUMBLEBEE CAR TF-A 106:CLASSIC YELLOW:3-4:GRAPHIC:SS T-SHIRT</t>
  </si>
  <si>
    <t>SS T-SHIRT TF FP BUMBLEBEE CAR TF-A 106:CLASSIC YELLOW:4-5:GRAPHIC:SS T-SHIRT</t>
  </si>
  <si>
    <t>SS T-SHIRT TF FP BUMBLEBEE CAR TF-A 106:CLASSIC YELLOW:5-6:GRAPHIC:SS T-SHIRT</t>
  </si>
  <si>
    <t>SS T-SHIRT TF FP BUMBLEBEE CAR TF-A 106:CLASSIC YELLOW:7-8:GRAPHIC:SS T-SHIRT</t>
  </si>
  <si>
    <t>SS T-SHIRT TF FP BUMBLEBEE CAR TF-A 106:CLASSIC YELLOW:9-10:GRAPHIC:SS T-SHIRT</t>
  </si>
  <si>
    <t>SS T-SHIRT TF FP BUMBLEBEE CAR TF-A 106:CLASSIC YELLOW:11-12:GRAPHIC:SS T-SHIRT</t>
  </si>
  <si>
    <t>SS T-SHIRT TF FP BUMBLEBEE CAR TF-A 106:CLASSIC YELLOW:13-14:GRAPHIC:SS T-SHIRT</t>
  </si>
  <si>
    <t>SS T-SHIRT TF FP BUMBLEBEE CAR TF-A 106:CLASSIC YELLOW:15-16:GRAPHIC:SS T-SHIRT</t>
  </si>
  <si>
    <t>TF-A105</t>
  </si>
  <si>
    <t>SS T-SHIRT TF OPTIMUS LOGO TF-A 105:CLASSIC RED:3-4:GRAPHIC:SS T-SHIRT</t>
  </si>
  <si>
    <t>SS T-SHIRT TF OPTIMUS LOGO TF-A 105:CLASSIC RED:4-5:GRAPHIC:SS T-SHIRT</t>
  </si>
  <si>
    <t>SS T-SHIRT TF OPTIMUS LOGO TF-A 105:CLASSIC RED:5-6:GRAPHIC:SS T-SHIRT</t>
  </si>
  <si>
    <t>SS T-SHIRT TF OPTIMUS LOGO TF-A 105:CLASSIC RED:7-8:GRAPHIC:SS T-SHIRT</t>
  </si>
  <si>
    <t>SS T-SHIRT TF OPTIMUS LOGO TF-A 105:CLASSIC RED:9-10:GRAPHIC:SS T-SHIRT</t>
  </si>
  <si>
    <t>SS T-SHIRT TF OPTIMUS LOGO TF-A 105:CLASSIC RED:11-12:GRAPHIC:SS T-SHIRT</t>
  </si>
  <si>
    <t>SS T-SHIRT TF OPTIMUS LOGO TF-A 105:CLASSIC RED:13-14:GRAPHIC:SS T-SHIRT</t>
  </si>
  <si>
    <t>SS T-SHIRT TF OPTIMUS LOGO TF-A 105:CLASSIC RED:15-16:GRAPHIC:SS T-SHIRT</t>
  </si>
  <si>
    <t>TF-A107</t>
  </si>
  <si>
    <t>SS T-SHIRT TF FP OPTIMUS BEE TF-A 107:WHITE:3-4:PRINT:SS T-SHIRT</t>
  </si>
  <si>
    <t>SS T-SHIRT TF FP OPTIMUS BEE TF-A 107:WHITE:4-5:PRINT:SS T-SHIRT</t>
  </si>
  <si>
    <t>SS T-SHIRT TF FP OPTIMUS BEE TF-A 107:WHITE:5-6:PRINT:SS T-SHIRT</t>
  </si>
  <si>
    <t>SS T-SHIRT TF FP OPTIMUS BEE TF-A 107:WHITE:7-8:PRINT:SS T-SHIRT</t>
  </si>
  <si>
    <t>SS T-SHIRT TF FP OPTIMUS BEE TF-A 107:WHITE:9-10:PRINT:SS T-SHIRT</t>
  </si>
  <si>
    <t>SS T-SHIRT TF FP OPTIMUS BEE TF-A 107:WHITE:11-12:PRINT:SS T-SHIRT</t>
  </si>
  <si>
    <t>SS T-SHIRT TF FP OPTIMUS BEE TF-A 107:WHITE:13-14:PRINT:SS T-SHIRT</t>
  </si>
  <si>
    <t>SS T-SHIRT TF FP OPTIMUS BEE TF-A 107:WHITE:15-16:PRINT:SS T-SHIRT</t>
  </si>
  <si>
    <t>BG-109A</t>
  </si>
  <si>
    <t>SS T-SHIRT SUPERMAN FP FLY A BG-109A:WHITE:3-4:PRINT:SS T-SHIRT</t>
  </si>
  <si>
    <t>SS T-SHIRT SUPERMAN FP FLY A BG-109A:WHITE:4-5:PRINT:SS T-SHIRT</t>
  </si>
  <si>
    <t>SS T-SHIRT SUPERMAN FP FLY A BG-109A:WHITE:5-6:PRINT:SS T-SHIRT</t>
  </si>
  <si>
    <t>SS T-SHIRT SUPERMAN FP FLY A BG-109A:WHITE:7-8:PRINT:SS T-SHIRT</t>
  </si>
  <si>
    <t>SS T-SHIRT SUPERMAN FP FLY A BG-109A:WHITE:9-10:PRINT:SS T-SHIRT</t>
  </si>
  <si>
    <t>BG-108C</t>
  </si>
  <si>
    <t>SS T-SHIRT SUPERMAN CITY C BG-108C:BLACK:7-8:PRINT:SS T-SHIRT</t>
  </si>
  <si>
    <t>SS T-SHIRT SUPERMAN CITY C BG-108C:BLACK:9-10:PRINT:SS T-SHIRT</t>
  </si>
  <si>
    <t>SS T-SHIRT SUPERMAN CITY C BG-108C:BLACK:11-12:PRINT:SS T-SHIRT</t>
  </si>
  <si>
    <t>SS T-SHIRT SUPERMAN CITY C BG-108C:BLACK:13-14:PRINT:SS T-SHIRT</t>
  </si>
  <si>
    <t>SS T-SHIRT SUPERMAN CITY C BG-108C:BLACK:15-16:PRINT:SS T-SHIRT</t>
  </si>
  <si>
    <t>SUP-A156C</t>
  </si>
  <si>
    <t>SS T-SHIRT SUPERMAN FP LOGO LIS C SUP-A156C:WHITE:7-8:PRINT:SS T-SHIRT</t>
  </si>
  <si>
    <t>SS T-SHIRT SUPERMAN FP LOGO LIS C SUP-A156C:WHITE:9-10:PRINT:SS T-SHIRT</t>
  </si>
  <si>
    <t>SS T-SHIRT SUPERMAN FP LOGO LIS C SUP-A156C:WHITE:11-12:PRINT:SS T-SHIRT</t>
  </si>
  <si>
    <t>SS T-SHIRT SUPERMAN FP LOGO LIS C SUP-A156C:WHITE:13-14:PRINT:SS T-SHIRT</t>
  </si>
  <si>
    <t>SS T-SHIRT SUPERMAN FP LOGO LIS C SUP-A156C:WHITE:15-16:PRINT:SS T-SHIRT</t>
  </si>
  <si>
    <t>MN-N013</t>
  </si>
  <si>
    <t>SS T-SHIRT MINIONS KEVIN MN-N013:MISTY LIGHT YELLOW:3-4:PRINT:SS T-SHIRT</t>
  </si>
  <si>
    <t>SS T-SHIRT MINIONS KEVIN MN-N013:MISTY LIGHT YELLOW:4-5:PRINT:SS T-SHIRT</t>
  </si>
  <si>
    <t>SS T-SHIRT MINIONS KEVIN MN-N013:MISTY LIGHT YELLOW:5-6:PRINT:SS T-SHIRT</t>
  </si>
  <si>
    <t>SS T-SHIRT MINIONS KEVIN MN-N013:MISTY LIGHT YELLOW:7-8:PRINT:SS T-SHIRT</t>
  </si>
  <si>
    <t>SS T-SHIRT MINIONS KEVIN MN-N013:MISTY LIGHT YELLOW:9-10:PRINT:SS T-SHIRT</t>
  </si>
  <si>
    <t>SS T-SHIRT MINIONS KEVIN MN-N013:MISTY LIGHT YELLOW:11-12:PRINT:SS T-SHIRT</t>
  </si>
  <si>
    <t>SS T-SHIRT MINIONS KEVIN MN-N013:MISTY LIGHT YELLOW:13-14:PRINT:SS T-SHIRT</t>
  </si>
  <si>
    <t>SS T-SHIRT MINIONS KEVIN MN-N013:MISTY LIGHT YELLOW:15-16:PRINT:SS T-SHIRT</t>
  </si>
  <si>
    <t>MN-N051</t>
  </si>
  <si>
    <t>SS T-SHIRT MINIONS TOGETHER MN-N051:MISTY MEDIUM BLUE:3-4:GRAPHIC:SS T-SHIRT</t>
  </si>
  <si>
    <t>SS T-SHIRT MINIONS TOGETHER MN-N051:MISTY MEDIUM BLUE:4-5:GRAPHIC:SS T-SHIRT</t>
  </si>
  <si>
    <t>SS T-SHIRT MINIONS TOGETHER MN-N051:MISTY MEDIUM BLUE:5-6:GRAPHIC:SS T-SHIRT</t>
  </si>
  <si>
    <t>SS T-SHIRT MINIONS TOGETHER MN-N051:MISTY MEDIUM BLUE:7-8:GRAPHIC:SS T-SHIRT</t>
  </si>
  <si>
    <t>SS T-SHIRT MINIONS TOGETHER MN-N051:MISTY MEDIUM BLUE:9-10:GRAPHIC:SS T-SHIRT</t>
  </si>
  <si>
    <t>SS T-SHIRT MINIONS TOGETHER MN-N051:MISTY MEDIUM BLUE:11-12:GRAPHIC:SS T-SHIRT</t>
  </si>
  <si>
    <t>SS T-SHIRT MINIONS TOGETHER MN-N051:MISTY MEDIUM BLUE:13-14:GRAPHIC:SS T-SHIRT</t>
  </si>
  <si>
    <t>SS T-SHIRT MINIONS TOGETHER MN-N051:MISTY MEDIUM BLUE:15-16:GRAPHIC:SS T-SHIRT</t>
  </si>
  <si>
    <t>MN-N079</t>
  </si>
  <si>
    <t>SS T-SHIRT MINIONS GAME OVER GLOW ID MN-N079:BLACK:3-4:GRAPHIC:SS T-SHIRT</t>
  </si>
  <si>
    <t>SS T-SHIRT MINIONS GAME OVER GLOW ID MN-N079:BLACK:4-5:GRAPHIC:SS T-SHIRT</t>
  </si>
  <si>
    <t>SS T-SHIRT MINIONS GAME OVER GLOW ID MN-N079:BLACK:5-6:GRAPHIC:SS T-SHIRT</t>
  </si>
  <si>
    <t>SS T-SHIRT MINIONS GAME OVER GLOW ID MN-N079:BLACK:7-8:GRAPHIC:SS T-SHIRT</t>
  </si>
  <si>
    <t>SS T-SHIRT MINIONS GAME OVER GLOW ID MN-N079:BLACK:9-10:GRAPHIC:SS T-SHIRT</t>
  </si>
  <si>
    <t>SS T-SHIRT MINIONS GAME OVER GLOW ID MN-N079:BLACK:11-12:GRAPHIC:SS T-SHIRT</t>
  </si>
  <si>
    <t>SS T-SHIRT MINIONS GAME OVER GLOW ID MN-N079:BLACK:13-14:GRAPHIC:SS T-SHIRT</t>
  </si>
  <si>
    <t>SS T-SHIRT MINIONS GAME OVER GLOW ID MN-N079:BLACK:15-16:GRAPHIC:SS T-SHIRT</t>
  </si>
  <si>
    <t>MN-N097</t>
  </si>
  <si>
    <t>SS T-SHIRT MINIONS VIRTUAL MN-N097:MISTY LIGHT YELLOW:3-4:GRAPHIC:SS T-SHIRT</t>
  </si>
  <si>
    <t>SS T-SHIRT MINIONS VIRTUAL MN-N097:MISTY LIGHT YELLOW:4-5:GRAPHIC:SS T-SHIRT</t>
  </si>
  <si>
    <t>SS T-SHIRT MINIONS VIRTUAL MN-N097:MISTY LIGHT YELLOW:5-6:GRAPHIC:SS T-SHIRT</t>
  </si>
  <si>
    <t>SS T-SHIRT MINIONS VIRTUAL MN-N097:MISTY LIGHT YELLOW:7-8:GRAPHIC:SS T-SHIRT</t>
  </si>
  <si>
    <t>SS T-SHIRT MINIONS VIRTUAL MN-N097:MISTY LIGHT YELLOW:9-10:GRAPHIC:SS T-SHIRT</t>
  </si>
  <si>
    <t>SS T-SHIRT MINIONS VIRTUAL MN-N097:MISTY LIGHT YELLOW:11-12:GRAPHIC:SS T-SHIRT</t>
  </si>
  <si>
    <t>SS T-SHIRT MINIONS VIRTUAL MN-N097:MISTY LIGHT YELLOW:13-14:GRAPHIC:SS T-SHIRT</t>
  </si>
  <si>
    <t>SS T-SHIRT MINIONS VIRTUAL MN-N097:MISTY LIGHT YELLOW:15-16:GRAPHIC:SS T-SHIRT</t>
  </si>
  <si>
    <t>MLBH-2</t>
  </si>
  <si>
    <t>SS T-SHIRT MLBB ALDOUS ACTION MLBH-2:NAVY BLUE:7-8:GRAPHIC:SS T-SHIRT</t>
  </si>
  <si>
    <t>SS T-SHIRT MLBB ALDOUS ACTION MLBH-2:NAVY BLUE:9-10:GRAPHIC:SS T-SHIRT</t>
  </si>
  <si>
    <t>SS T-SHIRT MLBB ALDOUS ACTION MLBH-2:NAVY BLUE:11-12:GRAPHIC:SS T-SHIRT</t>
  </si>
  <si>
    <t>SS T-SHIRT MLBB ALDOUS ACTION MLBH-2:NAVY BLUE:13-14:GRAPHIC:SS T-SHIRT</t>
  </si>
  <si>
    <t>SS T-SHIRT MLBB ALDOUS ACTION MLBH-2:NAVY BLUE:15-16:GRAPHIC:SS T-SHIRT</t>
  </si>
  <si>
    <t>ML-A01</t>
  </si>
  <si>
    <t>JP-HN016</t>
  </si>
  <si>
    <t>SS T-SHIRT JURASSIC FP LOGO A JP-HN016:MISTY MEDIUM YELLOW:3-4:PRINT:SS T-SHIRT</t>
  </si>
  <si>
    <t>SS T-SHIRT JURASSIC FP LOGO A JP-HN016:MISTY MEDIUM YELLOW:4-5:PRINT:SS T-SHIRT</t>
  </si>
  <si>
    <t>SS T-SHIRT JURASSIC FP LOGO A JP-HN016:MISTY MEDIUM YELLOW:5-6:PRINT:SS T-SHIRT</t>
  </si>
  <si>
    <t>SS T-SHIRT JURASSIC FP LOGO A JP-HN016:MISTY MEDIUM YELLOW:7-8:PRINT:SS T-SHIRT</t>
  </si>
  <si>
    <t>SS T-SHIRT JURASSIC FP LOGO A JP-HN016:MISTY MEDIUM YELLOW:9-10:PRINT:SS T-SHIRT</t>
  </si>
  <si>
    <t>JP-N020</t>
  </si>
  <si>
    <t>SS T-SHIRT JURASSIC FP LOGO JP-N020:BLACK:3-4:PRINT:SS T-SHIRT</t>
  </si>
  <si>
    <t>SS T-SHIRT JURASSIC FP LOGO JP-N020:BLACK:4-5:PRINT:SS T-SHIRT</t>
  </si>
  <si>
    <t>SS T-SHIRT JURASSIC FP LOGO JP-N020:BLACK:5-6:PRINT:SS T-SHIRT</t>
  </si>
  <si>
    <t>SS T-SHIRT JURASSIC FP LOGO JP-N020:BLACK:7-8:PRINT:SS T-SHIRT</t>
  </si>
  <si>
    <t>SS T-SHIRT JURASSIC FP LOGO JP-N020:BLACK:9-10:PRINT:SS T-SHIRT</t>
  </si>
  <si>
    <t>SS T-SHIRT JURASSIC FP LOGO JP-N020:BLACK:11-12:PRINT:SS T-SHIRT</t>
  </si>
  <si>
    <t>SS T-SHIRT JURASSIC FP LOGO JP-N020:BLACK:13-14:PRINT:SS T-SHIRT</t>
  </si>
  <si>
    <t>SS T-SHIRT JURASSIC FP LOGO JP-N020:BLACK:15-16:PRINT:SS T-SHIRT</t>
  </si>
  <si>
    <t>JP-N024</t>
  </si>
  <si>
    <t>SS T-SHIRT JURASSIC STORY A JP-N024:MISTY LIGHT GREY:3-4:GRAPHIC:SS T-SHIRT</t>
  </si>
  <si>
    <t>SS T-SHIRT JURASSIC STORY A JP-N024:MISTY LIGHT GREY:4-5:GRAPHIC:SS T-SHIRT</t>
  </si>
  <si>
    <t>SS T-SHIRT JURASSIC STORY A JP-N024:MISTY LIGHT GREY:5-6:GRAPHIC:SS T-SHIRT</t>
  </si>
  <si>
    <t>SS T-SHIRT JURASSIC STORY A JP-N024:MISTY LIGHT GREY:7-8:GRAPHIC:SS T-SHIRT</t>
  </si>
  <si>
    <t>SS T-SHIRT JURASSIC STORY A JP-N024:MISTY LIGHT GREY:9-10:GRAPHIC:SS T-SHIRT</t>
  </si>
  <si>
    <t>JP-N025</t>
  </si>
  <si>
    <t>SS T-SHIRT JURASSIC DINOS A JP-N025:OLIVE:3-4:PRINT:SS T-SHIRT</t>
  </si>
  <si>
    <t>SS T-SHIRT JURASSIC DINOS A JP-N025:OLIVE:4-5:PRINT:SS T-SHIRT</t>
  </si>
  <si>
    <t>SS T-SHIRT JURASSIC DINOS A JP-N025:OLIVE:5-6:PRINT:SS T-SHIRT</t>
  </si>
  <si>
    <t>SS T-SHIRT JURASSIC DINOS A JP-N025:OLIVE:7-8:PRINT:SS T-SHIRT</t>
  </si>
  <si>
    <t>SS T-SHIRT JURASSIC DINOS A JP-N025:OLIVE:9-10:PRINT:SS T-SHIRT</t>
  </si>
  <si>
    <t>JP-N017</t>
  </si>
  <si>
    <t>SS T-SHIRT JURASSIC MAIN GATE JP-N017:NAVY BLUE:3-4:GRAPHIC:SS T-SHIRT</t>
  </si>
  <si>
    <t>SS T-SHIRT JURASSIC MAIN GATE JP-N017:NAVY BLUE:4-5:GRAPHIC:SS T-SHIRT</t>
  </si>
  <si>
    <t>SS T-SHIRT JURASSIC MAIN GATE JP-N017:NAVY BLUE:5-6:GRAPHIC:SS T-SHIRT</t>
  </si>
  <si>
    <t>SS T-SHIRT JURASSIC MAIN GATE JP-N017:NAVY BLUE:7-8:GRAPHIC:SS T-SHIRT</t>
  </si>
  <si>
    <t>SS T-SHIRT JURASSIC MAIN GATE JP-N017:NAVY BLUE:9-10:GRAPHIC:SS T-SHIRT</t>
  </si>
  <si>
    <t>SS T-SHIRT JURASSIC MAIN GATE JP-N017:NAVY BLUE:11-12:GRAPHIC:SS T-SHIRT</t>
  </si>
  <si>
    <t>SS T-SHIRT JURASSIC MAIN GATE JP-N017:NAVY BLUE:13-14:GRAPHIC:SS T-SHIRT</t>
  </si>
  <si>
    <t>SS T-SHIRT JURASSIC MAIN GATE JP-N017:NAVY BLUE:15-16:GRAPHIC:SS T-SHIRT</t>
  </si>
  <si>
    <t>BM-A95C</t>
  </si>
  <si>
    <t>SHORT PANTS CP KNIT BATMAN SPLASH BM-A95C:MISTY MEDIUM GREY:5-6:GRAPHIC:SHORT PANTS</t>
  </si>
  <si>
    <t>SHORT PANTS CP KNIT BATMAN SPLASH BM-A95C:MISTY MEDIUM GREY:7-8:GRAPHIC:SHORT PANTS</t>
  </si>
  <si>
    <t>SHORT PANTS CP KNIT BATMAN SPLASH BM-A95C:MISTY MEDIUM GREY:9-10:GRAPHIC:SHORT PANTS</t>
  </si>
  <si>
    <t>SHORT PANTS CP KNIT BATMAN SPLASH BM-A95C:MISTY MEDIUM GREY:11-12:GRAPHIC:SHORT PANTS</t>
  </si>
  <si>
    <t>SHORT PANTS CP KNIT BATMAN SPLASH BM-A95C:MISTY MEDIUM GREY:13-14:GRAPHIC:SHORT PANTS</t>
  </si>
  <si>
    <t>HN-37</t>
  </si>
  <si>
    <t>SS T-SHIRT BATMAN LOGO CUT SEW A HN-37:CLASSIC YELLOW:3-4:GRAPHIC:SS T-SHIRT</t>
  </si>
  <si>
    <t>SS T-SHIRT BATMAN LOGO CUT SEW A HN-37:CLASSIC YELLOW:4-5:GRAPHIC:SS T-SHIRT</t>
  </si>
  <si>
    <t>SS T-SHIRT BATMAN LOGO CUT SEW A HN-37:CLASSIC YELLOW:5-6:GRAPHIC:SS T-SHIRT</t>
  </si>
  <si>
    <t>SS T-SHIRT BATMAN LOGO CUT SEW A HN-37:CLASSIC YELLOW:7-8:GRAPHIC:SS T-SHIRT</t>
  </si>
  <si>
    <t>SS T-SHIRT BATMAN LOGO CUT SEW A HN-37:CLASSIC YELLOW:9-10:GRAPHIC:SS T-SHIRT</t>
  </si>
  <si>
    <t>TF-HR01</t>
  </si>
  <si>
    <t>SS T-SHIRT TF LOGO LIS GLOW ID TF-HR01:CLASSIC RED:3-4:GRAPHIC:SS T-SHIRT</t>
  </si>
  <si>
    <t>SS T-SHIRT TF LOGO LIS GLOW ID TF-HR01:CLASSIC RED:4-5:GRAPHIC:SS T-SHIRT</t>
  </si>
  <si>
    <t>SS T-SHIRT TF LOGO LIS GLOW ID TF-HR01:CLASSIC RED:5-6:GRAPHIC:SS T-SHIRT</t>
  </si>
  <si>
    <t>SS T-SHIRT TF LOGO LIS GLOW ID TF-HR01:CLASSIC RED:7-8:GRAPHIC:SS T-SHIRT</t>
  </si>
  <si>
    <t>SS T-SHIRT TF LOGO LIS GLOW ID TF-HR01:CLASSIC RED:9-10:GRAPHIC:SS T-SHIRT</t>
  </si>
  <si>
    <t>SS T-SHIRT TF LOGO LIS GLOW ID TF-HR01:CLASSIC RED:11-12:GRAPHIC:SS T-SHIRT</t>
  </si>
  <si>
    <t>SS T-SHIRT TF LOGO LIS GLOW ID TF-HR01:CLASSIC RED:13-14:GRAPHIC:SS T-SHIRT</t>
  </si>
  <si>
    <t>SS T-SHIRT TF LOGO LIS GLOW ID TF-HR01:CLASSIC RED:15-16:GRAPHIC:SS T-SHIRT</t>
  </si>
  <si>
    <t>TF-HN20</t>
  </si>
  <si>
    <t>SS T-SHIRT TF CUT SEW LOGO2 TF-HN20:BLACK:3-4:PRINT:SS T-SHIRT</t>
  </si>
  <si>
    <t>SS T-SHIRT TF CUT SEW LOGO2 TF-HN20:BLACK:4-5:PRINT:SS T-SHIRT</t>
  </si>
  <si>
    <t>SS T-SHIRT TF CUT SEW LOGO2 TF-HN20:BLACK:5-6:PRINT:SS T-SHIRT</t>
  </si>
  <si>
    <t>SS T-SHIRT TF CUT SEW LOGO2 TF-HN20:BLACK:7-8:PRINT:SS T-SHIRT</t>
  </si>
  <si>
    <t>SS T-SHIRT TF CUT SEW LOGO2 TF-HN20:BLACK:9-10:PRINT:SS T-SHIRT</t>
  </si>
  <si>
    <t>SS T-SHIRT TF CUT SEW LOGO2 TF-HN20:BLACK:11-12:PRINT:SS T-SHIRT</t>
  </si>
  <si>
    <t>SS T-SHIRT TF CUT SEW LOGO2 TF-HN20:BLACK:13-14:PRINT:SS T-SHIRT</t>
  </si>
  <si>
    <t>SS T-SHIRT TF CUT SEW LOGO2 TF-HN20:BLACK:15-16:PRINT:SS T-SHIRT</t>
  </si>
  <si>
    <t>HN-09</t>
  </si>
  <si>
    <t>SS T-SHIRT SUPERMAN LIST CUT SEW A HN-09:NAVY BLUE:3-4:GRAPHIC:SS T-SHIRT</t>
  </si>
  <si>
    <t>SS T-SHIRT SUPERMAN LIST CUT SEW A HN-09:NAVY BLUE:4-5:GRAPHIC:SS T-SHIRT</t>
  </si>
  <si>
    <t>SS T-SHIRT SUPERMAN LIST CUT SEW A HN-09:NAVY BLUE:5-6:GRAPHIC:SS T-SHIRT</t>
  </si>
  <si>
    <t>SS T-SHIRT SUPERMAN LIST CUT SEW A HN-09:NAVY BLUE:7-8:GRAPHIC:SS T-SHIRT</t>
  </si>
  <si>
    <t>SS T-SHIRT SUPERMAN LIST CUT SEW A HN-09:NAVY BLUE:9-10:GRAPHIC:SS T-SHIRT</t>
  </si>
  <si>
    <t>A-153</t>
  </si>
  <si>
    <t>SS T-SHIRT SUPERMAN RAGLAN LOGO FP C A-153:CLASSIC BLUE:7-8:PRINT:SS T-SHIRT</t>
  </si>
  <si>
    <t>SS T-SHIRT SUPERMAN RAGLAN LOGO FP C A-153:CLASSIC BLUE:9-10:PRINT:SS T-SHIRT</t>
  </si>
  <si>
    <t>SS T-SHIRT SUPERMAN RAGLAN LOGO FP C A-153:CLASSIC BLUE:11-12:PRINT:SS T-SHIRT</t>
  </si>
  <si>
    <t>SS T-SHIRT SUPERMAN RAGLAN LOGO FP C A-153:CLASSIC BLUE:13-14:PRINT:SS T-SHIRT</t>
  </si>
  <si>
    <t>SS T-SHIRT SUPERMAN RAGLAN LOGO FP C A-153:CLASSIC BLUE:15-16:PRINT:SS T-SHIRT</t>
  </si>
  <si>
    <t>SS T-SHIRT TF FP LOGO TULISAN HD TF-HR 02:CLASSIC YELLOW:4-5:PRINT:SS T-SHIRT</t>
  </si>
  <si>
    <t>SS T-SHIRT TF FP LOGO TULISAN HD TF-HR 02:CLASSIC YELLOW:5-6:PRINT:SS T-SHIRT</t>
  </si>
  <si>
    <t>SS T-SHIRT TF FP LOGO TULISAN HD TF-HR 02:CLASSIC YELLOW:7-8:PRINT:SS T-SHIRT</t>
  </si>
  <si>
    <t>SS T-SHIRT TF FP LOGO TULISAN HD TF-HR 02:CLASSIC YELLOW:9-10:PRINT:SS T-SHIRT</t>
  </si>
  <si>
    <t>SS T-SHIRT TF FP LOGO TULISAN HD TF-HR 02:CLASSIC YELLOW:11-12:PRINT:SS T-SHIRT</t>
  </si>
  <si>
    <t>SS T-SHIRT TF FP LOGO TULISAN HD TF-HR 02:CLASSIC YELLOW:13-14:PRINT:SS T-SHIRT</t>
  </si>
  <si>
    <t>SS T-SHIRT TF FP LOGO TULISAN HD TF-HR 02:CLASSIC YELLOW:15-16:PRINT:SS T-SHIRT</t>
  </si>
  <si>
    <t>BT-HR359C</t>
  </si>
  <si>
    <t>SS T-SHIRT BATMAN DARK LOGO C BT-HR359C:BLACK:7-8:GRAPHIC:SS T-SHIRT</t>
  </si>
  <si>
    <t>SS T-SHIRT BATMAN DARK LOGO C BT-HR359C:BLACK:9-10:GRAPHIC:SS T-SHIRT</t>
  </si>
  <si>
    <t>SS T-SHIRT BATMAN DARK LOGO C BT-HR359C:BLACK:11-12:GRAPHIC:SS T-SHIRT</t>
  </si>
  <si>
    <t>SS T-SHIRT BATMAN DARK LOGO C BT-HR359C:BLACK:13-14:GRAPHIC:SS T-SHIRT</t>
  </si>
  <si>
    <t>SS T-SHIRT BATMAN DARK LOGO C BT-HR359C:BLACK:15-16:GRAPHIC:SS T-SHIRT</t>
  </si>
  <si>
    <t>HR-236</t>
  </si>
  <si>
    <t>SS T-SHIRT BATMAN DARK LOGO C HR-236:BLACK:7-8:GRAPHIC:SS T-SHIRT</t>
  </si>
  <si>
    <t>SS T-SHIRT BATMAN DARK LOGO C HR-236:BLACK:9-10:GRAPHIC:SS T-SHIRT</t>
  </si>
  <si>
    <t>SS T-SHIRT BATMAN DARK LOGO C HR-236:BLACK:11-12:GRAPHIC:SS T-SHIRT</t>
  </si>
  <si>
    <t>SS T-SHIRT BATMAN DARK LOGO C HR-236:BLACK:13-14:GRAPHIC:SS T-SHIRT</t>
  </si>
  <si>
    <t>SS T-SHIRT BATMAN DARK LOGO C HR-236:BLACK:15-16:GRAPHIC:SS T-SHIRT</t>
  </si>
  <si>
    <t>JP-102C</t>
  </si>
  <si>
    <t>SS T-SHIRT JURASSIC T-REX TEAM C JP-102C:PASTEL BLUE:7-8:PRINT:SS T-SHIRT</t>
  </si>
  <si>
    <t>SS T-SHIRT JURASSIC T-REX TEAM C JP-102C:PASTEL BLUE:9-10:PRINT:SS T-SHIRT</t>
  </si>
  <si>
    <t>SS T-SHIRT JURASSIC T-REX TEAM C JP-102C:PASTEL BLUE:11-12:PRINT:SS T-SHIRT</t>
  </si>
  <si>
    <t>SS T-SHIRT JURASSIC T-REX TEAM C JP-102C:PASTEL BLUE:13-14:PRINT:SS T-SHIRT</t>
  </si>
  <si>
    <t>SS T-SHIRT JURASSIC T-REX TEAM C JP-102C:PASTEL BLUE:15-16:PRINT:SS T-SHIRT</t>
  </si>
  <si>
    <t>BT-N236</t>
  </si>
  <si>
    <t>SS T-SHIRT BATMAN STAND LOGO A BT-N236:CLASSIC YELLOW:3-4:GRAPHIC:SS T-SHIRT</t>
  </si>
  <si>
    <t>SS T-SHIRT BATMAN STAND LOGO A BT-N236:CLASSIC YELLOW:4-5:GRAPHIC:SS T-SHIRT</t>
  </si>
  <si>
    <t>SS T-SHIRT BATMAN STAND LOGO A BT-N236:CLASSIC YELLOW:5-6:GRAPHIC:SS T-SHIRT</t>
  </si>
  <si>
    <t>SS T-SHIRT BATMAN STAND LOGO A BT-N236:CLASSIC YELLOW:7-8:GRAPHIC:SS T-SHIRT</t>
  </si>
  <si>
    <t>SS T-SHIRT BATMAN STAND LOGO A BT-N236:CLASSIC YELLOW:9-10:GRAPHIC:SS T-SHIRT</t>
  </si>
  <si>
    <t>BT-N213</t>
  </si>
  <si>
    <t>SS T-SHIRT BATMAN LOGO LIS LGN A BT-N213:VANILLA:3-4:GRAPHIC:SS T-SHIRT</t>
  </si>
  <si>
    <t>SS T-SHIRT BATMAN LOGO LIS LGN A BT-N213:VANILLA:4-5:GRAPHIC:SS T-SHIRT</t>
  </si>
  <si>
    <t>SS T-SHIRT BATMAN LOGO LIS LGN A BT-N213:VANILLA:5-6:GRAPHIC:SS T-SHIRT</t>
  </si>
  <si>
    <t>SS T-SHIRT BATMAN LOGO LIS LGN A BT-N213:VANILLA:7-8:GRAPHIC:SS T-SHIRT</t>
  </si>
  <si>
    <t>SS T-SHIRT BATMAN LOGO LIS LGN A BT-N213:VANILLA:9-10:GRAPHIC:SS T-SHIRT</t>
  </si>
  <si>
    <t>BT-N225</t>
  </si>
  <si>
    <t>SS T-SHIRT BATMAN LOGO TENGAH KTG LGN C BT-N225:CLASSIC YELLOW:7-8:GRAPHIC:SS T-SHIRT</t>
  </si>
  <si>
    <t>SS T-SHIRT BATMAN LOGO TENGAH KTG LGN C BT-N225:CLASSIC YELLOW:9-10:GRAPHIC:SS T-SHIRT</t>
  </si>
  <si>
    <t>SS T-SHIRT BATMAN LOGO TENGAH KTG LGN C BT-N225:CLASSIC YELLOW:11-12:GRAPHIC:SS T-SHIRT</t>
  </si>
  <si>
    <t>SS T-SHIRT BATMAN LOGO TENGAH KTG LGN C BT-N225:CLASSIC YELLOW:13-14:GRAPHIC:SS T-SHIRT</t>
  </si>
  <si>
    <t>SS T-SHIRT BATMAN LOGO TENGAH KTG LGN C BT-N225:CLASSIC YELLOW:15-16:GRAPHIC:SS T-SHIRT</t>
  </si>
  <si>
    <t>BT-N242</t>
  </si>
  <si>
    <t>SS T-SHIRT BATMAN KTG PRINT BLKG C BT-N242:MISTY LIGHT KHAKI:7-8:GRAPHIC:SS T-SHIRT</t>
  </si>
  <si>
    <t>SS T-SHIRT BATMAN KTG PRINT BLKG C BT-N242:MISTY LIGHT KHAKI:9-10:GRAPHIC:SS T-SHIRT</t>
  </si>
  <si>
    <t>SS T-SHIRT BATMAN KTG PRINT BLKG C BT-N242:MISTY LIGHT KHAKI:11-12:GRAPHIC:SS T-SHIRT</t>
  </si>
  <si>
    <t>SS T-SHIRT BATMAN KTG PRINT BLKG C BT-N242:MISTY LIGHT KHAKI:13-14:GRAPHIC:SS T-SHIRT</t>
  </si>
  <si>
    <t>SS T-SHIRT BATMAN KTG PRINT BLKG C BT-N242:MISTY LIGHT KHAKI:15-16:GRAPHIC:SS T-SHIRT</t>
  </si>
  <si>
    <t>JP-N036</t>
  </si>
  <si>
    <t>SS T-SHIRT JURASSIC WILD A JP-N036:MISTY LIGHT GREY:3-4:PRINT:SS T-SHIRT</t>
  </si>
  <si>
    <t>SS T-SHIRT JURASSIC WILD A JP-N036:MISTY LIGHT GREY:4-5:PRINT:SS T-SHIRT</t>
  </si>
  <si>
    <t>SS T-SHIRT JURASSIC WILD A JP-N036:MISTY LIGHT GREY:5-6:PRINT:SS T-SHIRT</t>
  </si>
  <si>
    <t>SS T-SHIRT JURASSIC WILD A JP-N036:MISTY LIGHT GREY:7-8:PRINT:SS T-SHIRT</t>
  </si>
  <si>
    <t>SS T-SHIRT JURASSIC WILD A JP-N036:MISTY LIGHT GREY:9-10:PRINT:SS T-SHIRT</t>
  </si>
  <si>
    <t>JP-HR481</t>
  </si>
  <si>
    <t>SS T-SHIRT JURASSIC ROAR A JP-HR481:MISTY LIGHT GREY:3-4:GRAPHIC:SS T-SHIRT</t>
  </si>
  <si>
    <t>SS T-SHIRT JURASSIC ROAR A JP-HR481:MISTY LIGHT GREY:4-5:GRAPHIC:SS T-SHIRT</t>
  </si>
  <si>
    <t>SS T-SHIRT JURASSIC ROAR A JP-HR481:MISTY LIGHT GREY:5-6:GRAPHIC:SS T-SHIRT</t>
  </si>
  <si>
    <t>SS T-SHIRT JURASSIC ROAR A JP-HR481:MISTY LIGHT GREY:7-8:GRAPHIC:SS T-SHIRT</t>
  </si>
  <si>
    <t>SS T-SHIRT JURASSIC ROAR A JP-HR481:MISTY LIGHT GREY:9-10:GRAPHIC:SS T-SHIRT</t>
  </si>
  <si>
    <t>JP-HN07</t>
  </si>
  <si>
    <t>SS T-SHIRT JURASSIC WORLD C JP-HN07:MISTY MEDIUM BLUE:7-8:GRAPHIC:SS T-SHIRT</t>
  </si>
  <si>
    <t>SS T-SHIRT JURASSIC WORLD C JP-HN07:MISTY MEDIUM BLUE:9-10:GRAPHIC:SS T-SHIRT</t>
  </si>
  <si>
    <t>SS T-SHIRT JURASSIC WORLD C JP-HN07:MISTY MEDIUM BLUE:11-12:GRAPHIC:SS T-SHIRT</t>
  </si>
  <si>
    <t>SS T-SHIRT JURASSIC WORLD C JP-HN07:MISTY MEDIUM BLUE:13-14:GRAPHIC:SS T-SHIRT</t>
  </si>
  <si>
    <t>SS T-SHIRT JURASSIC WORLD C JP-HN07:MISTY MEDIUM BLUE:15-16:GRAPHIC:SS T-SHIRT</t>
  </si>
  <si>
    <t>SS T-SHIRT TF AUTOBOTS TEAM TF-HN15:MISTY LIGHT BLUE:3-4:GRAPHIC:SS T-SHIRT</t>
  </si>
  <si>
    <t>SS T-SHIRT TF AUTOBOTS TEAM TF-HN15:MISTY LIGHT BLUE:4-5:GRAPHIC:SS T-SHIRT</t>
  </si>
  <si>
    <t>SS T-SHIRT TF AUTOBOTS TEAM TF-HN15:MISTY LIGHT BLUE:5-6:GRAPHIC:SS T-SHIRT</t>
  </si>
  <si>
    <t>SS T-SHIRT TF AUTOBOTS TEAM TF-HN15:MISTY LIGHT BLUE:7-8:GRAPHIC:SS T-SHIRT</t>
  </si>
  <si>
    <t>SS T-SHIRT TF AUTOBOTS TEAM TF-HN15:MISTY LIGHT BLUE:9-10:GRAPHIC:SS T-SHIRT</t>
  </si>
  <si>
    <t>SS T-SHIRT TF AUTOBOTS TEAM TF-HN15:MISTY LIGHT BLUE:11-12:GRAPHIC:SS T-SHIRT</t>
  </si>
  <si>
    <t>SS T-SHIRT TF AUTOBOTS TEAM TF-HN15:MISTY LIGHT BLUE:13-14:GRAPHIC:SS T-SHIRT</t>
  </si>
  <si>
    <t>SS T-SHIRT TF AUTOBOTS TEAM TF-HN15:MISTY LIGHT BLUE:15-16:GRAPHIC:SS T-SHIRT</t>
  </si>
  <si>
    <t>SS T-SHIRT MINIONS FP KTG MN-N704:CLASSIC YELLOW:3-4:PRINT:SS T-SHIRT</t>
  </si>
  <si>
    <t>SS T-SHIRT MINIONS FP KTG MN-N704:CLASSIC YELLOW:4-5:PRINT:SS T-SHIRT</t>
  </si>
  <si>
    <t>SS T-SHIRT MINIONS FP KTG MN-N704:CLASSIC YELLOW:5-6:PRINT:SS T-SHIRT</t>
  </si>
  <si>
    <t>SS T-SHIRT MINIONS FP KTG MN-N704:CLASSIC YELLOW:7-8:PRINT:SS T-SHIRT</t>
  </si>
  <si>
    <t>SS T-SHIRT MINIONS FP KTG MN-N704:CLASSIC YELLOW:9-10:PRINT:SS T-SHIRT</t>
  </si>
  <si>
    <t>SS T-SHIRT MINIONS FP KTG MN-N704:CLASSIC YELLOW:11-12:PRINT:SS T-SHIRT</t>
  </si>
  <si>
    <t>SS T-SHIRT MINIONS FP KTG MN-N704:CLASSIC YELLOW:13-14:PRINT:SS T-SHIRT</t>
  </si>
  <si>
    <t>SS T-SHIRT MINIONS FP KTG MN-N704:CLASSIC YELLOW:15-16:PRINT:SS T-SHIRT</t>
  </si>
  <si>
    <t>TF-HN15</t>
  </si>
  <si>
    <t>MN-N704</t>
  </si>
  <si>
    <t>MN-N093</t>
  </si>
  <si>
    <t>MN-N095</t>
  </si>
  <si>
    <t>MN-N092</t>
  </si>
  <si>
    <t>BT-HR042</t>
  </si>
  <si>
    <t>BG-116A</t>
  </si>
  <si>
    <t>BT-N216</t>
  </si>
  <si>
    <t>BT-HN33</t>
  </si>
  <si>
    <t>BT-N224</t>
  </si>
  <si>
    <t>BG-118C</t>
  </si>
  <si>
    <t>BG-519C</t>
  </si>
  <si>
    <t>SUP-A140</t>
  </si>
  <si>
    <t>SUP-A180</t>
  </si>
  <si>
    <t>SB-A08</t>
  </si>
  <si>
    <t>SB-A01</t>
  </si>
  <si>
    <t>SB-A03</t>
  </si>
  <si>
    <t>SB-HR16</t>
  </si>
  <si>
    <t>SB-A02</t>
  </si>
  <si>
    <t>TF-A81</t>
  </si>
  <si>
    <t>TF-A124</t>
  </si>
  <si>
    <t>TF-HR049</t>
  </si>
  <si>
    <t>TF-N029</t>
  </si>
  <si>
    <t>MN-HN017</t>
  </si>
  <si>
    <t>MN-HN29</t>
  </si>
  <si>
    <t>MN-HN025</t>
  </si>
  <si>
    <t>BG-114A</t>
  </si>
  <si>
    <t>JP-107</t>
  </si>
  <si>
    <t>JP-108C</t>
  </si>
  <si>
    <t>ML-HN01BL</t>
  </si>
  <si>
    <t>SS T-SHIRT MINIONS WFH ZIP JARING MN-N093:NAVY BLUE:3-4:PRINT:SS T-SHIRT</t>
  </si>
  <si>
    <t>SS T-SHIRT MINIONS WFH ZIP JARING MN-N093:NAVY BLUE:4-5:PRINT:SS T-SHIRT</t>
  </si>
  <si>
    <t>SS T-SHIRT MINIONS WFH ZIP JARING MN-N093:NAVY BLUE:5-6:PRINT:SS T-SHIRT</t>
  </si>
  <si>
    <t>SS T-SHIRT MINIONS WFH ZIP JARING MN-N093:NAVY BLUE:7-8:PRINT:SS T-SHIRT</t>
  </si>
  <si>
    <t>SS T-SHIRT MINIONS WFH ZIP JARING MN-N093:NAVY BLUE:9-10:PRINT:SS T-SHIRT</t>
  </si>
  <si>
    <t>SS T-SHIRT MINIONS WFH ZIP JARING MN-N093:NAVY BLUE:11-12:PRINT:SS T-SHIRT</t>
  </si>
  <si>
    <t>SS T-SHIRT MINIONS WFH ZIP JARING MN-N093:NAVY BLUE:13-14:PRINT:SS T-SHIRT</t>
  </si>
  <si>
    <t>SS T-SHIRT MINIONS WFH ZIP JARING MN-N093:NAVY BLUE:15-16:PRINT:SS T-SHIRT</t>
  </si>
  <si>
    <t>SS T-SHIRT MINIONS WFH KTG ZIP MN-N095:CLASSIC YELLOW:3-4:PRINT:SS T-SHIRT</t>
  </si>
  <si>
    <t>SS T-SHIRT MINIONS WFH KTG ZIP MN-N095:CLASSIC YELLOW:4-5:PRINT:SS T-SHIRT</t>
  </si>
  <si>
    <t>SS T-SHIRT MINIONS WFH KTG ZIP MN-N095:CLASSIC YELLOW:5-6:PRINT:SS T-SHIRT</t>
  </si>
  <si>
    <t>SS T-SHIRT MINIONS WFH KTG ZIP MN-N095:CLASSIC YELLOW:7-8:PRINT:SS T-SHIRT</t>
  </si>
  <si>
    <t>SS T-SHIRT MINIONS WFH KTG ZIP MN-N095:CLASSIC YELLOW:9-10:PRINT:SS T-SHIRT</t>
  </si>
  <si>
    <t>SS T-SHIRT MINIONS WFH KTG ZIP MN-N095:CLASSIC YELLOW:11-12:PRINT:SS T-SHIRT</t>
  </si>
  <si>
    <t>SS T-SHIRT MINIONS WFH KTG ZIP MN-N095:CLASSIC YELLOW:13-14:PRINT:SS T-SHIRT</t>
  </si>
  <si>
    <t>SS T-SHIRT MINIONS WFH KTG ZIP MN-N095:CLASSIC YELLOW:15-16:PRINT:SS T-SHIRT</t>
  </si>
  <si>
    <t>SS T-SHIRT MINIONS KTG JARING MN-N092:WHITE:3-4:GRAPHIC:SS T-SHIRT</t>
  </si>
  <si>
    <t>SS T-SHIRT MINIONS KTG JARING MN-N092:WHITE:4-5:GRAPHIC:SS T-SHIRT</t>
  </si>
  <si>
    <t>SS T-SHIRT MINIONS KTG JARING MN-N092:WHITE:5-6:GRAPHIC:SS T-SHIRT</t>
  </si>
  <si>
    <t>SS T-SHIRT MINIONS KTG JARING MN-N092:WHITE:7-8:GRAPHIC:SS T-SHIRT</t>
  </si>
  <si>
    <t>SS T-SHIRT MINIONS KTG JARING MN-N092:WHITE:9-10:GRAPHIC:SS T-SHIRT</t>
  </si>
  <si>
    <t>SS T-SHIRT MINIONS KTG JARING MN-N092:WHITE:11-12:GRAPHIC:SS T-SHIRT</t>
  </si>
  <si>
    <t>SS T-SHIRT MINIONS KTG JARING MN-N092:WHITE:13-14:GRAPHIC:SS T-SHIRT</t>
  </si>
  <si>
    <t>SS T-SHIRT MINIONS KTG JARING MN-N092:WHITE:15-16:GRAPHIC:SS T-SHIRT</t>
  </si>
  <si>
    <t>SS T-SHIRT BATMAN LOGO FP A BT-HR042:CLASSIC YELLOW:3-4:PRINT:SS T-SHIRT</t>
  </si>
  <si>
    <t>SS T-SHIRT BATMAN LOGO FP A BT-HR042:CLASSIC YELLOW:4-5:PRINT:SS T-SHIRT</t>
  </si>
  <si>
    <t>SS T-SHIRT BATMAN LOGO FP A BT-HR042:CLASSIC YELLOW:5-6:PRINT:SS T-SHIRT</t>
  </si>
  <si>
    <t>SS T-SHIRT BATMAN LOGO FP A BT-HR042:CLASSIC YELLOW:7-8:PRINT:SS T-SHIRT</t>
  </si>
  <si>
    <t>SS T-SHIRT BATMAN LOGO FP A BT-HR042:CLASSIC YELLOW:9-10:PRINT:SS T-SHIRT</t>
  </si>
  <si>
    <t>SS T-SHIRT BATMAN POSE KTG A BG-116A:MISTY LIGHT BLUE:3-4:GRAPHIC:SS T-SHIRT</t>
  </si>
  <si>
    <t>SS T-SHIRT BATMAN POSE KTG A BG-116A:MISTY LIGHT BLUE:4-5:GRAPHIC:SS T-SHIRT</t>
  </si>
  <si>
    <t>SS T-SHIRT BATMAN POSE KTG A BG-116A:MISTY LIGHT BLUE:5-6:GRAPHIC:SS T-SHIRT</t>
  </si>
  <si>
    <t>SS T-SHIRT BATMAN POSE KTG A BG-116A:MISTY LIGHT BLUE:7-8:GRAPHIC:SS T-SHIRT</t>
  </si>
  <si>
    <t>SS T-SHIRT BATMAN POSE KTG A BG-116A:MISTY LIGHT BLUE:9-10:GRAPHIC:SS T-SHIRT</t>
  </si>
  <si>
    <t>SS T-SHIRT BATMAN LOGO GITD BT-N216:BLACK:3-4:GRAPHIC:SS T-SHIRT</t>
  </si>
  <si>
    <t>SS T-SHIRT BATMAN LOGO GITD BT-N216:BLACK:4-5:GRAPHIC:SS T-SHIRT</t>
  </si>
  <si>
    <t>SS T-SHIRT BATMAN LOGO GITD BT-N216:BLACK:5-6:GRAPHIC:SS T-SHIRT</t>
  </si>
  <si>
    <t>SS T-SHIRT BATMAN LOGO GITD BT-N216:BLACK:7-8:GRAPHIC:SS T-SHIRT</t>
  </si>
  <si>
    <t>SS T-SHIRT BATMAN LOGO GITD BT-N216:BLACK:9-10:GRAPHIC:SS T-SHIRT</t>
  </si>
  <si>
    <t>SS T-SHIRT BATMAN LOGO GITD BT-N216:BLACK:11-12:GRAPHIC:SS T-SHIRT</t>
  </si>
  <si>
    <t>SS T-SHIRT BATMAN LOGO GITD BT-N216:BLACK:13-14:GRAPHIC:SS T-SHIRT</t>
  </si>
  <si>
    <t>SS T-SHIRT BATMAN LOGO GITD BT-N216:BLACK:15-16:GRAPHIC:SS T-SHIRT</t>
  </si>
  <si>
    <t>SS T-SHIRT BATMAN BIG TULISAN LOGO C BT-HN33:WHITE:7-8:GRAPHIC:SS T-SHIRT</t>
  </si>
  <si>
    <t>SS T-SHIRT BATMAN BIG TULISAN LOGO C BT-HN33:WHITE:9-10:GRAPHIC:SS T-SHIRT</t>
  </si>
  <si>
    <t>SS T-SHIRT BATMAN BIG TULISAN LOGO C BT-HN33:WHITE:11-12:GRAPHIC:SS T-SHIRT</t>
  </si>
  <si>
    <t>SS T-SHIRT BATMAN BIG TULISAN LOGO C BT-HN33:WHITE:13-14:GRAPHIC:SS T-SHIRT</t>
  </si>
  <si>
    <t>SS T-SHIRT BATMAN BIG TULISAN LOGO C BT-HN33:WHITE:15-16:GRAPHIC:SS T-SHIRT</t>
  </si>
  <si>
    <t>SS T-SHIRT BATMAN CUT SEW LOGO C BT-N224:CLASSIC YELLOW:7-8:GRAPHIC:SS T-SHIRT</t>
  </si>
  <si>
    <t>SS T-SHIRT BATMAN CUT SEW LOGO C BT-N224:CLASSIC YELLOW:9-10:GRAPHIC:SS T-SHIRT</t>
  </si>
  <si>
    <t>SS T-SHIRT BATMAN CUT SEW LOGO C BT-N224:CLASSIC YELLOW:11-12:GRAPHIC:SS T-SHIRT</t>
  </si>
  <si>
    <t>SS T-SHIRT BATMAN CUT SEW LOGO C BT-N224:CLASSIC YELLOW:13-14:GRAPHIC:SS T-SHIRT</t>
  </si>
  <si>
    <t>SS T-SHIRT BATMAN CUT SEW LOGO C BT-N224:CLASSIC YELLOW:15-16:GRAPHIC:SS T-SHIRT</t>
  </si>
  <si>
    <t>SS T-SHIRT BATMAN LOGO LIS LGN C BG-118C:BLACK:7-8:GRAPHIC:SS T-SHIRT</t>
  </si>
  <si>
    <t>SS T-SHIRT BATMAN LOGO LIS LGN C BG-118C:BLACK:9-10:GRAPHIC:SS T-SHIRT</t>
  </si>
  <si>
    <t>SS T-SHIRT BATMAN LOGO LIS LGN C BG-118C:BLACK:11-12:GRAPHIC:SS T-SHIRT</t>
  </si>
  <si>
    <t>SS T-SHIRT BATMAN LOGO LIS LGN C BG-118C:BLACK:13-14:GRAPHIC:SS T-SHIRT</t>
  </si>
  <si>
    <t>SS T-SHIRT BATMAN LOGO LIS LGN C BG-118C:BLACK:15-16:GRAPHIC:SS T-SHIRT</t>
  </si>
  <si>
    <t>SS T-SHIRT BATMAN FP ANIME C BG-519C:DARK GREY:7-8:PRINT:SS T-SHIRT</t>
  </si>
  <si>
    <t>SS T-SHIRT BATMAN FP ANIME C BG-519C:DARK GREY:9-10:PRINT:SS T-SHIRT</t>
  </si>
  <si>
    <t>SS T-SHIRT BATMAN FP ANIME C BG-519C:DARK GREY:11-12:PRINT:SS T-SHIRT</t>
  </si>
  <si>
    <t>SS T-SHIRT BATMAN FP ANIME C BG-519C:DARK GREY:13-14:PRINT:SS T-SHIRT</t>
  </si>
  <si>
    <t>SS T-SHIRT BATMAN FP ANIME C BG-519C:DARK GREY:15-16:PRINT:SS T-SHIRT</t>
  </si>
  <si>
    <t>SS T-SHIRT SUPERMAN FP HALF LIS LGN SUP-A140:WHITE:3-4:PRINT:SS T-SHIRT</t>
  </si>
  <si>
    <t>SS T-SHIRT SUPERMAN FP HALF LIS LGN SUP-A140:WHITE:4-5:PRINT:SS T-SHIRT</t>
  </si>
  <si>
    <t>SS T-SHIRT SUPERMAN FP HALF LIS LGN SUP-A140:WHITE:5-6:PRINT:SS T-SHIRT</t>
  </si>
  <si>
    <t>SS T-SHIRT SUPERMAN FP HALF LIS LGN SUP-A140:WHITE:7-8:PRINT:SS T-SHIRT</t>
  </si>
  <si>
    <t>SS T-SHIRT SUPERMAN FP HALF LIS LGN SUP-A140:WHITE:9-10:PRINT:SS T-SHIRT</t>
  </si>
  <si>
    <t>SS T-SHIRT SUPERMAN FP HALF LIS LGN SUP-A140:WHITE:11-12:PRINT:SS T-SHIRT</t>
  </si>
  <si>
    <t>SS T-SHIRT SUPERMAN FP HALF LIS LGN SUP-A140:WHITE:13-14:PRINT:SS T-SHIRT</t>
  </si>
  <si>
    <t>SS T-SHIRT SUPERMAN FP HALF LIS LGN SUP-A140:WHITE:15-16:PRINT:SS T-SHIRT</t>
  </si>
  <si>
    <t>SS T-SHIRT SUPERMAN LOGO TAG LGN SUP-A180:MISTY LIGHT BLUE:3-4:GRAPHIC:SS T-SHIRT</t>
  </si>
  <si>
    <t>SS T-SHIRT SUPERMAN LOGO TAG LGN SUP-A180:MISTY LIGHT BLUE:4-5:GRAPHIC:SS T-SHIRT</t>
  </si>
  <si>
    <t>SS T-SHIRT SUPERMAN LOGO TAG LGN SUP-A180:MISTY LIGHT BLUE:5-6:GRAPHIC:SS T-SHIRT</t>
  </si>
  <si>
    <t>SS T-SHIRT SUPERMAN LOGO TAG LGN SUP-A180:MISTY LIGHT BLUE:7-8:GRAPHIC:SS T-SHIRT</t>
  </si>
  <si>
    <t>SS T-SHIRT SUPERMAN LOGO TAG LGN SUP-A180:MISTY LIGHT BLUE:9-10:GRAPHIC:SS T-SHIRT</t>
  </si>
  <si>
    <t>SS T-SHIRT SUPERMAN LOGO TAG LGN SUP-A180:MISTY LIGHT BLUE:11-12:GRAPHIC:SS T-SHIRT</t>
  </si>
  <si>
    <t>SS T-SHIRT SUPERMAN LOGO TAG LGN SUP-A180:MISTY LIGHT BLUE:13-14:GRAPHIC:SS T-SHIRT</t>
  </si>
  <si>
    <t>SS T-SHIRT SUPERMAN LOGO TAG LGN SUP-A180:MISTY LIGHT BLUE:15-16:GRAPHIC:SS T-SHIRT</t>
  </si>
  <si>
    <t>SS T-SHIRT SPONGEBOB EXPRESS SB-A08:NAVY BLUE:3-4:GRAPHIC:SS T-SHIRT</t>
  </si>
  <si>
    <t>SS T-SHIRT SPONGEBOB EXPRESS SB-A08:NAVY BLUE:4-5:GRAPHIC:SS T-SHIRT</t>
  </si>
  <si>
    <t>SS T-SHIRT SPONGEBOB EXPRESS SB-A08:NAVY BLUE:5-6:GRAPHIC:SS T-SHIRT</t>
  </si>
  <si>
    <t>SS T-SHIRT SPONGEBOB EXPRESS SB-A08:NAVY BLUE:7-8:GRAPHIC:SS T-SHIRT</t>
  </si>
  <si>
    <t>SS T-SHIRT SPONGEBOB EXPRESS SB-A08:NAVY BLUE:9-10:GRAPHIC:SS T-SHIRT</t>
  </si>
  <si>
    <t>SS T-SHIRT SPONGEBOB EXPRESS SB-A08:NAVY BLUE:11-12:GRAPHIC:SS T-SHIRT</t>
  </si>
  <si>
    <t>SS T-SHIRT SPONGEBOB SMILE SB-A01:CLASSIC YELLOW:3-4:GRAPHIC:SS T-SHIRT</t>
  </si>
  <si>
    <t>SS T-SHIRT SPONGEBOB SMILE SB-A01:CLASSIC YELLOW:4-5:GRAPHIC:SS T-SHIRT</t>
  </si>
  <si>
    <t>SS T-SHIRT SPONGEBOB SMILE SB-A01:CLASSIC YELLOW:5-6:GRAPHIC:SS T-SHIRT</t>
  </si>
  <si>
    <t>SS T-SHIRT SPONGEBOB SMILE SB-A01:CLASSIC YELLOW:7-8:GRAPHIC:SS T-SHIRT</t>
  </si>
  <si>
    <t>SS T-SHIRT SPONGEBOB SMILE SB-A01:CLASSIC YELLOW:9-10:GRAPHIC:SS T-SHIRT</t>
  </si>
  <si>
    <t>SS T-SHIRT SPONGEBOB SMILE SB-A01:CLASSIC YELLOW:11-12:GRAPHIC:SS T-SHIRT</t>
  </si>
  <si>
    <t>SS T-SHIRT SPONGEBOB TEAMS KOTAK SB-A03:NAVY BLUE:3-4:GRAPHIC:SS T-SHIRT</t>
  </si>
  <si>
    <t>SS T-SHIRT SPONGEBOB TEAMS KOTAK SB-A03:NAVY BLUE:4-5:GRAPHIC:SS T-SHIRT</t>
  </si>
  <si>
    <t>SS T-SHIRT SPONGEBOB TEAMS KOTAK SB-A03:NAVY BLUE:5-6:GRAPHIC:SS T-SHIRT</t>
  </si>
  <si>
    <t>SS T-SHIRT SPONGEBOB TEAMS KOTAK SB-A03:NAVY BLUE:7-8:GRAPHIC:SS T-SHIRT</t>
  </si>
  <si>
    <t>SS T-SHIRT SPONGEBOB TEAMS KOTAK SB-A03:NAVY BLUE:9-10:GRAPHIC:SS T-SHIRT</t>
  </si>
  <si>
    <t>SS T-SHIRT SPONGEBOB TEAMS KOTAK SB-A03:NAVY BLUE:11-12:GRAPHIC:SS T-SHIRT</t>
  </si>
  <si>
    <t>SS T-SHIRT SPONGEBOB FP LOGO SB-HR16:CLASSIC YELLOW:3-4:PRINT:SS T-SHIRT</t>
  </si>
  <si>
    <t>SS T-SHIRT SPONGEBOB FP LOGO SB-HR16:CLASSIC YELLOW:4-5:PRINT:SS T-SHIRT</t>
  </si>
  <si>
    <t>SS T-SHIRT SPONGEBOB FP LOGO SB-HR16:CLASSIC YELLOW:5-6:PRINT:SS T-SHIRT</t>
  </si>
  <si>
    <t>SS T-SHIRT SPONGEBOB FP LOGO SB-HR16:CLASSIC YELLOW:7-8:PRINT:SS T-SHIRT</t>
  </si>
  <si>
    <t>SS T-SHIRT SPONGEBOB FP LOGO SB-HR16:CLASSIC YELLOW:9-10:PRINT:SS T-SHIRT</t>
  </si>
  <si>
    <t>SS T-SHIRT SPONGEBOB FP LOGO SB-HR16:CLASSIC YELLOW:11-12:PRINT:SS T-SHIRT</t>
  </si>
  <si>
    <t>SS T-SHIRT SPONGEBOB TEAMS SB-A02:NAVY BLUE:3-4:GRAPHIC:SS T-SHIRT</t>
  </si>
  <si>
    <t>SS T-SHIRT SPONGEBOB TEAMS SB-A02:NAVY BLUE:4-5:GRAPHIC:SS T-SHIRT</t>
  </si>
  <si>
    <t>SS T-SHIRT SPONGEBOB TEAMS SB-A02:NAVY BLUE:5-6:GRAPHIC:SS T-SHIRT</t>
  </si>
  <si>
    <t>SS T-SHIRT SPONGEBOB TEAMS SB-A02:NAVY BLUE:7-8:GRAPHIC:SS T-SHIRT</t>
  </si>
  <si>
    <t>SS T-SHIRT SPONGEBOB TEAMS SB-A02:NAVY BLUE:9-10:GRAPHIC:SS T-SHIRT</t>
  </si>
  <si>
    <t>SS T-SHIRT SPONGEBOB TEAMS SB-A02:NAVY BLUE:11-12:GRAPHIC:SS T-SHIRT</t>
  </si>
  <si>
    <t>SS T-SHIRT TF OPTIMUS ROCKS TF-A81:MISTY LIGHT KHAKI:3-4:GRAPHIC:SS T-SHIRT</t>
  </si>
  <si>
    <t>SS T-SHIRT TF OPTIMUS ROCKS TF-A81:MISTY LIGHT KHAKI:4-5:GRAPHIC:SS T-SHIRT</t>
  </si>
  <si>
    <t>SS T-SHIRT TF OPTIMUS ROCKS TF-A81:MISTY LIGHT KHAKI:5-6:GRAPHIC:SS T-SHIRT</t>
  </si>
  <si>
    <t>SS T-SHIRT TF OPTIMUS ROCKS TF-A81:MISTY LIGHT KHAKI:7-8:GRAPHIC:SS T-SHIRT</t>
  </si>
  <si>
    <t>SS T-SHIRT TF OPTIMUS ROCKS TF-A81:MISTY LIGHT KHAKI:9-10:GRAPHIC:SS T-SHIRT</t>
  </si>
  <si>
    <t>SS T-SHIRT TF OPTIMUS ROCKS TF-A81:MISTY LIGHT KHAKI:11-12:GRAPHIC:SS T-SHIRT</t>
  </si>
  <si>
    <t>SS T-SHIRT TF OPTIMUS ROCKS TF-A81:MISTY LIGHT KHAKI:13-14:GRAPHIC:SS T-SHIRT</t>
  </si>
  <si>
    <t>SS T-SHIRT TF OPTIMUS ROCKS TF-A81:MISTY LIGHT KHAKI:15-16:GRAPHIC:SS T-SHIRT</t>
  </si>
  <si>
    <t>SS T-SHIRT TF AUTOBOTS TEAM TF-A124:MISTY MEDIUM BLUE:3-4:GRAPHIC:SS T-SHIRT</t>
  </si>
  <si>
    <t>SS T-SHIRT TF AUTOBOTS TEAM TF-A124:MISTY MEDIUM BLUE:4-5:GRAPHIC:SS T-SHIRT</t>
  </si>
  <si>
    <t>SS T-SHIRT TF AUTOBOTS TEAM TF-A124:MISTY MEDIUM BLUE:5-6:GRAPHIC:SS T-SHIRT</t>
  </si>
  <si>
    <t>SS T-SHIRT TF AUTOBOTS TEAM TF-A124:MISTY MEDIUM BLUE:7-8:GRAPHIC:SS T-SHIRT</t>
  </si>
  <si>
    <t>SS T-SHIRT TF AUTOBOTS TEAM TF-A124:MISTY MEDIUM BLUE:9-10:GRAPHIC:SS T-SHIRT</t>
  </si>
  <si>
    <t>SS T-SHIRT TF AUTOBOTS TEAM TF-A124:MISTY MEDIUM BLUE:11-12:GRAPHIC:SS T-SHIRT</t>
  </si>
  <si>
    <t>SS T-SHIRT TF AUTOBOTS TEAM TF-A124:MISTY MEDIUM BLUE:13-14:GRAPHIC:SS T-SHIRT</t>
  </si>
  <si>
    <t>SS T-SHIRT TF AUTOBOTS TEAM TF-A124:MISTY MEDIUM BLUE:15-16:GRAPHIC:SS T-SHIRT</t>
  </si>
  <si>
    <t>SS T-SHIRT TF FP LOGO TF-HR049:MISTY MEDIUM KHAKI:3-4:PRINT:SS T-SHIRT</t>
  </si>
  <si>
    <t>SS T-SHIRT TF FP LOGO TF-HR049:MISTY MEDIUM KHAKI:4-5:PRINT:SS T-SHIRT</t>
  </si>
  <si>
    <t>SS T-SHIRT TF FP LOGO TF-HR049:MISTY MEDIUM KHAKI:5-6:PRINT:SS T-SHIRT</t>
  </si>
  <si>
    <t>SS T-SHIRT TF FP LOGO TF-HR049:MISTY MEDIUM KHAKI:7-8:PRINT:SS T-SHIRT</t>
  </si>
  <si>
    <t>SS T-SHIRT TF FP LOGO TF-HR049:MISTY MEDIUM KHAKI:9-10:PRINT:SS T-SHIRT</t>
  </si>
  <si>
    <t>SS T-SHIRT TF FP LOGO TF-HR049:MISTY MEDIUM KHAKI:11-12:PRINT:SS T-SHIRT</t>
  </si>
  <si>
    <t>SS T-SHIRT TF FP LOGO TF-HR049:MISTY MEDIUM KHAKI:13-14:PRINT:SS T-SHIRT</t>
  </si>
  <si>
    <t>SS T-SHIRT TF FP LOGO TF-HR049:MISTY MEDIUM KHAKI:15-16:PRINT:SS T-SHIRT</t>
  </si>
  <si>
    <t>SS T-SHIRT TF TEAMS LIS LGN TF-N029:MISTY DARK BLUE:3-4:GRAPHIC:SS T-SHIRT</t>
  </si>
  <si>
    <t>SS T-SHIRT TF TEAMS LIS LGN TF-N029:MISTY DARK BLUE:4-5:GRAPHIC:SS T-SHIRT</t>
  </si>
  <si>
    <t>SS T-SHIRT TF TEAMS LIS LGN TF-N029:MISTY DARK BLUE:5-6:GRAPHIC:SS T-SHIRT</t>
  </si>
  <si>
    <t>SS T-SHIRT TF TEAMS LIS LGN TF-N029:MISTY DARK BLUE:7-8:GRAPHIC:SS T-SHIRT</t>
  </si>
  <si>
    <t>SS T-SHIRT TF TEAMS LIS LGN TF-N029:MISTY DARK BLUE:9-10:GRAPHIC:SS T-SHIRT</t>
  </si>
  <si>
    <t>SS T-SHIRT TF TEAMS LIS LGN TF-N029:MISTY DARK BLUE:11-12:GRAPHIC:SS T-SHIRT</t>
  </si>
  <si>
    <t>SS T-SHIRT TF TEAMS LIS LGN TF-N029:MISTY DARK BLUE:13-14:GRAPHIC:SS T-SHIRT</t>
  </si>
  <si>
    <t>SS T-SHIRT TF TEAMS LIS LGN TF-N029:MISTY DARK BLUE:15-16:GRAPHIC:SS T-SHIRT</t>
  </si>
  <si>
    <t>SS T-SHIRT MINIONS CARL JERRY MN-HN017:MISTY LIGHT BLUE:3-4:PRINT:SS T-SHIRT</t>
  </si>
  <si>
    <t>SS T-SHIRT MINIONS CARL JERRY MN-HN017:MISTY LIGHT BLUE:4-5:PRINT:SS T-SHIRT</t>
  </si>
  <si>
    <t>SS T-SHIRT MINIONS CARL JERRY MN-HN017:MISTY LIGHT BLUE:5-6:PRINT:SS T-SHIRT</t>
  </si>
  <si>
    <t>SS T-SHIRT MINIONS CARL JERRY MN-HN017:MISTY LIGHT BLUE:7-8:PRINT:SS T-SHIRT</t>
  </si>
  <si>
    <t>SS T-SHIRT MINIONS CARL JERRY MN-HN017:MISTY LIGHT BLUE:9-10:PRINT:SS T-SHIRT</t>
  </si>
  <si>
    <t>SS T-SHIRT MINIONS CARL JERRY MN-HN017:MISTY LIGHT BLUE:11-12:PRINT:SS T-SHIRT</t>
  </si>
  <si>
    <t>SS T-SHIRT MINIONS CARL JERRY MN-HN017:MISTY LIGHT BLUE:13-14:PRINT:SS T-SHIRT</t>
  </si>
  <si>
    <t>SS T-SHIRT MINIONS CARL JERRY MN-HN017:MISTY LIGHT BLUE:15-16:PRINT:SS T-SHIRT</t>
  </si>
  <si>
    <t>SS T-SHIRT MINIONS KEVIN FP TD MN-HN29:MISTY MEDIUM BLUE:3-4:PRINT:SS T-SHIRT</t>
  </si>
  <si>
    <t>SS T-SHIRT MINIONS KEVIN FP TD MN-HN29:MISTY MEDIUM BLUE:4-5:PRINT:SS T-SHIRT</t>
  </si>
  <si>
    <t>SS T-SHIRT MINIONS KEVIN FP TD MN-HN29:MISTY MEDIUM BLUE:5-6:PRINT:SS T-SHIRT</t>
  </si>
  <si>
    <t>SS T-SHIRT MINIONS KEVIN FP TD MN-HN29:MISTY MEDIUM BLUE:7-8:PRINT:SS T-SHIRT</t>
  </si>
  <si>
    <t>SS T-SHIRT MINIONS KEVIN FP TD MN-HN29:MISTY MEDIUM BLUE:9-10:PRINT:SS T-SHIRT</t>
  </si>
  <si>
    <t>SS T-SHIRT MINIONS KEVIN FP TD MN-HN29:MISTY MEDIUM BLUE:11-12:PRINT:SS T-SHIRT</t>
  </si>
  <si>
    <t>SS T-SHIRT MINIONS KEVIN FP TD MN-HN29:MISTY MEDIUM BLUE:13-14:PRINT:SS T-SHIRT</t>
  </si>
  <si>
    <t>SS T-SHIRT MINIONS KEVIN FP TD MN-HN29:MISTY MEDIUM BLUE:15-16:PRINT:SS T-SHIRT</t>
  </si>
  <si>
    <t>SS T-SHIRT MINIONS STUART MN-HN025:WHITE:3-4:GRAPHIC:SS T-SHIRT</t>
  </si>
  <si>
    <t>SS T-SHIRT MINIONS STUART MN-HN025:WHITE:4-5:GRAPHIC:SS T-SHIRT</t>
  </si>
  <si>
    <t>SS T-SHIRT MINIONS STUART MN-HN025:WHITE:5-6:GRAPHIC:SS T-SHIRT</t>
  </si>
  <si>
    <t>SS T-SHIRT MINIONS STUART MN-HN025:WHITE:7-8:GRAPHIC:SS T-SHIRT</t>
  </si>
  <si>
    <t>SS T-SHIRT MINIONS STUART MN-HN025:WHITE:9-10:GRAPHIC:SS T-SHIRT</t>
  </si>
  <si>
    <t>SS T-SHIRT MINIONS STUART MN-HN025:WHITE:11-12:GRAPHIC:SS T-SHIRT</t>
  </si>
  <si>
    <t>SS T-SHIRT MINIONS STUART MN-HN025:WHITE:13-14:GRAPHIC:SS T-SHIRT</t>
  </si>
  <si>
    <t>SS T-SHIRT MINIONS STUART MN-HN025:WHITE:15-16:GRAPHIC:SS T-SHIRT</t>
  </si>
  <si>
    <t>SS T-SHIRT MINIONS FP BELLO BG-114A:MISTY MEDIUM YELLOW:3-4:PRINT:SS T-SHIRT</t>
  </si>
  <si>
    <t>SS T-SHIRT MINIONS FP BELLO BG-114A:MISTY MEDIUM YELLOW:4-5:PRINT:SS T-SHIRT</t>
  </si>
  <si>
    <t>SS T-SHIRT MINIONS FP BELLO BG-114A:MISTY MEDIUM YELLOW:5-6:PRINT:SS T-SHIRT</t>
  </si>
  <si>
    <t>SS T-SHIRT MINIONS FP BELLO BG-114A:MISTY MEDIUM YELLOW:7-8:PRINT:SS T-SHIRT</t>
  </si>
  <si>
    <t>SS T-SHIRT MINIONS FP BELLO BG-114A:MISTY MEDIUM YELLOW:9-10:PRINT:SS T-SHIRT</t>
  </si>
  <si>
    <t>SS T-SHIRT JURASSIC WORLD SURVIVAL JP-107:WHITE:3-4:GRAPHIC:SS T-SHIRT</t>
  </si>
  <si>
    <t>SS T-SHIRT JURASSIC WORLD SURVIVAL JP-107:WHITE:4-5:GRAPHIC:SS T-SHIRT</t>
  </si>
  <si>
    <t>SS T-SHIRT JURASSIC WORLD SURVIVAL JP-107:WHITE:5-6:GRAPHIC:SS T-SHIRT</t>
  </si>
  <si>
    <t>SS T-SHIRT JURASSIC WORLD SURVIVAL JP-107:WHITE:7-8:GRAPHIC:SS T-SHIRT</t>
  </si>
  <si>
    <t>SS T-SHIRT JURASSIC WORLD SURVIVAL JP-107:WHITE:9-10:GRAPHIC:SS T-SHIRT</t>
  </si>
  <si>
    <t>SS T-SHIRT JURASSIC WORLD SURVIVAL JP-107:WHITE:11-12:GRAPHIC:SS T-SHIRT</t>
  </si>
  <si>
    <t>SS T-SHIRT JURASSIC WORLD SURVIVAL JP-107:WHITE:13-14:GRAPHIC:SS T-SHIRT</t>
  </si>
  <si>
    <t>SS T-SHIRT JURASSIC WORLD SURVIVAL JP-107:WHITE:15-16:GRAPHIC:SS T-SHIRT</t>
  </si>
  <si>
    <t>SS T-SHIRT JURASSIC WORLD LOGO SILVER C JP-108C:CLASSIC GREEN:7-8:GRAPHIC:SS T-SHIRT</t>
  </si>
  <si>
    <t>SS T-SHIRT JURASSIC WORLD LOGO SILVER C JP-108C:CLASSIC GREEN:9-10:GRAPHIC:SS T-SHIRT</t>
  </si>
  <si>
    <t>SS T-SHIRT JURASSIC WORLD LOGO SILVER C JP-108C:CLASSIC GREEN:11-12:GRAPHIC:SS T-SHIRT</t>
  </si>
  <si>
    <t>SS T-SHIRT JURASSIC WORLD LOGO SILVER C JP-108C:CLASSIC GREEN:13-14:GRAPHIC:SS T-SHIRT</t>
  </si>
  <si>
    <t>SS T-SHIRT JURASSIC WORLD LOGO SILVER C JP-108C:CLASSIC GREEN:15-16:GRAPHIC:SS T-SHIRT</t>
  </si>
  <si>
    <t>SS T-SHIRT JURASSIC WORLD C JP-HN07:MISTY MEDIUM BLUE:3-4:GRAPHIC:SS T-SHIRT</t>
  </si>
  <si>
    <t>SS T-SHIRT JURASSIC WORLD C JP-HN07:MISTY MEDIUM BLUE:5-6:GRAPHIC:SS T-SHIRT</t>
  </si>
  <si>
    <t>SS T-SHIRT MLBB HAYABUSA FIGHT ML-HN01BL:BLACK:7-8:GRAPHIC:SS T-SHIRT</t>
  </si>
  <si>
    <t>SS T-SHIRT MLBB HAYABUSA FIGHT ML-HN01BL:BLACK:9-10:GRAPHIC:SS T-SHIRT</t>
  </si>
  <si>
    <t>SS T-SHIRT MLBB HAYABUSA FIGHT ML-HN01BL:BLACK:11-12:GRAPHIC:SS T-SHIRT</t>
  </si>
  <si>
    <t>SS T-SHIRT MLBB HAYABUSA FIGHT ML-HN01BL:BLACK:13-14:GRAPHIC:SS T-SHIRT</t>
  </si>
  <si>
    <t>SS T-SHIRT MLBB HAYABUSA FIGHT ML-HN01BL:BLACK:15-16:GRAPHIC:SS T-SHIRT</t>
  </si>
  <si>
    <t>SS T-SHIRT MLBB JOHNSON ML-A01:NAVY BLUE:7-8:PRINT:SS T-SHIRT</t>
  </si>
  <si>
    <t>SS T-SHIRT MLBB JOHNSON ML-A01:NAVY BLUE:9-10:PRINT:SS T-SHIRT</t>
  </si>
  <si>
    <t>SS T-SHIRT MLBB JOHNSON ML-A01:NAVY BLUE:11-12:PRINT:SS T-SHIRT</t>
  </si>
  <si>
    <t>SS T-SHIRT MLBB JOHNSON ML-A01:NAVY BLUE:13-14:PRINT:SS T-SHIRT</t>
  </si>
  <si>
    <t>SS T-SHIRT MLBB JOHNSON ML-A01:NAVY BLUE:15-16:PRINT:SS T-SHIRT</t>
  </si>
  <si>
    <t>SS T-SHIRT JURASSIC WORLD C JP-HN07:MISTY MEDIUM BLUE:4-5:GRAPHIC:SS T-SHIRT</t>
  </si>
  <si>
    <t>JP-N039</t>
  </si>
  <si>
    <t>JP-N034</t>
  </si>
  <si>
    <t>ML-A05</t>
  </si>
  <si>
    <t>HR-307</t>
  </si>
  <si>
    <t>SHORT PANTS JURASSIC A JP-N039:GRASS GREEN:3-4:GRAPHIC:SHORT PANTS</t>
  </si>
  <si>
    <t>SHORT PANTS JURASSIC A JP-N039:GRASS GREEN:4-5:GRAPHIC:SHORT PANTS</t>
  </si>
  <si>
    <t>SHORT PANTS JURASSIC A JP-N039:GRASS GREEN:5-6:GRAPHIC:SHORT PANTS</t>
  </si>
  <si>
    <t>SHORT PANTS JURASSIC A JP-N039:GRASS GREEN:7-8:GRAPHIC:SHORT PANTS</t>
  </si>
  <si>
    <t>SHORT PANTS JURASSIC A JP-N039:GRASS GREEN:9-10:GRAPHIC:SHORT PANTS</t>
  </si>
  <si>
    <t>JOGGER JURASSIC A JP-N034:GRASS GREEN:3-4:GRAPHIC:JOGGER</t>
  </si>
  <si>
    <t>JOGGER JURASSIC A JP-N034:GRASS GREEN:4-5:GRAPHIC:JOGGER</t>
  </si>
  <si>
    <t>JOGGER JURASSIC A JP-N034:GRASS GREEN:5-6:GRAPHIC:JOGGER</t>
  </si>
  <si>
    <t>JOGGER JURASSIC A JP-N034:GRASS GREEN:7-8:GRAPHIC:JOGGER</t>
  </si>
  <si>
    <t>JOGGER JURASSIC A JP-N034:GRASS GREEN:9-10:GRAPHIC:JOGGER</t>
  </si>
  <si>
    <t>SWEATER MLBB STRIPE LENGAN ML-A05:BLACK:7-8:GRAPHIC:SWEATER</t>
  </si>
  <si>
    <t>SWEATER MLBB STRIPE LENGAN ML-A05:BLACK:9-10:GRAPHIC:SWEATER</t>
  </si>
  <si>
    <t>SWEATER MLBB STRIPE LENGAN ML-A05:BLACK:11-12:GRAPHIC:SWEATER</t>
  </si>
  <si>
    <t>SWEATER MLBB STRIPE LENGAN ML-A05:BLACK:13-14:GRAPHIC:SWEATER</t>
  </si>
  <si>
    <t>SWEATER MLBB STRIPE LENGAN ML-A05:BLACK:15-16:GRAPHIC:SWEATER</t>
  </si>
  <si>
    <t>SWEATER BATMAN FP LOGO TENGAH C HR-307:BLACK:7-8:PRINT:SWEATER</t>
  </si>
  <si>
    <t>SWEATER BATMAN FP LOGO TENGAH C HR-307:BLACK:9-10:PRINT:SWEATER</t>
  </si>
  <si>
    <t>SWEATER BATMAN FP LOGO TENGAH C HR-307:BLACK:11-12:PRINT:SWEATER</t>
  </si>
  <si>
    <t>SWEATER BATMAN FP LOGO TENGAH C HR-307:BLACK:13-14:PRINT:SWEATER</t>
  </si>
  <si>
    <t>SWEATER BATMAN FP LOGO TENGAH C HR-307:BLACK:15-16:PRINT:SWEATER</t>
  </si>
  <si>
    <t>JACKET HOOD JURASSIC A JP-N033:GRASS GREEN:3-4:GRAPHIC:JACKET</t>
  </si>
  <si>
    <t>JACKET HOOD JURASSIC A JP-N033:GRASS GREEN:4-5:GRAPHIC:JACKET</t>
  </si>
  <si>
    <t>JACKET HOOD JURASSIC A JP-N033:GRASS GREEN:5-6:GRAPHIC:JACKET</t>
  </si>
  <si>
    <t>JACKET HOOD JURASSIC A JP-N033:GRASS GREEN:7-8:GRAPHIC:JACKET</t>
  </si>
  <si>
    <t>JACKET HOOD JURASSIC A JP-N033:GRASS GREEN:9-10:GRAPHIC:JACKET</t>
  </si>
  <si>
    <t>JP-N033</t>
  </si>
  <si>
    <t>ML-HR032</t>
  </si>
  <si>
    <t>ML-A04</t>
  </si>
  <si>
    <t>MN-N070</t>
  </si>
  <si>
    <t>MN-N101</t>
  </si>
  <si>
    <t>BT-N031</t>
  </si>
  <si>
    <t>BG-115A</t>
  </si>
  <si>
    <t>BM-A94</t>
  </si>
  <si>
    <t>BT-N235</t>
  </si>
  <si>
    <t>BG-117C</t>
  </si>
  <si>
    <t>BG-119C</t>
  </si>
  <si>
    <t>SUP-HR195</t>
  </si>
  <si>
    <t>SUP-A84</t>
  </si>
  <si>
    <t>SB-A14</t>
  </si>
  <si>
    <t>SB-A10</t>
  </si>
  <si>
    <t>SB-A13</t>
  </si>
  <si>
    <t>SB-HN01</t>
  </si>
  <si>
    <t>TF-N046</t>
  </si>
  <si>
    <t>TF-A136</t>
  </si>
  <si>
    <t>TF-A138</t>
  </si>
  <si>
    <t>MN-N75</t>
  </si>
  <si>
    <t>MN-N058</t>
  </si>
  <si>
    <t>MN-N057</t>
  </si>
  <si>
    <t>MN-HN27</t>
  </si>
  <si>
    <t>MN-HN28</t>
  </si>
  <si>
    <t>JP-106A</t>
  </si>
  <si>
    <t>JP-105C</t>
  </si>
  <si>
    <t>BT-TS01</t>
  </si>
  <si>
    <t>SS T-SHIRT MLBB ZILONG FACE MARBLE BAWAH ML-HR032:NAVY BLUE:7-8:GRAPHIC:SS T-SHIRT</t>
  </si>
  <si>
    <t>SS T-SHIRT MLBB ZILONG FACE MARBLE BAWAH ML-HR032:NAVY BLUE:9-10:GRAPHIC:SS T-SHIRT</t>
  </si>
  <si>
    <t>SS T-SHIRT MLBB ZILONG FACE MARBLE BAWAH ML-HR032:NAVY BLUE:11-12:GRAPHIC:SS T-SHIRT</t>
  </si>
  <si>
    <t>SS T-SHIRT MLBB ZILONG FACE MARBLE BAWAH ML-HR032:NAVY BLUE:13-14:GRAPHIC:SS T-SHIRT</t>
  </si>
  <si>
    <t>SS T-SHIRT MLBB ZILONG FACE MARBLE BAWAH ML-HR032:NAVY BLUE:15-16:GRAPHIC:SS T-SHIRT</t>
  </si>
  <si>
    <t>SS T-SHIRT MLBB LOGO SPLASH BAWAH ML-A04:BLACK:7-8:PRINT:SS T-SHIRT</t>
  </si>
  <si>
    <t>SS T-SHIRT MLBB LOGO SPLASH BAWAH ML-A04:BLACK:9-10:PRINT:SS T-SHIRT</t>
  </si>
  <si>
    <t>SS T-SHIRT MLBB LOGO SPLASH BAWAH ML-A04:BLACK:11-12:PRINT:SS T-SHIRT</t>
  </si>
  <si>
    <t>SS T-SHIRT MLBB LOGO SPLASH BAWAH ML-A04:BLACK:13-14:PRINT:SS T-SHIRT</t>
  </si>
  <si>
    <t>SS T-SHIRT MLBB LOGO SPLASH BAWAH ML-A04:BLACK:15-16:PRINT:SS T-SHIRT</t>
  </si>
  <si>
    <t>JACKET MINIONS MOVIE HOOD MN-N070:NAVY BLUE:3-4:GRAPHIC:JACKET</t>
  </si>
  <si>
    <t>JACKET MINIONS MOVIE HOOD MN-N070:NAVY BLUE:4-5:GRAPHIC:JACKET</t>
  </si>
  <si>
    <t>JACKET MINIONS MOVIE HOOD MN-N070:NAVY BLUE:5-6:GRAPHIC:JACKET</t>
  </si>
  <si>
    <t>JACKET MINIONS MOVIE HOOD MN-N070:NAVY BLUE:7-8:GRAPHIC:JACKET</t>
  </si>
  <si>
    <t>JACKET MINIONS MOVIE HOOD MN-N070:NAVY BLUE:9-10:GRAPHIC:JACKET</t>
  </si>
  <si>
    <t>JACKET MINIONS MOVIE HOOD MN-N070:NAVY BLUE:11-12:GRAPHIC:JACKET</t>
  </si>
  <si>
    <t>JACKET MINIONS MOVIE HOOD MN-N070:NAVY BLUE:13-14:GRAPHIC:JACKET</t>
  </si>
  <si>
    <t>JACKET MINIONS MOVIE HOOD MN-N070:NAVY BLUE:15-16:GRAPHIC:JACKET</t>
  </si>
  <si>
    <t>JOGGER MINIONS CARGO MN-N101:NAVY BLUE:3-4:GRAPHIC:JOGGER</t>
  </si>
  <si>
    <t>JOGGER MINIONS CARGO MN-N101:NAVY BLUE:4-5:GRAPHIC:JOGGER</t>
  </si>
  <si>
    <t>JOGGER MINIONS CARGO MN-N101:NAVY BLUE:5-6:GRAPHIC:JOGGER</t>
  </si>
  <si>
    <t>JOGGER MINIONS CARGO MN-N101:NAVY BLUE:7-8:GRAPHIC:JOGGER</t>
  </si>
  <si>
    <t>JOGGER MINIONS CARGO MN-N101:NAVY BLUE:9-10:GRAPHIC:JOGGER</t>
  </si>
  <si>
    <t>JOGGER MINIONS CARGO MN-N101:NAVY BLUE:11-12:GRAPHIC:JOGGER</t>
  </si>
  <si>
    <t>JOGGER MINIONS CARGO MN-N101:NAVY BLUE:13-14:GRAPHIC:JOGGER</t>
  </si>
  <si>
    <t>JOGGER MINIONS CARGO MN-N101:NAVY BLUE:15-16:GRAPHIC:JOGGER</t>
  </si>
  <si>
    <t>SHORT PANTS CP KNIT BATMAN PRINT KANTONG A BT-N031:CLASSIC YELLOW:3-4:GRAPHIC:SHORT PANTS</t>
  </si>
  <si>
    <t>SHORT PANTS CP KNIT BATMAN PRINT KANTONG A BT-N031:CLASSIC YELLOW:4-5:GRAPHIC:SHORT PANTS</t>
  </si>
  <si>
    <t>SHORT PANTS CP KNIT BATMAN PRINT KANTONG A BT-N031:CLASSIC YELLOW:5-6:GRAPHIC:SHORT PANTS</t>
  </si>
  <si>
    <t>SHORT PANTS CP KNIT BATMAN PRINT KANTONG A BT-N031:CLASSIC YELLOW:7-8:GRAPHIC:SHORT PANTS</t>
  </si>
  <si>
    <t>SHORT PANTS CP KNIT BATMAN PRINT KANTONG A BT-N031:CLASSIC YELLOW:9-10:GRAPHIC:SHORT PANTS</t>
  </si>
  <si>
    <t>SS T-SHIRT BATMAN FP KTG A BG-115A:MISTY MEDIUM YELLOW:3-4:PRINT:SS T-SHIRT</t>
  </si>
  <si>
    <t>SS T-SHIRT BATMAN FP KTG A BG-115A:MISTY MEDIUM YELLOW:4-5:PRINT:SS T-SHIRT</t>
  </si>
  <si>
    <t>SS T-SHIRT BATMAN FP KTG A BG-115A:MISTY MEDIUM YELLOW:5-6:PRINT:SS T-SHIRT</t>
  </si>
  <si>
    <t>SS T-SHIRT BATMAN FP KTG A BG-115A:MISTY MEDIUM YELLOW:7-8:PRINT:SS T-SHIRT</t>
  </si>
  <si>
    <t>SS T-SHIRT BATMAN FP KTG A BG-115A:MISTY MEDIUM YELLOW:9-10:PRINT:SS T-SHIRT</t>
  </si>
  <si>
    <t>SWEATER BATMAN DARK KNIGHT C BM-A94:BLACK:7-8:GRAPHIC:SWEATER</t>
  </si>
  <si>
    <t>SWEATER BATMAN DARK KNIGHT C BM-A94:BLACK:9-10:GRAPHIC:SWEATER</t>
  </si>
  <si>
    <t>SWEATER BATMAN DARK KNIGHT C BM-A94:BLACK:11-12:GRAPHIC:SWEATER</t>
  </si>
  <si>
    <t>SWEATER BATMAN DARK KNIGHT C BM-A94:BLACK:13-14:GRAPHIC:SWEATER</t>
  </si>
  <si>
    <t>SWEATER BATMAN DARK KNIGHT C BM-A94:BLACK:15-16:GRAPHIC:SWEATER</t>
  </si>
  <si>
    <t>SHORT PANTS CP KNIT BATMAN PRINT LOGO BLKG C BT-N235:BLACK:7-8:GRAPHIC:SHORT PANTS</t>
  </si>
  <si>
    <t>SHORT PANTS CP KNIT BATMAN PRINT LOGO BLKG C BT-N235:BLACK:9-10:GRAPHIC:SHORT PANTS</t>
  </si>
  <si>
    <t>SHORT PANTS CP KNIT BATMAN PRINT LOGO BLKG C BT-N235:BLACK:11-12:GRAPHIC:SHORT PANTS</t>
  </si>
  <si>
    <t>SHORT PANTS CP KNIT BATMAN PRINT LOGO BLKG C BT-N235:BLACK:13-14:GRAPHIC:SHORT PANTS</t>
  </si>
  <si>
    <t>SHORT PANTS CP KNIT BATMAN PRINT LOGO BLKG C BT-N235:BLACK:15-16:GRAPHIC:SHORT PANTS</t>
  </si>
  <si>
    <t>SS T-SHIRT BATMAN LOGO JARING C BG-117C:DARK GREY:7-8:GRAPHIC:SS T-SHIRT</t>
  </si>
  <si>
    <t>SS T-SHIRT BATMAN LOGO JARING C BG-117C:DARK GREY:9-10:GRAPHIC:SS T-SHIRT</t>
  </si>
  <si>
    <t>SS T-SHIRT BATMAN LOGO JARING C BG-117C:DARK GREY:11-12:GRAPHIC:SS T-SHIRT</t>
  </si>
  <si>
    <t>SS T-SHIRT BATMAN LOGO JARING C BG-117C:DARK GREY:13-14:GRAPHIC:SS T-SHIRT</t>
  </si>
  <si>
    <t>SS T-SHIRT BATMAN LOGO JARING C BG-117C:DARK GREY:15-16:GRAPHIC:SS T-SHIRT</t>
  </si>
  <si>
    <t>SS T-SHIRT BATMAN LOGO APLK PRINT BLKG C BG-119C:MISTY LIGHT BLUE:7-8:GRAPHIC:SS T-SHIRT</t>
  </si>
  <si>
    <t>SS T-SHIRT BATMAN LOGO APLK PRINT BLKG C BG-119C:MISTY LIGHT BLUE:9-10:GRAPHIC:SS T-SHIRT</t>
  </si>
  <si>
    <t>SS T-SHIRT BATMAN LOGO APLK PRINT BLKG C BG-119C:MISTY LIGHT BLUE:11-12:GRAPHIC:SS T-SHIRT</t>
  </si>
  <si>
    <t>SS T-SHIRT BATMAN LOGO APLK PRINT BLKG C BG-119C:MISTY LIGHT BLUE:13-14:GRAPHIC:SS T-SHIRT</t>
  </si>
  <si>
    <t>SS T-SHIRT BATMAN LOGO APLK PRINT BLKG C BG-119C:MISTY LIGHT BLUE:15-16:GRAPHIC:SS T-SHIRT</t>
  </si>
  <si>
    <t>SS T-SHIRT FP SUPERMAN LOGO SUP-HR195:NAVY BLUE:3-4:PRINT:SS T-SHIRT</t>
  </si>
  <si>
    <t>SS T-SHIRT FP SUPERMAN LOGO SUP-HR195:NAVY BLUE:4-5:PRINT:SS T-SHIRT</t>
  </si>
  <si>
    <t>SS T-SHIRT FP SUPERMAN LOGO SUP-HR195:NAVY BLUE:5-6:PRINT:SS T-SHIRT</t>
  </si>
  <si>
    <t>SS T-SHIRT FP SUPERMAN LOGO SUP-HR195:NAVY BLUE:7-8:PRINT:SS T-SHIRT</t>
  </si>
  <si>
    <t>SS T-SHIRT FP SUPERMAN LOGO SUP-HR195:NAVY BLUE:9-10:PRINT:SS T-SHIRT</t>
  </si>
  <si>
    <t>SS T-SHIRT FP SUPERMAN LOGO SUP-HR195:NAVY BLUE:11-12:PRINT:SS T-SHIRT</t>
  </si>
  <si>
    <t>SS T-SHIRT FP SUPERMAN LOGO SUP-HR195:NAVY BLUE:13-14:PRINT:SS T-SHIRT</t>
  </si>
  <si>
    <t>SS T-SHIRT FP SUPERMAN LOGO SUP-HR195:NAVY BLUE:15-16:PRINT:SS T-SHIRT</t>
  </si>
  <si>
    <t>JOGGER SUPERMAN LOGO TAG KTG SUP-A84:NAVY BLUE:3-4:GRAPHIC:JOGGER</t>
  </si>
  <si>
    <t>JOGGER SUPERMAN LOGO TAG KTG SUP-A84:NAVY BLUE:4-5:GRAPHIC:JOGGER</t>
  </si>
  <si>
    <t>JOGGER SUPERMAN LOGO TAG KTG SUP-A84:NAVY BLUE:5-6:GRAPHIC:JOGGER</t>
  </si>
  <si>
    <t>JOGGER SUPERMAN LOGO TAG KTG SUP-A84:NAVY BLUE:7-8:GRAPHIC:JOGGER</t>
  </si>
  <si>
    <t>JOGGER SUPERMAN LOGO TAG KTG SUP-A84:NAVY BLUE:9-10:GRAPHIC:JOGGER</t>
  </si>
  <si>
    <t>JOGGER SUPERMAN LOGO TAG KTG SUP-A84:NAVY BLUE:11-12:GRAPHIC:JOGGER</t>
  </si>
  <si>
    <t>JOGGER SUPERMAN LOGO TAG KTG SUP-A84:NAVY BLUE:13-14:GRAPHIC:JOGGER</t>
  </si>
  <si>
    <t>JOGGER SUPERMAN LOGO TAG KTG SUP-A84:NAVY BLUE:15-16:GRAPHIC:JOGGER</t>
  </si>
  <si>
    <t>SS T-SHIRT SPONGEBOB JUMP SB-A14:WHITE:3-4:GRAPHIC:SS T-SHIRT</t>
  </si>
  <si>
    <t>SS T-SHIRT SPONGEBOB JUMP SB-A14:WHITE:4-5:GRAPHIC:SS T-SHIRT</t>
  </si>
  <si>
    <t>SS T-SHIRT SPONGEBOB JUMP SB-A14:WHITE:5-6:GRAPHIC:SS T-SHIRT</t>
  </si>
  <si>
    <t>SS T-SHIRT SPONGEBOB JUMP SB-A14:WHITE:7-8:GRAPHIC:SS T-SHIRT</t>
  </si>
  <si>
    <t>SS T-SHIRT SPONGEBOB JUMP SB-A14:WHITE:9-10:GRAPHIC:SS T-SHIRT</t>
  </si>
  <si>
    <t>SS T-SHIRT SPONGEBOB JUMP SB-A14:WHITE:11-12:GRAPHIC:SS T-SHIRT</t>
  </si>
  <si>
    <t>SS T-SHIRT SPONGEBOB PATRICK SB-A10:MISTY MEDIUM BLUE:3-4:GRAPHIC:SS T-SHIRT</t>
  </si>
  <si>
    <t>SS T-SHIRT SPONGEBOB PATRICK SB-A10:MISTY MEDIUM BLUE:4-5:GRAPHIC:SS T-SHIRT</t>
  </si>
  <si>
    <t>SS T-SHIRT SPONGEBOB PATRICK SB-A10:MISTY MEDIUM BLUE:5-6:GRAPHIC:SS T-SHIRT</t>
  </si>
  <si>
    <t>SS T-SHIRT SPONGEBOB PATRICK SB-A10:MISTY MEDIUM BLUE:7-8:GRAPHIC:SS T-SHIRT</t>
  </si>
  <si>
    <t>SS T-SHIRT SPONGEBOB PATRICK SB-A10:MISTY MEDIUM BLUE:9-10:GRAPHIC:SS T-SHIRT</t>
  </si>
  <si>
    <t>SS T-SHIRT SPONGEBOB PATRICK SB-A10:MISTY MEDIUM BLUE:11-12:GRAPHIC:SS T-SHIRT</t>
  </si>
  <si>
    <t>SS T-SHIRT SPONGEBOB FP TD SB-A13:WHITE:3-4:PRINT:SS T-SHIRT</t>
  </si>
  <si>
    <t>SS T-SHIRT SPONGEBOB FP TD SB-A13:WHITE:4-5:PRINT:SS T-SHIRT</t>
  </si>
  <si>
    <t>SS T-SHIRT SPONGEBOB FP TD SB-A13:WHITE:5-6:PRINT:SS T-SHIRT</t>
  </si>
  <si>
    <t>SS T-SHIRT SPONGEBOB FP TD SB-A13:WHITE:7-8:PRINT:SS T-SHIRT</t>
  </si>
  <si>
    <t>SS T-SHIRT SPONGEBOB FP TD SB-A13:WHITE:9-10:PRINT:SS T-SHIRT</t>
  </si>
  <si>
    <t>SS T-SHIRT SPONGEBOB FP TD SB-A13:WHITE:11-12:PRINT:SS T-SHIRT</t>
  </si>
  <si>
    <t>JOGGER SPONGEBOB SB-HN01:MISTY LIGHT GREY:3-4:GRAPHIC:JOGGER</t>
  </si>
  <si>
    <t>JOGGER SPONGEBOB SB-HN01:MISTY LIGHT GREY:4-5:GRAPHIC:JOGGER</t>
  </si>
  <si>
    <t>JOGGER SPONGEBOB SB-HN01:MISTY LIGHT GREY:5-6:GRAPHIC:JOGGER</t>
  </si>
  <si>
    <t>JOGGER SPONGEBOB SB-HN01:MISTY LIGHT GREY:7-8:GRAPHIC:JOGGER</t>
  </si>
  <si>
    <t>JOGGER SPONGEBOB SB-HN01:MISTY LIGHT GREY:9-10:GRAPHIC:JOGGER</t>
  </si>
  <si>
    <t>JOGGER SPONGEBOB SB-HN01:MISTY LIGHT GREY:11-12:GRAPHIC:JOGGER</t>
  </si>
  <si>
    <t>SWEATER HOOD BUMBLEBEE LIS LGN TF-N046:MISTY MEDIUM GREY:3-4:GRAPHIC:SWEATER</t>
  </si>
  <si>
    <t>SWEATER HOOD BUMBLEBEE LIS LGN TF-N046:MISTY MEDIUM GREY:4-5:GRAPHIC:SWEATER</t>
  </si>
  <si>
    <t>SWEATER HOOD BUMBLEBEE LIS LGN TF-N046:MISTY MEDIUM GREY:5-6:GRAPHIC:SWEATER</t>
  </si>
  <si>
    <t>SWEATER HOOD BUMBLEBEE LIS LGN TF-N046:MISTY MEDIUM GREY:7-8:GRAPHIC:SWEATER</t>
  </si>
  <si>
    <t>SWEATER HOOD BUMBLEBEE LIS LGN TF-N046:MISTY MEDIUM GREY:9-10:GRAPHIC:SWEATER</t>
  </si>
  <si>
    <t>SWEATER HOOD BUMBLEBEE LIS LGN TF-N046:MISTY MEDIUM GREY:11-12:GRAPHIC:SWEATER</t>
  </si>
  <si>
    <t>SHORT PANTS CP KNIT TF FP OPTIMUS TF-A136:NAVY BLUE:3-4:PRINT:SHORT PANTS</t>
  </si>
  <si>
    <t>SHORT PANTS CP KNIT TF FP OPTIMUS TF-A136:NAVY BLUE:4-5:PRINT:SHORT PANTS</t>
  </si>
  <si>
    <t>SHORT PANTS CP KNIT TF FP OPTIMUS TF-A136:NAVY BLUE:5-6:PRINT:SHORT PANTS</t>
  </si>
  <si>
    <t>SHORT PANTS CP KNIT TF FP OPTIMUS TF-A136:NAVY BLUE:7-8:PRINT:SHORT PANTS</t>
  </si>
  <si>
    <t>SHORT PANTS CP KNIT TF FP OPTIMUS TF-A136:NAVY BLUE:9-10:PRINT:SHORT PANTS</t>
  </si>
  <si>
    <t>SHORT PANTS CP KNIT TF FP OPTIMUS TF-A136:NAVY BLUE:11-12:PRINT:SHORT PANTS</t>
  </si>
  <si>
    <t>SHORT PANTS CP KNIT TF FP OPTIMUS TF-A136:NAVY BLUE:13-14:PRINT:SHORT PANTS</t>
  </si>
  <si>
    <t>SHORT PANTS CP KNIT TF FP OPTIMUS TF-A136:NAVY BLUE:15-16:PRINT:SHORT PANTS</t>
  </si>
  <si>
    <t>SHORT PANTS CP KNIT TF FP BEE TF-A138:CLASSIC YELLOW:3-4:PRINT:SHORT PANTS</t>
  </si>
  <si>
    <t>SHORT PANTS CP KNIT TF FP BEE TF-A138:CLASSIC YELLOW:4-5:PRINT:SHORT PANTS</t>
  </si>
  <si>
    <t>SHORT PANTS CP KNIT TF FP BEE TF-A138:CLASSIC YELLOW:5-6:PRINT:SHORT PANTS</t>
  </si>
  <si>
    <t>SHORT PANTS CP KNIT TF FP BEE TF-A138:CLASSIC YELLOW:7-8:PRINT:SHORT PANTS</t>
  </si>
  <si>
    <t>SHORT PANTS CP KNIT TF FP BEE TF-A138:CLASSIC YELLOW:9-10:PRINT:SHORT PANTS</t>
  </si>
  <si>
    <t>SHORT PANTS CP KNIT TF FP BEE TF-A138:CLASSIC YELLOW:11-12:PRINT:SHORT PANTS</t>
  </si>
  <si>
    <t>SHORT PANTS CP KNIT TF FP BEE TF-A138:CLASSIC YELLOW:13-14:PRINT:SHORT PANTS</t>
  </si>
  <si>
    <t>SHORT PANTS CP KNIT TF FP BEE TF-A138:CLASSIC YELLOW:15-16:PRINT:SHORT PANTS</t>
  </si>
  <si>
    <t>SHORT PANTS MINIONS KTG MN-N75:CLASSIC YELLOW:3-4:GRAPHIC:SHORT PANTS</t>
  </si>
  <si>
    <t>SHORT PANTS MINIONS KTG MN-N75:CLASSIC YELLOW:4-5:GRAPHIC:SHORT PANTS</t>
  </si>
  <si>
    <t>SHORT PANTS MINIONS KTG MN-N75:CLASSIC YELLOW:5-6:GRAPHIC:SHORT PANTS</t>
  </si>
  <si>
    <t>SHORT PANTS MINIONS KTG MN-N75:CLASSIC YELLOW:7-8:GRAPHIC:SHORT PANTS</t>
  </si>
  <si>
    <t>SHORT PANTS MINIONS KTG MN-N75:CLASSIC YELLOW:9-10:GRAPHIC:SHORT PANTS</t>
  </si>
  <si>
    <t>SHORT PANTS MINIONS KTG MN-N75:CLASSIC YELLOW:11-12:GRAPHIC:SHORT PANTS</t>
  </si>
  <si>
    <t>SHORT PANTS MINIONS KTG MN-N75:CLASSIC YELLOW:13-14:GRAPHIC:SHORT PANTS</t>
  </si>
  <si>
    <t>SHORT PANTS MINIONS KTG MN-N75:CLASSIC YELLOW:15-16:GRAPHIC:SHORT PANTS</t>
  </si>
  <si>
    <t>SS T-SHIRT MINIONS TEAMS WHAT MN-N058:MISTY DARK BLUE:3-4:GRAPHIC:SS T-SHIRT</t>
  </si>
  <si>
    <t>SS T-SHIRT MINIONS TEAMS WHAT MN-N058:MISTY DARK BLUE:4-5:GRAPHIC:SS T-SHIRT</t>
  </si>
  <si>
    <t>SS T-SHIRT MINIONS TEAMS WHAT MN-N058:MISTY DARK BLUE:5-6:GRAPHIC:SS T-SHIRT</t>
  </si>
  <si>
    <t>SS T-SHIRT MINIONS TEAMS WHAT MN-N058:MISTY DARK BLUE:7-8:GRAPHIC:SS T-SHIRT</t>
  </si>
  <si>
    <t>SS T-SHIRT MINIONS TEAMS WHAT MN-N058:MISTY DARK BLUE:9-10:GRAPHIC:SS T-SHIRT</t>
  </si>
  <si>
    <t>SS T-SHIRT MINIONS TEAMS WHAT MN-N058:MISTY DARK BLUE:11-12:GRAPHIC:SS T-SHIRT</t>
  </si>
  <si>
    <t>SS T-SHIRT MINIONS TEAMS MAKE IT MN-N057:MISTY LIGHT KHAKI:3-4:GRAPHIC:SS T-SHIRT</t>
  </si>
  <si>
    <t>SS T-SHIRT MINIONS TEAMS MAKE IT MN-N057:MISTY LIGHT KHAKI:4-5:GRAPHIC:SS T-SHIRT</t>
  </si>
  <si>
    <t>SS T-SHIRT MINIONS TEAMS MAKE IT MN-N057:MISTY LIGHT KHAKI:5-6:GRAPHIC:SS T-SHIRT</t>
  </si>
  <si>
    <t>SS T-SHIRT MINIONS TEAMS MAKE IT MN-N057:MISTY LIGHT KHAKI:7-8:GRAPHIC:SS T-SHIRT</t>
  </si>
  <si>
    <t>SS T-SHIRT MINIONS TEAMS MAKE IT MN-N057:MISTY LIGHT KHAKI:9-10:GRAPHIC:SS T-SHIRT</t>
  </si>
  <si>
    <t>SS T-SHIRT MINIONS TEAMS MAKE IT MN-N057:MISTY LIGHT KHAKI:11-12:GRAPHIC:SS T-SHIRT</t>
  </si>
  <si>
    <t>SS T-SHIRT MINIONS TEAMS MAKE IT MN-N057:MISTY LIGHT KHAKI:13-14:GRAPHIC:SS T-SHIRT</t>
  </si>
  <si>
    <t>SS T-SHIRT MINIONS TEAMS MAKE IT MN-N057:MISTY LIGHT KHAKI:15-16:GRAPHIC:SS T-SHIRT</t>
  </si>
  <si>
    <t>SS T-SHIRT MINIONS VIRTUAL MN-HN27:MISTY MEDIUM BLUE:3-4:GRAPHIC:SS T-SHIRT</t>
  </si>
  <si>
    <t>SS T-SHIRT MINIONS VIRTUAL MN-HN27:MISTY MEDIUM BLUE:4-5:GRAPHIC:SS T-SHIRT</t>
  </si>
  <si>
    <t>SS T-SHIRT MINIONS VIRTUAL MN-HN27:MISTY MEDIUM BLUE:5-6:GRAPHIC:SS T-SHIRT</t>
  </si>
  <si>
    <t>SS T-SHIRT MINIONS VIRTUAL MN-HN27:MISTY MEDIUM BLUE:7-8:GRAPHIC:SS T-SHIRT</t>
  </si>
  <si>
    <t>SS T-SHIRT MINIONS VIRTUAL MN-HN27:MISTY MEDIUM BLUE:9-10:GRAPHIC:SS T-SHIRT</t>
  </si>
  <si>
    <t>SS T-SHIRT MINIONS VIRTUAL MN-HN27:MISTY MEDIUM BLUE:11-12:GRAPHIC:SS T-SHIRT</t>
  </si>
  <si>
    <t>SS T-SHIRT MINIONS VIRTUAL MN-HN27:MISTY MEDIUM BLUE:13-14:GRAPHIC:SS T-SHIRT</t>
  </si>
  <si>
    <t>SS T-SHIRT MINIONS VIRTUAL MN-HN27:MISTY MEDIUM BLUE:15-16:GRAPHIC:SS T-SHIRT</t>
  </si>
  <si>
    <t>SS T-SHIRT MINIONS VIRTUAL MN-HN28:MISTY MEDIUM YELLOW:3-4:GRAPHIC:SS T-SHIRT</t>
  </si>
  <si>
    <t>SS T-SHIRT MINIONS VIRTUAL MN-HN28:MISTY MEDIUM YELLOW:4-5:GRAPHIC:SS T-SHIRT</t>
  </si>
  <si>
    <t>SS T-SHIRT MINIONS VIRTUAL MN-HN28:MISTY MEDIUM YELLOW:5-6:GRAPHIC:SS T-SHIRT</t>
  </si>
  <si>
    <t>SS T-SHIRT MINIONS VIRTUAL MN-HN28:MISTY MEDIUM YELLOW:7-8:GRAPHIC:SS T-SHIRT</t>
  </si>
  <si>
    <t>SS T-SHIRT MINIONS VIRTUAL MN-HN28:MISTY MEDIUM YELLOW:9-10:GRAPHIC:SS T-SHIRT</t>
  </si>
  <si>
    <t>SS T-SHIRT MINIONS VIRTUAL MN-HN28:MISTY MEDIUM YELLOW:11-12:GRAPHIC:SS T-SHIRT</t>
  </si>
  <si>
    <t>SS T-SHIRT MINIONS VIRTUAL MN-HN28:MISTY MEDIUM YELLOW:13-14:GRAPHIC:SS T-SHIRT</t>
  </si>
  <si>
    <t>SS T-SHIRT MINIONS VIRTUAL MN-HN28:MISTY MEDIUM YELLOW:15-16:GRAPHIC:SS T-SHIRT</t>
  </si>
  <si>
    <t>SWEATER JURASSIC WORLD HOODY T-REX A JP-106A:BLACK:3-4:GRAPHIC:SWEATER</t>
  </si>
  <si>
    <t>SWEATER JURASSIC WORLD HOODY T-REX A JP-106A:BLACK:4-5:GRAPHIC:SWEATER</t>
  </si>
  <si>
    <t>SWEATER JURASSIC WORLD HOODY T-REX A JP-106A:BLACK:5-6:GRAPHIC:SWEATER</t>
  </si>
  <si>
    <t>SWEATER JURASSIC WORLD HOODY T-REX A JP-106A:BLACK:7-8:GRAPHIC:SWEATER</t>
  </si>
  <si>
    <t>SWEATER JURASSIC WORLD HOODY T-REX A JP-106A:BLACK:9-10:GRAPHIC:SWEATER</t>
  </si>
  <si>
    <t>SWEATER JURRASIC WORLD HOODY FP LOGO C JP-105C:CLASSIC GREEN:7-8:GRAPHIC:SWEATER</t>
  </si>
  <si>
    <t>SWEATER JURRASIC WORLD HOODY FP LOGO C JP-105C:CLASSIC GREEN:9-10:GRAPHIC:SWEATER</t>
  </si>
  <si>
    <t>SWEATER JURRASIC WORLD HOODY FP LOGO C JP-105C:CLASSIC GREEN:11-12:GRAPHIC:SWEATER</t>
  </si>
  <si>
    <t>SWEATER JURRASIC WORLD HOODY FP LOGO C JP-105C:CLASSIC GREEN:13-14:GRAPHIC:SWEATER</t>
  </si>
  <si>
    <t>SWEATER JURRASIC WORLD HOODY FP LOGO C JP-105C:CLASSIC GREEN:15-16:GRAPHIC:SWEATER</t>
  </si>
  <si>
    <t>SS T-SHIRT BATMAN LOGO EMBOSS BT-TS01:BLACK:3-4:GRAPHIC:SS T-SHIRT</t>
  </si>
  <si>
    <t>SS T-SHIRT BATMAN LOGO EMBOSS BT-TS01:BLACK:4-5:GRAPHIC:SS T-SHIRT</t>
  </si>
  <si>
    <t>SS T-SHIRT BATMAN LOGO EMBOSS BT-TS01:BLACK:5-6:GRAPHIC:SS T-SHIRT</t>
  </si>
  <si>
    <t>SS T-SHIRT BATMAN LOGO EMBOSS BT-TS01:BLACK:7-8:GRAPHIC:SS T-SHIRT</t>
  </si>
  <si>
    <t>SS T-SHIRT BATMAN LOGO EMBOSS BT-TS01:BLACK:9-10:GRAPHIC:SS T-SHIRT</t>
  </si>
  <si>
    <t>SS T-SHIRT BATMAN LOGO EMBOSS BT-TS01:BLACK:11-12:GRAPHIC:SS T-SHIRT</t>
  </si>
  <si>
    <t>SS T-SHIRT BATMAN LOGO EMBOSS BT-TS01:BLACK:13-14:GRAPHIC:SS T-SHIRT</t>
  </si>
  <si>
    <t>SS T-SHIRT BATMAN LOGO EMBOSS BT-TS01:BLACK:15-16:GRAPHIC:SS T-SHIRT</t>
  </si>
  <si>
    <t>ML-HN07</t>
  </si>
  <si>
    <t>SS T-SHIRT MLBB ZILONG RIDE FP ML-HN07:CLASSIC RED:7-8:PRINT:SS T-SHIRT</t>
  </si>
  <si>
    <t>SS T-SHIRT MLBB ZILONG RIDE FP ML-HN07:CLASSIC RED:9-10:PRINT:SS T-SHIRT</t>
  </si>
  <si>
    <t>SS T-SHIRT MLBB ZILONG RIDE FP ML-HN07:CLASSIC RED:11-12:PRINT:SS T-SHIRT</t>
  </si>
  <si>
    <t>SS T-SHIRT MLBB ZILONG RIDE FP ML-HN07:CLASSIC RED:13-14:PRINT:SS T-SHIRT</t>
  </si>
  <si>
    <t>SS T-SHIRT MLBB ZILONG RIDE FP ML-HN07:CLASSIC RED:15-16:PRINT:SS T-SHIRT</t>
  </si>
  <si>
    <t>ML-HR030</t>
  </si>
  <si>
    <t>SS T-SHIRT MLBB ZYROTH PRINT LENGAN ML-HR030:BLACK:7-8:PRINT:SS T-SHIRT</t>
  </si>
  <si>
    <t>SS T-SHIRT MLBB ZYROTH PRINT LENGAN ML-HR030:BLACK:9-10:PRINT:SS T-SHIRT</t>
  </si>
  <si>
    <t>SS T-SHIRT MLBB ZYROTH PRINT LENGAN ML-HR030:BLACK:11-12:PRINT:SS T-SHIRT</t>
  </si>
  <si>
    <t>SS T-SHIRT MLBB ZYROTH PRINT LENGAN ML-HR030:BLACK:13-14:PRINT:SS T-SHIRT</t>
  </si>
  <si>
    <t>SS T-SHIRT MLBB ZYROTH PRINT LENGAN ML-HR030:BLACK:15-16:PRINT:SS T-SHIRT</t>
  </si>
  <si>
    <t>SB-HN04</t>
  </si>
  <si>
    <t>SWEATER SPONGEBOB SB-HN04:CLASSIC YELLOW:3-4:GRAPHIC:SWEATER</t>
  </si>
  <si>
    <t>SWEATER SPONGEBOB SB-HN04:CLASSIC YELLOW:4-5:GRAPHIC:SWEATER</t>
  </si>
  <si>
    <t>SWEATER SPONGEBOB SB-HN04:CLASSIC YELLOW:5-6:GRAPHIC:SWEATER</t>
  </si>
  <si>
    <t>SWEATER SPONGEBOB SB-HN04:CLASSIC YELLOW:7-8:GRAPHIC:SWEATER</t>
  </si>
  <si>
    <t>SWEATER SPONGEBOB SB-HN04:CLASSIC YELLOW:9-10:GRAPHIC:SWEATER</t>
  </si>
  <si>
    <t>SWEATER SPONGEBOB SB-HN04:CLASSIC YELLOW:11-12:GRAPHIC:SWEATER</t>
  </si>
  <si>
    <t>SUP-HR001</t>
  </si>
  <si>
    <t>SS T-SHIRT SUPERMAN TD LOGO HANDUK SUP-HR001:WHITE:3-4:PRINT:SS T-SHIRT</t>
  </si>
  <si>
    <t>SS T-SHIRT SUPERMAN TD LOGO HANDUK SUP-HR001:WHITE:4-5:PRINT:SS T-SHIRT</t>
  </si>
  <si>
    <t>SS T-SHIRT SUPERMAN TD LOGO HANDUK SUP-HR001:WHITE:5-6:PRINT:SS T-SHIRT</t>
  </si>
  <si>
    <t>SS T-SHIRT SUPERMAN TD LOGO HANDUK SUP-HR001:WHITE:7-8:PRINT:SS T-SHIRT</t>
  </si>
  <si>
    <t>SS T-SHIRT SUPERMAN TD LOGO HANDUK SUP-HR001:WHITE:9-10:PRINT:SS T-SHIRT</t>
  </si>
  <si>
    <t>SS T-SHIRT SUPERMAN TD LOGO HANDUK SUP-HR001:WHITE:11-12:PRINT:SS T-SHIRT</t>
  </si>
  <si>
    <t>SS T-SHIRT SUPERMAN TD LOGO HANDUK SUP-HR001:WHITE:13-14:PRINT:SS T-SHIRT</t>
  </si>
  <si>
    <t>SS T-SHIRT SUPERMAN TD LOGO HANDUK SUP-HR001:WHITE:15-16:PRINT:SS T-SHIRT</t>
  </si>
  <si>
    <t>ML-HN01</t>
  </si>
  <si>
    <t>SS T-SHIRT MLBB HAYABUSA FIGHT MARBLE BAWAH ML-HN01:CLASSIC YELLOW:7-8:PRINT:SS T-SHIRT</t>
  </si>
  <si>
    <t>SS T-SHIRT MLBB HAYABUSA FIGHT MARBLE BAWAH ML-HN01:CLASSIC YELLOW:9-10:PRINT:SS T-SHIRT</t>
  </si>
  <si>
    <t>SS T-SHIRT MLBB HAYABUSA FIGHT MARBLE BAWAH ML-HN01:CLASSIC YELLOW:11-12:PRINT:SS T-SHIRT</t>
  </si>
  <si>
    <t>SS T-SHIRT MLBB HAYABUSA FIGHT MARBLE BAWAH ML-HN01:CLASSIC YELLOW:13-14:PRINT:SS T-SHIRT</t>
  </si>
  <si>
    <t>SS T-SHIRT MLBB HAYABUSA FIGHT MARBLE BAWAH ML-HN01:CLASSIC YELLOW:15-16:PRINT:SS T-SHIRT</t>
  </si>
  <si>
    <t>ML-HN03</t>
  </si>
  <si>
    <t>SS T-SHIRT MLBB NANA FLY ML-HN03:MISTY LIGHT YELLOW:7-8:GRAPHIC:SS T-SHIRT</t>
  </si>
  <si>
    <t>SS T-SHIRT MLBB NANA FLY ML-HN03:MISTY LIGHT YELLOW:9-10:GRAPHIC:SS T-SHIRT</t>
  </si>
  <si>
    <t>SS T-SHIRT MLBB NANA FLY ML-HN03:MISTY LIGHT YELLOW:11-12:GRAPHIC:SS T-SHIRT</t>
  </si>
  <si>
    <t>SS T-SHIRT MLBB NANA FLY ML-HN03:MISTY LIGHT YELLOW:13-14:GRAPHIC:SS T-SHIRT</t>
  </si>
  <si>
    <t>SS T-SHIRT MLBB NANA FLY ML-HN03:MISTY LIGHT YELLOW:15-16:GRAPHIC:SS T-SHIRT</t>
  </si>
  <si>
    <t>ML-A03</t>
  </si>
  <si>
    <t>SS T-SHIRT MLBB HAYABUSA FACE ML-A03:MISTY DARK GREY:7-8:PRINT:SS T-SHIRT</t>
  </si>
  <si>
    <t>SS T-SHIRT MLBB HAYABUSA FACE ML-A03:MISTY DARK GREY:9-10:PRINT:SS T-SHIRT</t>
  </si>
  <si>
    <t>SS T-SHIRT MLBB HAYABUSA FACE ML-A03:MISTY DARK GREY:11-12:PRINT:SS T-SHIRT</t>
  </si>
  <si>
    <t>SS T-SHIRT MLBB HAYABUSA FACE ML-A03:MISTY DARK GREY:13-14:PRINT:SS T-SHIRT</t>
  </si>
  <si>
    <t>SS T-SHIRT MLBB HAYABUSA FACE ML-A03:MISTY DARK GREY:15-16:PRINT:SS T-SHIRT</t>
  </si>
  <si>
    <t>ML-HN02</t>
  </si>
  <si>
    <t>SS T-SHIRT MLBB MIYA ML-HN02:NAVY BLUE:7-8:GRAPHIC:SS T-SHIRT</t>
  </si>
  <si>
    <t>SS T-SHIRT MLBB MIYA ML-HN02:NAVY BLUE:9-10:GRAPHIC:SS T-SHIRT</t>
  </si>
  <si>
    <t>SS T-SHIRT MLBB MIYA ML-HN02:NAVY BLUE:11-12:GRAPHIC:SS T-SHIRT</t>
  </si>
  <si>
    <t>SS T-SHIRT MLBB MIYA ML-HN02:NAVY BLUE:13-14:GRAPHIC:SS T-SHIRT</t>
  </si>
  <si>
    <t>SS T-SHIRT MLBB MIYA ML-HN02:NAVY BLUE:15-16:GRAPHIC:SS T-SHIRT</t>
  </si>
  <si>
    <t>ML-A15</t>
  </si>
  <si>
    <t>SS T-SHIRT MLBB NANA ATTACK ML-A15:BLACK:7-8:GRAPHIC:SS T-SHIRT</t>
  </si>
  <si>
    <t>SS T-SHIRT MLBB NANA ATTACK ML-A15:BLACK:9-10:GRAPHIC:SS T-SHIRT</t>
  </si>
  <si>
    <t>SS T-SHIRT MLBB NANA ATTACK ML-A15:BLACK:11-12:GRAPHIC:SS T-SHIRT</t>
  </si>
  <si>
    <t>SS T-SHIRT MLBB NANA ATTACK ML-A15:BLACK:13-14:GRAPHIC:SS T-SHIRT</t>
  </si>
  <si>
    <t>SS T-SHIRT MLBB NANA ATTACK ML-A15:BLACK:15-16:GRAPHIC:SS T-SHIRT</t>
  </si>
  <si>
    <t>SS T-SHIRT MLBB JOHNSON ML-A01:MISTY MEDIUM BLUE:7-8:PRINT:SS T-SHIRT</t>
  </si>
  <si>
    <t>SS T-SHIRT MLBB JOHNSON ML-A01:MISTY MEDIUM BLUE:9-10:PRINT:SS T-SHIRT</t>
  </si>
  <si>
    <t>SS T-SHIRT MLBB JOHNSON ML-A01:MISTY MEDIUM BLUE:11-12:PRINT:SS T-SHIRT</t>
  </si>
  <si>
    <t>SS T-SHIRT MLBB JOHNSON ML-A01:MISTY MEDIUM BLUE:13-14:PRINT:SS T-SHIRT</t>
  </si>
  <si>
    <t>SS T-SHIRT MLBB JOHNSON ML-A01:MISTY MEDIUM BLUE:15-16:PRINT:SS T-SHIRT</t>
  </si>
  <si>
    <t>ML-A06</t>
  </si>
  <si>
    <t>SHORT PANTS CP KNIT MLBB LOGO ML-A06:NAVY BLUE:7-8:GRAPHIC:SHORT PANTS</t>
  </si>
  <si>
    <t>SHORT PANTS CP KNIT MLBB LOGO ML-A06:NAVY BLUE:9-10:GRAPHIC:SHORT PANTS</t>
  </si>
  <si>
    <t>SHORT PANTS CP KNIT MLBB LOGO ML-A06:NAVY BLUE:11-12:GRAPHIC:SHORT PANTS</t>
  </si>
  <si>
    <t>SHORT PANTS CP KNIT MLBB LOGO ML-A06:NAVY BLUE:13-14:GRAPHIC:SHORT PANTS</t>
  </si>
  <si>
    <t>SHORT PANTS CP KNIT MLBB LOGO ML-A06:NAVY BLUE:15-16:GRAPHIC:SHORT PANTS</t>
  </si>
  <si>
    <t>ML-HR031</t>
  </si>
  <si>
    <t>JOGGER MLBB LOGO ML-HR031:BLACK:7-8:GRAPHIC:JOGGER</t>
  </si>
  <si>
    <t>JOGGER MLBB LOGO ML-HR031:BLACK:9-10:GRAPHIC:JOGGER</t>
  </si>
  <si>
    <t>JOGGER MLBB LOGO ML-HR031:BLACK:11-12:GRAPHIC:JOGGER</t>
  </si>
  <si>
    <t>JOGGER MLBB LOGO ML-HR031:BLACK:13-14:GRAPHIC:JOGGER</t>
  </si>
  <si>
    <t>JOGGER MLBB LOGO ML-HR031:BLACK:15-16:GRAPHIC:JOGGER</t>
  </si>
  <si>
    <t>MLBH-1</t>
  </si>
  <si>
    <t>SS T-SHIRT MLBB ALDOUS FIRE RING MLBH-1:BLACK:7-8:GRAPHIC:SS T-SHIRT</t>
  </si>
  <si>
    <t>SS T-SHIRT MLBB ALDOUS FIRE RING MLBH-1:BLACK:9-10:GRAPHIC:SS T-SHIRT</t>
  </si>
  <si>
    <t>SS T-SHIRT MLBB ALDOUS FIRE RING MLBH-1:BLACK:11-12:GRAPHIC:SS T-SHIRT</t>
  </si>
  <si>
    <t>SS T-SHIRT MLBB ALDOUS FIRE RING MLBH-1:BLACK:13-14:GRAPHIC:SS T-SHIRT</t>
  </si>
  <si>
    <t>SS T-SHIRT MLBB ALDOUS FIRE RING MLBH-1:BLACK:15-16:GRAPHIC:SS T-SHIRT</t>
  </si>
  <si>
    <t>SUP-HR194</t>
  </si>
  <si>
    <t>SWEATER LOGO LGN TULISAN SUP-HR194:MISTY MEDIUM GREY:3-4:GRAPHIC:SWEATER</t>
  </si>
  <si>
    <t>SWEATER LOGO LGN TULISAN SUP-HR194:MISTY MEDIUM GREY:4-5:GRAPHIC:SWEATER</t>
  </si>
  <si>
    <t>SWEATER LOGO LGN TULISAN SUP-HR194:MISTY MEDIUM GREY:5-6:GRAPHIC:SWEATER</t>
  </si>
  <si>
    <t>SWEATER LOGO LGN TULISAN SUP-HR194:MISTY MEDIUM GREY:7-8:GRAPHIC:SWEATER</t>
  </si>
  <si>
    <t>SWEATER LOGO LGN TULISAN SUP-HR194:MISTY MEDIUM GREY:9-10:GRAPHIC:SWEATER</t>
  </si>
  <si>
    <t>SWEATER LOGO LGN TULISAN SUP-HR194:MISTY MEDIUM GREY:11-12:GRAPHIC:SWEATER</t>
  </si>
  <si>
    <t>SWEATER LOGO LGN TULISAN SUP-HR194:MISTY MEDIUM GREY:13-14:GRAPHIC:SWEATER</t>
  </si>
  <si>
    <t>SWEATER LOGO LGN TULISAN SUP-HR194:MISTY MEDIUM GREY:15-16:GRAPHIC:SWEATER</t>
  </si>
  <si>
    <t>TF-A139</t>
  </si>
  <si>
    <t>SHORT PANTS CP KNIT TF LOGO KTG TF-A139:BLACK:3-4:GRAPHIC:SHORT PANTS</t>
  </si>
  <si>
    <t>SHORT PANTS CP KNIT TF LOGO KTG TF-A139:BLACK:4-5:GRAPHIC:SHORT PANTS</t>
  </si>
  <si>
    <t>SHORT PANTS CP KNIT TF LOGO KTG TF-A139:BLACK:5-6:GRAPHIC:SHORT PANTS</t>
  </si>
  <si>
    <t>SHORT PANTS CP KNIT TF LOGO KTG TF-A139:BLACK:7-8:GRAPHIC:SHORT PANTS</t>
  </si>
  <si>
    <t>SHORT PANTS CP KNIT TF LOGO KTG TF-A139:BLACK:9-10:GRAPHIC:SHORT PANTS</t>
  </si>
  <si>
    <t>SHORT PANTS CP KNIT TF LOGO KTG TF-A139:BLACK:11-12:GRAPHIC:SHORT PANTS</t>
  </si>
  <si>
    <t>SHORT PANTS CP KNIT TF LOGO KTG TF-A139:BLACK:13-14:GRAPHIC:SHORT PANTS</t>
  </si>
  <si>
    <t>SHORT PANTS CP KNIT TF LOGO KTG TF-A139:BLACK:15-16:GRAPHIC:SHORT PANTS</t>
  </si>
  <si>
    <t>BT-N229</t>
  </si>
  <si>
    <t>JOGGER BATMAN LOGO A BT-N229:BLACK:3-4:GRAPHIC:JOGGER</t>
  </si>
  <si>
    <t>JOGGER BATMAN LOGO A BT-N229:BLACK:4-5:GRAPHIC:JOGGER</t>
  </si>
  <si>
    <t>JOGGER BATMAN LOGO A BT-N229:BLACK:5-6:GRAPHIC:JOGGER</t>
  </si>
  <si>
    <t>JOGGER BATMAN LOGO A BT-N229:BLACK:7-8:GRAPHIC:JOGGER</t>
  </si>
  <si>
    <t>JOGGER BATMAN LOGO A BT-N229:BLACK:9-10:GRAPHIC:JOGGER</t>
  </si>
  <si>
    <t>BT-N239</t>
  </si>
  <si>
    <t>JOGGER BATMAN DARK KNIGHT LIS C BT-N239:BLACK:7-8:GRAPHIC:JOGGER</t>
  </si>
  <si>
    <t>JOGGER BATMAN DARK KNIGHT LIS C BT-N239:BLACK:9-10:GRAPHIC:JOGGER</t>
  </si>
  <si>
    <t>JOGGER BATMAN DARK KNIGHT LIS C BT-N239:BLACK:11-12:GRAPHIC:JOGGER</t>
  </si>
  <si>
    <t>JOGGER BATMAN DARK KNIGHT LIS C BT-N239:BLACK:13-14:GRAPHIC:JOGGER</t>
  </si>
  <si>
    <t>JOGGER BATMAN DARK KNIGHT LIS C BT-N239:BLACK:15-16:GRAPHIC:JOGGER</t>
  </si>
  <si>
    <t>MN-N049</t>
  </si>
  <si>
    <t>MN-HR034</t>
  </si>
  <si>
    <t>SUP-HR057</t>
  </si>
  <si>
    <t>SUP-HR061</t>
  </si>
  <si>
    <t>SUP-HR060</t>
  </si>
  <si>
    <t>SUP-HR059</t>
  </si>
  <si>
    <t>JP-115</t>
  </si>
  <si>
    <t>JP-112</t>
  </si>
  <si>
    <t>SUP-HR063</t>
  </si>
  <si>
    <t>JP-N041</t>
  </si>
  <si>
    <t>SUP-HR065</t>
  </si>
  <si>
    <t>JW-HR068</t>
  </si>
  <si>
    <t>SUP-HR064</t>
  </si>
  <si>
    <t>JP-N043</t>
  </si>
  <si>
    <t>SS T-SHIRT MINIONS RAGLAN MN-N049:WHITE:3-4:GRAPHIC:SS T-SHIRT</t>
  </si>
  <si>
    <t>SS T-SHIRT MINIONS RAGLAN MN-N049:WHITE:4-5:GRAPHIC:SS T-SHIRT</t>
  </si>
  <si>
    <t>SS T-SHIRT MINIONS RAGLAN MN-N049:WHITE:5-6:GRAPHIC:SS T-SHIRT</t>
  </si>
  <si>
    <t>SS T-SHIRT MINIONS RAGLAN MN-N049:WHITE:7-8:GRAPHIC:SS T-SHIRT</t>
  </si>
  <si>
    <t>SS T-SHIRT MINIONS RAGLAN MN-N049:WHITE:9-10:GRAPHIC:SS T-SHIRT</t>
  </si>
  <si>
    <t>SS T-SHIRT MINIONS RAGLAN MN-N049:WHITE:11-12:GRAPHIC:SS T-SHIRT</t>
  </si>
  <si>
    <t>SS T-SHIRT MINIONS RAGLAN MN-N049:WHITE:13-14:GRAPHIC:SS T-SHIRT</t>
  </si>
  <si>
    <t>SS T-SHIRT MINIONS RAGLAN MN-N049:WHITE:15-16:GRAPHIC:SS T-SHIRT</t>
  </si>
  <si>
    <t>SS T-SHIRT MINIONS DANCE LIS LGN MN-HR034:CLASSIC YELLOW:3-4:GRAPHIC:SS T-SHIRT</t>
  </si>
  <si>
    <t>SS T-SHIRT MINIONS DANCE LIS LGN MN-HR034:CLASSIC YELLOW:4-5:GRAPHIC:SS T-SHIRT</t>
  </si>
  <si>
    <t>SS T-SHIRT MINIONS DANCE LIS LGN MN-HR034:CLASSIC YELLOW:5-6:GRAPHIC:SS T-SHIRT</t>
  </si>
  <si>
    <t>SS T-SHIRT MINIONS DANCE LIS LGN MN-HR034:CLASSIC YELLOW:7-8:GRAPHIC:SS T-SHIRT</t>
  </si>
  <si>
    <t>SS T-SHIRT MINIONS DANCE LIS LGN MN-HR034:CLASSIC YELLOW:9-10:GRAPHIC:SS T-SHIRT</t>
  </si>
  <si>
    <t>SS T-SHIRT MINIONS DANCE LIS LGN MN-HR034:CLASSIC YELLOW:11-12:GRAPHIC:SS T-SHIRT</t>
  </si>
  <si>
    <t>SS T-SHIRT MINIONS DANCE LIS LGN MN-HR034:CLASSIC YELLOW:13-14:GRAPHIC:SS T-SHIRT</t>
  </si>
  <si>
    <t>SS T-SHIRT MINIONS DANCE LIS LGN MN-HR034:CLASSIC YELLOW:15-16:GRAPHIC:SS T-SHIRT</t>
  </si>
  <si>
    <t>SS T-SHIRT SUPERMAN MOVIE LOGO FP BAWAH SUP-HR057:TURQOUISE:3-4:GRAPHIC:SS T-SHIRT</t>
  </si>
  <si>
    <t>SS T-SHIRT SUPERMAN MOVIE LOGO FP BAWAH SUP-HR057:TURQOUISE:4-5:GRAPHIC:SS T-SHIRT</t>
  </si>
  <si>
    <t>SS T-SHIRT SUPERMAN MOVIE LOGO FP BAWAH SUP-HR057:TURQOUISE:5-6:GRAPHIC:SS T-SHIRT</t>
  </si>
  <si>
    <t>SS T-SHIRT SUPERMAN MOVIE LOGO FP BAWAH SUP-HR057:TURQOUISE:7-8:GRAPHIC:SS T-SHIRT</t>
  </si>
  <si>
    <t>SS T-SHIRT SUPERMAN MOVIE LOGO FP BAWAH SUP-HR057:TURQOUISE:9-10:GRAPHIC:SS T-SHIRT</t>
  </si>
  <si>
    <t>SS T-SHIRT SUPERMAN MOVIE LOGO FP BAWAH SUP-HR057:TURQOUISE:11-12:GRAPHIC:SS T-SHIRT</t>
  </si>
  <si>
    <t>SS T-SHIRT SUPERMAN MOVIE LOGO FP BAWAH SUP-HR057:TURQOUISE:13-14:GRAPHIC:SS T-SHIRT</t>
  </si>
  <si>
    <t>SS T-SHIRT SUPERMAN MOVIE LOGO FP BAWAH SUP-HR057:TURQOUISE:15-16:GRAPHIC:SS T-SHIRT</t>
  </si>
  <si>
    <t>SS T-SHIRT SUPERMAN MOVIE FP LOGO SUP-HR061:WHITE:3-4:PRINT:SS T-SHIRT</t>
  </si>
  <si>
    <t>SS T-SHIRT SUPERMAN MOVIE FP LOGO SUP-HR061:WHITE:4-5:PRINT:SS T-SHIRT</t>
  </si>
  <si>
    <t>SS T-SHIRT SUPERMAN MOVIE FP LOGO SUP-HR061:WHITE:5-6:PRINT:SS T-SHIRT</t>
  </si>
  <si>
    <t>SS T-SHIRT SUPERMAN MOVIE FP LOGO SUP-HR061:WHITE:7-8:PRINT:SS T-SHIRT</t>
  </si>
  <si>
    <t>SS T-SHIRT SUPERMAN MOVIE FP LOGO SUP-HR061:WHITE:9-10:PRINT:SS T-SHIRT</t>
  </si>
  <si>
    <t>SS T-SHIRT SUPERMAN MOVIE FP LOGO SUP-HR061:WHITE:11-12:PRINT:SS T-SHIRT</t>
  </si>
  <si>
    <t>SS T-SHIRT SUPERMAN MOVIE FP LOGO SUP-HR061:WHITE:13-14:PRINT:SS T-SHIRT</t>
  </si>
  <si>
    <t>SS T-SHIRT SUPERMAN MOVIE FP LOGO SUP-HR061:WHITE:15-16:PRINT:SS T-SHIRT</t>
  </si>
  <si>
    <t>SS T-SHIRT SUPERMAN MOVIE ACTION SUP-HR060:MISTY LIGHT BLUE:3-4:GRAPHIC:SS T-SHIRT</t>
  </si>
  <si>
    <t>SS T-SHIRT SUPERMAN MOVIE ACTION SUP-HR060:MISTY LIGHT BLUE:4-5:GRAPHIC:SS T-SHIRT</t>
  </si>
  <si>
    <t>SS T-SHIRT SUPERMAN MOVIE ACTION SUP-HR060:MISTY LIGHT BLUE:5-6:GRAPHIC:SS T-SHIRT</t>
  </si>
  <si>
    <t>SS T-SHIRT SUPERMAN MOVIE ACTION SUP-HR060:MISTY LIGHT BLUE:7-8:GRAPHIC:SS T-SHIRT</t>
  </si>
  <si>
    <t>SS T-SHIRT SUPERMAN MOVIE ACTION SUP-HR060:MISTY LIGHT BLUE:9-10:GRAPHIC:SS T-SHIRT</t>
  </si>
  <si>
    <t>SS T-SHIRT SUPERMAN MOVIE ACTION SUP-HR060:MISTY LIGHT BLUE:11-12:GRAPHIC:SS T-SHIRT</t>
  </si>
  <si>
    <t>SS T-SHIRT SUPERMAN MOVIE ACTION SUP-HR060:MISTY LIGHT BLUE:13-14:GRAPHIC:SS T-SHIRT</t>
  </si>
  <si>
    <t>SS T-SHIRT SUPERMAN MOVIE ACTION SUP-HR060:MISTY LIGHT BLUE:15-16:GRAPHIC:SS T-SHIRT</t>
  </si>
  <si>
    <t>SS T-SHIRT SUPERMAN MOVIE CUT SEW SUP-HR059:NAVY BLUE:3-4:GRAPHIC:SS T-SHIRT</t>
  </si>
  <si>
    <t>SS T-SHIRT SUPERMAN MOVIE CUT SEW SUP-HR059:NAVY BLUE:4-5:GRAPHIC:SS T-SHIRT</t>
  </si>
  <si>
    <t>SS T-SHIRT SUPERMAN MOVIE CUT SEW SUP-HR059:NAVY BLUE:5-6:GRAPHIC:SS T-SHIRT</t>
  </si>
  <si>
    <t>SS T-SHIRT SUPERMAN MOVIE CUT SEW SUP-HR059:NAVY BLUE:7-8:GRAPHIC:SS T-SHIRT</t>
  </si>
  <si>
    <t>SS T-SHIRT SUPERMAN MOVIE CUT SEW SUP-HR059:NAVY BLUE:9-10:GRAPHIC:SS T-SHIRT</t>
  </si>
  <si>
    <t>SS T-SHIRT SUPERMAN MOVIE CUT SEW SUP-HR059:NAVY BLUE:11-12:GRAPHIC:SS T-SHIRT</t>
  </si>
  <si>
    <t>SS T-SHIRT SUPERMAN MOVIE CUT SEW SUP-HR059:NAVY BLUE:13-14:GRAPHIC:SS T-SHIRT</t>
  </si>
  <si>
    <t>SS T-SHIRT SUPERMAN MOVIE CUT SEW SUP-HR059:NAVY BLUE:15-16:GRAPHIC:SS T-SHIRT</t>
  </si>
  <si>
    <t>SS T-SHIRT JURASSIC FULL DPN JP-115:FOREST GREEN:5-6:PRINT:SS T-SHIRT</t>
  </si>
  <si>
    <t>SS T-SHIRT JURASSIC FULL DPN JP-115:FOREST GREEN:7-8:PRINT:SS T-SHIRT</t>
  </si>
  <si>
    <t>SS T-SHIRT JURASSIC FULL DPN JP-115:FOREST GREEN:9-10:PRINT:SS T-SHIRT</t>
  </si>
  <si>
    <t>SS T-SHIRT JURASSIC FULL DPN JP-115:FOREST GREEN:11-12:PRINT:SS T-SHIRT</t>
  </si>
  <si>
    <t>SS T-SHIRT JURASSIC FULL DPN JP-115:FOREST GREEN:13-14:PRINT:SS T-SHIRT</t>
  </si>
  <si>
    <t>SS T-SHIRT JURASSIC FULL DPN JP-115:FOREST GREEN:15-16:PRINT:SS T-SHIRT</t>
  </si>
  <si>
    <t>SS T-SHIRT JURASSIC T-REX LOGO PATCH JP-112:FOREST GREEN:5-6:GRAPHIC:SS T-SHIRT</t>
  </si>
  <si>
    <t>SS T-SHIRT JURASSIC T-REX LOGO PATCH JP-112:FOREST GREEN:7-8:GRAPHIC:SS T-SHIRT</t>
  </si>
  <si>
    <t>SS T-SHIRT JURASSIC T-REX LOGO PATCH JP-112:FOREST GREEN:9-10:GRAPHIC:SS T-SHIRT</t>
  </si>
  <si>
    <t>SS T-SHIRT JURASSIC T-REX LOGO PATCH JP-112:FOREST GREEN:11-12:GRAPHIC:SS T-SHIRT</t>
  </si>
  <si>
    <t>SS T-SHIRT JURASSIC T-REX LOGO PATCH JP-112:FOREST GREEN:13-14:GRAPHIC:SS T-SHIRT</t>
  </si>
  <si>
    <t>SS T-SHIRT JURASSIC T-REX LOGO PATCH JP-112:FOREST GREEN:15-16:GRAPHIC:SS T-SHIRT</t>
  </si>
  <si>
    <t>SWEATER SUPERMAN MOVIE LOGO SUP-HR063:NAVY BLUE:3-4:GRAPHIC:SWEATER</t>
  </si>
  <si>
    <t>SWEATER SUPERMAN MOVIE LOGO SUP-HR063:NAVY BLUE:4-5:GRAPHIC:SWEATER</t>
  </si>
  <si>
    <t>SWEATER SUPERMAN MOVIE LOGO SUP-HR063:NAVY BLUE:5-6:GRAPHIC:SWEATER</t>
  </si>
  <si>
    <t>SWEATER SUPERMAN MOVIE LOGO SUP-HR063:NAVY BLUE:7-8:GRAPHIC:SWEATER</t>
  </si>
  <si>
    <t>SWEATER SUPERMAN MOVIE LOGO SUP-HR063:NAVY BLUE:9-10:GRAPHIC:SWEATER</t>
  </si>
  <si>
    <t>SWEATER SUPERMAN MOVIE LOGO SUP-HR063:NAVY BLUE:11-12:GRAPHIC:SWEATER</t>
  </si>
  <si>
    <t>SWEATER SUPERMAN MOVIE LOGO SUP-HR063:NAVY BLUE:13-14:GRAPHIC:SWEATER</t>
  </si>
  <si>
    <t>SWEATER SUPERMAN MOVIE LOGO SUP-HR063:NAVY BLUE:15-16:GRAPHIC:SWEATER</t>
  </si>
  <si>
    <t>JACKET JURASSIC LOGO LENGAN JP-N041:BLACK:3-4:GRAPHIC:JACKET</t>
  </si>
  <si>
    <t>JACKET JURASSIC LOGO LENGAN JP-N041:BLACK:4-5:GRAPHIC:JACKET</t>
  </si>
  <si>
    <t>JACKET JURASSIC LOGO LENGAN JP-N041:BLACK:5-6:GRAPHIC:JACKET</t>
  </si>
  <si>
    <t>JACKET JURASSIC LOGO LENGAN JP-N041:BLACK:7-8:GRAPHIC:JACKET</t>
  </si>
  <si>
    <t>JACKET JURASSIC LOGO LENGAN JP-N041:BLACK:9-10:GRAPHIC:JACKET</t>
  </si>
  <si>
    <t>JACKET JURASSIC LOGO LENGAN JP-N041:BLACK:11-12:GRAPHIC:JACKET</t>
  </si>
  <si>
    <t>JACKET JURASSIC LOGO LENGAN JP-N041:BLACK:13-14:GRAPHIC:JACKET</t>
  </si>
  <si>
    <t>JACKET JURASSIC LOGO LENGAN JP-N041:BLACK:15-16:GRAPHIC:JACKET</t>
  </si>
  <si>
    <t>SHORT PANTS SUPERMAN MOVIE LOGO KANTONG SUP-HR065:NAVY BLUE:3-4:GRAPHIC:SHORT PANTS</t>
  </si>
  <si>
    <t>SHORT PANTS SUPERMAN MOVIE LOGO KANTONG SUP-HR065:NAVY BLUE:4-5:GRAPHIC:SHORT PANTS</t>
  </si>
  <si>
    <t>SHORT PANTS SUPERMAN MOVIE LOGO KANTONG SUP-HR065:NAVY BLUE:5-6:GRAPHIC:SHORT PANTS</t>
  </si>
  <si>
    <t>SHORT PANTS SUPERMAN MOVIE LOGO KANTONG SUP-HR065:NAVY BLUE:7-8:GRAPHIC:SHORT PANTS</t>
  </si>
  <si>
    <t>SHORT PANTS SUPERMAN MOVIE LOGO KANTONG SUP-HR065:NAVY BLUE:9-10:GRAPHIC:SHORT PANTS</t>
  </si>
  <si>
    <t>SHORT PANTS SUPERMAN MOVIE LOGO KANTONG SUP-HR065:NAVY BLUE:11-12:GRAPHIC:SHORT PANTS</t>
  </si>
  <si>
    <t>SHORT PANTS SUPERMAN MOVIE LOGO KANTONG SUP-HR065:NAVY BLUE:13-14:GRAPHIC:SHORT PANTS</t>
  </si>
  <si>
    <t>SHORT PANTS SUPERMAN MOVIE LOGO KANTONG SUP-HR065:NAVY BLUE:15-16:GRAPHIC:SHORT PANTS</t>
  </si>
  <si>
    <t>SHORT PANTS JURASSIC LOGO KANTONG JW-HR068:FOREST GREEN:3-4:GRAPHIC:SHORT PANTS</t>
  </si>
  <si>
    <t>SHORT PANTS JURASSIC LOGO KANTONG JW-HR068:FOREST GREEN:4-5:GRAPHIC:SHORT PANTS</t>
  </si>
  <si>
    <t>SHORT PANTS JURASSIC LOGO KANTONG JW-HR068:FOREST GREEN:5-6:GRAPHIC:SHORT PANTS</t>
  </si>
  <si>
    <t>SHORT PANTS JURASSIC LOGO KANTONG JW-HR068:FOREST GREEN:7-8:GRAPHIC:SHORT PANTS</t>
  </si>
  <si>
    <t>SHORT PANTS JURASSIC LOGO KANTONG JW-HR068:FOREST GREEN:9-10:GRAPHIC:SHORT PANTS</t>
  </si>
  <si>
    <t>SHORT PANTS JURASSIC LOGO KANTONG JW-HR068:FOREST GREEN:11-12:GRAPHIC:SHORT PANTS</t>
  </si>
  <si>
    <t>SHORT PANTS JURASSIC LOGO KANTONG JW-HR068:FOREST GREEN:13-14:GRAPHIC:SHORT PANTS</t>
  </si>
  <si>
    <t>SHORT PANTS JURASSIC LOGO KANTONG JW-HR068:FOREST GREEN:15-16:GRAPHIC:SHORT PANTS</t>
  </si>
  <si>
    <t>JOGGER SUPERMAN MOVIE LOGO SUP-HR064:NAVY BLUE:3-4:GRAPHIC:JOGGER</t>
  </si>
  <si>
    <t>JOGGER SUPERMAN MOVIE LOGO SUP-HR064:NAVY BLUE:4-5:GRAPHIC:JOGGER</t>
  </si>
  <si>
    <t>JOGGER SUPERMAN MOVIE LOGO SUP-HR064:NAVY BLUE:5-6:GRAPHIC:JOGGER</t>
  </si>
  <si>
    <t>JOGGER SUPERMAN MOVIE LOGO SUP-HR064:NAVY BLUE:7-8:GRAPHIC:JOGGER</t>
  </si>
  <si>
    <t>JOGGER SUPERMAN MOVIE LOGO SUP-HR064:NAVY BLUE:9-10:GRAPHIC:JOGGER</t>
  </si>
  <si>
    <t>JOGGER SUPERMAN MOVIE LOGO SUP-HR064:NAVY BLUE:11-12:GRAPHIC:JOGGER</t>
  </si>
  <si>
    <t>JOGGER SUPERMAN MOVIE LOGO SUP-HR064:NAVY BLUE:13-14:GRAPHIC:JOGGER</t>
  </si>
  <si>
    <t>JOGGER SUPERMAN MOVIE LOGO SUP-HR064:NAVY BLUE:15-16:GRAPHIC:JOGGER</t>
  </si>
  <si>
    <t>JOGGER JURASSIC LOGO LIS SAMPING JP-N043:BLACK:3-4:GRAPHIC:JOGGER</t>
  </si>
  <si>
    <t>JOGGER JURASSIC LOGO LIS SAMPING JP-N043:BLACK:4-5:GRAPHIC:JOGGER</t>
  </si>
  <si>
    <t>JOGGER JURASSIC LOGO LIS SAMPING JP-N043:BLACK:5-6:GRAPHIC:JOGGER</t>
  </si>
  <si>
    <t>JOGGER JURASSIC LOGO LIS SAMPING JP-N043:BLACK:7-8:GRAPHIC:JOGGER</t>
  </si>
  <si>
    <t>JOGGER JURASSIC LOGO LIS SAMPING JP-N043:BLACK:9-10:GRAPHIC:JOGGER</t>
  </si>
  <si>
    <t>JOGGER JURASSIC LOGO LIS SAMPING JP-N043:BLACK:11-12:GRAPHIC:JOGGER</t>
  </si>
  <si>
    <t>JOGGER JURASSIC LOGO LIS SAMPING JP-N043:BLACK:13-14:GRAPHIC:JOGGER</t>
  </si>
  <si>
    <t>JOGGER JURASSIC LOGO LIS SAMPING JP-N043:BLACK:15-16:GRAPHIC:JOGGER</t>
  </si>
  <si>
    <t>MN-HR072</t>
  </si>
  <si>
    <t>SHORT PANTS MINIONS KTG MN-HR072:NAVY BLUE:3-4:GRAPHIC:SHORT PANTS</t>
  </si>
  <si>
    <t>SHORT PANTS MINIONS KTG MN-HR072:NAVY BLUE:4-5:GRAPHIC:SHORT PANTS</t>
  </si>
  <si>
    <t>SHORT PANTS MINIONS KTG MN-HR072:NAVY BLUE:5-6:GRAPHIC:SHORT PANTS</t>
  </si>
  <si>
    <t>SHORT PANTS MINIONS KTG MN-HR072:NAVY BLUE:7-8:GRAPHIC:SHORT PANTS</t>
  </si>
  <si>
    <t>SHORT PANTS MINIONS KTG MN-HR072:NAVY BLUE:9-10:GRAPHIC:SHORT PANTS</t>
  </si>
  <si>
    <t>SHORT PANTS MINIONS KTG MN-HR072:NAVY BLUE:11-12:GRAPHIC:SHORT PANTS</t>
  </si>
  <si>
    <t>SHORT PANTS MINIONS KTG MN-HR072:NAVY BLUE:13-14:GRAPHIC:SHORT PANTS</t>
  </si>
  <si>
    <t>SHORT PANTS MINIONS KTG MN-HR072:NAVY BLUE:15-16:GRAPHIC:SHORT PANTS</t>
  </si>
  <si>
    <t>B1G1</t>
  </si>
  <si>
    <t>BT-HR410</t>
  </si>
  <si>
    <t>SS T-SHIRT BATMAN CUT SEW FP JARING A BT-HR410:BLACK:3-4:PRINT:SS T-SHIRT</t>
  </si>
  <si>
    <t>SS T-SHIRT BATMAN CUT SEW FP JARING A BT-HR410:BLACK:4-5:PRINT:SS T-SHIRT</t>
  </si>
  <si>
    <t>SS T-SHIRT BATMAN CUT SEW FP JARING A BT-HR410:BLACK:5-6:PRINT:SS T-SHIRT</t>
  </si>
  <si>
    <t>SS T-SHIRT BATMAN CUT SEW FP JARING A BT-HR410:BLACK:7-8:PRINT:SS T-SHIRT</t>
  </si>
  <si>
    <t>SS T-SHIRT BATMAN CUT SEW FP JARING A BT-HR410:BLACK:9-10:PRINT:SS T-SHIRT</t>
  </si>
  <si>
    <t>SB-HR15</t>
  </si>
  <si>
    <t>SS T-SHIRT SPONGEBOB FP BUBBLE SB-HR15:MISTY MEDIUM KHAKI:3-4:PRINT:SS T-SHIRT</t>
  </si>
  <si>
    <t>SS T-SHIRT SPONGEBOB FP BUBBLE SB-HR15:MISTY MEDIUM KHAKI:4-5:PRINT:SS T-SHIRT</t>
  </si>
  <si>
    <t>SS T-SHIRT SPONGEBOB FP BUBBLE SB-HR15:MISTY MEDIUM KHAKI:5-6:PRINT:SS T-SHIRT</t>
  </si>
  <si>
    <t>SS T-SHIRT SPONGEBOB FP BUBBLE SB-HR15:MISTY MEDIUM KHAKI:7-8:PRINT:SS T-SHIRT</t>
  </si>
  <si>
    <t>SS T-SHIRT SPONGEBOB FP BUBBLE SB-HR15:MISTY MEDIUM KHAKI:9-10:PRINT:SS T-SHIRT</t>
  </si>
  <si>
    <t>SS T-SHIRT SPONGEBOB FP BUBBLE SB-HR15:MISTY MEDIUM KHAKI:11-12:PRINT:SS T-SHIRT</t>
  </si>
  <si>
    <t>MN-HN26</t>
  </si>
  <si>
    <t>SS T-SHIRT MINIONS CARL MN-HN26:BLACK:3-4:GRAPHIC:SS T-SHIRT</t>
  </si>
  <si>
    <t>SS T-SHIRT MINIONS CARL MN-HN26:BLACK:4-5:GRAPHIC:SS T-SHIRT</t>
  </si>
  <si>
    <t>SS T-SHIRT MINIONS CARL MN-HN26:BLACK:5-6:GRAPHIC:SS T-SHIRT</t>
  </si>
  <si>
    <t>SS T-SHIRT MINIONS CARL MN-HN26:BLACK:7-8:GRAPHIC:SS T-SHIRT</t>
  </si>
  <si>
    <t>SS T-SHIRT MINIONS CARL MN-HN26:BLACK:9-10:GRAPHIC:SS T-SHIRT</t>
  </si>
  <si>
    <t>SS T-SHIRT MINIONS CARL MN-HN26:BLACK:11-12:GRAPHIC:SS T-SHIRT</t>
  </si>
  <si>
    <t>SS T-SHIRT MINIONS CARL MN-HN26:BLACK:13-14:GRAPHIC:SS T-SHIRT</t>
  </si>
  <si>
    <t>SS T-SHIRT MINIONS CARL MN-HN26:BLACK:15-16:GRAPHIC:SS T-SHIRT</t>
  </si>
  <si>
    <t>MN-N048</t>
  </si>
  <si>
    <t>SS T-SHIRT MINIONS LOGO CUT SEW MN-N048:BLACK:3-4:PRINT:SS T-SHIRT</t>
  </si>
  <si>
    <t>SS T-SHIRT MINIONS LOGO CUT SEW MN-N048:BLACK:4-5:PRINT:SS T-SHIRT</t>
  </si>
  <si>
    <t>SS T-SHIRT MINIONS LOGO CUT SEW MN-N048:BLACK:5-6:PRINT:SS T-SHIRT</t>
  </si>
  <si>
    <t>SS T-SHIRT MINIONS LOGO CUT SEW MN-N048:BLACK:7-8:PRINT:SS T-SHIRT</t>
  </si>
  <si>
    <t>SS T-SHIRT MINIONS LOGO CUT SEW MN-N048:BLACK:9-10:PRINT:SS T-SHIRT</t>
  </si>
  <si>
    <t>SS T-SHIRT MINIONS LOGO CUT SEW MN-N048:BLACK:11-12:PRINT:SS T-SHIRT</t>
  </si>
  <si>
    <t>SS T-SHIRT MINIONS LOGO CUT SEW MN-N048:BLACK:13-14:PRINT:SS T-SHIRT</t>
  </si>
  <si>
    <t>SS T-SHIRT MINIONS LOGO CUT SEW MN-N048:BLACK:15-16:PRINT:SS T-SHIRT</t>
  </si>
  <si>
    <t>SUP-A179</t>
  </si>
  <si>
    <t>SS T-SHIRT SUPERMAN JUSTICE LIS LGN SUP-A179:CLASSIC RED:3-4:GRAPHIC:SS T-SHIRT</t>
  </si>
  <si>
    <t>SS T-SHIRT SUPERMAN JUSTICE LIS LGN SUP-A179:CLASSIC RED:4-5:GRAPHIC:SS T-SHIRT</t>
  </si>
  <si>
    <t>SS T-SHIRT SUPERMAN JUSTICE LIS LGN SUP-A179:CLASSIC RED:5-6:GRAPHIC:SS T-SHIRT</t>
  </si>
  <si>
    <t>SS T-SHIRT SUPERMAN JUSTICE LIS LGN SUP-A179:CLASSIC RED:7-8:GRAPHIC:SS T-SHIRT</t>
  </si>
  <si>
    <t>SS T-SHIRT SUPERMAN JUSTICE LIS LGN SUP-A179:CLASSIC RED:9-10:GRAPHIC:SS T-SHIRT</t>
  </si>
  <si>
    <t>SS T-SHIRT SUPERMAN JUSTICE LIS LGN SUP-A179:CLASSIC RED:11-12:GRAPHIC:SS T-SHIRT</t>
  </si>
  <si>
    <t>SS T-SHIRT SUPERMAN JUSTICE LIS LGN SUP-A179:CLASSIC RED:13-14:GRAPHIC:SS T-SHIRT</t>
  </si>
  <si>
    <t>SS T-SHIRT SUPERMAN JUSTICE LIS LGN SUP-A179:CLASSIC RED:15-16:GRAPHIC:SS T-SHIRT</t>
  </si>
  <si>
    <t>TF-HR014</t>
  </si>
  <si>
    <t>SS T-SHIRT TF FP BUMBLEBEE LIS LGN TF-HR014:BLACK:3-4:GRAPHIC:SS T-SHIRT</t>
  </si>
  <si>
    <t>SS T-SHIRT TF FP BUMBLEBEE LIS LGN TF-HR014:BLACK:4-5:GRAPHIC:SS T-SHIRT</t>
  </si>
  <si>
    <t>SS T-SHIRT TF FP BUMBLEBEE LIS LGN TF-HR014:BLACK:5-6:GRAPHIC:SS T-SHIRT</t>
  </si>
  <si>
    <t>SS T-SHIRT TF FP BUMBLEBEE LIS LGN TF-HR014:BLACK:7-8:GRAPHIC:SS T-SHIRT</t>
  </si>
  <si>
    <t>SS T-SHIRT TF FP BUMBLEBEE LIS LGN TF-HR014:BLACK:9-10:GRAPHIC:SS T-SHIRT</t>
  </si>
  <si>
    <t>SS T-SHIRT TF FP BUMBLEBEE LIS LGN TF-HR014:BLACK:11-12:GRAPHIC:SS T-SHIRT</t>
  </si>
  <si>
    <t>SS T-SHIRT TF FP BUMBLEBEE LIS LGN TF-HR014:BLACK:13-14:GRAPHIC:SS T-SHIRT</t>
  </si>
  <si>
    <t>SS T-SHIRT TF FP BUMBLEBEE LIS LGN TF-HR014:BLACK:15-16:GRAPHIC:SS T-SHIRT</t>
  </si>
  <si>
    <t>TF-HR047</t>
  </si>
  <si>
    <t>SS T-SHIRT TF TULISAN CUT SEW TF-HR047:CLASSIC RED:3-4:PRINT:SS T-SHIRT</t>
  </si>
  <si>
    <t>SS T-SHIRT TF TULISAN CUT SEW TF-HR047:CLASSIC RED:4-5:PRINT:SS T-SHIRT</t>
  </si>
  <si>
    <t>SS T-SHIRT TF TULISAN CUT SEW TF-HR047:CLASSIC RED:5-6:PRINT:SS T-SHIRT</t>
  </si>
  <si>
    <t>SS T-SHIRT TF TULISAN CUT SEW TF-HR047:CLASSIC RED:7-8:PRINT:SS T-SHIRT</t>
  </si>
  <si>
    <t>SS T-SHIRT TF TULISAN CUT SEW TF-HR047:CLASSIC RED:9-10:PRINT:SS T-SHIRT</t>
  </si>
  <si>
    <t>SS T-SHIRT TF TULISAN CUT SEW TF-HR047:CLASSIC RED:11-12:PRINT:SS T-SHIRT</t>
  </si>
  <si>
    <t>SS T-SHIRT TF TULISAN CUT SEW TF-HR047:CLASSIC RED:13-14:PRINT:SS T-SHIRT</t>
  </si>
  <si>
    <t>SS T-SHIRT TF TULISAN CUT SEW TF-HR047:CLASSIC RED:15-16:PRINT:SS T-SHIRT</t>
  </si>
  <si>
    <t>TF-A050</t>
  </si>
  <si>
    <t>SS T-SHIRT TF CUT SEW BEE KTG TF-A050:NAVY BLUE:3-4:GRAPHIC:SS T-SHIRT</t>
  </si>
  <si>
    <t>SS T-SHIRT TF CUT SEW BEE KTG TF-A050:NAVY BLUE:4-5:GRAPHIC:SS T-SHIRT</t>
  </si>
  <si>
    <t>SS T-SHIRT TF CUT SEW BEE KTG TF-A050:NAVY BLUE:5-6:GRAPHIC:SS T-SHIRT</t>
  </si>
  <si>
    <t>SS T-SHIRT TF CUT SEW BEE KTG TF-A050:NAVY BLUE:7-8:GRAPHIC:SS T-SHIRT</t>
  </si>
  <si>
    <t>SS T-SHIRT TF CUT SEW BEE KTG TF-A050:NAVY BLUE:9-10:GRAPHIC:SS T-SHIRT</t>
  </si>
  <si>
    <t>SS T-SHIRT TF CUT SEW BEE KTG TF-A050:NAVY BLUE:11-12:GRAPHIC:SS T-SHIRT</t>
  </si>
  <si>
    <t>SS T-SHIRT TF CUT SEW BEE KTG TF-A050:NAVY BLUE:13-14:GRAPHIC:SS T-SHIRT</t>
  </si>
  <si>
    <t>SS T-SHIRT TF CUT SEW BEE KTG TF-A050:NAVY BLUE:15-16:GRAPHIC:SS T-SHIRT</t>
  </si>
  <si>
    <t>TF-A127</t>
  </si>
  <si>
    <t>SS T-SHIRT TF AUTOBOTS TF-A127:NAVY BLUE:3-4:GRAPHIC:SS T-SHIRT</t>
  </si>
  <si>
    <t>SS T-SHIRT TF AUTOBOTS TF-A127:NAVY BLUE:4-5:GRAPHIC:SS T-SHIRT</t>
  </si>
  <si>
    <t>SS T-SHIRT TF AUTOBOTS TF-A127:NAVY BLUE:5-6:GRAPHIC:SS T-SHIRT</t>
  </si>
  <si>
    <t>SS T-SHIRT TF AUTOBOTS TF-A127:NAVY BLUE:7-8:GRAPHIC:SS T-SHIRT</t>
  </si>
  <si>
    <t>SS T-SHIRT TF AUTOBOTS TF-A127:NAVY BLUE:9-10:GRAPHIC:SS T-SHIRT</t>
  </si>
  <si>
    <t>SS T-SHIRT TF AUTOBOTS TF-A127:NAVY BLUE:11-12:GRAPHIC:SS T-SHIRT</t>
  </si>
  <si>
    <t>SS T-SHIRT TF AUTOBOTS TF-A127:NAVY BLUE:13-14:GRAPHIC:SS T-SHIRT</t>
  </si>
  <si>
    <t>SS T-SHIRT TF AUTOBOTS TF-A127:NAVY BLUE:15-16:GRAPHIC:SS T-SHIRT</t>
  </si>
  <si>
    <t>SG-F3</t>
  </si>
  <si>
    <t>SS T-SHIRT FP SUPERMAN LOGO EMBOSS SG-F3:NAVY BLUE:3-4:PRINT:SS T-SHIRT</t>
  </si>
  <si>
    <t>SS T-SHIRT FP SUPERMAN LOGO EMBOSS SG-F3:NAVY BLUE:4-5:PRINT:SS T-SHIRT</t>
  </si>
  <si>
    <t>SS T-SHIRT FP SUPERMAN LOGO EMBOSS SG-F3:NAVY BLUE:5-6:PRINT:SS T-SHIRT</t>
  </si>
  <si>
    <t>SS T-SHIRT FP SUPERMAN LOGO EMBOSS SG-F3:NAVY BLUE:7-8:PRINT:SS T-SHIRT</t>
  </si>
  <si>
    <t>SS T-SHIRT FP SUPERMAN LOGO EMBOSS SG-F3:NAVY BLUE:9-10:PRINT:SS T-SHIRT</t>
  </si>
  <si>
    <t>SS T-SHIRT FP SUPERMAN LOGO EMBOSS SG-F3:NAVY BLUE:11-12:PRINT:SS T-SHIRT</t>
  </si>
  <si>
    <t>SS T-SHIRT FP SUPERMAN LOGO EMBOSS SG-F3:NAVY BLUE:13-14:PRINT:SS T-SHIRT</t>
  </si>
  <si>
    <t>SS T-SHIRT FP SUPERMAN LOGO EMBOSS SG-F3:NAVY BLUE:15-16:PRINT:SS T-SHIRT</t>
  </si>
  <si>
    <t>BAT-BB02</t>
  </si>
  <si>
    <t>SS T-SHIRT BB BATMAN LOGO DPN DTF BAT-BB02:BLACK:3-4:GRAPHIC:SS T-SHIRT</t>
  </si>
  <si>
    <t>SS T-SHIRT BB BATMAN LOGO DPN DTF BAT-BB02:BLACK:4-5:GRAPHIC:SS T-SHIRT</t>
  </si>
  <si>
    <t>SS T-SHIRT BB BATMAN LOGO DPN DTF BAT-BB02:BLACK:5-6:GRAPHIC:SS T-SHIRT</t>
  </si>
  <si>
    <t>SS T-SHIRT BB BATMAN LOGO DPN DTF BAT-BB02:BLACK:7-8:GRAPHIC:SS T-SHIRT</t>
  </si>
  <si>
    <t>SS T-SHIRT BB BATMAN LOGO DPN DTF BAT-BB02:BLACK:9-10:GRAPHIC:SS T-SHIRT</t>
  </si>
  <si>
    <t>SS T-SHIRT BB BATMAN LOGO DPN DTF BAT-BB02:BLACK:11-12:GRAPHIC:SS T-SHIRT</t>
  </si>
  <si>
    <t>SS T-SHIRT BB BATMAN LOGO DPN DTF BAT-BB02:BLACK:13-14:GRAPHIC:SS T-SHIRT</t>
  </si>
  <si>
    <t>BT-S01</t>
  </si>
  <si>
    <t>SHORT PANTS CP KNIT BATMAN PRINT LOGO BT-S01:BLACK:3-4:GRAPHIC:SHORT PANTS</t>
  </si>
  <si>
    <t>SHORT PANTS CP KNIT BATMAN PRINT LOGO BT-S01:BLACK:4-5:GRAPHIC:SHORT PANTS</t>
  </si>
  <si>
    <t>SHORT PANTS CP KNIT BATMAN PRINT LOGO BT-S01:BLACK:5-6:GRAPHIC:SHORT PANTS</t>
  </si>
  <si>
    <t>SHORT PANTS CP KNIT BATMAN PRINT LOGO BT-S01:BLACK:7-8:GRAPHIC:SHORT PANTS</t>
  </si>
  <si>
    <t>SHORT PANTS CP KNIT BATMAN PRINT LOGO BT-S01:BLACK:9-10:GRAPHIC:SHORT PANTS</t>
  </si>
  <si>
    <t>SHORT PANTS CP KNIT BATMAN PRINT LOGO BT-S01:BLACK:11-12:GRAPHIC:SHORT PANTS</t>
  </si>
  <si>
    <t>SHORT PANTS CP KNIT BATMAN PRINT LOGO BT-S01:BLACK:13-14:GRAPHIC:SHORT PANTS</t>
  </si>
  <si>
    <t>SHORT PANTS CP KNIT BATMAN PRINT LOGO BT-S01:BLACK:15-16:GRAPHIC:SHORT PANTS</t>
  </si>
  <si>
    <t>MLBH-3</t>
  </si>
  <si>
    <t>MLBH-4</t>
  </si>
  <si>
    <t>TR-W08</t>
  </si>
  <si>
    <t>SS T-SHIRT MLBB LOGO NEW DEPAN MLBH-3:MISTY DARK GREY:7-8:GRAPHIC:SS SHIRT</t>
  </si>
  <si>
    <t>SS T-SHIRT MLBB LOGO NEW DEPAN MLBH-3:MISTY DARK GREY:9-10:GRAPHIC:SS SHIRT</t>
  </si>
  <si>
    <t>SS T-SHIRT MLBB LOGO NEW DEPAN MLBH-3:MISTY DARK GREY:11-12:GRAPHIC:SS SHIRT</t>
  </si>
  <si>
    <t>SS T-SHIRT MLBB LOGO NEW DEPAN MLBH-3:MISTY DARK GREY:13-14:GRAPHIC:SS SHIRT</t>
  </si>
  <si>
    <t>SS T-SHIRT MLBB ALPHA LOGO LENGAN MLBH-4:BLACK:7-8:GRAPHIC:SS SHIRT</t>
  </si>
  <si>
    <t>SS T-SHIRT MLBB ALPHA LOGO LENGAN MLBH-4:BLACK:9-10:GRAPHIC:SS SHIRT</t>
  </si>
  <si>
    <t>SS T-SHIRT MLBB ALPHA LOGO LENGAN MLBH-4:BLACK:11-12:GRAPHIC:SS SHIRT</t>
  </si>
  <si>
    <t>SS T-SHIRT MLBB ALPHA LOGO LENGAN MLBH-4:BLACK:13-14:GRAPHIC:SS SHIRT</t>
  </si>
  <si>
    <t>SS T-SHIRT OPTIMUS ACTION LOGO TR-W08:NAVY BLUE:7-8:GRAPHIC:SS T-SHIRT</t>
  </si>
  <si>
    <t>SS T-SHIRT OPTIMUS ACTION LOGO TR-W08:NAVY BLUE:9-10:GRAPHIC:SS T-SHIRT</t>
  </si>
  <si>
    <t>SS T-SHIRT OPTIMUS ACTION LOGO TR-W08:NAVY BLUE:11-12:GRAPHIC:SS T-SHIRT</t>
  </si>
  <si>
    <t>SS T-SHIRT OPTIMUS ACTION LOGO TR-W08:NAVY BLUE:13-14:GRAPHIC:SS T-SHIRT</t>
  </si>
  <si>
    <t>MN-N125</t>
  </si>
  <si>
    <t>SS T-SHIRT MINIONS BELLO LOCAL BALI MN-N125:NAVY BLUE:4:GRAPHIC:SS T-SHIRT</t>
  </si>
  <si>
    <t>SS T-SHIRT MINIONS BELLO LOCAL BALI MN-N125:NAVY BLUE:5:GRAPHIC:SS T-SHIRT</t>
  </si>
  <si>
    <t>SS T-SHIRT MINIONS BELLO LOCAL BALI MN-N125:NAVY BLUE:6:GRAPHIC:SS T-SHIRT</t>
  </si>
  <si>
    <t>SS T-SHIRT MINIONS BELLO LOCAL BALI MN-N125:NAVY BLUE:7-8:GRAPHIC:SS T-SHIRT</t>
  </si>
  <si>
    <t>SS T-SHIRT MINIONS BELLO LOCAL BALI MN-N125:NAVY BLUE:9-10:GRAPHIC:SS T-SHIRT</t>
  </si>
  <si>
    <t>SS T-SHIRT MINIONS BELLO LOCAL BALI MN-N125:NAVY BLUE:11-12:GRAPHIC:SS T-SHIRT</t>
  </si>
  <si>
    <t>SS T-SHIRT MINIONS BELLO LOCAL BALI MN-N125:NAVY BLUE:13-14:GRAPHIC:SS T-SHIRT</t>
  </si>
  <si>
    <t>MN-N140</t>
  </si>
  <si>
    <t>SS T-SHIRT MINIONS BELLO LOCAL BECAK MN-N140:WHITE:4:GRAPHIC:SS T-SHIRT</t>
  </si>
  <si>
    <t>SS T-SHIRT MINIONS BELLO LOCAL BECAK MN-N140:WHITE:5:GRAPHIC:SS T-SHIRT</t>
  </si>
  <si>
    <t>SS T-SHIRT MINIONS BELLO LOCAL BECAK MN-N140:WHITE:6:GRAPHIC:SS T-SHIRT</t>
  </si>
  <si>
    <t>SS T-SHIRT MINIONS BELLO LOCAL BECAK MN-N140:WHITE:7-8:GRAPHIC:SS T-SHIRT</t>
  </si>
  <si>
    <t>SS T-SHIRT MINIONS BELLO LOCAL BECAK MN-N140:WHITE:9-10:GRAPHIC:SS T-SHIRT</t>
  </si>
  <si>
    <t>SS T-SHIRT MINIONS BELLO LOCAL BECAK MN-N140:WHITE:11-12:GRAPHIC:SS T-SHIRT</t>
  </si>
  <si>
    <t>SS T-SHIRT MINIONS BELLO LOCAL BECAK MN-N140:WHITE:13-14:GRAPHIC:SS T-SHIRT</t>
  </si>
  <si>
    <t>MN-N141</t>
  </si>
  <si>
    <t>SS T-SHIRT MINIONS BELLO LOCAL BAJAJ MN-N141:BLACK:4:GRAPHIC:SS T-SHIRT</t>
  </si>
  <si>
    <t>SS T-SHIRT MINIONS BELLO LOCAL BAJAJ MN-N141:BLACK:5:GRAPHIC:SS T-SHIRT</t>
  </si>
  <si>
    <t>SS T-SHIRT MINIONS BELLO LOCAL BAJAJ MN-N141:BLACK:6:GRAPHIC:SS T-SHIRT</t>
  </si>
  <si>
    <t>SS T-SHIRT MINIONS BELLO LOCAL BAJAJ MN-N141:BLACK:7-8:GRAPHIC:SS T-SHIRT</t>
  </si>
  <si>
    <t>SS T-SHIRT MINIONS BELLO LOCAL BAJAJ MN-N141:BLACK:9-10:GRAPHIC:SS T-SHIRT</t>
  </si>
  <si>
    <t>SS T-SHIRT MINIONS BELLO LOCAL BAJAJ MN-N141:BLACK:11-12:GRAPHIC:SS T-SHIRT</t>
  </si>
  <si>
    <t>SS T-SHIRT MINIONS BELLO LOCAL BAJAJ MN-N141:BLACK:13-14:GRAPHIC:SS T-SHIRT</t>
  </si>
  <si>
    <t>MN-N117</t>
  </si>
  <si>
    <t>SS T-SHIRT MINIONS SALUR M LOGO MN-N117:WHITE:4:STRIPES:SS T-SHIRT</t>
  </si>
  <si>
    <t>SS T-SHIRT MINIONS SALUR M LOGO MN-N117:WHITE:5:STRIPES:SS T-SHIRT</t>
  </si>
  <si>
    <t>SS T-SHIRT MINIONS SALUR M LOGO MN-N117:WHITE:6:STRIPES:SS T-SHIRT</t>
  </si>
  <si>
    <t>SS T-SHIRT MINIONS SALUR M LOGO MN-N117:WHITE:7-8:STRIPES:SS T-SHIRT</t>
  </si>
  <si>
    <t>SS T-SHIRT MINIONS SALUR M LOGO MN-N117:WHITE:9-10:STRIPES:SS T-SHIRT</t>
  </si>
  <si>
    <t>SS T-SHIRT MINIONS SALUR M LOGO MN-N117:WHITE:11-12:STRIPES:SS T-SHIRT</t>
  </si>
  <si>
    <t>SS T-SHIRT MINIONS SALUR M LOGO MN-N117:WHITE:13-14:STRIPES:SS T-SHIRT</t>
  </si>
  <si>
    <t>ML-N012</t>
  </si>
  <si>
    <t>SS T-SHIRT MLBB ZILONG ATTACK ML-N012:MISTY DARK GREY:7-8:GRAPHIC:SS SHIRT</t>
  </si>
  <si>
    <t>SS T-SHIRT MLBB ZILONG ATTACK ML-N012:MISTY DARK GREY:9-10:GRAPHIC:SS SHIRT</t>
  </si>
  <si>
    <t>SS T-SHIRT MLBB ZILONG ATTACK ML-N012:MISTY DARK GREY:11-12:GRAPHIC:SS SHIRT</t>
  </si>
  <si>
    <t>SS T-SHIRT MLBB ZILONG ATTACK ML-N012:MISTY DARK GREY:13-14:GRAPHIC:SS SHIRT</t>
  </si>
  <si>
    <t>ML-N005</t>
  </si>
  <si>
    <t>SS T-SHIRT MLBB ALDOUS FIRE ML-N005:BLACK:7-8:GRAPHIC:SS SHIRT</t>
  </si>
  <si>
    <t>SS T-SHIRT MLBB ALDOUS FIRE ML-N005:BLACK:9-10:GRAPHIC:SS SHIRT</t>
  </si>
  <si>
    <t>SS T-SHIRT MLBB ALDOUS FIRE ML-N005:BLACK:11-12:GRAPHIC:SS SHIRT</t>
  </si>
  <si>
    <t>SS T-SHIRT MLBB ALDOUS FIRE ML-N005:BLACK:13-14:GRAPHIC:SS SHIRT</t>
  </si>
  <si>
    <t>ML-N001</t>
  </si>
  <si>
    <t>SS T-SHIRT MLBB LOGO EMBOSS HD SILVER ML-N001:NAVY BLUE:7-8:GRAPHIC:SS SHIRT</t>
  </si>
  <si>
    <t>SS T-SHIRT MLBB LOGO EMBOSS HD SILVER ML-N001:NAVY BLUE:9-10:GRAPHIC:SS SHIRT</t>
  </si>
  <si>
    <t>SS T-SHIRT MLBB LOGO EMBOSS HD SILVER ML-N001:NAVY BLUE:11-12:GRAPHIC:SS SHIRT</t>
  </si>
  <si>
    <t>SS T-SHIRT MLBB LOGO EMBOSS HD SILVER ML-N001:NAVY BLUE:13-14:GRAPHIC:SS SHIRT</t>
  </si>
  <si>
    <t>TR-A128</t>
  </si>
  <si>
    <t>SS T-SHIRT BUMBLEBEE STANDING LOGO TR-A128:CLASSIC YELLOW:4:GRAPHIC:SS T-SHIRT</t>
  </si>
  <si>
    <t>SS T-SHIRT BUMBLEBEE STANDING LOGO TR-A128:CLASSIC YELLOW:5:GRAPHIC:SS T-SHIRT</t>
  </si>
  <si>
    <t>SS T-SHIRT BUMBLEBEE STANDING LOGO TR-A128:CLASSIC YELLOW:6:GRAPHIC:SS T-SHIRT</t>
  </si>
  <si>
    <t>SS T-SHIRT BUMBLEBEE STANDING LOGO TR-A128:CLASSIC YELLOW:7-8:GRAPHIC:SS T-SHIRT</t>
  </si>
  <si>
    <t>SS T-SHIRT BUMBLEBEE STANDING LOGO TR-A128:CLASSIC YELLOW:9-10:GRAPHIC:SS T-SHIRT</t>
  </si>
  <si>
    <t>SS T-SHIRT BUMBLEBEE STANDING LOGO TR-A128:CLASSIC YELLOW:11-12:GRAPHIC:SS T-SHIRT</t>
  </si>
  <si>
    <t>SS T-SHIRT BUMBLEBEE STANDING LOGO TR-A128:CLASSIC YELLOW:13-14:GRAPHIC:SS T-SHIRT</t>
  </si>
  <si>
    <t>BAT-BB01</t>
  </si>
  <si>
    <t>BAT-M3</t>
  </si>
  <si>
    <t>BAT-W02</t>
  </si>
  <si>
    <t>HR-08</t>
  </si>
  <si>
    <t>BAT-W08</t>
  </si>
  <si>
    <t>BAT-W03</t>
  </si>
  <si>
    <t>GMIN-1</t>
  </si>
  <si>
    <t>GBAT-1</t>
  </si>
  <si>
    <t>GMIN-3</t>
  </si>
  <si>
    <t>GMIN-5</t>
  </si>
  <si>
    <t>GMIN-4</t>
  </si>
  <si>
    <t>SS T-SHIRT BB BATMAN LOGO DPN BAT-BB01:MISTY LIGHT BLUE:4:GRAPHIC:SS T-SHIRT</t>
  </si>
  <si>
    <t>SS T-SHIRT BB BATMAN LOGO DPN BAT-BB01:MISTY LIGHT BLUE:5:GRAPHIC:SS T-SHIRT</t>
  </si>
  <si>
    <t>SS T-SHIRT BB BATMAN LOGO DPN BAT-BB01:MISTY LIGHT BLUE:6:GRAPHIC:SS T-SHIRT</t>
  </si>
  <si>
    <t>SS T-SHIRT BB BATMAN LOGO DPN BAT-BB01:MISTY LIGHT BLUE:7-8:GRAPHIC:SS T-SHIRT</t>
  </si>
  <si>
    <t>SS T-SHIRT BB BATMAN LOGO DPN BAT-BB01:MISTY LIGHT BLUE:9-10:GRAPHIC:SS T-SHIRT</t>
  </si>
  <si>
    <t>SS T-SHIRT BB BATMAN LOGO DPN BAT-BB01:MISTY LIGHT BLUE:11-12:GRAPHIC:SS T-SHIRT</t>
  </si>
  <si>
    <t>SS T-SHIRT BB BATMAN LOGO DPN BAT-BB01:MISTY LIGHT BLUE:13-14:GRAPHIC:SS T-SHIRT</t>
  </si>
  <si>
    <t>SS T-SHIRT BATMAN LOGO DPN BLKG HEAD BAT-M3:CLASSIC YELLOW:4:GRAPHIC:SS T-SHIRT</t>
  </si>
  <si>
    <t>SS T-SHIRT BATMAN LOGO DPN BLKG HEAD BAT-M3:CLASSIC YELLOW:5:GRAPHIC:SS T-SHIRT</t>
  </si>
  <si>
    <t>SS T-SHIRT BATMAN LOGO DPN BLKG HEAD BAT-M3:CLASSIC YELLOW:6:GRAPHIC:SS T-SHIRT</t>
  </si>
  <si>
    <t>SS T-SHIRT BATMAN LOGO DPN BLKG HEAD BAT-M3:CLASSIC YELLOW:7-8:GRAPHIC:SS T-SHIRT</t>
  </si>
  <si>
    <t>SS T-SHIRT BATMAN LOGO DPN BLKG HEAD BAT-M3:CLASSIC YELLOW:9-10:GRAPHIC:SS T-SHIRT</t>
  </si>
  <si>
    <t>SS T-SHIRT BATMAN LOGO DPN BLKG HEAD BAT-M3:CLASSIC YELLOW:11-12:GRAPHIC:SS T-SHIRT</t>
  </si>
  <si>
    <t>SS T-SHIRT BATMAN LOGO DPN BLKG HEAD BAT-M3:CLASSIC YELLOW:13-14:GRAPHIC:SS T-SHIRT</t>
  </si>
  <si>
    <t>SS T-SHIRT BATMAN LOGO TENGAH BAT-W02:MISTY DARK GREY:4:GRAPHIC:SS T-SHIRT</t>
  </si>
  <si>
    <t>SS T-SHIRT BATMAN LOGO TENGAH BAT-W02:MISTY DARK GREY:5:GRAPHIC:SS T-SHIRT</t>
  </si>
  <si>
    <t>SS T-SHIRT BATMAN LOGO TENGAH BAT-W02:MISTY DARK GREY:6:GRAPHIC:SS T-SHIRT</t>
  </si>
  <si>
    <t>SS T-SHIRT BATMAN LOGO TENGAH BAT-W02:MISTY DARK GREY:7-8:GRAPHIC:SS T-SHIRT</t>
  </si>
  <si>
    <t>SS T-SHIRT BATMAN LOGO TENGAH BAT-W02:MISTY DARK GREY:9-10:GRAPHIC:SS T-SHIRT</t>
  </si>
  <si>
    <t>SS T-SHIRT BATMAN LOGO TENGAH BAT-W02:MISTY DARK GREY:11-12:GRAPHIC:SS T-SHIRT</t>
  </si>
  <si>
    <t>SS T-SHIRT BATMAN LOGO TENGAH BAT-W02:MISTY DARK GREY:13-14:GRAPHIC:SS T-SHIRT</t>
  </si>
  <si>
    <t>SS T-SHIRT BATMAN LOGO FLOCKING HR-08:CLASSIC BLUE:4:GRAPHIC:SS T-SHIRT</t>
  </si>
  <si>
    <t>SS T-SHIRT BATMAN LOGO FLOCKING HR-08:CLASSIC BLUE:5:GRAPHIC:SS T-SHIRT</t>
  </si>
  <si>
    <t>SS T-SHIRT BATMAN LOGO FLOCKING HR-08:CLASSIC BLUE:6:GRAPHIC:SS T-SHIRT</t>
  </si>
  <si>
    <t>SS T-SHIRT BATMAN LOGO FLOCKING HR-08:CLASSIC BLUE:7-8:GRAPHIC:SS T-SHIRT</t>
  </si>
  <si>
    <t>SS T-SHIRT BATMAN LOGO FLOCKING HR-08:CLASSIC BLUE:9-10:GRAPHIC:SS T-SHIRT</t>
  </si>
  <si>
    <t>SS T-SHIRT BATMAN LOGO FLOCKING HR-08:CLASSIC BLUE:11-12:GRAPHIC:SS T-SHIRT</t>
  </si>
  <si>
    <t>SS T-SHIRT BATMAN LOGO FLOCKING HR-08:CLASSIC BLUE:13-14:GRAPHIC:SS T-SHIRT</t>
  </si>
  <si>
    <t>SS T-SHIRT BATMAN LOGO PRINT BLKG BAT-W08:WHITE:4:GRAPHIC:SS T-SHIRT</t>
  </si>
  <si>
    <t>SS T-SHIRT BATMAN LOGO PRINT BLKG BAT-W08:WHITE:5:GRAPHIC:SS T-SHIRT</t>
  </si>
  <si>
    <t>SS T-SHIRT BATMAN LOGO PRINT BLKG BAT-W08:WHITE:6:GRAPHIC:SS T-SHIRT</t>
  </si>
  <si>
    <t>SS T-SHIRT BATMAN LOGO PRINT BLKG BAT-W08:WHITE:7-8:GRAPHIC:SS T-SHIRT</t>
  </si>
  <si>
    <t>SS T-SHIRT BATMAN LOGO PRINT BLKG BAT-W08:WHITE:9-10:GRAPHIC:SS T-SHIRT</t>
  </si>
  <si>
    <t>SS T-SHIRT BATMAN LOGO PRINT BLKG BAT-W08:WHITE:11-12:GRAPHIC:SS T-SHIRT</t>
  </si>
  <si>
    <t>SS T-SHIRT BATMAN LOGO PRINT BLKG BAT-W08:WHITE:13-14:GRAPHIC:SS T-SHIRT</t>
  </si>
  <si>
    <t>SS T-SHIRT BATMAN SALUR LOGO HANDUK BAT-W03:WHITE:4:STRIPES:SS T-SHIRT</t>
  </si>
  <si>
    <t>SS T-SHIRT BATMAN SALUR LOGO HANDUK BAT-W03:WHITE:5:STRIPES:SS T-SHIRT</t>
  </si>
  <si>
    <t>SS T-SHIRT BATMAN SALUR LOGO HANDUK BAT-W03:WHITE:6:STRIPES:SS T-SHIRT</t>
  </si>
  <si>
    <t>SS T-SHIRT BATMAN SALUR LOGO HANDUK BAT-W03:WHITE:7-8:STRIPES:SS T-SHIRT</t>
  </si>
  <si>
    <t>SS T-SHIRT BATMAN SALUR LOGO HANDUK BAT-W03:WHITE:9-10:STRIPES:SS T-SHIRT</t>
  </si>
  <si>
    <t>SS T-SHIRT BATMAN SALUR LOGO HANDUK BAT-W03:WHITE:11-12:STRIPES:SS T-SHIRT</t>
  </si>
  <si>
    <t>SS T-SHIRT BATMAN SALUR LOGO HANDUK BAT-W03:WHITE:13-14:STRIPES:SS T-SHIRT</t>
  </si>
  <si>
    <t>SS T-SHIRT MINIONS LOGO BORDIR GMIN-1:WHITE:4:EMBRO:SS T-SHIRT</t>
  </si>
  <si>
    <t>SS T-SHIRT MINIONS LOGO BORDIR GMIN-1:WHITE:5:EMBRO:SS T-SHIRT</t>
  </si>
  <si>
    <t>SS T-SHIRT MINIONS LOGO BORDIR GMIN-1:WHITE:6:EMBRO:SS T-SHIRT</t>
  </si>
  <si>
    <t>SS T-SHIRT MINIONS LOGO BORDIR GMIN-1:WHITE:7-8:EMBRO:SS T-SHIRT</t>
  </si>
  <si>
    <t>SS T-SHIRT MINIONS LOGO BORDIR GMIN-1:WHITE:9-10:EMBRO:SS T-SHIRT</t>
  </si>
  <si>
    <t>SS T-SHIRT MINIONS LOGO BORDIR GMIN-1:WHITE:11-12:EMBRO:SS T-SHIRT</t>
  </si>
  <si>
    <t>SS T-SHIRT MINIONS LOGO BORDIR GMIN-1:WHITE:13-14:EMBRO:SS T-SHIRT</t>
  </si>
  <si>
    <t>JACKET HOODIE MINIONS DPN BLKG GMIN-3:KHAKI:4:GRAPHIC:JACKET</t>
  </si>
  <si>
    <t>JACKET HOODIE MINIONS DPN BLKG GMIN-3:KHAKI:5:GRAPHIC:JACKET</t>
  </si>
  <si>
    <t>JACKET HOODIE MINIONS DPN BLKG GMIN-3:KHAKI:6:GRAPHIC:JACKET</t>
  </si>
  <si>
    <t>JACKET HOODIE MINIONS DPN BLKG GMIN-3:KHAKI:7-8:GRAPHIC:JACKET</t>
  </si>
  <si>
    <t>JACKET HOODIE MINIONS DPN BLKG GMIN-3:KHAKI:9-10:GRAPHIC:JACKET</t>
  </si>
  <si>
    <t>JACKET HOODIE MINIONS DPN BLKG GMIN-3:KHAKI:11-12:GRAPHIC:JACKET</t>
  </si>
  <si>
    <t>JACKET HOODIE MINIONS DPN BLKG GMIN-3:KHAKI:13-14:GRAPHIC:JACKET</t>
  </si>
  <si>
    <t>SHORT PANTS KNIT MINIONS LOGO PRINT HD GMIN-5:FOREST GREEN:4:GRAPHIC:SHORT PANTS</t>
  </si>
  <si>
    <t>SHORT PANTS KNIT MINIONS LOGO PRINT HD GMIN-5:FOREST GREEN:5:GRAPHIC:SHORT PANTS</t>
  </si>
  <si>
    <t>SHORT PANTS KNIT MINIONS LOGO PRINT HD GMIN-5:FOREST GREEN:6:GRAPHIC:SHORT PANTS</t>
  </si>
  <si>
    <t>SHORT PANTS KNIT MINIONS LOGO PRINT HD GMIN-5:FOREST GREEN:7-8:GRAPHIC:SHORT PANTS</t>
  </si>
  <si>
    <t>SHORT PANTS KNIT MINIONS LOGO PRINT HD GMIN-5:FOREST GREEN:9-10:GRAPHIC:SHORT PANTS</t>
  </si>
  <si>
    <t>SHORT PANTS KNIT MINIONS LOGO PRINT HD GMIN-5:FOREST GREEN:11-12:GRAPHIC:SHORT PANTS</t>
  </si>
  <si>
    <t>SHORT PANTS KNIT MINIONS LOGO PRINT HD GMIN-5:FOREST GREEN:13-14:GRAPHIC:SHORT PANTS</t>
  </si>
  <si>
    <t>JOGGER KNIT MINIONS LOGO CARGO GMIN-4:KHAKI:4:EMBRO:JOGGER</t>
  </si>
  <si>
    <t>JOGGER KNIT MINIONS LOGO CARGO GMIN-4:KHAKI:5:EMBRO:JOGGER</t>
  </si>
  <si>
    <t>JOGGER KNIT MINIONS LOGO CARGO GMIN-4:KHAKI:6:EMBRO:JOGGER</t>
  </si>
  <si>
    <t>JOGGER KNIT MINIONS LOGO CARGO GMIN-4:KHAKI:7-8:EMBRO:JOGGER</t>
  </si>
  <si>
    <t>JOGGER KNIT MINIONS LOGO CARGO GMIN-4:KHAKI:9-10:EMBRO:JOGGER</t>
  </si>
  <si>
    <t>JOGGER KNIT MINIONS LOGO CARGO GMIN-4:KHAKI:11-12:EMBRO:JOGGER</t>
  </si>
  <si>
    <t>JOGGER KNIT MINIONS LOGO CARGO GMIN-4:KHAKI:13-14:EMBRO:JOGGER</t>
  </si>
  <si>
    <t>GMIN-2</t>
  </si>
  <si>
    <t>SS T-SHIRT MINIONS SALUR M LOGO GMIN-2:MUSTARD:4:GRAPHIC:SS T-SHIRT</t>
  </si>
  <si>
    <t>SS T-SHIRT MINIONS SALUR M LOGO GMIN-2:MUSTARD:5:GRAPHIC:SS T-SHIRT</t>
  </si>
  <si>
    <t>SS T-SHIRT MINIONS SALUR M LOGO GMIN-2:MUSTARD:6:GRAPHIC:SS T-SHIRT</t>
  </si>
  <si>
    <t>SS T-SHIRT MINIONS SALUR M LOGO GMIN-2:MUSTARD:7-8:GRAPHIC:SS T-SHIRT</t>
  </si>
  <si>
    <t>SS T-SHIRT MINIONS SALUR M LOGO GMIN-2:MUSTARD:9-10:GRAPHIC:SS T-SHIRT</t>
  </si>
  <si>
    <t>SS T-SHIRT MINIONS SALUR M LOGO GMIN-2:MUSTARD:11-12:GRAPHIC:SS T-SHIRT</t>
  </si>
  <si>
    <t>SS T-SHIRT MINIONS SALUR M LOGO GMIN-2:MUSTARD:13-14:GRAPHIC:SS T-SHIRT</t>
  </si>
  <si>
    <t>BAT-HR075</t>
  </si>
  <si>
    <t>SWEATER BATMAN LOGO HANDUK BAT-HR075:CHARCOAL:4:GRAPHIC:SWEATER</t>
  </si>
  <si>
    <t>SWEATER BATMAN LOGO HANDUK BAT-HR075:CHARCOAL:5:GRAPHIC:SWEATER</t>
  </si>
  <si>
    <t>SWEATER BATMAN LOGO HANDUK BAT-HR075:CHARCOAL:6:GRAPHIC:SWEATER</t>
  </si>
  <si>
    <t>SWEATER BATMAN LOGO HANDUK BAT-HR075:CHARCOAL:7-8:GRAPHIC:SWEATER</t>
  </si>
  <si>
    <t>SWEATER BATMAN LOGO HANDUK BAT-HR075:CHARCOAL:9-10:GRAPHIC:SWEATER</t>
  </si>
  <si>
    <t>SWEATER BATMAN LOGO HANDUK BAT-HR075:CHARCOAL:11-12:GRAPHIC:SWEATER</t>
  </si>
  <si>
    <t>SWEATER BATMAN LOGO HANDUK BAT-HR075:CHARCOAL:13-14:GRAPHIC:SWEATER</t>
  </si>
  <si>
    <t>SUP-A155</t>
  </si>
  <si>
    <t>BAT-W09</t>
  </si>
  <si>
    <t>BM-HN071</t>
  </si>
  <si>
    <t>SUP-A182</t>
  </si>
  <si>
    <t>SS T-SHIRT SUPERMAN TULISAN CUT SEW A SUP-A155:CLASSIC RED:3-4:GRAPHIC:SS T-SHIRT</t>
  </si>
  <si>
    <t>SS T-SHIRT SUPERMAN TULISAN CUT SEW A SUP-A155:CLASSIC RED:4-5:GRAPHIC:SS T-SHIRT</t>
  </si>
  <si>
    <t>SS T-SHIRT SUPERMAN TULISAN CUT SEW A SUP-A155:CLASSIC RED:5-6:GRAPHIC:SS T-SHIRT</t>
  </si>
  <si>
    <t>SS T-SHIRT SUPERMAN TULISAN CUT SEW A SUP-A155:CLASSIC RED:7-8:GRAPHIC:SS T-SHIRT</t>
  </si>
  <si>
    <t>SS T-SHIRT SUPERMAN TULISAN CUT SEW A SUP-A155:CLASSIC RED:9-10:GRAPHIC:SS T-SHIRT</t>
  </si>
  <si>
    <t>SS T-SHIRT BATMAN LOGO DPN FLOCKING BAT-W09:DARK BROWN:3-4:GRAPHIC:SS T-SHIRT</t>
  </si>
  <si>
    <t>SS T-SHIRT BATMAN LOGO DPN FLOCKING BAT-W09:DARK BROWN:4-5:GRAPHIC:SS T-SHIRT</t>
  </si>
  <si>
    <t>SS T-SHIRT BATMAN LOGO DPN FLOCKING BAT-W09:DARK BROWN:5-6:GRAPHIC:SS T-SHIRT</t>
  </si>
  <si>
    <t>SS T-SHIRT BATMAN LOGO DPN FLOCKING BAT-W09:DARK BROWN:7-8:GRAPHIC:SS T-SHIRT</t>
  </si>
  <si>
    <t>SS T-SHIRT BATMAN LOGO DPN FLOCKING BAT-W09:DARK BROWN:9-10:GRAPHIC:SS T-SHIRT</t>
  </si>
  <si>
    <t>SS T-SHIRT BATMAN LOGO DPN FLOCKING BAT-W09:DARK BROWN:11-12:GRAPHIC:SS T-SHIRT</t>
  </si>
  <si>
    <t>SS T-SHIRT BATMAN LOGO DPN FLOCKING BAT-W09:DARK BROWN:13-14:GRAPHIC:SS T-SHIRT</t>
  </si>
  <si>
    <t>SS T-SHIRT BATMAN LOGO BDR HANDUK BM-HN071:WHITE:3-4:GRAPHIC:SS T-SHIRT</t>
  </si>
  <si>
    <t>SS T-SHIRT BATMAN LOGO BDR HANDUK BM-HN071:WHITE:4-5:GRAPHIC:SS T-SHIRT</t>
  </si>
  <si>
    <t>SS T-SHIRT BATMAN LOGO BDR HANDUK BM-HN071:WHITE:5-6:GRAPHIC:SS T-SHIRT</t>
  </si>
  <si>
    <t>SS T-SHIRT BATMAN LOGO BDR HANDUK BM-HN071:WHITE:7-8:GRAPHIC:SS T-SHIRT</t>
  </si>
  <si>
    <t>SS T-SHIRT BATMAN LOGO BDR HANDUK BM-HN071:WHITE:9-10:GRAPHIC:SS T-SHIRT</t>
  </si>
  <si>
    <t>SS T-SHIRT BATMAN LOGO BDR HANDUK BM-HN071:WHITE:11-12:GRAPHIC:SS T-SHIRT</t>
  </si>
  <si>
    <t>SS T-SHIRT BATMAN LOGO BDR HANDUK BM-HN071:WHITE:13-14:GRAPHIC:SS T-SHIRT</t>
  </si>
  <si>
    <t>SWEATER SUPERMAN HOOD TULISAN KTG SUP-A182:NAVY BLUE:3-4:GRAPHIC:SWEATER</t>
  </si>
  <si>
    <t>SWEATER SUPERMAN HOOD TULISAN KTG SUP-A182:NAVY BLUE:4-5:GRAPHIC:SWEATER</t>
  </si>
  <si>
    <t>SWEATER SUPERMAN HOOD TULISAN KTG SUP-A182:NAVY BLUE:5-6:GRAPHIC:SWEATER</t>
  </si>
  <si>
    <t>SWEATER SUPERMAN HOOD TULISAN KTG SUP-A182:NAVY BLUE:7-8:GRAPHIC:SWEATER</t>
  </si>
  <si>
    <t>SWEATER SUPERMAN HOOD TULISAN KTG SUP-A182:NAVY BLUE:9-10:GRAPHIC:SWEATER</t>
  </si>
  <si>
    <t>SWEATER SUPERMAN HOOD TULISAN KTG SUP-A182:NAVY BLUE:11-12:GRAPHIC:SWEATER</t>
  </si>
  <si>
    <t>SWEATER SUPERMAN HOOD TULISAN KTG SUP-A182:NAVY BLUE:13-14:GRAPHIC:SWEATER</t>
  </si>
  <si>
    <t>SWEATER SUPERMAN HOOD TULISAN KTG SUP-A182:NAVY BLUE:15-16:GRAPHIC:SWEATER</t>
  </si>
  <si>
    <t>SS T-SHIRT SUPERMAN MOVIE FP FLY BT-TS021:BLACK:3-4:PRINT:SS T-SHIRT</t>
  </si>
  <si>
    <t>SS T-SHIRT SUPERMAN MOVIE FP FLY BT-TS021:BLACK:4-5:PRINT:SS T-SHIRT</t>
  </si>
  <si>
    <t>SS T-SHIRT SUPERMAN MOVIE FP FLY BT-TS021:BLACK:5-6:PRINT:SS T-SHIRT</t>
  </si>
  <si>
    <t>SS T-SHIRT SUPERMAN MOVIE FP FLY BT-TS021:BLACK:7-8:PRINT:SS T-SHIRT</t>
  </si>
  <si>
    <t>SS T-SHIRT SUPERMAN MOVIE FP FLY BT-TS021:BLACK:9-10:PRINT:SS T-SHIRT</t>
  </si>
  <si>
    <t>SS T-SHIRT SUPERMAN MOVIE FP FLY BT-TS021:BLACK:11-12:PRINT:SS T-SHIRT</t>
  </si>
  <si>
    <t>SS T-SHIRT SUPERMAN MOVIE FP FLY BT-TS021:BLACK:13-14:PRINT:SS T-SHIRT</t>
  </si>
  <si>
    <t>SS T-SHIRT SUPERMAN MOVIE FP FLY BT-TS021:BLACK:15-16:PRINT:SS T-SHIRT</t>
  </si>
  <si>
    <t>SS T-SHIRT SUPERMAN MOVIE SALUR FLY SPM-TS01:NAVY BLUE:3-4:STRIPES:SS T-SHIRT</t>
  </si>
  <si>
    <t>SS T-SHIRT SUPERMAN MOVIE SALUR FLY SPM-TS01:NAVY BLUE:4-5:STRIPES:SS T-SHIRT</t>
  </si>
  <si>
    <t>SS T-SHIRT SUPERMAN MOVIE SALUR FLY SPM-TS01:NAVY BLUE:5-6:STRIPES:SS T-SHIRT</t>
  </si>
  <si>
    <t>SS T-SHIRT SUPERMAN MOVIE SALUR FLY SPM-TS01:NAVY BLUE:7-8:STRIPES:SS T-SHIRT</t>
  </si>
  <si>
    <t>SS T-SHIRT SUPERMAN MOVIE SALUR FLY SPM-TS01:NAVY BLUE:9-10:STRIPES:SS T-SHIRT</t>
  </si>
  <si>
    <t>SS T-SHIRT SUPERMAN MOVIE SALUR FLY SPM-TS01:NAVY BLUE:11-12:STRIPES:SS T-SHIRT</t>
  </si>
  <si>
    <t>SS T-SHIRT SUPERMAN MOVIE SALUR FLY SPM-TS01:NAVY BLUE:13-14:STRIPES:SS T-SHIRT</t>
  </si>
  <si>
    <t>SS T-SHIRT SUPERMAN MOVIE SALUR FLY SPM-TS01:NAVY BLUE:15-16:STRIPES:SS T-SHIRT</t>
  </si>
  <si>
    <t>SS T-SHIRT JURASSIC TEAMS JW-N038:MISTY LIGHT KHAKI:3-4:PRINT:SS T-SHIRT</t>
  </si>
  <si>
    <t>SS T-SHIRT JURASSIC TEAMS JW-N038:MISTY LIGHT KHAKI:4-5:PRINT:SS T-SHIRT</t>
  </si>
  <si>
    <t>SS T-SHIRT JURASSIC TEAMS JW-N038:MISTY LIGHT KHAKI:5-6:PRINT:SS T-SHIRT</t>
  </si>
  <si>
    <t>SS T-SHIRT JURASSIC TEAMS JW-N038:MISTY LIGHT KHAKI:7-8:PRINT:SS T-SHIRT</t>
  </si>
  <si>
    <t>SS T-SHIRT JURASSIC TEAMS JW-N038:MISTY LIGHT KHAKI:9-10:PRINT:SS T-SHIRT</t>
  </si>
  <si>
    <t>SS T-SHIRT JURASSIC T-REX CUT SEW JW-HR066:MISTY LIGHT YELLOW:3-4:GRAPHIC:SS T-SHIRT</t>
  </si>
  <si>
    <t>SS T-SHIRT JURASSIC T-REX CUT SEW JW-HR066:MISTY LIGHT YELLOW:4-5:GRAPHIC:SS T-SHIRT</t>
  </si>
  <si>
    <t>SS T-SHIRT JURASSIC T-REX CUT SEW JW-HR066:MISTY LIGHT YELLOW:5-6:GRAPHIC:SS T-SHIRT</t>
  </si>
  <si>
    <t>SS T-SHIRT JURASSIC T-REX CUT SEW JW-HR066:MISTY LIGHT YELLOW:7-8:GRAPHIC:SS T-SHIRT</t>
  </si>
  <si>
    <t>SS T-SHIRT JURASSIC T-REX CUT SEW JW-HR066:MISTY LIGHT YELLOW:9-10:GRAPHIC:SS T-SHIRT</t>
  </si>
  <si>
    <t>SS T-SHIRT JURASSIC T-REX CUT SEW JW-HR066:MISTY LIGHT YELLOW:11-12:GRAPHIC:SS T-SHIRT</t>
  </si>
  <si>
    <t>SS T-SHIRT JURASSIC T-REX CUT SEW JW-HR066:MISTY LIGHT YELLOW:13-14:GRAPHIC:SS T-SHIRT</t>
  </si>
  <si>
    <t>SS T-SHIRT JURASSIC T-REX CUT SEW JW-HR066:MISTY LIGHT YELLOW:15-16:GRAPHIC:SS T-SHIRT</t>
  </si>
  <si>
    <t>SS T-SHIRT JURASSIC TRACKER LIS TENGAH JP-HR067:FOREST GREEN:3-4:GRAPHIC:SS T-SHIRT</t>
  </si>
  <si>
    <t>SS T-SHIRT JURASSIC TRACKER LIS TENGAH JP-HR067:FOREST GREEN:4-5:GRAPHIC:SS T-SHIRT</t>
  </si>
  <si>
    <t>SS T-SHIRT JURASSIC TRACKER LIS TENGAH JP-HR067:FOREST GREEN:5-6:GRAPHIC:SS T-SHIRT</t>
  </si>
  <si>
    <t>SS T-SHIRT JURASSIC TRACKER LIS TENGAH JP-HR067:FOREST GREEN:7-8:GRAPHIC:SS T-SHIRT</t>
  </si>
  <si>
    <t>SS T-SHIRT JURASSIC TRACKER LIS TENGAH JP-HR067:FOREST GREEN:9-10:GRAPHIC:SS T-SHIRT</t>
  </si>
  <si>
    <t>SS T-SHIRT JURASSIC TRACKER LIS TENGAH JP-HR067:FOREST GREEN:11-12:GRAPHIC:SS T-SHIRT</t>
  </si>
  <si>
    <t>SS T-SHIRT JURASSIC TRACKER LIS TENGAH JP-HR067:FOREST GREEN:13-14:GRAPHIC:SS T-SHIRT</t>
  </si>
  <si>
    <t>SS T-SHIRT JURASSIC TRACKER LIS TENGAH JP-HR067:FOREST GREEN:15-16:GRAPHIC:SS T-SHIRT</t>
  </si>
  <si>
    <t>SHORT PANTS CP KNIT SPONGEBOB SB-N01:NAVY BLUE:3-4:GRAPHIC:SHORT PANTS</t>
  </si>
  <si>
    <t>SHORT PANTS CP KNIT SPONGEBOB SB-N01:NAVY BLUE:4-5:GRAPHIC:SHORT PANTS</t>
  </si>
  <si>
    <t>SHORT PANTS CP KNIT SPONGEBOB SB-N01:NAVY BLUE:5-6:GRAPHIC:SHORT PANTS</t>
  </si>
  <si>
    <t>SHORT PANTS CP KNIT SPONGEBOB SB-N01:NAVY BLUE:7-8:GRAPHIC:SHORT PANTS</t>
  </si>
  <si>
    <t>SHORT PANTS CP KNIT SPONGEBOB SB-N01:NAVY BLUE:9-10:GRAPHIC:SHORT PANTS</t>
  </si>
  <si>
    <t>SHORT PANTS CP KNIT SPONGEBOB SB-N01:NAVY BLUE:11-12:GRAPHIC:SHORT PANTS</t>
  </si>
  <si>
    <t>BT-TS021</t>
  </si>
  <si>
    <t>SPM-TS01</t>
  </si>
  <si>
    <t>JW-N038</t>
  </si>
  <si>
    <t>JW-HR066</t>
  </si>
  <si>
    <t>JP-HR067</t>
  </si>
  <si>
    <t>SB-N01</t>
  </si>
  <si>
    <t>PAW-N001</t>
  </si>
  <si>
    <t>PAW-N003</t>
  </si>
  <si>
    <t>PAW-N002</t>
  </si>
  <si>
    <t>GSUP-3</t>
  </si>
  <si>
    <t>PAW-N004</t>
  </si>
  <si>
    <t>BAT-HR076</t>
  </si>
  <si>
    <t>PAW-N005</t>
  </si>
  <si>
    <t>SS T-SHIRT PAW PATROL TEAMS LOGO PAW-N001:NAVY BLUE:4:GRAPHIC:SS T-SHIRT</t>
  </si>
  <si>
    <t>SS T-SHIRT PAW PATROL TEAMS LOGO PAW-N001:NAVY BLUE:5:GRAPHIC:SS T-SHIRT</t>
  </si>
  <si>
    <t>SS T-SHIRT PAW PATROL TEAMS LOGO PAW-N001:NAVY BLUE:6:GRAPHIC:SS T-SHIRT</t>
  </si>
  <si>
    <t>SS T-SHIRT PAW PATROL TEAMS LOGO PAW-N001:NAVY BLUE:7-8:GRAPHIC:SS T-SHIRT</t>
  </si>
  <si>
    <t>SS T-SHIRT PAW SOME PAW-N003:LIGHT BLUE:4:GRAPHIC:SS T-SHIRT</t>
  </si>
  <si>
    <t>SS T-SHIRT PAW SOME PAW-N003:LIGHT BLUE:5:GRAPHIC:SS T-SHIRT</t>
  </si>
  <si>
    <t>SS T-SHIRT PAW SOME PAW-N003:LIGHT BLUE:6:GRAPHIC:SS T-SHIRT</t>
  </si>
  <si>
    <t>SS T-SHIRT PAW SOME PAW-N003:LIGHT BLUE:7-8:GRAPHIC:SS T-SHIRT</t>
  </si>
  <si>
    <t>SS T-SHIRT PAW TEAMS PAW-N002:WHITE:4:GRAPHIC:SS T-SHIRT</t>
  </si>
  <si>
    <t>SS T-SHIRT PAW TEAMS PAW-N002:WHITE:5:GRAPHIC:SS T-SHIRT</t>
  </si>
  <si>
    <t>SS T-SHIRT PAW TEAMS PAW-N002:WHITE:6:GRAPHIC:SS T-SHIRT</t>
  </si>
  <si>
    <t>SS T-SHIRT PAW TEAMS PAW-N002:WHITE:7-8:GRAPHIC:SS T-SHIRT</t>
  </si>
  <si>
    <t>SS T-SHIRT SUPERMAN LOGO TULISAN DPN GSUP-3:WHITE:4:GRAPHIC:SS T-SHIRT</t>
  </si>
  <si>
    <t>SS T-SHIRT SUPERMAN LOGO TULISAN DPN GSUP-3:WHITE:5:GRAPHIC:SS T-SHIRT</t>
  </si>
  <si>
    <t>SS T-SHIRT SUPERMAN LOGO TULISAN DPN GSUP-3:WHITE:6:GRAPHIC:SS T-SHIRT</t>
  </si>
  <si>
    <t>SS T-SHIRT SUPERMAN LOGO TULISAN DPN GSUP-3:WHITE:7-8:GRAPHIC:SS T-SHIRT</t>
  </si>
  <si>
    <t>SS T-SHIRT SUPERMAN LOGO TULISAN DPN GSUP-3:WHITE:9-10:GRAPHIC:SS T-SHIRT</t>
  </si>
  <si>
    <t>SS T-SHIRT SUPERMAN LOGO TULISAN DPN GSUP-3:WHITE:11-12:GRAPHIC:SS T-SHIRT</t>
  </si>
  <si>
    <t>SS T-SHIRT SUPERMAN LOGO TULISAN DPN GSUP-3:WHITE:13-14:GRAPHIC:SS T-SHIRT</t>
  </si>
  <si>
    <t>SWEATER NON HOODY PAW TEAMS PAW-N004:FROST GREY:4:GRAPHIC:SWEATER</t>
  </si>
  <si>
    <t>SWEATER NON HOODY PAW TEAMS PAW-N004:FROST GREY:5:GRAPHIC:SWEATER</t>
  </si>
  <si>
    <t>SWEATER NON HOODY PAW TEAMS PAW-N004:FROST GREY:6:GRAPHIC:SWEATER</t>
  </si>
  <si>
    <t>SWEATER NON HOODY PAW TEAMS PAW-N004:FROST GREY:7-8:GRAPHIC:SWEATER</t>
  </si>
  <si>
    <t>JOGGER BATMAN LOGO CUT SEW BAT-HR076:CHARCOAL:4:GRAPHIC:JOGGER</t>
  </si>
  <si>
    <t>JOGGER BATMAN LOGO CUT SEW BAT-HR076:CHARCOAL:5:GRAPHIC:JOGGER</t>
  </si>
  <si>
    <t>JOGGER BATMAN LOGO CUT SEW BAT-HR076:CHARCOAL:6:GRAPHIC:JOGGER</t>
  </si>
  <si>
    <t>JOGGER BATMAN LOGO CUT SEW BAT-HR076:CHARCOAL:7-8:GRAPHIC:JOGGER</t>
  </si>
  <si>
    <t>JOGGER BATMAN LOGO CUT SEW BAT-HR076:CHARCOAL:9-10:GRAPHIC:JOGGER</t>
  </si>
  <si>
    <t>JOGGER BATMAN LOGO CUT SEW BAT-HR076:CHARCOAL:11-12:GRAPHIC:JOGGER</t>
  </si>
  <si>
    <t>JOGGER BATMAN LOGO CUT SEW BAT-HR076:CHARCOAL:13-14:GRAPHIC:JOGGER</t>
  </si>
  <si>
    <t>JOGGER KNIT PAW LOGO P PAW-N005:NAVY BLUE:4:GRAPHIC:JOGGER</t>
  </si>
  <si>
    <t>JOGGER KNIT PAW LOGO P PAW-N005:NAVY BLUE:5:GRAPHIC:JOGGER</t>
  </si>
  <si>
    <t>JOGGER KNIT PAW LOGO P PAW-N005:NAVY BLUE:6:GRAPHIC:JOGGER</t>
  </si>
  <si>
    <t>JOGGER KNIT PAW LOGO P PAW-N005:NAVY BLUE:7-8:GRAPHIC:JOGGER</t>
  </si>
  <si>
    <t>TJ-HR117</t>
  </si>
  <si>
    <t>SS T-SHIRT TOM AND JERRY FOREVER TJ-HR117:WHITE:4:GRAPHIC:SS T-SHIRT</t>
  </si>
  <si>
    <t>SS T-SHIRT TOM AND JERRY FOREVER TJ-HR117:WHITE:5:GRAPHIC:SS T-SHIRT</t>
  </si>
  <si>
    <t>SS T-SHIRT TOM AND JERRY FOREVER TJ-HR117:WHITE:6:GRAPHIC:SS T-SHIRT</t>
  </si>
  <si>
    <t>SS T-SHIRT TOM AND JERRY FOREVER TJ-HR117:WHITE:7-8:GRAPHIC:SS T-SHIRT</t>
  </si>
  <si>
    <t>SS T-SHIRT TOM AND JERRY FOREVER TJ-HR117:WHITE:9-10:GRAPHIC:SS T-SHIRT</t>
  </si>
  <si>
    <t>SS T-SHIRT TOM AND JERRY FOREVER TJ-HR117:WHITE:11-12:GRAPHIC:SS T-SHIRT</t>
  </si>
  <si>
    <t>SS T-SHIRT TOM AND JERRY FOREVER TJ-HR117:WHITE:13-14:GRAPHIC:SS T-SHIRT</t>
  </si>
  <si>
    <t>TJ-HR115</t>
  </si>
  <si>
    <t>SS T-SHIRT TOM AND JERRY FUN FIGHT TJ-HR115:WHITE:4:GRAPHIC:SS T-SHIRT</t>
  </si>
  <si>
    <t>SS T-SHIRT TOM AND JERRY FUN FIGHT TJ-HR115:WHITE:5:GRAPHIC:SS T-SHIRT</t>
  </si>
  <si>
    <t>SS T-SHIRT TOM AND JERRY FUN FIGHT TJ-HR115:WHITE:6:GRAPHIC:SS T-SHIRT</t>
  </si>
  <si>
    <t>SS T-SHIRT TOM AND JERRY FUN FIGHT TJ-HR115:WHITE:7-8:GRAPHIC:SS T-SHIRT</t>
  </si>
  <si>
    <t>SS T-SHIRT TOM AND JERRY FUN FIGHT TJ-HR115:WHITE:9-10:GRAPHIC:SS T-SHIRT</t>
  </si>
  <si>
    <t>SS T-SHIRT TOM AND JERRY FUN FIGHT TJ-HR115:WHITE:11-12:GRAPHIC:SS T-SHIRT</t>
  </si>
  <si>
    <t>SS T-SHIRT TOM AND JERRY FUN FIGHT TJ-HR115:WHITE:13-14:GRAPHIC:SS T-SHIRT</t>
  </si>
  <si>
    <t>TJ-HR116</t>
  </si>
  <si>
    <t>SS T-SHIRT TOM AND JERRY LOGO NAVY TJ-HR116:NAVY BLUE:4:GRAPHIC:SS T-SHIRT</t>
  </si>
  <si>
    <t>SS T-SHIRT TOM AND JERRY LOGO NAVY TJ-HR116:NAVY BLUE:5:GRAPHIC:SS T-SHIRT</t>
  </si>
  <si>
    <t>SS T-SHIRT TOM AND JERRY LOGO NAVY TJ-HR116:NAVY BLUE:6:GRAPHIC:SS T-SHIRT</t>
  </si>
  <si>
    <t>SS T-SHIRT TOM AND JERRY LOGO NAVY TJ-HR116:NAVY BLUE:7-8:GRAPHIC:SS T-SHIRT</t>
  </si>
  <si>
    <t>SS T-SHIRT TOM AND JERRY LOGO NAVY TJ-HR116:NAVY BLUE:9-10:GRAPHIC:SS T-SHIRT</t>
  </si>
  <si>
    <t>SS T-SHIRT TOM AND JERRY LOGO NAVY TJ-HR116:NAVY BLUE:11-12:GRAPHIC:SS T-SHIRT</t>
  </si>
  <si>
    <t>SS T-SHIRT TOM AND JERRY LOGO NAVY TJ-HR116:NAVY BLUE:13-14:GRAPHIC:SS T-SHIRT</t>
  </si>
  <si>
    <t>TJ-HR118</t>
  </si>
  <si>
    <t>SS T-SHIRT TOM AND JERRY FRENEMIES TJ-HR118:PASTEL BLUE:4:GRAPHIC:SS T-SHIRT</t>
  </si>
  <si>
    <t>SS T-SHIRT TOM AND JERRY FRENEMIES TJ-HR118:PASTEL BLUE:5:GRAPHIC:SS T-SHIRT</t>
  </si>
  <si>
    <t>SS T-SHIRT TOM AND JERRY FRENEMIES TJ-HR118:PASTEL BLUE:6:GRAPHIC:SS T-SHIRT</t>
  </si>
  <si>
    <t>SS T-SHIRT TOM AND JERRY FRENEMIES TJ-HR118:PASTEL BLUE:7-8:GRAPHIC:SS T-SHIRT</t>
  </si>
  <si>
    <t>SS T-SHIRT TOM AND JERRY FRENEMIES TJ-HR118:PASTEL BLUE:9-10:GRAPHIC:SS T-SHIRT</t>
  </si>
  <si>
    <t>SS T-SHIRT TOM AND JERRY FRENEMIES TJ-HR118:PASTEL BLUE:11-12:GRAPHIC:SS T-SHIRT</t>
  </si>
  <si>
    <t>SS T-SHIRT TOM AND JERRY FRENEMIES TJ-HR118:PASTEL BLUE:13-14:GRAPHIC:SS T-SHIRT</t>
  </si>
  <si>
    <t>GSUP-1</t>
  </si>
  <si>
    <t>SS T-SHIRT SUPERMAN LOGO PRINT BLKG GSUP-1:CLASSIC BLUE:4:GRAPHIC:SS T-SHIRT</t>
  </si>
  <si>
    <t>SS T-SHIRT SUPERMAN LOGO PRINT BLKG GSUP-1:CLASSIC BLUE:5:GRAPHIC:SS T-SHIRT</t>
  </si>
  <si>
    <t>SS T-SHIRT SUPERMAN LOGO PRINT BLKG GSUP-1:CLASSIC BLUE:6:GRAPHIC:SS T-SHIRT</t>
  </si>
  <si>
    <t>SS T-SHIRT SUPERMAN LOGO PRINT BLKG GSUP-1:CLASSIC BLUE:7-8:GRAPHIC:SS T-SHIRT</t>
  </si>
  <si>
    <t>SS T-SHIRT SUPERMAN LOGO PRINT BLKG GSUP-1:CLASSIC BLUE:9-10:GRAPHIC:SS T-SHIRT</t>
  </si>
  <si>
    <t>SS T-SHIRT SUPERMAN LOGO PRINT BLKG GSUP-1:CLASSIC BLUE:11-12:GRAPHIC:SS T-SHIRT</t>
  </si>
  <si>
    <t>SS T-SHIRT SUPERMAN LOGO PRINT BLKG GSUP-1:CLASSIC BLUE:13-14:GRAPHIC:SS T-SHIRT</t>
  </si>
  <si>
    <t>GSUP-2</t>
  </si>
  <si>
    <t>SS T-SHIRT SUPERMAN FP LOGO EMBOSS MOLD GSUP-2:VANILLA:4:PRINT:SS T-SHIRT</t>
  </si>
  <si>
    <t>SS T-SHIRT SUPERMAN FP LOGO EMBOSS MOLD GSUP-2:VANILLA:5:PRINT:SS T-SHIRT</t>
  </si>
  <si>
    <t>SS T-SHIRT SUPERMAN FP LOGO EMBOSS MOLD GSUP-2:VANILLA:6:PRINT:SS T-SHIRT</t>
  </si>
  <si>
    <t>SS T-SHIRT SUPERMAN FP LOGO EMBOSS MOLD GSUP-2:VANILLA:7-8:PRINT:SS T-SHIRT</t>
  </si>
  <si>
    <t>SS T-SHIRT SUPERMAN FP LOGO EMBOSS MOLD GSUP-2:VANILLA:9-10:PRINT:SS T-SHIRT</t>
  </si>
  <si>
    <t>SS T-SHIRT SUPERMAN FP LOGO EMBOSS MOLD GSUP-2:VANILLA:11-12:PRINT:SS T-SHIRT</t>
  </si>
  <si>
    <t>SS T-SHIRT SUPERMAN FP LOGO EMBOSS MOLD GSUP-2:VANILLA:13-14:PRINT:SS T-SHIRT</t>
  </si>
  <si>
    <t>HN020</t>
  </si>
  <si>
    <t>HN019</t>
  </si>
  <si>
    <t>GSUP-6</t>
  </si>
  <si>
    <t>SS T-SHIRT BATMAN KOMIK SWING HN020:CLASSIC YELLOW:4:GRAPHIC:SS T-SHIRT</t>
  </si>
  <si>
    <t>SS T-SHIRT BATMAN KOMIK SWING HN020:CLASSIC YELLOW:5:GRAPHIC:SS T-SHIRT</t>
  </si>
  <si>
    <t>SS T-SHIRT BATMAN KOMIK SWING HN020:CLASSIC YELLOW:6:GRAPHIC:SS T-SHIRT</t>
  </si>
  <si>
    <t>SS T-SHIRT BATMAN KOMIK SWING HN020:CLASSIC YELLOW:7-8:GRAPHIC:SS T-SHIRT</t>
  </si>
  <si>
    <t>SS T-SHIRT BATMAN KOMIK KAPOW HN019:MISTY LIGHT BLUE:4:GRAPHIC:SS T-SHIRT</t>
  </si>
  <si>
    <t>SS T-SHIRT BATMAN KOMIK KAPOW HN019:MISTY LIGHT BLUE:5:GRAPHIC:SS T-SHIRT</t>
  </si>
  <si>
    <t>SS T-SHIRT BATMAN KOMIK KAPOW HN019:MISTY LIGHT BLUE:6:GRAPHIC:SS T-SHIRT</t>
  </si>
  <si>
    <t>SS T-SHIRT BATMAN KOMIK KAPOW HN019:MISTY LIGHT BLUE:7-8:GRAPHIC:SS T-SHIRT</t>
  </si>
  <si>
    <t>SHORT PANTS KNIT SUPERMAN LOGO BORDIR GSUP-6:KHAKI:4:EMBRO:SHORT PANTS</t>
  </si>
  <si>
    <t>SHORT PANTS KNIT SUPERMAN LOGO BORDIR GSUP-6:KHAKI:5:EMBRO:SHORT PANTS</t>
  </si>
  <si>
    <t>SHORT PANTS KNIT SUPERMAN LOGO BORDIR GSUP-6:KHAKI:6:EMBRO:SHORT PANTS</t>
  </si>
  <si>
    <t>SHORT PANTS KNIT SUPERMAN LOGO BORDIR GSUP-6:KHAKI:7-8:EMBRO:SHORT PANTS</t>
  </si>
  <si>
    <t>SHORT PANTS KNIT SUPERMAN LOGO BORDIR GSUP-6:KHAKI:9-10:EMBRO:SHORT PANTS</t>
  </si>
  <si>
    <t>SHORT PANTS KNIT SUPERMAN LOGO BORDIR GSUP-6:KHAKI:11-12:EMBRO:SHORT PANTS</t>
  </si>
  <si>
    <t>SHORT PANTS KNIT SUPERMAN LOGO BORDIR GSUP-6:KHAKI:13-14:EMBRO:SHORT PANTS</t>
  </si>
  <si>
    <t>TF-HR051</t>
  </si>
  <si>
    <t>TF-A109</t>
  </si>
  <si>
    <t>SS T-SHIRT TF OPTIMUS CUT SEW TF-HR051:CLASSIC RED:3-4:PRINT:SS T-SHIRT</t>
  </si>
  <si>
    <t>SS T-SHIRT TF OPTIMUS CUT SEW TF-HR051:CLASSIC RED:4-5:PRINT:SS T-SHIRT</t>
  </si>
  <si>
    <t>SS T-SHIRT TF OPTIMUS CUT SEW TF-HR051:CLASSIC RED:5-6:PRINT:SS T-SHIRT</t>
  </si>
  <si>
    <t>SS T-SHIRT TF OPTIMUS CUT SEW TF-HR051:CLASSIC RED:7-8:PRINT:SS T-SHIRT</t>
  </si>
  <si>
    <t>SS T-SHIRT TF OPTIMUS CUT SEW TF-HR051:CLASSIC RED:9-10:PRINT:SS T-SHIRT</t>
  </si>
  <si>
    <t>SS T-SHIRT TF OPTIMUS CUT SEW TF-HR051:CLASSIC RED:11-12:PRINT:SS T-SHIRT</t>
  </si>
  <si>
    <t>SS T-SHIRT TF OPTIMUS CUT SEW TF-HR051:CLASSIC RED:13-14:PRINT:SS T-SHIRT</t>
  </si>
  <si>
    <t>SS T-SHIRT TF OPTIMUS CUT SEW TF-HR051:CLASSIC RED:15-16:PRINT:SS T-SHIRT</t>
  </si>
  <si>
    <t>SS T-SHIRT TF OPTIMUS ROLLS TF-A109:MISTY MEDIUM BLUE:3-4:GRAPHIC:SS T-SHIRT</t>
  </si>
  <si>
    <t>SS T-SHIRT TF OPTIMUS ROLLS TF-A109:MISTY MEDIUM BLUE:4-5:GRAPHIC:SS T-SHIRT</t>
  </si>
  <si>
    <t>SS T-SHIRT TF OPTIMUS ROLLS TF-A109:MISTY MEDIUM BLUE:5-6:GRAPHIC:SS T-SHIRT</t>
  </si>
  <si>
    <t>SS T-SHIRT TF OPTIMUS ROLLS TF-A109:MISTY MEDIUM BLUE:7-8:GRAPHIC:SS T-SHIRT</t>
  </si>
  <si>
    <t>SS T-SHIRT TF OPTIMUS ROLLS TF-A109:MISTY MEDIUM BLUE:9-10:GRAPHIC:SS T-SHIRT</t>
  </si>
  <si>
    <t>SS T-SHIRT TF OPTIMUS ROLLS TF-A109:MISTY MEDIUM BLUE:11-12:GRAPHIC:SS T-SHIRT</t>
  </si>
  <si>
    <t>SS T-SHIRT TF OPTIMUS ROLLS TF-A109:MISTY MEDIUM BLUE:13-14:GRAPHIC:SS T-SHIRT</t>
  </si>
  <si>
    <t>SS T-SHIRT TF OPTIMUS ROLLS TF-A109:MISTY MEDIUM BLUE:15-16:GRAPHIC:SS T-SHIRT</t>
  </si>
  <si>
    <t>BT-S02</t>
  </si>
  <si>
    <t>SHORT PANTS CP KNIT BATMAN CARGO LOGO BT-S02:BLACK:3-4:GRAPHIC:SHORT PANTS</t>
  </si>
  <si>
    <t>SHORT PANTS CP KNIT BATMAN CARGO LOGO BT-S02:BLACK:4-5:GRAPHIC:SHORT PANTS</t>
  </si>
  <si>
    <t>SHORT PANTS CP KNIT BATMAN CARGO LOGO BT-S02:BLACK:5-6:GRAPHIC:SHORT PANTS</t>
  </si>
  <si>
    <t>SHORT PANTS CP KNIT BATMAN CARGO LOGO BT-S02:BLACK:7-8:GRAPHIC:SHORT PANTS</t>
  </si>
  <si>
    <t>SHORT PANTS CP KNIT BATMAN CARGO LOGO BT-S02:BLACK:9-10:GRAPHIC:SHORT PANTS</t>
  </si>
  <si>
    <t>SHORT PANTS CP KNIT BATMAN CARGO LOGO BT-S02:BLACK:11-12:GRAPHIC:SHORT PANTS</t>
  </si>
  <si>
    <t>SHORT PANTS CP KNIT BATMAN CARGO LOGO BT-S02:BLACK:13-14:GRAPHIC:SHORT PANTS</t>
  </si>
  <si>
    <t>SHORT PANTS CP KNIT BATMAN CARGO LOGO BT-S02:BLACK:15-16:GRAPHIC:SHORT PANTS</t>
  </si>
  <si>
    <t>MB-HR427A</t>
  </si>
  <si>
    <t>T-SHIRT  MARIO KTG LOGO A MB-HR427A:CLASSIC RED:3-4:PRINT:SS T-SHIRT</t>
  </si>
  <si>
    <t>T-SHIRT  MARIO KTG LOGO A MB-HR427A:CLASSIC RED:4-5:PRINT:SS T-SHIRT</t>
  </si>
  <si>
    <t>T-SHIRT  MARIO KTG LOGO A MB-HR427A:CLASSIC RED:5-6:PRINT:SS T-SHIRT</t>
  </si>
  <si>
    <t>T-SHIRT  MARIO KTG LOGO A MB-HR427A:CLASSIC RED:7-8:PRINT:SS T-SHIRT</t>
  </si>
  <si>
    <t>T-SHIRT  MARIO KTG LOGO A MB-HR427A:CLASSIC RED:9-10:PRINT:SS T-SHIRT</t>
  </si>
  <si>
    <t>MB-A03A</t>
  </si>
  <si>
    <t>T-SHIRT  MARIO LUIGI POSTER LIS A MB-A03A:CLASSIC RED:3-4:PRINT:SS T-SHIRT</t>
  </si>
  <si>
    <t>T-SHIRT  MARIO LUIGI POSTER LIS A MB-A03A:CLASSIC RED:4-5:PRINT:SS T-SHIRT</t>
  </si>
  <si>
    <t>T-SHIRT  MARIO LUIGI POSTER LIS A MB-A03A:CLASSIC RED:5-6:PRINT:SS T-SHIRT</t>
  </si>
  <si>
    <t>T-SHIRT  MARIO LUIGI POSTER LIS A MB-A03A:CLASSIC RED:7-8:PRINT:SS T-SHIRT</t>
  </si>
  <si>
    <t>T-SHIRT  MARIO LUIGI POSTER LIS A MB-A03A:CLASSIC RED:9-10:PRINT:SS T-SHIRT</t>
  </si>
  <si>
    <t>MB-HR426A</t>
  </si>
  <si>
    <t>T-SHIRT  MARIO IT-SHIRT  ME FP A MB-HR426A:NAVY BLUE:3-4:PRINT:SS T-SHIRT</t>
  </si>
  <si>
    <t>T-SHIRT  MARIO IT-SHIRT  ME FP A MB-HR426A:NAVY BLUE:4-5:PRINT:SS T-SHIRT</t>
  </si>
  <si>
    <t>T-SHIRT  MARIO IT-SHIRT  ME FP A MB-HR426A:NAVY BLUE:5-6:PRINT:SS T-SHIRT</t>
  </si>
  <si>
    <t>T-SHIRT  MARIO IT-SHIRT  ME FP A MB-HR426A:NAVY BLUE:7-8:PRINT:SS T-SHIRT</t>
  </si>
  <si>
    <t>T-SHIRT  MARIO IT-SHIRT  ME FP A MB-HR426A:NAVY BLUE:9-10:PRINT:SS T-SHIRT</t>
  </si>
  <si>
    <t>MB-HR428A</t>
  </si>
  <si>
    <t>T-SHIRT  MARIO TULISAN TENGAH A MB-HR428A:CLASSIC RED:3-4:PRINT:SS T-SHIRT</t>
  </si>
  <si>
    <t>T-SHIRT  MARIO TULISAN TENGAH A MB-HR428A:CLASSIC RED:4-5:PRINT:SS T-SHIRT</t>
  </si>
  <si>
    <t>T-SHIRT  MARIO TULISAN TENGAH A MB-HR428A:CLASSIC RED:5-6:PRINT:SS T-SHIRT</t>
  </si>
  <si>
    <t>T-SHIRT  MARIO TULISAN TENGAH A MB-HR428A:CLASSIC RED:7-8:PRINT:SS T-SHIRT</t>
  </si>
  <si>
    <t>T-SHIRT  MARIO TULISAN TENGAH A MB-HR428A:CLASSIC RED:9-10:PRINT:SS T-SHIRT</t>
  </si>
  <si>
    <t>MB-HR429A</t>
  </si>
  <si>
    <t>T-SHIRT  MARIO &amp; LUIGI BROTHERS A MB-HR429A:WHITE:7-8:PRINT:SS T-SHIRT</t>
  </si>
  <si>
    <t>T-SHIRT  MARIO &amp; LUIGI BROTHERS A MB-HR429A:WHITE:9-10:PRINT:SS T-SHIRT</t>
  </si>
  <si>
    <t>T-SHIRT  MARIO &amp; LUIGI BROTHERS A MB-HR429A:WHITE:11-12:PRINT:SS T-SHIRT</t>
  </si>
  <si>
    <t>T-SHIRT  MARIO &amp; LUIGI BROTHERS A MB-HR429A:WHITE:13-14:PRINT:SS T-SHIRT</t>
  </si>
  <si>
    <t>T-SHIRT  MARIO &amp; LUIGI BROTHERS A MB-HR429A:WHITE:15-16:PRINT:SS T-SHIRT</t>
  </si>
  <si>
    <t>MB-N010C</t>
  </si>
  <si>
    <t>T-SHIRT  MARIO FP JUMP C MB-N010C:NAVY BLUE:7-8:PRINT:SS T-SHIRT</t>
  </si>
  <si>
    <t>T-SHIRT  MARIO FP JUMP C MB-N010C:NAVY BLUE:9-10:PRINT:SS T-SHIRT</t>
  </si>
  <si>
    <t>T-SHIRT  MARIO FP JUMP C MB-N010C:NAVY BLUE:11-12:PRINT:SS T-SHIRT</t>
  </si>
  <si>
    <t>T-SHIRT  MARIO FP JUMP C MB-N010C:NAVY BLUE:13-14:PRINT:SS T-SHIRT</t>
  </si>
  <si>
    <t>T-SHIRT  MARIO FP JUMP C MB-N010C:NAVY BLUE:15-16:PRINT:SS T-SHIRT</t>
  </si>
  <si>
    <t>MB-N037C</t>
  </si>
  <si>
    <t>T-SHIRT  MARIO FP LUIGI BOWSER C MB-N037C:WHITE:7-8:PRINT:SS T-SHIRT</t>
  </si>
  <si>
    <t>T-SHIRT  MARIO FP LUIGI BOWSER C MB-N037C:WHITE:9-10:PRINT:SS T-SHIRT</t>
  </si>
  <si>
    <t>T-SHIRT  MARIO FP LUIGI BOWSER C MB-N037C:WHITE:11-12:PRINT:SS T-SHIRT</t>
  </si>
  <si>
    <t>T-SHIRT  MARIO FP LUIGI BOWSER C MB-N037C:WHITE:13-14:PRINT:SS T-SHIRT</t>
  </si>
  <si>
    <t>T-SHIRT  MARIO FP LUIGI BOWSER C MB-N037C:WHITE:15-16:PRINT:SS T-SHIRT</t>
  </si>
  <si>
    <t>SS T-SHIRT TF FP DEPAN LOGO LIS TF-A78:MISTY LIGHT GREY:15-16:PRINT:SS T-SHIRT</t>
  </si>
  <si>
    <t>2025 JAN-APR B1G2</t>
  </si>
  <si>
    <t>BTHP03</t>
  </si>
  <si>
    <t>SS T-SHIRT BATMAN HEAD LOGO ANIME BTHP03:WHITE:4:GRAPHIC:SS T-SHIRT</t>
  </si>
  <si>
    <t>SS T-SHIRT BATMAN HEAD LOGO ANIME BTHP03:WHITE:5:GRAPHIC:SS T-SHIRT</t>
  </si>
  <si>
    <t>SS T-SHIRT BATMAN HEAD LOGO ANIME BTHP03:WHITE:6:GRAPHIC:SS T-SHIRT</t>
  </si>
  <si>
    <t>SS T-SHIRT BATMAN HEAD LOGO ANIME BTHP03:WHITE:7-8:GRAPHIC:SS T-SHIRT</t>
  </si>
  <si>
    <t>SS T-SHIRT BATMAN HEAD LOGO ANIME BTHP03:WHITE:9-10:GRAPHIC:SS T-SHIRT</t>
  </si>
  <si>
    <t>SS T-SHIRT BATMAN HEAD LOGO ANIME BTHP03:WHITE:11-12:GRAPHIC:SS T-SHIRT</t>
  </si>
  <si>
    <t>SS T-SHIRT BATMAN HEAD LOGO ANIME BTHP03:WHITE:13-14:GRAPHIC:SS T-SHIRT</t>
  </si>
  <si>
    <t>BTHP01</t>
  </si>
  <si>
    <t>SS T-SHIRT BATMAN FACE ANIME BTHP01:WHITE:4:GRAPHIC:SS T-SHIRT</t>
  </si>
  <si>
    <t>SS T-SHIRT BATMAN FACE ANIME BTHP01:WHITE:5:GRAPHIC:SS T-SHIRT</t>
  </si>
  <si>
    <t>SS T-SHIRT BATMAN FACE ANIME BTHP01:WHITE:6:GRAPHIC:SS T-SHIRT</t>
  </si>
  <si>
    <t>SS T-SHIRT BATMAN FACE ANIME BTHP01:WHITE:7-8:GRAPHIC:SS T-SHIRT</t>
  </si>
  <si>
    <t>SS T-SHIRT BATMAN FACE ANIME BTHP01:WHITE:9-10:GRAPHIC:SS T-SHIRT</t>
  </si>
  <si>
    <t>SS T-SHIRT BATMAN FACE ANIME BTHP01:WHITE:11-12:GRAPHIC:SS T-SHIRT</t>
  </si>
  <si>
    <t>SS T-SHIRT BATMAN FACE ANIME BTHP01:WHITE:13-14:GRAPHIC:SS T-SHIRT</t>
  </si>
  <si>
    <t>BTHP02</t>
  </si>
  <si>
    <t>SS T-SHIRT BATMAN ACTION WING BTHP02:WHITE:4:GRAPHIC:SS T-SHIRT</t>
  </si>
  <si>
    <t>SS T-SHIRT BATMAN ACTION WING BTHP02:WHITE:5:GRAPHIC:SS T-SHIRT</t>
  </si>
  <si>
    <t>SS T-SHIRT BATMAN ACTION WING BTHP02:WHITE:6:GRAPHIC:SS T-SHIRT</t>
  </si>
  <si>
    <t>SS T-SHIRT BATMAN ACTION WING BTHP02:WHITE:7-8:GRAPHIC:SS T-SHIRT</t>
  </si>
  <si>
    <t>SS T-SHIRT BATMAN ACTION WING BTHP02:WHITE:9-10:GRAPHIC:SS T-SHIRT</t>
  </si>
  <si>
    <t>SS T-SHIRT BATMAN ACTION WING BTHP02:WHITE:11-12:GRAPHIC:SS T-SHIRT</t>
  </si>
  <si>
    <t>SS T-SHIRT BATMAN ACTION WING BTHP02:WHITE:13-14:GRAPHIC:SS T-SHIRT</t>
  </si>
  <si>
    <t>HN002</t>
  </si>
  <si>
    <t>SS T-SHIRT SUPERMAN FLY LOGO HN002:CHARCOAL:4:GRAPHIC:SS T-SHIRT</t>
  </si>
  <si>
    <t>SS T-SHIRT SUPERMAN FLY LOGO HN002:CHARCOAL:5:GRAPHIC:SS T-SHIRT</t>
  </si>
  <si>
    <t>SS T-SHIRT SUPERMAN FLY LOGO HN002:CHARCOAL:6:GRAPHIC:SS T-SHIRT</t>
  </si>
  <si>
    <t>SS T-SHIRT SUPERMAN FLY LOGO HN002:CHARCOAL:7-8:GRAPHIC:SS T-SHIRT</t>
  </si>
  <si>
    <t>SS T-SHIRT SUPERMAN FLY LOGO HN002:CHARCOAL:9-10:GRAPHIC:SS T-SHIRT</t>
  </si>
  <si>
    <t>SS T-SHIRT SUPERMAN FLY LOGO HN002:CHARCOAL:11-12:GRAPHIC:SS T-SHIRT</t>
  </si>
  <si>
    <t>SS T-SHIRT SUPERMAN FLY LOGO HN002:CHARCOAL:13-14:GRAPHIC:SS T-SHIRT</t>
  </si>
  <si>
    <t>HR-108</t>
  </si>
  <si>
    <t>SS T-SHIRT SUPERMAN ACTION PRINT DPN HR-108:PASTEL BLUE:4:GRAPHIC:SS T-SHIRT</t>
  </si>
  <si>
    <t>SS T-SHIRT SUPERMAN ACTION PRINT DPN HR-108:PASTEL BLUE:5:GRAPHIC:SS T-SHIRT</t>
  </si>
  <si>
    <t>SS T-SHIRT SUPERMAN ACTION PRINT DPN HR-108:PASTEL BLUE:6:GRAPHIC:SS T-SHIRT</t>
  </si>
  <si>
    <t>SS T-SHIRT SUPERMAN ACTION PRINT DPN HR-108:PASTEL BLUE:7-8:GRAPHIC:SS T-SHIRT</t>
  </si>
  <si>
    <t>SS T-SHIRT SUPERMAN ACTION PRINT DPN HR-108:PASTEL BLUE:9-10:GRAPHIC:SS T-SHIRT</t>
  </si>
  <si>
    <t>SS T-SHIRT SUPERMAN ACTION PRINT DPN HR-108:PASTEL BLUE:11-12:GRAPHIC:SS T-SHIRT</t>
  </si>
  <si>
    <t>SS T-SHIRT SUPERMAN ACTION PRINT DPN HR-108:PASTEL BLUE:13-14:GRAPHIC:SS T-SHIRT</t>
  </si>
  <si>
    <t>WO10</t>
  </si>
  <si>
    <t>SS T-SHIRT SUPERMAN LOGO DPN WO 10:BLACK:4:GRAPHIC:SS T-SHIRT</t>
  </si>
  <si>
    <t>SS T-SHIRT SUPERMAN LOGO DPN WO 10:BLACK:5:GRAPHIC:SS T-SHIRT</t>
  </si>
  <si>
    <t>SS T-SHIRT SUPERMAN LOGO DPN WO 10:BLACK:6:GRAPHIC:SS T-SHIRT</t>
  </si>
  <si>
    <t>SS T-SHIRT SUPERMAN LOGO DPN WO 10:BLACK:7-8:GRAPHIC:SS T-SHIRT</t>
  </si>
  <si>
    <t>SS T-SHIRT SUPERMAN LOGO DPN WO 10:BLACK:9-10:GRAPHIC:SS T-SHIRT</t>
  </si>
  <si>
    <t>SS T-SHIRT SUPERMAN LOGO DPN WO 10:BLACK:11-12:GRAPHIC:SS T-SHIRT</t>
  </si>
  <si>
    <t>SS T-SHIRT SUPERMAN LOGO DPN WO 10:BLACK:13-14:GRAPHIC:SS T-SHIRT</t>
  </si>
  <si>
    <t>HN018</t>
  </si>
  <si>
    <t>SS T-SHIRT BATMAN SPACESHIP HN018:MISTY DARK GREY:4:GRAPHIC:SS T-SHIRT</t>
  </si>
  <si>
    <t>SS T-SHIRT BATMAN SPACESHIP HN018:MISTY DARK GREY:5:GRAPHIC:SS T-SHIRT</t>
  </si>
  <si>
    <t>SS T-SHIRT BATMAN SPACESHIP HN018:MISTY DARK GREY:6:GRAPHIC:SS T-SHIRT</t>
  </si>
  <si>
    <t>SS T-SHIRT BATMAN SPACESHIP HN018:MISTY DARK GREY:7-8:GRAPHIC:SS T-SHIRT</t>
  </si>
  <si>
    <t>SS T-SHIRT BATMAN SPACESHIP HN018:MISTY DARK GREY:9-10:GRAPHIC:SS T-SHIRT</t>
  </si>
  <si>
    <t>SS T-SHIRT BATMAN SPACESHIP HN018:MISTY DARK GREY:11-12:GRAPHIC:SS T-SHIRT</t>
  </si>
  <si>
    <t>SS T-SHIRT BATMAN SPACESHIP HN018:MISTY DARK GREY:13-14:GRAPHIC:SS T-SHIRT</t>
  </si>
  <si>
    <t>BT-HR08</t>
  </si>
  <si>
    <t>SS T-SHIRT BATMAN LOGO HD PRINT BLKG BT-HR08:PASTEL GREY:4:GRAPHIC:SS T-SHIRT</t>
  </si>
  <si>
    <t>SS T-SHIRT BATMAN LOGO HD PRINT BLKG BT-HR08:PASTEL GREY:5:GRAPHIC:SS T-SHIRT</t>
  </si>
  <si>
    <t>SS T-SHIRT BATMAN LOGO HD PRINT BLKG BT-HR08:PASTEL GREY:6:GRAPHIC:SS T-SHIRT</t>
  </si>
  <si>
    <t>SS T-SHIRT BATMAN LOGO HD PRINT BLKG BT-HR08:PASTEL GREY:7-8:GRAPHIC:SS T-SHIRT</t>
  </si>
  <si>
    <t>SS T-SHIRT BATMAN LOGO HD PRINT BLKG BT-HR08:PASTEL GREY:9-10:GRAPHIC:SS T-SHIRT</t>
  </si>
  <si>
    <t>SS T-SHIRT BATMAN LOGO HD PRINT BLKG BT-HR08:PASTEL GREY:11-12:GRAPHIC:SS T-SHIRT</t>
  </si>
  <si>
    <t>SS T-SHIRT BATMAN LOGO HD PRINT BLKG BT-HR08:PASTEL GREY:13-14:GRAPHIC:SS T-SHIRT</t>
  </si>
  <si>
    <t>HN003</t>
  </si>
  <si>
    <t>SS T-SHIRT BATMAN LOGO TULISAN DPN HN003:CLASSIC YELLOW:4:GRAPHIC:SS T-SHIRT</t>
  </si>
  <si>
    <t>SS T-SHIRT BATMAN LOGO TULISAN DPN HN003:CLASSIC YELLOW:5:GRAPHIC:SS T-SHIRT</t>
  </si>
  <si>
    <t>SS T-SHIRT BATMAN LOGO TULISAN DPN HN003:CLASSIC YELLOW:6:GRAPHIC:SS T-SHIRT</t>
  </si>
  <si>
    <t>SS T-SHIRT BATMAN LOGO TULISAN DPN HN003:CLASSIC YELLOW:7-8:GRAPHIC:SS T-SHIRT</t>
  </si>
  <si>
    <t>SS T-SHIRT BATMAN LOGO TULISAN DPN HN003:CLASSIC YELLOW:9-10:GRAPHIC:SS T-SHIRT</t>
  </si>
  <si>
    <t>SS T-SHIRT BATMAN LOGO TULISAN DPN HN003:CLASSIC YELLOW:11-12:GRAPHIC:SS T-SHIRT</t>
  </si>
  <si>
    <t>SS T-SHIRT BATMAN LOGO TULISAN DPN HN003:CLASSIC YELLOW:13-14:GRAPHIC:SS T-SHIRT</t>
  </si>
  <si>
    <t>HN001</t>
  </si>
  <si>
    <t>SS T-SHIRT BATMAN LOGO TULISAN DPN HN001:BLACK:4:GRAPHIC:SS T-SHIRT</t>
  </si>
  <si>
    <t>SS T-SHIRT BATMAN LOGO TULISAN DPN HN001:BLACK:5:GRAPHIC:SS T-SHIRT</t>
  </si>
  <si>
    <t>SS T-SHIRT BATMAN LOGO TULISAN DPN HN001:BLACK:6:GRAPHIC:SS T-SHIRT</t>
  </si>
  <si>
    <t>SS T-SHIRT BATMAN LOGO TULISAN DPN HN001:BLACK:7-8:GRAPHIC:SS T-SHIRT</t>
  </si>
  <si>
    <t>SS T-SHIRT BATMAN LOGO TULISAN DPN HN001:BLACK:9-10:GRAPHIC:SS T-SHIRT</t>
  </si>
  <si>
    <t>SS T-SHIRT BATMAN LOGO TULISAN DPN HN001:BLACK:11-12:GRAPHIC:SS T-SHIRT</t>
  </si>
  <si>
    <t>SS T-SHIRT BATMAN LOGO TULISAN DPN HN001:BLACK:13-14:GRAPHIC:SS T-SHIRT</t>
  </si>
  <si>
    <t>BT-W03</t>
  </si>
  <si>
    <t>SS T-SHIRT BATMAN LOGO STANDING BT-W03:BLACK:4:GRAPHIC:SS T-SHIRT</t>
  </si>
  <si>
    <t>SS T-SHIRT BATMAN LOGO STANDING BT-W03:BLACK:5:GRAPHIC:SS T-SHIRT</t>
  </si>
  <si>
    <t>SS T-SHIRT BATMAN LOGO STANDING BT-W03:BLACK:6:GRAPHIC:SS T-SHIRT</t>
  </si>
  <si>
    <t>SS T-SHIRT BATMAN LOGO STANDING BT-W03:BLACK:7-8:GRAPHIC:SS T-SHIRT</t>
  </si>
  <si>
    <t>SS T-SHIRT BATMAN LOGO STANDING BT-W03:BLACK:9-10:GRAPHIC:SS T-SHIRT</t>
  </si>
  <si>
    <t>SS T-SHIRT BATMAN LOGO STANDING BT-W03:BLACK:11-12:GRAPHIC:SS T-SHIRT</t>
  </si>
  <si>
    <t>SS T-SHIRT BATMAN LOGO STANDING BT-W03:BLACK:13-14:GRAPHIC:SS T-SHIRT</t>
  </si>
  <si>
    <t>HR-106</t>
  </si>
  <si>
    <t>SS T-SHIRT SUPERMAN COMIC ACTION C HR-106:VANILLA:7-8:GRAPHIC:SS T-SHIRT</t>
  </si>
  <si>
    <t>SS T-SHIRT SUPERMAN COMIC ACTION C HR-106:VANILLA:9-10:GRAPHIC:SS T-SHIRT</t>
  </si>
  <si>
    <t>SS T-SHIRT SUPERMAN COMIC ACTION C HR-106:VANILLA:11-12:GRAPHIC:SS T-SHIRT</t>
  </si>
  <si>
    <t>SS T-SHIRT SUPERMAN COMIC ACTION C HR-106:VANILLA:13-14:GRAPHIC:SS T-SHIRT</t>
  </si>
  <si>
    <t>HP-HN016</t>
  </si>
  <si>
    <t>SS T-SHIRT HARRY POTTER LOGO EMBOSS HD HP-HN016:NAVY BLUE:7-8:GRAPHIC:SS T-SHIRT</t>
  </si>
  <si>
    <t>SS T-SHIRT HARRY POTTER LOGO EMBOSS HD HP-HN016:NAVY BLUE:9-10:GRAPHIC:SS T-SHIRT</t>
  </si>
  <si>
    <t>SS T-SHIRT HARRY POTTER LOGO EMBOSS HD HP-HN016:NAVY BLUE:11-12:GRAPHIC:SS T-SHIRT</t>
  </si>
  <si>
    <t>SS T-SHIRT HARRY POTTER LOGO EMBOSS HD HP-HN016:NAVY BLUE:13-14:GRAPHIC:SS T-SHIRT</t>
  </si>
  <si>
    <t>HP-HN018</t>
  </si>
  <si>
    <t>SS T-SHIRT HARRY POTTER HUFFLEPUFF HP-HN018:BLACK:7-8:GRAPHIC:SS T-SHIRT</t>
  </si>
  <si>
    <t>SS T-SHIRT HARRY POTTER HUFFLEPUFF HP-HN018:BLACK:9-10:GRAPHIC:SS T-SHIRT</t>
  </si>
  <si>
    <t>SS T-SHIRT HARRY POTTER HUFFLEPUFF HP-HN018:BLACK:11-12:GRAPHIC:SS T-SHIRT</t>
  </si>
  <si>
    <t>SS T-SHIRT HARRY POTTER HUFFLEPUFF HP-HN018:BLACK:13-14:GRAPHIC:SS T-SHIRT</t>
  </si>
  <si>
    <t>HP-HN017</t>
  </si>
  <si>
    <t>SS T-SHIRT HARRY POTTER SLYTHERIN HP-HN017:FOREST GREEN:7-8:GRAPHIC:SS T-SHIRT</t>
  </si>
  <si>
    <t>SS T-SHIRT HARRY POTTER SLYTHERIN HP-HN017:FOREST GREEN:9-10:GRAPHIC:SS T-SHIRT</t>
  </si>
  <si>
    <t>SS T-SHIRT HARRY POTTER SLYTHERIN HP-HN017:FOREST GREEN:11-12:GRAPHIC:SS T-SHIRT</t>
  </si>
  <si>
    <t>SS T-SHIRT HARRY POTTER SLYTHERIN HP-HN017:FOREST GREEN:13-14:GRAPHIC:SS T-SHIRT</t>
  </si>
  <si>
    <t>HP-HN019</t>
  </si>
  <si>
    <t>SS T-SHIRT HARRY POTTER GRYFFINDOR HP-HN019:OFF WHITE:7-8:GRAPHIC:SS T-SHIRT</t>
  </si>
  <si>
    <t>SS T-SHIRT HARRY POTTER GRYFFINDOR HP-HN019:OFF WHITE:9-10:GRAPHIC:SS T-SHIRT</t>
  </si>
  <si>
    <t>SS T-SHIRT HARRY POTTER GRYFFINDOR HP-HN019:OFF WHITE:11-12:GRAPHIC:SS T-SHIRT</t>
  </si>
  <si>
    <t>SS T-SHIRT HARRY POTTER GRYFFINDOR HP-HN019:OFF WHITE:13-14:GRAPHIC:SS T-SHIRT</t>
  </si>
  <si>
    <t>HP-HN020</t>
  </si>
  <si>
    <t>SS T-SHIRT HARRY POTTER RAVENCLAW HP-HN020:PASTEL GREY:7-8:GRAPHIC:SS T-SHIRT</t>
  </si>
  <si>
    <t>SS T-SHIRT HARRY POTTER RAVENCLAW HP-HN020:PASTEL GREY:9-10:GRAPHIC:SS T-SHIRT</t>
  </si>
  <si>
    <t>SS T-SHIRT HARRY POTTER RAVENCLAW HP-HN020:PASTEL GREY:11-12:GRAPHIC:SS T-SHIRT</t>
  </si>
  <si>
    <t>SS T-SHIRT HARRY POTTER RAVENCLAW HP-HN020:PASTEL GREY:13-14:GRAPHIC:SS T-SHIRT</t>
  </si>
  <si>
    <t>HP-HN015</t>
  </si>
  <si>
    <t>SS T-SHIRT HARRY POTTER RAGLAN HOGWARTS HP-HN015:OFF WHITE:7-8:GRAPHIC:SS T-SHIRT</t>
  </si>
  <si>
    <t>SS T-SHIRT HARRY POTTER RAGLAN HOGWARTS HP-HN015:OFF WHITE:9-10:GRAPHIC:SS T-SHIRT</t>
  </si>
  <si>
    <t>SS T-SHIRT HARRY POTTER RAGLAN HOGWARTS HP-HN015:OFF WHITE:11-12:GRAPHIC:SS T-SHIRT</t>
  </si>
  <si>
    <t>SS T-SHIRT HARRY POTTER RAGLAN HOGWARTS HP-HN015:OFF WHITE:13-14:GRAPHIC:SS T-SHIRT</t>
  </si>
  <si>
    <t>MLHR-099</t>
  </si>
  <si>
    <t>SS T-SHIRT MLBB HAYABUSA MLHR-099:BLACK:7-8:GRAPHIC:SS T-SHIRT</t>
  </si>
  <si>
    <t>SS T-SHIRT MLBB HAYABUSA MLHR-099:BLACK:9-10:GRAPHIC:SS T-SHIRT</t>
  </si>
  <si>
    <t>SS T-SHIRT MLBB HAYABUSA MLHR-099:BLACK:11-12:GRAPHIC:SS T-SHIRT</t>
  </si>
  <si>
    <t>SS T-SHIRT MLBB HAYABUSA MLHR-099:BLACK:13-14:GRAPHIC:SS T-SHIRT</t>
  </si>
  <si>
    <t>MLHR-107</t>
  </si>
  <si>
    <t>SS T-SHIRT MLBB JOHNSON MLHR-107:WHITE:7-8:GRAPHIC:SS T-SHIRT</t>
  </si>
  <si>
    <t>SS T-SHIRT MLBB JOHNSON MLHR-107:WHITE:9-10:GRAPHIC:SS T-SHIRT</t>
  </si>
  <si>
    <t>SS T-SHIRT MLBB JOHNSON MLHR-107:WHITE:11-12:GRAPHIC:SS T-SHIRT</t>
  </si>
  <si>
    <t>SS T-SHIRT MLBB JOHNSON MLHR-107:WHITE:13-14:GRAPHIC:SS T-SHIRT</t>
  </si>
  <si>
    <t>MLHR-123</t>
  </si>
  <si>
    <t>SS T-SHIRT MLBB ALPHA MLHR-123:MISTY LIGHT BLUE:7-8:PRINT:SS T-SHIRT</t>
  </si>
  <si>
    <t>SS T-SHIRT MLBB ALPHA MLHR-123:MISTY LIGHT BLUE:9-10:PRINT:SS T-SHIRT</t>
  </si>
  <si>
    <t>SS T-SHIRT MLBB ALPHA MLHR-123:MISTY LIGHT BLUE:11-12:PRINT:SS T-SHIRT</t>
  </si>
  <si>
    <t>SS T-SHIRT MLBB ALPHA MLHR-123:MISTY LIGHT BLUE:13-14:PRINT:SS T-SHIRT</t>
  </si>
  <si>
    <t>TSSPMB1</t>
  </si>
  <si>
    <t>SS T-SHIRT SPONGEBOB HOLIDAY TSSPMB1:CLASSIC YELLOW:4:GRAPHIC:SS T-SHIRT</t>
  </si>
  <si>
    <t>SS T-SHIRT SPONGEBOB HOLIDAY TSSPMB1:CLASSIC YELLOW:5:GRAPHIC:SS T-SHIRT</t>
  </si>
  <si>
    <t>SS T-SHIRT SPONGEBOB HOLIDAY TSSPMB1:CLASSIC YELLOW:6:GRAPHIC:SS T-SHIRT</t>
  </si>
  <si>
    <t>SS T-SHIRT SPONGEBOB HOLIDAY TSSPMB1:CLASSIC YELLOW:7-8:GRAPHIC:SS T-SHIRT</t>
  </si>
  <si>
    <t>SS T-SHIRT SPONGEBOB HOLIDAY TSSPMB1:CLASSIC YELLOW:9-10:GRAPHIC:SS T-SHIRT</t>
  </si>
  <si>
    <t>SS T-SHIRT SPONGEBOB HOLIDAY TSSPMB1:CLASSIC YELLOW:11-12:GRAPHIC:SS T-SHIRT</t>
  </si>
  <si>
    <t>SS T-SHIRT SPONGEBOB HOLIDAY TSSPMB1:CLASSIC YELLOW:13-14:GRAPHIC:SS T-SHIRT</t>
  </si>
  <si>
    <t>SB-HN006</t>
  </si>
  <si>
    <t>SS T-SHIRT SPONGEBOB IM READY SB-HN006:CLASSIC YELLOW:4:GRAPHIC:SS T-SHIRT</t>
  </si>
  <si>
    <t>SS T-SHIRT SPONGEBOB IM READY SB-HN006:CLASSIC YELLOW:5:GRAPHIC:SS T-SHIRT</t>
  </si>
  <si>
    <t>SS T-SHIRT SPONGEBOB IM READY SB-HN006:CLASSIC YELLOW:6:GRAPHIC:SS T-SHIRT</t>
  </si>
  <si>
    <t>SS T-SHIRT SPONGEBOB IM READY SB-HN006:CLASSIC YELLOW:7-8:GRAPHIC:SS T-SHIRT</t>
  </si>
  <si>
    <t>SS T-SHIRT SPONGEBOB IM READY SB-HN006:CLASSIC YELLOW:9-10:GRAPHIC:SS T-SHIRT</t>
  </si>
  <si>
    <t>SS T-SHIRT SPONGEBOB IM READY SB-HN006:CLASSIC YELLOW:11-12:GRAPHIC:SS T-SHIRT</t>
  </si>
  <si>
    <t>SS T-SHIRT SPONGEBOB IM READY SB-HN006:CLASSIC YELLOW:13-14:GRAPHIC:SS T-SHIRT</t>
  </si>
  <si>
    <t>TSSPMBN</t>
  </si>
  <si>
    <t>SS T-SHIRT SPONGEBOB BEACH TSSPMBN:NAVY BLUE:4:GRAPHIC:SS T-SHIRT</t>
  </si>
  <si>
    <t>SS T-SHIRT SPONGEBOB BEACH TSSPMBN:NAVY BLUE:5:GRAPHIC:SS T-SHIRT</t>
  </si>
  <si>
    <t>SS T-SHIRT SPONGEBOB BEACH TSSPMBN:NAVY BLUE:6:GRAPHIC:SS T-SHIRT</t>
  </si>
  <si>
    <t>SS T-SHIRT SPONGEBOB BEACH TSSPMBN:NAVY BLUE:7-8:GRAPHIC:SS T-SHIRT</t>
  </si>
  <si>
    <t>SS T-SHIRT SPONGEBOB BEACH TSSPMBN:NAVY BLUE:9-10:GRAPHIC:SS T-SHIRT</t>
  </si>
  <si>
    <t>SS T-SHIRT SPONGEBOB BEACH TSSPMBN:NAVY BLUE:11-12:GRAPHIC:SS T-SHIRT</t>
  </si>
  <si>
    <t>SS T-SHIRT SPONGEBOB BEACH TSSPMBN:NAVY BLUE:13-14:GRAPHIC:SS T-SHIRT</t>
  </si>
  <si>
    <t>SB-HN14</t>
  </si>
  <si>
    <t>SS T-SHIRT SPONGEBOB LIFE MOVIE SB-HN14:NAVY BLUE:4:GRAPHIC:SS T-SHIRT</t>
  </si>
  <si>
    <t>SS T-SHIRT SPONGEBOB LIFE MOVIE SB-HN14:NAVY BLUE:5:GRAPHIC:SS T-SHIRT</t>
  </si>
  <si>
    <t>SS T-SHIRT SPONGEBOB LIFE MOVIE SB-HN14:NAVY BLUE:6:GRAPHIC:SS T-SHIRT</t>
  </si>
  <si>
    <t>SS T-SHIRT SPONGEBOB LIFE MOVIE SB-HN14:NAVY BLUE:7-8:GRAPHIC:SS T-SHIRT</t>
  </si>
  <si>
    <t>SS T-SHIRT SPONGEBOB LIFE MOVIE SB-HN14:NAVY BLUE:9-10:GRAPHIC:SS T-SHIRT</t>
  </si>
  <si>
    <t>SS T-SHIRT SPONGEBOB LIFE MOVIE SB-HN14:NAVY BLUE:11-12:GRAPHIC:SS T-SHIRT</t>
  </si>
  <si>
    <t>SS T-SHIRT SPONGEBOB LIFE MOVIE SB-HN14:NAVY BLUE:13-14:GRAPHIC:SS T-SHIRT</t>
  </si>
  <si>
    <t>SB-HN13</t>
  </si>
  <si>
    <t>SS T-SHIRT SPONGEBOB MOVIE TEAMS SB-HN13:WHITE:4:GRAPHIC:SS T-SHIRT</t>
  </si>
  <si>
    <t>SS T-SHIRT SPONGEBOB MOVIE TEAMS SB-HN13:WHITE:5:GRAPHIC:SS T-SHIRT</t>
  </si>
  <si>
    <t>SS T-SHIRT SPONGEBOB MOVIE TEAMS SB-HN13:WHITE:6:GRAPHIC:SS T-SHIRT</t>
  </si>
  <si>
    <t>SS T-SHIRT SPONGEBOB MOVIE TEAMS SB-HN13:WHITE:7-8:GRAPHIC:SS T-SHIRT</t>
  </si>
  <si>
    <t>SS T-SHIRT SPONGEBOB MOVIE TEAMS SB-HN13:WHITE:9-10:GRAPHIC:SS T-SHIRT</t>
  </si>
  <si>
    <t>SS T-SHIRT SPONGEBOB MOVIE TEAMS SB-HN13:WHITE:11-12:GRAPHIC:SS T-SHIRT</t>
  </si>
  <si>
    <t>SS T-SHIRT SPONGEBOB MOVIE TEAMS SB-HN13:WHITE:13-14:GRAPHIC:SS T-SHIRT</t>
  </si>
  <si>
    <t>SBHN15</t>
  </si>
  <si>
    <t>SHORT PANTS KNIT SPONGEBOB MOVIE LOGO SBHN15:BLACK:4:GRAPHIC:SHORT PANTS</t>
  </si>
  <si>
    <t>SHORT PANTS KNIT SPONGEBOB MOVIE LOGO SBHN15:BLACK:5:GRAPHIC:SHORT PANTS</t>
  </si>
  <si>
    <t>SHORT PANTS KNIT SPONGEBOB MOVIE LOGO SBHN15:BLACK:6:GRAPHIC:SHORT PANTS</t>
  </si>
  <si>
    <t>SHORT PANTS KNIT SPONGEBOB MOVIE LOGO SBHN15:BLACK:7-8:GRAPHIC:SHORT PANTS</t>
  </si>
  <si>
    <t>SHORT PANTS KNIT SPONGEBOB MOVIE LOGO SBHN15:BLACK:9-10:GRAPHIC:SHORT PANTS</t>
  </si>
  <si>
    <t>SHORT PANTS KNIT SPONGEBOB MOVIE LOGO SBHN15:BLACK:11-12:GRAPHIC:SHORT PANTS</t>
  </si>
  <si>
    <t>SHORT PANTS KNIT SPONGEBOB MOVIE LOGO SBHN15:BLACK:13-14:GRAPHIC:SHORT PANTS</t>
  </si>
  <si>
    <t>SB-HN011</t>
  </si>
  <si>
    <t>JOGGER KNIT SPONGEBOB TEAMS SB-HN011:BLACK:4:GRAPHIC:JOGGER</t>
  </si>
  <si>
    <t>JOGGER KNIT SPONGEBOB TEAMS SB-HN011:BLACK:5:GRAPHIC:JOGGER</t>
  </si>
  <si>
    <t>JOGGER KNIT SPONGEBOB TEAMS SB-HN011:BLACK:6:GRAPHIC:JOGGER</t>
  </si>
  <si>
    <t>JOGGER KNIT SPONGEBOB TEAMS SB-HN011:BLACK:7-8:GRAPHIC:JOGGER</t>
  </si>
  <si>
    <t>JOGGER KNIT SPONGEBOB TEAMS SB-HN011:BLACK:9-10:GRAPHIC:JOGGER</t>
  </si>
  <si>
    <t>JOGGER KNIT SPONGEBOB TEAMS SB-HN011:BLACK:11-12:GRAPHIC:JOGGER</t>
  </si>
  <si>
    <t>JOGGER KNIT SPONGEBOB TEAMS SB-HN011:BLACK:13-14:GRAPHIC:JOGGER</t>
  </si>
  <si>
    <t>TJ-HR119</t>
  </si>
  <si>
    <t>SHORT PANTS KNIT TOM AND JERRY LOGO TJ-HR119:PASTEL BLUE:4:GRAPHIC:SHORT PANTS</t>
  </si>
  <si>
    <t>SHORT PANTS KNIT TOM AND JERRY LOGO TJ-HR119:PASTEL BLUE:5:GRAPHIC:SHORT PANTS</t>
  </si>
  <si>
    <t>SHORT PANTS KNIT TOM AND JERRY LOGO TJ-HR119:PASTEL BLUE:6:GRAPHIC:SHORT PANTS</t>
  </si>
  <si>
    <t>SHORT PANTS KNIT TOM AND JERRY LOGO TJ-HR119:PASTEL BLUE:7-8:GRAPHIC:SHORT PANTS</t>
  </si>
  <si>
    <t>SHORT PANTS KNIT TOM AND JERRY LOGO TJ-HR119:PASTEL BLUE:9-10:GRAPHIC:SHORT PANTS</t>
  </si>
  <si>
    <t>SHORT PANTS KNIT TOM AND JERRY LOGO TJ-HR119:PASTEL BLUE:11-12:GRAPHIC:SHORT PANTS</t>
  </si>
  <si>
    <t>SHORT PANTS KNIT TOM AND JERRY LOGO TJ-HR119:PASTEL BLUE:13-14:GRAPHIC:SHORT PANTS</t>
  </si>
  <si>
    <t>GBAT-3</t>
  </si>
  <si>
    <t>SHORT PANTS BATMAN CARGO LOGO GBAT-3:KHAKI:4:EMBRO:SHORT PANTS</t>
  </si>
  <si>
    <t>SHORT PANTS BATMAN CARGO LOGO GBAT-3:KHAKI:5:EMBRO:SHORT PANTS</t>
  </si>
  <si>
    <t>SHORT PANTS BATMAN CARGO LOGO GBAT-3:KHAKI:6:EMBRO:SHORT PANTS</t>
  </si>
  <si>
    <t>SHORT PANTS BATMAN CARGO LOGO GBAT-3:KHAKI:7-8:EMBRO:SHORT PANTS</t>
  </si>
  <si>
    <t>SHORT PANTS BATMAN CARGO LOGO GBAT-3:KHAKI:9-10:EMBRO:SHORT PANTS</t>
  </si>
  <si>
    <t>SHORT PANTS BATMAN CARGO LOGO GBAT-3:KHAKI:11-12:EMBRO:SHORT PANTS</t>
  </si>
  <si>
    <t>SHORT PANTS BATMAN CARGO LOGO GBAT-3:KHAKI:13-14:EMBRO:SHORT PANTS</t>
  </si>
  <si>
    <t>BAT-BB12</t>
  </si>
  <si>
    <t>JOGGER KNIT BATMAN LOGO LIS SAMPING BAT-BB12:BLACK:4:GRAPHIC:JOGGER</t>
  </si>
  <si>
    <t>JOGGER KNIT BATMAN LOGO LIS SAMPING BAT-BB12:BLACK:5:GRAPHIC:JOGGER</t>
  </si>
  <si>
    <t>JOGGER KNIT BATMAN LOGO LIS SAMPING BAT-BB12:BLACK:6:GRAPHIC:JOGGER</t>
  </si>
  <si>
    <t>JOGGER KNIT BATMAN LOGO LIS SAMPING BAT-BB12:BLACK:7-8:GRAPHIC:JOGGER</t>
  </si>
  <si>
    <t>JOGGER KNIT BATMAN LOGO LIS SAMPING BAT-BB12:BLACK:9-10:GRAPHIC:JOGGER</t>
  </si>
  <si>
    <t>JOGGER KNIT BATMAN LOGO LIS SAMPING BAT-BB12:BLACK:11-12:GRAPHIC:JOGGER</t>
  </si>
  <si>
    <t>JOGGER KNIT BATMAN LOGO LIS SAMPING BAT-BB12:BLACK:13-14:GRAPHIC:JOGGER</t>
  </si>
  <si>
    <t>HR-110</t>
  </si>
  <si>
    <t>SWEATER HOODY SUPERMAN AUTH C HR-110:NAVY BLUE:7-8:GRAPHIC:SWEATER</t>
  </si>
  <si>
    <t>SWEATER HOODY SUPERMAN AUTH C HR-110:NAVY BLUE:9-10:GRAPHIC:SWEATER</t>
  </si>
  <si>
    <t>SWEATER HOODY SUPERMAN AUTH C HR-110:NAVY BLUE:11-12:GRAPHIC:SWEATER</t>
  </si>
  <si>
    <t>SWEATER HOODY SUPERMAN AUTH C HR-110:NAVY BLUE:13-14:GRAPHIC:SWEATER</t>
  </si>
  <si>
    <t>HR093</t>
  </si>
  <si>
    <t>SWEATSHIRT BATMAN LOGO DPN HR093:WHITE:4:EMBRO:SWEATSHIRT</t>
  </si>
  <si>
    <t>SWEATSHIRT BATMAN LOGO DPN HR093:WHITE:5:EMBRO:SWEATSHIRT</t>
  </si>
  <si>
    <t>SWEATSHIRT BATMAN LOGO DPN HR093:WHITE:6:EMBRO:SWEATSHIRT</t>
  </si>
  <si>
    <t>SWEATSHIRT BATMAN LOGO DPN HR093:WHITE:7-8:EMBRO:SWEATSHIRT</t>
  </si>
  <si>
    <t>SWEATSHIRT BATMAN LOGO DPN HR093:WHITE:9-10:EMBRO:SWEATSHIRT</t>
  </si>
  <si>
    <t>SWEATSHIRT BATMAN LOGO DPN HR093:WHITE:11-12:EMBRO:SWEATSHIRT</t>
  </si>
  <si>
    <t>SWEATSHIRT BATMAN LOGO DPN HR093:WHITE:13-14:EMBRO:SWEATSHIRT</t>
  </si>
  <si>
    <t>HN007</t>
  </si>
  <si>
    <t>JACKET KNIT BATMAN LOGO DPN HN007:BLACK:4:EMBRO:JACKET</t>
  </si>
  <si>
    <t>JACKET KNIT BATMAN LOGO DPN HN007:BLACK:5:EMBRO:JACKET</t>
  </si>
  <si>
    <t>JACKET KNIT BATMAN LOGO DPN HN007:BLACK:6:EMBRO:JACKET</t>
  </si>
  <si>
    <t>JACKET KNIT BATMAN LOGO DPN HN007:BLACK:7-8:EMBRO:JACKET</t>
  </si>
  <si>
    <t>JACKET KNIT BATMAN LOGO DPN HN007:BLACK:9-10:EMBRO:JACKET</t>
  </si>
  <si>
    <t>JACKET KNIT BATMAN LOGO DPN HN007:BLACK:11-12:EMBRO:JACKET</t>
  </si>
  <si>
    <t>JACKET KNIT BATMAN LOGO DPN HN007:BLACK:13-14:EMBRO:JACKET</t>
  </si>
  <si>
    <t>JKTSPMB1</t>
  </si>
  <si>
    <t>SWEATER HOODY SPONGEBOB LOGO BLKG JKTSPMB 1:NAVY BLUE:4:GRAPHIC:SWEATER</t>
  </si>
  <si>
    <t>SWEATER HOODY SPONGEBOB LOGO BLKG JKTSPMB 1:NAVY BLUE:5:GRAPHIC:SWEATER</t>
  </si>
  <si>
    <t>SWEATER HOODY SPONGEBOB LOGO BLKG JKTSPMB 1:NAVY BLUE:6:GRAPHIC:SWEATER</t>
  </si>
  <si>
    <t>SWEATER HOODY SPONGEBOB LOGO BLKG JKTSPMB 1:NAVY BLUE:7-8:GRAPHIC:SWEATER</t>
  </si>
  <si>
    <t>SWEATER HOODY SPONGEBOB LOGO BLKG JKTSPMB 1:NAVY BLUE:9-10:GRAPHIC:SWEATER</t>
  </si>
  <si>
    <t>SWEATER HOODY SPONGEBOB LOGO BLKG JKTSPMB 1:NAVY BLUE:11-12:GRAPHIC:SWEATER</t>
  </si>
  <si>
    <t>SWEATER HOODY SPONGEBOB LOGO BLKG JKTSPMB 1:NAVY BLUE:13-14:GRAPHIC:SWEATER</t>
  </si>
  <si>
    <t>W08</t>
  </si>
  <si>
    <t>SHORT PANTS KNIT BATMAN LOGO HD W08:FROST GREY:4:GRAPHIC:SHORT PANTS</t>
  </si>
  <si>
    <t>SHORT PANTS KNIT BATMAN LOGO HD W08:FROST GREY:5:GRAPHIC:SHORT PANTS</t>
  </si>
  <si>
    <t>SHORT PANTS KNIT BATMAN LOGO HD W08:FROST GREY:6:GRAPHIC:SHORT PANTS</t>
  </si>
  <si>
    <t>SHORT PANTS KNIT BATMAN LOGO HD W08:FROST GREY:7-8:GRAPHIC:SHORT PANTS</t>
  </si>
  <si>
    <t>SHORT PANTS KNIT BATMAN LOGO HD W08:FROST GREY:9-10:GRAPHIC:SHORT PANTS</t>
  </si>
  <si>
    <t>SHORT PANTS KNIT BATMAN LOGO HD W08:FROST GREY:11-12:GRAPHIC:SHORT PANTS</t>
  </si>
  <si>
    <t>SHORT PANTS KNIT BATMAN LOGO HD W08:FROST GREY:13-14:GRAPHIC:SHORT PANTS</t>
  </si>
  <si>
    <t>HN006</t>
  </si>
  <si>
    <t>JOGGER BATMAN CARGO HN006:BLACK:4:GRAPHIC:JOGGER</t>
  </si>
  <si>
    <t>JOGGER BATMAN CARGO HN006:BLACK:5:GRAPHIC:JOGGER</t>
  </si>
  <si>
    <t>JOGGER BATMAN CARGO HN006:BLACK:6:GRAPHIC:JOGGER</t>
  </si>
  <si>
    <t>JOGGER BATMAN CARGO HN006:BLACK:7-8:GRAPHIC:JOGGER</t>
  </si>
  <si>
    <t>JOGGER BATMAN CARGO HN006:BLACK:9-10:GRAPHIC:JOGGER</t>
  </si>
  <si>
    <t>JOGGER BATMAN CARGO HN006:BLACK:11-12:GRAPHIC:JOGGER</t>
  </si>
  <si>
    <t>JOGGER BATMAN CARGO HN006:BLACK:13-14:GRAPHIC:JOGGER</t>
  </si>
  <si>
    <t>JOGGER BATMAN CARGO HN006:BLACK:15-16:GRAPHIC:JOGGER</t>
  </si>
  <si>
    <t>HP-HN013</t>
  </si>
  <si>
    <t>JOGGER KNIT HARRY POTTER LOGO LIS HP-HN013:NAVY BLUE:7-8:GRAPHIC:JOGGER</t>
  </si>
  <si>
    <t>JOGGER KNIT HARRY POTTER LOGO LIS HP-HN013:NAVY BLUE:9-10:GRAPHIC:JOGGER</t>
  </si>
  <si>
    <t>JOGGER KNIT HARRY POTTER LOGO LIS HP-HN013:NAVY BLUE:11-12:GRAPHIC:JOGGER</t>
  </si>
  <si>
    <t>JOGGER KNIT HARRY POTTER LOGO LIS HP-HN013:NAVY BLUE:13-14:GRAPHIC:JOGGER</t>
  </si>
  <si>
    <t>MLHR-122</t>
  </si>
  <si>
    <t>SS T-SHIRT MLBB ZILONG MLHR-122:NAVY BLUE:7-8:GRAPHIC:SS T-SHIRT</t>
  </si>
  <si>
    <t>SS T-SHIRT MLBB ZILONG MLHR-122:NAVY BLUE:9-10:GRAPHIC:SS T-SHIRT</t>
  </si>
  <si>
    <t>SS T-SHIRT MLBB ZILONG MLHR-122:NAVY BLUE:11-12:GRAPHIC:SS T-SHIRT</t>
  </si>
  <si>
    <t>SS T-SHIRT MLBB ZILONG MLHR-122:NAVY BLUE:13-14:GRAPHIC:SS T-SHIRT</t>
  </si>
  <si>
    <t>HR-105</t>
  </si>
  <si>
    <t>SS T-SHIRT SUPERMAN LOGO DPN HR-105:CLASSIC RED:7-8:GRAPHIC:SS T-SHIRT</t>
  </si>
  <si>
    <t>SS T-SHIRT SUPERMAN LOGO DPN HR-105:CLASSIC RED:9-10:GRAPHIC:SS T-SHIRT</t>
  </si>
  <si>
    <t>SS T-SHIRT SUPERMAN LOGO DPN HR-105:CLASSIC RED:11-12:GRAPHIC:SS T-SHIRT</t>
  </si>
  <si>
    <t>SS T-SHIRT SUPERMAN LOGO DPN HR-105:CLASSIC RED:13-14:GRAPHIC:SS T-SHIRT</t>
  </si>
  <si>
    <t>SS T-SHIRT SUPERMAN LOGO DPN HR-105:CLASSIC RED:15-16:GRAPHIC:SS T-SHIRT</t>
  </si>
  <si>
    <t>W088</t>
  </si>
  <si>
    <t>SHORT PANTS KNIT SUPERMAN LOGO W088:BLACK:4:GRAPHIC:SS T-SHIRT</t>
  </si>
  <si>
    <t>SHORT PANTS KNIT SUPERMAN LOGO W088:BLACK:5:GRAPHIC:SS T-SHIRT</t>
  </si>
  <si>
    <t>SHORT PANTS KNIT SUPERMAN LOGO W088:BLACK:6:GRAPHIC:SS T-SHIRT</t>
  </si>
  <si>
    <t>SHORT PANTS KNIT SUPERMAN LOGO W088:BLACK:7-8:GRAPHIC:SS T-SHIRT</t>
  </si>
  <si>
    <t>SHORT PANTS KNIT SUPERMAN LOGO W088:BLACK:9-10:GRAPHIC:SS T-SHIRT</t>
  </si>
  <si>
    <t>SHORT PANTS KNIT SUPERMAN LOGO W088:BLACK:11-12:GRAPHIC:SS T-SHIRT</t>
  </si>
  <si>
    <t>SHORT PANTS KNIT SUPERMAN LOGO W088:BLACK:13-14:GRAPHIC:SS T-SHIRT</t>
  </si>
  <si>
    <t>SHORT PANTS KNIT SUPERMAN LOGO W088:BLACK:15-16:GRAPHIC:SS T-SHIRT</t>
  </si>
  <si>
    <t>KBBTB-5</t>
  </si>
  <si>
    <t>DENIM JACKET BATMAN KBBTB-5:MEDIUM DENIM:4:EMBRO:DENIM JACKET</t>
  </si>
  <si>
    <t>DENIM JACKET BATMAN KBBTB-5:MEDIUM DENIM:5:EMBRO:DENIM JACKET</t>
  </si>
  <si>
    <t>DENIM JACKET BATMAN KBBTB-5:MEDIUM DENIM:6:EMBRO:DENIM JACKET</t>
  </si>
  <si>
    <t>DENIM JACKET BATMAN KBBTB-5:MEDIUM DENIM:7-8:EMBRO:DENIM JACKET</t>
  </si>
  <si>
    <t>DENIM JACKET BATMAN KBBTB-5:MEDIUM DENIM:9-10:EMBRO:DENIM JACKET</t>
  </si>
  <si>
    <t>DENIM JACKET BATMAN KBBTB-5:MEDIUM DENIM:11-12:EMBRO:DENIM JACKET</t>
  </si>
  <si>
    <t>DENIM JACKET BATMAN KBBTB-5:MEDIUM DENIM:13-14:EMBRO:DENIM JACKET</t>
  </si>
  <si>
    <t>DENIM JACKET BATMAN KBBTB-5:MEDIUM DENIM:15-16:EMBRO:DENIM JACKET</t>
  </si>
  <si>
    <t>2025 JUN B1G2</t>
  </si>
  <si>
    <t>SS T-SHIRT OPTIMUS ACTION LOGO TR-W08:NAVY BLUE:4:GRAPHIC:SS T-SHIRT</t>
  </si>
  <si>
    <t>SS T-SHIRT OPTIMUS ACTION LOGO TR-W08:NAVY BLUE:5:GRAPHIC:SS T-SHIRT</t>
  </si>
  <si>
    <t>SS T-SHIRT OPTIMUS ACTION LOGO TR-W08:NAVY BLUE:6:GRAPHIC:SS T-SHIRT</t>
  </si>
  <si>
    <t>SS T-SHIRT BATMAN COMIC DPN BLKG GBAT-1:WHITE:4:GRAPHIC:SS T-SHIRT</t>
  </si>
  <si>
    <t>SS T-SHIRT BATMAN COMIC DPN BLKG GBAT-1:WHITE:5:GRAPHIC:SS T-SHIRT</t>
  </si>
  <si>
    <t>SS T-SHIRT BATMAN COMIC DPN BLKG GBAT-1:WHITE:6:GRAPHIC:SS T-SHIRT</t>
  </si>
  <si>
    <t>SS T-SHIRT BATMAN COMIC DPN BLKG GBAT-1:WHITE:7-8:GRAPHIC:SS T-SHIRT</t>
  </si>
  <si>
    <t>SS T-SHIRT BATMAN COMIC DPN BLKG GBAT-1:WHITE:9-10:GRAPHIC:SS T-SHIRT</t>
  </si>
  <si>
    <t>SS T-SHIRT BATMAN COMIC DPN BLKG GBAT-1:WHITE:11-12:GRAPHIC:SS T-SHIRT</t>
  </si>
  <si>
    <t>SS T-SHIRT BATMAN COMIC DPN BLKG GBAT-1:WHITE:13-14:GRAPHIC:SS T-SHIRT</t>
  </si>
  <si>
    <t>SS T-SHIRT SUPERMAN LOGO HANDUK HN0033:CLASSIC BLUE:4:GRAPHIC:SS T-SHIRT</t>
  </si>
  <si>
    <t>SS T-SHIRT SUPERMAN LOGO HANDUK HN0033:CLASSIC BLUE:5:GRAPHIC:SS T-SHIRT</t>
  </si>
  <si>
    <t>SS T-SHIRT SUPERMAN LOGO HANDUK HN0033:CLASSIC BLUE:6:GRAPHIC:SS T-SHIRT</t>
  </si>
  <si>
    <t>SS T-SHIRT SUPERMAN LOGO HANDUK HN0033:CLASSIC BLUE:7-8:GRAPHIC:SS T-SHIRT</t>
  </si>
  <si>
    <t>SS T-SHIRT SUPERMAN LOGO HANDUK HN0033:CLASSIC BLUE:9-10:GRAPHIC:SS T-SHIRT</t>
  </si>
  <si>
    <t>SS T-SHIRT SUPERMAN LOGO HANDUK HN0033:CLASSIC BLUE:11-12:GRAPHIC:SS T-SHIRT</t>
  </si>
  <si>
    <t>SS T-SHIRT SUPERMAN LOGO HANDUK HN0033:CLASSIC BLUE:13-14:GRAPHIC:SS T-SHIRT</t>
  </si>
  <si>
    <t>SS T-SHIRT SUPERMAN PRINT BLKG HR-107:WHITE:4:GRAPHIC:SS T-SHIRT</t>
  </si>
  <si>
    <t>SS T-SHIRT SUPERMAN PRINT BLKG HR-107:WHITE:5:GRAPHIC:SS T-SHIRT</t>
  </si>
  <si>
    <t>SS T-SHIRT SUPERMAN PRINT BLKG HR-107:WHITE:6:GRAPHIC:SS T-SHIRT</t>
  </si>
  <si>
    <t>SS T-SHIRT SUPERMAN PRINT BLKG HR-107:WHITE:7-8:GRAPHIC:SS T-SHIRT</t>
  </si>
  <si>
    <t>SS T-SHIRT SUPERMAN PRINT BLKG HR-107:WHITE:9-10:GRAPHIC:SS T-SHIRT</t>
  </si>
  <si>
    <t>SS T-SHIRT SUPERMAN PRINT BLKG HR-107:WHITE:11-12:GRAPHIC:SS T-SHIRT</t>
  </si>
  <si>
    <t>SS T-SHIRT SUPERMAN PRINT BLKG HR-107:WHITE:13-14:GRAPHIC:SS T-SHIRT</t>
  </si>
  <si>
    <t>SS T-SHIRT SUPERMAN PRINT BLKG HR-107:WHITE:15-16:GRAPHIC:SS T-SHIRT</t>
  </si>
  <si>
    <t>SS T-SHIRT SUPERMAN LOGO CORE HN008:VANILLA:4:GRAPHIC:SS T-SHIRT</t>
  </si>
  <si>
    <t>SS T-SHIRT SUPERMAN LOGO CORE HN008:VANILLA:5:GRAPHIC:SS T-SHIRT</t>
  </si>
  <si>
    <t>SS T-SHIRT SUPERMAN LOGO CORE HN008:VANILLA:6:GRAPHIC:SS T-SHIRT</t>
  </si>
  <si>
    <t>SS T-SHIRT SUPERMAN LOGO CORE HN008:VANILLA:7-8:GRAPHIC:SS T-SHIRT</t>
  </si>
  <si>
    <t>SS T-SHIRT SUPERMAN LOGO CORE HN008:VANILLA:9-10:GRAPHIC:SS T-SHIRT</t>
  </si>
  <si>
    <t>SS T-SHIRT SUPERMAN LOGO CORE HN008:VANILLA:11-12:GRAPHIC:SS T-SHIRT</t>
  </si>
  <si>
    <t>SS T-SHIRT SUPERMAN LOGO CORE HN008:VANILLA:13-14:GRAPHIC:SS T-SHIRT</t>
  </si>
  <si>
    <t>SS T-SHIRT SUPERMAN LOGO CORE HN008:VANILLA:15-16:GRAPHIC:SS T-SHIRT</t>
  </si>
  <si>
    <t>HN0033</t>
  </si>
  <si>
    <t>HR-107</t>
  </si>
  <si>
    <t>HN008</t>
  </si>
  <si>
    <t>2023 ALL D90</t>
  </si>
  <si>
    <t>2020 ALL D90</t>
  </si>
  <si>
    <t>2021 ALL D90</t>
  </si>
  <si>
    <t>2022 ALL D90</t>
  </si>
  <si>
    <t>2025 MEI B1G2</t>
  </si>
  <si>
    <t>2025 JUL B1G1</t>
  </si>
  <si>
    <t>MPB-6</t>
  </si>
  <si>
    <t>MPB-7</t>
  </si>
  <si>
    <t>MPB-8</t>
  </si>
  <si>
    <t>BT-W04</t>
  </si>
  <si>
    <t>HR-144</t>
  </si>
  <si>
    <t>HR-147</t>
  </si>
  <si>
    <t>NC244SP</t>
  </si>
  <si>
    <t>HR-146</t>
  </si>
  <si>
    <t>HR-145</t>
  </si>
  <si>
    <t>HN010</t>
  </si>
  <si>
    <t>HN013</t>
  </si>
  <si>
    <t>HR-187</t>
  </si>
  <si>
    <t>JR-HN025</t>
  </si>
  <si>
    <t>HR-188</t>
  </si>
  <si>
    <t>HR-04</t>
  </si>
  <si>
    <t>HR-210</t>
  </si>
  <si>
    <t>HR-214</t>
  </si>
  <si>
    <t>HR-164</t>
  </si>
  <si>
    <t>HR-202</t>
  </si>
  <si>
    <t>GSUP-4</t>
  </si>
  <si>
    <t>CLBTM</t>
  </si>
  <si>
    <t>GSUP-5</t>
  </si>
  <si>
    <t>SS T-SHIRT BATMAN MOBILE MPB-6:BLACK:4:GRAPHIC:SS T-SHIRT</t>
  </si>
  <si>
    <t>SS T-SHIRT BATMAN MOBILE MPB-6:BLACK:5:GRAPHIC:SS T-SHIRT</t>
  </si>
  <si>
    <t>SS T-SHIRT BATMAN MOBILE MPB-6:BLACK:6:GRAPHIC:SS T-SHIRT</t>
  </si>
  <si>
    <t>SS T-SHIRT BATMAN MOBILE MPB-6:BLACK:7-8:GRAPHIC:SS T-SHIRT</t>
  </si>
  <si>
    <t>SS T-SHIRT BATMAN MOBILE MPB-6:BLACK:9-10:GRAPHIC:SS T-SHIRT</t>
  </si>
  <si>
    <t>SS T-SHIRT BATMAN MOBILE MPB-6:BLACK:11-12:GRAPHIC:SS T-SHIRT</t>
  </si>
  <si>
    <t>SS T-SHIRT BATMAN MOBILE MPB-6:BLACK:13-14:GRAPHIC:SS T-SHIRT</t>
  </si>
  <si>
    <t>SS T-SHIRT BATMAN MOBILE MPB-6:BLACK:15-16:GRAPHIC:SS T-SHIRT</t>
  </si>
  <si>
    <t>SS T-SHIRT BATMAN LOGO MPB-7:CLASSIC YELLOW:4:GRAPHIC:SS T-SHIRT</t>
  </si>
  <si>
    <t>SS T-SHIRT BATMAN LOGO MPB-7:CLASSIC YELLOW:5:GRAPHIC:SS T-SHIRT</t>
  </si>
  <si>
    <t>SS T-SHIRT BATMAN LOGO MPB-7:CLASSIC YELLOW:6:GRAPHIC:SS T-SHIRT</t>
  </si>
  <si>
    <t>SS T-SHIRT BATMAN LOGO MPB-7:CLASSIC YELLOW:7-8:GRAPHIC:SS T-SHIRT</t>
  </si>
  <si>
    <t>SS T-SHIRT BATMAN LOGO MPB-7:CLASSIC YELLOW:9-10:GRAPHIC:SS T-SHIRT</t>
  </si>
  <si>
    <t>SS T-SHIRT BATMAN LOGO MPB-7:CLASSIC YELLOW:11-12:GRAPHIC:SS T-SHIRT</t>
  </si>
  <si>
    <t>SS T-SHIRT BATMAN LOGO MPB-7:CLASSIC YELLOW:13-14:GRAPHIC:SS T-SHIRT</t>
  </si>
  <si>
    <t>SS T-SHIRT BATMAN LOGO MPB-7:CLASSIC YELLOW:15-16:GRAPHIC:SS T-SHIRT</t>
  </si>
  <si>
    <t>SS T-SHIRT BATMAN FACE MPB-8:BLACK:4:GRAPHIC:SS T-SHIRT</t>
  </si>
  <si>
    <t>SS T-SHIRT BATMAN FACE MPB-8:BLACK:5:GRAPHIC:SS T-SHIRT</t>
  </si>
  <si>
    <t>SS T-SHIRT BATMAN FACE MPB-8:BLACK:6:GRAPHIC:SS T-SHIRT</t>
  </si>
  <si>
    <t>SS T-SHIRT BATMAN FACE MPB-8:BLACK:7-8:GRAPHIC:SS T-SHIRT</t>
  </si>
  <si>
    <t>SS T-SHIRT BATMAN FACE MPB-8:BLACK:9-10:GRAPHIC:SS T-SHIRT</t>
  </si>
  <si>
    <t>SS T-SHIRT BATMAN FACE MPB-8:BLACK:11-12:GRAPHIC:SS T-SHIRT</t>
  </si>
  <si>
    <t>SS T-SHIRT BATMAN FACE MPB-8:BLACK:13-14:GRAPHIC:SS T-SHIRT</t>
  </si>
  <si>
    <t>SS T-SHIRT BATMAN FACE MPB-8:BLACK:15-16:GRAPHIC:SS T-SHIRT</t>
  </si>
  <si>
    <t>SS T-SHIRT BATMAN LOGO PRINT BLKG BT-W04:BLACK:4:GRAPHIC:SS T-SHIRT</t>
  </si>
  <si>
    <t>SS T-SHIRT BATMAN LOGO PRINT BLKG BT-W04:BLACK:5:GRAPHIC:SS T-SHIRT</t>
  </si>
  <si>
    <t>SS T-SHIRT BATMAN LOGO PRINT BLKG BT-W04:BLACK:6:GRAPHIC:SS T-SHIRT</t>
  </si>
  <si>
    <t>SS T-SHIRT BATMAN LOGO PRINT BLKG BT-W04:BLACK:7-8:GRAPHIC:SS T-SHIRT</t>
  </si>
  <si>
    <t>SS T-SHIRT BATMAN LOGO PRINT BLKG BT-W04:BLACK:9-10:GRAPHIC:SS T-SHIRT</t>
  </si>
  <si>
    <t>SS T-SHIRT BATMAN LOGO PRINT BLKG BT-W04:BLACK:11-12:GRAPHIC:SS T-SHIRT</t>
  </si>
  <si>
    <t>SS T-SHIRT BATMAN LOGO PRINT BLKG BT-W04:BLACK:13-14:GRAPHIC:SS T-SHIRT</t>
  </si>
  <si>
    <t>SS T-SHIRT BATMAN LOGO PRINT BLKG BT-W04:BLACK:15-16:GRAPHIC:SS T-SHIRT</t>
  </si>
  <si>
    <t>SS T-SHIRT BATMAN WORK KOMIK HR-144:NAVY BLUE:4:GRAPHIC:SS T-SHIRT</t>
  </si>
  <si>
    <t>SS T-SHIRT BATMAN WORK KOMIK HR-144:NAVY BLUE:5:GRAPHIC:SS T-SHIRT</t>
  </si>
  <si>
    <t>SS T-SHIRT BATMAN WORK KOMIK HR-144:NAVY BLUE:6:GRAPHIC:SS T-SHIRT</t>
  </si>
  <si>
    <t>SS T-SHIRT BATMAN WORK KOMIK HR-144:NAVY BLUE:7-8:GRAPHIC:SS T-SHIRT</t>
  </si>
  <si>
    <t>SS T-SHIRT BATMAN WORK KOMIK HR-144:NAVY BLUE:9-10:GRAPHIC:SS T-SHIRT</t>
  </si>
  <si>
    <t>SS T-SHIRT BATMAN WORK KOMIK HR-144:NAVY BLUE:11-12:GRAPHIC:SS T-SHIRT</t>
  </si>
  <si>
    <t>SS T-SHIRT BATMAN WORK KOMIK HR-144:NAVY BLUE:13-14:GRAPHIC:SS T-SHIRT</t>
  </si>
  <si>
    <t>SS T-SHIRT BATMAN WORK KOMIK HR-144:NAVY BLUE:15-16:GRAPHIC:SS T-SHIRT</t>
  </si>
  <si>
    <t>SS T-SHIRT POLO TERRY BATMAN WORK HR-147:WHITE:4:EMBRO:SS T-SHIRT</t>
  </si>
  <si>
    <t>SS T-SHIRT POLO TERRY BATMAN WORK HR-147:WHITE:5:EMBRO:SS T-SHIRT</t>
  </si>
  <si>
    <t>SS T-SHIRT POLO TERRY BATMAN WORK HR-147:WHITE:6:EMBRO:SS T-SHIRT</t>
  </si>
  <si>
    <t>SS T-SHIRT POLO TERRY BATMAN WORK HR-147:WHITE:7-8:EMBRO:SS T-SHIRT</t>
  </si>
  <si>
    <t>SS T-SHIRT POLO TERRY BATMAN WORK HR-147:WHITE:9-10:EMBRO:SS T-SHIRT</t>
  </si>
  <si>
    <t>SS T-SHIRT POLO TERRY BATMAN WORK HR-147:WHITE:11-12:EMBRO:SS T-SHIRT</t>
  </si>
  <si>
    <t>SS T-SHIRT POLO TERRY BATMAN WORK HR-147:WHITE:13-14:EMBRO:SS T-SHIRT</t>
  </si>
  <si>
    <t>SS T-SHIRT POLO TERRY BATMAN WORK HR-147:WHITE:15-16:EMBRO:SS T-SHIRT</t>
  </si>
  <si>
    <t>SS T-SHIRT BATMAN WITH WING NC244SP:MISTY DARK GREY:4:GRAPHIC:SS T-SHIRT</t>
  </si>
  <si>
    <t>SS T-SHIRT BATMAN WITH WING NC244SP:MISTY DARK GREY:5:GRAPHIC:SS T-SHIRT</t>
  </si>
  <si>
    <t>SS T-SHIRT BATMAN WITH WING NC244SP:MISTY DARK GREY:6:GRAPHIC:SS T-SHIRT</t>
  </si>
  <si>
    <t>SS T-SHIRT BATMAN WITH WING NC244SP:MISTY DARK GREY:7-8:GRAPHIC:SS T-SHIRT</t>
  </si>
  <si>
    <t>SS T-SHIRT BATMAN WITH WING NC244SP:MISTY DARK GREY:9-10:GRAPHIC:SS T-SHIRT</t>
  </si>
  <si>
    <t>SS T-SHIRT BATMAN WORK DETECTIVE HR-146:BLACK:4:GRAPHIC:SS T-SHIRT</t>
  </si>
  <si>
    <t>SS T-SHIRT BATMAN WORK DETECTIVE HR-146:BLACK:5:GRAPHIC:SS T-SHIRT</t>
  </si>
  <si>
    <t>SS T-SHIRT BATMAN WORK DETECTIVE HR-146:BLACK:6:GRAPHIC:SS T-SHIRT</t>
  </si>
  <si>
    <t>SS T-SHIRT BATMAN WORK DETECTIVE HR-146:BLACK:7-8:GRAPHIC:SS T-SHIRT</t>
  </si>
  <si>
    <t>SS T-SHIRT BATMAN WORK DETECTIVE HR-146:BLACK:9-10:GRAPHIC:SS T-SHIRT</t>
  </si>
  <si>
    <t>SS T-SHIRT BATMAN WORK DETECTIVE HR-146:BLACK:11-12:GRAPHIC:SS T-SHIRT</t>
  </si>
  <si>
    <t>SS T-SHIRT BATMAN WORK DETECTIVE HR-146:BLACK:13-14:GRAPHIC:SS T-SHIRT</t>
  </si>
  <si>
    <t>SS T-SHIRT BATMAN WORK DETECTIVE HR-146:BLACK:15-16:GRAPHIC:SS T-SHIRT</t>
  </si>
  <si>
    <t>SS T-SHIRT BATMAN WORK KTG HR-145:PASTEL GREY:4:GRAPHIC:SS T-SHIRT</t>
  </si>
  <si>
    <t>SS T-SHIRT BATMAN WORK KTG HR-145:PASTEL GREY:5:GRAPHIC:SS T-SHIRT</t>
  </si>
  <si>
    <t>SS T-SHIRT BATMAN WORK KTG HR-145:PASTEL GREY:6:GRAPHIC:SS T-SHIRT</t>
  </si>
  <si>
    <t>SS T-SHIRT BATMAN WORK KTG HR-145:PASTEL GREY:7-8:GRAPHIC:SS T-SHIRT</t>
  </si>
  <si>
    <t>SS T-SHIRT BATMAN WORK KTG HR-145:PASTEL GREY:9-10:GRAPHIC:SS T-SHIRT</t>
  </si>
  <si>
    <t>SS T-SHIRT BATMAN WORK KTG HR-145:PASTEL GREY:11-12:GRAPHIC:SS T-SHIRT</t>
  </si>
  <si>
    <t>SS T-SHIRT BATMAN WORK KTG HR-145:PASTEL GREY:13-14:GRAPHIC:SS T-SHIRT</t>
  </si>
  <si>
    <t>SS T-SHIRT BATMAN WORK KTG HR-145:PASTEL GREY:15-16:GRAPHIC:SS T-SHIRT</t>
  </si>
  <si>
    <t>SS T-SHIRT SUPERMAN POWER HN010:CLASSIC BLUE:4:GRAPHIC:SS T-SHIRT</t>
  </si>
  <si>
    <t>SS T-SHIRT SUPERMAN POWER HN010:CLASSIC BLUE:5:GRAPHIC:SS T-SHIRT</t>
  </si>
  <si>
    <t>SS T-SHIRT SUPERMAN POWER HN010:CLASSIC BLUE:6:GRAPHIC:SS T-SHIRT</t>
  </si>
  <si>
    <t>SS T-SHIRT SUPERMAN POWER HN010:CLASSIC BLUE:7-8:GRAPHIC:SS T-SHIRT</t>
  </si>
  <si>
    <t>SS T-SHIRT SUPERMAN POWER HN010:CLASSIC BLUE:9-10:GRAPHIC:SS T-SHIRT</t>
  </si>
  <si>
    <t>SS T-SHIRT SUPERMAN POWER HN010:CLASSIC BLUE:11-12:GRAPHIC:SS T-SHIRT</t>
  </si>
  <si>
    <t>SS T-SHIRT SUPERMAN POWER HN010:CLASSIC BLUE:13-14:GRAPHIC:SS T-SHIRT</t>
  </si>
  <si>
    <t>SS T-SHIRT SUPERMAN POWER HN010:CLASSIC BLUE:15-16:GRAPHIC:SS T-SHIRT</t>
  </si>
  <si>
    <t>SS T-SHIRT SUPERMAN NEWS HN013:KHAKI:4:GRAPHIC:SS T-SHIRT</t>
  </si>
  <si>
    <t>SS T-SHIRT SUPERMAN NEWS HN013:KHAKI:5:GRAPHIC:SS T-SHIRT</t>
  </si>
  <si>
    <t>SS T-SHIRT SUPERMAN NEWS HN013:KHAKI:6:GRAPHIC:SS T-SHIRT</t>
  </si>
  <si>
    <t>SS T-SHIRT SUPERMAN NEWS HN013:KHAKI:7-8:GRAPHIC:SS T-SHIRT</t>
  </si>
  <si>
    <t>SS T-SHIRT SUPERMAN NEWS HN013:KHAKI:9-10:GRAPHIC:SS T-SHIRT</t>
  </si>
  <si>
    <t>SS T-SHIRT SUPERMAN NEWS HN013:KHAKI:11-12:GRAPHIC:SS T-SHIRT</t>
  </si>
  <si>
    <t>SS T-SHIRT SUPERMAN NEWS HN013:KHAKI:13-14:GRAPHIC:SS T-SHIRT</t>
  </si>
  <si>
    <t>SS T-SHIRT SUPERMAN NEWS HN013:KHAKI:15-16:GRAPHIC:SS T-SHIRT</t>
  </si>
  <si>
    <t>SS T-SHIRT JURASSIC TEAMS - OVERSIZE HR-187:BLACK:7-8:GRAPHIC:SS T-SHIRT</t>
  </si>
  <si>
    <t>SS T-SHIRT JURASSIC TEAMS - OVERSIZE HR-187:BLACK:9-10:GRAPHIC:SS T-SHIRT</t>
  </si>
  <si>
    <t>SS T-SHIRT JURASSIC TEAMS - OVERSIZE HR-187:BLACK:11-12:GRAPHIC:SS T-SHIRT</t>
  </si>
  <si>
    <t>SS T-SHIRT JURASSIC TEAMS - OVERSIZE HR-187:BLACK:13-14:GRAPHIC:SS T-SHIRT</t>
  </si>
  <si>
    <t>SS T-SHIRT JURASSIC TEAMS - OVERSIZE HR-187:BLACK:15-16:GRAPHIC:SS T-SHIRT</t>
  </si>
  <si>
    <t>SS T-SHIRT JURASSIC BLUE JR-HN025:CHARCOAL:4:GRAPHIC:SS T-SHIRT</t>
  </si>
  <si>
    <t>SS T-SHIRT JURASSIC BLUE JR-HN025:CHARCOAL:5:GRAPHIC:SS T-SHIRT</t>
  </si>
  <si>
    <t>SS T-SHIRT JURASSIC BLUE JR-HN025:CHARCOAL:6:GRAPHIC:SS T-SHIRT</t>
  </si>
  <si>
    <t>SS T-SHIRT JURASSIC BLUE JR-HN025:CHARCOAL:7-8:GRAPHIC:SS T-SHIRT</t>
  </si>
  <si>
    <t>SS T-SHIRT JURASSIC BLUE JR-HN025:CHARCOAL:9-10:GRAPHIC:SS T-SHIRT</t>
  </si>
  <si>
    <t>SS T-SHIRT JURASSIC BLUE JR-HN025:CHARCOAL:11-12:GRAPHIC:SS T-SHIRT</t>
  </si>
  <si>
    <t>SS T-SHIRT JURASSIC BLUE JR-HN025:CHARCOAL:13-14:GRAPHIC:SS T-SHIRT</t>
  </si>
  <si>
    <t>SS T-SHIRT JURASSIC BLUE JR-HN025:CHARCOAL:15-16:GRAPHIC:SS T-SHIRT</t>
  </si>
  <si>
    <t>SS T-SHIRT JURASSIC LOGO HD HR-188:WOOD BROWN:4:GRAPHIC:SS T-SHIRT</t>
  </si>
  <si>
    <t>SS T-SHIRT JURASSIC LOGO HD HR-188:WOOD BROWN:5:GRAPHIC:SS T-SHIRT</t>
  </si>
  <si>
    <t>SS T-SHIRT JURASSIC LOGO HD HR-188:WOOD BROWN:6:GRAPHIC:SS T-SHIRT</t>
  </si>
  <si>
    <t>SS T-SHIRT JURASSIC LOGO HD HR-188:WOOD BROWN:7-8:GRAPHIC:SS T-SHIRT</t>
  </si>
  <si>
    <t>SS T-SHIRT JURASSIC LOGO HD HR-188:WOOD BROWN:9-10:GRAPHIC:SS T-SHIRT</t>
  </si>
  <si>
    <t>SS T-SHIRT JURASSIC LOGO HD HR-188:WOOD BROWN:11-12:GRAPHIC:SS T-SHIRT</t>
  </si>
  <si>
    <t>SS T-SHIRT JURASSIC LOGO HD HR-188:WOOD BROWN:13-14:GRAPHIC:SS T-SHIRT</t>
  </si>
  <si>
    <t>SS T-SHIRT JURASSIC LOGO HD HR-188:WOOD BROWN:15-16:GRAPHIC:SS T-SHIRT</t>
  </si>
  <si>
    <t>SS T-SHIRT MLBB ALDOUS FIRE HR-04:CHARCOAL:7-8:GRAPHIC:SS T-SHIRT</t>
  </si>
  <si>
    <t>SS T-SHIRT MLBB ALDOUS FIRE HR-04:CHARCOAL:9-10:GRAPHIC:SS T-SHIRT</t>
  </si>
  <si>
    <t>SS T-SHIRT MLBB ALDOUS FIRE HR-04:CHARCOAL:11-12:GRAPHIC:SS T-SHIRT</t>
  </si>
  <si>
    <t>SS T-SHIRT MLBB ALDOUS FIRE HR-04:CHARCOAL:13-14:GRAPHIC:SS T-SHIRT</t>
  </si>
  <si>
    <t>SS T-SHIRT MLBB ALDOUS FIRE HR-04:CHARCOAL:15-16:GRAPHIC:SS T-SHIRT</t>
  </si>
  <si>
    <t>SS T-SHIRT MLBB HAYABUSA HR-210:ALMOND:7-8:GRAPHIC:SS T-SHIRT</t>
  </si>
  <si>
    <t>SS T-SHIRT MLBB HAYABUSA HR-210:ALMOND:9-10:GRAPHIC:SS T-SHIRT</t>
  </si>
  <si>
    <t>SS T-SHIRT MLBB HAYABUSA HR-210:ALMOND:11-12:GRAPHIC:SS T-SHIRT</t>
  </si>
  <si>
    <t>SS T-SHIRT MLBB HAYABUSA HR-210:ALMOND:13-14:GRAPHIC:SS T-SHIRT</t>
  </si>
  <si>
    <t>SS T-SHIRT MLBB HAYABUSA HR-210:ALMOND:15-16:GRAPHIC:SS T-SHIRT</t>
  </si>
  <si>
    <t>SS T-SHIRT MLBB JOHNSON BLKG HR-214:NAVY BLUE:7-8:GRAPHIC:SS T-SHIRT</t>
  </si>
  <si>
    <t>SS T-SHIRT MLBB JOHNSON BLKG HR-214:NAVY BLUE:9-10:GRAPHIC:SS T-SHIRT</t>
  </si>
  <si>
    <t>SS T-SHIRT MLBB JOHNSON BLKG HR-214:NAVY BLUE:11-12:GRAPHIC:SS T-SHIRT</t>
  </si>
  <si>
    <t>SS T-SHIRT MLBB JOHNSON BLKG HR-214:NAVY BLUE:13-14:GRAPHIC:SS T-SHIRT</t>
  </si>
  <si>
    <t>SS T-SHIRT MLBB JOHNSON BLKG HR-214:NAVY BLUE:15-16:GRAPHIC:SS T-SHIRT</t>
  </si>
  <si>
    <t>SS T-SHIRT TS BATMAN ACTION KICK HR-164:NAVY BLUE:4:GRAPHIC:SS T-SHIRT</t>
  </si>
  <si>
    <t>SS T-SHIRT TS BATMAN ACTION KICK HR-164:NAVY BLUE:5:GRAPHIC:SS T-SHIRT</t>
  </si>
  <si>
    <t>SS T-SHIRT TS BATMAN ACTION KICK HR-164:NAVY BLUE:6:GRAPHIC:SS T-SHIRT</t>
  </si>
  <si>
    <t>SS T-SHIRT TS BATMAN ACTION KICK HR-164:NAVY BLUE:7-8:GRAPHIC:SS T-SHIRT</t>
  </si>
  <si>
    <t>SS T-SHIRT TS BATMAN ACTION KICK HR-164:NAVY BLUE:9-10:GRAPHIC:SS T-SHIRT</t>
  </si>
  <si>
    <t>SS T-SHIRT TS BATMAN ACTION KICK HR-164:NAVY BLUE:11-12:GRAPHIC:SS T-SHIRT</t>
  </si>
  <si>
    <t>SS T-SHIRT TS BATMAN ACTION KICK HR-164:NAVY BLUE:13-14:GRAPHIC:SS T-SHIRT</t>
  </si>
  <si>
    <t>SS T-SHIRT TS BATMAN ACTION KICK HR-164:NAVY BLUE:15-16:GRAPHIC:SS T-SHIRT</t>
  </si>
  <si>
    <t>SS T-SHIRT TS BATMAN LOGO TULISAN HR-202:DEEP SEA:4:GRAPHIC:SS T-SHIRT</t>
  </si>
  <si>
    <t>SS T-SHIRT TS BATMAN LOGO TULISAN HR-202:DEEP SEA:5:GRAPHIC:SS T-SHIRT</t>
  </si>
  <si>
    <t>SS T-SHIRT TS BATMAN LOGO TULISAN HR-202:DEEP SEA:6:GRAPHIC:SS T-SHIRT</t>
  </si>
  <si>
    <t>SS T-SHIRT TS BATMAN LOGO TULISAN HR-202:DEEP SEA:7-8:GRAPHIC:SS T-SHIRT</t>
  </si>
  <si>
    <t>SS T-SHIRT TS BATMAN LOGO TULISAN HR-202:DEEP SEA:9-10:GRAPHIC:SS T-SHIRT</t>
  </si>
  <si>
    <t>SS T-SHIRT TS BATMAN LOGO TULISAN HR-202:DEEP SEA:11-12:GRAPHIC:SS T-SHIRT</t>
  </si>
  <si>
    <t>SS T-SHIRT TS BATMAN LOGO TULISAN HR-202:DEEP SEA:13-14:GRAPHIC:SS T-SHIRT</t>
  </si>
  <si>
    <t>SS T-SHIRT TS BATMAN LOGO TULISAN HR-202:DEEP SEA:15-16:GRAPHIC:SS T-SHIRT</t>
  </si>
  <si>
    <t>SWEATER SUPERMAN LOGO EMBOSS GSUP-4:CLASSIC BLUE:4:EMBOS:SWEATER</t>
  </si>
  <si>
    <t>SWEATER SUPERMAN LOGO EMBOSS GSUP-4:CLASSIC BLUE:5:EMBOS:SWEATER</t>
  </si>
  <si>
    <t>SWEATER SUPERMAN LOGO EMBOSS GSUP-4:CLASSIC BLUE:6:EMBOS:SWEATER</t>
  </si>
  <si>
    <t>SWEATER SUPERMAN LOGO EMBOSS GSUP-4:CLASSIC BLUE:7-8:EMBOS:SWEATER</t>
  </si>
  <si>
    <t>SWEATER SUPERMAN LOGO EMBOSS GSUP-4:CLASSIC BLUE:9-10:EMBOS:SWEATER</t>
  </si>
  <si>
    <t>SWEATER SUPERMAN LOGO EMBOSS GSUP-4:CLASSIC BLUE:11-12:EMBOS:SWEATER</t>
  </si>
  <si>
    <t>SWEATER SUPERMAN LOGO EMBOSS GSUP-4:CLASSIC BLUE:13-14:EMBOS:SWEATER</t>
  </si>
  <si>
    <t>LONG PANTS CARGO PARASUT BATMAN CLBTM:FROST GREY:4:SOLID:LONG PANTS</t>
  </si>
  <si>
    <t>LONG PANTS CARGO PARASUT BATMAN CLBTM:FROST GREY:5:SOLID:LONG PANTS</t>
  </si>
  <si>
    <t>LONG PANTS CARGO PARASUT BATMAN CLBTM:FROST GREY:6:SOLID:LONG PANTS</t>
  </si>
  <si>
    <t>LONG PANTS CARGO PARASUT BATMAN CLBTM:FROST GREY:7-8:SOLID:LONG PANTS</t>
  </si>
  <si>
    <t>LONG PANTS CARGO PARASUT BATMAN CLBTM:FROST GREY:9-10:SOLID:LONG PANTS</t>
  </si>
  <si>
    <t>LONG PANTS CARGO PARASUT BATMAN CLBTM:FROST GREY:11-12:SOLID:LONG PANTS</t>
  </si>
  <si>
    <t>LONG PANTS CARGO PARASUT BATMAN CLBTM:FROST GREY:13-14:SOLID:LONG PANTS</t>
  </si>
  <si>
    <t>LONG PANTS CARGO PARASUT BATMAN CLBTM:FROST GREY:15-16:SOLID:LONG PANTS</t>
  </si>
  <si>
    <t>JOGGER SUPERMAN LOGO CARGO GSUP-5:CLASSIC BLUE:4:EMBRO:JOGGER</t>
  </si>
  <si>
    <t>JOGGER SUPERMAN LOGO CARGO GSUP-5:CLASSIC BLUE:5:EMBRO:JOGGER</t>
  </si>
  <si>
    <t>JOGGER SUPERMAN LOGO CARGO GSUP-5:CLASSIC BLUE:6:EMBRO:JOGGER</t>
  </si>
  <si>
    <t>JOGGER SUPERMAN LOGO CARGO GSUP-5:CLASSIC BLUE:7-8:EMBRO:JOGGER</t>
  </si>
  <si>
    <t>JOGGER SUPERMAN LOGO CARGO GSUP-5:CLASSIC BLUE:9-10:EMBRO:JOGGER</t>
  </si>
  <si>
    <t>JOGGER SUPERMAN LOGO CARGO GSUP-5:CLASSIC BLUE:11-12:EMBRO:JOGGER</t>
  </si>
  <si>
    <t>JOGGER SUPERMAN LOGO CARGO GSUP-5:CLASSIC BLUE:13-14:EMBRO:JOGGER</t>
  </si>
  <si>
    <t>2025 AUG B1G1</t>
  </si>
  <si>
    <t>2025 SEPT B1 D30</t>
  </si>
  <si>
    <t>2024 JAN-JUN D70</t>
  </si>
  <si>
    <t>2024 JUL-SEPT B1G2</t>
  </si>
  <si>
    <t>2024 NOV-DEC B1G2</t>
  </si>
  <si>
    <t>B3 DISC 10%</t>
  </si>
  <si>
    <t>2025 OCT - DEC B3D10</t>
  </si>
  <si>
    <t>2026 JAN - FEB B3D10</t>
  </si>
  <si>
    <t>KBBTM-2</t>
  </si>
  <si>
    <t>SS KOKO MOTIF BATMAN KBBTM-2:WHITE:4:GRAPHIC:SS KOKO</t>
  </si>
  <si>
    <t>SS KOKO MOTIF BATMAN KBBTM-2:WHITE:5:GRAPHIC:SS KOKO</t>
  </si>
  <si>
    <t>SS KOKO MOTIF BATMAN KBBTM-2:WHITE:6:GRAPHIC:SS KOKO</t>
  </si>
  <si>
    <t>SS KOKO MOTIF BATMAN KBBTM-2:WHITE:7-8:GRAPHIC:SS KOKO</t>
  </si>
  <si>
    <t>SS KOKO MOTIF BATMAN KBBTM-2:WHITE:9-10:GRAPHIC:SS KOKO</t>
  </si>
  <si>
    <t>SS KOKO MOTIF BATMAN KBBTM-2:WHITE:11-12:GRAPHIC:SS KOKO</t>
  </si>
  <si>
    <t>SS KOKO MOTIF BATMAN KBBTM-2:WHITE:13-14:GRAPHIC:SS KOKO</t>
  </si>
  <si>
    <t>SS KOKO MOTIF BATMAN KBBTM-2:WHITE:15-16:GRAPHIC:SS KOKO</t>
  </si>
  <si>
    <t>KBBTM-6</t>
  </si>
  <si>
    <t>SS KOKO MOTIF CAPT FKMB-19:PASTEL GREEN:4:GRAPHIC:SS KOKO</t>
  </si>
  <si>
    <t>SS KOKO MOTIF CAPT FKMB-19:PASTEL GREEN:5:GRAPHIC:SS KOKO</t>
  </si>
  <si>
    <t>SS KOKO MOTIF CAPT FKMB-19:PASTEL GREEN:6:GRAPHIC:SS KOKO</t>
  </si>
  <si>
    <t>SS KOKO MOTIF CAPT FKMB-19:PASTEL GREEN:7-8:GRAPHIC:SS KOKO</t>
  </si>
  <si>
    <t>SS KOKO MOTIF CAPT FKMB-19:PASTEL GREEN:9-10:GRAPHIC:SS KOKO</t>
  </si>
  <si>
    <t>SS KOKO MOTIF CAPT FKMB-19:PASTEL GREEN:11-12:GRAPHIC:SS KOKO</t>
  </si>
  <si>
    <t>SS KOKO MOTIF CAPT FKMB-19:PASTEL GREEN:13-14:GRAPHIC:SS KOKO</t>
  </si>
  <si>
    <t>SS KOKO MOTIF CAPT FKMB-19:PASTEL GREEN:15-16:GRAPHIC:SS KOKO</t>
  </si>
  <si>
    <t>2026 HILITE B1 D20 B2G1</t>
  </si>
  <si>
    <t>FKBTB-4</t>
  </si>
  <si>
    <t>SS KOKO BATMAN PATCH FKBTB-4:DARK GREY:4:EMBRO:SS KOKO</t>
  </si>
  <si>
    <t>B1 DISC 20% B2G1</t>
  </si>
  <si>
    <t>FKBTB-6</t>
  </si>
  <si>
    <t>LS KOKO LOGO BATMAN FKBTB-6:WHITE:4:EMBRO:LS KOKO</t>
  </si>
  <si>
    <t>LS KOKO LOGO BATMAN FKBTB-6:WHITE:5:EMBRO:LS KOKO</t>
  </si>
  <si>
    <t>LS KOKO LOGO BATMAN FKBTB-6:WHITE:6:EMBRO:LS KOKO</t>
  </si>
  <si>
    <t>LS KOKO LOGO BATMAN FKBTB-6:WHITE:7-8:EMBRO:LS KOKO</t>
  </si>
  <si>
    <t>LS KOKO LOGO BATMAN FKBTB-6:WHITE:9-10:EMBRO:LS KOKO</t>
  </si>
  <si>
    <t>LS KOKO LOGO BATMAN FKBTB-6:WHITE:11-12:EMBRO:LS KOKO</t>
  </si>
  <si>
    <t>LS KOKO LOGO BATMAN FKBTB-6:WHITE:13-14:EMBRO:LS KOKO</t>
  </si>
  <si>
    <t>LS KOKO LOGO BATMAN FKBTB-6:WHITE:15-16:EMBRO:LS KOKO</t>
  </si>
  <si>
    <t>KBBTM</t>
  </si>
  <si>
    <t>SS KOKO TEXTURE BATMAN KBBTM:WHITE:4:STRIPES:SS KOKO</t>
  </si>
  <si>
    <t>SS KOKO TEXTURE BATMAN KBBTM:WHITE:5:STRIPES:SS KOKO</t>
  </si>
  <si>
    <t>SS KOKO TEXTURE BATMAN KBBTM:WHITE:6:STRIPES:SS KOKO</t>
  </si>
  <si>
    <t>SS KOKO TEXTURE BATMAN KBBTM:WHITE:7-8:STRIPES:SS KOKO</t>
  </si>
  <si>
    <t>SS KOKO TEXTURE BATMAN KBBTM:WHITE:9-10:STRIPES:SS KOKO</t>
  </si>
  <si>
    <t>SS KOKO TEXTURE BATMAN KBBTM:WHITE:11-12:STRIPES:SS KOKO</t>
  </si>
  <si>
    <t>SS KOKO TEXTURE BATMAN KBBTM:WHITE:13-14:STRIPES:SS KOKO</t>
  </si>
  <si>
    <t>SS KOKO TEXTURE BATMAN KBBTM:WHITE:15-16:STRIPES:SS KOKO</t>
  </si>
  <si>
    <t>KBBTM-05</t>
  </si>
  <si>
    <t>SS SHIRT FULLPRINT BATMAN KBBTM-05:CHARCOAL:7-8:GRAPHIC:SS SHIRT</t>
  </si>
  <si>
    <t>SS SHIRT FULLPRINT BATMAN KBBTM-05:CHARCOAL:9-10:GRAPHIC:SS SHIRT</t>
  </si>
  <si>
    <t>SS SHIRT FULLPRINT BATMAN KBBTM-05:CHARCOAL:11-12:GRAPHIC:SS SHIRT</t>
  </si>
  <si>
    <t>SS SHIRT FULLPRINT BATMAN KBBTM-05:CHARCOAL:13-14:GRAPHIC:SS SHIRT</t>
  </si>
  <si>
    <t>SS SHIRT FULLPRINT BATMAN KBBTM-05:CHARCOAL:15-16:GRAPHIC:SS SHIRT</t>
  </si>
  <si>
    <t>KBBTM-09</t>
  </si>
  <si>
    <t>SS SHIRT DENIM BATMAN KBBTM-09:CLASSIC BLUE:4:EMBRO:SS SHIRT</t>
  </si>
  <si>
    <t>SS SHIRT DENIM BATMAN KBBTM-09:CLASSIC BLUE:5:EMBRO:SS SHIRT</t>
  </si>
  <si>
    <t>SS SHIRT DENIM BATMAN KBBTM-09:CLASSIC BLUE:6:EMBRO:SS SHIRT</t>
  </si>
  <si>
    <t>SS SHIRT DENIM BATMAN KBBTM-09:CLASSIC BLUE:7-8:EMBRO:SS SHIRT</t>
  </si>
  <si>
    <t>SS SHIRT DENIM BATMAN KBBTM-09:CLASSIC BLUE:9-10:EMBRO:SS SHIRT</t>
  </si>
  <si>
    <t>SS SHIRT DENIM BATMAN KBBTM-09:CLASSIC BLUE:11-12:EMBRO:SS SHIRT</t>
  </si>
  <si>
    <t>SS SHIRT DENIM BATMAN KBBTM-09:CLASSIC BLUE:13-14:EMBRO:SS SHIRT</t>
  </si>
  <si>
    <t>SS SHIRT DENIM BATMAN KBBTM-09:CLASSIC BLUE:15-16:EMBRO:SS SHIRT</t>
  </si>
  <si>
    <t>KBBTM-4</t>
  </si>
  <si>
    <t>SHORT PANTS CARGO PARASUT BATMAN KBBTM-4:KHAKI:4:EMBRO:LONG PANTS</t>
  </si>
  <si>
    <t>SHORT PANTS CARGO PARASUT BATMAN KBBTM-4:KHAKI:5:EMBRO:LONG PANTS</t>
  </si>
  <si>
    <t>SHORT PANTS CARGO PARASUT BATMAN KBBTM-4:KHAKI:6:EMBRO:LONG PANTS</t>
  </si>
  <si>
    <t>SHORT PANTS CARGO PARASUT BATMAN KBBTM-4:KHAKI:7-8:EMBRO:LONG PANTS</t>
  </si>
  <si>
    <t>SHORT PANTS CARGO PARASUT BATMAN KBBTM-4:KHAKI:9-10:EMBRO:LONG PANTS</t>
  </si>
  <si>
    <t>SHORT PANTS CARGO PARASUT BATMAN KBBTM-4:KHAKI:11-12:EMBRO:LONG PANTS</t>
  </si>
  <si>
    <t>SHORT PANTS CARGO PARASUT BATMAN KBBTM-4:KHAKI:13-14:EMBRO:LONG PANTS</t>
  </si>
  <si>
    <t>SHORT PANTS CARGO PARASUT BATMAN KBBTM-4:KHAKI:15-16:EMBRO:LONG PANTS</t>
  </si>
  <si>
    <t>KBBTB-3</t>
  </si>
  <si>
    <t>LONG PANTS CARGO WVN BATMAN KBBTB-3:BLACK:4:EMBRO:LONG PANTS</t>
  </si>
  <si>
    <t>LONG PANTS CARGO WVN BATMAN KBBTB-3:BLACK:5:EMBRO:LONG PANTS</t>
  </si>
  <si>
    <t>LONG PANTS CARGO WVN BATMAN KBBTB-3:BLACK:6:EMBRO:LONG PANTS</t>
  </si>
  <si>
    <t>LONG PANTS CARGO WVN BATMAN KBBTB-3:BLACK:7-8:EMBRO:LONG PANTS</t>
  </si>
  <si>
    <t>LONG PANTS CARGO WVN BATMAN KBBTB-3:BLACK:9-10:EMBRO:LONG PANTS</t>
  </si>
  <si>
    <t>LONG PANTS CARGO WVN BATMAN KBBTB-3:BLACK:11-12:EMBRO:LONG PANTS</t>
  </si>
  <si>
    <t>LONG PANTS CARGO WVN BATMAN KBBTB-3:BLACK:13-14:EMBRO:LONG PANTS</t>
  </si>
  <si>
    <t>LONG PANTS CARGO WVN BATMAN KBBTB-3:BLACK:15-16:EMBRO:LONG PANTS</t>
  </si>
  <si>
    <t>KBBTM-3</t>
  </si>
  <si>
    <t>DENIM LONG PANTS BATMAN LOGO BDR KTG KBBTM-3:FROST GREY:4:EMBRO:DENIM LONG PANTS</t>
  </si>
  <si>
    <t>DENIM LONG PANTS BATMAN LOGO BDR KTG KBBTM-3:FROST GREY:5:EMBRO:DENIM LONG PANTS</t>
  </si>
  <si>
    <t>DENIM LONG PANTS BATMAN LOGO BDR KTG KBBTM-3:FROST GREY:6:EMBRO:DENIM LONG PANTS</t>
  </si>
  <si>
    <t>DENIM LONG PANTS BATMAN LOGO BDR KTG KBBTM-3:FROST GREY:7-8:EMBRO:DENIM LONG PANTS</t>
  </si>
  <si>
    <t>DENIM LONG PANTS BATMAN LOGO BDR KTG KBBTM-3:FROST GREY:9-10:EMBRO:DENIM LONG PANTS</t>
  </si>
  <si>
    <t>DENIM LONG PANTS BATMAN LOGO BDR KTG KBBTM-3:FROST GREY:11-12:EMBRO:DENIM LONG PANTS</t>
  </si>
  <si>
    <t>DENIM LONG PANTS BATMAN LOGO BDR KTG KBBTM-3:FROST GREY:13-14:EMBRO:DENIM LONG PANTS</t>
  </si>
  <si>
    <t>DENIM LONG PANTS BATMAN LOGO BDR KTG KBBTM-3:FROST GREY:15-16:EMBRO:DENIM LONG PANTS</t>
  </si>
  <si>
    <t xml:space="preserve">2026 BAMUS D60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</si>
</sst>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7" fontId="1" fillId="0" borderId="1" xfId="14" applyNumberFormat="1" applyFont="1" applyBorder="1" applyAlignment="1">
      <alignment horizontal="center" vertical="center"/>
    </xf>
    <xf numFmtId="167" fontId="8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 vertical="center"/>
    </xf>
    <xf numFmtId="9" fontId="5" fillId="0" borderId="1" xfId="1" applyFont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67" fontId="5" fillId="0" borderId="1" xfId="14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7" fontId="10" fillId="0" borderId="0" xfId="6" applyNumberFormat="1" applyFont="1" applyAlignment="1">
      <alignment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center"/>
    </xf>
    <xf numFmtId="164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7" fontId="2" fillId="2" borderId="0" xfId="14" applyNumberFormat="1" applyFont="1" applyFill="1" applyBorder="1" applyAlignment="1">
      <alignment horizontal="left" vertical="center"/>
    </xf>
    <xf numFmtId="3" fontId="2" fillId="2" borderId="0" xfId="1" applyNumberFormat="1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9" fontId="0" fillId="0" borderId="0" xfId="0" applyNumberFormat="1" applyAlignment="1">
      <alignment horizontal="center"/>
    </xf>
  </cellXfs>
  <cellStyles count="15">
    <cellStyle name="Comma" xfId="14" builtinId="3"/>
    <cellStyle name="Comma [0] 2" xfId="11" xr:uid="{4B33CCAC-A3E9-4B4A-9D4D-C00210168B44}"/>
    <cellStyle name="Comma 2" xfId="6" xr:uid="{90F269A9-EEE5-45BD-9ED0-7B28EF3C51A1}"/>
    <cellStyle name="Comma 2 2" xfId="9" xr:uid="{9EC145B9-DE6F-4F4B-A1C7-6527131D32E2}"/>
    <cellStyle name="Comma 3" xfId="12" xr:uid="{D1310CFD-BE81-40C5-AB75-37CC7EAB5D54}"/>
    <cellStyle name="Comma 4" xfId="10" xr:uid="{5BFAC4F1-1029-4853-8B55-1C1607F7C7E5}"/>
    <cellStyle name="Comma 5" xfId="3" xr:uid="{752E56E2-757B-45C3-800C-FA05D2A7486E}"/>
    <cellStyle name="Normal" xfId="0" builtinId="0"/>
    <cellStyle name="Normal 2" xfId="13" xr:uid="{66FE7029-5C6F-4031-8250-35D724525A08}"/>
    <cellStyle name="Normal 3" xfId="5" xr:uid="{A86C231A-817D-445B-9429-13DFB416E970}"/>
    <cellStyle name="Normal 4" xfId="7" xr:uid="{F909341F-8B09-455B-AB95-B6CEBA817420}"/>
    <cellStyle name="Normal 5" xfId="2" xr:uid="{73EF74A0-338C-4409-8AAE-A9B27432D760}"/>
    <cellStyle name="Percent" xfId="1" builtinId="5"/>
    <cellStyle name="Percent 2" xfId="8" xr:uid="{CBAF06B8-0105-40EA-AD60-8C7010C397CE}"/>
    <cellStyle name="Percent 3" xfId="4" xr:uid="{17D9D100-B2B4-4986-8B03-23EE09A361EB}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05%20MAR%20-%2011%20MAR%2026.xlsx" TargetMode="External"/><Relationship Id="rId1" Type="http://schemas.openxmlformats.org/officeDocument/2006/relationships/externalLinkPath" Target="https://mataharimds-my.sharepoint.com/personal/m180431_matahari_com/Documents/Microsoft%20Teams%20Chat%20Files/3273-CB_Disney_%2005%20MAR%20-%2011%20MA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JAN-JUN D70"/>
      <sheetName val="2024 JUL-AUG B1G2"/>
      <sheetName val="2024 OCT-DES B1G2"/>
      <sheetName val="KOSTUM D80"/>
      <sheetName val="2025 Q1 SEASONAL D80"/>
      <sheetName val="2025 JAN-APR B1G2"/>
      <sheetName val="2025 MEI B1G1"/>
      <sheetName val="2025 JUN B1G1"/>
      <sheetName val="2025 JUL B1G1"/>
      <sheetName val="2025 AUG B1G1"/>
      <sheetName val="2025 SEPT B1 D30"/>
      <sheetName val="2025 Q4 B3D10"/>
      <sheetName val="2026 JAN FEB B3D10"/>
      <sheetName val="2026 HILTE B2 D20 B3 D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4">
          <cell r="E64">
            <v>336</v>
          </cell>
          <cell r="F64">
            <v>4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zoomScale="83" zoomScaleNormal="83" workbookViewId="0">
      <pane ySplit="1" topLeftCell="A2" activePane="bottomLeft" state="frozen"/>
      <selection pane="bottomLeft" activeCell="B2" sqref="B2:C2"/>
    </sheetView>
  </sheetViews>
  <sheetFormatPr defaultColWidth="8.7109375" defaultRowHeight="15" x14ac:dyDescent="0.25"/>
  <cols>
    <col min="1" max="1" width="12.140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3.710937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2104</v>
      </c>
      <c r="B2" s="8">
        <v>46099</v>
      </c>
      <c r="C2" s="8">
        <v>46113</v>
      </c>
      <c r="D2" s="7">
        <v>3272</v>
      </c>
      <c r="E2" s="7">
        <v>336</v>
      </c>
      <c r="F2" s="7">
        <v>4</v>
      </c>
      <c r="G2" s="7">
        <v>1</v>
      </c>
      <c r="H2" s="7">
        <v>81670</v>
      </c>
      <c r="I2" s="7" t="s">
        <v>104</v>
      </c>
      <c r="J2" s="7">
        <v>24004104</v>
      </c>
      <c r="K2" s="7" t="s">
        <v>87</v>
      </c>
      <c r="L2" s="7" t="s">
        <v>96</v>
      </c>
      <c r="M2" s="9">
        <v>149900</v>
      </c>
      <c r="N2" s="10">
        <v>0.95</v>
      </c>
      <c r="O2" s="9">
        <f>M2*(1-N2)</f>
        <v>7495.0000000000064</v>
      </c>
      <c r="P2" s="7" t="s">
        <v>16</v>
      </c>
    </row>
    <row r="3" spans="1:16" x14ac:dyDescent="0.25">
      <c r="A3" s="7" t="s">
        <v>2104</v>
      </c>
      <c r="B3" s="8">
        <f>B2</f>
        <v>46099</v>
      </c>
      <c r="C3" s="8">
        <f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81670</v>
      </c>
      <c r="I3" s="7" t="s">
        <v>104</v>
      </c>
      <c r="J3" s="7">
        <v>24004113</v>
      </c>
      <c r="K3" s="7" t="s">
        <v>87</v>
      </c>
      <c r="L3" s="7" t="s">
        <v>88</v>
      </c>
      <c r="M3" s="9">
        <v>149900</v>
      </c>
      <c r="N3" s="10">
        <v>0.95</v>
      </c>
      <c r="O3" s="9">
        <f t="shared" ref="O3:O4" si="0">M3*(1-N3)</f>
        <v>7495.0000000000064</v>
      </c>
      <c r="P3" s="7" t="s">
        <v>16</v>
      </c>
    </row>
    <row r="4" spans="1:16" x14ac:dyDescent="0.25">
      <c r="A4" s="7" t="s">
        <v>2104</v>
      </c>
      <c r="B4" s="8">
        <f t="shared" ref="B4:B14" si="1">B3</f>
        <v>46099</v>
      </c>
      <c r="C4" s="8">
        <f t="shared" ref="C4:C14" si="2">C3</f>
        <v>46113</v>
      </c>
      <c r="D4" s="7">
        <v>3272</v>
      </c>
      <c r="E4" s="7">
        <v>336</v>
      </c>
      <c r="F4" s="7">
        <v>4</v>
      </c>
      <c r="G4" s="7">
        <v>1</v>
      </c>
      <c r="H4" s="7">
        <v>81670</v>
      </c>
      <c r="I4" s="7" t="s">
        <v>104</v>
      </c>
      <c r="J4" s="7">
        <v>24004122</v>
      </c>
      <c r="K4" s="7" t="s">
        <v>87</v>
      </c>
      <c r="L4" s="7" t="s">
        <v>97</v>
      </c>
      <c r="M4" s="9">
        <v>149900</v>
      </c>
      <c r="N4" s="10">
        <v>0.95</v>
      </c>
      <c r="O4" s="9">
        <f t="shared" si="0"/>
        <v>7495.0000000000064</v>
      </c>
      <c r="P4" s="7" t="s">
        <v>16</v>
      </c>
    </row>
    <row r="5" spans="1:16" x14ac:dyDescent="0.25">
      <c r="A5" s="7" t="s">
        <v>2104</v>
      </c>
      <c r="B5" s="8">
        <f t="shared" si="1"/>
        <v>46099</v>
      </c>
      <c r="C5" s="8">
        <f t="shared" si="2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81670</v>
      </c>
      <c r="I5" s="7" t="s">
        <v>104</v>
      </c>
      <c r="J5" s="7">
        <v>24151213</v>
      </c>
      <c r="K5" s="7" t="s">
        <v>89</v>
      </c>
      <c r="L5" s="7" t="s">
        <v>90</v>
      </c>
      <c r="M5" s="9">
        <v>149900</v>
      </c>
      <c r="N5" s="10">
        <v>0.95</v>
      </c>
      <c r="O5" s="9">
        <f t="shared" ref="O5:O7" si="3">M5*(1-N5)</f>
        <v>7495.0000000000064</v>
      </c>
      <c r="P5" s="7" t="s">
        <v>16</v>
      </c>
    </row>
    <row r="6" spans="1:16" x14ac:dyDescent="0.25">
      <c r="A6" s="7" t="s">
        <v>2104</v>
      </c>
      <c r="B6" s="8">
        <f t="shared" si="1"/>
        <v>46099</v>
      </c>
      <c r="C6" s="8">
        <f t="shared" si="2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81670</v>
      </c>
      <c r="I6" s="7" t="s">
        <v>104</v>
      </c>
      <c r="J6" s="7">
        <v>24414475</v>
      </c>
      <c r="K6" s="7" t="s">
        <v>93</v>
      </c>
      <c r="L6" s="7" t="s">
        <v>94</v>
      </c>
      <c r="M6" s="9">
        <v>149900</v>
      </c>
      <c r="N6" s="10">
        <v>0.95</v>
      </c>
      <c r="O6" s="9">
        <f t="shared" si="3"/>
        <v>7495.0000000000064</v>
      </c>
      <c r="P6" s="7" t="s">
        <v>16</v>
      </c>
    </row>
    <row r="7" spans="1:16" x14ac:dyDescent="0.25">
      <c r="A7" s="7" t="s">
        <v>2104</v>
      </c>
      <c r="B7" s="8">
        <f t="shared" si="1"/>
        <v>46099</v>
      </c>
      <c r="C7" s="8">
        <f t="shared" si="2"/>
        <v>46113</v>
      </c>
      <c r="D7" s="7">
        <v>3272</v>
      </c>
      <c r="E7" s="7">
        <v>336</v>
      </c>
      <c r="F7" s="7">
        <v>4</v>
      </c>
      <c r="G7" s="7">
        <v>1</v>
      </c>
      <c r="H7" s="7">
        <v>81670</v>
      </c>
      <c r="I7" s="7" t="s">
        <v>104</v>
      </c>
      <c r="J7" s="7">
        <v>24414484</v>
      </c>
      <c r="K7" s="7" t="s">
        <v>93</v>
      </c>
      <c r="L7" s="7" t="s">
        <v>95</v>
      </c>
      <c r="M7" s="9">
        <v>149900</v>
      </c>
      <c r="N7" s="10">
        <v>0.95</v>
      </c>
      <c r="O7" s="9">
        <f t="shared" si="3"/>
        <v>7495.0000000000064</v>
      </c>
      <c r="P7" s="7" t="s">
        <v>16</v>
      </c>
    </row>
    <row r="8" spans="1:16" x14ac:dyDescent="0.25">
      <c r="A8" s="7" t="s">
        <v>2104</v>
      </c>
      <c r="B8" s="8">
        <f t="shared" si="1"/>
        <v>46099</v>
      </c>
      <c r="C8" s="8">
        <f t="shared" si="2"/>
        <v>46113</v>
      </c>
      <c r="D8" s="7">
        <v>3272</v>
      </c>
      <c r="E8" s="7">
        <v>336</v>
      </c>
      <c r="F8" s="7">
        <v>4</v>
      </c>
      <c r="G8" s="7">
        <v>1</v>
      </c>
      <c r="H8" s="7">
        <v>81670</v>
      </c>
      <c r="I8" s="7" t="s">
        <v>104</v>
      </c>
      <c r="J8" s="7">
        <v>24414493</v>
      </c>
      <c r="K8" s="7" t="s">
        <v>93</v>
      </c>
      <c r="L8" s="7" t="s">
        <v>98</v>
      </c>
      <c r="M8" s="9">
        <v>149900</v>
      </c>
      <c r="N8" s="10">
        <v>0.95</v>
      </c>
      <c r="O8" s="9">
        <f t="shared" ref="O8" si="4">M8*(1-N8)</f>
        <v>7495.0000000000064</v>
      </c>
      <c r="P8" s="7" t="s">
        <v>16</v>
      </c>
    </row>
    <row r="9" spans="1:16" x14ac:dyDescent="0.25">
      <c r="A9" s="7" t="s">
        <v>2104</v>
      </c>
      <c r="B9" s="8">
        <f t="shared" si="1"/>
        <v>46099</v>
      </c>
      <c r="C9" s="8">
        <f t="shared" si="2"/>
        <v>46113</v>
      </c>
      <c r="D9" s="7">
        <v>3272</v>
      </c>
      <c r="E9" s="7">
        <v>336</v>
      </c>
      <c r="F9" s="7">
        <v>4</v>
      </c>
      <c r="G9" s="7">
        <v>1</v>
      </c>
      <c r="H9" s="7">
        <v>81588</v>
      </c>
      <c r="I9" s="7" t="s">
        <v>104</v>
      </c>
      <c r="J9" s="7">
        <v>23204275</v>
      </c>
      <c r="K9" s="7" t="s">
        <v>91</v>
      </c>
      <c r="L9" s="7" t="s">
        <v>99</v>
      </c>
      <c r="M9" s="9">
        <v>129900</v>
      </c>
      <c r="N9" s="10">
        <v>0.95</v>
      </c>
      <c r="O9" s="9">
        <f t="shared" ref="O9:O14" si="5">M9*(1-N9)</f>
        <v>6495.0000000000055</v>
      </c>
      <c r="P9" s="7" t="s">
        <v>16</v>
      </c>
    </row>
    <row r="10" spans="1:16" x14ac:dyDescent="0.25">
      <c r="A10" s="7" t="s">
        <v>2104</v>
      </c>
      <c r="B10" s="8">
        <f t="shared" si="1"/>
        <v>46099</v>
      </c>
      <c r="C10" s="8">
        <f t="shared" si="2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81588</v>
      </c>
      <c r="I10" s="7" t="s">
        <v>104</v>
      </c>
      <c r="J10" s="7">
        <v>23204284</v>
      </c>
      <c r="K10" s="7" t="s">
        <v>91</v>
      </c>
      <c r="L10" s="7" t="s">
        <v>100</v>
      </c>
      <c r="M10" s="9">
        <v>129900</v>
      </c>
      <c r="N10" s="10">
        <v>0.95</v>
      </c>
      <c r="O10" s="9">
        <f t="shared" si="5"/>
        <v>6495.0000000000055</v>
      </c>
      <c r="P10" s="7" t="s">
        <v>16</v>
      </c>
    </row>
    <row r="11" spans="1:16" x14ac:dyDescent="0.25">
      <c r="A11" s="7" t="s">
        <v>2104</v>
      </c>
      <c r="B11" s="8">
        <f t="shared" si="1"/>
        <v>46099</v>
      </c>
      <c r="C11" s="8">
        <f t="shared" si="2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81588</v>
      </c>
      <c r="I11" s="7" t="s">
        <v>104</v>
      </c>
      <c r="J11" s="7">
        <v>23204293</v>
      </c>
      <c r="K11" s="7" t="s">
        <v>91</v>
      </c>
      <c r="L11" s="7" t="s">
        <v>101</v>
      </c>
      <c r="M11" s="9">
        <v>129900</v>
      </c>
      <c r="N11" s="10">
        <v>0.95</v>
      </c>
      <c r="O11" s="9">
        <f t="shared" si="5"/>
        <v>6495.0000000000055</v>
      </c>
      <c r="P11" s="7" t="s">
        <v>16</v>
      </c>
    </row>
    <row r="12" spans="1:16" x14ac:dyDescent="0.25">
      <c r="A12" s="7" t="s">
        <v>2104</v>
      </c>
      <c r="B12" s="8">
        <f t="shared" si="1"/>
        <v>46099</v>
      </c>
      <c r="C12" s="8">
        <f t="shared" si="2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104</v>
      </c>
      <c r="J12" s="7">
        <v>23204300</v>
      </c>
      <c r="K12" s="7" t="s">
        <v>91</v>
      </c>
      <c r="L12" s="7" t="s">
        <v>102</v>
      </c>
      <c r="M12" s="9">
        <v>129900</v>
      </c>
      <c r="N12" s="10">
        <v>0.95</v>
      </c>
      <c r="O12" s="9">
        <f t="shared" si="5"/>
        <v>6495.0000000000055</v>
      </c>
      <c r="P12" s="7" t="s">
        <v>16</v>
      </c>
    </row>
    <row r="13" spans="1:16" x14ac:dyDescent="0.25">
      <c r="A13" s="7" t="s">
        <v>2104</v>
      </c>
      <c r="B13" s="8">
        <f t="shared" si="1"/>
        <v>46099</v>
      </c>
      <c r="C13" s="8">
        <f t="shared" si="2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104</v>
      </c>
      <c r="J13" s="7">
        <v>23204319</v>
      </c>
      <c r="K13" s="7" t="s">
        <v>91</v>
      </c>
      <c r="L13" s="7" t="s">
        <v>103</v>
      </c>
      <c r="M13" s="9">
        <v>129900</v>
      </c>
      <c r="N13" s="10">
        <v>0.95</v>
      </c>
      <c r="O13" s="9">
        <f t="shared" si="5"/>
        <v>6495.0000000000055</v>
      </c>
      <c r="P13" s="7" t="s">
        <v>16</v>
      </c>
    </row>
    <row r="14" spans="1:16" x14ac:dyDescent="0.25">
      <c r="A14" s="7" t="s">
        <v>2104</v>
      </c>
      <c r="B14" s="8">
        <f t="shared" si="1"/>
        <v>46099</v>
      </c>
      <c r="C14" s="8">
        <f t="shared" si="2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104</v>
      </c>
      <c r="J14" s="7">
        <v>23204328</v>
      </c>
      <c r="K14" s="7" t="s">
        <v>91</v>
      </c>
      <c r="L14" s="7" t="s">
        <v>92</v>
      </c>
      <c r="M14" s="9">
        <v>129900</v>
      </c>
      <c r="N14" s="10">
        <v>0.95</v>
      </c>
      <c r="O14" s="9">
        <f t="shared" si="5"/>
        <v>6495.0000000000055</v>
      </c>
      <c r="P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zoomScale="78" zoomScaleNormal="78" workbookViewId="0">
      <pane ySplit="1" topLeftCell="A2" activePane="bottomLeft" state="frozen"/>
      <selection activeCell="I267" sqref="I267"/>
      <selection pane="bottomLeft" activeCell="C26" sqref="C26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92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4051</v>
      </c>
      <c r="B2" s="8">
        <f>'2019 ALL D95'!B2</f>
        <v>46099</v>
      </c>
      <c r="C2" s="8">
        <f>'2019 ALL D95'!C2</f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26449658</v>
      </c>
      <c r="K2" s="7" t="s">
        <v>17</v>
      </c>
      <c r="L2" s="7" t="s">
        <v>18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25">
      <c r="A3" s="33" t="str">
        <f>A2</f>
        <v>2020 ALL D90</v>
      </c>
      <c r="B3" s="8">
        <f>B2</f>
        <v>46099</v>
      </c>
      <c r="C3" s="8">
        <f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26635447</v>
      </c>
      <c r="K3" s="7" t="s">
        <v>31</v>
      </c>
      <c r="L3" s="7" t="s">
        <v>32</v>
      </c>
      <c r="M3" s="9">
        <v>139900</v>
      </c>
      <c r="N3" s="37">
        <v>0.9</v>
      </c>
      <c r="O3" s="34">
        <f t="shared" ref="O3:O53" si="0">M3*(1-N3)</f>
        <v>13989.999999999996</v>
      </c>
      <c r="P3" s="7" t="s">
        <v>16</v>
      </c>
    </row>
    <row r="4" spans="1:16" x14ac:dyDescent="0.25">
      <c r="A4" s="33" t="str">
        <f t="shared" ref="A4:A53" si="1">A3</f>
        <v>2020 ALL D90</v>
      </c>
      <c r="B4" s="8">
        <f t="shared" ref="B4:B53" si="2">B3</f>
        <v>46099</v>
      </c>
      <c r="C4" s="8">
        <f t="shared" ref="C4:C53" si="3">C3</f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26635456</v>
      </c>
      <c r="K4" s="7" t="s">
        <v>31</v>
      </c>
      <c r="L4" s="7" t="s">
        <v>33</v>
      </c>
      <c r="M4" s="9">
        <v>139900</v>
      </c>
      <c r="N4" s="37">
        <v>0.9</v>
      </c>
      <c r="O4" s="34">
        <f t="shared" si="0"/>
        <v>13989.999999999996</v>
      </c>
      <c r="P4" s="7" t="s">
        <v>16</v>
      </c>
    </row>
    <row r="5" spans="1:16" x14ac:dyDescent="0.25">
      <c r="A5" s="33" t="str">
        <f t="shared" si="1"/>
        <v>2020 ALL D90</v>
      </c>
      <c r="B5" s="8">
        <f t="shared" si="2"/>
        <v>46099</v>
      </c>
      <c r="C5" s="8">
        <f t="shared" si="3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26635465</v>
      </c>
      <c r="K5" s="7" t="s">
        <v>31</v>
      </c>
      <c r="L5" s="7" t="s">
        <v>34</v>
      </c>
      <c r="M5" s="9">
        <v>139900</v>
      </c>
      <c r="N5" s="37">
        <v>0.9</v>
      </c>
      <c r="O5" s="34">
        <f t="shared" si="0"/>
        <v>13989.999999999996</v>
      </c>
      <c r="P5" s="7" t="s">
        <v>16</v>
      </c>
    </row>
    <row r="6" spans="1:16" x14ac:dyDescent="0.25">
      <c r="A6" s="33" t="str">
        <f t="shared" si="1"/>
        <v>2020 ALL D90</v>
      </c>
      <c r="B6" s="8">
        <f t="shared" si="2"/>
        <v>46099</v>
      </c>
      <c r="C6" s="8">
        <f t="shared" si="3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26635474</v>
      </c>
      <c r="K6" s="7" t="s">
        <v>31</v>
      </c>
      <c r="L6" s="7" t="s">
        <v>35</v>
      </c>
      <c r="M6" s="9">
        <v>139900</v>
      </c>
      <c r="N6" s="37">
        <v>0.9</v>
      </c>
      <c r="O6" s="34">
        <f t="shared" si="0"/>
        <v>13989.999999999996</v>
      </c>
      <c r="P6" s="7" t="s">
        <v>16</v>
      </c>
    </row>
    <row r="7" spans="1:16" x14ac:dyDescent="0.25">
      <c r="A7" s="33" t="str">
        <f t="shared" si="1"/>
        <v>2020 ALL D90</v>
      </c>
      <c r="B7" s="8">
        <f t="shared" si="2"/>
        <v>46099</v>
      </c>
      <c r="C7" s="8">
        <f t="shared" si="3"/>
        <v>46113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26635483</v>
      </c>
      <c r="K7" s="7" t="s">
        <v>31</v>
      </c>
      <c r="L7" s="7" t="s">
        <v>36</v>
      </c>
      <c r="M7" s="9">
        <v>139900</v>
      </c>
      <c r="N7" s="37">
        <v>0.9</v>
      </c>
      <c r="O7" s="34">
        <f t="shared" si="0"/>
        <v>13989.999999999996</v>
      </c>
      <c r="P7" s="7" t="s">
        <v>16</v>
      </c>
    </row>
    <row r="8" spans="1:16" x14ac:dyDescent="0.25">
      <c r="A8" s="33" t="str">
        <f t="shared" si="1"/>
        <v>2020 ALL D90</v>
      </c>
      <c r="B8" s="8">
        <f t="shared" si="2"/>
        <v>46099</v>
      </c>
      <c r="C8" s="8">
        <f t="shared" si="3"/>
        <v>46113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26635714</v>
      </c>
      <c r="K8" s="7" t="s">
        <v>37</v>
      </c>
      <c r="L8" s="7" t="s">
        <v>38</v>
      </c>
      <c r="M8" s="9">
        <v>129900</v>
      </c>
      <c r="N8" s="37">
        <v>0.9</v>
      </c>
      <c r="O8" s="34">
        <f t="shared" si="0"/>
        <v>12989.999999999996</v>
      </c>
      <c r="P8" s="7" t="s">
        <v>16</v>
      </c>
    </row>
    <row r="9" spans="1:16" x14ac:dyDescent="0.25">
      <c r="A9" s="33" t="str">
        <f t="shared" si="1"/>
        <v>2020 ALL D90</v>
      </c>
      <c r="B9" s="8">
        <f t="shared" si="2"/>
        <v>46099</v>
      </c>
      <c r="C9" s="8">
        <f t="shared" si="3"/>
        <v>46113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26635732</v>
      </c>
      <c r="K9" s="7" t="s">
        <v>37</v>
      </c>
      <c r="L9" s="7" t="s">
        <v>39</v>
      </c>
      <c r="M9" s="9">
        <v>129900</v>
      </c>
      <c r="N9" s="37">
        <v>0.9</v>
      </c>
      <c r="O9" s="34">
        <f t="shared" si="0"/>
        <v>12989.999999999996</v>
      </c>
      <c r="P9" s="7" t="s">
        <v>16</v>
      </c>
    </row>
    <row r="10" spans="1:16" x14ac:dyDescent="0.25">
      <c r="A10" s="33" t="str">
        <f t="shared" si="1"/>
        <v>2020 ALL D90</v>
      </c>
      <c r="B10" s="8">
        <f t="shared" si="2"/>
        <v>46099</v>
      </c>
      <c r="C10" s="8">
        <f t="shared" si="3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26658646</v>
      </c>
      <c r="K10" s="7" t="s">
        <v>46</v>
      </c>
      <c r="L10" s="7" t="s">
        <v>47</v>
      </c>
      <c r="M10" s="9">
        <v>129900</v>
      </c>
      <c r="N10" s="37">
        <v>0.9</v>
      </c>
      <c r="O10" s="34">
        <f t="shared" si="0"/>
        <v>12989.999999999996</v>
      </c>
      <c r="P10" s="7" t="s">
        <v>16</v>
      </c>
    </row>
    <row r="11" spans="1:16" x14ac:dyDescent="0.25">
      <c r="A11" s="33" t="str">
        <f t="shared" si="1"/>
        <v>2020 ALL D90</v>
      </c>
      <c r="B11" s="8">
        <f t="shared" si="2"/>
        <v>46099</v>
      </c>
      <c r="C11" s="8">
        <f t="shared" si="3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26658655</v>
      </c>
      <c r="K11" s="7" t="s">
        <v>46</v>
      </c>
      <c r="L11" s="7" t="s">
        <v>48</v>
      </c>
      <c r="M11" s="9">
        <v>129900</v>
      </c>
      <c r="N11" s="37">
        <v>0.9</v>
      </c>
      <c r="O11" s="34">
        <f t="shared" si="0"/>
        <v>12989.999999999996</v>
      </c>
      <c r="P11" s="7" t="s">
        <v>16</v>
      </c>
    </row>
    <row r="12" spans="1:16" x14ac:dyDescent="0.25">
      <c r="A12" s="33" t="str">
        <f t="shared" si="1"/>
        <v>2020 ALL D90</v>
      </c>
      <c r="B12" s="8">
        <f t="shared" si="2"/>
        <v>46099</v>
      </c>
      <c r="C12" s="8">
        <f t="shared" si="3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26649209</v>
      </c>
      <c r="K12" s="7" t="s">
        <v>40</v>
      </c>
      <c r="L12" s="7" t="s">
        <v>41</v>
      </c>
      <c r="M12" s="9">
        <v>129900</v>
      </c>
      <c r="N12" s="37">
        <v>0.9</v>
      </c>
      <c r="O12" s="34">
        <f t="shared" si="0"/>
        <v>12989.999999999996</v>
      </c>
      <c r="P12" s="7" t="s">
        <v>16</v>
      </c>
    </row>
    <row r="13" spans="1:16" x14ac:dyDescent="0.25">
      <c r="A13" s="33" t="str">
        <f t="shared" si="1"/>
        <v>2020 ALL D90</v>
      </c>
      <c r="B13" s="8">
        <f t="shared" si="2"/>
        <v>46099</v>
      </c>
      <c r="C13" s="8">
        <f t="shared" si="3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26649218</v>
      </c>
      <c r="K13" s="7" t="s">
        <v>40</v>
      </c>
      <c r="L13" s="7" t="s">
        <v>42</v>
      </c>
      <c r="M13" s="9">
        <v>129900</v>
      </c>
      <c r="N13" s="37">
        <v>0.9</v>
      </c>
      <c r="O13" s="34">
        <f t="shared" si="0"/>
        <v>12989.999999999996</v>
      </c>
      <c r="P13" s="7" t="s">
        <v>16</v>
      </c>
    </row>
    <row r="14" spans="1:16" x14ac:dyDescent="0.25">
      <c r="A14" s="33" t="str">
        <f t="shared" si="1"/>
        <v>2020 ALL D90</v>
      </c>
      <c r="B14" s="8">
        <f t="shared" si="2"/>
        <v>46099</v>
      </c>
      <c r="C14" s="8">
        <f t="shared" si="3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26649227</v>
      </c>
      <c r="K14" s="7" t="s">
        <v>40</v>
      </c>
      <c r="L14" s="7" t="s">
        <v>43</v>
      </c>
      <c r="M14" s="9">
        <v>129900</v>
      </c>
      <c r="N14" s="37">
        <v>0.9</v>
      </c>
      <c r="O14" s="34">
        <f t="shared" si="0"/>
        <v>12989.999999999996</v>
      </c>
      <c r="P14" s="7" t="s">
        <v>16</v>
      </c>
    </row>
    <row r="15" spans="1:16" x14ac:dyDescent="0.25">
      <c r="A15" s="33" t="str">
        <f t="shared" si="1"/>
        <v>2020 ALL D90</v>
      </c>
      <c r="B15" s="8">
        <f t="shared" si="2"/>
        <v>46099</v>
      </c>
      <c r="C15" s="8">
        <f t="shared" si="3"/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26649236</v>
      </c>
      <c r="K15" s="7" t="s">
        <v>40</v>
      </c>
      <c r="L15" s="7" t="s">
        <v>44</v>
      </c>
      <c r="M15" s="9">
        <v>129900</v>
      </c>
      <c r="N15" s="37">
        <v>0.9</v>
      </c>
      <c r="O15" s="34">
        <f t="shared" si="0"/>
        <v>12989.999999999996</v>
      </c>
      <c r="P15" s="7" t="s">
        <v>16</v>
      </c>
    </row>
    <row r="16" spans="1:16" x14ac:dyDescent="0.25">
      <c r="A16" s="33" t="str">
        <f t="shared" si="1"/>
        <v>2020 ALL D90</v>
      </c>
      <c r="B16" s="8">
        <f t="shared" si="2"/>
        <v>46099</v>
      </c>
      <c r="C16" s="8">
        <f t="shared" si="3"/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26649245</v>
      </c>
      <c r="K16" s="7" t="s">
        <v>40</v>
      </c>
      <c r="L16" s="7" t="s">
        <v>45</v>
      </c>
      <c r="M16" s="9">
        <v>129900</v>
      </c>
      <c r="N16" s="37">
        <v>0.9</v>
      </c>
      <c r="O16" s="34">
        <f t="shared" si="0"/>
        <v>12989.999999999996</v>
      </c>
      <c r="P16" s="7" t="s">
        <v>16</v>
      </c>
    </row>
    <row r="17" spans="1:16" x14ac:dyDescent="0.25">
      <c r="A17" s="33" t="str">
        <f t="shared" si="1"/>
        <v>2020 ALL D90</v>
      </c>
      <c r="B17" s="8">
        <f t="shared" si="2"/>
        <v>46099</v>
      </c>
      <c r="C17" s="8">
        <f t="shared" si="3"/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26868160</v>
      </c>
      <c r="K17" s="7" t="s">
        <v>64</v>
      </c>
      <c r="L17" s="7" t="s">
        <v>65</v>
      </c>
      <c r="M17" s="9">
        <v>139900</v>
      </c>
      <c r="N17" s="37">
        <v>0.9</v>
      </c>
      <c r="O17" s="34">
        <f t="shared" si="0"/>
        <v>13989.999999999996</v>
      </c>
      <c r="P17" s="7" t="s">
        <v>16</v>
      </c>
    </row>
    <row r="18" spans="1:16" x14ac:dyDescent="0.25">
      <c r="A18" s="33" t="str">
        <f t="shared" si="1"/>
        <v>2020 ALL D90</v>
      </c>
      <c r="B18" s="8">
        <f t="shared" si="2"/>
        <v>46099</v>
      </c>
      <c r="C18" s="8">
        <f t="shared" si="3"/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26868197</v>
      </c>
      <c r="K18" s="7" t="s">
        <v>64</v>
      </c>
      <c r="L18" s="7" t="s">
        <v>66</v>
      </c>
      <c r="M18" s="9">
        <v>139900</v>
      </c>
      <c r="N18" s="37">
        <v>0.9</v>
      </c>
      <c r="O18" s="34">
        <f t="shared" si="0"/>
        <v>13989.999999999996</v>
      </c>
      <c r="P18" s="7" t="s">
        <v>16</v>
      </c>
    </row>
    <row r="19" spans="1:16" x14ac:dyDescent="0.25">
      <c r="A19" s="33" t="str">
        <f t="shared" si="1"/>
        <v>2020 ALL D90</v>
      </c>
      <c r="B19" s="8">
        <f t="shared" si="2"/>
        <v>46099</v>
      </c>
      <c r="C19" s="8">
        <f t="shared" si="3"/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26868204</v>
      </c>
      <c r="K19" s="7" t="s">
        <v>64</v>
      </c>
      <c r="L19" s="7" t="s">
        <v>67</v>
      </c>
      <c r="M19" s="9">
        <v>139900</v>
      </c>
      <c r="N19" s="37">
        <v>0.9</v>
      </c>
      <c r="O19" s="34">
        <f t="shared" si="0"/>
        <v>13989.999999999996</v>
      </c>
      <c r="P19" s="7" t="s">
        <v>16</v>
      </c>
    </row>
    <row r="20" spans="1:16" x14ac:dyDescent="0.25">
      <c r="A20" s="33" t="str">
        <f t="shared" si="1"/>
        <v>2020 ALL D90</v>
      </c>
      <c r="B20" s="8">
        <f t="shared" si="2"/>
        <v>46099</v>
      </c>
      <c r="C20" s="8">
        <f t="shared" si="3"/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81676</v>
      </c>
      <c r="I20" s="7" t="s">
        <v>104</v>
      </c>
      <c r="J20" s="7">
        <v>27862637</v>
      </c>
      <c r="K20" s="7" t="s">
        <v>77</v>
      </c>
      <c r="L20" s="7" t="s">
        <v>78</v>
      </c>
      <c r="M20" s="9">
        <v>129900</v>
      </c>
      <c r="N20" s="37">
        <v>0.9</v>
      </c>
      <c r="O20" s="34">
        <f t="shared" si="0"/>
        <v>12989.999999999996</v>
      </c>
      <c r="P20" s="7" t="s">
        <v>16</v>
      </c>
    </row>
    <row r="21" spans="1:16" x14ac:dyDescent="0.25">
      <c r="A21" s="33" t="str">
        <f t="shared" si="1"/>
        <v>2020 ALL D90</v>
      </c>
      <c r="B21" s="8">
        <f t="shared" si="2"/>
        <v>46099</v>
      </c>
      <c r="C21" s="8">
        <f t="shared" si="3"/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81676</v>
      </c>
      <c r="I21" s="7" t="s">
        <v>104</v>
      </c>
      <c r="J21" s="7">
        <v>27862646</v>
      </c>
      <c r="K21" s="7" t="s">
        <v>77</v>
      </c>
      <c r="L21" s="7" t="s">
        <v>79</v>
      </c>
      <c r="M21" s="9">
        <v>129900</v>
      </c>
      <c r="N21" s="37">
        <v>0.9</v>
      </c>
      <c r="O21" s="34">
        <f t="shared" si="0"/>
        <v>12989.999999999996</v>
      </c>
      <c r="P21" s="7" t="s">
        <v>16</v>
      </c>
    </row>
    <row r="22" spans="1:16" x14ac:dyDescent="0.25">
      <c r="A22" s="33" t="str">
        <f t="shared" si="1"/>
        <v>2020 ALL D90</v>
      </c>
      <c r="B22" s="8">
        <f t="shared" si="2"/>
        <v>46099</v>
      </c>
      <c r="C22" s="8">
        <f t="shared" si="3"/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27862593</v>
      </c>
      <c r="K22" s="7" t="s">
        <v>75</v>
      </c>
      <c r="L22" s="7" t="s">
        <v>76</v>
      </c>
      <c r="M22" s="9">
        <v>139900</v>
      </c>
      <c r="N22" s="37">
        <v>0.9</v>
      </c>
      <c r="O22" s="34">
        <f t="shared" si="0"/>
        <v>13989.999999999996</v>
      </c>
      <c r="P22" s="7" t="s">
        <v>16</v>
      </c>
    </row>
    <row r="23" spans="1:16" x14ac:dyDescent="0.25">
      <c r="A23" s="33" t="str">
        <f t="shared" si="1"/>
        <v>2020 ALL D90</v>
      </c>
      <c r="B23" s="8">
        <f t="shared" si="2"/>
        <v>46099</v>
      </c>
      <c r="C23" s="8">
        <f t="shared" si="3"/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26450299</v>
      </c>
      <c r="K23" s="7" t="s">
        <v>19</v>
      </c>
      <c r="L23" s="7" t="s">
        <v>20</v>
      </c>
      <c r="M23" s="9">
        <v>139900</v>
      </c>
      <c r="N23" s="37">
        <v>0.9</v>
      </c>
      <c r="O23" s="34">
        <f t="shared" si="0"/>
        <v>13989.999999999996</v>
      </c>
      <c r="P23" s="7" t="s">
        <v>16</v>
      </c>
    </row>
    <row r="24" spans="1:16" x14ac:dyDescent="0.25">
      <c r="A24" s="33" t="str">
        <f t="shared" si="1"/>
        <v>2020 ALL D90</v>
      </c>
      <c r="B24" s="8">
        <f t="shared" si="2"/>
        <v>46099</v>
      </c>
      <c r="C24" s="8">
        <f t="shared" si="3"/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26450306</v>
      </c>
      <c r="K24" s="7" t="s">
        <v>19</v>
      </c>
      <c r="L24" s="7" t="s">
        <v>21</v>
      </c>
      <c r="M24" s="9">
        <v>139900</v>
      </c>
      <c r="N24" s="37">
        <v>0.9</v>
      </c>
      <c r="O24" s="34">
        <f t="shared" si="0"/>
        <v>13989.999999999996</v>
      </c>
      <c r="P24" s="7" t="s">
        <v>16</v>
      </c>
    </row>
    <row r="25" spans="1:16" x14ac:dyDescent="0.25">
      <c r="A25" s="33" t="str">
        <f t="shared" si="1"/>
        <v>2020 ALL D90</v>
      </c>
      <c r="B25" s="8">
        <f t="shared" si="2"/>
        <v>46099</v>
      </c>
      <c r="C25" s="8">
        <f t="shared" si="3"/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26450315</v>
      </c>
      <c r="K25" s="7" t="s">
        <v>19</v>
      </c>
      <c r="L25" s="7" t="s">
        <v>22</v>
      </c>
      <c r="M25" s="9">
        <v>139900</v>
      </c>
      <c r="N25" s="37">
        <v>0.9</v>
      </c>
      <c r="O25" s="34">
        <f t="shared" si="0"/>
        <v>13989.999999999996</v>
      </c>
      <c r="P25" s="7" t="s">
        <v>16</v>
      </c>
    </row>
    <row r="26" spans="1:16" x14ac:dyDescent="0.25">
      <c r="A26" s="33" t="str">
        <f t="shared" si="1"/>
        <v>2020 ALL D90</v>
      </c>
      <c r="B26" s="8">
        <f t="shared" si="2"/>
        <v>46099</v>
      </c>
      <c r="C26" s="8">
        <f t="shared" si="3"/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26450324</v>
      </c>
      <c r="K26" s="7" t="s">
        <v>19</v>
      </c>
      <c r="L26" s="7" t="s">
        <v>23</v>
      </c>
      <c r="M26" s="9">
        <v>139900</v>
      </c>
      <c r="N26" s="37">
        <v>0.9</v>
      </c>
      <c r="O26" s="34">
        <f t="shared" si="0"/>
        <v>13989.999999999996</v>
      </c>
      <c r="P26" s="7" t="s">
        <v>16</v>
      </c>
    </row>
    <row r="27" spans="1:16" x14ac:dyDescent="0.25">
      <c r="A27" s="33" t="str">
        <f t="shared" si="1"/>
        <v>2020 ALL D90</v>
      </c>
      <c r="B27" s="8">
        <f t="shared" si="2"/>
        <v>46099</v>
      </c>
      <c r="C27" s="8">
        <f t="shared" si="3"/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26450333</v>
      </c>
      <c r="K27" s="7" t="s">
        <v>19</v>
      </c>
      <c r="L27" s="7" t="s">
        <v>24</v>
      </c>
      <c r="M27" s="9">
        <v>139900</v>
      </c>
      <c r="N27" s="37">
        <v>0.9</v>
      </c>
      <c r="O27" s="34">
        <f t="shared" si="0"/>
        <v>13989.999999999996</v>
      </c>
      <c r="P27" s="7" t="s">
        <v>16</v>
      </c>
    </row>
    <row r="28" spans="1:16" x14ac:dyDescent="0.25">
      <c r="A28" s="33" t="str">
        <f t="shared" si="1"/>
        <v>2020 ALL D90</v>
      </c>
      <c r="B28" s="8">
        <f t="shared" si="2"/>
        <v>46099</v>
      </c>
      <c r="C28" s="8">
        <f t="shared" si="3"/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26450477</v>
      </c>
      <c r="K28" s="7" t="s">
        <v>25</v>
      </c>
      <c r="L28" s="7" t="s">
        <v>26</v>
      </c>
      <c r="M28" s="9">
        <v>139900</v>
      </c>
      <c r="N28" s="37">
        <v>0.9</v>
      </c>
      <c r="O28" s="34">
        <f t="shared" si="0"/>
        <v>13989.999999999996</v>
      </c>
      <c r="P28" s="7" t="s">
        <v>16</v>
      </c>
    </row>
    <row r="29" spans="1:16" x14ac:dyDescent="0.25">
      <c r="A29" s="33" t="str">
        <f t="shared" si="1"/>
        <v>2020 ALL D90</v>
      </c>
      <c r="B29" s="8">
        <f t="shared" si="2"/>
        <v>46099</v>
      </c>
      <c r="C29" s="8">
        <f t="shared" si="3"/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26450486</v>
      </c>
      <c r="K29" s="7" t="s">
        <v>25</v>
      </c>
      <c r="L29" s="7" t="s">
        <v>27</v>
      </c>
      <c r="M29" s="9">
        <v>139900</v>
      </c>
      <c r="N29" s="37">
        <v>0.9</v>
      </c>
      <c r="O29" s="34">
        <f t="shared" si="0"/>
        <v>13989.999999999996</v>
      </c>
      <c r="P29" s="7" t="s">
        <v>16</v>
      </c>
    </row>
    <row r="30" spans="1:16" x14ac:dyDescent="0.25">
      <c r="A30" s="33" t="str">
        <f t="shared" si="1"/>
        <v>2020 ALL D90</v>
      </c>
      <c r="B30" s="8">
        <f t="shared" si="2"/>
        <v>46099</v>
      </c>
      <c r="C30" s="8">
        <f t="shared" si="3"/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26450495</v>
      </c>
      <c r="K30" s="7" t="s">
        <v>25</v>
      </c>
      <c r="L30" s="7" t="s">
        <v>28</v>
      </c>
      <c r="M30" s="9">
        <v>139900</v>
      </c>
      <c r="N30" s="37">
        <v>0.9</v>
      </c>
      <c r="O30" s="34">
        <f t="shared" si="0"/>
        <v>13989.999999999996</v>
      </c>
      <c r="P30" s="7" t="s">
        <v>16</v>
      </c>
    </row>
    <row r="31" spans="1:16" x14ac:dyDescent="0.25">
      <c r="A31" s="33" t="str">
        <f t="shared" si="1"/>
        <v>2020 ALL D90</v>
      </c>
      <c r="B31" s="8">
        <f t="shared" si="2"/>
        <v>46099</v>
      </c>
      <c r="C31" s="8">
        <f t="shared" si="3"/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26450502</v>
      </c>
      <c r="K31" s="7" t="s">
        <v>25</v>
      </c>
      <c r="L31" s="7" t="s">
        <v>29</v>
      </c>
      <c r="M31" s="9">
        <v>139900</v>
      </c>
      <c r="N31" s="37">
        <v>0.9</v>
      </c>
      <c r="O31" s="34">
        <f t="shared" si="0"/>
        <v>13989.999999999996</v>
      </c>
      <c r="P31" s="7" t="s">
        <v>16</v>
      </c>
    </row>
    <row r="32" spans="1:16" x14ac:dyDescent="0.25">
      <c r="A32" s="33" t="str">
        <f t="shared" si="1"/>
        <v>2020 ALL D90</v>
      </c>
      <c r="B32" s="8">
        <f t="shared" si="2"/>
        <v>46099</v>
      </c>
      <c r="C32" s="8">
        <f t="shared" si="3"/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26450511</v>
      </c>
      <c r="K32" s="7" t="s">
        <v>25</v>
      </c>
      <c r="L32" s="7" t="s">
        <v>30</v>
      </c>
      <c r="M32" s="9">
        <v>139900</v>
      </c>
      <c r="N32" s="37">
        <v>0.9</v>
      </c>
      <c r="O32" s="34">
        <f t="shared" si="0"/>
        <v>13989.999999999996</v>
      </c>
      <c r="P32" s="7" t="s">
        <v>16</v>
      </c>
    </row>
    <row r="33" spans="1:16" x14ac:dyDescent="0.25">
      <c r="A33" s="33" t="str">
        <f t="shared" si="1"/>
        <v>2020 ALL D90</v>
      </c>
      <c r="B33" s="8">
        <f t="shared" si="2"/>
        <v>46099</v>
      </c>
      <c r="C33" s="8">
        <f t="shared" si="3"/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26775868</v>
      </c>
      <c r="K33" s="7" t="s">
        <v>57</v>
      </c>
      <c r="L33" s="7" t="s">
        <v>58</v>
      </c>
      <c r="M33" s="9">
        <v>129900</v>
      </c>
      <c r="N33" s="37">
        <v>0.9</v>
      </c>
      <c r="O33" s="34">
        <f t="shared" si="0"/>
        <v>12989.999999999996</v>
      </c>
      <c r="P33" s="7" t="s">
        <v>16</v>
      </c>
    </row>
    <row r="34" spans="1:16" x14ac:dyDescent="0.25">
      <c r="A34" s="33" t="str">
        <f t="shared" si="1"/>
        <v>2020 ALL D90</v>
      </c>
      <c r="B34" s="8">
        <f t="shared" si="2"/>
        <v>46099</v>
      </c>
      <c r="C34" s="8">
        <f t="shared" si="3"/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26775877</v>
      </c>
      <c r="K34" s="7" t="s">
        <v>57</v>
      </c>
      <c r="L34" s="7" t="s">
        <v>59</v>
      </c>
      <c r="M34" s="9">
        <v>129900</v>
      </c>
      <c r="N34" s="37">
        <v>0.9</v>
      </c>
      <c r="O34" s="34">
        <f t="shared" si="0"/>
        <v>12989.999999999996</v>
      </c>
      <c r="P34" s="7" t="s">
        <v>16</v>
      </c>
    </row>
    <row r="35" spans="1:16" x14ac:dyDescent="0.25">
      <c r="A35" s="33" t="str">
        <f t="shared" si="1"/>
        <v>2020 ALL D90</v>
      </c>
      <c r="B35" s="8">
        <f t="shared" si="2"/>
        <v>46099</v>
      </c>
      <c r="C35" s="8">
        <f t="shared" si="3"/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26775886</v>
      </c>
      <c r="K35" s="7" t="s">
        <v>57</v>
      </c>
      <c r="L35" s="7" t="s">
        <v>60</v>
      </c>
      <c r="M35" s="9">
        <v>129900</v>
      </c>
      <c r="N35" s="37">
        <v>0.9</v>
      </c>
      <c r="O35" s="34">
        <f t="shared" si="0"/>
        <v>12989.999999999996</v>
      </c>
      <c r="P35" s="7" t="s">
        <v>16</v>
      </c>
    </row>
    <row r="36" spans="1:16" x14ac:dyDescent="0.25">
      <c r="A36" s="33" t="str">
        <f t="shared" si="1"/>
        <v>2020 ALL D90</v>
      </c>
      <c r="B36" s="8">
        <f t="shared" si="2"/>
        <v>46099</v>
      </c>
      <c r="C36" s="8">
        <f t="shared" si="3"/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26775895</v>
      </c>
      <c r="K36" s="7" t="s">
        <v>57</v>
      </c>
      <c r="L36" s="7" t="s">
        <v>61</v>
      </c>
      <c r="M36" s="9">
        <v>129900</v>
      </c>
      <c r="N36" s="37">
        <v>0.9</v>
      </c>
      <c r="O36" s="34">
        <f t="shared" si="0"/>
        <v>12989.999999999996</v>
      </c>
      <c r="P36" s="7" t="s">
        <v>16</v>
      </c>
    </row>
    <row r="37" spans="1:16" x14ac:dyDescent="0.25">
      <c r="A37" s="33" t="str">
        <f t="shared" si="1"/>
        <v>2020 ALL D90</v>
      </c>
      <c r="B37" s="8">
        <f t="shared" si="2"/>
        <v>46099</v>
      </c>
      <c r="C37" s="8">
        <f t="shared" si="3"/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26776036</v>
      </c>
      <c r="K37" s="7" t="s">
        <v>62</v>
      </c>
      <c r="L37" s="7" t="s">
        <v>63</v>
      </c>
      <c r="M37" s="9">
        <v>129900</v>
      </c>
      <c r="N37" s="37">
        <v>0.9</v>
      </c>
      <c r="O37" s="34">
        <f t="shared" si="0"/>
        <v>12989.999999999996</v>
      </c>
      <c r="P37" s="7" t="s">
        <v>16</v>
      </c>
    </row>
    <row r="38" spans="1:16" x14ac:dyDescent="0.25">
      <c r="A38" s="33" t="str">
        <f t="shared" si="1"/>
        <v>2020 ALL D90</v>
      </c>
      <c r="B38" s="8">
        <f t="shared" si="2"/>
        <v>46099</v>
      </c>
      <c r="C38" s="8">
        <f t="shared" si="3"/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26698095</v>
      </c>
      <c r="K38" s="7" t="s">
        <v>52</v>
      </c>
      <c r="L38" s="7" t="s">
        <v>53</v>
      </c>
      <c r="M38" s="9">
        <v>129900</v>
      </c>
      <c r="N38" s="37">
        <v>0.9</v>
      </c>
      <c r="O38" s="34">
        <f t="shared" si="0"/>
        <v>12989.999999999996</v>
      </c>
      <c r="P38" s="7" t="s">
        <v>16</v>
      </c>
    </row>
    <row r="39" spans="1:16" x14ac:dyDescent="0.25">
      <c r="A39" s="33" t="str">
        <f t="shared" si="1"/>
        <v>2020 ALL D90</v>
      </c>
      <c r="B39" s="8">
        <f t="shared" si="2"/>
        <v>46099</v>
      </c>
      <c r="C39" s="8">
        <f t="shared" si="3"/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26698102</v>
      </c>
      <c r="K39" s="7" t="s">
        <v>52</v>
      </c>
      <c r="L39" s="7" t="s">
        <v>54</v>
      </c>
      <c r="M39" s="9">
        <v>129900</v>
      </c>
      <c r="N39" s="37">
        <v>0.9</v>
      </c>
      <c r="O39" s="34">
        <f t="shared" si="0"/>
        <v>12989.999999999996</v>
      </c>
      <c r="P39" s="7" t="s">
        <v>16</v>
      </c>
    </row>
    <row r="40" spans="1:16" x14ac:dyDescent="0.25">
      <c r="A40" s="33" t="str">
        <f t="shared" si="1"/>
        <v>2020 ALL D90</v>
      </c>
      <c r="B40" s="8">
        <f t="shared" si="2"/>
        <v>46099</v>
      </c>
      <c r="C40" s="8">
        <f t="shared" si="3"/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26698111</v>
      </c>
      <c r="K40" s="7" t="s">
        <v>52</v>
      </c>
      <c r="L40" s="7" t="s">
        <v>55</v>
      </c>
      <c r="M40" s="9">
        <v>129900</v>
      </c>
      <c r="N40" s="37">
        <v>0.9</v>
      </c>
      <c r="O40" s="34">
        <f t="shared" si="0"/>
        <v>12989.999999999996</v>
      </c>
      <c r="P40" s="7" t="s">
        <v>16</v>
      </c>
    </row>
    <row r="41" spans="1:16" x14ac:dyDescent="0.25">
      <c r="A41" s="33" t="str">
        <f t="shared" si="1"/>
        <v>2020 ALL D90</v>
      </c>
      <c r="B41" s="8">
        <f t="shared" si="2"/>
        <v>46099</v>
      </c>
      <c r="C41" s="8">
        <f t="shared" si="3"/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26698120</v>
      </c>
      <c r="K41" s="7" t="s">
        <v>52</v>
      </c>
      <c r="L41" s="7" t="s">
        <v>56</v>
      </c>
      <c r="M41" s="9">
        <v>129900</v>
      </c>
      <c r="N41" s="37">
        <v>0.9</v>
      </c>
      <c r="O41" s="34">
        <f t="shared" si="0"/>
        <v>12989.999999999996</v>
      </c>
      <c r="P41" s="7" t="s">
        <v>16</v>
      </c>
    </row>
    <row r="42" spans="1:16" x14ac:dyDescent="0.25">
      <c r="A42" s="33" t="str">
        <f t="shared" si="1"/>
        <v>2020 ALL D90</v>
      </c>
      <c r="B42" s="8">
        <f t="shared" si="2"/>
        <v>46099</v>
      </c>
      <c r="C42" s="8">
        <f t="shared" si="3"/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26697872</v>
      </c>
      <c r="K42" s="7" t="s">
        <v>49</v>
      </c>
      <c r="L42" s="7" t="s">
        <v>50</v>
      </c>
      <c r="M42" s="9">
        <v>129900</v>
      </c>
      <c r="N42" s="37">
        <v>0.9</v>
      </c>
      <c r="O42" s="34">
        <f t="shared" si="0"/>
        <v>12989.999999999996</v>
      </c>
      <c r="P42" s="7" t="s">
        <v>16</v>
      </c>
    </row>
    <row r="43" spans="1:16" x14ac:dyDescent="0.25">
      <c r="A43" s="33" t="str">
        <f t="shared" si="1"/>
        <v>2020 ALL D90</v>
      </c>
      <c r="B43" s="8">
        <f t="shared" si="2"/>
        <v>46099</v>
      </c>
      <c r="C43" s="8">
        <f t="shared" si="3"/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26697881</v>
      </c>
      <c r="K43" s="7" t="s">
        <v>49</v>
      </c>
      <c r="L43" s="7" t="s">
        <v>51</v>
      </c>
      <c r="M43" s="9">
        <v>129900</v>
      </c>
      <c r="N43" s="37">
        <v>0.9</v>
      </c>
      <c r="O43" s="34">
        <f t="shared" si="0"/>
        <v>12989.999999999996</v>
      </c>
      <c r="P43" s="7" t="s">
        <v>16</v>
      </c>
    </row>
    <row r="44" spans="1:16" x14ac:dyDescent="0.25">
      <c r="A44" s="33" t="str">
        <f t="shared" si="1"/>
        <v>2020 ALL D90</v>
      </c>
      <c r="B44" s="8">
        <f t="shared" si="2"/>
        <v>46099</v>
      </c>
      <c r="C44" s="8">
        <f t="shared" si="3"/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26872646</v>
      </c>
      <c r="K44" s="7" t="s">
        <v>68</v>
      </c>
      <c r="L44" s="7" t="s">
        <v>69</v>
      </c>
      <c r="M44" s="9">
        <v>129900</v>
      </c>
      <c r="N44" s="37">
        <v>0.9</v>
      </c>
      <c r="O44" s="34">
        <f t="shared" si="0"/>
        <v>12989.999999999996</v>
      </c>
      <c r="P44" s="7" t="s">
        <v>16</v>
      </c>
    </row>
    <row r="45" spans="1:16" x14ac:dyDescent="0.25">
      <c r="A45" s="33" t="str">
        <f t="shared" si="1"/>
        <v>2020 ALL D90</v>
      </c>
      <c r="B45" s="8">
        <f t="shared" si="2"/>
        <v>46099</v>
      </c>
      <c r="C45" s="8">
        <f t="shared" si="3"/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26872664</v>
      </c>
      <c r="K45" s="7" t="s">
        <v>68</v>
      </c>
      <c r="L45" s="7" t="s">
        <v>70</v>
      </c>
      <c r="M45" s="9">
        <v>129900</v>
      </c>
      <c r="N45" s="37">
        <v>0.9</v>
      </c>
      <c r="O45" s="34">
        <f t="shared" si="0"/>
        <v>12989.999999999996</v>
      </c>
      <c r="P45" s="7" t="s">
        <v>16</v>
      </c>
    </row>
    <row r="46" spans="1:16" x14ac:dyDescent="0.25">
      <c r="A46" s="33" t="str">
        <f t="shared" si="1"/>
        <v>2020 ALL D90</v>
      </c>
      <c r="B46" s="8">
        <f t="shared" si="2"/>
        <v>46099</v>
      </c>
      <c r="C46" s="8">
        <f t="shared" si="3"/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26872673</v>
      </c>
      <c r="K46" s="7" t="s">
        <v>68</v>
      </c>
      <c r="L46" s="7" t="s">
        <v>71</v>
      </c>
      <c r="M46" s="9">
        <v>129900</v>
      </c>
      <c r="N46" s="37">
        <v>0.9</v>
      </c>
      <c r="O46" s="34">
        <f t="shared" si="0"/>
        <v>12989.999999999996</v>
      </c>
      <c r="P46" s="7" t="s">
        <v>16</v>
      </c>
    </row>
    <row r="47" spans="1:16" x14ac:dyDescent="0.25">
      <c r="A47" s="33" t="str">
        <f t="shared" si="1"/>
        <v>2020 ALL D90</v>
      </c>
      <c r="B47" s="8">
        <f t="shared" si="2"/>
        <v>46099</v>
      </c>
      <c r="C47" s="8">
        <f t="shared" si="3"/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26872744</v>
      </c>
      <c r="K47" s="7" t="s">
        <v>72</v>
      </c>
      <c r="L47" s="7" t="s">
        <v>73</v>
      </c>
      <c r="M47" s="9">
        <v>129900</v>
      </c>
      <c r="N47" s="37">
        <v>0.9</v>
      </c>
      <c r="O47" s="34">
        <f t="shared" si="0"/>
        <v>12989.999999999996</v>
      </c>
      <c r="P47" s="7" t="s">
        <v>16</v>
      </c>
    </row>
    <row r="48" spans="1:16" x14ac:dyDescent="0.25">
      <c r="A48" s="33" t="str">
        <f t="shared" si="1"/>
        <v>2020 ALL D90</v>
      </c>
      <c r="B48" s="8">
        <f t="shared" si="2"/>
        <v>46099</v>
      </c>
      <c r="C48" s="8">
        <f t="shared" si="3"/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26872753</v>
      </c>
      <c r="K48" s="7" t="s">
        <v>72</v>
      </c>
      <c r="L48" s="7" t="s">
        <v>74</v>
      </c>
      <c r="M48" s="9">
        <v>129900</v>
      </c>
      <c r="N48" s="37">
        <v>0.9</v>
      </c>
      <c r="O48" s="34">
        <f t="shared" si="0"/>
        <v>12989.999999999996</v>
      </c>
      <c r="P48" s="7" t="s">
        <v>16</v>
      </c>
    </row>
    <row r="49" spans="1:16" x14ac:dyDescent="0.25">
      <c r="A49" s="33" t="str">
        <f t="shared" si="1"/>
        <v>2020 ALL D90</v>
      </c>
      <c r="B49" s="8">
        <f t="shared" si="2"/>
        <v>46099</v>
      </c>
      <c r="C49" s="8">
        <f t="shared" si="3"/>
        <v>46113</v>
      </c>
      <c r="D49" s="7">
        <v>3272</v>
      </c>
      <c r="E49" s="7">
        <v>336</v>
      </c>
      <c r="F49" s="7">
        <v>4</v>
      </c>
      <c r="G49" s="7">
        <v>4</v>
      </c>
      <c r="H49" s="7">
        <v>81379</v>
      </c>
      <c r="I49" s="7" t="s">
        <v>104</v>
      </c>
      <c r="J49" s="7">
        <v>26640271</v>
      </c>
      <c r="K49" s="7" t="s">
        <v>80</v>
      </c>
      <c r="L49" s="7" t="s">
        <v>81</v>
      </c>
      <c r="M49" s="9">
        <v>149900</v>
      </c>
      <c r="N49" s="37">
        <v>0.9</v>
      </c>
      <c r="O49" s="34">
        <f t="shared" si="0"/>
        <v>14989.999999999996</v>
      </c>
      <c r="P49" s="7" t="s">
        <v>16</v>
      </c>
    </row>
    <row r="50" spans="1:16" x14ac:dyDescent="0.25">
      <c r="A50" s="33" t="str">
        <f t="shared" si="1"/>
        <v>2020 ALL D90</v>
      </c>
      <c r="B50" s="8">
        <f t="shared" si="2"/>
        <v>46099</v>
      </c>
      <c r="C50" s="8">
        <f t="shared" si="3"/>
        <v>46113</v>
      </c>
      <c r="D50" s="7">
        <v>3272</v>
      </c>
      <c r="E50" s="7">
        <v>336</v>
      </c>
      <c r="F50" s="7">
        <v>4</v>
      </c>
      <c r="G50" s="7">
        <v>5</v>
      </c>
      <c r="H50" s="7">
        <v>81379</v>
      </c>
      <c r="I50" s="7" t="s">
        <v>104</v>
      </c>
      <c r="J50" s="7">
        <v>26890215</v>
      </c>
      <c r="K50" s="7" t="s">
        <v>82</v>
      </c>
      <c r="L50" s="7" t="s">
        <v>83</v>
      </c>
      <c r="M50" s="9">
        <v>199900</v>
      </c>
      <c r="N50" s="37">
        <v>0.9</v>
      </c>
      <c r="O50" s="34">
        <f t="shared" si="0"/>
        <v>19989.999999999996</v>
      </c>
      <c r="P50" s="7" t="s">
        <v>16</v>
      </c>
    </row>
    <row r="51" spans="1:16" x14ac:dyDescent="0.25">
      <c r="A51" s="33" t="str">
        <f t="shared" si="1"/>
        <v>2020 ALL D90</v>
      </c>
      <c r="B51" s="8">
        <f t="shared" si="2"/>
        <v>46099</v>
      </c>
      <c r="C51" s="8">
        <f t="shared" si="3"/>
        <v>46113</v>
      </c>
      <c r="D51" s="7">
        <v>3272</v>
      </c>
      <c r="E51" s="7">
        <v>336</v>
      </c>
      <c r="F51" s="7">
        <v>4</v>
      </c>
      <c r="G51" s="7">
        <v>5</v>
      </c>
      <c r="H51" s="7">
        <v>81379</v>
      </c>
      <c r="I51" s="7" t="s">
        <v>104</v>
      </c>
      <c r="J51" s="7">
        <v>26890224</v>
      </c>
      <c r="K51" s="7" t="s">
        <v>82</v>
      </c>
      <c r="L51" s="7" t="s">
        <v>84</v>
      </c>
      <c r="M51" s="9">
        <v>199900</v>
      </c>
      <c r="N51" s="37">
        <v>0.9</v>
      </c>
      <c r="O51" s="34">
        <f t="shared" si="0"/>
        <v>19989.999999999996</v>
      </c>
      <c r="P51" s="7" t="s">
        <v>16</v>
      </c>
    </row>
    <row r="52" spans="1:16" x14ac:dyDescent="0.25">
      <c r="A52" s="33" t="str">
        <f t="shared" si="1"/>
        <v>2020 ALL D90</v>
      </c>
      <c r="B52" s="8">
        <f t="shared" si="2"/>
        <v>46099</v>
      </c>
      <c r="C52" s="8">
        <f t="shared" si="3"/>
        <v>46113</v>
      </c>
      <c r="D52" s="7">
        <v>3272</v>
      </c>
      <c r="E52" s="7">
        <v>336</v>
      </c>
      <c r="F52" s="7">
        <v>4</v>
      </c>
      <c r="G52" s="7">
        <v>5</v>
      </c>
      <c r="H52" s="7">
        <v>81379</v>
      </c>
      <c r="I52" s="7" t="s">
        <v>104</v>
      </c>
      <c r="J52" s="7">
        <v>26890233</v>
      </c>
      <c r="K52" s="7" t="s">
        <v>82</v>
      </c>
      <c r="L52" s="7" t="s">
        <v>85</v>
      </c>
      <c r="M52" s="9">
        <v>199900</v>
      </c>
      <c r="N52" s="37">
        <v>0.9</v>
      </c>
      <c r="O52" s="34">
        <f t="shared" si="0"/>
        <v>19989.999999999996</v>
      </c>
      <c r="P52" s="7" t="s">
        <v>16</v>
      </c>
    </row>
    <row r="53" spans="1:16" x14ac:dyDescent="0.25">
      <c r="A53" s="33" t="str">
        <f t="shared" si="1"/>
        <v>2020 ALL D90</v>
      </c>
      <c r="B53" s="8">
        <f t="shared" si="2"/>
        <v>46099</v>
      </c>
      <c r="C53" s="8">
        <f t="shared" si="3"/>
        <v>46113</v>
      </c>
      <c r="D53" s="7">
        <v>3272</v>
      </c>
      <c r="E53" s="7">
        <v>336</v>
      </c>
      <c r="F53" s="7">
        <v>4</v>
      </c>
      <c r="G53" s="7">
        <v>5</v>
      </c>
      <c r="H53" s="7">
        <v>81379</v>
      </c>
      <c r="I53" s="7" t="s">
        <v>104</v>
      </c>
      <c r="J53" s="7">
        <v>26890242</v>
      </c>
      <c r="K53" s="7" t="s">
        <v>82</v>
      </c>
      <c r="L53" s="7" t="s">
        <v>86</v>
      </c>
      <c r="M53" s="9">
        <v>199900</v>
      </c>
      <c r="N53" s="37">
        <v>0.9</v>
      </c>
      <c r="O53" s="34">
        <f t="shared" si="0"/>
        <v>19989.999999999996</v>
      </c>
      <c r="P53" s="7" t="s">
        <v>16</v>
      </c>
    </row>
  </sheetData>
  <autoFilter ref="A1:P1" xr:uid="{00000000-0009-0000-0000-000001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7"/>
  <sheetViews>
    <sheetView zoomScale="86" zoomScaleNormal="86" workbookViewId="0">
      <pane ySplit="1" topLeftCell="A2" activePane="bottomLeft" state="frozen"/>
      <selection activeCell="I267" sqref="I267"/>
      <selection pane="bottomLeft" activeCell="I267" sqref="I267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4052</v>
      </c>
      <c r="B2" s="8">
        <f>'2019 ALL D95'!B2</f>
        <v>46099</v>
      </c>
      <c r="C2" s="8">
        <f>'2019 ALL D95'!C2</f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26449989</v>
      </c>
      <c r="K2" s="7" t="s">
        <v>105</v>
      </c>
      <c r="L2" s="7" t="s">
        <v>106</v>
      </c>
      <c r="M2" s="9">
        <v>129900</v>
      </c>
      <c r="N2" s="10">
        <v>0.9</v>
      </c>
      <c r="O2" s="9">
        <f>M2*(1-N2)</f>
        <v>12989.999999999996</v>
      </c>
      <c r="P2" s="7" t="s">
        <v>16</v>
      </c>
    </row>
    <row r="3" spans="1:16" x14ac:dyDescent="0.25">
      <c r="A3" s="33" t="str">
        <f>A2</f>
        <v>2021 ALL D90</v>
      </c>
      <c r="B3" s="8">
        <f>B2</f>
        <v>46099</v>
      </c>
      <c r="C3" s="8">
        <f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26449998</v>
      </c>
      <c r="K3" s="7" t="s">
        <v>105</v>
      </c>
      <c r="L3" s="7" t="s">
        <v>107</v>
      </c>
      <c r="M3" s="9">
        <v>129900</v>
      </c>
      <c r="N3" s="37">
        <v>0.9</v>
      </c>
      <c r="O3" s="9">
        <f t="shared" ref="O3:O66" si="0">M3*(1-N3)</f>
        <v>12989.999999999996</v>
      </c>
      <c r="P3" s="7" t="s">
        <v>16</v>
      </c>
    </row>
    <row r="4" spans="1:16" x14ac:dyDescent="0.25">
      <c r="A4" s="33" t="str">
        <f t="shared" ref="A4:A67" si="1">A3</f>
        <v>2021 ALL D90</v>
      </c>
      <c r="B4" s="8">
        <f t="shared" ref="B4:B67" si="2">B3</f>
        <v>46099</v>
      </c>
      <c r="C4" s="8">
        <f t="shared" ref="C4:C67" si="3">C3</f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26450002</v>
      </c>
      <c r="K4" s="7" t="s">
        <v>105</v>
      </c>
      <c r="L4" s="7" t="s">
        <v>108</v>
      </c>
      <c r="M4" s="9">
        <v>129900</v>
      </c>
      <c r="N4" s="37">
        <v>0.9</v>
      </c>
      <c r="O4" s="9">
        <f t="shared" si="0"/>
        <v>12989.999999999996</v>
      </c>
      <c r="P4" s="7" t="s">
        <v>16</v>
      </c>
    </row>
    <row r="5" spans="1:16" x14ac:dyDescent="0.25">
      <c r="A5" s="33" t="str">
        <f t="shared" si="1"/>
        <v>2021 ALL D90</v>
      </c>
      <c r="B5" s="8">
        <f t="shared" si="2"/>
        <v>46099</v>
      </c>
      <c r="C5" s="8">
        <f t="shared" si="3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26450011</v>
      </c>
      <c r="K5" s="7" t="s">
        <v>105</v>
      </c>
      <c r="L5" s="7" t="s">
        <v>109</v>
      </c>
      <c r="M5" s="9">
        <v>129900</v>
      </c>
      <c r="N5" s="37">
        <v>0.9</v>
      </c>
      <c r="O5" s="9">
        <f t="shared" si="0"/>
        <v>12989.999999999996</v>
      </c>
      <c r="P5" s="7" t="s">
        <v>16</v>
      </c>
    </row>
    <row r="6" spans="1:16" x14ac:dyDescent="0.25">
      <c r="A6" s="33" t="str">
        <f t="shared" si="1"/>
        <v>2021 ALL D90</v>
      </c>
      <c r="B6" s="8">
        <f t="shared" si="2"/>
        <v>46099</v>
      </c>
      <c r="C6" s="8">
        <f t="shared" si="3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26872628</v>
      </c>
      <c r="K6" s="7" t="s">
        <v>110</v>
      </c>
      <c r="L6" s="7" t="s">
        <v>111</v>
      </c>
      <c r="M6" s="9">
        <v>139900</v>
      </c>
      <c r="N6" s="37">
        <v>0.9</v>
      </c>
      <c r="O6" s="9">
        <f t="shared" si="0"/>
        <v>13989.999999999996</v>
      </c>
      <c r="P6" s="7" t="s">
        <v>16</v>
      </c>
    </row>
    <row r="7" spans="1:16" x14ac:dyDescent="0.25">
      <c r="A7" s="33" t="str">
        <f t="shared" si="1"/>
        <v>2021 ALL D90</v>
      </c>
      <c r="B7" s="8">
        <f t="shared" si="2"/>
        <v>46099</v>
      </c>
      <c r="C7" s="8">
        <f t="shared" si="3"/>
        <v>46113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26872637</v>
      </c>
      <c r="K7" s="7" t="s">
        <v>110</v>
      </c>
      <c r="L7" s="7" t="s">
        <v>112</v>
      </c>
      <c r="M7" s="9">
        <v>139900</v>
      </c>
      <c r="N7" s="37">
        <v>0.9</v>
      </c>
      <c r="O7" s="9">
        <f t="shared" si="0"/>
        <v>13989.999999999996</v>
      </c>
      <c r="P7" s="7" t="s">
        <v>16</v>
      </c>
    </row>
    <row r="8" spans="1:16" x14ac:dyDescent="0.25">
      <c r="A8" s="33" t="str">
        <f t="shared" si="1"/>
        <v>2021 ALL D90</v>
      </c>
      <c r="B8" s="8">
        <f t="shared" si="2"/>
        <v>46099</v>
      </c>
      <c r="C8" s="8">
        <f t="shared" si="3"/>
        <v>46113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26780147</v>
      </c>
      <c r="K8" s="7" t="s">
        <v>113</v>
      </c>
      <c r="L8" s="7" t="s">
        <v>114</v>
      </c>
      <c r="M8" s="9">
        <v>139900</v>
      </c>
      <c r="N8" s="37">
        <v>0.9</v>
      </c>
      <c r="O8" s="9">
        <f t="shared" si="0"/>
        <v>13989.999999999996</v>
      </c>
      <c r="P8" s="7" t="s">
        <v>16</v>
      </c>
    </row>
    <row r="9" spans="1:16" x14ac:dyDescent="0.25">
      <c r="A9" s="33" t="str">
        <f t="shared" si="1"/>
        <v>2021 ALL D90</v>
      </c>
      <c r="B9" s="8">
        <f t="shared" si="2"/>
        <v>46099</v>
      </c>
      <c r="C9" s="8">
        <f t="shared" si="3"/>
        <v>46113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26780165</v>
      </c>
      <c r="K9" s="7" t="s">
        <v>113</v>
      </c>
      <c r="L9" s="7" t="s">
        <v>115</v>
      </c>
      <c r="M9" s="9">
        <v>139900</v>
      </c>
      <c r="N9" s="37">
        <v>0.9</v>
      </c>
      <c r="O9" s="9">
        <f t="shared" si="0"/>
        <v>13989.999999999996</v>
      </c>
      <c r="P9" s="7" t="s">
        <v>16</v>
      </c>
    </row>
    <row r="10" spans="1:16" x14ac:dyDescent="0.25">
      <c r="A10" s="33" t="str">
        <f t="shared" si="1"/>
        <v>2021 ALL D90</v>
      </c>
      <c r="B10" s="8">
        <f t="shared" si="2"/>
        <v>46099</v>
      </c>
      <c r="C10" s="8">
        <f t="shared" si="3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26780138</v>
      </c>
      <c r="K10" s="7" t="s">
        <v>113</v>
      </c>
      <c r="L10" s="7" t="s">
        <v>116</v>
      </c>
      <c r="M10" s="9">
        <v>139900</v>
      </c>
      <c r="N10" s="37">
        <v>0.9</v>
      </c>
      <c r="O10" s="9">
        <f t="shared" si="0"/>
        <v>13989.999999999996</v>
      </c>
      <c r="P10" s="7" t="s">
        <v>16</v>
      </c>
    </row>
    <row r="11" spans="1:16" x14ac:dyDescent="0.25">
      <c r="A11" s="33" t="str">
        <f t="shared" si="1"/>
        <v>2021 ALL D90</v>
      </c>
      <c r="B11" s="8">
        <f t="shared" si="2"/>
        <v>46099</v>
      </c>
      <c r="C11" s="8">
        <f t="shared" si="3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26872459</v>
      </c>
      <c r="K11" s="7" t="s">
        <v>117</v>
      </c>
      <c r="L11" s="7" t="s">
        <v>118</v>
      </c>
      <c r="M11" s="9">
        <v>139900</v>
      </c>
      <c r="N11" s="37">
        <v>0.9</v>
      </c>
      <c r="O11" s="9">
        <f t="shared" si="0"/>
        <v>13989.999999999996</v>
      </c>
      <c r="P11" s="7" t="s">
        <v>16</v>
      </c>
    </row>
    <row r="12" spans="1:16" x14ac:dyDescent="0.25">
      <c r="A12" s="33" t="str">
        <f t="shared" si="1"/>
        <v>2021 ALL D90</v>
      </c>
      <c r="B12" s="8">
        <f t="shared" si="2"/>
        <v>46099</v>
      </c>
      <c r="C12" s="8">
        <f t="shared" si="3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81676</v>
      </c>
      <c r="I12" s="7" t="s">
        <v>104</v>
      </c>
      <c r="J12" s="7">
        <v>28487283</v>
      </c>
      <c r="K12" s="7" t="s">
        <v>119</v>
      </c>
      <c r="L12" s="7" t="s">
        <v>120</v>
      </c>
      <c r="M12" s="9">
        <v>129900</v>
      </c>
      <c r="N12" s="37">
        <v>0.9</v>
      </c>
      <c r="O12" s="9">
        <f t="shared" si="0"/>
        <v>12989.999999999996</v>
      </c>
      <c r="P12" s="7" t="s">
        <v>16</v>
      </c>
    </row>
    <row r="13" spans="1:16" x14ac:dyDescent="0.25">
      <c r="A13" s="33" t="str">
        <f t="shared" si="1"/>
        <v>2021 ALL D90</v>
      </c>
      <c r="B13" s="8">
        <f t="shared" si="2"/>
        <v>46099</v>
      </c>
      <c r="C13" s="8">
        <f t="shared" si="3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81676</v>
      </c>
      <c r="I13" s="7" t="s">
        <v>104</v>
      </c>
      <c r="J13" s="7">
        <v>28487247</v>
      </c>
      <c r="K13" s="7" t="s">
        <v>121</v>
      </c>
      <c r="L13" s="7" t="s">
        <v>122</v>
      </c>
      <c r="M13" s="9">
        <v>129900</v>
      </c>
      <c r="N13" s="37">
        <v>0.9</v>
      </c>
      <c r="O13" s="9">
        <f t="shared" si="0"/>
        <v>12989.999999999996</v>
      </c>
      <c r="P13" s="7" t="s">
        <v>16</v>
      </c>
    </row>
    <row r="14" spans="1:16" x14ac:dyDescent="0.25">
      <c r="A14" s="33" t="str">
        <f t="shared" si="1"/>
        <v>2021 ALL D90</v>
      </c>
      <c r="B14" s="8">
        <f t="shared" si="2"/>
        <v>46099</v>
      </c>
      <c r="C14" s="8">
        <f t="shared" si="3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26776947</v>
      </c>
      <c r="K14" s="7" t="s">
        <v>123</v>
      </c>
      <c r="L14" s="7" t="s">
        <v>124</v>
      </c>
      <c r="M14" s="9">
        <v>129900</v>
      </c>
      <c r="N14" s="37">
        <v>0.9</v>
      </c>
      <c r="O14" s="9">
        <f t="shared" si="0"/>
        <v>12989.999999999996</v>
      </c>
      <c r="P14" s="7" t="s">
        <v>16</v>
      </c>
    </row>
    <row r="15" spans="1:16" x14ac:dyDescent="0.25">
      <c r="A15" s="33" t="str">
        <f t="shared" si="1"/>
        <v>2021 ALL D90</v>
      </c>
      <c r="B15" s="8">
        <f t="shared" si="2"/>
        <v>46099</v>
      </c>
      <c r="C15" s="8">
        <f t="shared" si="3"/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32152644</v>
      </c>
      <c r="K15" s="7" t="s">
        <v>125</v>
      </c>
      <c r="L15" s="7" t="s">
        <v>126</v>
      </c>
      <c r="M15" s="9">
        <v>139900</v>
      </c>
      <c r="N15" s="37">
        <v>0.9</v>
      </c>
      <c r="O15" s="9">
        <f t="shared" si="0"/>
        <v>13989.999999999996</v>
      </c>
      <c r="P15" s="7" t="s">
        <v>16</v>
      </c>
    </row>
    <row r="16" spans="1:16" x14ac:dyDescent="0.25">
      <c r="A16" s="33" t="str">
        <f t="shared" si="1"/>
        <v>2021 ALL D90</v>
      </c>
      <c r="B16" s="8">
        <f t="shared" si="2"/>
        <v>46099</v>
      </c>
      <c r="C16" s="8">
        <f t="shared" si="3"/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32152653</v>
      </c>
      <c r="K16" s="7" t="s">
        <v>125</v>
      </c>
      <c r="L16" s="7" t="s">
        <v>127</v>
      </c>
      <c r="M16" s="9">
        <v>139900</v>
      </c>
      <c r="N16" s="37">
        <v>0.9</v>
      </c>
      <c r="O16" s="9">
        <f t="shared" si="0"/>
        <v>13989.999999999996</v>
      </c>
      <c r="P16" s="7" t="s">
        <v>16</v>
      </c>
    </row>
    <row r="17" spans="1:16" x14ac:dyDescent="0.25">
      <c r="A17" s="33" t="str">
        <f t="shared" si="1"/>
        <v>2021 ALL D90</v>
      </c>
      <c r="B17" s="8">
        <f t="shared" si="2"/>
        <v>46099</v>
      </c>
      <c r="C17" s="8">
        <f t="shared" si="3"/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32152662</v>
      </c>
      <c r="K17" s="7" t="s">
        <v>125</v>
      </c>
      <c r="L17" s="7" t="s">
        <v>128</v>
      </c>
      <c r="M17" s="9">
        <v>139900</v>
      </c>
      <c r="N17" s="37">
        <v>0.9</v>
      </c>
      <c r="O17" s="9">
        <f t="shared" si="0"/>
        <v>13989.999999999996</v>
      </c>
      <c r="P17" s="7" t="s">
        <v>16</v>
      </c>
    </row>
    <row r="18" spans="1:16" x14ac:dyDescent="0.25">
      <c r="A18" s="33" t="str">
        <f t="shared" si="1"/>
        <v>2021 ALL D90</v>
      </c>
      <c r="B18" s="8">
        <f t="shared" si="2"/>
        <v>46099</v>
      </c>
      <c r="C18" s="8">
        <f t="shared" si="3"/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32157489</v>
      </c>
      <c r="K18" s="7" t="s">
        <v>129</v>
      </c>
      <c r="L18" s="7" t="s">
        <v>130</v>
      </c>
      <c r="M18" s="9">
        <v>129900</v>
      </c>
      <c r="N18" s="37">
        <v>0.9</v>
      </c>
      <c r="O18" s="9">
        <f t="shared" si="0"/>
        <v>12989.999999999996</v>
      </c>
      <c r="P18" s="7" t="s">
        <v>16</v>
      </c>
    </row>
    <row r="19" spans="1:16" x14ac:dyDescent="0.25">
      <c r="A19" s="33" t="str">
        <f t="shared" si="1"/>
        <v>2021 ALL D90</v>
      </c>
      <c r="B19" s="8">
        <f t="shared" si="2"/>
        <v>46099</v>
      </c>
      <c r="C19" s="8">
        <f t="shared" si="3"/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33238729</v>
      </c>
      <c r="K19" s="7" t="s">
        <v>131</v>
      </c>
      <c r="L19" s="7" t="s">
        <v>132</v>
      </c>
      <c r="M19" s="9">
        <v>129900</v>
      </c>
      <c r="N19" s="37">
        <v>0.9</v>
      </c>
      <c r="O19" s="9">
        <f t="shared" si="0"/>
        <v>12989.999999999996</v>
      </c>
      <c r="P19" s="7" t="s">
        <v>16</v>
      </c>
    </row>
    <row r="20" spans="1:16" x14ac:dyDescent="0.25">
      <c r="A20" s="33" t="str">
        <f t="shared" si="1"/>
        <v>2021 ALL D90</v>
      </c>
      <c r="B20" s="8">
        <f t="shared" si="2"/>
        <v>46099</v>
      </c>
      <c r="C20" s="8">
        <f t="shared" si="3"/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33238738</v>
      </c>
      <c r="K20" s="7" t="s">
        <v>131</v>
      </c>
      <c r="L20" s="7" t="s">
        <v>133</v>
      </c>
      <c r="M20" s="9">
        <v>129900</v>
      </c>
      <c r="N20" s="37">
        <v>0.9</v>
      </c>
      <c r="O20" s="9">
        <f t="shared" si="0"/>
        <v>12989.999999999996</v>
      </c>
      <c r="P20" s="7" t="s">
        <v>16</v>
      </c>
    </row>
    <row r="21" spans="1:16" x14ac:dyDescent="0.25">
      <c r="A21" s="33" t="str">
        <f t="shared" si="1"/>
        <v>2021 ALL D90</v>
      </c>
      <c r="B21" s="8">
        <f t="shared" si="2"/>
        <v>46099</v>
      </c>
      <c r="C21" s="8">
        <f t="shared" si="3"/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33238747</v>
      </c>
      <c r="K21" s="7" t="s">
        <v>131</v>
      </c>
      <c r="L21" s="7" t="s">
        <v>134</v>
      </c>
      <c r="M21" s="9">
        <v>129900</v>
      </c>
      <c r="N21" s="37">
        <v>0.9</v>
      </c>
      <c r="O21" s="9">
        <f t="shared" si="0"/>
        <v>12989.999999999996</v>
      </c>
      <c r="P21" s="7" t="s">
        <v>16</v>
      </c>
    </row>
    <row r="22" spans="1:16" x14ac:dyDescent="0.25">
      <c r="A22" s="33" t="str">
        <f t="shared" si="1"/>
        <v>2021 ALL D90</v>
      </c>
      <c r="B22" s="8">
        <f t="shared" si="2"/>
        <v>46099</v>
      </c>
      <c r="C22" s="8">
        <f t="shared" si="3"/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33238756</v>
      </c>
      <c r="K22" s="7" t="s">
        <v>131</v>
      </c>
      <c r="L22" s="7" t="s">
        <v>135</v>
      </c>
      <c r="M22" s="9">
        <v>129900</v>
      </c>
      <c r="N22" s="37">
        <v>0.9</v>
      </c>
      <c r="O22" s="9">
        <f t="shared" si="0"/>
        <v>12989.999999999996</v>
      </c>
      <c r="P22" s="7" t="s">
        <v>16</v>
      </c>
    </row>
    <row r="23" spans="1:16" x14ac:dyDescent="0.25">
      <c r="A23" s="33" t="str">
        <f t="shared" si="1"/>
        <v>2021 ALL D90</v>
      </c>
      <c r="B23" s="8">
        <f t="shared" si="2"/>
        <v>46099</v>
      </c>
      <c r="C23" s="8">
        <f t="shared" si="3"/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33238827</v>
      </c>
      <c r="K23" s="7" t="s">
        <v>136</v>
      </c>
      <c r="L23" s="7" t="s">
        <v>137</v>
      </c>
      <c r="M23" s="9">
        <v>139900</v>
      </c>
      <c r="N23" s="37">
        <v>0.9</v>
      </c>
      <c r="O23" s="9">
        <f t="shared" si="0"/>
        <v>13989.999999999996</v>
      </c>
      <c r="P23" s="7" t="s">
        <v>16</v>
      </c>
    </row>
    <row r="24" spans="1:16" x14ac:dyDescent="0.25">
      <c r="A24" s="33" t="str">
        <f t="shared" si="1"/>
        <v>2021 ALL D90</v>
      </c>
      <c r="B24" s="8">
        <f t="shared" si="2"/>
        <v>46099</v>
      </c>
      <c r="C24" s="8">
        <f t="shared" si="3"/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33238854</v>
      </c>
      <c r="K24" s="7" t="s">
        <v>136</v>
      </c>
      <c r="L24" s="7" t="s">
        <v>138</v>
      </c>
      <c r="M24" s="9">
        <v>139900</v>
      </c>
      <c r="N24" s="37">
        <v>0.9</v>
      </c>
      <c r="O24" s="9">
        <f t="shared" si="0"/>
        <v>13989.999999999996</v>
      </c>
      <c r="P24" s="7" t="s">
        <v>16</v>
      </c>
    </row>
    <row r="25" spans="1:16" x14ac:dyDescent="0.25">
      <c r="A25" s="33" t="str">
        <f t="shared" si="1"/>
        <v>2021 ALL D90</v>
      </c>
      <c r="B25" s="8">
        <f t="shared" si="2"/>
        <v>46099</v>
      </c>
      <c r="C25" s="8">
        <f t="shared" si="3"/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33238863</v>
      </c>
      <c r="K25" s="7" t="s">
        <v>136</v>
      </c>
      <c r="L25" s="7" t="s">
        <v>139</v>
      </c>
      <c r="M25" s="9">
        <v>139900</v>
      </c>
      <c r="N25" s="37">
        <v>0.9</v>
      </c>
      <c r="O25" s="9">
        <f t="shared" si="0"/>
        <v>13989.999999999996</v>
      </c>
      <c r="P25" s="7" t="s">
        <v>16</v>
      </c>
    </row>
    <row r="26" spans="1:16" x14ac:dyDescent="0.25">
      <c r="A26" s="33" t="str">
        <f t="shared" si="1"/>
        <v>2021 ALL D90</v>
      </c>
      <c r="B26" s="8">
        <f t="shared" si="2"/>
        <v>46099</v>
      </c>
      <c r="C26" s="8">
        <f t="shared" si="3"/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33238774</v>
      </c>
      <c r="K26" s="7" t="s">
        <v>140</v>
      </c>
      <c r="L26" s="7" t="s">
        <v>141</v>
      </c>
      <c r="M26" s="9">
        <v>139900</v>
      </c>
      <c r="N26" s="37">
        <v>0.9</v>
      </c>
      <c r="O26" s="9">
        <f t="shared" si="0"/>
        <v>13989.999999999996</v>
      </c>
      <c r="P26" s="7" t="s">
        <v>16</v>
      </c>
    </row>
    <row r="27" spans="1:16" x14ac:dyDescent="0.25">
      <c r="A27" s="33" t="str">
        <f t="shared" si="1"/>
        <v>2021 ALL D90</v>
      </c>
      <c r="B27" s="8">
        <f t="shared" si="2"/>
        <v>46099</v>
      </c>
      <c r="C27" s="8">
        <f t="shared" si="3"/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33238783</v>
      </c>
      <c r="K27" s="7" t="s">
        <v>140</v>
      </c>
      <c r="L27" s="7" t="s">
        <v>142</v>
      </c>
      <c r="M27" s="9">
        <v>139900</v>
      </c>
      <c r="N27" s="37">
        <v>0.9</v>
      </c>
      <c r="O27" s="9">
        <f t="shared" si="0"/>
        <v>13989.999999999996</v>
      </c>
      <c r="P27" s="7" t="s">
        <v>16</v>
      </c>
    </row>
    <row r="28" spans="1:16" x14ac:dyDescent="0.25">
      <c r="A28" s="33" t="str">
        <f t="shared" si="1"/>
        <v>2021 ALL D90</v>
      </c>
      <c r="B28" s="8">
        <f t="shared" si="2"/>
        <v>46099</v>
      </c>
      <c r="C28" s="8">
        <f t="shared" si="3"/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33238792</v>
      </c>
      <c r="K28" s="7" t="s">
        <v>140</v>
      </c>
      <c r="L28" s="7" t="s">
        <v>143</v>
      </c>
      <c r="M28" s="9">
        <v>139900</v>
      </c>
      <c r="N28" s="37">
        <v>0.9</v>
      </c>
      <c r="O28" s="9">
        <f t="shared" si="0"/>
        <v>13989.999999999996</v>
      </c>
      <c r="P28" s="7" t="s">
        <v>16</v>
      </c>
    </row>
    <row r="29" spans="1:16" x14ac:dyDescent="0.25">
      <c r="A29" s="33" t="str">
        <f t="shared" si="1"/>
        <v>2021 ALL D90</v>
      </c>
      <c r="B29" s="8">
        <f t="shared" si="2"/>
        <v>46099</v>
      </c>
      <c r="C29" s="8">
        <f t="shared" si="3"/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33238809</v>
      </c>
      <c r="K29" s="7" t="s">
        <v>140</v>
      </c>
      <c r="L29" s="7" t="s">
        <v>144</v>
      </c>
      <c r="M29" s="9">
        <v>139900</v>
      </c>
      <c r="N29" s="37">
        <v>0.9</v>
      </c>
      <c r="O29" s="9">
        <f t="shared" si="0"/>
        <v>13989.999999999996</v>
      </c>
      <c r="P29" s="7" t="s">
        <v>16</v>
      </c>
    </row>
    <row r="30" spans="1:16" x14ac:dyDescent="0.25">
      <c r="A30" s="33" t="str">
        <f t="shared" si="1"/>
        <v>2021 ALL D90</v>
      </c>
      <c r="B30" s="8">
        <f t="shared" si="2"/>
        <v>46099</v>
      </c>
      <c r="C30" s="8">
        <f t="shared" si="3"/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33238818</v>
      </c>
      <c r="K30" s="7" t="s">
        <v>140</v>
      </c>
      <c r="L30" s="7" t="s">
        <v>145</v>
      </c>
      <c r="M30" s="9">
        <v>139900</v>
      </c>
      <c r="N30" s="37">
        <v>0.9</v>
      </c>
      <c r="O30" s="9">
        <f t="shared" si="0"/>
        <v>13989.999999999996</v>
      </c>
      <c r="P30" s="7" t="s">
        <v>16</v>
      </c>
    </row>
    <row r="31" spans="1:16" x14ac:dyDescent="0.25">
      <c r="A31" s="33" t="str">
        <f t="shared" si="1"/>
        <v>2021 ALL D90</v>
      </c>
      <c r="B31" s="8">
        <f t="shared" si="2"/>
        <v>46099</v>
      </c>
      <c r="C31" s="8">
        <f t="shared" si="3"/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33442436</v>
      </c>
      <c r="K31" s="7" t="s">
        <v>146</v>
      </c>
      <c r="L31" s="7" t="s">
        <v>147</v>
      </c>
      <c r="M31" s="9">
        <v>139900</v>
      </c>
      <c r="N31" s="37">
        <v>0.9</v>
      </c>
      <c r="O31" s="9">
        <f t="shared" si="0"/>
        <v>13989.999999999996</v>
      </c>
      <c r="P31" s="7" t="s">
        <v>16</v>
      </c>
    </row>
    <row r="32" spans="1:16" x14ac:dyDescent="0.25">
      <c r="A32" s="33" t="str">
        <f t="shared" si="1"/>
        <v>2021 ALL D90</v>
      </c>
      <c r="B32" s="8">
        <f t="shared" si="2"/>
        <v>46099</v>
      </c>
      <c r="C32" s="8">
        <f t="shared" si="3"/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33442445</v>
      </c>
      <c r="K32" s="7" t="s">
        <v>146</v>
      </c>
      <c r="L32" s="7" t="s">
        <v>148</v>
      </c>
      <c r="M32" s="9">
        <v>139900</v>
      </c>
      <c r="N32" s="37">
        <v>0.9</v>
      </c>
      <c r="O32" s="9">
        <f t="shared" si="0"/>
        <v>13989.999999999996</v>
      </c>
      <c r="P32" s="7" t="s">
        <v>16</v>
      </c>
    </row>
    <row r="33" spans="1:16" x14ac:dyDescent="0.25">
      <c r="A33" s="33" t="str">
        <f t="shared" si="1"/>
        <v>2021 ALL D90</v>
      </c>
      <c r="B33" s="8">
        <f t="shared" si="2"/>
        <v>46099</v>
      </c>
      <c r="C33" s="8">
        <f t="shared" si="3"/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33442463</v>
      </c>
      <c r="K33" s="7" t="s">
        <v>146</v>
      </c>
      <c r="L33" s="7" t="s">
        <v>149</v>
      </c>
      <c r="M33" s="9">
        <v>139900</v>
      </c>
      <c r="N33" s="37">
        <v>0.9</v>
      </c>
      <c r="O33" s="9">
        <f t="shared" si="0"/>
        <v>13989.999999999996</v>
      </c>
      <c r="P33" s="7" t="s">
        <v>16</v>
      </c>
    </row>
    <row r="34" spans="1:16" x14ac:dyDescent="0.25">
      <c r="A34" s="33" t="str">
        <f t="shared" si="1"/>
        <v>2021 ALL D90</v>
      </c>
      <c r="B34" s="8">
        <f t="shared" si="2"/>
        <v>46099</v>
      </c>
      <c r="C34" s="8">
        <f t="shared" si="3"/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33246103</v>
      </c>
      <c r="K34" s="7" t="s">
        <v>150</v>
      </c>
      <c r="L34" s="7" t="s">
        <v>151</v>
      </c>
      <c r="M34" s="9">
        <v>129900</v>
      </c>
      <c r="N34" s="37">
        <v>0.9</v>
      </c>
      <c r="O34" s="9">
        <f t="shared" si="0"/>
        <v>12989.999999999996</v>
      </c>
      <c r="P34" s="7" t="s">
        <v>16</v>
      </c>
    </row>
    <row r="35" spans="1:16" x14ac:dyDescent="0.25">
      <c r="A35" s="33" t="str">
        <f t="shared" si="1"/>
        <v>2021 ALL D90</v>
      </c>
      <c r="B35" s="8">
        <f t="shared" si="2"/>
        <v>46099</v>
      </c>
      <c r="C35" s="8">
        <f t="shared" si="3"/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33246130</v>
      </c>
      <c r="K35" s="7" t="s">
        <v>150</v>
      </c>
      <c r="L35" s="7" t="s">
        <v>152</v>
      </c>
      <c r="M35" s="9">
        <v>129900</v>
      </c>
      <c r="N35" s="37">
        <v>0.9</v>
      </c>
      <c r="O35" s="9">
        <f t="shared" si="0"/>
        <v>12989.999999999996</v>
      </c>
      <c r="P35" s="7" t="s">
        <v>16</v>
      </c>
    </row>
    <row r="36" spans="1:16" x14ac:dyDescent="0.25">
      <c r="A36" s="33" t="str">
        <f t="shared" si="1"/>
        <v>2021 ALL D90</v>
      </c>
      <c r="B36" s="8">
        <f t="shared" si="2"/>
        <v>46099</v>
      </c>
      <c r="C36" s="8">
        <f t="shared" si="3"/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81455</v>
      </c>
      <c r="I36" s="7" t="s">
        <v>104</v>
      </c>
      <c r="J36" s="7">
        <v>33019322</v>
      </c>
      <c r="K36" s="7" t="s">
        <v>153</v>
      </c>
      <c r="L36" s="7" t="s">
        <v>154</v>
      </c>
      <c r="M36" s="9">
        <v>129900</v>
      </c>
      <c r="N36" s="37">
        <v>0.9</v>
      </c>
      <c r="O36" s="9">
        <f t="shared" si="0"/>
        <v>12989.999999999996</v>
      </c>
      <c r="P36" s="7" t="s">
        <v>16</v>
      </c>
    </row>
    <row r="37" spans="1:16" x14ac:dyDescent="0.25">
      <c r="A37" s="33" t="str">
        <f t="shared" si="1"/>
        <v>2021 ALL D90</v>
      </c>
      <c r="B37" s="8">
        <f t="shared" si="2"/>
        <v>46099</v>
      </c>
      <c r="C37" s="8">
        <f t="shared" si="3"/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81455</v>
      </c>
      <c r="I37" s="7" t="s">
        <v>104</v>
      </c>
      <c r="J37" s="7">
        <v>33019331</v>
      </c>
      <c r="K37" s="7" t="s">
        <v>153</v>
      </c>
      <c r="L37" s="7" t="s">
        <v>155</v>
      </c>
      <c r="M37" s="9">
        <v>129900</v>
      </c>
      <c r="N37" s="37">
        <v>0.9</v>
      </c>
      <c r="O37" s="9">
        <f t="shared" si="0"/>
        <v>12989.999999999996</v>
      </c>
      <c r="P37" s="7" t="s">
        <v>16</v>
      </c>
    </row>
    <row r="38" spans="1:16" x14ac:dyDescent="0.25">
      <c r="A38" s="33" t="str">
        <f t="shared" si="1"/>
        <v>2021 ALL D90</v>
      </c>
      <c r="B38" s="8">
        <f t="shared" si="2"/>
        <v>46099</v>
      </c>
      <c r="C38" s="8">
        <f t="shared" si="3"/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38014596</v>
      </c>
      <c r="K38" s="7" t="s">
        <v>156</v>
      </c>
      <c r="L38" s="7" t="s">
        <v>157</v>
      </c>
      <c r="M38" s="9">
        <v>129900</v>
      </c>
      <c r="N38" s="37">
        <v>0.9</v>
      </c>
      <c r="O38" s="9">
        <f t="shared" si="0"/>
        <v>12989.999999999996</v>
      </c>
      <c r="P38" s="7" t="s">
        <v>16</v>
      </c>
    </row>
    <row r="39" spans="1:16" x14ac:dyDescent="0.25">
      <c r="A39" s="33" t="str">
        <f t="shared" si="1"/>
        <v>2021 ALL D90</v>
      </c>
      <c r="B39" s="8">
        <f t="shared" si="2"/>
        <v>46099</v>
      </c>
      <c r="C39" s="8">
        <f t="shared" si="3"/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38014603</v>
      </c>
      <c r="K39" s="7" t="s">
        <v>156</v>
      </c>
      <c r="L39" s="7" t="s">
        <v>158</v>
      </c>
      <c r="M39" s="9">
        <v>129900</v>
      </c>
      <c r="N39" s="37">
        <v>0.9</v>
      </c>
      <c r="O39" s="9">
        <f t="shared" si="0"/>
        <v>12989.999999999996</v>
      </c>
      <c r="P39" s="7" t="s">
        <v>16</v>
      </c>
    </row>
    <row r="40" spans="1:16" x14ac:dyDescent="0.25">
      <c r="A40" s="33" t="str">
        <f t="shared" si="1"/>
        <v>2021 ALL D90</v>
      </c>
      <c r="B40" s="8">
        <f t="shared" si="2"/>
        <v>46099</v>
      </c>
      <c r="C40" s="8">
        <f t="shared" si="3"/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81455</v>
      </c>
      <c r="I40" s="7" t="s">
        <v>104</v>
      </c>
      <c r="J40" s="7">
        <v>32756171</v>
      </c>
      <c r="K40" s="7" t="s">
        <v>159</v>
      </c>
      <c r="L40" s="7" t="s">
        <v>160</v>
      </c>
      <c r="M40" s="9">
        <v>129900</v>
      </c>
      <c r="N40" s="37">
        <v>0.9</v>
      </c>
      <c r="O40" s="9">
        <f t="shared" si="0"/>
        <v>12989.999999999996</v>
      </c>
      <c r="P40" s="7" t="s">
        <v>16</v>
      </c>
    </row>
    <row r="41" spans="1:16" x14ac:dyDescent="0.25">
      <c r="A41" s="33" t="str">
        <f t="shared" si="1"/>
        <v>2021 ALL D90</v>
      </c>
      <c r="B41" s="8">
        <f t="shared" si="2"/>
        <v>46099</v>
      </c>
      <c r="C41" s="8">
        <f t="shared" si="3"/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81455</v>
      </c>
      <c r="I41" s="7" t="s">
        <v>104</v>
      </c>
      <c r="J41" s="7">
        <v>32756215</v>
      </c>
      <c r="K41" s="7" t="s">
        <v>159</v>
      </c>
      <c r="L41" s="7" t="s">
        <v>161</v>
      </c>
      <c r="M41" s="9">
        <v>129900</v>
      </c>
      <c r="N41" s="37">
        <v>0.9</v>
      </c>
      <c r="O41" s="9">
        <f t="shared" si="0"/>
        <v>12989.999999999996</v>
      </c>
      <c r="P41" s="7" t="s">
        <v>16</v>
      </c>
    </row>
    <row r="42" spans="1:16" x14ac:dyDescent="0.25">
      <c r="A42" s="33" t="str">
        <f t="shared" si="1"/>
        <v>2021 ALL D90</v>
      </c>
      <c r="B42" s="8">
        <f t="shared" si="2"/>
        <v>46099</v>
      </c>
      <c r="C42" s="8">
        <f t="shared" si="3"/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26776634</v>
      </c>
      <c r="K42" s="7" t="s">
        <v>162</v>
      </c>
      <c r="L42" s="7" t="s">
        <v>163</v>
      </c>
      <c r="M42" s="9">
        <v>139900</v>
      </c>
      <c r="N42" s="37">
        <v>0.9</v>
      </c>
      <c r="O42" s="9">
        <f t="shared" si="0"/>
        <v>13989.999999999996</v>
      </c>
      <c r="P42" s="7" t="s">
        <v>16</v>
      </c>
    </row>
    <row r="43" spans="1:16" x14ac:dyDescent="0.25">
      <c r="A43" s="33" t="str">
        <f t="shared" si="1"/>
        <v>2021 ALL D90</v>
      </c>
      <c r="B43" s="8">
        <f t="shared" si="2"/>
        <v>46099</v>
      </c>
      <c r="C43" s="8">
        <f t="shared" si="3"/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26776643</v>
      </c>
      <c r="K43" s="7" t="s">
        <v>162</v>
      </c>
      <c r="L43" s="7" t="s">
        <v>164</v>
      </c>
      <c r="M43" s="9">
        <v>139900</v>
      </c>
      <c r="N43" s="37">
        <v>0.9</v>
      </c>
      <c r="O43" s="9">
        <f t="shared" si="0"/>
        <v>13989.999999999996</v>
      </c>
      <c r="P43" s="7" t="s">
        <v>16</v>
      </c>
    </row>
    <row r="44" spans="1:16" x14ac:dyDescent="0.25">
      <c r="A44" s="33" t="str">
        <f t="shared" si="1"/>
        <v>2021 ALL D90</v>
      </c>
      <c r="B44" s="8">
        <f t="shared" si="2"/>
        <v>46099</v>
      </c>
      <c r="C44" s="8">
        <f t="shared" si="3"/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26776661</v>
      </c>
      <c r="K44" s="7" t="s">
        <v>162</v>
      </c>
      <c r="L44" s="7" t="s">
        <v>165</v>
      </c>
      <c r="M44" s="9">
        <v>139900</v>
      </c>
      <c r="N44" s="37">
        <v>0.9</v>
      </c>
      <c r="O44" s="9">
        <f t="shared" si="0"/>
        <v>13989.999999999996</v>
      </c>
      <c r="P44" s="7" t="s">
        <v>16</v>
      </c>
    </row>
    <row r="45" spans="1:16" x14ac:dyDescent="0.25">
      <c r="A45" s="33" t="str">
        <f t="shared" si="1"/>
        <v>2021 ALL D90</v>
      </c>
      <c r="B45" s="8">
        <f t="shared" si="2"/>
        <v>46099</v>
      </c>
      <c r="C45" s="8">
        <f t="shared" si="3"/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26635027</v>
      </c>
      <c r="K45" s="7" t="s">
        <v>166</v>
      </c>
      <c r="L45" s="7" t="s">
        <v>167</v>
      </c>
      <c r="M45" s="9">
        <v>139900</v>
      </c>
      <c r="N45" s="37">
        <v>0.9</v>
      </c>
      <c r="O45" s="9">
        <f t="shared" si="0"/>
        <v>13989.999999999996</v>
      </c>
      <c r="P45" s="7" t="s">
        <v>16</v>
      </c>
    </row>
    <row r="46" spans="1:16" x14ac:dyDescent="0.25">
      <c r="A46" s="33" t="str">
        <f t="shared" si="1"/>
        <v>2021 ALL D90</v>
      </c>
      <c r="B46" s="8">
        <f t="shared" si="2"/>
        <v>46099</v>
      </c>
      <c r="C46" s="8">
        <f t="shared" si="3"/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26635036</v>
      </c>
      <c r="K46" s="7" t="s">
        <v>166</v>
      </c>
      <c r="L46" s="7" t="s">
        <v>168</v>
      </c>
      <c r="M46" s="9">
        <v>139900</v>
      </c>
      <c r="N46" s="37">
        <v>0.9</v>
      </c>
      <c r="O46" s="9">
        <f t="shared" si="0"/>
        <v>13989.999999999996</v>
      </c>
      <c r="P46" s="7" t="s">
        <v>16</v>
      </c>
    </row>
    <row r="47" spans="1:16" x14ac:dyDescent="0.25">
      <c r="A47" s="33" t="str">
        <f t="shared" si="1"/>
        <v>2021 ALL D90</v>
      </c>
      <c r="B47" s="8">
        <f t="shared" si="2"/>
        <v>46099</v>
      </c>
      <c r="C47" s="8">
        <f t="shared" si="3"/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26635045</v>
      </c>
      <c r="K47" s="7" t="s">
        <v>166</v>
      </c>
      <c r="L47" s="7" t="s">
        <v>169</v>
      </c>
      <c r="M47" s="9">
        <v>139900</v>
      </c>
      <c r="N47" s="37">
        <v>0.9</v>
      </c>
      <c r="O47" s="9">
        <f t="shared" si="0"/>
        <v>13989.999999999996</v>
      </c>
      <c r="P47" s="7" t="s">
        <v>16</v>
      </c>
    </row>
    <row r="48" spans="1:16" x14ac:dyDescent="0.25">
      <c r="A48" s="33" t="str">
        <f t="shared" si="1"/>
        <v>2021 ALL D90</v>
      </c>
      <c r="B48" s="8">
        <f t="shared" si="2"/>
        <v>46099</v>
      </c>
      <c r="C48" s="8">
        <f t="shared" si="3"/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26635018</v>
      </c>
      <c r="K48" s="7" t="s">
        <v>166</v>
      </c>
      <c r="L48" s="7" t="s">
        <v>170</v>
      </c>
      <c r="M48" s="9">
        <v>139900</v>
      </c>
      <c r="N48" s="37">
        <v>0.9</v>
      </c>
      <c r="O48" s="9">
        <f t="shared" si="0"/>
        <v>13989.999999999996</v>
      </c>
      <c r="P48" s="7" t="s">
        <v>16</v>
      </c>
    </row>
    <row r="49" spans="1:16" x14ac:dyDescent="0.25">
      <c r="A49" s="33" t="str">
        <f t="shared" si="1"/>
        <v>2021 ALL D90</v>
      </c>
      <c r="B49" s="8">
        <f t="shared" si="2"/>
        <v>46099</v>
      </c>
      <c r="C49" s="8">
        <f t="shared" si="3"/>
        <v>46113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26872888</v>
      </c>
      <c r="K49" s="7" t="s">
        <v>171</v>
      </c>
      <c r="L49" s="7" t="s">
        <v>172</v>
      </c>
      <c r="M49" s="9">
        <v>129900</v>
      </c>
      <c r="N49" s="37">
        <v>0.9</v>
      </c>
      <c r="O49" s="9">
        <f t="shared" si="0"/>
        <v>12989.999999999996</v>
      </c>
      <c r="P49" s="7" t="s">
        <v>16</v>
      </c>
    </row>
    <row r="50" spans="1:16" x14ac:dyDescent="0.25">
      <c r="A50" s="33" t="str">
        <f t="shared" si="1"/>
        <v>2021 ALL D90</v>
      </c>
      <c r="B50" s="8">
        <f t="shared" si="2"/>
        <v>46099</v>
      </c>
      <c r="C50" s="8">
        <f t="shared" si="3"/>
        <v>46113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26872904</v>
      </c>
      <c r="K50" s="7" t="s">
        <v>171</v>
      </c>
      <c r="L50" s="7" t="s">
        <v>173</v>
      </c>
      <c r="M50" s="9">
        <v>129900</v>
      </c>
      <c r="N50" s="37">
        <v>0.9</v>
      </c>
      <c r="O50" s="9">
        <f t="shared" si="0"/>
        <v>12989.999999999996</v>
      </c>
      <c r="P50" s="7" t="s">
        <v>16</v>
      </c>
    </row>
    <row r="51" spans="1:16" x14ac:dyDescent="0.25">
      <c r="A51" s="33" t="str">
        <f t="shared" si="1"/>
        <v>2021 ALL D90</v>
      </c>
      <c r="B51" s="8">
        <f t="shared" si="2"/>
        <v>46099</v>
      </c>
      <c r="C51" s="8">
        <f t="shared" si="3"/>
        <v>46113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26872922</v>
      </c>
      <c r="K51" s="7" t="s">
        <v>171</v>
      </c>
      <c r="L51" s="7" t="s">
        <v>174</v>
      </c>
      <c r="M51" s="9">
        <v>129900</v>
      </c>
      <c r="N51" s="37">
        <v>0.9</v>
      </c>
      <c r="O51" s="9">
        <f t="shared" si="0"/>
        <v>12989.999999999996</v>
      </c>
      <c r="P51" s="7" t="s">
        <v>16</v>
      </c>
    </row>
    <row r="52" spans="1:16" x14ac:dyDescent="0.25">
      <c r="A52" s="33" t="str">
        <f t="shared" si="1"/>
        <v>2021 ALL D90</v>
      </c>
      <c r="B52" s="8">
        <f t="shared" si="2"/>
        <v>46099</v>
      </c>
      <c r="C52" s="8">
        <f t="shared" si="3"/>
        <v>46113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28103660</v>
      </c>
      <c r="K52" s="7" t="s">
        <v>175</v>
      </c>
      <c r="L52" s="7" t="s">
        <v>176</v>
      </c>
      <c r="M52" s="9">
        <v>129900</v>
      </c>
      <c r="N52" s="37">
        <v>0.9</v>
      </c>
      <c r="O52" s="9">
        <f t="shared" si="0"/>
        <v>12989.999999999996</v>
      </c>
      <c r="P52" s="7" t="s">
        <v>16</v>
      </c>
    </row>
    <row r="53" spans="1:16" x14ac:dyDescent="0.25">
      <c r="A53" s="33" t="str">
        <f t="shared" si="1"/>
        <v>2021 ALL D90</v>
      </c>
      <c r="B53" s="8">
        <f t="shared" si="2"/>
        <v>46099</v>
      </c>
      <c r="C53" s="8">
        <f t="shared" si="3"/>
        <v>46113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28103768</v>
      </c>
      <c r="K53" s="7" t="s">
        <v>177</v>
      </c>
      <c r="L53" s="7" t="s">
        <v>178</v>
      </c>
      <c r="M53" s="9">
        <v>129900</v>
      </c>
      <c r="N53" s="37">
        <v>0.9</v>
      </c>
      <c r="O53" s="9">
        <f t="shared" si="0"/>
        <v>12989.999999999996</v>
      </c>
      <c r="P53" s="7" t="s">
        <v>16</v>
      </c>
    </row>
    <row r="54" spans="1:16" x14ac:dyDescent="0.25">
      <c r="A54" s="33" t="str">
        <f t="shared" si="1"/>
        <v>2021 ALL D90</v>
      </c>
      <c r="B54" s="8">
        <f t="shared" si="2"/>
        <v>46099</v>
      </c>
      <c r="C54" s="8">
        <f t="shared" si="3"/>
        <v>46113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28103777</v>
      </c>
      <c r="K54" s="7" t="s">
        <v>177</v>
      </c>
      <c r="L54" s="7" t="s">
        <v>179</v>
      </c>
      <c r="M54" s="9">
        <v>129900</v>
      </c>
      <c r="N54" s="37">
        <v>0.9</v>
      </c>
      <c r="O54" s="9">
        <f t="shared" si="0"/>
        <v>12989.999999999996</v>
      </c>
      <c r="P54" s="7" t="s">
        <v>16</v>
      </c>
    </row>
    <row r="55" spans="1:16" x14ac:dyDescent="0.25">
      <c r="A55" s="33" t="str">
        <f t="shared" si="1"/>
        <v>2021 ALL D90</v>
      </c>
      <c r="B55" s="8">
        <f t="shared" si="2"/>
        <v>46099</v>
      </c>
      <c r="C55" s="8">
        <f t="shared" si="3"/>
        <v>46113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28103795</v>
      </c>
      <c r="K55" s="7" t="s">
        <v>177</v>
      </c>
      <c r="L55" s="7" t="s">
        <v>180</v>
      </c>
      <c r="M55" s="9">
        <v>129900</v>
      </c>
      <c r="N55" s="37">
        <v>0.9</v>
      </c>
      <c r="O55" s="9">
        <f t="shared" si="0"/>
        <v>12989.999999999996</v>
      </c>
      <c r="P55" s="7" t="s">
        <v>16</v>
      </c>
    </row>
    <row r="56" spans="1:16" x14ac:dyDescent="0.25">
      <c r="A56" s="33" t="str">
        <f t="shared" si="1"/>
        <v>2021 ALL D90</v>
      </c>
      <c r="B56" s="8">
        <f t="shared" si="2"/>
        <v>46099</v>
      </c>
      <c r="C56" s="8">
        <f t="shared" si="3"/>
        <v>46113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28487872</v>
      </c>
      <c r="K56" s="7" t="s">
        <v>181</v>
      </c>
      <c r="L56" s="7" t="s">
        <v>182</v>
      </c>
      <c r="M56" s="9">
        <v>129900</v>
      </c>
      <c r="N56" s="37">
        <v>0.9</v>
      </c>
      <c r="O56" s="9">
        <f t="shared" si="0"/>
        <v>12989.999999999996</v>
      </c>
      <c r="P56" s="7" t="s">
        <v>16</v>
      </c>
    </row>
    <row r="57" spans="1:16" x14ac:dyDescent="0.25">
      <c r="A57" s="33" t="str">
        <f t="shared" si="1"/>
        <v>2021 ALL D90</v>
      </c>
      <c r="B57" s="8">
        <f t="shared" si="2"/>
        <v>46099</v>
      </c>
      <c r="C57" s="8">
        <f t="shared" si="3"/>
        <v>46113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28487881</v>
      </c>
      <c r="K57" s="7" t="s">
        <v>181</v>
      </c>
      <c r="L57" s="7" t="s">
        <v>183</v>
      </c>
      <c r="M57" s="9">
        <v>129900</v>
      </c>
      <c r="N57" s="37">
        <v>0.9</v>
      </c>
      <c r="O57" s="9">
        <f t="shared" si="0"/>
        <v>12989.999999999996</v>
      </c>
      <c r="P57" s="7" t="s">
        <v>16</v>
      </c>
    </row>
    <row r="58" spans="1:16" x14ac:dyDescent="0.25">
      <c r="A58" s="33" t="str">
        <f t="shared" si="1"/>
        <v>2021 ALL D90</v>
      </c>
      <c r="B58" s="8">
        <f t="shared" si="2"/>
        <v>46099</v>
      </c>
      <c r="C58" s="8">
        <f t="shared" si="3"/>
        <v>46113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28487907</v>
      </c>
      <c r="K58" s="7" t="s">
        <v>181</v>
      </c>
      <c r="L58" s="7" t="s">
        <v>184</v>
      </c>
      <c r="M58" s="9">
        <v>129900</v>
      </c>
      <c r="N58" s="37">
        <v>0.9</v>
      </c>
      <c r="O58" s="9">
        <f t="shared" si="0"/>
        <v>12989.999999999996</v>
      </c>
      <c r="P58" s="7" t="s">
        <v>16</v>
      </c>
    </row>
    <row r="59" spans="1:16" x14ac:dyDescent="0.25">
      <c r="A59" s="33" t="str">
        <f t="shared" si="1"/>
        <v>2021 ALL D90</v>
      </c>
      <c r="B59" s="8">
        <f t="shared" si="2"/>
        <v>46099</v>
      </c>
      <c r="C59" s="8">
        <f t="shared" si="3"/>
        <v>46113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26776769</v>
      </c>
      <c r="K59" s="7" t="s">
        <v>185</v>
      </c>
      <c r="L59" s="7" t="s">
        <v>186</v>
      </c>
      <c r="M59" s="9">
        <v>129900</v>
      </c>
      <c r="N59" s="37">
        <v>0.9</v>
      </c>
      <c r="O59" s="9">
        <f t="shared" si="0"/>
        <v>12989.999999999996</v>
      </c>
      <c r="P59" s="7" t="s">
        <v>16</v>
      </c>
    </row>
    <row r="60" spans="1:16" x14ac:dyDescent="0.25">
      <c r="A60" s="33" t="str">
        <f t="shared" si="1"/>
        <v>2021 ALL D90</v>
      </c>
      <c r="B60" s="8">
        <f t="shared" si="2"/>
        <v>46099</v>
      </c>
      <c r="C60" s="8">
        <f t="shared" si="3"/>
        <v>46113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26776778</v>
      </c>
      <c r="K60" s="7" t="s">
        <v>185</v>
      </c>
      <c r="L60" s="7" t="s">
        <v>187</v>
      </c>
      <c r="M60" s="9">
        <v>129900</v>
      </c>
      <c r="N60" s="37">
        <v>0.9</v>
      </c>
      <c r="O60" s="9">
        <f t="shared" si="0"/>
        <v>12989.999999999996</v>
      </c>
      <c r="P60" s="7" t="s">
        <v>16</v>
      </c>
    </row>
    <row r="61" spans="1:16" x14ac:dyDescent="0.25">
      <c r="A61" s="33" t="str">
        <f t="shared" si="1"/>
        <v>2021 ALL D90</v>
      </c>
      <c r="B61" s="8">
        <f t="shared" si="2"/>
        <v>46099</v>
      </c>
      <c r="C61" s="8">
        <f t="shared" si="3"/>
        <v>46113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29056808</v>
      </c>
      <c r="K61" s="7" t="s">
        <v>188</v>
      </c>
      <c r="L61" s="7" t="s">
        <v>189</v>
      </c>
      <c r="M61" s="9">
        <v>129900</v>
      </c>
      <c r="N61" s="37">
        <v>0.9</v>
      </c>
      <c r="O61" s="9">
        <f t="shared" si="0"/>
        <v>12989.999999999996</v>
      </c>
      <c r="P61" s="7" t="s">
        <v>16</v>
      </c>
    </row>
    <row r="62" spans="1:16" x14ac:dyDescent="0.25">
      <c r="A62" s="33" t="str">
        <f t="shared" si="1"/>
        <v>2021 ALL D90</v>
      </c>
      <c r="B62" s="8">
        <f t="shared" si="2"/>
        <v>46099</v>
      </c>
      <c r="C62" s="8">
        <f t="shared" si="3"/>
        <v>46113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32066238</v>
      </c>
      <c r="K62" s="7" t="s">
        <v>190</v>
      </c>
      <c r="L62" s="7" t="s">
        <v>191</v>
      </c>
      <c r="M62" s="9">
        <v>129900</v>
      </c>
      <c r="N62" s="37">
        <v>0.9</v>
      </c>
      <c r="O62" s="9">
        <f t="shared" si="0"/>
        <v>12989.999999999996</v>
      </c>
      <c r="P62" s="7" t="s">
        <v>16</v>
      </c>
    </row>
    <row r="63" spans="1:16" x14ac:dyDescent="0.25">
      <c r="A63" s="33" t="str">
        <f t="shared" si="1"/>
        <v>2021 ALL D90</v>
      </c>
      <c r="B63" s="8">
        <f t="shared" si="2"/>
        <v>46099</v>
      </c>
      <c r="C63" s="8">
        <f t="shared" si="3"/>
        <v>46113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31986540</v>
      </c>
      <c r="K63" s="7" t="s">
        <v>192</v>
      </c>
      <c r="L63" s="7" t="s">
        <v>193</v>
      </c>
      <c r="M63" s="9">
        <v>129900</v>
      </c>
      <c r="N63" s="37">
        <v>0.9</v>
      </c>
      <c r="O63" s="9">
        <f t="shared" si="0"/>
        <v>12989.999999999996</v>
      </c>
      <c r="P63" s="7" t="s">
        <v>16</v>
      </c>
    </row>
    <row r="64" spans="1:16" x14ac:dyDescent="0.25">
      <c r="A64" s="33" t="str">
        <f t="shared" si="1"/>
        <v>2021 ALL D90</v>
      </c>
      <c r="B64" s="8">
        <f t="shared" si="2"/>
        <v>46099</v>
      </c>
      <c r="C64" s="8">
        <f t="shared" si="3"/>
        <v>46113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26890288</v>
      </c>
      <c r="K64" s="7" t="s">
        <v>194</v>
      </c>
      <c r="L64" s="7" t="s">
        <v>195</v>
      </c>
      <c r="M64" s="9">
        <v>129900</v>
      </c>
      <c r="N64" s="37">
        <v>0.9</v>
      </c>
      <c r="O64" s="9">
        <f t="shared" si="0"/>
        <v>12989.999999999996</v>
      </c>
      <c r="P64" s="7" t="s">
        <v>16</v>
      </c>
    </row>
    <row r="65" spans="1:16" x14ac:dyDescent="0.25">
      <c r="A65" s="33" t="str">
        <f t="shared" si="1"/>
        <v>2021 ALL D90</v>
      </c>
      <c r="B65" s="8">
        <f t="shared" si="2"/>
        <v>46099</v>
      </c>
      <c r="C65" s="8">
        <f t="shared" si="3"/>
        <v>46113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32157514</v>
      </c>
      <c r="K65" s="7" t="s">
        <v>196</v>
      </c>
      <c r="L65" s="7" t="s">
        <v>197</v>
      </c>
      <c r="M65" s="9">
        <v>139900</v>
      </c>
      <c r="N65" s="37">
        <v>0.9</v>
      </c>
      <c r="O65" s="9">
        <f t="shared" si="0"/>
        <v>13989.999999999996</v>
      </c>
      <c r="P65" s="7" t="s">
        <v>16</v>
      </c>
    </row>
    <row r="66" spans="1:16" x14ac:dyDescent="0.25">
      <c r="A66" s="33" t="str">
        <f t="shared" si="1"/>
        <v>2021 ALL D90</v>
      </c>
      <c r="B66" s="8">
        <f t="shared" si="2"/>
        <v>46099</v>
      </c>
      <c r="C66" s="8">
        <f t="shared" si="3"/>
        <v>46113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38014630</v>
      </c>
      <c r="K66" s="7" t="s">
        <v>198</v>
      </c>
      <c r="L66" s="7" t="s">
        <v>199</v>
      </c>
      <c r="M66" s="9">
        <v>139900</v>
      </c>
      <c r="N66" s="37">
        <v>0.9</v>
      </c>
      <c r="O66" s="9">
        <f t="shared" si="0"/>
        <v>13989.999999999996</v>
      </c>
      <c r="P66" s="7" t="s">
        <v>16</v>
      </c>
    </row>
    <row r="67" spans="1:16" x14ac:dyDescent="0.25">
      <c r="A67" s="33" t="str">
        <f t="shared" si="1"/>
        <v>2021 ALL D90</v>
      </c>
      <c r="B67" s="8">
        <f t="shared" si="2"/>
        <v>46099</v>
      </c>
      <c r="C67" s="8">
        <f t="shared" si="3"/>
        <v>46113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38014649</v>
      </c>
      <c r="K67" s="7" t="s">
        <v>198</v>
      </c>
      <c r="L67" s="7" t="s">
        <v>200</v>
      </c>
      <c r="M67" s="9">
        <v>139900</v>
      </c>
      <c r="N67" s="37">
        <v>0.9</v>
      </c>
      <c r="O67" s="9">
        <f t="shared" ref="O67:O87" si="4">M67*(1-N67)</f>
        <v>13989.999999999996</v>
      </c>
      <c r="P67" s="7" t="s">
        <v>16</v>
      </c>
    </row>
    <row r="68" spans="1:16" x14ac:dyDescent="0.25">
      <c r="A68" s="33" t="str">
        <f t="shared" ref="A68:A87" si="5">A67</f>
        <v>2021 ALL D90</v>
      </c>
      <c r="B68" s="8">
        <f t="shared" ref="B68:B87" si="6">B67</f>
        <v>46099</v>
      </c>
      <c r="C68" s="8">
        <f t="shared" ref="C68:C87" si="7">C67</f>
        <v>46113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33442472</v>
      </c>
      <c r="K68" s="7" t="s">
        <v>201</v>
      </c>
      <c r="L68" s="7" t="s">
        <v>202</v>
      </c>
      <c r="M68" s="9">
        <v>139900</v>
      </c>
      <c r="N68" s="37">
        <v>0.9</v>
      </c>
      <c r="O68" s="9">
        <f t="shared" si="4"/>
        <v>13989.999999999996</v>
      </c>
      <c r="P68" s="7" t="s">
        <v>16</v>
      </c>
    </row>
    <row r="69" spans="1:16" x14ac:dyDescent="0.25">
      <c r="A69" s="33" t="str">
        <f t="shared" si="5"/>
        <v>2021 ALL D90</v>
      </c>
      <c r="B69" s="8">
        <f t="shared" si="6"/>
        <v>46099</v>
      </c>
      <c r="C69" s="8">
        <f t="shared" si="7"/>
        <v>46113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33442481</v>
      </c>
      <c r="K69" s="7" t="s">
        <v>201</v>
      </c>
      <c r="L69" s="7" t="s">
        <v>203</v>
      </c>
      <c r="M69" s="9">
        <v>139900</v>
      </c>
      <c r="N69" s="37">
        <v>0.9</v>
      </c>
      <c r="O69" s="9">
        <f t="shared" si="4"/>
        <v>13989.999999999996</v>
      </c>
      <c r="P69" s="7" t="s">
        <v>16</v>
      </c>
    </row>
    <row r="70" spans="1:16" x14ac:dyDescent="0.25">
      <c r="A70" s="33" t="str">
        <f t="shared" si="5"/>
        <v>2021 ALL D90</v>
      </c>
      <c r="B70" s="8">
        <f t="shared" si="6"/>
        <v>46099</v>
      </c>
      <c r="C70" s="8">
        <f t="shared" si="7"/>
        <v>46113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33442490</v>
      </c>
      <c r="K70" s="7" t="s">
        <v>201</v>
      </c>
      <c r="L70" s="7" t="s">
        <v>204</v>
      </c>
      <c r="M70" s="9">
        <v>139900</v>
      </c>
      <c r="N70" s="37">
        <v>0.9</v>
      </c>
      <c r="O70" s="9">
        <f t="shared" si="4"/>
        <v>13989.999999999996</v>
      </c>
      <c r="P70" s="7" t="s">
        <v>16</v>
      </c>
    </row>
    <row r="71" spans="1:16" x14ac:dyDescent="0.25">
      <c r="A71" s="33" t="str">
        <f t="shared" si="5"/>
        <v>2021 ALL D90</v>
      </c>
      <c r="B71" s="8">
        <f t="shared" si="6"/>
        <v>46099</v>
      </c>
      <c r="C71" s="8">
        <f t="shared" si="7"/>
        <v>46113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33442516</v>
      </c>
      <c r="K71" s="7" t="s">
        <v>201</v>
      </c>
      <c r="L71" s="7" t="s">
        <v>205</v>
      </c>
      <c r="M71" s="9">
        <v>139900</v>
      </c>
      <c r="N71" s="37">
        <v>0.9</v>
      </c>
      <c r="O71" s="9">
        <f t="shared" si="4"/>
        <v>13989.999999999996</v>
      </c>
      <c r="P71" s="7" t="s">
        <v>16</v>
      </c>
    </row>
    <row r="72" spans="1:16" x14ac:dyDescent="0.25">
      <c r="A72" s="33" t="str">
        <f t="shared" si="5"/>
        <v>2021 ALL D90</v>
      </c>
      <c r="B72" s="8">
        <f t="shared" si="6"/>
        <v>46099</v>
      </c>
      <c r="C72" s="8">
        <f t="shared" si="7"/>
        <v>46113</v>
      </c>
      <c r="D72" s="7">
        <v>3272</v>
      </c>
      <c r="E72" s="7">
        <v>336</v>
      </c>
      <c r="F72" s="7">
        <v>4</v>
      </c>
      <c r="G72" s="7">
        <v>3</v>
      </c>
      <c r="H72" s="7">
        <v>81379</v>
      </c>
      <c r="I72" s="7" t="s">
        <v>104</v>
      </c>
      <c r="J72" s="7">
        <v>26780450</v>
      </c>
      <c r="K72" s="7" t="s">
        <v>206</v>
      </c>
      <c r="L72" s="7" t="s">
        <v>207</v>
      </c>
      <c r="M72" s="9">
        <v>199900</v>
      </c>
      <c r="N72" s="37">
        <v>0.9</v>
      </c>
      <c r="O72" s="9">
        <f t="shared" si="4"/>
        <v>19989.999999999996</v>
      </c>
      <c r="P72" s="7" t="s">
        <v>16</v>
      </c>
    </row>
    <row r="73" spans="1:16" x14ac:dyDescent="0.25">
      <c r="A73" s="33" t="str">
        <f t="shared" si="5"/>
        <v>2021 ALL D90</v>
      </c>
      <c r="B73" s="8">
        <f t="shared" si="6"/>
        <v>46099</v>
      </c>
      <c r="C73" s="8">
        <f t="shared" si="7"/>
        <v>46113</v>
      </c>
      <c r="D73" s="7">
        <v>3272</v>
      </c>
      <c r="E73" s="7">
        <v>336</v>
      </c>
      <c r="F73" s="7">
        <v>4</v>
      </c>
      <c r="G73" s="7">
        <v>4</v>
      </c>
      <c r="H73" s="7">
        <v>81379</v>
      </c>
      <c r="I73" s="7" t="s">
        <v>104</v>
      </c>
      <c r="J73" s="7">
        <v>26640173</v>
      </c>
      <c r="K73" s="7" t="s">
        <v>208</v>
      </c>
      <c r="L73" s="7" t="s">
        <v>209</v>
      </c>
      <c r="M73" s="9">
        <v>149900</v>
      </c>
      <c r="N73" s="37">
        <v>0.9</v>
      </c>
      <c r="O73" s="9">
        <f t="shared" si="4"/>
        <v>14989.999999999996</v>
      </c>
      <c r="P73" s="7" t="s">
        <v>16</v>
      </c>
    </row>
    <row r="74" spans="1:16" x14ac:dyDescent="0.25">
      <c r="A74" s="33" t="str">
        <f t="shared" si="5"/>
        <v>2021 ALL D90</v>
      </c>
      <c r="B74" s="8">
        <f t="shared" si="6"/>
        <v>46099</v>
      </c>
      <c r="C74" s="8">
        <f t="shared" si="7"/>
        <v>46113</v>
      </c>
      <c r="D74" s="7">
        <v>3272</v>
      </c>
      <c r="E74" s="7">
        <v>336</v>
      </c>
      <c r="F74" s="7">
        <v>4</v>
      </c>
      <c r="G74" s="7">
        <v>4</v>
      </c>
      <c r="H74" s="7">
        <v>81379</v>
      </c>
      <c r="I74" s="7" t="s">
        <v>104</v>
      </c>
      <c r="J74" s="7">
        <v>26640182</v>
      </c>
      <c r="K74" s="7" t="s">
        <v>208</v>
      </c>
      <c r="L74" s="7" t="s">
        <v>210</v>
      </c>
      <c r="M74" s="9">
        <v>149900</v>
      </c>
      <c r="N74" s="37">
        <v>0.9</v>
      </c>
      <c r="O74" s="9">
        <f t="shared" si="4"/>
        <v>14989.999999999996</v>
      </c>
      <c r="P74" s="7" t="s">
        <v>16</v>
      </c>
    </row>
    <row r="75" spans="1:16" x14ac:dyDescent="0.25">
      <c r="A75" s="33" t="str">
        <f t="shared" si="5"/>
        <v>2021 ALL D90</v>
      </c>
      <c r="B75" s="8">
        <f t="shared" si="6"/>
        <v>46099</v>
      </c>
      <c r="C75" s="8">
        <f t="shared" si="7"/>
        <v>46113</v>
      </c>
      <c r="D75" s="7">
        <v>3272</v>
      </c>
      <c r="E75" s="7">
        <v>336</v>
      </c>
      <c r="F75" s="7">
        <v>4</v>
      </c>
      <c r="G75" s="7">
        <v>4</v>
      </c>
      <c r="H75" s="7">
        <v>81379</v>
      </c>
      <c r="I75" s="7" t="s">
        <v>104</v>
      </c>
      <c r="J75" s="7">
        <v>26640208</v>
      </c>
      <c r="K75" s="7" t="s">
        <v>208</v>
      </c>
      <c r="L75" s="7" t="s">
        <v>211</v>
      </c>
      <c r="M75" s="9">
        <v>149900</v>
      </c>
      <c r="N75" s="37">
        <v>0.9</v>
      </c>
      <c r="O75" s="9">
        <f t="shared" si="4"/>
        <v>14989.999999999996</v>
      </c>
      <c r="P75" s="7" t="s">
        <v>16</v>
      </c>
    </row>
    <row r="76" spans="1:16" x14ac:dyDescent="0.25">
      <c r="A76" s="33" t="str">
        <f t="shared" si="5"/>
        <v>2021 ALL D90</v>
      </c>
      <c r="B76" s="8">
        <f t="shared" si="6"/>
        <v>46099</v>
      </c>
      <c r="C76" s="8">
        <f t="shared" si="7"/>
        <v>46113</v>
      </c>
      <c r="D76" s="7">
        <v>3272</v>
      </c>
      <c r="E76" s="7">
        <v>336</v>
      </c>
      <c r="F76" s="7">
        <v>4</v>
      </c>
      <c r="G76" s="7">
        <v>4</v>
      </c>
      <c r="H76" s="7">
        <v>81379</v>
      </c>
      <c r="I76" s="7" t="s">
        <v>104</v>
      </c>
      <c r="J76" s="7">
        <v>28701166</v>
      </c>
      <c r="K76" s="7" t="s">
        <v>212</v>
      </c>
      <c r="L76" s="7" t="s">
        <v>213</v>
      </c>
      <c r="M76" s="9">
        <v>139900</v>
      </c>
      <c r="N76" s="37">
        <v>0.9</v>
      </c>
      <c r="O76" s="9">
        <f t="shared" si="4"/>
        <v>13989.999999999996</v>
      </c>
      <c r="P76" s="7" t="s">
        <v>16</v>
      </c>
    </row>
    <row r="77" spans="1:16" x14ac:dyDescent="0.25">
      <c r="A77" s="33" t="str">
        <f t="shared" si="5"/>
        <v>2021 ALL D90</v>
      </c>
      <c r="B77" s="8">
        <f t="shared" si="6"/>
        <v>46099</v>
      </c>
      <c r="C77" s="8">
        <f t="shared" si="7"/>
        <v>46113</v>
      </c>
      <c r="D77" s="7">
        <v>3272</v>
      </c>
      <c r="E77" s="7">
        <v>336</v>
      </c>
      <c r="F77" s="7">
        <v>4</v>
      </c>
      <c r="G77" s="7">
        <v>4</v>
      </c>
      <c r="H77" s="7">
        <v>81379</v>
      </c>
      <c r="I77" s="7" t="s">
        <v>104</v>
      </c>
      <c r="J77" s="7">
        <v>28701184</v>
      </c>
      <c r="K77" s="7" t="s">
        <v>212</v>
      </c>
      <c r="L77" s="7" t="s">
        <v>214</v>
      </c>
      <c r="M77" s="9">
        <v>139900</v>
      </c>
      <c r="N77" s="37">
        <v>0.9</v>
      </c>
      <c r="O77" s="9">
        <f t="shared" si="4"/>
        <v>13989.999999999996</v>
      </c>
      <c r="P77" s="7" t="s">
        <v>16</v>
      </c>
    </row>
    <row r="78" spans="1:16" x14ac:dyDescent="0.25">
      <c r="A78" s="33" t="str">
        <f t="shared" si="5"/>
        <v>2021 ALL D90</v>
      </c>
      <c r="B78" s="8">
        <f t="shared" si="6"/>
        <v>46099</v>
      </c>
      <c r="C78" s="8">
        <f t="shared" si="7"/>
        <v>46113</v>
      </c>
      <c r="D78" s="7">
        <v>3272</v>
      </c>
      <c r="E78" s="7">
        <v>336</v>
      </c>
      <c r="F78" s="7">
        <v>4</v>
      </c>
      <c r="G78" s="7">
        <v>4</v>
      </c>
      <c r="H78" s="7">
        <v>81379</v>
      </c>
      <c r="I78" s="7" t="s">
        <v>104</v>
      </c>
      <c r="J78" s="7">
        <v>28487756</v>
      </c>
      <c r="K78" s="7" t="s">
        <v>215</v>
      </c>
      <c r="L78" s="7" t="s">
        <v>216</v>
      </c>
      <c r="M78" s="9">
        <v>139900</v>
      </c>
      <c r="N78" s="37">
        <v>0.9</v>
      </c>
      <c r="O78" s="9">
        <f t="shared" si="4"/>
        <v>13989.999999999996</v>
      </c>
      <c r="P78" s="7" t="s">
        <v>16</v>
      </c>
    </row>
    <row r="79" spans="1:16" x14ac:dyDescent="0.25">
      <c r="A79" s="33" t="str">
        <f t="shared" si="5"/>
        <v>2021 ALL D90</v>
      </c>
      <c r="B79" s="8">
        <f t="shared" si="6"/>
        <v>46099</v>
      </c>
      <c r="C79" s="8">
        <f t="shared" si="7"/>
        <v>46113</v>
      </c>
      <c r="D79" s="7">
        <v>3272</v>
      </c>
      <c r="E79" s="7">
        <v>336</v>
      </c>
      <c r="F79" s="7">
        <v>4</v>
      </c>
      <c r="G79" s="7">
        <v>4</v>
      </c>
      <c r="H79" s="7">
        <v>81379</v>
      </c>
      <c r="I79" s="7" t="s">
        <v>104</v>
      </c>
      <c r="J79" s="7">
        <v>28487765</v>
      </c>
      <c r="K79" s="7" t="s">
        <v>215</v>
      </c>
      <c r="L79" s="7" t="s">
        <v>217</v>
      </c>
      <c r="M79" s="9">
        <v>139900</v>
      </c>
      <c r="N79" s="37">
        <v>0.9</v>
      </c>
      <c r="O79" s="9">
        <f t="shared" si="4"/>
        <v>13989.999999999996</v>
      </c>
      <c r="P79" s="7" t="s">
        <v>16</v>
      </c>
    </row>
    <row r="80" spans="1:16" x14ac:dyDescent="0.25">
      <c r="A80" s="33" t="str">
        <f t="shared" si="5"/>
        <v>2021 ALL D90</v>
      </c>
      <c r="B80" s="8">
        <f t="shared" si="6"/>
        <v>46099</v>
      </c>
      <c r="C80" s="8">
        <f t="shared" si="7"/>
        <v>46113</v>
      </c>
      <c r="D80" s="7">
        <v>3272</v>
      </c>
      <c r="E80" s="7">
        <v>336</v>
      </c>
      <c r="F80" s="7">
        <v>4</v>
      </c>
      <c r="G80" s="7">
        <v>4</v>
      </c>
      <c r="H80" s="7">
        <v>81379</v>
      </c>
      <c r="I80" s="7" t="s">
        <v>104</v>
      </c>
      <c r="J80" s="7">
        <v>28487774</v>
      </c>
      <c r="K80" s="7" t="s">
        <v>215</v>
      </c>
      <c r="L80" s="7" t="s">
        <v>218</v>
      </c>
      <c r="M80" s="9">
        <v>139900</v>
      </c>
      <c r="N80" s="37">
        <v>0.9</v>
      </c>
      <c r="O80" s="9">
        <f t="shared" si="4"/>
        <v>13989.999999999996</v>
      </c>
      <c r="P80" s="7" t="s">
        <v>16</v>
      </c>
    </row>
    <row r="81" spans="1:16" x14ac:dyDescent="0.25">
      <c r="A81" s="33" t="str">
        <f t="shared" si="5"/>
        <v>2021 ALL D90</v>
      </c>
      <c r="B81" s="8">
        <f t="shared" si="6"/>
        <v>46099</v>
      </c>
      <c r="C81" s="8">
        <f t="shared" si="7"/>
        <v>46113</v>
      </c>
      <c r="D81" s="7">
        <v>3272</v>
      </c>
      <c r="E81" s="7">
        <v>336</v>
      </c>
      <c r="F81" s="7">
        <v>4</v>
      </c>
      <c r="G81" s="7">
        <v>4</v>
      </c>
      <c r="H81" s="7">
        <v>81379</v>
      </c>
      <c r="I81" s="7" t="s">
        <v>104</v>
      </c>
      <c r="J81" s="7">
        <v>28487783</v>
      </c>
      <c r="K81" s="7" t="s">
        <v>215</v>
      </c>
      <c r="L81" s="7" t="s">
        <v>219</v>
      </c>
      <c r="M81" s="9">
        <v>139900</v>
      </c>
      <c r="N81" s="37">
        <v>0.9</v>
      </c>
      <c r="O81" s="9">
        <f t="shared" si="4"/>
        <v>13989.999999999996</v>
      </c>
      <c r="P81" s="7" t="s">
        <v>16</v>
      </c>
    </row>
    <row r="82" spans="1:16" x14ac:dyDescent="0.25">
      <c r="A82" s="33" t="str">
        <f t="shared" si="5"/>
        <v>2021 ALL D90</v>
      </c>
      <c r="B82" s="8">
        <f t="shared" si="6"/>
        <v>46099</v>
      </c>
      <c r="C82" s="8">
        <f t="shared" si="7"/>
        <v>46113</v>
      </c>
      <c r="D82" s="7">
        <v>3272</v>
      </c>
      <c r="E82" s="7">
        <v>336</v>
      </c>
      <c r="F82" s="7">
        <v>4</v>
      </c>
      <c r="G82" s="7">
        <v>5</v>
      </c>
      <c r="H82" s="7">
        <v>81379</v>
      </c>
      <c r="I82" s="7" t="s">
        <v>104</v>
      </c>
      <c r="J82" s="7">
        <v>26872940</v>
      </c>
      <c r="K82" s="7" t="s">
        <v>220</v>
      </c>
      <c r="L82" s="7" t="s">
        <v>221</v>
      </c>
      <c r="M82" s="9">
        <v>189900</v>
      </c>
      <c r="N82" s="37">
        <v>0.9</v>
      </c>
      <c r="O82" s="9">
        <f t="shared" si="4"/>
        <v>18989.999999999996</v>
      </c>
      <c r="P82" s="7" t="s">
        <v>16</v>
      </c>
    </row>
    <row r="83" spans="1:16" x14ac:dyDescent="0.25">
      <c r="A83" s="33" t="str">
        <f t="shared" si="5"/>
        <v>2021 ALL D90</v>
      </c>
      <c r="B83" s="8">
        <f t="shared" si="6"/>
        <v>46099</v>
      </c>
      <c r="C83" s="8">
        <f t="shared" si="7"/>
        <v>46113</v>
      </c>
      <c r="D83" s="7">
        <v>3272</v>
      </c>
      <c r="E83" s="7">
        <v>336</v>
      </c>
      <c r="F83" s="7">
        <v>4</v>
      </c>
      <c r="G83" s="7">
        <v>5</v>
      </c>
      <c r="H83" s="7">
        <v>81676</v>
      </c>
      <c r="I83" s="7" t="s">
        <v>104</v>
      </c>
      <c r="J83" s="7">
        <v>28487336</v>
      </c>
      <c r="K83" s="7" t="s">
        <v>222</v>
      </c>
      <c r="L83" s="7" t="s">
        <v>223</v>
      </c>
      <c r="M83" s="9">
        <v>189900</v>
      </c>
      <c r="N83" s="37">
        <v>0.9</v>
      </c>
      <c r="O83" s="9">
        <f t="shared" si="4"/>
        <v>18989.999999999996</v>
      </c>
      <c r="P83" s="7" t="s">
        <v>16</v>
      </c>
    </row>
    <row r="84" spans="1:16" x14ac:dyDescent="0.25">
      <c r="A84" s="33" t="str">
        <f t="shared" si="5"/>
        <v>2021 ALL D90</v>
      </c>
      <c r="B84" s="8">
        <f t="shared" si="6"/>
        <v>46099</v>
      </c>
      <c r="C84" s="8">
        <f t="shared" si="7"/>
        <v>46113</v>
      </c>
      <c r="D84" s="7">
        <v>3272</v>
      </c>
      <c r="E84" s="7">
        <v>336</v>
      </c>
      <c r="F84" s="7">
        <v>4</v>
      </c>
      <c r="G84" s="7">
        <v>5</v>
      </c>
      <c r="H84" s="7">
        <v>81676</v>
      </c>
      <c r="I84" s="7" t="s">
        <v>104</v>
      </c>
      <c r="J84" s="7">
        <v>28487363</v>
      </c>
      <c r="K84" s="7" t="s">
        <v>222</v>
      </c>
      <c r="L84" s="7" t="s">
        <v>224</v>
      </c>
      <c r="M84" s="9">
        <v>189900</v>
      </c>
      <c r="N84" s="37">
        <v>0.9</v>
      </c>
      <c r="O84" s="9">
        <f t="shared" si="4"/>
        <v>18989.999999999996</v>
      </c>
      <c r="P84" s="7" t="s">
        <v>16</v>
      </c>
    </row>
    <row r="85" spans="1:16" x14ac:dyDescent="0.25">
      <c r="A85" s="33" t="str">
        <f t="shared" si="5"/>
        <v>2021 ALL D90</v>
      </c>
      <c r="B85" s="8">
        <f t="shared" si="6"/>
        <v>46099</v>
      </c>
      <c r="C85" s="8">
        <f t="shared" si="7"/>
        <v>46113</v>
      </c>
      <c r="D85" s="7">
        <v>3272</v>
      </c>
      <c r="E85" s="7">
        <v>336</v>
      </c>
      <c r="F85" s="7">
        <v>4</v>
      </c>
      <c r="G85" s="7">
        <v>5</v>
      </c>
      <c r="H85" s="7">
        <v>81676</v>
      </c>
      <c r="I85" s="7" t="s">
        <v>104</v>
      </c>
      <c r="J85" s="7">
        <v>38014685</v>
      </c>
      <c r="K85" s="7" t="s">
        <v>225</v>
      </c>
      <c r="L85" s="7" t="s">
        <v>226</v>
      </c>
      <c r="M85" s="9">
        <v>199900</v>
      </c>
      <c r="N85" s="37">
        <v>0.9</v>
      </c>
      <c r="O85" s="9">
        <f t="shared" si="4"/>
        <v>19989.999999999996</v>
      </c>
      <c r="P85" s="7" t="s">
        <v>16</v>
      </c>
    </row>
    <row r="86" spans="1:16" x14ac:dyDescent="0.25">
      <c r="A86" s="33" t="str">
        <f t="shared" si="5"/>
        <v>2021 ALL D90</v>
      </c>
      <c r="B86" s="8">
        <f t="shared" si="6"/>
        <v>46099</v>
      </c>
      <c r="C86" s="8">
        <f t="shared" si="7"/>
        <v>46113</v>
      </c>
      <c r="D86" s="7">
        <v>3272</v>
      </c>
      <c r="E86" s="7">
        <v>336</v>
      </c>
      <c r="F86" s="7">
        <v>4</v>
      </c>
      <c r="G86" s="7">
        <v>5</v>
      </c>
      <c r="H86" s="7">
        <v>81676</v>
      </c>
      <c r="I86" s="7" t="s">
        <v>104</v>
      </c>
      <c r="J86" s="7">
        <v>38014694</v>
      </c>
      <c r="K86" s="7" t="s">
        <v>225</v>
      </c>
      <c r="L86" s="7" t="s">
        <v>227</v>
      </c>
      <c r="M86" s="9">
        <v>199900</v>
      </c>
      <c r="N86" s="37">
        <v>0.9</v>
      </c>
      <c r="O86" s="9">
        <f t="shared" si="4"/>
        <v>19989.999999999996</v>
      </c>
      <c r="P86" s="7" t="s">
        <v>16</v>
      </c>
    </row>
    <row r="87" spans="1:16" x14ac:dyDescent="0.25">
      <c r="A87" s="33" t="str">
        <f t="shared" si="5"/>
        <v>2021 ALL D90</v>
      </c>
      <c r="B87" s="8">
        <f t="shared" si="6"/>
        <v>46099</v>
      </c>
      <c r="C87" s="8">
        <f t="shared" si="7"/>
        <v>46113</v>
      </c>
      <c r="D87" s="7">
        <v>3272</v>
      </c>
      <c r="E87" s="7">
        <v>336</v>
      </c>
      <c r="F87" s="7">
        <v>4</v>
      </c>
      <c r="G87" s="7">
        <v>5</v>
      </c>
      <c r="H87" s="7">
        <v>81676</v>
      </c>
      <c r="I87" s="7" t="s">
        <v>104</v>
      </c>
      <c r="J87" s="7">
        <v>38014729</v>
      </c>
      <c r="K87" s="7" t="s">
        <v>225</v>
      </c>
      <c r="L87" s="7" t="s">
        <v>228</v>
      </c>
      <c r="M87" s="9">
        <v>199900</v>
      </c>
      <c r="N87" s="37">
        <v>0.9</v>
      </c>
      <c r="O87" s="9">
        <f t="shared" si="4"/>
        <v>19989.999999999996</v>
      </c>
      <c r="P87" s="7" t="s">
        <v>16</v>
      </c>
    </row>
  </sheetData>
  <autoFilter ref="A1:P1" xr:uid="{00000000-0009-0000-0000-000002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1"/>
  <sheetViews>
    <sheetView zoomScale="78" zoomScaleNormal="78" workbookViewId="0">
      <pane ySplit="1" topLeftCell="A2" activePane="bottomLeft" state="frozen"/>
      <selection activeCell="I267" sqref="I267"/>
      <selection pane="bottomLeft" activeCell="B2" sqref="B2:C361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4053</v>
      </c>
      <c r="B2" s="8">
        <v>46099</v>
      </c>
      <c r="C2" s="8"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38162953</v>
      </c>
      <c r="K2" s="7" t="s">
        <v>1049</v>
      </c>
      <c r="L2" s="7" t="s">
        <v>1050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25">
      <c r="A3" s="7" t="str">
        <f>A2</f>
        <v>2022 ALL D90</v>
      </c>
      <c r="B3" s="8">
        <v>46099</v>
      </c>
      <c r="C3" s="8"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38162962</v>
      </c>
      <c r="K3" s="7" t="s">
        <v>1049</v>
      </c>
      <c r="L3" s="7" t="s">
        <v>1051</v>
      </c>
      <c r="M3" s="9">
        <v>139900</v>
      </c>
      <c r="N3" s="10">
        <f>N2</f>
        <v>0.9</v>
      </c>
      <c r="O3" s="9">
        <f t="shared" ref="O3:O66" si="0">M3*(1-N3)</f>
        <v>13989.999999999996</v>
      </c>
      <c r="P3" s="7" t="s">
        <v>16</v>
      </c>
    </row>
    <row r="4" spans="1:16" x14ac:dyDescent="0.25">
      <c r="A4" s="7" t="str">
        <f t="shared" ref="A4:A67" si="1">A3</f>
        <v>2022 ALL D90</v>
      </c>
      <c r="B4" s="8">
        <v>46099</v>
      </c>
      <c r="C4" s="8"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38162971</v>
      </c>
      <c r="K4" s="7" t="s">
        <v>1049</v>
      </c>
      <c r="L4" s="7" t="s">
        <v>1052</v>
      </c>
      <c r="M4" s="9">
        <v>139900</v>
      </c>
      <c r="N4" s="10">
        <f t="shared" ref="N4:N67" si="2">N3</f>
        <v>0.9</v>
      </c>
      <c r="O4" s="9">
        <f t="shared" si="0"/>
        <v>13989.999999999996</v>
      </c>
      <c r="P4" s="7" t="s">
        <v>16</v>
      </c>
    </row>
    <row r="5" spans="1:16" x14ac:dyDescent="0.25">
      <c r="A5" s="7" t="str">
        <f t="shared" si="1"/>
        <v>2022 ALL D90</v>
      </c>
      <c r="B5" s="8">
        <v>46099</v>
      </c>
      <c r="C5" s="8"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38162980</v>
      </c>
      <c r="K5" s="7" t="s">
        <v>1049</v>
      </c>
      <c r="L5" s="7" t="s">
        <v>1053</v>
      </c>
      <c r="M5" s="9">
        <v>139900</v>
      </c>
      <c r="N5" s="10">
        <f t="shared" si="2"/>
        <v>0.9</v>
      </c>
      <c r="O5" s="9">
        <f t="shared" si="0"/>
        <v>13989.999999999996</v>
      </c>
      <c r="P5" s="7" t="s">
        <v>16</v>
      </c>
    </row>
    <row r="6" spans="1:16" x14ac:dyDescent="0.25">
      <c r="A6" s="7" t="str">
        <f t="shared" si="1"/>
        <v>2022 ALL D90</v>
      </c>
      <c r="B6" s="8">
        <v>46099</v>
      </c>
      <c r="C6" s="8"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38162999</v>
      </c>
      <c r="K6" s="7" t="s">
        <v>1049</v>
      </c>
      <c r="L6" s="7" t="s">
        <v>1054</v>
      </c>
      <c r="M6" s="9">
        <v>139900</v>
      </c>
      <c r="N6" s="10">
        <f t="shared" si="2"/>
        <v>0.9</v>
      </c>
      <c r="O6" s="9">
        <f t="shared" si="0"/>
        <v>13989.999999999996</v>
      </c>
      <c r="P6" s="7" t="s">
        <v>16</v>
      </c>
    </row>
    <row r="7" spans="1:16" x14ac:dyDescent="0.25">
      <c r="A7" s="7" t="str">
        <f t="shared" si="1"/>
        <v>2022 ALL D90</v>
      </c>
      <c r="B7" s="8">
        <v>46099</v>
      </c>
      <c r="C7" s="8">
        <v>46113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55710097</v>
      </c>
      <c r="K7" s="7" t="s">
        <v>1055</v>
      </c>
      <c r="L7" s="7" t="s">
        <v>1056</v>
      </c>
      <c r="M7" s="9">
        <v>139900</v>
      </c>
      <c r="N7" s="10">
        <f t="shared" si="2"/>
        <v>0.9</v>
      </c>
      <c r="O7" s="9">
        <f t="shared" si="0"/>
        <v>13989.999999999996</v>
      </c>
      <c r="P7" s="7" t="s">
        <v>16</v>
      </c>
    </row>
    <row r="8" spans="1:16" x14ac:dyDescent="0.25">
      <c r="A8" s="7" t="str">
        <f t="shared" si="1"/>
        <v>2022 ALL D90</v>
      </c>
      <c r="B8" s="8">
        <v>46099</v>
      </c>
      <c r="C8" s="8">
        <v>46113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55710104</v>
      </c>
      <c r="K8" s="7" t="s">
        <v>1055</v>
      </c>
      <c r="L8" s="7" t="s">
        <v>1057</v>
      </c>
      <c r="M8" s="9">
        <v>139900</v>
      </c>
      <c r="N8" s="10">
        <f t="shared" si="2"/>
        <v>0.9</v>
      </c>
      <c r="O8" s="9">
        <f t="shared" si="0"/>
        <v>13989.999999999996</v>
      </c>
      <c r="P8" s="7" t="s">
        <v>16</v>
      </c>
    </row>
    <row r="9" spans="1:16" x14ac:dyDescent="0.25">
      <c r="A9" s="7" t="str">
        <f t="shared" si="1"/>
        <v>2022 ALL D90</v>
      </c>
      <c r="B9" s="8">
        <v>46099</v>
      </c>
      <c r="C9" s="8">
        <v>46113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55710113</v>
      </c>
      <c r="K9" s="7" t="s">
        <v>1055</v>
      </c>
      <c r="L9" s="7" t="s">
        <v>1058</v>
      </c>
      <c r="M9" s="9">
        <v>139900</v>
      </c>
      <c r="N9" s="10">
        <f t="shared" si="2"/>
        <v>0.9</v>
      </c>
      <c r="O9" s="9">
        <f t="shared" si="0"/>
        <v>13989.999999999996</v>
      </c>
      <c r="P9" s="7" t="s">
        <v>16</v>
      </c>
    </row>
    <row r="10" spans="1:16" x14ac:dyDescent="0.25">
      <c r="A10" s="7" t="str">
        <f t="shared" si="1"/>
        <v>2022 ALL D90</v>
      </c>
      <c r="B10" s="8">
        <v>46099</v>
      </c>
      <c r="C10" s="8"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55710122</v>
      </c>
      <c r="K10" s="7" t="s">
        <v>1055</v>
      </c>
      <c r="L10" s="7" t="s">
        <v>1059</v>
      </c>
      <c r="M10" s="9">
        <v>139900</v>
      </c>
      <c r="N10" s="10">
        <f t="shared" si="2"/>
        <v>0.9</v>
      </c>
      <c r="O10" s="9">
        <f t="shared" si="0"/>
        <v>13989.999999999996</v>
      </c>
      <c r="P10" s="7" t="s">
        <v>16</v>
      </c>
    </row>
    <row r="11" spans="1:16" x14ac:dyDescent="0.25">
      <c r="A11" s="7" t="str">
        <f t="shared" si="1"/>
        <v>2022 ALL D90</v>
      </c>
      <c r="B11" s="8">
        <v>46099</v>
      </c>
      <c r="C11" s="8"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55710131</v>
      </c>
      <c r="K11" s="7" t="s">
        <v>1055</v>
      </c>
      <c r="L11" s="7" t="s">
        <v>1060</v>
      </c>
      <c r="M11" s="9">
        <v>139900</v>
      </c>
      <c r="N11" s="10">
        <f t="shared" si="2"/>
        <v>0.9</v>
      </c>
      <c r="O11" s="9">
        <f t="shared" si="0"/>
        <v>13989.999999999996</v>
      </c>
      <c r="P11" s="7" t="s">
        <v>16</v>
      </c>
    </row>
    <row r="12" spans="1:16" x14ac:dyDescent="0.25">
      <c r="A12" s="7" t="str">
        <f t="shared" si="1"/>
        <v>2022 ALL D90</v>
      </c>
      <c r="B12" s="8">
        <v>46099</v>
      </c>
      <c r="C12" s="8"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55709983</v>
      </c>
      <c r="K12" s="7" t="s">
        <v>1061</v>
      </c>
      <c r="L12" s="7" t="s">
        <v>1062</v>
      </c>
      <c r="M12" s="9">
        <v>139900</v>
      </c>
      <c r="N12" s="10">
        <f t="shared" si="2"/>
        <v>0.9</v>
      </c>
      <c r="O12" s="9">
        <f t="shared" si="0"/>
        <v>13989.999999999996</v>
      </c>
      <c r="P12" s="7" t="s">
        <v>16</v>
      </c>
    </row>
    <row r="13" spans="1:16" x14ac:dyDescent="0.25">
      <c r="A13" s="7" t="str">
        <f t="shared" si="1"/>
        <v>2022 ALL D90</v>
      </c>
      <c r="B13" s="8">
        <v>46099</v>
      </c>
      <c r="C13" s="8"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55709992</v>
      </c>
      <c r="K13" s="7" t="s">
        <v>1061</v>
      </c>
      <c r="L13" s="7" t="s">
        <v>1063</v>
      </c>
      <c r="M13" s="9">
        <v>139900</v>
      </c>
      <c r="N13" s="10">
        <f t="shared" si="2"/>
        <v>0.9</v>
      </c>
      <c r="O13" s="9">
        <f t="shared" si="0"/>
        <v>13989.999999999996</v>
      </c>
      <c r="P13" s="7" t="s">
        <v>16</v>
      </c>
    </row>
    <row r="14" spans="1:16" x14ac:dyDescent="0.25">
      <c r="A14" s="7" t="str">
        <f t="shared" si="1"/>
        <v>2022 ALL D90</v>
      </c>
      <c r="B14" s="8">
        <v>46099</v>
      </c>
      <c r="C14" s="8"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55710006</v>
      </c>
      <c r="K14" s="7" t="s">
        <v>1061</v>
      </c>
      <c r="L14" s="7" t="s">
        <v>1064</v>
      </c>
      <c r="M14" s="9">
        <v>139900</v>
      </c>
      <c r="N14" s="10">
        <f t="shared" si="2"/>
        <v>0.9</v>
      </c>
      <c r="O14" s="9">
        <f t="shared" si="0"/>
        <v>13989.999999999996</v>
      </c>
      <c r="P14" s="7" t="s">
        <v>16</v>
      </c>
    </row>
    <row r="15" spans="1:16" x14ac:dyDescent="0.25">
      <c r="A15" s="7" t="str">
        <f t="shared" si="1"/>
        <v>2022 ALL D90</v>
      </c>
      <c r="B15" s="8">
        <v>46099</v>
      </c>
      <c r="C15" s="8"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55710015</v>
      </c>
      <c r="K15" s="7" t="s">
        <v>1061</v>
      </c>
      <c r="L15" s="7" t="s">
        <v>1065</v>
      </c>
      <c r="M15" s="9">
        <v>139900</v>
      </c>
      <c r="N15" s="10">
        <f t="shared" si="2"/>
        <v>0.9</v>
      </c>
      <c r="O15" s="9">
        <f t="shared" si="0"/>
        <v>13989.999999999996</v>
      </c>
      <c r="P15" s="7" t="s">
        <v>16</v>
      </c>
    </row>
    <row r="16" spans="1:16" x14ac:dyDescent="0.25">
      <c r="A16" s="7" t="str">
        <f t="shared" si="1"/>
        <v>2022 ALL D90</v>
      </c>
      <c r="B16" s="8">
        <v>46099</v>
      </c>
      <c r="C16" s="8"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63285818</v>
      </c>
      <c r="K16" s="7" t="s">
        <v>1066</v>
      </c>
      <c r="L16" s="7" t="s">
        <v>1067</v>
      </c>
      <c r="M16" s="9">
        <v>139900</v>
      </c>
      <c r="N16" s="10">
        <f t="shared" si="2"/>
        <v>0.9</v>
      </c>
      <c r="O16" s="9">
        <f t="shared" si="0"/>
        <v>13989.999999999996</v>
      </c>
      <c r="P16" s="7" t="s">
        <v>16</v>
      </c>
    </row>
    <row r="17" spans="1:16" x14ac:dyDescent="0.25">
      <c r="A17" s="7" t="str">
        <f t="shared" si="1"/>
        <v>2022 ALL D90</v>
      </c>
      <c r="B17" s="8">
        <v>46099</v>
      </c>
      <c r="C17" s="8"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63285827</v>
      </c>
      <c r="K17" s="7" t="s">
        <v>1066</v>
      </c>
      <c r="L17" s="7" t="s">
        <v>1068</v>
      </c>
      <c r="M17" s="9">
        <v>139900</v>
      </c>
      <c r="N17" s="10">
        <f t="shared" si="2"/>
        <v>0.9</v>
      </c>
      <c r="O17" s="9">
        <f t="shared" si="0"/>
        <v>13989.999999999996</v>
      </c>
      <c r="P17" s="7" t="s">
        <v>16</v>
      </c>
    </row>
    <row r="18" spans="1:16" x14ac:dyDescent="0.25">
      <c r="A18" s="7" t="str">
        <f t="shared" si="1"/>
        <v>2022 ALL D90</v>
      </c>
      <c r="B18" s="8">
        <v>46099</v>
      </c>
      <c r="C18" s="8"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63285836</v>
      </c>
      <c r="K18" s="7" t="s">
        <v>1066</v>
      </c>
      <c r="L18" s="7" t="s">
        <v>1069</v>
      </c>
      <c r="M18" s="9">
        <v>139900</v>
      </c>
      <c r="N18" s="10">
        <f t="shared" si="2"/>
        <v>0.9</v>
      </c>
      <c r="O18" s="9">
        <f t="shared" si="0"/>
        <v>13989.999999999996</v>
      </c>
      <c r="P18" s="7" t="s">
        <v>16</v>
      </c>
    </row>
    <row r="19" spans="1:16" x14ac:dyDescent="0.25">
      <c r="A19" s="7" t="str">
        <f t="shared" si="1"/>
        <v>2022 ALL D90</v>
      </c>
      <c r="B19" s="8">
        <v>46099</v>
      </c>
      <c r="C19" s="8"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63285845</v>
      </c>
      <c r="K19" s="7" t="s">
        <v>1066</v>
      </c>
      <c r="L19" s="7" t="s">
        <v>1070</v>
      </c>
      <c r="M19" s="9">
        <v>139900</v>
      </c>
      <c r="N19" s="10">
        <f t="shared" si="2"/>
        <v>0.9</v>
      </c>
      <c r="O19" s="9">
        <f t="shared" si="0"/>
        <v>13989.999999999996</v>
      </c>
      <c r="P19" s="7" t="s">
        <v>16</v>
      </c>
    </row>
    <row r="20" spans="1:16" x14ac:dyDescent="0.25">
      <c r="A20" s="7" t="str">
        <f t="shared" si="1"/>
        <v>2022 ALL D90</v>
      </c>
      <c r="B20" s="8">
        <v>46099</v>
      </c>
      <c r="C20" s="8"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63285729</v>
      </c>
      <c r="K20" s="7" t="s">
        <v>1071</v>
      </c>
      <c r="L20" s="7" t="s">
        <v>1072</v>
      </c>
      <c r="M20" s="9">
        <v>139900</v>
      </c>
      <c r="N20" s="10">
        <f t="shared" si="2"/>
        <v>0.9</v>
      </c>
      <c r="O20" s="9">
        <f t="shared" si="0"/>
        <v>13989.999999999996</v>
      </c>
      <c r="P20" s="7" t="s">
        <v>16</v>
      </c>
    </row>
    <row r="21" spans="1:16" x14ac:dyDescent="0.25">
      <c r="A21" s="7" t="str">
        <f t="shared" si="1"/>
        <v>2022 ALL D90</v>
      </c>
      <c r="B21" s="8">
        <v>46099</v>
      </c>
      <c r="C21" s="8"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63285747</v>
      </c>
      <c r="K21" s="7" t="s">
        <v>1071</v>
      </c>
      <c r="L21" s="7" t="s">
        <v>1073</v>
      </c>
      <c r="M21" s="9">
        <v>139900</v>
      </c>
      <c r="N21" s="10">
        <f t="shared" si="2"/>
        <v>0.9</v>
      </c>
      <c r="O21" s="9">
        <f t="shared" si="0"/>
        <v>13989.999999999996</v>
      </c>
      <c r="P21" s="7" t="s">
        <v>16</v>
      </c>
    </row>
    <row r="22" spans="1:16" x14ac:dyDescent="0.25">
      <c r="A22" s="7" t="str">
        <f t="shared" si="1"/>
        <v>2022 ALL D90</v>
      </c>
      <c r="B22" s="8">
        <v>46099</v>
      </c>
      <c r="C22" s="8"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63285756</v>
      </c>
      <c r="K22" s="7" t="s">
        <v>1071</v>
      </c>
      <c r="L22" s="7" t="s">
        <v>1074</v>
      </c>
      <c r="M22" s="9">
        <v>139900</v>
      </c>
      <c r="N22" s="10">
        <f t="shared" si="2"/>
        <v>0.9</v>
      </c>
      <c r="O22" s="9">
        <f t="shared" si="0"/>
        <v>13989.999999999996</v>
      </c>
      <c r="P22" s="7" t="s">
        <v>16</v>
      </c>
    </row>
    <row r="23" spans="1:16" x14ac:dyDescent="0.25">
      <c r="A23" s="7" t="str">
        <f t="shared" si="1"/>
        <v>2022 ALL D90</v>
      </c>
      <c r="B23" s="8">
        <v>46099</v>
      </c>
      <c r="C23" s="8"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63285738</v>
      </c>
      <c r="K23" s="7" t="s">
        <v>1071</v>
      </c>
      <c r="L23" s="7" t="s">
        <v>1075</v>
      </c>
      <c r="M23" s="9">
        <v>139900</v>
      </c>
      <c r="N23" s="10">
        <f t="shared" si="2"/>
        <v>0.9</v>
      </c>
      <c r="O23" s="9">
        <f t="shared" si="0"/>
        <v>13989.999999999996</v>
      </c>
      <c r="P23" s="7" t="s">
        <v>16</v>
      </c>
    </row>
    <row r="24" spans="1:16" x14ac:dyDescent="0.25">
      <c r="A24" s="7" t="str">
        <f t="shared" si="1"/>
        <v>2022 ALL D90</v>
      </c>
      <c r="B24" s="8">
        <v>46099</v>
      </c>
      <c r="C24" s="8"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62051527</v>
      </c>
      <c r="K24" s="7" t="s">
        <v>1076</v>
      </c>
      <c r="L24" s="7" t="s">
        <v>1077</v>
      </c>
      <c r="M24" s="9">
        <v>149900</v>
      </c>
      <c r="N24" s="10">
        <f t="shared" si="2"/>
        <v>0.9</v>
      </c>
      <c r="O24" s="9">
        <f t="shared" si="0"/>
        <v>14989.999999999996</v>
      </c>
      <c r="P24" s="7" t="s">
        <v>16</v>
      </c>
    </row>
    <row r="25" spans="1:16" x14ac:dyDescent="0.25">
      <c r="A25" s="7" t="str">
        <f t="shared" si="1"/>
        <v>2022 ALL D90</v>
      </c>
      <c r="B25" s="8">
        <v>46099</v>
      </c>
      <c r="C25" s="8"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62051536</v>
      </c>
      <c r="K25" s="7" t="s">
        <v>1076</v>
      </c>
      <c r="L25" s="7" t="s">
        <v>1078</v>
      </c>
      <c r="M25" s="9">
        <v>149900</v>
      </c>
      <c r="N25" s="10">
        <f t="shared" si="2"/>
        <v>0.9</v>
      </c>
      <c r="O25" s="9">
        <f t="shared" si="0"/>
        <v>14989.999999999996</v>
      </c>
      <c r="P25" s="7" t="s">
        <v>16</v>
      </c>
    </row>
    <row r="26" spans="1:16" x14ac:dyDescent="0.25">
      <c r="A26" s="7" t="str">
        <f t="shared" si="1"/>
        <v>2022 ALL D90</v>
      </c>
      <c r="B26" s="8">
        <v>46099</v>
      </c>
      <c r="C26" s="8"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62051545</v>
      </c>
      <c r="K26" s="7" t="s">
        <v>1076</v>
      </c>
      <c r="L26" s="7" t="s">
        <v>1079</v>
      </c>
      <c r="M26" s="9">
        <v>149900</v>
      </c>
      <c r="N26" s="10">
        <f t="shared" si="2"/>
        <v>0.9</v>
      </c>
      <c r="O26" s="9">
        <f t="shared" si="0"/>
        <v>14989.999999999996</v>
      </c>
      <c r="P26" s="7" t="s">
        <v>16</v>
      </c>
    </row>
    <row r="27" spans="1:16" x14ac:dyDescent="0.25">
      <c r="A27" s="7" t="str">
        <f t="shared" si="1"/>
        <v>2022 ALL D90</v>
      </c>
      <c r="B27" s="8">
        <v>46099</v>
      </c>
      <c r="C27" s="8"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62051554</v>
      </c>
      <c r="K27" s="7" t="s">
        <v>1076</v>
      </c>
      <c r="L27" s="7" t="s">
        <v>1080</v>
      </c>
      <c r="M27" s="9">
        <v>149900</v>
      </c>
      <c r="N27" s="10">
        <f t="shared" si="2"/>
        <v>0.9</v>
      </c>
      <c r="O27" s="9">
        <f t="shared" si="0"/>
        <v>14989.999999999996</v>
      </c>
      <c r="P27" s="7" t="s">
        <v>16</v>
      </c>
    </row>
    <row r="28" spans="1:16" x14ac:dyDescent="0.25">
      <c r="A28" s="7" t="str">
        <f t="shared" si="1"/>
        <v>2022 ALL D90</v>
      </c>
      <c r="B28" s="8">
        <v>46099</v>
      </c>
      <c r="C28" s="8"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62051563</v>
      </c>
      <c r="K28" s="7" t="s">
        <v>1076</v>
      </c>
      <c r="L28" s="7" t="s">
        <v>1081</v>
      </c>
      <c r="M28" s="9">
        <v>149900</v>
      </c>
      <c r="N28" s="10">
        <f t="shared" si="2"/>
        <v>0.9</v>
      </c>
      <c r="O28" s="9">
        <f t="shared" si="0"/>
        <v>14989.999999999996</v>
      </c>
      <c r="P28" s="7" t="s">
        <v>16</v>
      </c>
    </row>
    <row r="29" spans="1:16" x14ac:dyDescent="0.25">
      <c r="A29" s="7" t="str">
        <f t="shared" si="1"/>
        <v>2022 ALL D90</v>
      </c>
      <c r="B29" s="8">
        <v>46099</v>
      </c>
      <c r="C29" s="8"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63285890</v>
      </c>
      <c r="K29" s="7" t="s">
        <v>1082</v>
      </c>
      <c r="L29" s="7" t="s">
        <v>1083</v>
      </c>
      <c r="M29" s="9">
        <v>139900</v>
      </c>
      <c r="N29" s="10">
        <f t="shared" si="2"/>
        <v>0.9</v>
      </c>
      <c r="O29" s="9">
        <f t="shared" si="0"/>
        <v>13989.999999999996</v>
      </c>
      <c r="P29" s="7" t="s">
        <v>16</v>
      </c>
    </row>
    <row r="30" spans="1:16" x14ac:dyDescent="0.25">
      <c r="A30" s="7" t="str">
        <f t="shared" si="1"/>
        <v>2022 ALL D90</v>
      </c>
      <c r="B30" s="8">
        <v>46099</v>
      </c>
      <c r="C30" s="8"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63285907</v>
      </c>
      <c r="K30" s="7" t="s">
        <v>1082</v>
      </c>
      <c r="L30" s="7" t="s">
        <v>1084</v>
      </c>
      <c r="M30" s="9">
        <v>139900</v>
      </c>
      <c r="N30" s="10">
        <f t="shared" si="2"/>
        <v>0.9</v>
      </c>
      <c r="O30" s="9">
        <f t="shared" si="0"/>
        <v>13989.999999999996</v>
      </c>
      <c r="P30" s="7" t="s">
        <v>16</v>
      </c>
    </row>
    <row r="31" spans="1:16" x14ac:dyDescent="0.25">
      <c r="A31" s="7" t="str">
        <f t="shared" si="1"/>
        <v>2022 ALL D90</v>
      </c>
      <c r="B31" s="8">
        <v>46099</v>
      </c>
      <c r="C31" s="8"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63285916</v>
      </c>
      <c r="K31" s="7" t="s">
        <v>1082</v>
      </c>
      <c r="L31" s="7" t="s">
        <v>1085</v>
      </c>
      <c r="M31" s="9">
        <v>139900</v>
      </c>
      <c r="N31" s="10">
        <f t="shared" si="2"/>
        <v>0.9</v>
      </c>
      <c r="O31" s="9">
        <f t="shared" si="0"/>
        <v>13989.999999999996</v>
      </c>
      <c r="P31" s="7" t="s">
        <v>16</v>
      </c>
    </row>
    <row r="32" spans="1:16" x14ac:dyDescent="0.25">
      <c r="A32" s="7" t="str">
        <f t="shared" si="1"/>
        <v>2022 ALL D90</v>
      </c>
      <c r="B32" s="8">
        <v>46099</v>
      </c>
      <c r="C32" s="8"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63285881</v>
      </c>
      <c r="K32" s="7" t="s">
        <v>1082</v>
      </c>
      <c r="L32" s="7" t="s">
        <v>1086</v>
      </c>
      <c r="M32" s="9">
        <v>139900</v>
      </c>
      <c r="N32" s="10">
        <f t="shared" si="2"/>
        <v>0.9</v>
      </c>
      <c r="O32" s="9">
        <f t="shared" si="0"/>
        <v>13989.999999999996</v>
      </c>
      <c r="P32" s="7" t="s">
        <v>16</v>
      </c>
    </row>
    <row r="33" spans="1:16" x14ac:dyDescent="0.25">
      <c r="A33" s="7" t="str">
        <f t="shared" si="1"/>
        <v>2022 ALL D90</v>
      </c>
      <c r="B33" s="8">
        <v>46099</v>
      </c>
      <c r="C33" s="8"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62044106</v>
      </c>
      <c r="K33" s="7" t="s">
        <v>1087</v>
      </c>
      <c r="L33" s="7" t="s">
        <v>1088</v>
      </c>
      <c r="M33" s="9">
        <v>139900</v>
      </c>
      <c r="N33" s="10">
        <f t="shared" si="2"/>
        <v>0.9</v>
      </c>
      <c r="O33" s="9">
        <f t="shared" si="0"/>
        <v>13989.999999999996</v>
      </c>
      <c r="P33" s="7" t="s">
        <v>16</v>
      </c>
    </row>
    <row r="34" spans="1:16" x14ac:dyDescent="0.25">
      <c r="A34" s="7" t="str">
        <f t="shared" si="1"/>
        <v>2022 ALL D90</v>
      </c>
      <c r="B34" s="8">
        <v>46099</v>
      </c>
      <c r="C34" s="8"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62044124</v>
      </c>
      <c r="K34" s="7" t="s">
        <v>1087</v>
      </c>
      <c r="L34" s="7" t="s">
        <v>1089</v>
      </c>
      <c r="M34" s="9">
        <v>139900</v>
      </c>
      <c r="N34" s="10">
        <f t="shared" si="2"/>
        <v>0.9</v>
      </c>
      <c r="O34" s="9">
        <f t="shared" si="0"/>
        <v>13989.999999999996</v>
      </c>
      <c r="P34" s="7" t="s">
        <v>16</v>
      </c>
    </row>
    <row r="35" spans="1:16" x14ac:dyDescent="0.25">
      <c r="A35" s="7" t="str">
        <f t="shared" si="1"/>
        <v>2022 ALL D90</v>
      </c>
      <c r="B35" s="8">
        <v>46099</v>
      </c>
      <c r="C35" s="8"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62044133</v>
      </c>
      <c r="K35" s="7" t="s">
        <v>1087</v>
      </c>
      <c r="L35" s="7" t="s">
        <v>1090</v>
      </c>
      <c r="M35" s="9">
        <v>139900</v>
      </c>
      <c r="N35" s="10">
        <f t="shared" si="2"/>
        <v>0.9</v>
      </c>
      <c r="O35" s="9">
        <f t="shared" si="0"/>
        <v>13989.999999999996</v>
      </c>
      <c r="P35" s="7" t="s">
        <v>16</v>
      </c>
    </row>
    <row r="36" spans="1:16" x14ac:dyDescent="0.25">
      <c r="A36" s="7" t="str">
        <f t="shared" si="1"/>
        <v>2022 ALL D90</v>
      </c>
      <c r="B36" s="8">
        <v>46099</v>
      </c>
      <c r="C36" s="8"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62044142</v>
      </c>
      <c r="K36" s="7" t="s">
        <v>1087</v>
      </c>
      <c r="L36" s="7" t="s">
        <v>1091</v>
      </c>
      <c r="M36" s="9">
        <v>139900</v>
      </c>
      <c r="N36" s="10">
        <f t="shared" si="2"/>
        <v>0.9</v>
      </c>
      <c r="O36" s="9">
        <f t="shared" si="0"/>
        <v>13989.999999999996</v>
      </c>
      <c r="P36" s="7" t="s">
        <v>16</v>
      </c>
    </row>
    <row r="37" spans="1:16" x14ac:dyDescent="0.25">
      <c r="A37" s="7" t="str">
        <f t="shared" si="1"/>
        <v>2022 ALL D90</v>
      </c>
      <c r="B37" s="8">
        <v>46099</v>
      </c>
      <c r="C37" s="8"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62044115</v>
      </c>
      <c r="K37" s="7" t="s">
        <v>1087</v>
      </c>
      <c r="L37" s="7" t="s">
        <v>1092</v>
      </c>
      <c r="M37" s="9">
        <v>139900</v>
      </c>
      <c r="N37" s="10">
        <f t="shared" si="2"/>
        <v>0.9</v>
      </c>
      <c r="O37" s="9">
        <f t="shared" si="0"/>
        <v>13989.999999999996</v>
      </c>
      <c r="P37" s="7" t="s">
        <v>16</v>
      </c>
    </row>
    <row r="38" spans="1:16" x14ac:dyDescent="0.25">
      <c r="A38" s="7" t="str">
        <f t="shared" si="1"/>
        <v>2022 ALL D90</v>
      </c>
      <c r="B38" s="8">
        <v>46099</v>
      </c>
      <c r="C38" s="8"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62044428</v>
      </c>
      <c r="K38" s="7" t="s">
        <v>1093</v>
      </c>
      <c r="L38" s="7" t="s">
        <v>1094</v>
      </c>
      <c r="M38" s="9">
        <v>139900</v>
      </c>
      <c r="N38" s="10">
        <f t="shared" si="2"/>
        <v>0.9</v>
      </c>
      <c r="O38" s="9">
        <f t="shared" si="0"/>
        <v>13989.999999999996</v>
      </c>
      <c r="P38" s="7" t="s">
        <v>16</v>
      </c>
    </row>
    <row r="39" spans="1:16" x14ac:dyDescent="0.25">
      <c r="A39" s="7" t="str">
        <f t="shared" si="1"/>
        <v>2022 ALL D90</v>
      </c>
      <c r="B39" s="8">
        <v>46099</v>
      </c>
      <c r="C39" s="8"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62044197</v>
      </c>
      <c r="K39" s="7" t="s">
        <v>1095</v>
      </c>
      <c r="L39" s="7" t="s">
        <v>1096</v>
      </c>
      <c r="M39" s="9">
        <v>139900</v>
      </c>
      <c r="N39" s="10">
        <f t="shared" si="2"/>
        <v>0.9</v>
      </c>
      <c r="O39" s="9">
        <f t="shared" si="0"/>
        <v>13989.999999999996</v>
      </c>
      <c r="P39" s="7" t="s">
        <v>16</v>
      </c>
    </row>
    <row r="40" spans="1:16" x14ac:dyDescent="0.25">
      <c r="A40" s="7" t="str">
        <f t="shared" si="1"/>
        <v>2022 ALL D90</v>
      </c>
      <c r="B40" s="8">
        <v>46099</v>
      </c>
      <c r="C40" s="8"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62044213</v>
      </c>
      <c r="K40" s="7" t="s">
        <v>1095</v>
      </c>
      <c r="L40" s="7" t="s">
        <v>1097</v>
      </c>
      <c r="M40" s="9">
        <v>139900</v>
      </c>
      <c r="N40" s="10">
        <f t="shared" si="2"/>
        <v>0.9</v>
      </c>
      <c r="O40" s="9">
        <f t="shared" si="0"/>
        <v>13989.999999999996</v>
      </c>
      <c r="P40" s="7" t="s">
        <v>16</v>
      </c>
    </row>
    <row r="41" spans="1:16" x14ac:dyDescent="0.25">
      <c r="A41" s="7" t="str">
        <f t="shared" si="1"/>
        <v>2022 ALL D90</v>
      </c>
      <c r="B41" s="8">
        <v>46099</v>
      </c>
      <c r="C41" s="8"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62044204</v>
      </c>
      <c r="K41" s="7" t="s">
        <v>1095</v>
      </c>
      <c r="L41" s="7" t="s">
        <v>1098</v>
      </c>
      <c r="M41" s="9">
        <v>139900</v>
      </c>
      <c r="N41" s="10">
        <f t="shared" si="2"/>
        <v>0.9</v>
      </c>
      <c r="O41" s="9">
        <f t="shared" si="0"/>
        <v>13989.999999999996</v>
      </c>
      <c r="P41" s="7" t="s">
        <v>16</v>
      </c>
    </row>
    <row r="42" spans="1:16" x14ac:dyDescent="0.25">
      <c r="A42" s="7" t="str">
        <f t="shared" si="1"/>
        <v>2022 ALL D90</v>
      </c>
      <c r="B42" s="8">
        <v>46099</v>
      </c>
      <c r="C42" s="8"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65514647</v>
      </c>
      <c r="K42" s="7" t="s">
        <v>1099</v>
      </c>
      <c r="L42" s="7" t="s">
        <v>1100</v>
      </c>
      <c r="M42" s="9">
        <v>139900</v>
      </c>
      <c r="N42" s="10">
        <f t="shared" si="2"/>
        <v>0.9</v>
      </c>
      <c r="O42" s="9">
        <f t="shared" si="0"/>
        <v>13989.999999999996</v>
      </c>
      <c r="P42" s="7" t="s">
        <v>16</v>
      </c>
    </row>
    <row r="43" spans="1:16" x14ac:dyDescent="0.25">
      <c r="A43" s="7" t="str">
        <f t="shared" si="1"/>
        <v>2022 ALL D90</v>
      </c>
      <c r="B43" s="8">
        <v>46099</v>
      </c>
      <c r="C43" s="8"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65514656</v>
      </c>
      <c r="K43" s="7" t="s">
        <v>1099</v>
      </c>
      <c r="L43" s="7" t="s">
        <v>1101</v>
      </c>
      <c r="M43" s="9">
        <v>139900</v>
      </c>
      <c r="N43" s="10">
        <f t="shared" si="2"/>
        <v>0.9</v>
      </c>
      <c r="O43" s="9">
        <f t="shared" si="0"/>
        <v>13989.999999999996</v>
      </c>
      <c r="P43" s="7" t="s">
        <v>16</v>
      </c>
    </row>
    <row r="44" spans="1:16" x14ac:dyDescent="0.25">
      <c r="A44" s="7" t="str">
        <f t="shared" si="1"/>
        <v>2022 ALL D90</v>
      </c>
      <c r="B44" s="8">
        <v>46099</v>
      </c>
      <c r="C44" s="8"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65514638</v>
      </c>
      <c r="K44" s="7" t="s">
        <v>1099</v>
      </c>
      <c r="L44" s="7" t="s">
        <v>1102</v>
      </c>
      <c r="M44" s="9">
        <v>139900</v>
      </c>
      <c r="N44" s="10">
        <f t="shared" si="2"/>
        <v>0.9</v>
      </c>
      <c r="O44" s="9">
        <f t="shared" si="0"/>
        <v>13989.999999999996</v>
      </c>
      <c r="P44" s="7" t="s">
        <v>16</v>
      </c>
    </row>
    <row r="45" spans="1:16" x14ac:dyDescent="0.25">
      <c r="A45" s="7" t="str">
        <f t="shared" si="1"/>
        <v>2022 ALL D90</v>
      </c>
      <c r="B45" s="8">
        <v>46099</v>
      </c>
      <c r="C45" s="8"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70045171</v>
      </c>
      <c r="K45" s="7" t="s">
        <v>1103</v>
      </c>
      <c r="L45" s="7" t="s">
        <v>1104</v>
      </c>
      <c r="M45" s="9">
        <v>139900</v>
      </c>
      <c r="N45" s="10">
        <f t="shared" si="2"/>
        <v>0.9</v>
      </c>
      <c r="O45" s="9">
        <f t="shared" si="0"/>
        <v>13989.999999999996</v>
      </c>
      <c r="P45" s="7" t="s">
        <v>16</v>
      </c>
    </row>
    <row r="46" spans="1:16" x14ac:dyDescent="0.25">
      <c r="A46" s="7" t="str">
        <f t="shared" si="1"/>
        <v>2022 ALL D90</v>
      </c>
      <c r="B46" s="8">
        <v>46099</v>
      </c>
      <c r="C46" s="8"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70045180</v>
      </c>
      <c r="K46" s="7" t="s">
        <v>1103</v>
      </c>
      <c r="L46" s="7" t="s">
        <v>1105</v>
      </c>
      <c r="M46" s="9">
        <v>139900</v>
      </c>
      <c r="N46" s="10">
        <f t="shared" si="2"/>
        <v>0.9</v>
      </c>
      <c r="O46" s="9">
        <f t="shared" si="0"/>
        <v>13989.999999999996</v>
      </c>
      <c r="P46" s="7" t="s">
        <v>16</v>
      </c>
    </row>
    <row r="47" spans="1:16" x14ac:dyDescent="0.25">
      <c r="A47" s="7" t="str">
        <f t="shared" si="1"/>
        <v>2022 ALL D90</v>
      </c>
      <c r="B47" s="8">
        <v>46099</v>
      </c>
      <c r="C47" s="8"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70045199</v>
      </c>
      <c r="K47" s="7" t="s">
        <v>1103</v>
      </c>
      <c r="L47" s="7" t="s">
        <v>1106</v>
      </c>
      <c r="M47" s="9">
        <v>139900</v>
      </c>
      <c r="N47" s="10">
        <f t="shared" si="2"/>
        <v>0.9</v>
      </c>
      <c r="O47" s="9">
        <f t="shared" si="0"/>
        <v>13989.999999999996</v>
      </c>
      <c r="P47" s="7" t="s">
        <v>16</v>
      </c>
    </row>
    <row r="48" spans="1:16" x14ac:dyDescent="0.25">
      <c r="A48" s="7" t="str">
        <f t="shared" si="1"/>
        <v>2022 ALL D90</v>
      </c>
      <c r="B48" s="8">
        <v>46099</v>
      </c>
      <c r="C48" s="8"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70045206</v>
      </c>
      <c r="K48" s="7" t="s">
        <v>1103</v>
      </c>
      <c r="L48" s="7" t="s">
        <v>1107</v>
      </c>
      <c r="M48" s="9">
        <v>139900</v>
      </c>
      <c r="N48" s="10">
        <f t="shared" si="2"/>
        <v>0.9</v>
      </c>
      <c r="O48" s="9">
        <f t="shared" si="0"/>
        <v>13989.999999999996</v>
      </c>
      <c r="P48" s="7" t="s">
        <v>16</v>
      </c>
    </row>
    <row r="49" spans="1:16" x14ac:dyDescent="0.25">
      <c r="A49" s="7" t="str">
        <f t="shared" si="1"/>
        <v>2022 ALL D90</v>
      </c>
      <c r="B49" s="8">
        <v>46099</v>
      </c>
      <c r="C49" s="8">
        <v>46113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70045215</v>
      </c>
      <c r="K49" s="7" t="s">
        <v>1103</v>
      </c>
      <c r="L49" s="7" t="s">
        <v>1108</v>
      </c>
      <c r="M49" s="9">
        <v>139900</v>
      </c>
      <c r="N49" s="10">
        <f t="shared" si="2"/>
        <v>0.9</v>
      </c>
      <c r="O49" s="9">
        <f t="shared" si="0"/>
        <v>13989.999999999996</v>
      </c>
      <c r="P49" s="7" t="s">
        <v>16</v>
      </c>
    </row>
    <row r="50" spans="1:16" x14ac:dyDescent="0.25">
      <c r="A50" s="7" t="str">
        <f t="shared" si="1"/>
        <v>2022 ALL D90</v>
      </c>
      <c r="B50" s="8">
        <v>46099</v>
      </c>
      <c r="C50" s="8">
        <v>46113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65515075</v>
      </c>
      <c r="K50" s="7" t="s">
        <v>1109</v>
      </c>
      <c r="L50" s="7" t="s">
        <v>1110</v>
      </c>
      <c r="M50" s="9">
        <v>139900</v>
      </c>
      <c r="N50" s="10">
        <f t="shared" si="2"/>
        <v>0.9</v>
      </c>
      <c r="O50" s="9">
        <f t="shared" si="0"/>
        <v>13989.999999999996</v>
      </c>
      <c r="P50" s="7" t="s">
        <v>16</v>
      </c>
    </row>
    <row r="51" spans="1:16" x14ac:dyDescent="0.25">
      <c r="A51" s="7" t="str">
        <f t="shared" si="1"/>
        <v>2022 ALL D90</v>
      </c>
      <c r="B51" s="8">
        <v>46099</v>
      </c>
      <c r="C51" s="8">
        <v>46113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65515084</v>
      </c>
      <c r="K51" s="7" t="s">
        <v>1109</v>
      </c>
      <c r="L51" s="7" t="s">
        <v>1111</v>
      </c>
      <c r="M51" s="9">
        <v>139900</v>
      </c>
      <c r="N51" s="10">
        <f t="shared" si="2"/>
        <v>0.9</v>
      </c>
      <c r="O51" s="9">
        <f t="shared" si="0"/>
        <v>13989.999999999996</v>
      </c>
      <c r="P51" s="7" t="s">
        <v>16</v>
      </c>
    </row>
    <row r="52" spans="1:16" x14ac:dyDescent="0.25">
      <c r="A52" s="7" t="str">
        <f t="shared" si="1"/>
        <v>2022 ALL D90</v>
      </c>
      <c r="B52" s="8">
        <v>46099</v>
      </c>
      <c r="C52" s="8">
        <v>46113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65515093</v>
      </c>
      <c r="K52" s="7" t="s">
        <v>1109</v>
      </c>
      <c r="L52" s="7" t="s">
        <v>1112</v>
      </c>
      <c r="M52" s="9">
        <v>139900</v>
      </c>
      <c r="N52" s="10">
        <f t="shared" si="2"/>
        <v>0.9</v>
      </c>
      <c r="O52" s="9">
        <f t="shared" si="0"/>
        <v>13989.999999999996</v>
      </c>
      <c r="P52" s="7" t="s">
        <v>16</v>
      </c>
    </row>
    <row r="53" spans="1:16" x14ac:dyDescent="0.25">
      <c r="A53" s="7" t="str">
        <f t="shared" si="1"/>
        <v>2022 ALL D90</v>
      </c>
      <c r="B53" s="8">
        <v>46099</v>
      </c>
      <c r="C53" s="8">
        <v>46113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65515100</v>
      </c>
      <c r="K53" s="7" t="s">
        <v>1109</v>
      </c>
      <c r="L53" s="7" t="s">
        <v>1113</v>
      </c>
      <c r="M53" s="9">
        <v>139900</v>
      </c>
      <c r="N53" s="10">
        <f t="shared" si="2"/>
        <v>0.9</v>
      </c>
      <c r="O53" s="9">
        <f t="shared" si="0"/>
        <v>13989.999999999996</v>
      </c>
      <c r="P53" s="7" t="s">
        <v>16</v>
      </c>
    </row>
    <row r="54" spans="1:16" x14ac:dyDescent="0.25">
      <c r="A54" s="7" t="str">
        <f t="shared" si="1"/>
        <v>2022 ALL D90</v>
      </c>
      <c r="B54" s="8">
        <v>46099</v>
      </c>
      <c r="C54" s="8">
        <v>46113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65515119</v>
      </c>
      <c r="K54" s="7" t="s">
        <v>1109</v>
      </c>
      <c r="L54" s="7" t="s">
        <v>1114</v>
      </c>
      <c r="M54" s="9">
        <v>139900</v>
      </c>
      <c r="N54" s="10">
        <f t="shared" si="2"/>
        <v>0.9</v>
      </c>
      <c r="O54" s="9">
        <f t="shared" si="0"/>
        <v>13989.999999999996</v>
      </c>
      <c r="P54" s="7" t="s">
        <v>16</v>
      </c>
    </row>
    <row r="55" spans="1:16" x14ac:dyDescent="0.25">
      <c r="A55" s="7" t="str">
        <f t="shared" si="1"/>
        <v>2022 ALL D90</v>
      </c>
      <c r="B55" s="8">
        <v>46099</v>
      </c>
      <c r="C55" s="8">
        <v>46113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65514576</v>
      </c>
      <c r="K55" s="7" t="s">
        <v>1115</v>
      </c>
      <c r="L55" s="7" t="s">
        <v>1116</v>
      </c>
      <c r="M55" s="9">
        <v>139900</v>
      </c>
      <c r="N55" s="10">
        <f t="shared" si="2"/>
        <v>0.9</v>
      </c>
      <c r="O55" s="9">
        <f t="shared" si="0"/>
        <v>13989.999999999996</v>
      </c>
      <c r="P55" s="7" t="s">
        <v>16</v>
      </c>
    </row>
    <row r="56" spans="1:16" x14ac:dyDescent="0.25">
      <c r="A56" s="7" t="str">
        <f t="shared" si="1"/>
        <v>2022 ALL D90</v>
      </c>
      <c r="B56" s="8">
        <v>46099</v>
      </c>
      <c r="C56" s="8">
        <v>46113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65514585</v>
      </c>
      <c r="K56" s="7" t="s">
        <v>1115</v>
      </c>
      <c r="L56" s="7" t="s">
        <v>1117</v>
      </c>
      <c r="M56" s="9">
        <v>139900</v>
      </c>
      <c r="N56" s="10">
        <f t="shared" si="2"/>
        <v>0.9</v>
      </c>
      <c r="O56" s="9">
        <f t="shared" si="0"/>
        <v>13989.999999999996</v>
      </c>
      <c r="P56" s="7" t="s">
        <v>16</v>
      </c>
    </row>
    <row r="57" spans="1:16" x14ac:dyDescent="0.25">
      <c r="A57" s="7" t="str">
        <f t="shared" si="1"/>
        <v>2022 ALL D90</v>
      </c>
      <c r="B57" s="8">
        <v>46099</v>
      </c>
      <c r="C57" s="8">
        <v>46113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65514594</v>
      </c>
      <c r="K57" s="7" t="s">
        <v>1115</v>
      </c>
      <c r="L57" s="7" t="s">
        <v>1118</v>
      </c>
      <c r="M57" s="9">
        <v>139900</v>
      </c>
      <c r="N57" s="10">
        <f t="shared" si="2"/>
        <v>0.9</v>
      </c>
      <c r="O57" s="9">
        <f t="shared" si="0"/>
        <v>13989.999999999996</v>
      </c>
      <c r="P57" s="7" t="s">
        <v>16</v>
      </c>
    </row>
    <row r="58" spans="1:16" x14ac:dyDescent="0.25">
      <c r="A58" s="7" t="str">
        <f t="shared" si="1"/>
        <v>2022 ALL D90</v>
      </c>
      <c r="B58" s="8">
        <v>46099</v>
      </c>
      <c r="C58" s="8">
        <v>46113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65514601</v>
      </c>
      <c r="K58" s="7" t="s">
        <v>1115</v>
      </c>
      <c r="L58" s="7" t="s">
        <v>1119</v>
      </c>
      <c r="M58" s="9">
        <v>139900</v>
      </c>
      <c r="N58" s="10">
        <f t="shared" si="2"/>
        <v>0.9</v>
      </c>
      <c r="O58" s="9">
        <f t="shared" si="0"/>
        <v>13989.999999999996</v>
      </c>
      <c r="P58" s="7" t="s">
        <v>16</v>
      </c>
    </row>
    <row r="59" spans="1:16" x14ac:dyDescent="0.25">
      <c r="A59" s="7" t="str">
        <f t="shared" si="1"/>
        <v>2022 ALL D90</v>
      </c>
      <c r="B59" s="8">
        <v>46099</v>
      </c>
      <c r="C59" s="8">
        <v>46113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66734201</v>
      </c>
      <c r="K59" s="7" t="s">
        <v>1120</v>
      </c>
      <c r="L59" s="7" t="s">
        <v>1121</v>
      </c>
      <c r="M59" s="9">
        <v>139900</v>
      </c>
      <c r="N59" s="10">
        <f t="shared" si="2"/>
        <v>0.9</v>
      </c>
      <c r="O59" s="9">
        <f t="shared" si="0"/>
        <v>13989.999999999996</v>
      </c>
      <c r="P59" s="7" t="s">
        <v>16</v>
      </c>
    </row>
    <row r="60" spans="1:16" x14ac:dyDescent="0.25">
      <c r="A60" s="7" t="str">
        <f t="shared" si="1"/>
        <v>2022 ALL D90</v>
      </c>
      <c r="B60" s="8">
        <v>46099</v>
      </c>
      <c r="C60" s="8">
        <v>46113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66734210</v>
      </c>
      <c r="K60" s="7" t="s">
        <v>1120</v>
      </c>
      <c r="L60" s="7" t="s">
        <v>1122</v>
      </c>
      <c r="M60" s="9">
        <v>139900</v>
      </c>
      <c r="N60" s="10">
        <f t="shared" si="2"/>
        <v>0.9</v>
      </c>
      <c r="O60" s="9">
        <f t="shared" si="0"/>
        <v>13989.999999999996</v>
      </c>
      <c r="P60" s="7" t="s">
        <v>16</v>
      </c>
    </row>
    <row r="61" spans="1:16" x14ac:dyDescent="0.25">
      <c r="A61" s="7" t="str">
        <f t="shared" si="1"/>
        <v>2022 ALL D90</v>
      </c>
      <c r="B61" s="8">
        <v>46099</v>
      </c>
      <c r="C61" s="8">
        <v>46113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66734229</v>
      </c>
      <c r="K61" s="7" t="s">
        <v>1120</v>
      </c>
      <c r="L61" s="7" t="s">
        <v>1123</v>
      </c>
      <c r="M61" s="9">
        <v>139900</v>
      </c>
      <c r="N61" s="10">
        <f t="shared" si="2"/>
        <v>0.9</v>
      </c>
      <c r="O61" s="9">
        <f t="shared" si="0"/>
        <v>13989.999999999996</v>
      </c>
      <c r="P61" s="7" t="s">
        <v>16</v>
      </c>
    </row>
    <row r="62" spans="1:16" x14ac:dyDescent="0.25">
      <c r="A62" s="7" t="str">
        <f t="shared" si="1"/>
        <v>2022 ALL D90</v>
      </c>
      <c r="B62" s="8">
        <v>46099</v>
      </c>
      <c r="C62" s="8">
        <v>46113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66734247</v>
      </c>
      <c r="K62" s="7" t="s">
        <v>1120</v>
      </c>
      <c r="L62" s="7" t="s">
        <v>1124</v>
      </c>
      <c r="M62" s="9">
        <v>139900</v>
      </c>
      <c r="N62" s="10">
        <f t="shared" si="2"/>
        <v>0.9</v>
      </c>
      <c r="O62" s="9">
        <f t="shared" si="0"/>
        <v>13989.999999999996</v>
      </c>
      <c r="P62" s="7" t="s">
        <v>16</v>
      </c>
    </row>
    <row r="63" spans="1:16" x14ac:dyDescent="0.25">
      <c r="A63" s="7" t="str">
        <f t="shared" si="1"/>
        <v>2022 ALL D90</v>
      </c>
      <c r="B63" s="8">
        <v>46099</v>
      </c>
      <c r="C63" s="8">
        <v>46113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67589957</v>
      </c>
      <c r="K63" s="7" t="s">
        <v>1125</v>
      </c>
      <c r="L63" s="7" t="s">
        <v>1126</v>
      </c>
      <c r="M63" s="9">
        <v>139900</v>
      </c>
      <c r="N63" s="10">
        <f t="shared" si="2"/>
        <v>0.9</v>
      </c>
      <c r="O63" s="9">
        <f t="shared" si="0"/>
        <v>13989.999999999996</v>
      </c>
      <c r="P63" s="7" t="s">
        <v>16</v>
      </c>
    </row>
    <row r="64" spans="1:16" x14ac:dyDescent="0.25">
      <c r="A64" s="7" t="str">
        <f t="shared" si="1"/>
        <v>2022 ALL D90</v>
      </c>
      <c r="B64" s="8">
        <v>46099</v>
      </c>
      <c r="C64" s="8">
        <v>46113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67589975</v>
      </c>
      <c r="K64" s="7" t="s">
        <v>1125</v>
      </c>
      <c r="L64" s="7" t="s">
        <v>1127</v>
      </c>
      <c r="M64" s="9">
        <v>139900</v>
      </c>
      <c r="N64" s="10">
        <f t="shared" si="2"/>
        <v>0.9</v>
      </c>
      <c r="O64" s="9">
        <f t="shared" si="0"/>
        <v>13989.999999999996</v>
      </c>
      <c r="P64" s="7" t="s">
        <v>16</v>
      </c>
    </row>
    <row r="65" spans="1:16" x14ac:dyDescent="0.25">
      <c r="A65" s="7" t="str">
        <f t="shared" si="1"/>
        <v>2022 ALL D90</v>
      </c>
      <c r="B65" s="8">
        <v>46099</v>
      </c>
      <c r="C65" s="8">
        <v>46113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67589984</v>
      </c>
      <c r="K65" s="7" t="s">
        <v>1125</v>
      </c>
      <c r="L65" s="7" t="s">
        <v>1128</v>
      </c>
      <c r="M65" s="9">
        <v>139900</v>
      </c>
      <c r="N65" s="10">
        <f t="shared" si="2"/>
        <v>0.9</v>
      </c>
      <c r="O65" s="9">
        <f t="shared" si="0"/>
        <v>13989.999999999996</v>
      </c>
      <c r="P65" s="7" t="s">
        <v>16</v>
      </c>
    </row>
    <row r="66" spans="1:16" x14ac:dyDescent="0.25">
      <c r="A66" s="7" t="str">
        <f t="shared" si="1"/>
        <v>2022 ALL D90</v>
      </c>
      <c r="B66" s="8">
        <v>46099</v>
      </c>
      <c r="C66" s="8">
        <v>46113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67589966</v>
      </c>
      <c r="K66" s="7" t="s">
        <v>1125</v>
      </c>
      <c r="L66" s="7" t="s">
        <v>1129</v>
      </c>
      <c r="M66" s="9">
        <v>139900</v>
      </c>
      <c r="N66" s="10">
        <f t="shared" si="2"/>
        <v>0.9</v>
      </c>
      <c r="O66" s="9">
        <f t="shared" si="0"/>
        <v>13989.999999999996</v>
      </c>
      <c r="P66" s="7" t="s">
        <v>16</v>
      </c>
    </row>
    <row r="67" spans="1:16" x14ac:dyDescent="0.25">
      <c r="A67" s="7" t="str">
        <f t="shared" si="1"/>
        <v>2022 ALL D90</v>
      </c>
      <c r="B67" s="8">
        <v>46099</v>
      </c>
      <c r="C67" s="8">
        <v>46113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67702930</v>
      </c>
      <c r="K67" s="7" t="s">
        <v>1130</v>
      </c>
      <c r="L67" s="7" t="s">
        <v>1131</v>
      </c>
      <c r="M67" s="9">
        <v>129900</v>
      </c>
      <c r="N67" s="10">
        <f t="shared" si="2"/>
        <v>0.9</v>
      </c>
      <c r="O67" s="9">
        <f t="shared" ref="O67:O130" si="3">M67*(1-N67)</f>
        <v>12989.999999999996</v>
      </c>
      <c r="P67" s="7" t="s">
        <v>16</v>
      </c>
    </row>
    <row r="68" spans="1:16" x14ac:dyDescent="0.25">
      <c r="A68" s="7" t="str">
        <f t="shared" ref="A68:A131" si="4">A67</f>
        <v>2022 ALL D90</v>
      </c>
      <c r="B68" s="8">
        <v>46099</v>
      </c>
      <c r="C68" s="8">
        <v>46113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67702949</v>
      </c>
      <c r="K68" s="7" t="s">
        <v>1130</v>
      </c>
      <c r="L68" s="7" t="s">
        <v>1132</v>
      </c>
      <c r="M68" s="9">
        <v>129900</v>
      </c>
      <c r="N68" s="10">
        <f t="shared" ref="N68:N131" si="5">N67</f>
        <v>0.9</v>
      </c>
      <c r="O68" s="9">
        <f t="shared" si="3"/>
        <v>12989.999999999996</v>
      </c>
      <c r="P68" s="7" t="s">
        <v>16</v>
      </c>
    </row>
    <row r="69" spans="1:16" x14ac:dyDescent="0.25">
      <c r="A69" s="7" t="str">
        <f t="shared" si="4"/>
        <v>2022 ALL D90</v>
      </c>
      <c r="B69" s="8">
        <v>46099</v>
      </c>
      <c r="C69" s="8">
        <v>46113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67702958</v>
      </c>
      <c r="K69" s="7" t="s">
        <v>1130</v>
      </c>
      <c r="L69" s="7" t="s">
        <v>1133</v>
      </c>
      <c r="M69" s="9">
        <v>129900</v>
      </c>
      <c r="N69" s="10">
        <f t="shared" si="5"/>
        <v>0.9</v>
      </c>
      <c r="O69" s="9">
        <f t="shared" si="3"/>
        <v>12989.999999999996</v>
      </c>
      <c r="P69" s="7" t="s">
        <v>16</v>
      </c>
    </row>
    <row r="70" spans="1:16" x14ac:dyDescent="0.25">
      <c r="A70" s="7" t="str">
        <f t="shared" si="4"/>
        <v>2022 ALL D90</v>
      </c>
      <c r="B70" s="8">
        <v>46099</v>
      </c>
      <c r="C70" s="8">
        <v>46113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67702967</v>
      </c>
      <c r="K70" s="7" t="s">
        <v>1130</v>
      </c>
      <c r="L70" s="7" t="s">
        <v>1134</v>
      </c>
      <c r="M70" s="9">
        <v>129900</v>
      </c>
      <c r="N70" s="10">
        <f t="shared" si="5"/>
        <v>0.9</v>
      </c>
      <c r="O70" s="9">
        <f t="shared" si="3"/>
        <v>12989.999999999996</v>
      </c>
      <c r="P70" s="7" t="s">
        <v>16</v>
      </c>
    </row>
    <row r="71" spans="1:16" x14ac:dyDescent="0.25">
      <c r="A71" s="7" t="str">
        <f t="shared" si="4"/>
        <v>2022 ALL D90</v>
      </c>
      <c r="B71" s="8">
        <v>46099</v>
      </c>
      <c r="C71" s="8">
        <v>46113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63285765</v>
      </c>
      <c r="K71" s="7" t="s">
        <v>1135</v>
      </c>
      <c r="L71" s="7" t="s">
        <v>1136</v>
      </c>
      <c r="M71" s="9">
        <v>129900</v>
      </c>
      <c r="N71" s="10">
        <f t="shared" si="5"/>
        <v>0.9</v>
      </c>
      <c r="O71" s="9">
        <f t="shared" si="3"/>
        <v>12989.999999999996</v>
      </c>
      <c r="P71" s="7" t="s">
        <v>16</v>
      </c>
    </row>
    <row r="72" spans="1:16" x14ac:dyDescent="0.25">
      <c r="A72" s="7" t="str">
        <f t="shared" si="4"/>
        <v>2022 ALL D90</v>
      </c>
      <c r="B72" s="8">
        <v>46099</v>
      </c>
      <c r="C72" s="8">
        <v>46113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63285774</v>
      </c>
      <c r="K72" s="7" t="s">
        <v>1135</v>
      </c>
      <c r="L72" s="7" t="s">
        <v>1137</v>
      </c>
      <c r="M72" s="9">
        <v>129900</v>
      </c>
      <c r="N72" s="10">
        <f t="shared" si="5"/>
        <v>0.9</v>
      </c>
      <c r="O72" s="9">
        <f t="shared" si="3"/>
        <v>12989.999999999996</v>
      </c>
      <c r="P72" s="7" t="s">
        <v>16</v>
      </c>
    </row>
    <row r="73" spans="1:16" x14ac:dyDescent="0.25">
      <c r="A73" s="7" t="str">
        <f t="shared" si="4"/>
        <v>2022 ALL D90</v>
      </c>
      <c r="B73" s="8">
        <v>46099</v>
      </c>
      <c r="C73" s="8">
        <v>46113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63285783</v>
      </c>
      <c r="K73" s="7" t="s">
        <v>1135</v>
      </c>
      <c r="L73" s="7" t="s">
        <v>1138</v>
      </c>
      <c r="M73" s="9">
        <v>129900</v>
      </c>
      <c r="N73" s="10">
        <f t="shared" si="5"/>
        <v>0.9</v>
      </c>
      <c r="O73" s="9">
        <f t="shared" si="3"/>
        <v>12989.999999999996</v>
      </c>
      <c r="P73" s="7" t="s">
        <v>16</v>
      </c>
    </row>
    <row r="74" spans="1:16" x14ac:dyDescent="0.25">
      <c r="A74" s="7" t="str">
        <f t="shared" si="4"/>
        <v>2022 ALL D90</v>
      </c>
      <c r="B74" s="8">
        <v>46099</v>
      </c>
      <c r="C74" s="8">
        <v>46113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63285792</v>
      </c>
      <c r="K74" s="7" t="s">
        <v>1135</v>
      </c>
      <c r="L74" s="7" t="s">
        <v>1139</v>
      </c>
      <c r="M74" s="9">
        <v>129900</v>
      </c>
      <c r="N74" s="10">
        <f t="shared" si="5"/>
        <v>0.9</v>
      </c>
      <c r="O74" s="9">
        <f t="shared" si="3"/>
        <v>12989.999999999996</v>
      </c>
      <c r="P74" s="7" t="s">
        <v>16</v>
      </c>
    </row>
    <row r="75" spans="1:16" x14ac:dyDescent="0.25">
      <c r="A75" s="7" t="str">
        <f t="shared" si="4"/>
        <v>2022 ALL D90</v>
      </c>
      <c r="B75" s="8">
        <v>46099</v>
      </c>
      <c r="C75" s="8">
        <v>46113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63285809</v>
      </c>
      <c r="K75" s="7" t="s">
        <v>1135</v>
      </c>
      <c r="L75" s="7" t="s">
        <v>1140</v>
      </c>
      <c r="M75" s="9">
        <v>129900</v>
      </c>
      <c r="N75" s="10">
        <f t="shared" si="5"/>
        <v>0.9</v>
      </c>
      <c r="O75" s="9">
        <f t="shared" si="3"/>
        <v>12989.999999999996</v>
      </c>
      <c r="P75" s="7" t="s">
        <v>16</v>
      </c>
    </row>
    <row r="76" spans="1:16" x14ac:dyDescent="0.25">
      <c r="A76" s="7" t="str">
        <f t="shared" si="4"/>
        <v>2022 ALL D90</v>
      </c>
      <c r="B76" s="8">
        <v>46099</v>
      </c>
      <c r="C76" s="8">
        <v>46113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67703000</v>
      </c>
      <c r="K76" s="7" t="s">
        <v>1141</v>
      </c>
      <c r="L76" s="7" t="s">
        <v>1142</v>
      </c>
      <c r="M76" s="9">
        <v>139900</v>
      </c>
      <c r="N76" s="10">
        <f t="shared" si="5"/>
        <v>0.9</v>
      </c>
      <c r="O76" s="9">
        <f t="shared" si="3"/>
        <v>13989.999999999996</v>
      </c>
      <c r="P76" s="7" t="s">
        <v>16</v>
      </c>
    </row>
    <row r="77" spans="1:16" x14ac:dyDescent="0.25">
      <c r="A77" s="7" t="str">
        <f t="shared" si="4"/>
        <v>2022 ALL D90</v>
      </c>
      <c r="B77" s="8">
        <v>46099</v>
      </c>
      <c r="C77" s="8">
        <v>46113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67703019</v>
      </c>
      <c r="K77" s="7" t="s">
        <v>1141</v>
      </c>
      <c r="L77" s="7" t="s">
        <v>1143</v>
      </c>
      <c r="M77" s="9">
        <v>139900</v>
      </c>
      <c r="N77" s="10">
        <f t="shared" si="5"/>
        <v>0.9</v>
      </c>
      <c r="O77" s="9">
        <f t="shared" si="3"/>
        <v>13989.999999999996</v>
      </c>
      <c r="P77" s="7" t="s">
        <v>16</v>
      </c>
    </row>
    <row r="78" spans="1:16" x14ac:dyDescent="0.25">
      <c r="A78" s="7" t="str">
        <f t="shared" si="4"/>
        <v>2022 ALL D90</v>
      </c>
      <c r="B78" s="8">
        <v>46099</v>
      </c>
      <c r="C78" s="8">
        <v>46113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67703028</v>
      </c>
      <c r="K78" s="7" t="s">
        <v>1141</v>
      </c>
      <c r="L78" s="7" t="s">
        <v>1144</v>
      </c>
      <c r="M78" s="9">
        <v>139900</v>
      </c>
      <c r="N78" s="10">
        <f t="shared" si="5"/>
        <v>0.9</v>
      </c>
      <c r="O78" s="9">
        <f t="shared" si="3"/>
        <v>13989.999999999996</v>
      </c>
      <c r="P78" s="7" t="s">
        <v>16</v>
      </c>
    </row>
    <row r="79" spans="1:16" x14ac:dyDescent="0.25">
      <c r="A79" s="7" t="str">
        <f t="shared" si="4"/>
        <v>2022 ALL D90</v>
      </c>
      <c r="B79" s="8">
        <v>46099</v>
      </c>
      <c r="C79" s="8">
        <v>46113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67703037</v>
      </c>
      <c r="K79" s="7" t="s">
        <v>1141</v>
      </c>
      <c r="L79" s="7" t="s">
        <v>1145</v>
      </c>
      <c r="M79" s="9">
        <v>139900</v>
      </c>
      <c r="N79" s="10">
        <f t="shared" si="5"/>
        <v>0.9</v>
      </c>
      <c r="O79" s="9">
        <f t="shared" si="3"/>
        <v>13989.999999999996</v>
      </c>
      <c r="P79" s="7" t="s">
        <v>16</v>
      </c>
    </row>
    <row r="80" spans="1:16" x14ac:dyDescent="0.25">
      <c r="A80" s="7" t="str">
        <f t="shared" si="4"/>
        <v>2022 ALL D90</v>
      </c>
      <c r="B80" s="8">
        <v>46099</v>
      </c>
      <c r="C80" s="8">
        <v>46113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67703046</v>
      </c>
      <c r="K80" s="7" t="s">
        <v>1141</v>
      </c>
      <c r="L80" s="7" t="s">
        <v>1146</v>
      </c>
      <c r="M80" s="9">
        <v>139900</v>
      </c>
      <c r="N80" s="10">
        <f t="shared" si="5"/>
        <v>0.9</v>
      </c>
      <c r="O80" s="9">
        <f t="shared" si="3"/>
        <v>13989.999999999996</v>
      </c>
      <c r="P80" s="7" t="s">
        <v>16</v>
      </c>
    </row>
    <row r="81" spans="1:16" x14ac:dyDescent="0.25">
      <c r="A81" s="7" t="str">
        <f t="shared" si="4"/>
        <v>2022 ALL D90</v>
      </c>
      <c r="B81" s="8">
        <v>46099</v>
      </c>
      <c r="C81" s="8">
        <v>46113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74556915</v>
      </c>
      <c r="K81" s="7" t="s">
        <v>1147</v>
      </c>
      <c r="L81" s="7" t="s">
        <v>1148</v>
      </c>
      <c r="M81" s="9">
        <v>139900</v>
      </c>
      <c r="N81" s="10">
        <f t="shared" si="5"/>
        <v>0.9</v>
      </c>
      <c r="O81" s="9">
        <f t="shared" si="3"/>
        <v>13989.999999999996</v>
      </c>
      <c r="P81" s="7" t="s">
        <v>16</v>
      </c>
    </row>
    <row r="82" spans="1:16" x14ac:dyDescent="0.25">
      <c r="A82" s="7" t="str">
        <f t="shared" si="4"/>
        <v>2022 ALL D90</v>
      </c>
      <c r="B82" s="8">
        <v>46099</v>
      </c>
      <c r="C82" s="8">
        <v>46113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74556924</v>
      </c>
      <c r="K82" s="7" t="s">
        <v>1147</v>
      </c>
      <c r="L82" s="7" t="s">
        <v>1149</v>
      </c>
      <c r="M82" s="9">
        <v>139900</v>
      </c>
      <c r="N82" s="10">
        <f t="shared" si="5"/>
        <v>0.9</v>
      </c>
      <c r="O82" s="9">
        <f t="shared" si="3"/>
        <v>13989.999999999996</v>
      </c>
      <c r="P82" s="7" t="s">
        <v>16</v>
      </c>
    </row>
    <row r="83" spans="1:16" x14ac:dyDescent="0.25">
      <c r="A83" s="7" t="str">
        <f t="shared" si="4"/>
        <v>2022 ALL D90</v>
      </c>
      <c r="B83" s="8">
        <v>46099</v>
      </c>
      <c r="C83" s="8">
        <v>46113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74556933</v>
      </c>
      <c r="K83" s="7" t="s">
        <v>1147</v>
      </c>
      <c r="L83" s="7" t="s">
        <v>1150</v>
      </c>
      <c r="M83" s="9">
        <v>139900</v>
      </c>
      <c r="N83" s="10">
        <f t="shared" si="5"/>
        <v>0.9</v>
      </c>
      <c r="O83" s="9">
        <f t="shared" si="3"/>
        <v>13989.999999999996</v>
      </c>
      <c r="P83" s="7" t="s">
        <v>16</v>
      </c>
    </row>
    <row r="84" spans="1:16" x14ac:dyDescent="0.25">
      <c r="A84" s="7" t="str">
        <f t="shared" si="4"/>
        <v>2022 ALL D90</v>
      </c>
      <c r="B84" s="8">
        <v>46099</v>
      </c>
      <c r="C84" s="8">
        <v>46113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74556942</v>
      </c>
      <c r="K84" s="7" t="s">
        <v>1147</v>
      </c>
      <c r="L84" s="7" t="s">
        <v>1151</v>
      </c>
      <c r="M84" s="9">
        <v>139900</v>
      </c>
      <c r="N84" s="10">
        <f t="shared" si="5"/>
        <v>0.9</v>
      </c>
      <c r="O84" s="9">
        <f t="shared" si="3"/>
        <v>13989.999999999996</v>
      </c>
      <c r="P84" s="7" t="s">
        <v>16</v>
      </c>
    </row>
    <row r="85" spans="1:16" x14ac:dyDescent="0.25">
      <c r="A85" s="7" t="str">
        <f t="shared" si="4"/>
        <v>2022 ALL D90</v>
      </c>
      <c r="B85" s="8">
        <v>46099</v>
      </c>
      <c r="C85" s="8">
        <v>46113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73802114</v>
      </c>
      <c r="K85" s="7" t="s">
        <v>1152</v>
      </c>
      <c r="L85" s="7" t="s">
        <v>1153</v>
      </c>
      <c r="M85" s="9">
        <v>139900</v>
      </c>
      <c r="N85" s="10">
        <f t="shared" si="5"/>
        <v>0.9</v>
      </c>
      <c r="O85" s="9">
        <f t="shared" si="3"/>
        <v>13989.999999999996</v>
      </c>
      <c r="P85" s="7" t="s">
        <v>16</v>
      </c>
    </row>
    <row r="86" spans="1:16" x14ac:dyDescent="0.25">
      <c r="A86" s="7" t="str">
        <f t="shared" si="4"/>
        <v>2022 ALL D90</v>
      </c>
      <c r="B86" s="8">
        <v>46099</v>
      </c>
      <c r="C86" s="8">
        <v>46113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73802123</v>
      </c>
      <c r="K86" s="7" t="s">
        <v>1152</v>
      </c>
      <c r="L86" s="7" t="s">
        <v>1154</v>
      </c>
      <c r="M86" s="9">
        <v>139900</v>
      </c>
      <c r="N86" s="10">
        <f t="shared" si="5"/>
        <v>0.9</v>
      </c>
      <c r="O86" s="9">
        <f t="shared" si="3"/>
        <v>13989.999999999996</v>
      </c>
      <c r="P86" s="7" t="s">
        <v>16</v>
      </c>
    </row>
    <row r="87" spans="1:16" x14ac:dyDescent="0.25">
      <c r="A87" s="7" t="str">
        <f t="shared" si="4"/>
        <v>2022 ALL D90</v>
      </c>
      <c r="B87" s="8">
        <v>46099</v>
      </c>
      <c r="C87" s="8">
        <v>46113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73802132</v>
      </c>
      <c r="K87" s="7" t="s">
        <v>1152</v>
      </c>
      <c r="L87" s="7" t="s">
        <v>1155</v>
      </c>
      <c r="M87" s="9">
        <v>139900</v>
      </c>
      <c r="N87" s="10">
        <f t="shared" si="5"/>
        <v>0.9</v>
      </c>
      <c r="O87" s="9">
        <f t="shared" si="3"/>
        <v>13989.999999999996</v>
      </c>
      <c r="P87" s="7" t="s">
        <v>16</v>
      </c>
    </row>
    <row r="88" spans="1:16" x14ac:dyDescent="0.25">
      <c r="A88" s="7" t="str">
        <f t="shared" si="4"/>
        <v>2022 ALL D90</v>
      </c>
      <c r="B88" s="8">
        <v>46099</v>
      </c>
      <c r="C88" s="8">
        <v>46113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73802141</v>
      </c>
      <c r="K88" s="7" t="s">
        <v>1152</v>
      </c>
      <c r="L88" s="7" t="s">
        <v>1156</v>
      </c>
      <c r="M88" s="9">
        <v>139900</v>
      </c>
      <c r="N88" s="10">
        <f t="shared" si="5"/>
        <v>0.9</v>
      </c>
      <c r="O88" s="9">
        <f t="shared" si="3"/>
        <v>13989.999999999996</v>
      </c>
      <c r="P88" s="7" t="s">
        <v>16</v>
      </c>
    </row>
    <row r="89" spans="1:16" x14ac:dyDescent="0.25">
      <c r="A89" s="7" t="str">
        <f t="shared" si="4"/>
        <v>2022 ALL D90</v>
      </c>
      <c r="B89" s="8">
        <v>46099</v>
      </c>
      <c r="C89" s="8">
        <v>46113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73802150</v>
      </c>
      <c r="K89" s="7" t="s">
        <v>1152</v>
      </c>
      <c r="L89" s="7" t="s">
        <v>1157</v>
      </c>
      <c r="M89" s="9">
        <v>139900</v>
      </c>
      <c r="N89" s="10">
        <f t="shared" si="5"/>
        <v>0.9</v>
      </c>
      <c r="O89" s="9">
        <f t="shared" si="3"/>
        <v>13989.999999999996</v>
      </c>
      <c r="P89" s="7" t="s">
        <v>16</v>
      </c>
    </row>
    <row r="90" spans="1:16" x14ac:dyDescent="0.25">
      <c r="A90" s="7" t="str">
        <f t="shared" si="4"/>
        <v>2022 ALL D90</v>
      </c>
      <c r="B90" s="8">
        <v>46099</v>
      </c>
      <c r="C90" s="8">
        <v>46113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75184753</v>
      </c>
      <c r="K90" s="7" t="s">
        <v>1158</v>
      </c>
      <c r="L90" s="7" t="s">
        <v>1159</v>
      </c>
      <c r="M90" s="9">
        <v>139900</v>
      </c>
      <c r="N90" s="10">
        <f t="shared" si="5"/>
        <v>0.9</v>
      </c>
      <c r="O90" s="9">
        <f t="shared" si="3"/>
        <v>13989.999999999996</v>
      </c>
      <c r="P90" s="7" t="s">
        <v>16</v>
      </c>
    </row>
    <row r="91" spans="1:16" x14ac:dyDescent="0.25">
      <c r="A91" s="7" t="str">
        <f t="shared" si="4"/>
        <v>2022 ALL D90</v>
      </c>
      <c r="B91" s="8">
        <v>46099</v>
      </c>
      <c r="C91" s="8">
        <v>46113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75184762</v>
      </c>
      <c r="K91" s="7" t="s">
        <v>1158</v>
      </c>
      <c r="L91" s="7" t="s">
        <v>1160</v>
      </c>
      <c r="M91" s="9">
        <v>139900</v>
      </c>
      <c r="N91" s="10">
        <f t="shared" si="5"/>
        <v>0.9</v>
      </c>
      <c r="O91" s="9">
        <f t="shared" si="3"/>
        <v>13989.999999999996</v>
      </c>
      <c r="P91" s="7" t="s">
        <v>16</v>
      </c>
    </row>
    <row r="92" spans="1:16" x14ac:dyDescent="0.25">
      <c r="A92" s="7" t="str">
        <f t="shared" si="4"/>
        <v>2022 ALL D90</v>
      </c>
      <c r="B92" s="8">
        <v>46099</v>
      </c>
      <c r="C92" s="8">
        <v>46113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75184771</v>
      </c>
      <c r="K92" s="7" t="s">
        <v>1158</v>
      </c>
      <c r="L92" s="7" t="s">
        <v>1161</v>
      </c>
      <c r="M92" s="9">
        <v>139900</v>
      </c>
      <c r="N92" s="10">
        <f t="shared" si="5"/>
        <v>0.9</v>
      </c>
      <c r="O92" s="9">
        <f t="shared" si="3"/>
        <v>13989.999999999996</v>
      </c>
      <c r="P92" s="7" t="s">
        <v>16</v>
      </c>
    </row>
    <row r="93" spans="1:16" x14ac:dyDescent="0.25">
      <c r="A93" s="7" t="str">
        <f t="shared" si="4"/>
        <v>2022 ALL D90</v>
      </c>
      <c r="B93" s="8">
        <v>46099</v>
      </c>
      <c r="C93" s="8">
        <v>46113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75184780</v>
      </c>
      <c r="K93" s="7" t="s">
        <v>1158</v>
      </c>
      <c r="L93" s="7" t="s">
        <v>1162</v>
      </c>
      <c r="M93" s="9">
        <v>139900</v>
      </c>
      <c r="N93" s="10">
        <f t="shared" si="5"/>
        <v>0.9</v>
      </c>
      <c r="O93" s="9">
        <f t="shared" si="3"/>
        <v>13989.999999999996</v>
      </c>
      <c r="P93" s="7" t="s">
        <v>16</v>
      </c>
    </row>
    <row r="94" spans="1:16" x14ac:dyDescent="0.25">
      <c r="A94" s="7" t="str">
        <f t="shared" si="4"/>
        <v>2022 ALL D90</v>
      </c>
      <c r="B94" s="8">
        <v>46099</v>
      </c>
      <c r="C94" s="8">
        <v>46113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75184799</v>
      </c>
      <c r="K94" s="7" t="s">
        <v>1158</v>
      </c>
      <c r="L94" s="7" t="s">
        <v>1163</v>
      </c>
      <c r="M94" s="9">
        <v>139900</v>
      </c>
      <c r="N94" s="10">
        <f t="shared" si="5"/>
        <v>0.9</v>
      </c>
      <c r="O94" s="9">
        <f t="shared" si="3"/>
        <v>13989.999999999996</v>
      </c>
      <c r="P94" s="7" t="s">
        <v>16</v>
      </c>
    </row>
    <row r="95" spans="1:16" x14ac:dyDescent="0.25">
      <c r="A95" s="7" t="str">
        <f t="shared" si="4"/>
        <v>2022 ALL D90</v>
      </c>
      <c r="B95" s="8">
        <v>46099</v>
      </c>
      <c r="C95" s="8">
        <v>46113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76027331</v>
      </c>
      <c r="K95" s="7" t="s">
        <v>1164</v>
      </c>
      <c r="L95" s="7" t="s">
        <v>1165</v>
      </c>
      <c r="M95" s="9">
        <v>149900</v>
      </c>
      <c r="N95" s="10">
        <f t="shared" si="5"/>
        <v>0.9</v>
      </c>
      <c r="O95" s="9">
        <f t="shared" si="3"/>
        <v>14989.999999999996</v>
      </c>
      <c r="P95" s="7" t="s">
        <v>16</v>
      </c>
    </row>
    <row r="96" spans="1:16" x14ac:dyDescent="0.25">
      <c r="A96" s="7" t="str">
        <f t="shared" si="4"/>
        <v>2022 ALL D90</v>
      </c>
      <c r="B96" s="8">
        <v>46099</v>
      </c>
      <c r="C96" s="8">
        <v>46113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76027340</v>
      </c>
      <c r="K96" s="7" t="s">
        <v>1164</v>
      </c>
      <c r="L96" s="7" t="s">
        <v>1166</v>
      </c>
      <c r="M96" s="9">
        <v>149900</v>
      </c>
      <c r="N96" s="10">
        <f t="shared" si="5"/>
        <v>0.9</v>
      </c>
      <c r="O96" s="9">
        <f t="shared" si="3"/>
        <v>14989.999999999996</v>
      </c>
      <c r="P96" s="7" t="s">
        <v>16</v>
      </c>
    </row>
    <row r="97" spans="1:16" x14ac:dyDescent="0.25">
      <c r="A97" s="7" t="str">
        <f t="shared" si="4"/>
        <v>2022 ALL D90</v>
      </c>
      <c r="B97" s="8">
        <v>46099</v>
      </c>
      <c r="C97" s="8">
        <v>46113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76027359</v>
      </c>
      <c r="K97" s="7" t="s">
        <v>1164</v>
      </c>
      <c r="L97" s="7" t="s">
        <v>1167</v>
      </c>
      <c r="M97" s="9">
        <v>149900</v>
      </c>
      <c r="N97" s="10">
        <f t="shared" si="5"/>
        <v>0.9</v>
      </c>
      <c r="O97" s="9">
        <f t="shared" si="3"/>
        <v>14989.999999999996</v>
      </c>
      <c r="P97" s="7" t="s">
        <v>16</v>
      </c>
    </row>
    <row r="98" spans="1:16" x14ac:dyDescent="0.25">
      <c r="A98" s="7" t="str">
        <f t="shared" si="4"/>
        <v>2022 ALL D90</v>
      </c>
      <c r="B98" s="8">
        <v>46099</v>
      </c>
      <c r="C98" s="8">
        <v>46113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76027368</v>
      </c>
      <c r="K98" s="7" t="s">
        <v>1164</v>
      </c>
      <c r="L98" s="7" t="s">
        <v>1168</v>
      </c>
      <c r="M98" s="9">
        <v>149900</v>
      </c>
      <c r="N98" s="10">
        <f t="shared" si="5"/>
        <v>0.9</v>
      </c>
      <c r="O98" s="9">
        <f t="shared" si="3"/>
        <v>14989.999999999996</v>
      </c>
      <c r="P98" s="7" t="s">
        <v>16</v>
      </c>
    </row>
    <row r="99" spans="1:16" x14ac:dyDescent="0.25">
      <c r="A99" s="7" t="str">
        <f t="shared" si="4"/>
        <v>2022 ALL D90</v>
      </c>
      <c r="B99" s="8">
        <v>46099</v>
      </c>
      <c r="C99" s="8">
        <v>46113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76027377</v>
      </c>
      <c r="K99" s="7" t="s">
        <v>1164</v>
      </c>
      <c r="L99" s="7" t="s">
        <v>1169</v>
      </c>
      <c r="M99" s="9">
        <v>149900</v>
      </c>
      <c r="N99" s="10">
        <f t="shared" si="5"/>
        <v>0.9</v>
      </c>
      <c r="O99" s="9">
        <f t="shared" si="3"/>
        <v>14989.999999999996</v>
      </c>
      <c r="P99" s="7" t="s">
        <v>16</v>
      </c>
    </row>
    <row r="100" spans="1:16" x14ac:dyDescent="0.25">
      <c r="A100" s="7" t="str">
        <f t="shared" si="4"/>
        <v>2022 ALL D90</v>
      </c>
      <c r="B100" s="8">
        <v>46099</v>
      </c>
      <c r="C100" s="8">
        <v>46113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76067584</v>
      </c>
      <c r="K100" s="7" t="s">
        <v>1170</v>
      </c>
      <c r="L100" s="7" t="s">
        <v>1171</v>
      </c>
      <c r="M100" s="9">
        <v>149900</v>
      </c>
      <c r="N100" s="10">
        <f t="shared" si="5"/>
        <v>0.9</v>
      </c>
      <c r="O100" s="9">
        <f t="shared" si="3"/>
        <v>14989.999999999996</v>
      </c>
      <c r="P100" s="7" t="s">
        <v>16</v>
      </c>
    </row>
    <row r="101" spans="1:16" x14ac:dyDescent="0.25">
      <c r="A101" s="7" t="str">
        <f t="shared" si="4"/>
        <v>2022 ALL D90</v>
      </c>
      <c r="B101" s="8">
        <v>46099</v>
      </c>
      <c r="C101" s="8">
        <v>46113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76067593</v>
      </c>
      <c r="K101" s="7" t="s">
        <v>1170</v>
      </c>
      <c r="L101" s="7" t="s">
        <v>1172</v>
      </c>
      <c r="M101" s="9">
        <v>149900</v>
      </c>
      <c r="N101" s="10">
        <f t="shared" si="5"/>
        <v>0.9</v>
      </c>
      <c r="O101" s="9">
        <f t="shared" si="3"/>
        <v>14989.999999999996</v>
      </c>
      <c r="P101" s="7" t="s">
        <v>16</v>
      </c>
    </row>
    <row r="102" spans="1:16" x14ac:dyDescent="0.25">
      <c r="A102" s="7" t="str">
        <f t="shared" si="4"/>
        <v>2022 ALL D90</v>
      </c>
      <c r="B102" s="8">
        <v>46099</v>
      </c>
      <c r="C102" s="8">
        <v>46113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76067600</v>
      </c>
      <c r="K102" s="7" t="s">
        <v>1170</v>
      </c>
      <c r="L102" s="7" t="s">
        <v>1173</v>
      </c>
      <c r="M102" s="9">
        <v>149900</v>
      </c>
      <c r="N102" s="10">
        <f t="shared" si="5"/>
        <v>0.9</v>
      </c>
      <c r="O102" s="9">
        <f t="shared" si="3"/>
        <v>14989.999999999996</v>
      </c>
      <c r="P102" s="7" t="s">
        <v>16</v>
      </c>
    </row>
    <row r="103" spans="1:16" x14ac:dyDescent="0.25">
      <c r="A103" s="7" t="str">
        <f t="shared" si="4"/>
        <v>2022 ALL D90</v>
      </c>
      <c r="B103" s="8">
        <v>46099</v>
      </c>
      <c r="C103" s="8">
        <v>46113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76067619</v>
      </c>
      <c r="K103" s="7" t="s">
        <v>1170</v>
      </c>
      <c r="L103" s="7" t="s">
        <v>1174</v>
      </c>
      <c r="M103" s="9">
        <v>149900</v>
      </c>
      <c r="N103" s="10">
        <f t="shared" si="5"/>
        <v>0.9</v>
      </c>
      <c r="O103" s="9">
        <f t="shared" si="3"/>
        <v>14989.999999999996</v>
      </c>
      <c r="P103" s="7" t="s">
        <v>16</v>
      </c>
    </row>
    <row r="104" spans="1:16" x14ac:dyDescent="0.25">
      <c r="A104" s="7" t="str">
        <f t="shared" si="4"/>
        <v>2022 ALL D90</v>
      </c>
      <c r="B104" s="8">
        <v>46099</v>
      </c>
      <c r="C104" s="8">
        <v>46113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76067628</v>
      </c>
      <c r="K104" s="7" t="s">
        <v>1170</v>
      </c>
      <c r="L104" s="7" t="s">
        <v>1175</v>
      </c>
      <c r="M104" s="9">
        <v>149900</v>
      </c>
      <c r="N104" s="10">
        <f t="shared" si="5"/>
        <v>0.9</v>
      </c>
      <c r="O104" s="9">
        <f t="shared" si="3"/>
        <v>14989.999999999996</v>
      </c>
      <c r="P104" s="7" t="s">
        <v>16</v>
      </c>
    </row>
    <row r="105" spans="1:16" x14ac:dyDescent="0.25">
      <c r="A105" s="7" t="str">
        <f t="shared" si="4"/>
        <v>2022 ALL D90</v>
      </c>
      <c r="B105" s="8">
        <v>46099</v>
      </c>
      <c r="C105" s="8">
        <v>46113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76174600</v>
      </c>
      <c r="K105" s="7" t="s">
        <v>1176</v>
      </c>
      <c r="L105" s="7" t="s">
        <v>1177</v>
      </c>
      <c r="M105" s="9">
        <v>149900</v>
      </c>
      <c r="N105" s="10">
        <f t="shared" si="5"/>
        <v>0.9</v>
      </c>
      <c r="O105" s="9">
        <f t="shared" si="3"/>
        <v>14989.999999999996</v>
      </c>
      <c r="P105" s="7" t="s">
        <v>16</v>
      </c>
    </row>
    <row r="106" spans="1:16" x14ac:dyDescent="0.25">
      <c r="A106" s="7" t="str">
        <f t="shared" si="4"/>
        <v>2022 ALL D90</v>
      </c>
      <c r="B106" s="8">
        <v>46099</v>
      </c>
      <c r="C106" s="8">
        <v>46113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76174619</v>
      </c>
      <c r="K106" s="7" t="s">
        <v>1176</v>
      </c>
      <c r="L106" s="7" t="s">
        <v>1178</v>
      </c>
      <c r="M106" s="9">
        <v>149900</v>
      </c>
      <c r="N106" s="10">
        <f t="shared" si="5"/>
        <v>0.9</v>
      </c>
      <c r="O106" s="9">
        <f t="shared" si="3"/>
        <v>14989.999999999996</v>
      </c>
      <c r="P106" s="7" t="s">
        <v>16</v>
      </c>
    </row>
    <row r="107" spans="1:16" x14ac:dyDescent="0.25">
      <c r="A107" s="7" t="str">
        <f t="shared" si="4"/>
        <v>2022 ALL D90</v>
      </c>
      <c r="B107" s="8">
        <v>46099</v>
      </c>
      <c r="C107" s="8">
        <v>46113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76174628</v>
      </c>
      <c r="K107" s="7" t="s">
        <v>1176</v>
      </c>
      <c r="L107" s="7" t="s">
        <v>1179</v>
      </c>
      <c r="M107" s="9">
        <v>149900</v>
      </c>
      <c r="N107" s="10">
        <f t="shared" si="5"/>
        <v>0.9</v>
      </c>
      <c r="O107" s="9">
        <f t="shared" si="3"/>
        <v>14989.999999999996</v>
      </c>
      <c r="P107" s="7" t="s">
        <v>16</v>
      </c>
    </row>
    <row r="108" spans="1:16" x14ac:dyDescent="0.25">
      <c r="A108" s="7" t="str">
        <f t="shared" si="4"/>
        <v>2022 ALL D90</v>
      </c>
      <c r="B108" s="8">
        <v>46099</v>
      </c>
      <c r="C108" s="8">
        <v>46113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76174637</v>
      </c>
      <c r="K108" s="7" t="s">
        <v>1176</v>
      </c>
      <c r="L108" s="7" t="s">
        <v>1180</v>
      </c>
      <c r="M108" s="9">
        <v>149900</v>
      </c>
      <c r="N108" s="10">
        <f t="shared" si="5"/>
        <v>0.9</v>
      </c>
      <c r="O108" s="9">
        <f t="shared" si="3"/>
        <v>14989.999999999996</v>
      </c>
      <c r="P108" s="7" t="s">
        <v>16</v>
      </c>
    </row>
    <row r="109" spans="1:16" x14ac:dyDescent="0.25">
      <c r="A109" s="7" t="str">
        <f t="shared" si="4"/>
        <v>2022 ALL D90</v>
      </c>
      <c r="B109" s="8">
        <v>46099</v>
      </c>
      <c r="C109" s="8">
        <v>46113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76174646</v>
      </c>
      <c r="K109" s="7" t="s">
        <v>1176</v>
      </c>
      <c r="L109" s="7" t="s">
        <v>1181</v>
      </c>
      <c r="M109" s="9">
        <v>149900</v>
      </c>
      <c r="N109" s="10">
        <f t="shared" si="5"/>
        <v>0.9</v>
      </c>
      <c r="O109" s="9">
        <f t="shared" si="3"/>
        <v>14989.999999999996</v>
      </c>
      <c r="P109" s="7" t="s">
        <v>16</v>
      </c>
    </row>
    <row r="110" spans="1:16" x14ac:dyDescent="0.25">
      <c r="A110" s="7" t="str">
        <f t="shared" si="4"/>
        <v>2022 ALL D90</v>
      </c>
      <c r="B110" s="8">
        <v>46099</v>
      </c>
      <c r="C110" s="8">
        <v>46113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76174655</v>
      </c>
      <c r="K110" s="7" t="s">
        <v>1182</v>
      </c>
      <c r="L110" s="7" t="s">
        <v>1183</v>
      </c>
      <c r="M110" s="9">
        <v>149900</v>
      </c>
      <c r="N110" s="10">
        <f t="shared" si="5"/>
        <v>0.9</v>
      </c>
      <c r="O110" s="9">
        <f t="shared" si="3"/>
        <v>14989.999999999996</v>
      </c>
      <c r="P110" s="7" t="s">
        <v>16</v>
      </c>
    </row>
    <row r="111" spans="1:16" x14ac:dyDescent="0.25">
      <c r="A111" s="7" t="str">
        <f t="shared" si="4"/>
        <v>2022 ALL D90</v>
      </c>
      <c r="B111" s="8">
        <v>46099</v>
      </c>
      <c r="C111" s="8">
        <v>46113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76174664</v>
      </c>
      <c r="K111" s="7" t="s">
        <v>1182</v>
      </c>
      <c r="L111" s="7" t="s">
        <v>1184</v>
      </c>
      <c r="M111" s="9">
        <v>149900</v>
      </c>
      <c r="N111" s="10">
        <f t="shared" si="5"/>
        <v>0.9</v>
      </c>
      <c r="O111" s="9">
        <f t="shared" si="3"/>
        <v>14989.999999999996</v>
      </c>
      <c r="P111" s="7" t="s">
        <v>16</v>
      </c>
    </row>
    <row r="112" spans="1:16" x14ac:dyDescent="0.25">
      <c r="A112" s="7" t="str">
        <f t="shared" si="4"/>
        <v>2022 ALL D90</v>
      </c>
      <c r="B112" s="8">
        <v>46099</v>
      </c>
      <c r="C112" s="8">
        <v>46113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76174673</v>
      </c>
      <c r="K112" s="7" t="s">
        <v>1182</v>
      </c>
      <c r="L112" s="7" t="s">
        <v>1185</v>
      </c>
      <c r="M112" s="9">
        <v>149900</v>
      </c>
      <c r="N112" s="10">
        <f t="shared" si="5"/>
        <v>0.9</v>
      </c>
      <c r="O112" s="9">
        <f t="shared" si="3"/>
        <v>14989.999999999996</v>
      </c>
      <c r="P112" s="7" t="s">
        <v>16</v>
      </c>
    </row>
    <row r="113" spans="1:16" x14ac:dyDescent="0.25">
      <c r="A113" s="7" t="str">
        <f t="shared" si="4"/>
        <v>2022 ALL D90</v>
      </c>
      <c r="B113" s="8">
        <v>46099</v>
      </c>
      <c r="C113" s="8">
        <v>46113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76174682</v>
      </c>
      <c r="K113" s="7" t="s">
        <v>1182</v>
      </c>
      <c r="L113" s="7" t="s">
        <v>1186</v>
      </c>
      <c r="M113" s="9">
        <v>149900</v>
      </c>
      <c r="N113" s="10">
        <f t="shared" si="5"/>
        <v>0.9</v>
      </c>
      <c r="O113" s="9">
        <f t="shared" si="3"/>
        <v>14989.999999999996</v>
      </c>
      <c r="P113" s="7" t="s">
        <v>16</v>
      </c>
    </row>
    <row r="114" spans="1:16" x14ac:dyDescent="0.25">
      <c r="A114" s="7" t="str">
        <f t="shared" si="4"/>
        <v>2022 ALL D90</v>
      </c>
      <c r="B114" s="8">
        <v>46099</v>
      </c>
      <c r="C114" s="8">
        <v>46113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76174691</v>
      </c>
      <c r="K114" s="7" t="s">
        <v>1182</v>
      </c>
      <c r="L114" s="7" t="s">
        <v>1187</v>
      </c>
      <c r="M114" s="9">
        <v>149900</v>
      </c>
      <c r="N114" s="10">
        <f t="shared" si="5"/>
        <v>0.9</v>
      </c>
      <c r="O114" s="9">
        <f t="shared" si="3"/>
        <v>14989.999999999996</v>
      </c>
      <c r="P114" s="7" t="s">
        <v>16</v>
      </c>
    </row>
    <row r="115" spans="1:16" x14ac:dyDescent="0.25">
      <c r="A115" s="7" t="str">
        <f t="shared" si="4"/>
        <v>2022 ALL D90</v>
      </c>
      <c r="B115" s="8">
        <v>46099</v>
      </c>
      <c r="C115" s="8">
        <v>46113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76512520</v>
      </c>
      <c r="K115" s="7" t="s">
        <v>1188</v>
      </c>
      <c r="L115" s="7" t="s">
        <v>1189</v>
      </c>
      <c r="M115" s="9">
        <v>139900</v>
      </c>
      <c r="N115" s="10">
        <f t="shared" si="5"/>
        <v>0.9</v>
      </c>
      <c r="O115" s="9">
        <f t="shared" si="3"/>
        <v>13989.999999999996</v>
      </c>
      <c r="P115" s="7" t="s">
        <v>16</v>
      </c>
    </row>
    <row r="116" spans="1:16" x14ac:dyDescent="0.25">
      <c r="A116" s="7" t="str">
        <f t="shared" si="4"/>
        <v>2022 ALL D90</v>
      </c>
      <c r="B116" s="8">
        <v>46099</v>
      </c>
      <c r="C116" s="8">
        <v>46113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76512539</v>
      </c>
      <c r="K116" s="7" t="s">
        <v>1188</v>
      </c>
      <c r="L116" s="7" t="s">
        <v>1190</v>
      </c>
      <c r="M116" s="9">
        <v>139900</v>
      </c>
      <c r="N116" s="10">
        <f t="shared" si="5"/>
        <v>0.9</v>
      </c>
      <c r="O116" s="9">
        <f t="shared" si="3"/>
        <v>13989.999999999996</v>
      </c>
      <c r="P116" s="7" t="s">
        <v>16</v>
      </c>
    </row>
    <row r="117" spans="1:16" x14ac:dyDescent="0.25">
      <c r="A117" s="7" t="str">
        <f t="shared" si="4"/>
        <v>2022 ALL D90</v>
      </c>
      <c r="B117" s="8">
        <v>46099</v>
      </c>
      <c r="C117" s="8">
        <v>46113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76512548</v>
      </c>
      <c r="K117" s="7" t="s">
        <v>1188</v>
      </c>
      <c r="L117" s="7" t="s">
        <v>1191</v>
      </c>
      <c r="M117" s="9">
        <v>139900</v>
      </c>
      <c r="N117" s="10">
        <f t="shared" si="5"/>
        <v>0.9</v>
      </c>
      <c r="O117" s="9">
        <f t="shared" si="3"/>
        <v>13989.999999999996</v>
      </c>
      <c r="P117" s="7" t="s">
        <v>16</v>
      </c>
    </row>
    <row r="118" spans="1:16" x14ac:dyDescent="0.25">
      <c r="A118" s="7" t="str">
        <f t="shared" si="4"/>
        <v>2022 ALL D90</v>
      </c>
      <c r="B118" s="8">
        <v>46099</v>
      </c>
      <c r="C118" s="8">
        <v>46113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76512557</v>
      </c>
      <c r="K118" s="7" t="s">
        <v>1188</v>
      </c>
      <c r="L118" s="7" t="s">
        <v>1192</v>
      </c>
      <c r="M118" s="9">
        <v>139900</v>
      </c>
      <c r="N118" s="10">
        <f t="shared" si="5"/>
        <v>0.9</v>
      </c>
      <c r="O118" s="9">
        <f t="shared" si="3"/>
        <v>13989.999999999996</v>
      </c>
      <c r="P118" s="7" t="s">
        <v>16</v>
      </c>
    </row>
    <row r="119" spans="1:16" x14ac:dyDescent="0.25">
      <c r="A119" s="7" t="str">
        <f t="shared" si="4"/>
        <v>2022 ALL D90</v>
      </c>
      <c r="B119" s="8">
        <v>46099</v>
      </c>
      <c r="C119" s="8">
        <v>46113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76621966</v>
      </c>
      <c r="K119" s="7" t="s">
        <v>1188</v>
      </c>
      <c r="L119" s="7" t="s">
        <v>1193</v>
      </c>
      <c r="M119" s="9">
        <v>139900</v>
      </c>
      <c r="N119" s="10">
        <f t="shared" si="5"/>
        <v>0.9</v>
      </c>
      <c r="O119" s="9">
        <f t="shared" si="3"/>
        <v>13989.999999999996</v>
      </c>
      <c r="P119" s="7" t="s">
        <v>16</v>
      </c>
    </row>
    <row r="120" spans="1:16" x14ac:dyDescent="0.25">
      <c r="A120" s="7" t="str">
        <f t="shared" si="4"/>
        <v>2022 ALL D90</v>
      </c>
      <c r="B120" s="8">
        <v>46099</v>
      </c>
      <c r="C120" s="8">
        <v>46113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76622027</v>
      </c>
      <c r="K120" s="7" t="s">
        <v>1194</v>
      </c>
      <c r="L120" s="7" t="s">
        <v>1195</v>
      </c>
      <c r="M120" s="9">
        <v>139900</v>
      </c>
      <c r="N120" s="10">
        <f t="shared" si="5"/>
        <v>0.9</v>
      </c>
      <c r="O120" s="9">
        <f t="shared" si="3"/>
        <v>13989.999999999996</v>
      </c>
      <c r="P120" s="7" t="s">
        <v>16</v>
      </c>
    </row>
    <row r="121" spans="1:16" x14ac:dyDescent="0.25">
      <c r="A121" s="7" t="str">
        <f t="shared" si="4"/>
        <v>2022 ALL D90</v>
      </c>
      <c r="B121" s="8">
        <v>46099</v>
      </c>
      <c r="C121" s="8">
        <v>46113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76663251</v>
      </c>
      <c r="K121" s="7" t="s">
        <v>1194</v>
      </c>
      <c r="L121" s="7" t="s">
        <v>1196</v>
      </c>
      <c r="M121" s="9">
        <v>139900</v>
      </c>
      <c r="N121" s="10">
        <f t="shared" si="5"/>
        <v>0.9</v>
      </c>
      <c r="O121" s="9">
        <f t="shared" si="3"/>
        <v>13989.999999999996</v>
      </c>
      <c r="P121" s="7" t="s">
        <v>16</v>
      </c>
    </row>
    <row r="122" spans="1:16" x14ac:dyDescent="0.25">
      <c r="A122" s="7" t="str">
        <f t="shared" si="4"/>
        <v>2022 ALL D90</v>
      </c>
      <c r="B122" s="8">
        <v>46099</v>
      </c>
      <c r="C122" s="8">
        <v>46113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76663260</v>
      </c>
      <c r="K122" s="7" t="s">
        <v>1194</v>
      </c>
      <c r="L122" s="7" t="s">
        <v>1197</v>
      </c>
      <c r="M122" s="9">
        <v>139900</v>
      </c>
      <c r="N122" s="10">
        <f t="shared" si="5"/>
        <v>0.9</v>
      </c>
      <c r="O122" s="9">
        <f t="shared" si="3"/>
        <v>13989.999999999996</v>
      </c>
      <c r="P122" s="7" t="s">
        <v>16</v>
      </c>
    </row>
    <row r="123" spans="1:16" x14ac:dyDescent="0.25">
      <c r="A123" s="7" t="str">
        <f t="shared" si="4"/>
        <v>2022 ALL D90</v>
      </c>
      <c r="B123" s="8">
        <v>46099</v>
      </c>
      <c r="C123" s="8">
        <v>46113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76663279</v>
      </c>
      <c r="K123" s="7" t="s">
        <v>1194</v>
      </c>
      <c r="L123" s="7" t="s">
        <v>1198</v>
      </c>
      <c r="M123" s="9">
        <v>139900</v>
      </c>
      <c r="N123" s="10">
        <f t="shared" si="5"/>
        <v>0.9</v>
      </c>
      <c r="O123" s="9">
        <f t="shared" si="3"/>
        <v>13989.999999999996</v>
      </c>
      <c r="P123" s="7" t="s">
        <v>16</v>
      </c>
    </row>
    <row r="124" spans="1:16" x14ac:dyDescent="0.25">
      <c r="A124" s="7" t="str">
        <f t="shared" si="4"/>
        <v>2022 ALL D90</v>
      </c>
      <c r="B124" s="8">
        <v>46099</v>
      </c>
      <c r="C124" s="8">
        <v>46113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76663288</v>
      </c>
      <c r="K124" s="7" t="s">
        <v>1194</v>
      </c>
      <c r="L124" s="7" t="s">
        <v>1199</v>
      </c>
      <c r="M124" s="9">
        <v>139900</v>
      </c>
      <c r="N124" s="10">
        <f t="shared" si="5"/>
        <v>0.9</v>
      </c>
      <c r="O124" s="9">
        <f t="shared" si="3"/>
        <v>13989.999999999996</v>
      </c>
      <c r="P124" s="7" t="s">
        <v>16</v>
      </c>
    </row>
    <row r="125" spans="1:16" x14ac:dyDescent="0.25">
      <c r="A125" s="7" t="str">
        <f t="shared" si="4"/>
        <v>2022 ALL D90</v>
      </c>
      <c r="B125" s="8">
        <v>46099</v>
      </c>
      <c r="C125" s="8">
        <v>46113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26450244</v>
      </c>
      <c r="K125" s="7" t="s">
        <v>1200</v>
      </c>
      <c r="L125" s="7" t="s">
        <v>1201</v>
      </c>
      <c r="M125" s="9">
        <v>129900</v>
      </c>
      <c r="N125" s="10">
        <f t="shared" si="5"/>
        <v>0.9</v>
      </c>
      <c r="O125" s="9">
        <f t="shared" si="3"/>
        <v>12989.999999999996</v>
      </c>
      <c r="P125" s="7" t="s">
        <v>16</v>
      </c>
    </row>
    <row r="126" spans="1:16" x14ac:dyDescent="0.25">
      <c r="A126" s="7" t="str">
        <f t="shared" si="4"/>
        <v>2022 ALL D90</v>
      </c>
      <c r="B126" s="8">
        <v>46099</v>
      </c>
      <c r="C126" s="8">
        <v>46113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26450253</v>
      </c>
      <c r="K126" s="7" t="s">
        <v>1200</v>
      </c>
      <c r="L126" s="7" t="s">
        <v>1202</v>
      </c>
      <c r="M126" s="9">
        <v>129900</v>
      </c>
      <c r="N126" s="10">
        <f t="shared" si="5"/>
        <v>0.9</v>
      </c>
      <c r="O126" s="9">
        <f t="shared" si="3"/>
        <v>12989.999999999996</v>
      </c>
      <c r="P126" s="7" t="s">
        <v>16</v>
      </c>
    </row>
    <row r="127" spans="1:16" x14ac:dyDescent="0.25">
      <c r="A127" s="7" t="str">
        <f t="shared" si="4"/>
        <v>2022 ALL D90</v>
      </c>
      <c r="B127" s="8">
        <v>46099</v>
      </c>
      <c r="C127" s="8">
        <v>46113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26450262</v>
      </c>
      <c r="K127" s="7" t="s">
        <v>1200</v>
      </c>
      <c r="L127" s="7" t="s">
        <v>1203</v>
      </c>
      <c r="M127" s="9">
        <v>129900</v>
      </c>
      <c r="N127" s="10">
        <f t="shared" si="5"/>
        <v>0.9</v>
      </c>
      <c r="O127" s="9">
        <f t="shared" si="3"/>
        <v>12989.999999999996</v>
      </c>
      <c r="P127" s="7" t="s">
        <v>16</v>
      </c>
    </row>
    <row r="128" spans="1:16" x14ac:dyDescent="0.25">
      <c r="A128" s="7" t="str">
        <f t="shared" si="4"/>
        <v>2022 ALL D90</v>
      </c>
      <c r="B128" s="8">
        <v>46099</v>
      </c>
      <c r="C128" s="8">
        <v>46113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26450271</v>
      </c>
      <c r="K128" s="7" t="s">
        <v>1200</v>
      </c>
      <c r="L128" s="7" t="s">
        <v>1204</v>
      </c>
      <c r="M128" s="9">
        <v>129900</v>
      </c>
      <c r="N128" s="10">
        <f t="shared" si="5"/>
        <v>0.9</v>
      </c>
      <c r="O128" s="9">
        <f t="shared" si="3"/>
        <v>12989.999999999996</v>
      </c>
      <c r="P128" s="7" t="s">
        <v>16</v>
      </c>
    </row>
    <row r="129" spans="1:16" x14ac:dyDescent="0.25">
      <c r="A129" s="7" t="str">
        <f t="shared" si="4"/>
        <v>2022 ALL D90</v>
      </c>
      <c r="B129" s="8">
        <v>46099</v>
      </c>
      <c r="C129" s="8">
        <v>46113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26450280</v>
      </c>
      <c r="K129" s="7" t="s">
        <v>1200</v>
      </c>
      <c r="L129" s="7" t="s">
        <v>1205</v>
      </c>
      <c r="M129" s="9">
        <v>129900</v>
      </c>
      <c r="N129" s="10">
        <f t="shared" si="5"/>
        <v>0.9</v>
      </c>
      <c r="O129" s="9">
        <f t="shared" si="3"/>
        <v>12989.999999999996</v>
      </c>
      <c r="P129" s="7" t="s">
        <v>16</v>
      </c>
    </row>
    <row r="130" spans="1:16" x14ac:dyDescent="0.25">
      <c r="A130" s="7" t="str">
        <f t="shared" si="4"/>
        <v>2022 ALL D90</v>
      </c>
      <c r="B130" s="8">
        <v>46099</v>
      </c>
      <c r="C130" s="8">
        <v>46113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63286120</v>
      </c>
      <c r="K130" s="7" t="s">
        <v>1206</v>
      </c>
      <c r="L130" s="7" t="s">
        <v>1207</v>
      </c>
      <c r="M130" s="9">
        <v>139900</v>
      </c>
      <c r="N130" s="10">
        <f t="shared" si="5"/>
        <v>0.9</v>
      </c>
      <c r="O130" s="9">
        <f t="shared" si="3"/>
        <v>13989.999999999996</v>
      </c>
      <c r="P130" s="7" t="s">
        <v>16</v>
      </c>
    </row>
    <row r="131" spans="1:16" x14ac:dyDescent="0.25">
      <c r="A131" s="7" t="str">
        <f t="shared" si="4"/>
        <v>2022 ALL D90</v>
      </c>
      <c r="B131" s="8">
        <v>46099</v>
      </c>
      <c r="C131" s="8">
        <v>46113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63286148</v>
      </c>
      <c r="K131" s="7" t="s">
        <v>1206</v>
      </c>
      <c r="L131" s="7" t="s">
        <v>1208</v>
      </c>
      <c r="M131" s="9">
        <v>139900</v>
      </c>
      <c r="N131" s="10">
        <f t="shared" si="5"/>
        <v>0.9</v>
      </c>
      <c r="O131" s="9">
        <f t="shared" ref="O131:O194" si="6">M131*(1-N131)</f>
        <v>13989.999999999996</v>
      </c>
      <c r="P131" s="7" t="s">
        <v>16</v>
      </c>
    </row>
    <row r="132" spans="1:16" x14ac:dyDescent="0.25">
      <c r="A132" s="7" t="str">
        <f t="shared" ref="A132:A195" si="7">A131</f>
        <v>2022 ALL D90</v>
      </c>
      <c r="B132" s="8">
        <v>46099</v>
      </c>
      <c r="C132" s="8">
        <v>46113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63286157</v>
      </c>
      <c r="K132" s="7" t="s">
        <v>1206</v>
      </c>
      <c r="L132" s="7" t="s">
        <v>1209</v>
      </c>
      <c r="M132" s="9">
        <v>139900</v>
      </c>
      <c r="N132" s="10">
        <f t="shared" ref="N132:N195" si="8">N131</f>
        <v>0.9</v>
      </c>
      <c r="O132" s="9">
        <f t="shared" si="6"/>
        <v>13989.999999999996</v>
      </c>
      <c r="P132" s="7" t="s">
        <v>16</v>
      </c>
    </row>
    <row r="133" spans="1:16" x14ac:dyDescent="0.25">
      <c r="A133" s="7" t="str">
        <f t="shared" si="7"/>
        <v>2022 ALL D90</v>
      </c>
      <c r="B133" s="8">
        <v>46099</v>
      </c>
      <c r="C133" s="8">
        <v>46113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63286166</v>
      </c>
      <c r="K133" s="7" t="s">
        <v>1206</v>
      </c>
      <c r="L133" s="7" t="s">
        <v>1210</v>
      </c>
      <c r="M133" s="9">
        <v>139900</v>
      </c>
      <c r="N133" s="10">
        <f t="shared" si="8"/>
        <v>0.9</v>
      </c>
      <c r="O133" s="9">
        <f t="shared" si="6"/>
        <v>13989.999999999996</v>
      </c>
      <c r="P133" s="7" t="s">
        <v>16</v>
      </c>
    </row>
    <row r="134" spans="1:16" x14ac:dyDescent="0.25">
      <c r="A134" s="7" t="str">
        <f t="shared" si="7"/>
        <v>2022 ALL D90</v>
      </c>
      <c r="B134" s="8">
        <v>46099</v>
      </c>
      <c r="C134" s="8">
        <v>46113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63286139</v>
      </c>
      <c r="K134" s="7" t="s">
        <v>1206</v>
      </c>
      <c r="L134" s="7" t="s">
        <v>1211</v>
      </c>
      <c r="M134" s="9">
        <v>139900</v>
      </c>
      <c r="N134" s="10">
        <f t="shared" si="8"/>
        <v>0.9</v>
      </c>
      <c r="O134" s="9">
        <f t="shared" si="6"/>
        <v>13989.999999999996</v>
      </c>
      <c r="P134" s="7" t="s">
        <v>16</v>
      </c>
    </row>
    <row r="135" spans="1:16" x14ac:dyDescent="0.25">
      <c r="A135" s="7" t="str">
        <f t="shared" si="7"/>
        <v>2022 ALL D90</v>
      </c>
      <c r="B135" s="8">
        <v>46099</v>
      </c>
      <c r="C135" s="8">
        <v>46113</v>
      </c>
      <c r="D135" s="7">
        <v>3272</v>
      </c>
      <c r="E135" s="7">
        <v>336</v>
      </c>
      <c r="F135" s="7">
        <v>4</v>
      </c>
      <c r="G135" s="7">
        <v>1</v>
      </c>
      <c r="H135" s="7">
        <v>81676</v>
      </c>
      <c r="I135" s="7" t="s">
        <v>104</v>
      </c>
      <c r="J135" s="7">
        <v>63286175</v>
      </c>
      <c r="K135" s="7" t="s">
        <v>1212</v>
      </c>
      <c r="L135" s="7" t="s">
        <v>1213</v>
      </c>
      <c r="M135" s="9">
        <v>139900</v>
      </c>
      <c r="N135" s="10">
        <f t="shared" si="8"/>
        <v>0.9</v>
      </c>
      <c r="O135" s="9">
        <f t="shared" si="6"/>
        <v>13989.999999999996</v>
      </c>
      <c r="P135" s="7" t="s">
        <v>16</v>
      </c>
    </row>
    <row r="136" spans="1:16" x14ac:dyDescent="0.25">
      <c r="A136" s="7" t="str">
        <f t="shared" si="7"/>
        <v>2022 ALL D90</v>
      </c>
      <c r="B136" s="8">
        <v>46099</v>
      </c>
      <c r="C136" s="8">
        <v>46113</v>
      </c>
      <c r="D136" s="7">
        <v>3272</v>
      </c>
      <c r="E136" s="7">
        <v>336</v>
      </c>
      <c r="F136" s="7">
        <v>4</v>
      </c>
      <c r="G136" s="7">
        <v>1</v>
      </c>
      <c r="H136" s="7">
        <v>81676</v>
      </c>
      <c r="I136" s="7" t="s">
        <v>104</v>
      </c>
      <c r="J136" s="7">
        <v>63286184</v>
      </c>
      <c r="K136" s="7" t="s">
        <v>1212</v>
      </c>
      <c r="L136" s="7" t="s">
        <v>1214</v>
      </c>
      <c r="M136" s="9">
        <v>139900</v>
      </c>
      <c r="N136" s="10">
        <f t="shared" si="8"/>
        <v>0.9</v>
      </c>
      <c r="O136" s="9">
        <f t="shared" si="6"/>
        <v>13989.999999999996</v>
      </c>
      <c r="P136" s="7" t="s">
        <v>16</v>
      </c>
    </row>
    <row r="137" spans="1:16" x14ac:dyDescent="0.25">
      <c r="A137" s="7" t="str">
        <f t="shared" si="7"/>
        <v>2022 ALL D90</v>
      </c>
      <c r="B137" s="8">
        <v>46099</v>
      </c>
      <c r="C137" s="8">
        <v>46113</v>
      </c>
      <c r="D137" s="7">
        <v>3272</v>
      </c>
      <c r="E137" s="7">
        <v>336</v>
      </c>
      <c r="F137" s="7">
        <v>4</v>
      </c>
      <c r="G137" s="7">
        <v>1</v>
      </c>
      <c r="H137" s="7">
        <v>81676</v>
      </c>
      <c r="I137" s="7" t="s">
        <v>104</v>
      </c>
      <c r="J137" s="7">
        <v>63286193</v>
      </c>
      <c r="K137" s="7" t="s">
        <v>1212</v>
      </c>
      <c r="L137" s="7" t="s">
        <v>1215</v>
      </c>
      <c r="M137" s="9">
        <v>139900</v>
      </c>
      <c r="N137" s="10">
        <f t="shared" si="8"/>
        <v>0.9</v>
      </c>
      <c r="O137" s="9">
        <f t="shared" si="6"/>
        <v>13989.999999999996</v>
      </c>
      <c r="P137" s="7" t="s">
        <v>16</v>
      </c>
    </row>
    <row r="138" spans="1:16" x14ac:dyDescent="0.25">
      <c r="A138" s="7" t="str">
        <f t="shared" si="7"/>
        <v>2022 ALL D90</v>
      </c>
      <c r="B138" s="8">
        <v>46099</v>
      </c>
      <c r="C138" s="8">
        <v>46113</v>
      </c>
      <c r="D138" s="7">
        <v>3272</v>
      </c>
      <c r="E138" s="7">
        <v>336</v>
      </c>
      <c r="F138" s="7">
        <v>4</v>
      </c>
      <c r="G138" s="7">
        <v>1</v>
      </c>
      <c r="H138" s="7">
        <v>81676</v>
      </c>
      <c r="I138" s="7" t="s">
        <v>104</v>
      </c>
      <c r="J138" s="7">
        <v>63286200</v>
      </c>
      <c r="K138" s="7" t="s">
        <v>1212</v>
      </c>
      <c r="L138" s="7" t="s">
        <v>1216</v>
      </c>
      <c r="M138" s="9">
        <v>139900</v>
      </c>
      <c r="N138" s="10">
        <f t="shared" si="8"/>
        <v>0.9</v>
      </c>
      <c r="O138" s="9">
        <f t="shared" si="6"/>
        <v>13989.999999999996</v>
      </c>
      <c r="P138" s="7" t="s">
        <v>16</v>
      </c>
    </row>
    <row r="139" spans="1:16" x14ac:dyDescent="0.25">
      <c r="A139" s="7" t="str">
        <f t="shared" si="7"/>
        <v>2022 ALL D90</v>
      </c>
      <c r="B139" s="8">
        <v>46099</v>
      </c>
      <c r="C139" s="8">
        <v>46113</v>
      </c>
      <c r="D139" s="7">
        <v>3272</v>
      </c>
      <c r="E139" s="7">
        <v>336</v>
      </c>
      <c r="F139" s="7">
        <v>4</v>
      </c>
      <c r="G139" s="7">
        <v>1</v>
      </c>
      <c r="H139" s="7">
        <v>81676</v>
      </c>
      <c r="I139" s="7" t="s">
        <v>104</v>
      </c>
      <c r="J139" s="7">
        <v>63286219</v>
      </c>
      <c r="K139" s="7" t="s">
        <v>1212</v>
      </c>
      <c r="L139" s="7" t="s">
        <v>1217</v>
      </c>
      <c r="M139" s="9">
        <v>139900</v>
      </c>
      <c r="N139" s="10">
        <f t="shared" si="8"/>
        <v>0.9</v>
      </c>
      <c r="O139" s="9">
        <f t="shared" si="6"/>
        <v>13989.999999999996</v>
      </c>
      <c r="P139" s="7" t="s">
        <v>16</v>
      </c>
    </row>
    <row r="140" spans="1:16" x14ac:dyDescent="0.25">
      <c r="A140" s="7" t="str">
        <f t="shared" si="7"/>
        <v>2022 ALL D90</v>
      </c>
      <c r="B140" s="8">
        <v>46099</v>
      </c>
      <c r="C140" s="8">
        <v>46113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65515280</v>
      </c>
      <c r="K140" s="7" t="s">
        <v>1218</v>
      </c>
      <c r="L140" s="7" t="s">
        <v>1219</v>
      </c>
      <c r="M140" s="9">
        <v>139900</v>
      </c>
      <c r="N140" s="10">
        <f t="shared" si="8"/>
        <v>0.9</v>
      </c>
      <c r="O140" s="9">
        <f t="shared" si="6"/>
        <v>13989.999999999996</v>
      </c>
      <c r="P140" s="7" t="s">
        <v>16</v>
      </c>
    </row>
    <row r="141" spans="1:16" x14ac:dyDescent="0.25">
      <c r="A141" s="7" t="str">
        <f t="shared" si="7"/>
        <v>2022 ALL D90</v>
      </c>
      <c r="B141" s="8">
        <v>46099</v>
      </c>
      <c r="C141" s="8">
        <v>46113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65515299</v>
      </c>
      <c r="K141" s="7" t="s">
        <v>1218</v>
      </c>
      <c r="L141" s="7" t="s">
        <v>1220</v>
      </c>
      <c r="M141" s="9">
        <v>139900</v>
      </c>
      <c r="N141" s="10">
        <f t="shared" si="8"/>
        <v>0.9</v>
      </c>
      <c r="O141" s="9">
        <f t="shared" si="6"/>
        <v>13989.999999999996</v>
      </c>
      <c r="P141" s="7" t="s">
        <v>16</v>
      </c>
    </row>
    <row r="142" spans="1:16" x14ac:dyDescent="0.25">
      <c r="A142" s="7" t="str">
        <f t="shared" si="7"/>
        <v>2022 ALL D90</v>
      </c>
      <c r="B142" s="8">
        <v>46099</v>
      </c>
      <c r="C142" s="8">
        <v>46113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65515306</v>
      </c>
      <c r="K142" s="7" t="s">
        <v>1218</v>
      </c>
      <c r="L142" s="7" t="s">
        <v>1221</v>
      </c>
      <c r="M142" s="9">
        <v>139900</v>
      </c>
      <c r="N142" s="10">
        <f t="shared" si="8"/>
        <v>0.9</v>
      </c>
      <c r="O142" s="9">
        <f t="shared" si="6"/>
        <v>13989.999999999996</v>
      </c>
      <c r="P142" s="7" t="s">
        <v>16</v>
      </c>
    </row>
    <row r="143" spans="1:16" x14ac:dyDescent="0.25">
      <c r="A143" s="7" t="str">
        <f t="shared" si="7"/>
        <v>2022 ALL D90</v>
      </c>
      <c r="B143" s="8">
        <v>46099</v>
      </c>
      <c r="C143" s="8">
        <v>46113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65515315</v>
      </c>
      <c r="K143" s="7" t="s">
        <v>1218</v>
      </c>
      <c r="L143" s="7" t="s">
        <v>1222</v>
      </c>
      <c r="M143" s="9">
        <v>139900</v>
      </c>
      <c r="N143" s="10">
        <f t="shared" si="8"/>
        <v>0.9</v>
      </c>
      <c r="O143" s="9">
        <f t="shared" si="6"/>
        <v>13989.999999999996</v>
      </c>
      <c r="P143" s="7" t="s">
        <v>16</v>
      </c>
    </row>
    <row r="144" spans="1:16" x14ac:dyDescent="0.25">
      <c r="A144" s="7" t="str">
        <f t="shared" si="7"/>
        <v>2022 ALL D90</v>
      </c>
      <c r="B144" s="8">
        <v>46099</v>
      </c>
      <c r="C144" s="8">
        <v>46113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65515324</v>
      </c>
      <c r="K144" s="7" t="s">
        <v>1218</v>
      </c>
      <c r="L144" s="7" t="s">
        <v>1223</v>
      </c>
      <c r="M144" s="9">
        <v>139900</v>
      </c>
      <c r="N144" s="10">
        <f t="shared" si="8"/>
        <v>0.9</v>
      </c>
      <c r="O144" s="9">
        <f t="shared" si="6"/>
        <v>13989.999999999996</v>
      </c>
      <c r="P144" s="7" t="s">
        <v>16</v>
      </c>
    </row>
    <row r="145" spans="1:16" x14ac:dyDescent="0.25">
      <c r="A145" s="7" t="str">
        <f t="shared" si="7"/>
        <v>2022 ALL D90</v>
      </c>
      <c r="B145" s="8">
        <v>46099</v>
      </c>
      <c r="C145" s="8">
        <v>46113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70172784</v>
      </c>
      <c r="K145" s="7" t="s">
        <v>1224</v>
      </c>
      <c r="L145" s="7" t="s">
        <v>1225</v>
      </c>
      <c r="M145" s="9">
        <v>139900</v>
      </c>
      <c r="N145" s="10">
        <f t="shared" si="8"/>
        <v>0.9</v>
      </c>
      <c r="O145" s="9">
        <f t="shared" si="6"/>
        <v>13989.999999999996</v>
      </c>
      <c r="P145" s="7" t="s">
        <v>16</v>
      </c>
    </row>
    <row r="146" spans="1:16" x14ac:dyDescent="0.25">
      <c r="A146" s="7" t="str">
        <f t="shared" si="7"/>
        <v>2022 ALL D90</v>
      </c>
      <c r="B146" s="8">
        <v>46099</v>
      </c>
      <c r="C146" s="8">
        <v>46113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70172793</v>
      </c>
      <c r="K146" s="7" t="s">
        <v>1224</v>
      </c>
      <c r="L146" s="7" t="s">
        <v>1226</v>
      </c>
      <c r="M146" s="9">
        <v>139900</v>
      </c>
      <c r="N146" s="10">
        <f t="shared" si="8"/>
        <v>0.9</v>
      </c>
      <c r="O146" s="9">
        <f t="shared" si="6"/>
        <v>13989.999999999996</v>
      </c>
      <c r="P146" s="7" t="s">
        <v>16</v>
      </c>
    </row>
    <row r="147" spans="1:16" x14ac:dyDescent="0.25">
      <c r="A147" s="7" t="str">
        <f t="shared" si="7"/>
        <v>2022 ALL D90</v>
      </c>
      <c r="B147" s="8">
        <v>46099</v>
      </c>
      <c r="C147" s="8">
        <v>46113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70172800</v>
      </c>
      <c r="K147" s="7" t="s">
        <v>1224</v>
      </c>
      <c r="L147" s="7" t="s">
        <v>1227</v>
      </c>
      <c r="M147" s="9">
        <v>139900</v>
      </c>
      <c r="N147" s="10">
        <f t="shared" si="8"/>
        <v>0.9</v>
      </c>
      <c r="O147" s="9">
        <f t="shared" si="6"/>
        <v>13989.999999999996</v>
      </c>
      <c r="P147" s="7" t="s">
        <v>16</v>
      </c>
    </row>
    <row r="148" spans="1:16" x14ac:dyDescent="0.25">
      <c r="A148" s="7" t="str">
        <f t="shared" si="7"/>
        <v>2022 ALL D90</v>
      </c>
      <c r="B148" s="8">
        <v>46099</v>
      </c>
      <c r="C148" s="8">
        <v>46113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70172819</v>
      </c>
      <c r="K148" s="7" t="s">
        <v>1224</v>
      </c>
      <c r="L148" s="7" t="s">
        <v>1228</v>
      </c>
      <c r="M148" s="9">
        <v>139900</v>
      </c>
      <c r="N148" s="10">
        <f t="shared" si="8"/>
        <v>0.9</v>
      </c>
      <c r="O148" s="9">
        <f t="shared" si="6"/>
        <v>13989.999999999996</v>
      </c>
      <c r="P148" s="7" t="s">
        <v>16</v>
      </c>
    </row>
    <row r="149" spans="1:16" x14ac:dyDescent="0.25">
      <c r="A149" s="7" t="str">
        <f t="shared" si="7"/>
        <v>2022 ALL D90</v>
      </c>
      <c r="B149" s="8">
        <v>46099</v>
      </c>
      <c r="C149" s="8">
        <v>46113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70172828</v>
      </c>
      <c r="K149" s="7" t="s">
        <v>1224</v>
      </c>
      <c r="L149" s="7" t="s">
        <v>1229</v>
      </c>
      <c r="M149" s="9">
        <v>139900</v>
      </c>
      <c r="N149" s="10">
        <f t="shared" si="8"/>
        <v>0.9</v>
      </c>
      <c r="O149" s="9">
        <f t="shared" si="6"/>
        <v>13989.999999999996</v>
      </c>
      <c r="P149" s="7" t="s">
        <v>16</v>
      </c>
    </row>
    <row r="150" spans="1:16" x14ac:dyDescent="0.25">
      <c r="A150" s="7" t="str">
        <f t="shared" si="7"/>
        <v>2022 ALL D90</v>
      </c>
      <c r="B150" s="8">
        <v>46099</v>
      </c>
      <c r="C150" s="8">
        <v>46113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67703242</v>
      </c>
      <c r="K150" s="7" t="s">
        <v>1230</v>
      </c>
      <c r="L150" s="7" t="s">
        <v>1231</v>
      </c>
      <c r="M150" s="9">
        <v>129900</v>
      </c>
      <c r="N150" s="10">
        <f t="shared" si="8"/>
        <v>0.9</v>
      </c>
      <c r="O150" s="9">
        <f t="shared" si="6"/>
        <v>12989.999999999996</v>
      </c>
      <c r="P150" s="7" t="s">
        <v>16</v>
      </c>
    </row>
    <row r="151" spans="1:16" x14ac:dyDescent="0.25">
      <c r="A151" s="7" t="str">
        <f t="shared" si="7"/>
        <v>2022 ALL D90</v>
      </c>
      <c r="B151" s="8">
        <v>46099</v>
      </c>
      <c r="C151" s="8">
        <v>46113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67703251</v>
      </c>
      <c r="K151" s="7" t="s">
        <v>1230</v>
      </c>
      <c r="L151" s="7" t="s">
        <v>1232</v>
      </c>
      <c r="M151" s="9">
        <v>129900</v>
      </c>
      <c r="N151" s="10">
        <f t="shared" si="8"/>
        <v>0.9</v>
      </c>
      <c r="O151" s="9">
        <f t="shared" si="6"/>
        <v>12989.999999999996</v>
      </c>
      <c r="P151" s="7" t="s">
        <v>16</v>
      </c>
    </row>
    <row r="152" spans="1:16" x14ac:dyDescent="0.25">
      <c r="A152" s="7" t="str">
        <f t="shared" si="7"/>
        <v>2022 ALL D90</v>
      </c>
      <c r="B152" s="8">
        <v>46099</v>
      </c>
      <c r="C152" s="8">
        <v>46113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67703260</v>
      </c>
      <c r="K152" s="7" t="s">
        <v>1230</v>
      </c>
      <c r="L152" s="7" t="s">
        <v>1233</v>
      </c>
      <c r="M152" s="9">
        <v>129900</v>
      </c>
      <c r="N152" s="10">
        <f t="shared" si="8"/>
        <v>0.9</v>
      </c>
      <c r="O152" s="9">
        <f t="shared" si="6"/>
        <v>12989.999999999996</v>
      </c>
      <c r="P152" s="7" t="s">
        <v>16</v>
      </c>
    </row>
    <row r="153" spans="1:16" x14ac:dyDescent="0.25">
      <c r="A153" s="7" t="str">
        <f t="shared" si="7"/>
        <v>2022 ALL D90</v>
      </c>
      <c r="B153" s="8">
        <v>46099</v>
      </c>
      <c r="C153" s="8">
        <v>46113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67703279</v>
      </c>
      <c r="K153" s="7" t="s">
        <v>1230</v>
      </c>
      <c r="L153" s="7" t="s">
        <v>1234</v>
      </c>
      <c r="M153" s="9">
        <v>129900</v>
      </c>
      <c r="N153" s="10">
        <f t="shared" si="8"/>
        <v>0.9</v>
      </c>
      <c r="O153" s="9">
        <f t="shared" si="6"/>
        <v>12989.999999999996</v>
      </c>
      <c r="P153" s="7" t="s">
        <v>16</v>
      </c>
    </row>
    <row r="154" spans="1:16" x14ac:dyDescent="0.25">
      <c r="A154" s="7" t="str">
        <f t="shared" si="7"/>
        <v>2022 ALL D90</v>
      </c>
      <c r="B154" s="8">
        <v>46099</v>
      </c>
      <c r="C154" s="8">
        <v>46113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67703288</v>
      </c>
      <c r="K154" s="7" t="s">
        <v>1230</v>
      </c>
      <c r="L154" s="7" t="s">
        <v>1235</v>
      </c>
      <c r="M154" s="9">
        <v>129900</v>
      </c>
      <c r="N154" s="10">
        <f t="shared" si="8"/>
        <v>0.9</v>
      </c>
      <c r="O154" s="9">
        <f t="shared" si="6"/>
        <v>12989.999999999996</v>
      </c>
      <c r="P154" s="7" t="s">
        <v>16</v>
      </c>
    </row>
    <row r="155" spans="1:16" x14ac:dyDescent="0.25">
      <c r="A155" s="7" t="str">
        <f t="shared" si="7"/>
        <v>2022 ALL D90</v>
      </c>
      <c r="B155" s="8">
        <v>46099</v>
      </c>
      <c r="C155" s="8">
        <v>46113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67703439</v>
      </c>
      <c r="K155" s="7" t="s">
        <v>1236</v>
      </c>
      <c r="L155" s="7" t="s">
        <v>1237</v>
      </c>
      <c r="M155" s="9">
        <v>139900</v>
      </c>
      <c r="N155" s="10">
        <f t="shared" si="8"/>
        <v>0.9</v>
      </c>
      <c r="O155" s="9">
        <f t="shared" si="6"/>
        <v>13989.999999999996</v>
      </c>
      <c r="P155" s="7" t="s">
        <v>16</v>
      </c>
    </row>
    <row r="156" spans="1:16" x14ac:dyDescent="0.25">
      <c r="A156" s="7" t="str">
        <f t="shared" si="7"/>
        <v>2022 ALL D90</v>
      </c>
      <c r="B156" s="8">
        <v>46099</v>
      </c>
      <c r="C156" s="8">
        <v>46113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67703448</v>
      </c>
      <c r="K156" s="7" t="s">
        <v>1236</v>
      </c>
      <c r="L156" s="7" t="s">
        <v>1238</v>
      </c>
      <c r="M156" s="9">
        <v>139900</v>
      </c>
      <c r="N156" s="10">
        <f t="shared" si="8"/>
        <v>0.9</v>
      </c>
      <c r="O156" s="9">
        <f t="shared" si="6"/>
        <v>13989.999999999996</v>
      </c>
      <c r="P156" s="7" t="s">
        <v>16</v>
      </c>
    </row>
    <row r="157" spans="1:16" x14ac:dyDescent="0.25">
      <c r="A157" s="7" t="str">
        <f t="shared" si="7"/>
        <v>2022 ALL D90</v>
      </c>
      <c r="B157" s="8">
        <v>46099</v>
      </c>
      <c r="C157" s="8">
        <v>46113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67703457</v>
      </c>
      <c r="K157" s="7" t="s">
        <v>1236</v>
      </c>
      <c r="L157" s="7" t="s">
        <v>1239</v>
      </c>
      <c r="M157" s="9">
        <v>139900</v>
      </c>
      <c r="N157" s="10">
        <f t="shared" si="8"/>
        <v>0.9</v>
      </c>
      <c r="O157" s="9">
        <f t="shared" si="6"/>
        <v>13989.999999999996</v>
      </c>
      <c r="P157" s="7" t="s">
        <v>16</v>
      </c>
    </row>
    <row r="158" spans="1:16" x14ac:dyDescent="0.25">
      <c r="A158" s="7" t="str">
        <f t="shared" si="7"/>
        <v>2022 ALL D90</v>
      </c>
      <c r="B158" s="8">
        <v>46099</v>
      </c>
      <c r="C158" s="8">
        <v>46113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67703466</v>
      </c>
      <c r="K158" s="7" t="s">
        <v>1236</v>
      </c>
      <c r="L158" s="7" t="s">
        <v>1240</v>
      </c>
      <c r="M158" s="9">
        <v>139900</v>
      </c>
      <c r="N158" s="10">
        <f t="shared" si="8"/>
        <v>0.9</v>
      </c>
      <c r="O158" s="9">
        <f t="shared" si="6"/>
        <v>13989.999999999996</v>
      </c>
      <c r="P158" s="7" t="s">
        <v>16</v>
      </c>
    </row>
    <row r="159" spans="1:16" x14ac:dyDescent="0.25">
      <c r="A159" s="7" t="str">
        <f t="shared" si="7"/>
        <v>2022 ALL D90</v>
      </c>
      <c r="B159" s="8">
        <v>46099</v>
      </c>
      <c r="C159" s="8">
        <v>46113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67703475</v>
      </c>
      <c r="K159" s="7" t="s">
        <v>1236</v>
      </c>
      <c r="L159" s="7" t="s">
        <v>1241</v>
      </c>
      <c r="M159" s="9">
        <v>139900</v>
      </c>
      <c r="N159" s="10">
        <f t="shared" si="8"/>
        <v>0.9</v>
      </c>
      <c r="O159" s="9">
        <f t="shared" si="6"/>
        <v>13989.999999999996</v>
      </c>
      <c r="P159" s="7" t="s">
        <v>16</v>
      </c>
    </row>
    <row r="160" spans="1:16" x14ac:dyDescent="0.25">
      <c r="A160" s="7" t="str">
        <f t="shared" si="7"/>
        <v>2022 ALL D90</v>
      </c>
      <c r="B160" s="8">
        <v>46099</v>
      </c>
      <c r="C160" s="8">
        <v>46113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73075571</v>
      </c>
      <c r="K160" s="7" t="s">
        <v>1242</v>
      </c>
      <c r="L160" s="7" t="s">
        <v>1243</v>
      </c>
      <c r="M160" s="9">
        <v>139900</v>
      </c>
      <c r="N160" s="10">
        <f t="shared" si="8"/>
        <v>0.9</v>
      </c>
      <c r="O160" s="9">
        <f t="shared" si="6"/>
        <v>13989.999999999996</v>
      </c>
      <c r="P160" s="7" t="s">
        <v>16</v>
      </c>
    </row>
    <row r="161" spans="1:16" x14ac:dyDescent="0.25">
      <c r="A161" s="7" t="str">
        <f t="shared" si="7"/>
        <v>2022 ALL D90</v>
      </c>
      <c r="B161" s="8">
        <v>46099</v>
      </c>
      <c r="C161" s="8">
        <v>46113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73075580</v>
      </c>
      <c r="K161" s="7" t="s">
        <v>1242</v>
      </c>
      <c r="L161" s="7" t="s">
        <v>1244</v>
      </c>
      <c r="M161" s="9">
        <v>139900</v>
      </c>
      <c r="N161" s="10">
        <f t="shared" si="8"/>
        <v>0.9</v>
      </c>
      <c r="O161" s="9">
        <f t="shared" si="6"/>
        <v>13989.999999999996</v>
      </c>
      <c r="P161" s="7" t="s">
        <v>16</v>
      </c>
    </row>
    <row r="162" spans="1:16" x14ac:dyDescent="0.25">
      <c r="A162" s="7" t="str">
        <f t="shared" si="7"/>
        <v>2022 ALL D90</v>
      </c>
      <c r="B162" s="8">
        <v>46099</v>
      </c>
      <c r="C162" s="8">
        <v>46113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73075599</v>
      </c>
      <c r="K162" s="7" t="s">
        <v>1242</v>
      </c>
      <c r="L162" s="7" t="s">
        <v>1245</v>
      </c>
      <c r="M162" s="9">
        <v>139900</v>
      </c>
      <c r="N162" s="10">
        <f t="shared" si="8"/>
        <v>0.9</v>
      </c>
      <c r="O162" s="9">
        <f t="shared" si="6"/>
        <v>13989.999999999996</v>
      </c>
      <c r="P162" s="7" t="s">
        <v>16</v>
      </c>
    </row>
    <row r="163" spans="1:16" x14ac:dyDescent="0.25">
      <c r="A163" s="7" t="str">
        <f t="shared" si="7"/>
        <v>2022 ALL D90</v>
      </c>
      <c r="B163" s="8">
        <v>46099</v>
      </c>
      <c r="C163" s="8">
        <v>46113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73075606</v>
      </c>
      <c r="K163" s="7" t="s">
        <v>1242</v>
      </c>
      <c r="L163" s="7" t="s">
        <v>1246</v>
      </c>
      <c r="M163" s="9">
        <v>139900</v>
      </c>
      <c r="N163" s="10">
        <f t="shared" si="8"/>
        <v>0.9</v>
      </c>
      <c r="O163" s="9">
        <f t="shared" si="6"/>
        <v>13989.999999999996</v>
      </c>
      <c r="P163" s="7" t="s">
        <v>16</v>
      </c>
    </row>
    <row r="164" spans="1:16" x14ac:dyDescent="0.25">
      <c r="A164" s="7" t="str">
        <f t="shared" si="7"/>
        <v>2022 ALL D90</v>
      </c>
      <c r="B164" s="8">
        <v>46099</v>
      </c>
      <c r="C164" s="8">
        <v>46113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73075615</v>
      </c>
      <c r="K164" s="7" t="s">
        <v>1242</v>
      </c>
      <c r="L164" s="7" t="s">
        <v>1247</v>
      </c>
      <c r="M164" s="9">
        <v>139900</v>
      </c>
      <c r="N164" s="10">
        <f t="shared" si="8"/>
        <v>0.9</v>
      </c>
      <c r="O164" s="9">
        <f t="shared" si="6"/>
        <v>13989.999999999996</v>
      </c>
      <c r="P164" s="7" t="s">
        <v>16</v>
      </c>
    </row>
    <row r="165" spans="1:16" x14ac:dyDescent="0.25">
      <c r="A165" s="7" t="str">
        <f t="shared" si="7"/>
        <v>2022 ALL D90</v>
      </c>
      <c r="B165" s="8">
        <v>46099</v>
      </c>
      <c r="C165" s="8">
        <v>46113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73075482</v>
      </c>
      <c r="K165" s="7" t="s">
        <v>1248</v>
      </c>
      <c r="L165" s="7" t="s">
        <v>1249</v>
      </c>
      <c r="M165" s="9">
        <v>139900</v>
      </c>
      <c r="N165" s="10">
        <f t="shared" si="8"/>
        <v>0.9</v>
      </c>
      <c r="O165" s="9">
        <f t="shared" si="6"/>
        <v>13989.999999999996</v>
      </c>
      <c r="P165" s="7" t="s">
        <v>16</v>
      </c>
    </row>
    <row r="166" spans="1:16" x14ac:dyDescent="0.25">
      <c r="A166" s="7" t="str">
        <f t="shared" si="7"/>
        <v>2022 ALL D90</v>
      </c>
      <c r="B166" s="8">
        <v>46099</v>
      </c>
      <c r="C166" s="8">
        <v>46113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73075491</v>
      </c>
      <c r="K166" s="7" t="s">
        <v>1248</v>
      </c>
      <c r="L166" s="7" t="s">
        <v>1250</v>
      </c>
      <c r="M166" s="9">
        <v>139900</v>
      </c>
      <c r="N166" s="10">
        <f t="shared" si="8"/>
        <v>0.9</v>
      </c>
      <c r="O166" s="9">
        <f t="shared" si="6"/>
        <v>13989.999999999996</v>
      </c>
      <c r="P166" s="7" t="s">
        <v>16</v>
      </c>
    </row>
    <row r="167" spans="1:16" x14ac:dyDescent="0.25">
      <c r="A167" s="7" t="str">
        <f t="shared" si="7"/>
        <v>2022 ALL D90</v>
      </c>
      <c r="B167" s="8">
        <v>46099</v>
      </c>
      <c r="C167" s="8">
        <v>46113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73075508</v>
      </c>
      <c r="K167" s="7" t="s">
        <v>1248</v>
      </c>
      <c r="L167" s="7" t="s">
        <v>1251</v>
      </c>
      <c r="M167" s="9">
        <v>139900</v>
      </c>
      <c r="N167" s="10">
        <f t="shared" si="8"/>
        <v>0.9</v>
      </c>
      <c r="O167" s="9">
        <f t="shared" si="6"/>
        <v>13989.999999999996</v>
      </c>
      <c r="P167" s="7" t="s">
        <v>16</v>
      </c>
    </row>
    <row r="168" spans="1:16" x14ac:dyDescent="0.25">
      <c r="A168" s="7" t="str">
        <f t="shared" si="7"/>
        <v>2022 ALL D90</v>
      </c>
      <c r="B168" s="8">
        <v>46099</v>
      </c>
      <c r="C168" s="8">
        <v>46113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73075517</v>
      </c>
      <c r="K168" s="7" t="s">
        <v>1248</v>
      </c>
      <c r="L168" s="7" t="s">
        <v>1252</v>
      </c>
      <c r="M168" s="9">
        <v>139900</v>
      </c>
      <c r="N168" s="10">
        <f t="shared" si="8"/>
        <v>0.9</v>
      </c>
      <c r="O168" s="9">
        <f t="shared" si="6"/>
        <v>13989.999999999996</v>
      </c>
      <c r="P168" s="7" t="s">
        <v>16</v>
      </c>
    </row>
    <row r="169" spans="1:16" x14ac:dyDescent="0.25">
      <c r="A169" s="7" t="str">
        <f t="shared" si="7"/>
        <v>2022 ALL D90</v>
      </c>
      <c r="B169" s="8">
        <v>46099</v>
      </c>
      <c r="C169" s="8">
        <v>46113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73075526</v>
      </c>
      <c r="K169" s="7" t="s">
        <v>1248</v>
      </c>
      <c r="L169" s="7" t="s">
        <v>1253</v>
      </c>
      <c r="M169" s="9">
        <v>139900</v>
      </c>
      <c r="N169" s="10">
        <f t="shared" si="8"/>
        <v>0.9</v>
      </c>
      <c r="O169" s="9">
        <f t="shared" si="6"/>
        <v>13989.999999999996</v>
      </c>
      <c r="P169" s="7" t="s">
        <v>16</v>
      </c>
    </row>
    <row r="170" spans="1:16" x14ac:dyDescent="0.25">
      <c r="A170" s="7" t="str">
        <f t="shared" si="7"/>
        <v>2022 ALL D90</v>
      </c>
      <c r="B170" s="8">
        <v>46099</v>
      </c>
      <c r="C170" s="8">
        <v>46113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73529321</v>
      </c>
      <c r="K170" s="7" t="s">
        <v>1254</v>
      </c>
      <c r="L170" s="7" t="s">
        <v>1255</v>
      </c>
      <c r="M170" s="9">
        <v>129900</v>
      </c>
      <c r="N170" s="10">
        <f t="shared" si="8"/>
        <v>0.9</v>
      </c>
      <c r="O170" s="9">
        <f t="shared" si="6"/>
        <v>12989.999999999996</v>
      </c>
      <c r="P170" s="7" t="s">
        <v>16</v>
      </c>
    </row>
    <row r="171" spans="1:16" x14ac:dyDescent="0.25">
      <c r="A171" s="7" t="str">
        <f t="shared" si="7"/>
        <v>2022 ALL D90</v>
      </c>
      <c r="B171" s="8">
        <v>46099</v>
      </c>
      <c r="C171" s="8">
        <v>46113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73529330</v>
      </c>
      <c r="K171" s="7" t="s">
        <v>1254</v>
      </c>
      <c r="L171" s="7" t="s">
        <v>1256</v>
      </c>
      <c r="M171" s="9">
        <v>129900</v>
      </c>
      <c r="N171" s="10">
        <f t="shared" si="8"/>
        <v>0.9</v>
      </c>
      <c r="O171" s="9">
        <f t="shared" si="6"/>
        <v>12989.999999999996</v>
      </c>
      <c r="P171" s="7" t="s">
        <v>16</v>
      </c>
    </row>
    <row r="172" spans="1:16" x14ac:dyDescent="0.25">
      <c r="A172" s="7" t="str">
        <f t="shared" si="7"/>
        <v>2022 ALL D90</v>
      </c>
      <c r="B172" s="8">
        <v>46099</v>
      </c>
      <c r="C172" s="8">
        <v>46113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73529349</v>
      </c>
      <c r="K172" s="7" t="s">
        <v>1254</v>
      </c>
      <c r="L172" s="7" t="s">
        <v>1257</v>
      </c>
      <c r="M172" s="9">
        <v>129900</v>
      </c>
      <c r="N172" s="10">
        <f t="shared" si="8"/>
        <v>0.9</v>
      </c>
      <c r="O172" s="9">
        <f t="shared" si="6"/>
        <v>12989.999999999996</v>
      </c>
      <c r="P172" s="7" t="s">
        <v>16</v>
      </c>
    </row>
    <row r="173" spans="1:16" x14ac:dyDescent="0.25">
      <c r="A173" s="7" t="str">
        <f t="shared" si="7"/>
        <v>2022 ALL D90</v>
      </c>
      <c r="B173" s="8">
        <v>46099</v>
      </c>
      <c r="C173" s="8">
        <v>46113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73529358</v>
      </c>
      <c r="K173" s="7" t="s">
        <v>1254</v>
      </c>
      <c r="L173" s="7" t="s">
        <v>1258</v>
      </c>
      <c r="M173" s="9">
        <v>129900</v>
      </c>
      <c r="N173" s="10">
        <f t="shared" si="8"/>
        <v>0.9</v>
      </c>
      <c r="O173" s="9">
        <f t="shared" si="6"/>
        <v>12989.999999999996</v>
      </c>
      <c r="P173" s="7" t="s">
        <v>16</v>
      </c>
    </row>
    <row r="174" spans="1:16" x14ac:dyDescent="0.25">
      <c r="A174" s="7" t="str">
        <f t="shared" si="7"/>
        <v>2022 ALL D90</v>
      </c>
      <c r="B174" s="8">
        <v>46099</v>
      </c>
      <c r="C174" s="8">
        <v>46113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73529367</v>
      </c>
      <c r="K174" s="7" t="s">
        <v>1254</v>
      </c>
      <c r="L174" s="7" t="s">
        <v>1259</v>
      </c>
      <c r="M174" s="9">
        <v>129900</v>
      </c>
      <c r="N174" s="10">
        <f t="shared" si="8"/>
        <v>0.9</v>
      </c>
      <c r="O174" s="9">
        <f t="shared" si="6"/>
        <v>12989.999999999996</v>
      </c>
      <c r="P174" s="7" t="s">
        <v>16</v>
      </c>
    </row>
    <row r="175" spans="1:16" x14ac:dyDescent="0.25">
      <c r="A175" s="7" t="str">
        <f t="shared" si="7"/>
        <v>2022 ALL D90</v>
      </c>
      <c r="B175" s="8">
        <v>46099</v>
      </c>
      <c r="C175" s="8">
        <v>46113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73866298</v>
      </c>
      <c r="K175" s="7" t="s">
        <v>1260</v>
      </c>
      <c r="L175" s="7" t="s">
        <v>1261</v>
      </c>
      <c r="M175" s="9">
        <v>129900</v>
      </c>
      <c r="N175" s="10">
        <f t="shared" si="8"/>
        <v>0.9</v>
      </c>
      <c r="O175" s="9">
        <f t="shared" si="6"/>
        <v>12989.999999999996</v>
      </c>
      <c r="P175" s="7" t="s">
        <v>16</v>
      </c>
    </row>
    <row r="176" spans="1:16" x14ac:dyDescent="0.25">
      <c r="A176" s="7" t="str">
        <f t="shared" si="7"/>
        <v>2022 ALL D90</v>
      </c>
      <c r="B176" s="8">
        <v>46099</v>
      </c>
      <c r="C176" s="8">
        <v>46113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73866305</v>
      </c>
      <c r="K176" s="7" t="s">
        <v>1260</v>
      </c>
      <c r="L176" s="7" t="s">
        <v>1262</v>
      </c>
      <c r="M176" s="9">
        <v>129900</v>
      </c>
      <c r="N176" s="10">
        <f t="shared" si="8"/>
        <v>0.9</v>
      </c>
      <c r="O176" s="9">
        <f t="shared" si="6"/>
        <v>12989.999999999996</v>
      </c>
      <c r="P176" s="7" t="s">
        <v>16</v>
      </c>
    </row>
    <row r="177" spans="1:16" x14ac:dyDescent="0.25">
      <c r="A177" s="7" t="str">
        <f t="shared" si="7"/>
        <v>2022 ALL D90</v>
      </c>
      <c r="B177" s="8">
        <v>46099</v>
      </c>
      <c r="C177" s="8">
        <v>46113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73866314</v>
      </c>
      <c r="K177" s="7" t="s">
        <v>1260</v>
      </c>
      <c r="L177" s="7" t="s">
        <v>1263</v>
      </c>
      <c r="M177" s="9">
        <v>129900</v>
      </c>
      <c r="N177" s="10">
        <f t="shared" si="8"/>
        <v>0.9</v>
      </c>
      <c r="O177" s="9">
        <f t="shared" si="6"/>
        <v>12989.999999999996</v>
      </c>
      <c r="P177" s="7" t="s">
        <v>16</v>
      </c>
    </row>
    <row r="178" spans="1:16" x14ac:dyDescent="0.25">
      <c r="A178" s="7" t="str">
        <f t="shared" si="7"/>
        <v>2022 ALL D90</v>
      </c>
      <c r="B178" s="8">
        <v>46099</v>
      </c>
      <c r="C178" s="8">
        <v>46113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73866323</v>
      </c>
      <c r="K178" s="7" t="s">
        <v>1260</v>
      </c>
      <c r="L178" s="7" t="s">
        <v>1264</v>
      </c>
      <c r="M178" s="9">
        <v>129900</v>
      </c>
      <c r="N178" s="10">
        <f t="shared" si="8"/>
        <v>0.9</v>
      </c>
      <c r="O178" s="9">
        <f t="shared" si="6"/>
        <v>12989.999999999996</v>
      </c>
      <c r="P178" s="7" t="s">
        <v>16</v>
      </c>
    </row>
    <row r="179" spans="1:16" x14ac:dyDescent="0.25">
      <c r="A179" s="7" t="str">
        <f t="shared" si="7"/>
        <v>2022 ALL D90</v>
      </c>
      <c r="B179" s="8">
        <v>46099</v>
      </c>
      <c r="C179" s="8">
        <v>46113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73866332</v>
      </c>
      <c r="K179" s="7" t="s">
        <v>1260</v>
      </c>
      <c r="L179" s="7" t="s">
        <v>1265</v>
      </c>
      <c r="M179" s="9">
        <v>129900</v>
      </c>
      <c r="N179" s="10">
        <f t="shared" si="8"/>
        <v>0.9</v>
      </c>
      <c r="O179" s="9">
        <f t="shared" si="6"/>
        <v>12989.999999999996</v>
      </c>
      <c r="P179" s="7" t="s">
        <v>16</v>
      </c>
    </row>
    <row r="180" spans="1:16" x14ac:dyDescent="0.25">
      <c r="A180" s="7" t="str">
        <f t="shared" si="7"/>
        <v>2022 ALL D90</v>
      </c>
      <c r="B180" s="8">
        <v>46099</v>
      </c>
      <c r="C180" s="8">
        <v>46113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75232870</v>
      </c>
      <c r="K180" s="7" t="s">
        <v>1266</v>
      </c>
      <c r="L180" s="7" t="s">
        <v>1267</v>
      </c>
      <c r="M180" s="9">
        <v>139900</v>
      </c>
      <c r="N180" s="10">
        <f t="shared" si="8"/>
        <v>0.9</v>
      </c>
      <c r="O180" s="9">
        <f t="shared" si="6"/>
        <v>13989.999999999996</v>
      </c>
      <c r="P180" s="7" t="s">
        <v>16</v>
      </c>
    </row>
    <row r="181" spans="1:16" x14ac:dyDescent="0.25">
      <c r="A181" s="7" t="str">
        <f t="shared" si="7"/>
        <v>2022 ALL D90</v>
      </c>
      <c r="B181" s="8">
        <v>46099</v>
      </c>
      <c r="C181" s="8">
        <v>46113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75232889</v>
      </c>
      <c r="K181" s="7" t="s">
        <v>1266</v>
      </c>
      <c r="L181" s="7" t="s">
        <v>1268</v>
      </c>
      <c r="M181" s="9">
        <v>139900</v>
      </c>
      <c r="N181" s="10">
        <f t="shared" si="8"/>
        <v>0.9</v>
      </c>
      <c r="O181" s="9">
        <f t="shared" si="6"/>
        <v>13989.999999999996</v>
      </c>
      <c r="P181" s="7" t="s">
        <v>16</v>
      </c>
    </row>
    <row r="182" spans="1:16" x14ac:dyDescent="0.25">
      <c r="A182" s="7" t="str">
        <f t="shared" si="7"/>
        <v>2022 ALL D90</v>
      </c>
      <c r="B182" s="8">
        <v>46099</v>
      </c>
      <c r="C182" s="8">
        <v>46113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75232898</v>
      </c>
      <c r="K182" s="7" t="s">
        <v>1266</v>
      </c>
      <c r="L182" s="7" t="s">
        <v>1269</v>
      </c>
      <c r="M182" s="9">
        <v>139900</v>
      </c>
      <c r="N182" s="10">
        <f t="shared" si="8"/>
        <v>0.9</v>
      </c>
      <c r="O182" s="9">
        <f t="shared" si="6"/>
        <v>13989.999999999996</v>
      </c>
      <c r="P182" s="7" t="s">
        <v>16</v>
      </c>
    </row>
    <row r="183" spans="1:16" x14ac:dyDescent="0.25">
      <c r="A183" s="7" t="str">
        <f t="shared" si="7"/>
        <v>2022 ALL D90</v>
      </c>
      <c r="B183" s="8">
        <v>46099</v>
      </c>
      <c r="C183" s="8">
        <v>46113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75232905</v>
      </c>
      <c r="K183" s="7" t="s">
        <v>1266</v>
      </c>
      <c r="L183" s="7" t="s">
        <v>1270</v>
      </c>
      <c r="M183" s="9">
        <v>139900</v>
      </c>
      <c r="N183" s="10">
        <f t="shared" si="8"/>
        <v>0.9</v>
      </c>
      <c r="O183" s="9">
        <f t="shared" si="6"/>
        <v>13989.999999999996</v>
      </c>
      <c r="P183" s="7" t="s">
        <v>16</v>
      </c>
    </row>
    <row r="184" spans="1:16" x14ac:dyDescent="0.25">
      <c r="A184" s="7" t="str">
        <f t="shared" si="7"/>
        <v>2022 ALL D90</v>
      </c>
      <c r="B184" s="8">
        <v>46099</v>
      </c>
      <c r="C184" s="8">
        <v>46113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75232914</v>
      </c>
      <c r="K184" s="7" t="s">
        <v>1266</v>
      </c>
      <c r="L184" s="7" t="s">
        <v>1271</v>
      </c>
      <c r="M184" s="9">
        <v>139900</v>
      </c>
      <c r="N184" s="10">
        <f t="shared" si="8"/>
        <v>0.9</v>
      </c>
      <c r="O184" s="9">
        <f t="shared" si="6"/>
        <v>13989.999999999996</v>
      </c>
      <c r="P184" s="7" t="s">
        <v>16</v>
      </c>
    </row>
    <row r="185" spans="1:16" x14ac:dyDescent="0.25">
      <c r="A185" s="7" t="str">
        <f t="shared" si="7"/>
        <v>2022 ALL D90</v>
      </c>
      <c r="B185" s="8">
        <v>46099</v>
      </c>
      <c r="C185" s="8">
        <v>46113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75232825</v>
      </c>
      <c r="K185" s="7" t="s">
        <v>1272</v>
      </c>
      <c r="L185" s="7" t="s">
        <v>1273</v>
      </c>
      <c r="M185" s="9">
        <v>139900</v>
      </c>
      <c r="N185" s="10">
        <f t="shared" si="8"/>
        <v>0.9</v>
      </c>
      <c r="O185" s="9">
        <f t="shared" si="6"/>
        <v>13989.999999999996</v>
      </c>
      <c r="P185" s="7" t="s">
        <v>16</v>
      </c>
    </row>
    <row r="186" spans="1:16" x14ac:dyDescent="0.25">
      <c r="A186" s="7" t="str">
        <f t="shared" si="7"/>
        <v>2022 ALL D90</v>
      </c>
      <c r="B186" s="8">
        <v>46099</v>
      </c>
      <c r="C186" s="8">
        <v>46113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75232834</v>
      </c>
      <c r="K186" s="7" t="s">
        <v>1272</v>
      </c>
      <c r="L186" s="7" t="s">
        <v>1274</v>
      </c>
      <c r="M186" s="9">
        <v>139900</v>
      </c>
      <c r="N186" s="10">
        <f t="shared" si="8"/>
        <v>0.9</v>
      </c>
      <c r="O186" s="9">
        <f t="shared" si="6"/>
        <v>13989.999999999996</v>
      </c>
      <c r="P186" s="7" t="s">
        <v>16</v>
      </c>
    </row>
    <row r="187" spans="1:16" x14ac:dyDescent="0.25">
      <c r="A187" s="7" t="str">
        <f t="shared" si="7"/>
        <v>2022 ALL D90</v>
      </c>
      <c r="B187" s="8">
        <v>46099</v>
      </c>
      <c r="C187" s="8">
        <v>46113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75232843</v>
      </c>
      <c r="K187" s="7" t="s">
        <v>1272</v>
      </c>
      <c r="L187" s="7" t="s">
        <v>1275</v>
      </c>
      <c r="M187" s="9">
        <v>139900</v>
      </c>
      <c r="N187" s="10">
        <f t="shared" si="8"/>
        <v>0.9</v>
      </c>
      <c r="O187" s="9">
        <f t="shared" si="6"/>
        <v>13989.999999999996</v>
      </c>
      <c r="P187" s="7" t="s">
        <v>16</v>
      </c>
    </row>
    <row r="188" spans="1:16" x14ac:dyDescent="0.25">
      <c r="A188" s="7" t="str">
        <f t="shared" si="7"/>
        <v>2022 ALL D90</v>
      </c>
      <c r="B188" s="8">
        <v>46099</v>
      </c>
      <c r="C188" s="8">
        <v>46113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75232852</v>
      </c>
      <c r="K188" s="7" t="s">
        <v>1272</v>
      </c>
      <c r="L188" s="7" t="s">
        <v>1276</v>
      </c>
      <c r="M188" s="9">
        <v>139900</v>
      </c>
      <c r="N188" s="10">
        <f t="shared" si="8"/>
        <v>0.9</v>
      </c>
      <c r="O188" s="9">
        <f t="shared" si="6"/>
        <v>13989.999999999996</v>
      </c>
      <c r="P188" s="7" t="s">
        <v>16</v>
      </c>
    </row>
    <row r="189" spans="1:16" x14ac:dyDescent="0.25">
      <c r="A189" s="7" t="str">
        <f t="shared" si="7"/>
        <v>2022 ALL D90</v>
      </c>
      <c r="B189" s="8">
        <v>46099</v>
      </c>
      <c r="C189" s="8">
        <v>46113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75232861</v>
      </c>
      <c r="K189" s="7" t="s">
        <v>1272</v>
      </c>
      <c r="L189" s="7" t="s">
        <v>1277</v>
      </c>
      <c r="M189" s="9">
        <v>139900</v>
      </c>
      <c r="N189" s="10">
        <f t="shared" si="8"/>
        <v>0.9</v>
      </c>
      <c r="O189" s="9">
        <f t="shared" si="6"/>
        <v>13989.999999999996</v>
      </c>
      <c r="P189" s="7" t="s">
        <v>16</v>
      </c>
    </row>
    <row r="190" spans="1:16" x14ac:dyDescent="0.25">
      <c r="A190" s="7" t="str">
        <f t="shared" si="7"/>
        <v>2022 ALL D90</v>
      </c>
      <c r="B190" s="8">
        <v>46099</v>
      </c>
      <c r="C190" s="8">
        <v>46113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76174959</v>
      </c>
      <c r="K190" s="7" t="s">
        <v>1278</v>
      </c>
      <c r="L190" s="7" t="s">
        <v>1279</v>
      </c>
      <c r="M190" s="9">
        <v>149900</v>
      </c>
      <c r="N190" s="10">
        <f t="shared" si="8"/>
        <v>0.9</v>
      </c>
      <c r="O190" s="9">
        <f t="shared" si="6"/>
        <v>14989.999999999996</v>
      </c>
      <c r="P190" s="7" t="s">
        <v>16</v>
      </c>
    </row>
    <row r="191" spans="1:16" x14ac:dyDescent="0.25">
      <c r="A191" s="7" t="str">
        <f t="shared" si="7"/>
        <v>2022 ALL D90</v>
      </c>
      <c r="B191" s="8">
        <v>46099</v>
      </c>
      <c r="C191" s="8">
        <v>46113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76174968</v>
      </c>
      <c r="K191" s="7" t="s">
        <v>1278</v>
      </c>
      <c r="L191" s="7" t="s">
        <v>1280</v>
      </c>
      <c r="M191" s="9">
        <v>149900</v>
      </c>
      <c r="N191" s="10">
        <f t="shared" si="8"/>
        <v>0.9</v>
      </c>
      <c r="O191" s="9">
        <f t="shared" si="6"/>
        <v>14989.999999999996</v>
      </c>
      <c r="P191" s="7" t="s">
        <v>16</v>
      </c>
    </row>
    <row r="192" spans="1:16" x14ac:dyDescent="0.25">
      <c r="A192" s="7" t="str">
        <f t="shared" si="7"/>
        <v>2022 ALL D90</v>
      </c>
      <c r="B192" s="8">
        <v>46099</v>
      </c>
      <c r="C192" s="8">
        <v>46113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76174977</v>
      </c>
      <c r="K192" s="7" t="s">
        <v>1278</v>
      </c>
      <c r="L192" s="7" t="s">
        <v>1281</v>
      </c>
      <c r="M192" s="9">
        <v>149900</v>
      </c>
      <c r="N192" s="10">
        <f t="shared" si="8"/>
        <v>0.9</v>
      </c>
      <c r="O192" s="9">
        <f t="shared" si="6"/>
        <v>14989.999999999996</v>
      </c>
      <c r="P192" s="7" t="s">
        <v>16</v>
      </c>
    </row>
    <row r="193" spans="1:16" x14ac:dyDescent="0.25">
      <c r="A193" s="7" t="str">
        <f t="shared" si="7"/>
        <v>2022 ALL D90</v>
      </c>
      <c r="B193" s="8">
        <v>46099</v>
      </c>
      <c r="C193" s="8">
        <v>46113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76174986</v>
      </c>
      <c r="K193" s="7" t="s">
        <v>1278</v>
      </c>
      <c r="L193" s="7" t="s">
        <v>1282</v>
      </c>
      <c r="M193" s="9">
        <v>149900</v>
      </c>
      <c r="N193" s="10">
        <f t="shared" si="8"/>
        <v>0.9</v>
      </c>
      <c r="O193" s="9">
        <f t="shared" si="6"/>
        <v>14989.999999999996</v>
      </c>
      <c r="P193" s="7" t="s">
        <v>16</v>
      </c>
    </row>
    <row r="194" spans="1:16" x14ac:dyDescent="0.25">
      <c r="A194" s="7" t="str">
        <f t="shared" si="7"/>
        <v>2022 ALL D90</v>
      </c>
      <c r="B194" s="8">
        <v>46099</v>
      </c>
      <c r="C194" s="8">
        <v>46113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76174995</v>
      </c>
      <c r="K194" s="7" t="s">
        <v>1278</v>
      </c>
      <c r="L194" s="7" t="s">
        <v>1283</v>
      </c>
      <c r="M194" s="9">
        <v>149900</v>
      </c>
      <c r="N194" s="10">
        <f t="shared" si="8"/>
        <v>0.9</v>
      </c>
      <c r="O194" s="9">
        <f t="shared" si="6"/>
        <v>14989.999999999996</v>
      </c>
      <c r="P194" s="7" t="s">
        <v>16</v>
      </c>
    </row>
    <row r="195" spans="1:16" x14ac:dyDescent="0.25">
      <c r="A195" s="7" t="str">
        <f t="shared" si="7"/>
        <v>2022 ALL D90</v>
      </c>
      <c r="B195" s="8">
        <v>46099</v>
      </c>
      <c r="C195" s="8">
        <v>46113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76299244</v>
      </c>
      <c r="K195" s="7" t="s">
        <v>1284</v>
      </c>
      <c r="L195" s="7" t="s">
        <v>1285</v>
      </c>
      <c r="M195" s="9">
        <v>139900</v>
      </c>
      <c r="N195" s="10">
        <f t="shared" si="8"/>
        <v>0.9</v>
      </c>
      <c r="O195" s="9">
        <f t="shared" ref="O195:O258" si="9">M195*(1-N195)</f>
        <v>13989.999999999996</v>
      </c>
      <c r="P195" s="7" t="s">
        <v>16</v>
      </c>
    </row>
    <row r="196" spans="1:16" x14ac:dyDescent="0.25">
      <c r="A196" s="7" t="str">
        <f t="shared" ref="A196:A259" si="10">A195</f>
        <v>2022 ALL D90</v>
      </c>
      <c r="B196" s="8">
        <v>46099</v>
      </c>
      <c r="C196" s="8">
        <v>46113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76403120</v>
      </c>
      <c r="K196" s="7" t="s">
        <v>1284</v>
      </c>
      <c r="L196" s="7" t="s">
        <v>1286</v>
      </c>
      <c r="M196" s="9">
        <v>139900</v>
      </c>
      <c r="N196" s="10">
        <f t="shared" ref="N196:N259" si="11">N195</f>
        <v>0.9</v>
      </c>
      <c r="O196" s="9">
        <f t="shared" si="9"/>
        <v>13989.999999999996</v>
      </c>
      <c r="P196" s="7" t="s">
        <v>16</v>
      </c>
    </row>
    <row r="197" spans="1:16" x14ac:dyDescent="0.25">
      <c r="A197" s="7" t="str">
        <f t="shared" si="10"/>
        <v>2022 ALL D90</v>
      </c>
      <c r="B197" s="8">
        <v>46099</v>
      </c>
      <c r="C197" s="8">
        <v>46113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76403139</v>
      </c>
      <c r="K197" s="7" t="s">
        <v>1284</v>
      </c>
      <c r="L197" s="7" t="s">
        <v>1287</v>
      </c>
      <c r="M197" s="9">
        <v>139900</v>
      </c>
      <c r="N197" s="10">
        <f t="shared" si="11"/>
        <v>0.9</v>
      </c>
      <c r="O197" s="9">
        <f t="shared" si="9"/>
        <v>13989.999999999996</v>
      </c>
      <c r="P197" s="7" t="s">
        <v>16</v>
      </c>
    </row>
    <row r="198" spans="1:16" x14ac:dyDescent="0.25">
      <c r="A198" s="7" t="str">
        <f t="shared" si="10"/>
        <v>2022 ALL D90</v>
      </c>
      <c r="B198" s="8">
        <v>46099</v>
      </c>
      <c r="C198" s="8">
        <v>46113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76403148</v>
      </c>
      <c r="K198" s="7" t="s">
        <v>1284</v>
      </c>
      <c r="L198" s="7" t="s">
        <v>1288</v>
      </c>
      <c r="M198" s="9">
        <v>139900</v>
      </c>
      <c r="N198" s="10">
        <f t="shared" si="11"/>
        <v>0.9</v>
      </c>
      <c r="O198" s="9">
        <f t="shared" si="9"/>
        <v>13989.999999999996</v>
      </c>
      <c r="P198" s="7" t="s">
        <v>16</v>
      </c>
    </row>
    <row r="199" spans="1:16" x14ac:dyDescent="0.25">
      <c r="A199" s="7" t="str">
        <f t="shared" si="10"/>
        <v>2022 ALL D90</v>
      </c>
      <c r="B199" s="8">
        <v>46099</v>
      </c>
      <c r="C199" s="8">
        <v>46113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76403157</v>
      </c>
      <c r="K199" s="7" t="s">
        <v>1284</v>
      </c>
      <c r="L199" s="7" t="s">
        <v>1289</v>
      </c>
      <c r="M199" s="9">
        <v>139900</v>
      </c>
      <c r="N199" s="10">
        <f t="shared" si="11"/>
        <v>0.9</v>
      </c>
      <c r="O199" s="9">
        <f t="shared" si="9"/>
        <v>13989.999999999996</v>
      </c>
      <c r="P199" s="7" t="s">
        <v>16</v>
      </c>
    </row>
    <row r="200" spans="1:16" x14ac:dyDescent="0.25">
      <c r="A200" s="7" t="str">
        <f t="shared" si="10"/>
        <v>2022 ALL D90</v>
      </c>
      <c r="B200" s="8">
        <v>46099</v>
      </c>
      <c r="C200" s="8">
        <v>46113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76174851</v>
      </c>
      <c r="K200" s="7" t="s">
        <v>1290</v>
      </c>
      <c r="L200" s="7" t="s">
        <v>1291</v>
      </c>
      <c r="M200" s="9">
        <v>139900</v>
      </c>
      <c r="N200" s="10">
        <f t="shared" si="11"/>
        <v>0.9</v>
      </c>
      <c r="O200" s="9">
        <f t="shared" si="9"/>
        <v>13989.999999999996</v>
      </c>
      <c r="P200" s="7" t="s">
        <v>16</v>
      </c>
    </row>
    <row r="201" spans="1:16" x14ac:dyDescent="0.25">
      <c r="A201" s="7" t="str">
        <f t="shared" si="10"/>
        <v>2022 ALL D90</v>
      </c>
      <c r="B201" s="8">
        <v>46099</v>
      </c>
      <c r="C201" s="8">
        <v>46113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76174860</v>
      </c>
      <c r="K201" s="7" t="s">
        <v>1290</v>
      </c>
      <c r="L201" s="7" t="s">
        <v>1292</v>
      </c>
      <c r="M201" s="9">
        <v>139900</v>
      </c>
      <c r="N201" s="10">
        <f t="shared" si="11"/>
        <v>0.9</v>
      </c>
      <c r="O201" s="9">
        <f t="shared" si="9"/>
        <v>13989.999999999996</v>
      </c>
      <c r="P201" s="7" t="s">
        <v>16</v>
      </c>
    </row>
    <row r="202" spans="1:16" x14ac:dyDescent="0.25">
      <c r="A202" s="7" t="str">
        <f t="shared" si="10"/>
        <v>2022 ALL D90</v>
      </c>
      <c r="B202" s="8">
        <v>46099</v>
      </c>
      <c r="C202" s="8">
        <v>46113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76174879</v>
      </c>
      <c r="K202" s="7" t="s">
        <v>1290</v>
      </c>
      <c r="L202" s="7" t="s">
        <v>1293</v>
      </c>
      <c r="M202" s="9">
        <v>139900</v>
      </c>
      <c r="N202" s="10">
        <f t="shared" si="11"/>
        <v>0.9</v>
      </c>
      <c r="O202" s="9">
        <f t="shared" si="9"/>
        <v>13989.999999999996</v>
      </c>
      <c r="P202" s="7" t="s">
        <v>16</v>
      </c>
    </row>
    <row r="203" spans="1:16" x14ac:dyDescent="0.25">
      <c r="A203" s="7" t="str">
        <f t="shared" si="10"/>
        <v>2022 ALL D90</v>
      </c>
      <c r="B203" s="8">
        <v>46099</v>
      </c>
      <c r="C203" s="8">
        <v>46113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76174888</v>
      </c>
      <c r="K203" s="7" t="s">
        <v>1290</v>
      </c>
      <c r="L203" s="7" t="s">
        <v>1294</v>
      </c>
      <c r="M203" s="9">
        <v>139900</v>
      </c>
      <c r="N203" s="10">
        <f t="shared" si="11"/>
        <v>0.9</v>
      </c>
      <c r="O203" s="9">
        <f t="shared" si="9"/>
        <v>13989.999999999996</v>
      </c>
      <c r="P203" s="7" t="s">
        <v>16</v>
      </c>
    </row>
    <row r="204" spans="1:16" x14ac:dyDescent="0.25">
      <c r="A204" s="7" t="str">
        <f t="shared" si="10"/>
        <v>2022 ALL D90</v>
      </c>
      <c r="B204" s="8">
        <v>46099</v>
      </c>
      <c r="C204" s="8">
        <v>46113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76174897</v>
      </c>
      <c r="K204" s="7" t="s">
        <v>1290</v>
      </c>
      <c r="L204" s="7" t="s">
        <v>1295</v>
      </c>
      <c r="M204" s="9">
        <v>139900</v>
      </c>
      <c r="N204" s="10">
        <f t="shared" si="11"/>
        <v>0.9</v>
      </c>
      <c r="O204" s="9">
        <f t="shared" si="9"/>
        <v>13989.999999999996</v>
      </c>
      <c r="P204" s="7" t="s">
        <v>16</v>
      </c>
    </row>
    <row r="205" spans="1:16" x14ac:dyDescent="0.25">
      <c r="A205" s="7" t="str">
        <f t="shared" si="10"/>
        <v>2022 ALL D90</v>
      </c>
      <c r="B205" s="8">
        <v>46099</v>
      </c>
      <c r="C205" s="8">
        <v>46113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76174904</v>
      </c>
      <c r="K205" s="7" t="s">
        <v>1296</v>
      </c>
      <c r="L205" s="7" t="s">
        <v>1297</v>
      </c>
      <c r="M205" s="9">
        <v>139900</v>
      </c>
      <c r="N205" s="10">
        <f t="shared" si="11"/>
        <v>0.9</v>
      </c>
      <c r="O205" s="9">
        <f t="shared" si="9"/>
        <v>13989.999999999996</v>
      </c>
      <c r="P205" s="7" t="s">
        <v>16</v>
      </c>
    </row>
    <row r="206" spans="1:16" x14ac:dyDescent="0.25">
      <c r="A206" s="7" t="str">
        <f t="shared" si="10"/>
        <v>2022 ALL D90</v>
      </c>
      <c r="B206" s="8">
        <v>46099</v>
      </c>
      <c r="C206" s="8">
        <v>46113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76174913</v>
      </c>
      <c r="K206" s="7" t="s">
        <v>1296</v>
      </c>
      <c r="L206" s="7" t="s">
        <v>1298</v>
      </c>
      <c r="M206" s="9">
        <v>139900</v>
      </c>
      <c r="N206" s="10">
        <f t="shared" si="11"/>
        <v>0.9</v>
      </c>
      <c r="O206" s="9">
        <f t="shared" si="9"/>
        <v>13989.999999999996</v>
      </c>
      <c r="P206" s="7" t="s">
        <v>16</v>
      </c>
    </row>
    <row r="207" spans="1:16" x14ac:dyDescent="0.25">
      <c r="A207" s="7" t="str">
        <f t="shared" si="10"/>
        <v>2022 ALL D90</v>
      </c>
      <c r="B207" s="8">
        <v>46099</v>
      </c>
      <c r="C207" s="8">
        <v>46113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76174922</v>
      </c>
      <c r="K207" s="7" t="s">
        <v>1296</v>
      </c>
      <c r="L207" s="7" t="s">
        <v>1299</v>
      </c>
      <c r="M207" s="9">
        <v>139900</v>
      </c>
      <c r="N207" s="10">
        <f t="shared" si="11"/>
        <v>0.9</v>
      </c>
      <c r="O207" s="9">
        <f t="shared" si="9"/>
        <v>13989.999999999996</v>
      </c>
      <c r="P207" s="7" t="s">
        <v>16</v>
      </c>
    </row>
    <row r="208" spans="1:16" x14ac:dyDescent="0.25">
      <c r="A208" s="7" t="str">
        <f t="shared" si="10"/>
        <v>2022 ALL D90</v>
      </c>
      <c r="B208" s="8">
        <v>46099</v>
      </c>
      <c r="C208" s="8">
        <v>46113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76174931</v>
      </c>
      <c r="K208" s="7" t="s">
        <v>1296</v>
      </c>
      <c r="L208" s="7" t="s">
        <v>1300</v>
      </c>
      <c r="M208" s="9">
        <v>139900</v>
      </c>
      <c r="N208" s="10">
        <f t="shared" si="11"/>
        <v>0.9</v>
      </c>
      <c r="O208" s="9">
        <f t="shared" si="9"/>
        <v>13989.999999999996</v>
      </c>
      <c r="P208" s="7" t="s">
        <v>16</v>
      </c>
    </row>
    <row r="209" spans="1:16" x14ac:dyDescent="0.25">
      <c r="A209" s="7" t="str">
        <f t="shared" si="10"/>
        <v>2022 ALL D90</v>
      </c>
      <c r="B209" s="8">
        <v>46099</v>
      </c>
      <c r="C209" s="8">
        <v>46113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76174940</v>
      </c>
      <c r="K209" s="7" t="s">
        <v>1296</v>
      </c>
      <c r="L209" s="7" t="s">
        <v>1301</v>
      </c>
      <c r="M209" s="9">
        <v>139900</v>
      </c>
      <c r="N209" s="10">
        <f t="shared" si="11"/>
        <v>0.9</v>
      </c>
      <c r="O209" s="9">
        <f t="shared" si="9"/>
        <v>13989.999999999996</v>
      </c>
      <c r="P209" s="7" t="s">
        <v>16</v>
      </c>
    </row>
    <row r="210" spans="1:16" x14ac:dyDescent="0.25">
      <c r="A210" s="7" t="str">
        <f t="shared" si="10"/>
        <v>2022 ALL D90</v>
      </c>
      <c r="B210" s="8">
        <v>46099</v>
      </c>
      <c r="C210" s="8">
        <v>46113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63286666</v>
      </c>
      <c r="K210" s="7" t="s">
        <v>1302</v>
      </c>
      <c r="L210" s="7" t="s">
        <v>1303</v>
      </c>
      <c r="M210" s="9">
        <v>129900</v>
      </c>
      <c r="N210" s="10">
        <f t="shared" si="11"/>
        <v>0.9</v>
      </c>
      <c r="O210" s="9">
        <f t="shared" si="9"/>
        <v>12989.999999999996</v>
      </c>
      <c r="P210" s="7" t="s">
        <v>16</v>
      </c>
    </row>
    <row r="211" spans="1:16" x14ac:dyDescent="0.25">
      <c r="A211" s="7" t="str">
        <f t="shared" si="10"/>
        <v>2022 ALL D90</v>
      </c>
      <c r="B211" s="8">
        <v>46099</v>
      </c>
      <c r="C211" s="8">
        <v>46113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63286675</v>
      </c>
      <c r="K211" s="7" t="s">
        <v>1302</v>
      </c>
      <c r="L211" s="7" t="s">
        <v>1304</v>
      </c>
      <c r="M211" s="9">
        <v>129900</v>
      </c>
      <c r="N211" s="10">
        <f t="shared" si="11"/>
        <v>0.9</v>
      </c>
      <c r="O211" s="9">
        <f t="shared" si="9"/>
        <v>12989.999999999996</v>
      </c>
      <c r="P211" s="7" t="s">
        <v>16</v>
      </c>
    </row>
    <row r="212" spans="1:16" x14ac:dyDescent="0.25">
      <c r="A212" s="7" t="str">
        <f t="shared" si="10"/>
        <v>2022 ALL D90</v>
      </c>
      <c r="B212" s="8">
        <v>46099</v>
      </c>
      <c r="C212" s="8">
        <v>46113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63286684</v>
      </c>
      <c r="K212" s="7" t="s">
        <v>1302</v>
      </c>
      <c r="L212" s="7" t="s">
        <v>1305</v>
      </c>
      <c r="M212" s="9">
        <v>129900</v>
      </c>
      <c r="N212" s="10">
        <f t="shared" si="11"/>
        <v>0.9</v>
      </c>
      <c r="O212" s="9">
        <f t="shared" si="9"/>
        <v>12989.999999999996</v>
      </c>
      <c r="P212" s="7" t="s">
        <v>16</v>
      </c>
    </row>
    <row r="213" spans="1:16" x14ac:dyDescent="0.25">
      <c r="A213" s="7" t="str">
        <f t="shared" si="10"/>
        <v>2022 ALL D90</v>
      </c>
      <c r="B213" s="8">
        <v>46099</v>
      </c>
      <c r="C213" s="8">
        <v>46113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63286693</v>
      </c>
      <c r="K213" s="7" t="s">
        <v>1302</v>
      </c>
      <c r="L213" s="7" t="s">
        <v>1306</v>
      </c>
      <c r="M213" s="9">
        <v>129900</v>
      </c>
      <c r="N213" s="10">
        <f t="shared" si="11"/>
        <v>0.9</v>
      </c>
      <c r="O213" s="9">
        <f t="shared" si="9"/>
        <v>12989.999999999996</v>
      </c>
      <c r="P213" s="7" t="s">
        <v>16</v>
      </c>
    </row>
    <row r="214" spans="1:16" x14ac:dyDescent="0.25">
      <c r="A214" s="7" t="str">
        <f t="shared" si="10"/>
        <v>2022 ALL D90</v>
      </c>
      <c r="B214" s="8">
        <v>46099</v>
      </c>
      <c r="C214" s="8">
        <v>46113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63286700</v>
      </c>
      <c r="K214" s="7" t="s">
        <v>1302</v>
      </c>
      <c r="L214" s="7" t="s">
        <v>1307</v>
      </c>
      <c r="M214" s="9">
        <v>129900</v>
      </c>
      <c r="N214" s="10">
        <f t="shared" si="11"/>
        <v>0.9</v>
      </c>
      <c r="O214" s="9">
        <f t="shared" si="9"/>
        <v>12989.999999999996</v>
      </c>
      <c r="P214" s="7" t="s">
        <v>16</v>
      </c>
    </row>
    <row r="215" spans="1:16" x14ac:dyDescent="0.25">
      <c r="A215" s="7" t="str">
        <f t="shared" si="10"/>
        <v>2022 ALL D90</v>
      </c>
      <c r="B215" s="8">
        <v>46099</v>
      </c>
      <c r="C215" s="8">
        <v>46113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63286764</v>
      </c>
      <c r="K215" s="7" t="s">
        <v>1308</v>
      </c>
      <c r="L215" s="7" t="s">
        <v>1309</v>
      </c>
      <c r="M215" s="9">
        <v>129900</v>
      </c>
      <c r="N215" s="10">
        <f t="shared" si="11"/>
        <v>0.9</v>
      </c>
      <c r="O215" s="9">
        <f t="shared" si="9"/>
        <v>12989.999999999996</v>
      </c>
      <c r="P215" s="7" t="s">
        <v>16</v>
      </c>
    </row>
    <row r="216" spans="1:16" x14ac:dyDescent="0.25">
      <c r="A216" s="7" t="str">
        <f t="shared" si="10"/>
        <v>2022 ALL D90</v>
      </c>
      <c r="B216" s="8">
        <v>46099</v>
      </c>
      <c r="C216" s="8">
        <v>46113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63286773</v>
      </c>
      <c r="K216" s="7" t="s">
        <v>1308</v>
      </c>
      <c r="L216" s="7" t="s">
        <v>1310</v>
      </c>
      <c r="M216" s="9">
        <v>129900</v>
      </c>
      <c r="N216" s="10">
        <f t="shared" si="11"/>
        <v>0.9</v>
      </c>
      <c r="O216" s="9">
        <f t="shared" si="9"/>
        <v>12989.999999999996</v>
      </c>
      <c r="P216" s="7" t="s">
        <v>16</v>
      </c>
    </row>
    <row r="217" spans="1:16" x14ac:dyDescent="0.25">
      <c r="A217" s="7" t="str">
        <f t="shared" si="10"/>
        <v>2022 ALL D90</v>
      </c>
      <c r="B217" s="8">
        <v>46099</v>
      </c>
      <c r="C217" s="8">
        <v>46113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63286791</v>
      </c>
      <c r="K217" s="7" t="s">
        <v>1308</v>
      </c>
      <c r="L217" s="7" t="s">
        <v>1311</v>
      </c>
      <c r="M217" s="9">
        <v>129900</v>
      </c>
      <c r="N217" s="10">
        <f t="shared" si="11"/>
        <v>0.9</v>
      </c>
      <c r="O217" s="9">
        <f t="shared" si="9"/>
        <v>12989.999999999996</v>
      </c>
      <c r="P217" s="7" t="s">
        <v>16</v>
      </c>
    </row>
    <row r="218" spans="1:16" x14ac:dyDescent="0.25">
      <c r="A218" s="7" t="str">
        <f t="shared" si="10"/>
        <v>2022 ALL D90</v>
      </c>
      <c r="B218" s="8">
        <v>46099</v>
      </c>
      <c r="C218" s="8">
        <v>46113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63286808</v>
      </c>
      <c r="K218" s="7" t="s">
        <v>1308</v>
      </c>
      <c r="L218" s="7" t="s">
        <v>1312</v>
      </c>
      <c r="M218" s="9">
        <v>129900</v>
      </c>
      <c r="N218" s="10">
        <f t="shared" si="11"/>
        <v>0.9</v>
      </c>
      <c r="O218" s="9">
        <f t="shared" si="9"/>
        <v>12989.999999999996</v>
      </c>
      <c r="P218" s="7" t="s">
        <v>16</v>
      </c>
    </row>
    <row r="219" spans="1:16" x14ac:dyDescent="0.25">
      <c r="A219" s="7" t="str">
        <f t="shared" si="10"/>
        <v>2022 ALL D90</v>
      </c>
      <c r="B219" s="8">
        <v>46099</v>
      </c>
      <c r="C219" s="8">
        <v>46113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63287012</v>
      </c>
      <c r="K219" s="7" t="s">
        <v>1313</v>
      </c>
      <c r="L219" s="7" t="s">
        <v>1314</v>
      </c>
      <c r="M219" s="9">
        <v>139900</v>
      </c>
      <c r="N219" s="10">
        <f t="shared" si="11"/>
        <v>0.9</v>
      </c>
      <c r="O219" s="9">
        <f t="shared" si="9"/>
        <v>13989.999999999996</v>
      </c>
      <c r="P219" s="7" t="s">
        <v>16</v>
      </c>
    </row>
    <row r="220" spans="1:16" x14ac:dyDescent="0.25">
      <c r="A220" s="7" t="str">
        <f t="shared" si="10"/>
        <v>2022 ALL D90</v>
      </c>
      <c r="B220" s="8">
        <v>46099</v>
      </c>
      <c r="C220" s="8">
        <v>46113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63287021</v>
      </c>
      <c r="K220" s="7" t="s">
        <v>1313</v>
      </c>
      <c r="L220" s="7" t="s">
        <v>1315</v>
      </c>
      <c r="M220" s="9">
        <v>139900</v>
      </c>
      <c r="N220" s="10">
        <f t="shared" si="11"/>
        <v>0.9</v>
      </c>
      <c r="O220" s="9">
        <f t="shared" si="9"/>
        <v>13989.999999999996</v>
      </c>
      <c r="P220" s="7" t="s">
        <v>16</v>
      </c>
    </row>
    <row r="221" spans="1:16" x14ac:dyDescent="0.25">
      <c r="A221" s="7" t="str">
        <f t="shared" si="10"/>
        <v>2022 ALL D90</v>
      </c>
      <c r="B221" s="8">
        <v>46099</v>
      </c>
      <c r="C221" s="8">
        <v>46113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63287049</v>
      </c>
      <c r="K221" s="7" t="s">
        <v>1313</v>
      </c>
      <c r="L221" s="7" t="s">
        <v>1316</v>
      </c>
      <c r="M221" s="9">
        <v>139900</v>
      </c>
      <c r="N221" s="10">
        <f t="shared" si="11"/>
        <v>0.9</v>
      </c>
      <c r="O221" s="9">
        <f t="shared" si="9"/>
        <v>13989.999999999996</v>
      </c>
      <c r="P221" s="7" t="s">
        <v>16</v>
      </c>
    </row>
    <row r="222" spans="1:16" x14ac:dyDescent="0.25">
      <c r="A222" s="7" t="str">
        <f t="shared" si="10"/>
        <v>2022 ALL D90</v>
      </c>
      <c r="B222" s="8">
        <v>46099</v>
      </c>
      <c r="C222" s="8">
        <v>46113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63286568</v>
      </c>
      <c r="K222" s="7" t="s">
        <v>1317</v>
      </c>
      <c r="L222" s="7" t="s">
        <v>1318</v>
      </c>
      <c r="M222" s="9">
        <v>139900</v>
      </c>
      <c r="N222" s="10">
        <f t="shared" si="11"/>
        <v>0.9</v>
      </c>
      <c r="O222" s="9">
        <f t="shared" si="9"/>
        <v>13989.999999999996</v>
      </c>
      <c r="P222" s="7" t="s">
        <v>16</v>
      </c>
    </row>
    <row r="223" spans="1:16" x14ac:dyDescent="0.25">
      <c r="A223" s="7" t="str">
        <f t="shared" si="10"/>
        <v>2022 ALL D90</v>
      </c>
      <c r="B223" s="8">
        <v>46099</v>
      </c>
      <c r="C223" s="8">
        <v>46113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63286577</v>
      </c>
      <c r="K223" s="7" t="s">
        <v>1317</v>
      </c>
      <c r="L223" s="7" t="s">
        <v>1319</v>
      </c>
      <c r="M223" s="9">
        <v>139900</v>
      </c>
      <c r="N223" s="10">
        <f t="shared" si="11"/>
        <v>0.9</v>
      </c>
      <c r="O223" s="9">
        <f t="shared" si="9"/>
        <v>13989.999999999996</v>
      </c>
      <c r="P223" s="7" t="s">
        <v>16</v>
      </c>
    </row>
    <row r="224" spans="1:16" x14ac:dyDescent="0.25">
      <c r="A224" s="7" t="str">
        <f t="shared" si="10"/>
        <v>2022 ALL D90</v>
      </c>
      <c r="B224" s="8">
        <v>46099</v>
      </c>
      <c r="C224" s="8">
        <v>46113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63286586</v>
      </c>
      <c r="K224" s="7" t="s">
        <v>1317</v>
      </c>
      <c r="L224" s="7" t="s">
        <v>1320</v>
      </c>
      <c r="M224" s="9">
        <v>139900</v>
      </c>
      <c r="N224" s="10">
        <f t="shared" si="11"/>
        <v>0.9</v>
      </c>
      <c r="O224" s="9">
        <f t="shared" si="9"/>
        <v>13989.999999999996</v>
      </c>
      <c r="P224" s="7" t="s">
        <v>16</v>
      </c>
    </row>
    <row r="225" spans="1:16" x14ac:dyDescent="0.25">
      <c r="A225" s="7" t="str">
        <f t="shared" si="10"/>
        <v>2022 ALL D90</v>
      </c>
      <c r="B225" s="8">
        <v>46099</v>
      </c>
      <c r="C225" s="8">
        <v>46113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63286595</v>
      </c>
      <c r="K225" s="7" t="s">
        <v>1317</v>
      </c>
      <c r="L225" s="7" t="s">
        <v>1321</v>
      </c>
      <c r="M225" s="9">
        <v>139900</v>
      </c>
      <c r="N225" s="10">
        <f t="shared" si="11"/>
        <v>0.9</v>
      </c>
      <c r="O225" s="9">
        <f t="shared" si="9"/>
        <v>13989.999999999996</v>
      </c>
      <c r="P225" s="7" t="s">
        <v>16</v>
      </c>
    </row>
    <row r="226" spans="1:16" x14ac:dyDescent="0.25">
      <c r="A226" s="7" t="str">
        <f t="shared" si="10"/>
        <v>2022 ALL D90</v>
      </c>
      <c r="B226" s="8">
        <v>46099</v>
      </c>
      <c r="C226" s="8">
        <v>46113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63286602</v>
      </c>
      <c r="K226" s="7" t="s">
        <v>1317</v>
      </c>
      <c r="L226" s="7" t="s">
        <v>1322</v>
      </c>
      <c r="M226" s="9">
        <v>139900</v>
      </c>
      <c r="N226" s="10">
        <f t="shared" si="11"/>
        <v>0.9</v>
      </c>
      <c r="O226" s="9">
        <f t="shared" si="9"/>
        <v>13989.999999999996</v>
      </c>
      <c r="P226" s="7" t="s">
        <v>16</v>
      </c>
    </row>
    <row r="227" spans="1:16" x14ac:dyDescent="0.25">
      <c r="A227" s="7" t="str">
        <f t="shared" si="10"/>
        <v>2022 ALL D90</v>
      </c>
      <c r="B227" s="8">
        <v>46099</v>
      </c>
      <c r="C227" s="8">
        <v>46113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63286817</v>
      </c>
      <c r="K227" s="7" t="s">
        <v>1323</v>
      </c>
      <c r="L227" s="7" t="s">
        <v>1324</v>
      </c>
      <c r="M227" s="9">
        <v>139900</v>
      </c>
      <c r="N227" s="10">
        <f t="shared" si="11"/>
        <v>0.9</v>
      </c>
      <c r="O227" s="9">
        <f t="shared" si="9"/>
        <v>13989.999999999996</v>
      </c>
      <c r="P227" s="7" t="s">
        <v>16</v>
      </c>
    </row>
    <row r="228" spans="1:16" x14ac:dyDescent="0.25">
      <c r="A228" s="7" t="str">
        <f t="shared" si="10"/>
        <v>2022 ALL D90</v>
      </c>
      <c r="B228" s="8">
        <v>46099</v>
      </c>
      <c r="C228" s="8">
        <v>46113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63286826</v>
      </c>
      <c r="K228" s="7" t="s">
        <v>1323</v>
      </c>
      <c r="L228" s="7" t="s">
        <v>1325</v>
      </c>
      <c r="M228" s="9">
        <v>139900</v>
      </c>
      <c r="N228" s="10">
        <f t="shared" si="11"/>
        <v>0.9</v>
      </c>
      <c r="O228" s="9">
        <f t="shared" si="9"/>
        <v>13989.999999999996</v>
      </c>
      <c r="P228" s="7" t="s">
        <v>16</v>
      </c>
    </row>
    <row r="229" spans="1:16" x14ac:dyDescent="0.25">
      <c r="A229" s="7" t="str">
        <f t="shared" si="10"/>
        <v>2022 ALL D90</v>
      </c>
      <c r="B229" s="8">
        <v>46099</v>
      </c>
      <c r="C229" s="8">
        <v>46113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63286835</v>
      </c>
      <c r="K229" s="7" t="s">
        <v>1323</v>
      </c>
      <c r="L229" s="7" t="s">
        <v>1326</v>
      </c>
      <c r="M229" s="9">
        <v>139900</v>
      </c>
      <c r="N229" s="10">
        <f t="shared" si="11"/>
        <v>0.9</v>
      </c>
      <c r="O229" s="9">
        <f t="shared" si="9"/>
        <v>13989.999999999996</v>
      </c>
      <c r="P229" s="7" t="s">
        <v>16</v>
      </c>
    </row>
    <row r="230" spans="1:16" x14ac:dyDescent="0.25">
      <c r="A230" s="7" t="str">
        <f t="shared" si="10"/>
        <v>2022 ALL D90</v>
      </c>
      <c r="B230" s="8">
        <v>46099</v>
      </c>
      <c r="C230" s="8">
        <v>46113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63286844</v>
      </c>
      <c r="K230" s="7" t="s">
        <v>1323</v>
      </c>
      <c r="L230" s="7" t="s">
        <v>1327</v>
      </c>
      <c r="M230" s="9">
        <v>139900</v>
      </c>
      <c r="N230" s="10">
        <f t="shared" si="11"/>
        <v>0.9</v>
      </c>
      <c r="O230" s="9">
        <f t="shared" si="9"/>
        <v>13989.999999999996</v>
      </c>
      <c r="P230" s="7" t="s">
        <v>16</v>
      </c>
    </row>
    <row r="231" spans="1:16" x14ac:dyDescent="0.25">
      <c r="A231" s="7" t="str">
        <f t="shared" si="10"/>
        <v>2022 ALL D90</v>
      </c>
      <c r="B231" s="8">
        <v>46099</v>
      </c>
      <c r="C231" s="8">
        <v>46113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63286853</v>
      </c>
      <c r="K231" s="7" t="s">
        <v>1323</v>
      </c>
      <c r="L231" s="7" t="s">
        <v>1328</v>
      </c>
      <c r="M231" s="9">
        <v>139900</v>
      </c>
      <c r="N231" s="10">
        <f t="shared" si="11"/>
        <v>0.9</v>
      </c>
      <c r="O231" s="9">
        <f t="shared" si="9"/>
        <v>13989.999999999996</v>
      </c>
      <c r="P231" s="7" t="s">
        <v>16</v>
      </c>
    </row>
    <row r="232" spans="1:16" x14ac:dyDescent="0.25">
      <c r="A232" s="7" t="str">
        <f t="shared" si="10"/>
        <v>2022 ALL D90</v>
      </c>
      <c r="B232" s="8">
        <v>46099</v>
      </c>
      <c r="C232" s="8">
        <v>46113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64350825</v>
      </c>
      <c r="K232" s="7" t="s">
        <v>1329</v>
      </c>
      <c r="L232" s="7" t="s">
        <v>1330</v>
      </c>
      <c r="M232" s="9">
        <v>139900</v>
      </c>
      <c r="N232" s="10">
        <f t="shared" si="11"/>
        <v>0.9</v>
      </c>
      <c r="O232" s="9">
        <f t="shared" si="9"/>
        <v>13989.999999999996</v>
      </c>
      <c r="P232" s="7" t="s">
        <v>16</v>
      </c>
    </row>
    <row r="233" spans="1:16" x14ac:dyDescent="0.25">
      <c r="A233" s="7" t="str">
        <f t="shared" si="10"/>
        <v>2022 ALL D90</v>
      </c>
      <c r="B233" s="8">
        <v>46099</v>
      </c>
      <c r="C233" s="8">
        <v>46113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64350834</v>
      </c>
      <c r="K233" s="7" t="s">
        <v>1329</v>
      </c>
      <c r="L233" s="7" t="s">
        <v>1331</v>
      </c>
      <c r="M233" s="9">
        <v>139900</v>
      </c>
      <c r="N233" s="10">
        <f t="shared" si="11"/>
        <v>0.9</v>
      </c>
      <c r="O233" s="9">
        <f t="shared" si="9"/>
        <v>13989.999999999996</v>
      </c>
      <c r="P233" s="7" t="s">
        <v>16</v>
      </c>
    </row>
    <row r="234" spans="1:16" x14ac:dyDescent="0.25">
      <c r="A234" s="7" t="str">
        <f t="shared" si="10"/>
        <v>2022 ALL D90</v>
      </c>
      <c r="B234" s="8">
        <v>46099</v>
      </c>
      <c r="C234" s="8">
        <v>46113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64350843</v>
      </c>
      <c r="K234" s="7" t="s">
        <v>1329</v>
      </c>
      <c r="L234" s="7" t="s">
        <v>1332</v>
      </c>
      <c r="M234" s="9">
        <v>139900</v>
      </c>
      <c r="N234" s="10">
        <f t="shared" si="11"/>
        <v>0.9</v>
      </c>
      <c r="O234" s="9">
        <f t="shared" si="9"/>
        <v>13989.999999999996</v>
      </c>
      <c r="P234" s="7" t="s">
        <v>16</v>
      </c>
    </row>
    <row r="235" spans="1:16" x14ac:dyDescent="0.25">
      <c r="A235" s="7" t="str">
        <f t="shared" si="10"/>
        <v>2022 ALL D90</v>
      </c>
      <c r="B235" s="8">
        <v>46099</v>
      </c>
      <c r="C235" s="8">
        <v>46113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64350852</v>
      </c>
      <c r="K235" s="7" t="s">
        <v>1329</v>
      </c>
      <c r="L235" s="7" t="s">
        <v>1333</v>
      </c>
      <c r="M235" s="9">
        <v>139900</v>
      </c>
      <c r="N235" s="10">
        <f t="shared" si="11"/>
        <v>0.9</v>
      </c>
      <c r="O235" s="9">
        <f t="shared" si="9"/>
        <v>13989.999999999996</v>
      </c>
      <c r="P235" s="7" t="s">
        <v>16</v>
      </c>
    </row>
    <row r="236" spans="1:16" x14ac:dyDescent="0.25">
      <c r="A236" s="7" t="str">
        <f t="shared" si="10"/>
        <v>2022 ALL D90</v>
      </c>
      <c r="B236" s="8">
        <v>46099</v>
      </c>
      <c r="C236" s="8">
        <v>46113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64350861</v>
      </c>
      <c r="K236" s="7" t="s">
        <v>1329</v>
      </c>
      <c r="L236" s="7" t="s">
        <v>1334</v>
      </c>
      <c r="M236" s="9">
        <v>139900</v>
      </c>
      <c r="N236" s="10">
        <f t="shared" si="11"/>
        <v>0.9</v>
      </c>
      <c r="O236" s="9">
        <f t="shared" si="9"/>
        <v>13989.999999999996</v>
      </c>
      <c r="P236" s="7" t="s">
        <v>16</v>
      </c>
    </row>
    <row r="237" spans="1:16" x14ac:dyDescent="0.25">
      <c r="A237" s="7" t="str">
        <f t="shared" si="10"/>
        <v>2022 ALL D90</v>
      </c>
      <c r="B237" s="8">
        <v>46099</v>
      </c>
      <c r="C237" s="8">
        <v>46113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76550597</v>
      </c>
      <c r="K237" s="7" t="s">
        <v>1335</v>
      </c>
      <c r="L237" s="7" t="s">
        <v>1336</v>
      </c>
      <c r="M237" s="9">
        <v>139900</v>
      </c>
      <c r="N237" s="10">
        <f t="shared" si="11"/>
        <v>0.9</v>
      </c>
      <c r="O237" s="9">
        <f t="shared" si="9"/>
        <v>13989.999999999996</v>
      </c>
      <c r="P237" s="7" t="s">
        <v>16</v>
      </c>
    </row>
    <row r="238" spans="1:16" x14ac:dyDescent="0.25">
      <c r="A238" s="7" t="str">
        <f t="shared" si="10"/>
        <v>2022 ALL D90</v>
      </c>
      <c r="B238" s="8">
        <v>46099</v>
      </c>
      <c r="C238" s="8">
        <v>46113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76550604</v>
      </c>
      <c r="K238" s="7" t="s">
        <v>1335</v>
      </c>
      <c r="L238" s="7" t="s">
        <v>1337</v>
      </c>
      <c r="M238" s="9">
        <v>139900</v>
      </c>
      <c r="N238" s="10">
        <f t="shared" si="11"/>
        <v>0.9</v>
      </c>
      <c r="O238" s="9">
        <f t="shared" si="9"/>
        <v>13989.999999999996</v>
      </c>
      <c r="P238" s="7" t="s">
        <v>16</v>
      </c>
    </row>
    <row r="239" spans="1:16" x14ac:dyDescent="0.25">
      <c r="A239" s="7" t="str">
        <f t="shared" si="10"/>
        <v>2022 ALL D90</v>
      </c>
      <c r="B239" s="8">
        <v>46099</v>
      </c>
      <c r="C239" s="8">
        <v>46113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76550613</v>
      </c>
      <c r="K239" s="7" t="s">
        <v>1335</v>
      </c>
      <c r="L239" s="7" t="s">
        <v>1338</v>
      </c>
      <c r="M239" s="9">
        <v>139900</v>
      </c>
      <c r="N239" s="10">
        <f t="shared" si="11"/>
        <v>0.9</v>
      </c>
      <c r="O239" s="9">
        <f t="shared" si="9"/>
        <v>13989.999999999996</v>
      </c>
      <c r="P239" s="7" t="s">
        <v>16</v>
      </c>
    </row>
    <row r="240" spans="1:16" x14ac:dyDescent="0.25">
      <c r="A240" s="7" t="str">
        <f t="shared" si="10"/>
        <v>2022 ALL D90</v>
      </c>
      <c r="B240" s="8">
        <v>46099</v>
      </c>
      <c r="C240" s="8">
        <v>46113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76550622</v>
      </c>
      <c r="K240" s="7" t="s">
        <v>1335</v>
      </c>
      <c r="L240" s="7" t="s">
        <v>1339</v>
      </c>
      <c r="M240" s="9">
        <v>139900</v>
      </c>
      <c r="N240" s="10">
        <f t="shared" si="11"/>
        <v>0.9</v>
      </c>
      <c r="O240" s="9">
        <f t="shared" si="9"/>
        <v>13989.999999999996</v>
      </c>
      <c r="P240" s="7" t="s">
        <v>16</v>
      </c>
    </row>
    <row r="241" spans="1:16" x14ac:dyDescent="0.25">
      <c r="A241" s="7" t="str">
        <f t="shared" si="10"/>
        <v>2022 ALL D90</v>
      </c>
      <c r="B241" s="8">
        <v>46099</v>
      </c>
      <c r="C241" s="8">
        <v>46113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76550631</v>
      </c>
      <c r="K241" s="7" t="s">
        <v>1335</v>
      </c>
      <c r="L241" s="7" t="s">
        <v>1340</v>
      </c>
      <c r="M241" s="9">
        <v>139900</v>
      </c>
      <c r="N241" s="10">
        <f t="shared" si="11"/>
        <v>0.9</v>
      </c>
      <c r="O241" s="9">
        <f t="shared" si="9"/>
        <v>13989.999999999996</v>
      </c>
      <c r="P241" s="7" t="s">
        <v>16</v>
      </c>
    </row>
    <row r="242" spans="1:16" x14ac:dyDescent="0.25">
      <c r="A242" s="7" t="str">
        <f t="shared" si="10"/>
        <v>2022 ALL D90</v>
      </c>
      <c r="B242" s="8">
        <v>46099</v>
      </c>
      <c r="C242" s="8">
        <v>46113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75233459</v>
      </c>
      <c r="K242" s="7" t="s">
        <v>1341</v>
      </c>
      <c r="L242" s="7" t="s">
        <v>1342</v>
      </c>
      <c r="M242" s="9">
        <v>139900</v>
      </c>
      <c r="N242" s="10">
        <f t="shared" si="11"/>
        <v>0.9</v>
      </c>
      <c r="O242" s="9">
        <f t="shared" si="9"/>
        <v>13989.999999999996</v>
      </c>
      <c r="P242" s="7" t="s">
        <v>16</v>
      </c>
    </row>
    <row r="243" spans="1:16" x14ac:dyDescent="0.25">
      <c r="A243" s="7" t="str">
        <f t="shared" si="10"/>
        <v>2022 ALL D90</v>
      </c>
      <c r="B243" s="8">
        <v>46099</v>
      </c>
      <c r="C243" s="8">
        <v>46113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75233468</v>
      </c>
      <c r="K243" s="7" t="s">
        <v>1341</v>
      </c>
      <c r="L243" s="7" t="s">
        <v>1343</v>
      </c>
      <c r="M243" s="9">
        <v>139900</v>
      </c>
      <c r="N243" s="10">
        <f t="shared" si="11"/>
        <v>0.9</v>
      </c>
      <c r="O243" s="9">
        <f t="shared" si="9"/>
        <v>13989.999999999996</v>
      </c>
      <c r="P243" s="7" t="s">
        <v>16</v>
      </c>
    </row>
    <row r="244" spans="1:16" x14ac:dyDescent="0.25">
      <c r="A244" s="7" t="str">
        <f t="shared" si="10"/>
        <v>2022 ALL D90</v>
      </c>
      <c r="B244" s="8">
        <v>46099</v>
      </c>
      <c r="C244" s="8">
        <v>46113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75233477</v>
      </c>
      <c r="K244" s="7" t="s">
        <v>1341</v>
      </c>
      <c r="L244" s="7" t="s">
        <v>1344</v>
      </c>
      <c r="M244" s="9">
        <v>139900</v>
      </c>
      <c r="N244" s="10">
        <f t="shared" si="11"/>
        <v>0.9</v>
      </c>
      <c r="O244" s="9">
        <f t="shared" si="9"/>
        <v>13989.999999999996</v>
      </c>
      <c r="P244" s="7" t="s">
        <v>16</v>
      </c>
    </row>
    <row r="245" spans="1:16" x14ac:dyDescent="0.25">
      <c r="A245" s="7" t="str">
        <f t="shared" si="10"/>
        <v>2022 ALL D90</v>
      </c>
      <c r="B245" s="8">
        <v>46099</v>
      </c>
      <c r="C245" s="8">
        <v>46113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75233486</v>
      </c>
      <c r="K245" s="7" t="s">
        <v>1341</v>
      </c>
      <c r="L245" s="7" t="s">
        <v>1345</v>
      </c>
      <c r="M245" s="9">
        <v>139900</v>
      </c>
      <c r="N245" s="10">
        <f t="shared" si="11"/>
        <v>0.9</v>
      </c>
      <c r="O245" s="9">
        <f t="shared" si="9"/>
        <v>13989.999999999996</v>
      </c>
      <c r="P245" s="7" t="s">
        <v>16</v>
      </c>
    </row>
    <row r="246" spans="1:16" x14ac:dyDescent="0.25">
      <c r="A246" s="7" t="str">
        <f t="shared" si="10"/>
        <v>2022 ALL D90</v>
      </c>
      <c r="B246" s="8">
        <v>46099</v>
      </c>
      <c r="C246" s="8">
        <v>46113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75233495</v>
      </c>
      <c r="K246" s="7" t="s">
        <v>1341</v>
      </c>
      <c r="L246" s="7" t="s">
        <v>1346</v>
      </c>
      <c r="M246" s="9">
        <v>139900</v>
      </c>
      <c r="N246" s="10">
        <f t="shared" si="11"/>
        <v>0.9</v>
      </c>
      <c r="O246" s="9">
        <f t="shared" si="9"/>
        <v>13989.999999999996</v>
      </c>
      <c r="P246" s="7" t="s">
        <v>16</v>
      </c>
    </row>
    <row r="247" spans="1:16" x14ac:dyDescent="0.25">
      <c r="A247" s="7" t="str">
        <f t="shared" si="10"/>
        <v>2022 ALL D90</v>
      </c>
      <c r="B247" s="8">
        <v>46099</v>
      </c>
      <c r="C247" s="8">
        <v>46113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75233502</v>
      </c>
      <c r="K247" s="7" t="s">
        <v>1347</v>
      </c>
      <c r="L247" s="7" t="s">
        <v>1348</v>
      </c>
      <c r="M247" s="9">
        <v>139900</v>
      </c>
      <c r="N247" s="10">
        <f t="shared" si="11"/>
        <v>0.9</v>
      </c>
      <c r="O247" s="9">
        <f t="shared" si="9"/>
        <v>13989.999999999996</v>
      </c>
      <c r="P247" s="7" t="s">
        <v>16</v>
      </c>
    </row>
    <row r="248" spans="1:16" x14ac:dyDescent="0.25">
      <c r="A248" s="7" t="str">
        <f t="shared" si="10"/>
        <v>2022 ALL D90</v>
      </c>
      <c r="B248" s="8">
        <v>46099</v>
      </c>
      <c r="C248" s="8">
        <v>46113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75233511</v>
      </c>
      <c r="K248" s="7" t="s">
        <v>1347</v>
      </c>
      <c r="L248" s="7" t="s">
        <v>1349</v>
      </c>
      <c r="M248" s="9">
        <v>139900</v>
      </c>
      <c r="N248" s="10">
        <f t="shared" si="11"/>
        <v>0.9</v>
      </c>
      <c r="O248" s="9">
        <f t="shared" si="9"/>
        <v>13989.999999999996</v>
      </c>
      <c r="P248" s="7" t="s">
        <v>16</v>
      </c>
    </row>
    <row r="249" spans="1:16" x14ac:dyDescent="0.25">
      <c r="A249" s="7" t="str">
        <f t="shared" si="10"/>
        <v>2022 ALL D90</v>
      </c>
      <c r="B249" s="8">
        <v>46099</v>
      </c>
      <c r="C249" s="8">
        <v>46113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75233520</v>
      </c>
      <c r="K249" s="7" t="s">
        <v>1347</v>
      </c>
      <c r="L249" s="7" t="s">
        <v>1350</v>
      </c>
      <c r="M249" s="9">
        <v>139900</v>
      </c>
      <c r="N249" s="10">
        <f t="shared" si="11"/>
        <v>0.9</v>
      </c>
      <c r="O249" s="9">
        <f t="shared" si="9"/>
        <v>13989.999999999996</v>
      </c>
      <c r="P249" s="7" t="s">
        <v>16</v>
      </c>
    </row>
    <row r="250" spans="1:16" x14ac:dyDescent="0.25">
      <c r="A250" s="7" t="str">
        <f t="shared" si="10"/>
        <v>2022 ALL D90</v>
      </c>
      <c r="B250" s="8">
        <v>46099</v>
      </c>
      <c r="C250" s="8">
        <v>46113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75233539</v>
      </c>
      <c r="K250" s="7" t="s">
        <v>1347</v>
      </c>
      <c r="L250" s="7" t="s">
        <v>1351</v>
      </c>
      <c r="M250" s="9">
        <v>139900</v>
      </c>
      <c r="N250" s="10">
        <f t="shared" si="11"/>
        <v>0.9</v>
      </c>
      <c r="O250" s="9">
        <f t="shared" si="9"/>
        <v>13989.999999999996</v>
      </c>
      <c r="P250" s="7" t="s">
        <v>16</v>
      </c>
    </row>
    <row r="251" spans="1:16" x14ac:dyDescent="0.25">
      <c r="A251" s="7" t="str">
        <f t="shared" si="10"/>
        <v>2022 ALL D90</v>
      </c>
      <c r="B251" s="8">
        <v>46099</v>
      </c>
      <c r="C251" s="8">
        <v>46113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75233548</v>
      </c>
      <c r="K251" s="7" t="s">
        <v>1347</v>
      </c>
      <c r="L251" s="7" t="s">
        <v>1352</v>
      </c>
      <c r="M251" s="9">
        <v>139900</v>
      </c>
      <c r="N251" s="10">
        <f t="shared" si="11"/>
        <v>0.9</v>
      </c>
      <c r="O251" s="9">
        <f t="shared" si="9"/>
        <v>13989.999999999996</v>
      </c>
      <c r="P251" s="7" t="s">
        <v>16</v>
      </c>
    </row>
    <row r="252" spans="1:16" x14ac:dyDescent="0.25">
      <c r="A252" s="7" t="str">
        <f t="shared" si="10"/>
        <v>2022 ALL D90</v>
      </c>
      <c r="B252" s="8">
        <v>46099</v>
      </c>
      <c r="C252" s="8">
        <v>46113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76299226</v>
      </c>
      <c r="K252" s="7" t="s">
        <v>1353</v>
      </c>
      <c r="L252" s="7" t="s">
        <v>1354</v>
      </c>
      <c r="M252" s="9">
        <v>139900</v>
      </c>
      <c r="N252" s="10">
        <f t="shared" si="11"/>
        <v>0.9</v>
      </c>
      <c r="O252" s="9">
        <f t="shared" si="9"/>
        <v>13989.999999999996</v>
      </c>
      <c r="P252" s="7" t="s">
        <v>16</v>
      </c>
    </row>
    <row r="253" spans="1:16" x14ac:dyDescent="0.25">
      <c r="A253" s="7" t="str">
        <f t="shared" si="10"/>
        <v>2022 ALL D90</v>
      </c>
      <c r="B253" s="8">
        <v>46099</v>
      </c>
      <c r="C253" s="8">
        <v>46113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76394917</v>
      </c>
      <c r="K253" s="7" t="s">
        <v>1353</v>
      </c>
      <c r="L253" s="7" t="s">
        <v>1355</v>
      </c>
      <c r="M253" s="9">
        <v>139900</v>
      </c>
      <c r="N253" s="10">
        <f t="shared" si="11"/>
        <v>0.9</v>
      </c>
      <c r="O253" s="9">
        <f t="shared" si="9"/>
        <v>13989.999999999996</v>
      </c>
      <c r="P253" s="7" t="s">
        <v>16</v>
      </c>
    </row>
    <row r="254" spans="1:16" x14ac:dyDescent="0.25">
      <c r="A254" s="7" t="str">
        <f t="shared" si="10"/>
        <v>2022 ALL D90</v>
      </c>
      <c r="B254" s="8">
        <v>46099</v>
      </c>
      <c r="C254" s="8">
        <v>46113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76394926</v>
      </c>
      <c r="K254" s="7" t="s">
        <v>1353</v>
      </c>
      <c r="L254" s="7" t="s">
        <v>1356</v>
      </c>
      <c r="M254" s="9">
        <v>139900</v>
      </c>
      <c r="N254" s="10">
        <f t="shared" si="11"/>
        <v>0.9</v>
      </c>
      <c r="O254" s="9">
        <f t="shared" si="9"/>
        <v>13989.999999999996</v>
      </c>
      <c r="P254" s="7" t="s">
        <v>16</v>
      </c>
    </row>
    <row r="255" spans="1:16" x14ac:dyDescent="0.25">
      <c r="A255" s="7" t="str">
        <f t="shared" si="10"/>
        <v>2022 ALL D90</v>
      </c>
      <c r="B255" s="8">
        <v>46099</v>
      </c>
      <c r="C255" s="8">
        <v>46113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76394944</v>
      </c>
      <c r="K255" s="7" t="s">
        <v>1353</v>
      </c>
      <c r="L255" s="7" t="s">
        <v>1357</v>
      </c>
      <c r="M255" s="9">
        <v>139900</v>
      </c>
      <c r="N255" s="10">
        <f t="shared" si="11"/>
        <v>0.9</v>
      </c>
      <c r="O255" s="9">
        <f t="shared" si="9"/>
        <v>13989.999999999996</v>
      </c>
      <c r="P255" s="7" t="s">
        <v>16</v>
      </c>
    </row>
    <row r="256" spans="1:16" x14ac:dyDescent="0.25">
      <c r="A256" s="7" t="str">
        <f t="shared" si="10"/>
        <v>2022 ALL D90</v>
      </c>
      <c r="B256" s="8">
        <v>46099</v>
      </c>
      <c r="C256" s="8">
        <v>46113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76299235</v>
      </c>
      <c r="K256" s="7" t="s">
        <v>1358</v>
      </c>
      <c r="L256" s="7" t="s">
        <v>1359</v>
      </c>
      <c r="M256" s="9">
        <v>139900</v>
      </c>
      <c r="N256" s="10">
        <f t="shared" si="11"/>
        <v>0.9</v>
      </c>
      <c r="O256" s="9">
        <f t="shared" si="9"/>
        <v>13989.999999999996</v>
      </c>
      <c r="P256" s="7" t="s">
        <v>16</v>
      </c>
    </row>
    <row r="257" spans="1:16" x14ac:dyDescent="0.25">
      <c r="A257" s="7" t="str">
        <f t="shared" si="10"/>
        <v>2022 ALL D90</v>
      </c>
      <c r="B257" s="8">
        <v>46099</v>
      </c>
      <c r="C257" s="8">
        <v>46113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76394953</v>
      </c>
      <c r="K257" s="7" t="s">
        <v>1358</v>
      </c>
      <c r="L257" s="7" t="s">
        <v>1360</v>
      </c>
      <c r="M257" s="9">
        <v>139900</v>
      </c>
      <c r="N257" s="10">
        <f t="shared" si="11"/>
        <v>0.9</v>
      </c>
      <c r="O257" s="9">
        <f t="shared" si="9"/>
        <v>13989.999999999996</v>
      </c>
      <c r="P257" s="7" t="s">
        <v>16</v>
      </c>
    </row>
    <row r="258" spans="1:16" x14ac:dyDescent="0.25">
      <c r="A258" s="7" t="str">
        <f t="shared" si="10"/>
        <v>2022 ALL D90</v>
      </c>
      <c r="B258" s="8">
        <v>46099</v>
      </c>
      <c r="C258" s="8">
        <v>46113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76394962</v>
      </c>
      <c r="K258" s="7" t="s">
        <v>1358</v>
      </c>
      <c r="L258" s="7" t="s">
        <v>1361</v>
      </c>
      <c r="M258" s="9">
        <v>139900</v>
      </c>
      <c r="N258" s="10">
        <f t="shared" si="11"/>
        <v>0.9</v>
      </c>
      <c r="O258" s="9">
        <f t="shared" si="9"/>
        <v>13989.999999999996</v>
      </c>
      <c r="P258" s="7" t="s">
        <v>16</v>
      </c>
    </row>
    <row r="259" spans="1:16" x14ac:dyDescent="0.25">
      <c r="A259" s="7" t="str">
        <f t="shared" si="10"/>
        <v>2022 ALL D90</v>
      </c>
      <c r="B259" s="8">
        <v>46099</v>
      </c>
      <c r="C259" s="8">
        <v>46113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76394971</v>
      </c>
      <c r="K259" s="7" t="s">
        <v>1358</v>
      </c>
      <c r="L259" s="7" t="s">
        <v>1362</v>
      </c>
      <c r="M259" s="9">
        <v>139900</v>
      </c>
      <c r="N259" s="10">
        <f t="shared" si="11"/>
        <v>0.9</v>
      </c>
      <c r="O259" s="9">
        <f t="shared" ref="O259:O322" si="12">M259*(1-N259)</f>
        <v>13989.999999999996</v>
      </c>
      <c r="P259" s="7" t="s">
        <v>16</v>
      </c>
    </row>
    <row r="260" spans="1:16" x14ac:dyDescent="0.25">
      <c r="A260" s="7" t="str">
        <f t="shared" ref="A260:A323" si="13">A259</f>
        <v>2022 ALL D90</v>
      </c>
      <c r="B260" s="8">
        <v>46099</v>
      </c>
      <c r="C260" s="8">
        <v>46113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76299217</v>
      </c>
      <c r="K260" s="7" t="s">
        <v>1363</v>
      </c>
      <c r="L260" s="7" t="s">
        <v>1364</v>
      </c>
      <c r="M260" s="9">
        <v>139900</v>
      </c>
      <c r="N260" s="10">
        <f t="shared" ref="N260:N323" si="14">N259</f>
        <v>0.9</v>
      </c>
      <c r="O260" s="9">
        <f t="shared" si="12"/>
        <v>13989.999999999996</v>
      </c>
      <c r="P260" s="7" t="s">
        <v>16</v>
      </c>
    </row>
    <row r="261" spans="1:16" x14ac:dyDescent="0.25">
      <c r="A261" s="7" t="str">
        <f t="shared" si="13"/>
        <v>2022 ALL D90</v>
      </c>
      <c r="B261" s="8">
        <v>46099</v>
      </c>
      <c r="C261" s="8">
        <v>46113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76394882</v>
      </c>
      <c r="K261" s="7" t="s">
        <v>1363</v>
      </c>
      <c r="L261" s="7" t="s">
        <v>1365</v>
      </c>
      <c r="M261" s="9">
        <v>139900</v>
      </c>
      <c r="N261" s="10">
        <f t="shared" si="14"/>
        <v>0.9</v>
      </c>
      <c r="O261" s="9">
        <f t="shared" si="12"/>
        <v>13989.999999999996</v>
      </c>
      <c r="P261" s="7" t="s">
        <v>16</v>
      </c>
    </row>
    <row r="262" spans="1:16" x14ac:dyDescent="0.25">
      <c r="A262" s="7" t="str">
        <f t="shared" si="13"/>
        <v>2022 ALL D90</v>
      </c>
      <c r="B262" s="8">
        <v>46099</v>
      </c>
      <c r="C262" s="8">
        <v>46113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76394891</v>
      </c>
      <c r="K262" s="7" t="s">
        <v>1363</v>
      </c>
      <c r="L262" s="7" t="s">
        <v>1366</v>
      </c>
      <c r="M262" s="9">
        <v>139900</v>
      </c>
      <c r="N262" s="10">
        <f t="shared" si="14"/>
        <v>0.9</v>
      </c>
      <c r="O262" s="9">
        <f t="shared" si="12"/>
        <v>13989.999999999996</v>
      </c>
      <c r="P262" s="7" t="s">
        <v>16</v>
      </c>
    </row>
    <row r="263" spans="1:16" x14ac:dyDescent="0.25">
      <c r="A263" s="7" t="str">
        <f t="shared" si="13"/>
        <v>2022 ALL D90</v>
      </c>
      <c r="B263" s="8">
        <v>46099</v>
      </c>
      <c r="C263" s="8">
        <v>46113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76394908</v>
      </c>
      <c r="K263" s="7" t="s">
        <v>1363</v>
      </c>
      <c r="L263" s="7" t="s">
        <v>1367</v>
      </c>
      <c r="M263" s="9">
        <v>139900</v>
      </c>
      <c r="N263" s="10">
        <f t="shared" si="14"/>
        <v>0.9</v>
      </c>
      <c r="O263" s="9">
        <f t="shared" si="12"/>
        <v>13989.999999999996</v>
      </c>
      <c r="P263" s="7" t="s">
        <v>16</v>
      </c>
    </row>
    <row r="264" spans="1:16" x14ac:dyDescent="0.25">
      <c r="A264" s="7" t="str">
        <f t="shared" si="13"/>
        <v>2022 ALL D90</v>
      </c>
      <c r="B264" s="8">
        <v>46099</v>
      </c>
      <c r="C264" s="8">
        <v>46113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76299262</v>
      </c>
      <c r="K264" s="7" t="s">
        <v>1368</v>
      </c>
      <c r="L264" s="7" t="s">
        <v>1369</v>
      </c>
      <c r="M264" s="9">
        <v>139900</v>
      </c>
      <c r="N264" s="10">
        <f t="shared" si="14"/>
        <v>0.9</v>
      </c>
      <c r="O264" s="9">
        <f t="shared" si="12"/>
        <v>13989.999999999996</v>
      </c>
      <c r="P264" s="7" t="s">
        <v>16</v>
      </c>
    </row>
    <row r="265" spans="1:16" x14ac:dyDescent="0.25">
      <c r="A265" s="7" t="str">
        <f t="shared" si="13"/>
        <v>2022 ALL D90</v>
      </c>
      <c r="B265" s="8">
        <v>46099</v>
      </c>
      <c r="C265" s="8">
        <v>46113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76395041</v>
      </c>
      <c r="K265" s="7" t="s">
        <v>1368</v>
      </c>
      <c r="L265" s="7" t="s">
        <v>1370</v>
      </c>
      <c r="M265" s="9">
        <v>139900</v>
      </c>
      <c r="N265" s="10">
        <f t="shared" si="14"/>
        <v>0.9</v>
      </c>
      <c r="O265" s="9">
        <f t="shared" si="12"/>
        <v>13989.999999999996</v>
      </c>
      <c r="P265" s="7" t="s">
        <v>16</v>
      </c>
    </row>
    <row r="266" spans="1:16" x14ac:dyDescent="0.25">
      <c r="A266" s="7" t="str">
        <f t="shared" si="13"/>
        <v>2022 ALL D90</v>
      </c>
      <c r="B266" s="8">
        <v>46099</v>
      </c>
      <c r="C266" s="8">
        <v>46113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76299271</v>
      </c>
      <c r="K266" s="7" t="s">
        <v>1371</v>
      </c>
      <c r="L266" s="7" t="s">
        <v>1372</v>
      </c>
      <c r="M266" s="9">
        <v>139900</v>
      </c>
      <c r="N266" s="10">
        <f t="shared" si="14"/>
        <v>0.9</v>
      </c>
      <c r="O266" s="9">
        <f t="shared" si="12"/>
        <v>13989.999999999996</v>
      </c>
      <c r="P266" s="7" t="s">
        <v>16</v>
      </c>
    </row>
    <row r="267" spans="1:16" x14ac:dyDescent="0.25">
      <c r="A267" s="7" t="str">
        <f t="shared" si="13"/>
        <v>2022 ALL D90</v>
      </c>
      <c r="B267" s="8">
        <v>46099</v>
      </c>
      <c r="C267" s="8">
        <v>46113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76395050</v>
      </c>
      <c r="K267" s="7" t="s">
        <v>1371</v>
      </c>
      <c r="L267" s="7" t="s">
        <v>1373</v>
      </c>
      <c r="M267" s="9">
        <v>139900</v>
      </c>
      <c r="N267" s="10">
        <f t="shared" si="14"/>
        <v>0.9</v>
      </c>
      <c r="O267" s="9">
        <f t="shared" si="12"/>
        <v>13989.999999999996</v>
      </c>
      <c r="P267" s="7" t="s">
        <v>16</v>
      </c>
    </row>
    <row r="268" spans="1:16" x14ac:dyDescent="0.25">
      <c r="A268" s="7" t="str">
        <f t="shared" si="13"/>
        <v>2022 ALL D90</v>
      </c>
      <c r="B268" s="8">
        <v>46099</v>
      </c>
      <c r="C268" s="8">
        <v>46113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76395069</v>
      </c>
      <c r="K268" s="7" t="s">
        <v>1371</v>
      </c>
      <c r="L268" s="7" t="s">
        <v>1374</v>
      </c>
      <c r="M268" s="9">
        <v>139900</v>
      </c>
      <c r="N268" s="10">
        <f t="shared" si="14"/>
        <v>0.9</v>
      </c>
      <c r="O268" s="9">
        <f t="shared" si="12"/>
        <v>13989.999999999996</v>
      </c>
      <c r="P268" s="7" t="s">
        <v>16</v>
      </c>
    </row>
    <row r="269" spans="1:16" x14ac:dyDescent="0.25">
      <c r="A269" s="7" t="str">
        <f t="shared" si="13"/>
        <v>2022 ALL D90</v>
      </c>
      <c r="B269" s="8">
        <v>46099</v>
      </c>
      <c r="C269" s="8">
        <v>46113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76395078</v>
      </c>
      <c r="K269" s="7" t="s">
        <v>1371</v>
      </c>
      <c r="L269" s="7" t="s">
        <v>1375</v>
      </c>
      <c r="M269" s="9">
        <v>139900</v>
      </c>
      <c r="N269" s="10">
        <f t="shared" si="14"/>
        <v>0.9</v>
      </c>
      <c r="O269" s="9">
        <f t="shared" si="12"/>
        <v>13989.999999999996</v>
      </c>
      <c r="P269" s="7" t="s">
        <v>16</v>
      </c>
    </row>
    <row r="270" spans="1:16" x14ac:dyDescent="0.25">
      <c r="A270" s="7" t="str">
        <f t="shared" si="13"/>
        <v>2022 ALL D90</v>
      </c>
      <c r="B270" s="8">
        <v>46099</v>
      </c>
      <c r="C270" s="8">
        <v>46113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76299299</v>
      </c>
      <c r="K270" s="7" t="s">
        <v>1376</v>
      </c>
      <c r="L270" s="7" t="s">
        <v>1377</v>
      </c>
      <c r="M270" s="9">
        <v>139900</v>
      </c>
      <c r="N270" s="10">
        <f t="shared" si="14"/>
        <v>0.9</v>
      </c>
      <c r="O270" s="9">
        <f t="shared" si="12"/>
        <v>13989.999999999996</v>
      </c>
      <c r="P270" s="7" t="s">
        <v>16</v>
      </c>
    </row>
    <row r="271" spans="1:16" x14ac:dyDescent="0.25">
      <c r="A271" s="7" t="str">
        <f t="shared" si="13"/>
        <v>2022 ALL D90</v>
      </c>
      <c r="B271" s="8">
        <v>46099</v>
      </c>
      <c r="C271" s="8">
        <v>46113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76395121</v>
      </c>
      <c r="K271" s="7" t="s">
        <v>1376</v>
      </c>
      <c r="L271" s="7" t="s">
        <v>1378</v>
      </c>
      <c r="M271" s="9">
        <v>139900</v>
      </c>
      <c r="N271" s="10">
        <f t="shared" si="14"/>
        <v>0.9</v>
      </c>
      <c r="O271" s="9">
        <f t="shared" si="12"/>
        <v>13989.999999999996</v>
      </c>
      <c r="P271" s="7" t="s">
        <v>16</v>
      </c>
    </row>
    <row r="272" spans="1:16" x14ac:dyDescent="0.25">
      <c r="A272" s="7" t="str">
        <f t="shared" si="13"/>
        <v>2022 ALL D90</v>
      </c>
      <c r="B272" s="8">
        <v>46099</v>
      </c>
      <c r="C272" s="8">
        <v>46113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76395130</v>
      </c>
      <c r="K272" s="7" t="s">
        <v>1376</v>
      </c>
      <c r="L272" s="7" t="s">
        <v>1379</v>
      </c>
      <c r="M272" s="9">
        <v>139900</v>
      </c>
      <c r="N272" s="10">
        <f t="shared" si="14"/>
        <v>0.9</v>
      </c>
      <c r="O272" s="9">
        <f t="shared" si="12"/>
        <v>13989.999999999996</v>
      </c>
      <c r="P272" s="7" t="s">
        <v>16</v>
      </c>
    </row>
    <row r="273" spans="1:16" x14ac:dyDescent="0.25">
      <c r="A273" s="7" t="str">
        <f t="shared" si="13"/>
        <v>2022 ALL D90</v>
      </c>
      <c r="B273" s="8">
        <v>46099</v>
      </c>
      <c r="C273" s="8">
        <v>46113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76395149</v>
      </c>
      <c r="K273" s="7" t="s">
        <v>1376</v>
      </c>
      <c r="L273" s="7" t="s">
        <v>1380</v>
      </c>
      <c r="M273" s="9">
        <v>139900</v>
      </c>
      <c r="N273" s="10">
        <f t="shared" si="14"/>
        <v>0.9</v>
      </c>
      <c r="O273" s="9">
        <f t="shared" si="12"/>
        <v>13989.999999999996</v>
      </c>
      <c r="P273" s="7" t="s">
        <v>16</v>
      </c>
    </row>
    <row r="274" spans="1:16" x14ac:dyDescent="0.25">
      <c r="A274" s="7" t="str">
        <f t="shared" si="13"/>
        <v>2022 ALL D90</v>
      </c>
      <c r="B274" s="8">
        <v>46099</v>
      </c>
      <c r="C274" s="8">
        <v>46113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76395158</v>
      </c>
      <c r="K274" s="7" t="s">
        <v>1376</v>
      </c>
      <c r="L274" s="7" t="s">
        <v>1381</v>
      </c>
      <c r="M274" s="9">
        <v>139900</v>
      </c>
      <c r="N274" s="10">
        <f t="shared" si="14"/>
        <v>0.9</v>
      </c>
      <c r="O274" s="9">
        <f t="shared" si="12"/>
        <v>13989.999999999996</v>
      </c>
      <c r="P274" s="7" t="s">
        <v>16</v>
      </c>
    </row>
    <row r="275" spans="1:16" x14ac:dyDescent="0.25">
      <c r="A275" s="7" t="str">
        <f t="shared" si="13"/>
        <v>2022 ALL D90</v>
      </c>
      <c r="B275" s="8">
        <v>46099</v>
      </c>
      <c r="C275" s="8">
        <v>46113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76299280</v>
      </c>
      <c r="K275" s="7" t="s">
        <v>1382</v>
      </c>
      <c r="L275" s="7" t="s">
        <v>1383</v>
      </c>
      <c r="M275" s="9">
        <v>139900</v>
      </c>
      <c r="N275" s="10">
        <f t="shared" si="14"/>
        <v>0.9</v>
      </c>
      <c r="O275" s="9">
        <f t="shared" si="12"/>
        <v>13989.999999999996</v>
      </c>
      <c r="P275" s="7" t="s">
        <v>16</v>
      </c>
    </row>
    <row r="276" spans="1:16" x14ac:dyDescent="0.25">
      <c r="A276" s="7" t="str">
        <f t="shared" si="13"/>
        <v>2022 ALL D90</v>
      </c>
      <c r="B276" s="8">
        <v>46099</v>
      </c>
      <c r="C276" s="8">
        <v>46113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76395087</v>
      </c>
      <c r="K276" s="7" t="s">
        <v>1382</v>
      </c>
      <c r="L276" s="7" t="s">
        <v>1384</v>
      </c>
      <c r="M276" s="9">
        <v>139900</v>
      </c>
      <c r="N276" s="10">
        <f t="shared" si="14"/>
        <v>0.9</v>
      </c>
      <c r="O276" s="9">
        <f t="shared" si="12"/>
        <v>13989.999999999996</v>
      </c>
      <c r="P276" s="7" t="s">
        <v>16</v>
      </c>
    </row>
    <row r="277" spans="1:16" x14ac:dyDescent="0.25">
      <c r="A277" s="7" t="str">
        <f t="shared" si="13"/>
        <v>2022 ALL D90</v>
      </c>
      <c r="B277" s="8">
        <v>46099</v>
      </c>
      <c r="C277" s="8">
        <v>46113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76395096</v>
      </c>
      <c r="K277" s="7" t="s">
        <v>1382</v>
      </c>
      <c r="L277" s="7" t="s">
        <v>1385</v>
      </c>
      <c r="M277" s="9">
        <v>139900</v>
      </c>
      <c r="N277" s="10">
        <f t="shared" si="14"/>
        <v>0.9</v>
      </c>
      <c r="O277" s="9">
        <f t="shared" si="12"/>
        <v>13989.999999999996</v>
      </c>
      <c r="P277" s="7" t="s">
        <v>16</v>
      </c>
    </row>
    <row r="278" spans="1:16" x14ac:dyDescent="0.25">
      <c r="A278" s="7" t="str">
        <f t="shared" si="13"/>
        <v>2022 ALL D90</v>
      </c>
      <c r="B278" s="8">
        <v>46099</v>
      </c>
      <c r="C278" s="8">
        <v>46113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76395103</v>
      </c>
      <c r="K278" s="7" t="s">
        <v>1382</v>
      </c>
      <c r="L278" s="7" t="s">
        <v>1386</v>
      </c>
      <c r="M278" s="9">
        <v>139900</v>
      </c>
      <c r="N278" s="10">
        <f t="shared" si="14"/>
        <v>0.9</v>
      </c>
      <c r="O278" s="9">
        <f t="shared" si="12"/>
        <v>13989.999999999996</v>
      </c>
      <c r="P278" s="7" t="s">
        <v>16</v>
      </c>
    </row>
    <row r="279" spans="1:16" x14ac:dyDescent="0.25">
      <c r="A279" s="7" t="str">
        <f t="shared" si="13"/>
        <v>2022 ALL D90</v>
      </c>
      <c r="B279" s="8">
        <v>46099</v>
      </c>
      <c r="C279" s="8">
        <v>46113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76395112</v>
      </c>
      <c r="K279" s="7" t="s">
        <v>1382</v>
      </c>
      <c r="L279" s="7" t="s">
        <v>1387</v>
      </c>
      <c r="M279" s="9">
        <v>139900</v>
      </c>
      <c r="N279" s="10">
        <f t="shared" si="14"/>
        <v>0.9</v>
      </c>
      <c r="O279" s="9">
        <f t="shared" si="12"/>
        <v>13989.999999999996</v>
      </c>
      <c r="P279" s="7" t="s">
        <v>16</v>
      </c>
    </row>
    <row r="280" spans="1:16" x14ac:dyDescent="0.25">
      <c r="A280" s="7" t="str">
        <f t="shared" si="13"/>
        <v>2022 ALL D90</v>
      </c>
      <c r="B280" s="8">
        <v>46099</v>
      </c>
      <c r="C280" s="8">
        <v>46113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76299208</v>
      </c>
      <c r="K280" s="7" t="s">
        <v>1388</v>
      </c>
      <c r="L280" s="7" t="s">
        <v>1389</v>
      </c>
      <c r="M280" s="9">
        <v>139900</v>
      </c>
      <c r="N280" s="10">
        <f t="shared" si="14"/>
        <v>0.9</v>
      </c>
      <c r="O280" s="9">
        <f t="shared" si="12"/>
        <v>13989.999999999996</v>
      </c>
      <c r="P280" s="7" t="s">
        <v>16</v>
      </c>
    </row>
    <row r="281" spans="1:16" x14ac:dyDescent="0.25">
      <c r="A281" s="7" t="str">
        <f t="shared" si="13"/>
        <v>2022 ALL D90</v>
      </c>
      <c r="B281" s="8">
        <v>46099</v>
      </c>
      <c r="C281" s="8">
        <v>46113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76394855</v>
      </c>
      <c r="K281" s="7" t="s">
        <v>1388</v>
      </c>
      <c r="L281" s="7" t="s">
        <v>1390</v>
      </c>
      <c r="M281" s="9">
        <v>139900</v>
      </c>
      <c r="N281" s="10">
        <f t="shared" si="14"/>
        <v>0.9</v>
      </c>
      <c r="O281" s="9">
        <f t="shared" si="12"/>
        <v>13989.999999999996</v>
      </c>
      <c r="P281" s="7" t="s">
        <v>16</v>
      </c>
    </row>
    <row r="282" spans="1:16" x14ac:dyDescent="0.25">
      <c r="A282" s="7" t="str">
        <f t="shared" si="13"/>
        <v>2022 ALL D90</v>
      </c>
      <c r="B282" s="8">
        <v>46099</v>
      </c>
      <c r="C282" s="8">
        <v>46113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76394864</v>
      </c>
      <c r="K282" s="7" t="s">
        <v>1388</v>
      </c>
      <c r="L282" s="7" t="s">
        <v>1391</v>
      </c>
      <c r="M282" s="9">
        <v>139900</v>
      </c>
      <c r="N282" s="10">
        <f t="shared" si="14"/>
        <v>0.9</v>
      </c>
      <c r="O282" s="9">
        <f t="shared" si="12"/>
        <v>13989.999999999996</v>
      </c>
      <c r="P282" s="7" t="s">
        <v>16</v>
      </c>
    </row>
    <row r="283" spans="1:16" x14ac:dyDescent="0.25">
      <c r="A283" s="7" t="str">
        <f t="shared" si="13"/>
        <v>2022 ALL D90</v>
      </c>
      <c r="B283" s="8">
        <v>46099</v>
      </c>
      <c r="C283" s="8">
        <v>46113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76394873</v>
      </c>
      <c r="K283" s="7" t="s">
        <v>1388</v>
      </c>
      <c r="L283" s="7" t="s">
        <v>1392</v>
      </c>
      <c r="M283" s="9">
        <v>139900</v>
      </c>
      <c r="N283" s="10">
        <f t="shared" si="14"/>
        <v>0.9</v>
      </c>
      <c r="O283" s="9">
        <f t="shared" si="12"/>
        <v>13989.999999999996</v>
      </c>
      <c r="P283" s="7" t="s">
        <v>16</v>
      </c>
    </row>
    <row r="284" spans="1:16" x14ac:dyDescent="0.25">
      <c r="A284" s="7" t="str">
        <f t="shared" si="13"/>
        <v>2022 ALL D90</v>
      </c>
      <c r="B284" s="8">
        <v>46099</v>
      </c>
      <c r="C284" s="8">
        <v>46113</v>
      </c>
      <c r="D284" s="7">
        <v>3272</v>
      </c>
      <c r="E284" s="7">
        <v>336</v>
      </c>
      <c r="F284" s="7">
        <v>4</v>
      </c>
      <c r="G284" s="7">
        <v>3</v>
      </c>
      <c r="H284" s="7">
        <v>81379</v>
      </c>
      <c r="I284" s="7" t="s">
        <v>104</v>
      </c>
      <c r="J284" s="7">
        <v>55710195</v>
      </c>
      <c r="K284" s="7" t="s">
        <v>1393</v>
      </c>
      <c r="L284" s="7" t="s">
        <v>1394</v>
      </c>
      <c r="M284" s="9">
        <v>199900</v>
      </c>
      <c r="N284" s="10">
        <f t="shared" si="14"/>
        <v>0.9</v>
      </c>
      <c r="O284" s="9">
        <f t="shared" si="12"/>
        <v>19989.999999999996</v>
      </c>
      <c r="P284" s="7" t="s">
        <v>16</v>
      </c>
    </row>
    <row r="285" spans="1:16" x14ac:dyDescent="0.25">
      <c r="A285" s="7" t="str">
        <f t="shared" si="13"/>
        <v>2022 ALL D90</v>
      </c>
      <c r="B285" s="8">
        <v>46099</v>
      </c>
      <c r="C285" s="8">
        <v>46113</v>
      </c>
      <c r="D285" s="7">
        <v>3272</v>
      </c>
      <c r="E285" s="7">
        <v>336</v>
      </c>
      <c r="F285" s="7">
        <v>4</v>
      </c>
      <c r="G285" s="7">
        <v>3</v>
      </c>
      <c r="H285" s="7">
        <v>81379</v>
      </c>
      <c r="I285" s="7" t="s">
        <v>104</v>
      </c>
      <c r="J285" s="7">
        <v>55710202</v>
      </c>
      <c r="K285" s="7" t="s">
        <v>1393</v>
      </c>
      <c r="L285" s="7" t="s">
        <v>1395</v>
      </c>
      <c r="M285" s="9">
        <v>199900</v>
      </c>
      <c r="N285" s="10">
        <f t="shared" si="14"/>
        <v>0.9</v>
      </c>
      <c r="O285" s="9">
        <f t="shared" si="12"/>
        <v>19989.999999999996</v>
      </c>
      <c r="P285" s="7" t="s">
        <v>16</v>
      </c>
    </row>
    <row r="286" spans="1:16" x14ac:dyDescent="0.25">
      <c r="A286" s="7" t="str">
        <f t="shared" si="13"/>
        <v>2022 ALL D90</v>
      </c>
      <c r="B286" s="8">
        <v>46099</v>
      </c>
      <c r="C286" s="8">
        <v>46113</v>
      </c>
      <c r="D286" s="7">
        <v>3272</v>
      </c>
      <c r="E286" s="7">
        <v>336</v>
      </c>
      <c r="F286" s="7">
        <v>4</v>
      </c>
      <c r="G286" s="7">
        <v>3</v>
      </c>
      <c r="H286" s="7">
        <v>81379</v>
      </c>
      <c r="I286" s="7" t="s">
        <v>104</v>
      </c>
      <c r="J286" s="7">
        <v>55710211</v>
      </c>
      <c r="K286" s="7" t="s">
        <v>1393</v>
      </c>
      <c r="L286" s="7" t="s">
        <v>1396</v>
      </c>
      <c r="M286" s="9">
        <v>199900</v>
      </c>
      <c r="N286" s="10">
        <f t="shared" si="14"/>
        <v>0.9</v>
      </c>
      <c r="O286" s="9">
        <f t="shared" si="12"/>
        <v>19989.999999999996</v>
      </c>
      <c r="P286" s="7" t="s">
        <v>16</v>
      </c>
    </row>
    <row r="287" spans="1:16" x14ac:dyDescent="0.25">
      <c r="A287" s="7" t="str">
        <f t="shared" si="13"/>
        <v>2022 ALL D90</v>
      </c>
      <c r="B287" s="8">
        <v>46099</v>
      </c>
      <c r="C287" s="8">
        <v>46113</v>
      </c>
      <c r="D287" s="7">
        <v>3272</v>
      </c>
      <c r="E287" s="7">
        <v>336</v>
      </c>
      <c r="F287" s="7">
        <v>4</v>
      </c>
      <c r="G287" s="7">
        <v>3</v>
      </c>
      <c r="H287" s="7">
        <v>81379</v>
      </c>
      <c r="I287" s="7" t="s">
        <v>104</v>
      </c>
      <c r="J287" s="7">
        <v>55710220</v>
      </c>
      <c r="K287" s="7" t="s">
        <v>1393</v>
      </c>
      <c r="L287" s="7" t="s">
        <v>1397</v>
      </c>
      <c r="M287" s="9">
        <v>199900</v>
      </c>
      <c r="N287" s="10">
        <f t="shared" si="14"/>
        <v>0.9</v>
      </c>
      <c r="O287" s="9">
        <f t="shared" si="12"/>
        <v>19989.999999999996</v>
      </c>
      <c r="P287" s="7" t="s">
        <v>16</v>
      </c>
    </row>
    <row r="288" spans="1:16" x14ac:dyDescent="0.25">
      <c r="A288" s="7" t="str">
        <f t="shared" si="13"/>
        <v>2022 ALL D90</v>
      </c>
      <c r="B288" s="8">
        <v>46099</v>
      </c>
      <c r="C288" s="8">
        <v>46113</v>
      </c>
      <c r="D288" s="7">
        <v>3272</v>
      </c>
      <c r="E288" s="7">
        <v>336</v>
      </c>
      <c r="F288" s="7">
        <v>4</v>
      </c>
      <c r="G288" s="7">
        <v>3</v>
      </c>
      <c r="H288" s="7">
        <v>81379</v>
      </c>
      <c r="I288" s="7" t="s">
        <v>104</v>
      </c>
      <c r="J288" s="7">
        <v>55710239</v>
      </c>
      <c r="K288" s="7" t="s">
        <v>1393</v>
      </c>
      <c r="L288" s="7" t="s">
        <v>1398</v>
      </c>
      <c r="M288" s="9">
        <v>199900</v>
      </c>
      <c r="N288" s="10">
        <f t="shared" si="14"/>
        <v>0.9</v>
      </c>
      <c r="O288" s="9">
        <f t="shared" si="12"/>
        <v>19989.999999999996</v>
      </c>
      <c r="P288" s="7" t="s">
        <v>16</v>
      </c>
    </row>
    <row r="289" spans="1:16" x14ac:dyDescent="0.25">
      <c r="A289" s="7" t="str">
        <f t="shared" si="13"/>
        <v>2022 ALL D90</v>
      </c>
      <c r="B289" s="8">
        <v>46099</v>
      </c>
      <c r="C289" s="8">
        <v>46113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64362232</v>
      </c>
      <c r="K289" s="7" t="s">
        <v>1399</v>
      </c>
      <c r="L289" s="7" t="s">
        <v>1400</v>
      </c>
      <c r="M289" s="9">
        <v>229900</v>
      </c>
      <c r="N289" s="10">
        <f t="shared" si="14"/>
        <v>0.9</v>
      </c>
      <c r="O289" s="9">
        <f t="shared" si="12"/>
        <v>22989.999999999996</v>
      </c>
      <c r="P289" s="7" t="s">
        <v>16</v>
      </c>
    </row>
    <row r="290" spans="1:16" x14ac:dyDescent="0.25">
      <c r="A290" s="7" t="str">
        <f t="shared" si="13"/>
        <v>2022 ALL D90</v>
      </c>
      <c r="B290" s="8">
        <v>46099</v>
      </c>
      <c r="C290" s="8">
        <v>46113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64362241</v>
      </c>
      <c r="K290" s="7" t="s">
        <v>1399</v>
      </c>
      <c r="L290" s="7" t="s">
        <v>1401</v>
      </c>
      <c r="M290" s="9">
        <v>229900</v>
      </c>
      <c r="N290" s="10">
        <f t="shared" si="14"/>
        <v>0.9</v>
      </c>
      <c r="O290" s="9">
        <f t="shared" si="12"/>
        <v>22989.999999999996</v>
      </c>
      <c r="P290" s="7" t="s">
        <v>16</v>
      </c>
    </row>
    <row r="291" spans="1:16" x14ac:dyDescent="0.25">
      <c r="A291" s="7" t="str">
        <f t="shared" si="13"/>
        <v>2022 ALL D90</v>
      </c>
      <c r="B291" s="8">
        <v>46099</v>
      </c>
      <c r="C291" s="8">
        <v>46113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63285989</v>
      </c>
      <c r="K291" s="7" t="s">
        <v>1402</v>
      </c>
      <c r="L291" s="7" t="s">
        <v>1403</v>
      </c>
      <c r="M291" s="9">
        <v>229900</v>
      </c>
      <c r="N291" s="10">
        <f t="shared" si="14"/>
        <v>0.9</v>
      </c>
      <c r="O291" s="9">
        <f t="shared" si="12"/>
        <v>22989.999999999996</v>
      </c>
      <c r="P291" s="7" t="s">
        <v>16</v>
      </c>
    </row>
    <row r="292" spans="1:16" x14ac:dyDescent="0.25">
      <c r="A292" s="7" t="str">
        <f t="shared" si="13"/>
        <v>2022 ALL D90</v>
      </c>
      <c r="B292" s="8">
        <v>46099</v>
      </c>
      <c r="C292" s="8">
        <v>46113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63285998</v>
      </c>
      <c r="K292" s="7" t="s">
        <v>1402</v>
      </c>
      <c r="L292" s="7" t="s">
        <v>1404</v>
      </c>
      <c r="M292" s="9">
        <v>229900</v>
      </c>
      <c r="N292" s="10">
        <f t="shared" si="14"/>
        <v>0.9</v>
      </c>
      <c r="O292" s="9">
        <f t="shared" si="12"/>
        <v>22989.999999999996</v>
      </c>
      <c r="P292" s="7" t="s">
        <v>16</v>
      </c>
    </row>
    <row r="293" spans="1:16" x14ac:dyDescent="0.25">
      <c r="A293" s="7" t="str">
        <f t="shared" si="13"/>
        <v>2022 ALL D90</v>
      </c>
      <c r="B293" s="8">
        <v>46099</v>
      </c>
      <c r="C293" s="8">
        <v>46113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63286004</v>
      </c>
      <c r="K293" s="7" t="s">
        <v>1402</v>
      </c>
      <c r="L293" s="7" t="s">
        <v>1405</v>
      </c>
      <c r="M293" s="9">
        <v>229900</v>
      </c>
      <c r="N293" s="10">
        <f t="shared" si="14"/>
        <v>0.9</v>
      </c>
      <c r="O293" s="9">
        <f t="shared" si="12"/>
        <v>22989.999999999996</v>
      </c>
      <c r="P293" s="7" t="s">
        <v>16</v>
      </c>
    </row>
    <row r="294" spans="1:16" x14ac:dyDescent="0.25">
      <c r="A294" s="7" t="str">
        <f t="shared" si="13"/>
        <v>2022 ALL D90</v>
      </c>
      <c r="B294" s="8">
        <v>46099</v>
      </c>
      <c r="C294" s="8">
        <v>46113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63286013</v>
      </c>
      <c r="K294" s="7" t="s">
        <v>1402</v>
      </c>
      <c r="L294" s="7" t="s">
        <v>1406</v>
      </c>
      <c r="M294" s="9">
        <v>229900</v>
      </c>
      <c r="N294" s="10">
        <f t="shared" si="14"/>
        <v>0.9</v>
      </c>
      <c r="O294" s="9">
        <f t="shared" si="12"/>
        <v>22989.999999999996</v>
      </c>
      <c r="P294" s="7" t="s">
        <v>16</v>
      </c>
    </row>
    <row r="295" spans="1:16" x14ac:dyDescent="0.25">
      <c r="A295" s="7" t="str">
        <f t="shared" si="13"/>
        <v>2022 ALL D90</v>
      </c>
      <c r="B295" s="8">
        <v>46099</v>
      </c>
      <c r="C295" s="8">
        <v>46113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63286022</v>
      </c>
      <c r="K295" s="7" t="s">
        <v>1402</v>
      </c>
      <c r="L295" s="7" t="s">
        <v>1407</v>
      </c>
      <c r="M295" s="9">
        <v>229900</v>
      </c>
      <c r="N295" s="10">
        <f t="shared" si="14"/>
        <v>0.9</v>
      </c>
      <c r="O295" s="9">
        <f t="shared" si="12"/>
        <v>22989.999999999996</v>
      </c>
      <c r="P295" s="7" t="s">
        <v>16</v>
      </c>
    </row>
    <row r="296" spans="1:16" x14ac:dyDescent="0.25">
      <c r="A296" s="7" t="str">
        <f t="shared" si="13"/>
        <v>2022 ALL D90</v>
      </c>
      <c r="B296" s="8">
        <v>46099</v>
      </c>
      <c r="C296" s="8">
        <v>46113</v>
      </c>
      <c r="D296" s="7">
        <v>3272</v>
      </c>
      <c r="E296" s="7">
        <v>336</v>
      </c>
      <c r="F296" s="7">
        <v>4</v>
      </c>
      <c r="G296" s="7">
        <v>3</v>
      </c>
      <c r="H296" s="7">
        <v>81379</v>
      </c>
      <c r="I296" s="7" t="s">
        <v>104</v>
      </c>
      <c r="J296" s="7">
        <v>67703073</v>
      </c>
      <c r="K296" s="7" t="s">
        <v>1408</v>
      </c>
      <c r="L296" s="7" t="s">
        <v>1409</v>
      </c>
      <c r="M296" s="9">
        <v>219900</v>
      </c>
      <c r="N296" s="10">
        <f t="shared" si="14"/>
        <v>0.9</v>
      </c>
      <c r="O296" s="9">
        <f t="shared" si="12"/>
        <v>21989.999999999996</v>
      </c>
      <c r="P296" s="7" t="s">
        <v>16</v>
      </c>
    </row>
    <row r="297" spans="1:16" x14ac:dyDescent="0.25">
      <c r="A297" s="7" t="str">
        <f t="shared" si="13"/>
        <v>2022 ALL D90</v>
      </c>
      <c r="B297" s="8">
        <v>46099</v>
      </c>
      <c r="C297" s="8">
        <v>46113</v>
      </c>
      <c r="D297" s="7">
        <v>3272</v>
      </c>
      <c r="E297" s="7">
        <v>336</v>
      </c>
      <c r="F297" s="7">
        <v>4</v>
      </c>
      <c r="G297" s="7">
        <v>3</v>
      </c>
      <c r="H297" s="7">
        <v>81379</v>
      </c>
      <c r="I297" s="7" t="s">
        <v>104</v>
      </c>
      <c r="J297" s="7">
        <v>67703082</v>
      </c>
      <c r="K297" s="7" t="s">
        <v>1408</v>
      </c>
      <c r="L297" s="7" t="s">
        <v>1410</v>
      </c>
      <c r="M297" s="9">
        <v>219900</v>
      </c>
      <c r="N297" s="10">
        <f t="shared" si="14"/>
        <v>0.9</v>
      </c>
      <c r="O297" s="9">
        <f t="shared" si="12"/>
        <v>21989.999999999996</v>
      </c>
      <c r="P297" s="7" t="s">
        <v>16</v>
      </c>
    </row>
    <row r="298" spans="1:16" x14ac:dyDescent="0.25">
      <c r="A298" s="7" t="str">
        <f t="shared" si="13"/>
        <v>2022 ALL D90</v>
      </c>
      <c r="B298" s="8">
        <v>46099</v>
      </c>
      <c r="C298" s="8">
        <v>46113</v>
      </c>
      <c r="D298" s="7">
        <v>3272</v>
      </c>
      <c r="E298" s="7">
        <v>336</v>
      </c>
      <c r="F298" s="7">
        <v>4</v>
      </c>
      <c r="G298" s="7">
        <v>3</v>
      </c>
      <c r="H298" s="7">
        <v>81379</v>
      </c>
      <c r="I298" s="7" t="s">
        <v>104</v>
      </c>
      <c r="J298" s="7">
        <v>67703091</v>
      </c>
      <c r="K298" s="7" t="s">
        <v>1408</v>
      </c>
      <c r="L298" s="7" t="s">
        <v>1411</v>
      </c>
      <c r="M298" s="9">
        <v>219900</v>
      </c>
      <c r="N298" s="10">
        <f t="shared" si="14"/>
        <v>0.9</v>
      </c>
      <c r="O298" s="9">
        <f t="shared" si="12"/>
        <v>21989.999999999996</v>
      </c>
      <c r="P298" s="7" t="s">
        <v>16</v>
      </c>
    </row>
    <row r="299" spans="1:16" x14ac:dyDescent="0.25">
      <c r="A299" s="7" t="str">
        <f t="shared" si="13"/>
        <v>2022 ALL D90</v>
      </c>
      <c r="B299" s="8">
        <v>46099</v>
      </c>
      <c r="C299" s="8">
        <v>46113</v>
      </c>
      <c r="D299" s="7">
        <v>3272</v>
      </c>
      <c r="E299" s="7">
        <v>336</v>
      </c>
      <c r="F299" s="7">
        <v>4</v>
      </c>
      <c r="G299" s="7">
        <v>3</v>
      </c>
      <c r="H299" s="7">
        <v>81379</v>
      </c>
      <c r="I299" s="7" t="s">
        <v>104</v>
      </c>
      <c r="J299" s="7">
        <v>67703108</v>
      </c>
      <c r="K299" s="7" t="s">
        <v>1408</v>
      </c>
      <c r="L299" s="7" t="s">
        <v>1412</v>
      </c>
      <c r="M299" s="9">
        <v>219900</v>
      </c>
      <c r="N299" s="10">
        <f t="shared" si="14"/>
        <v>0.9</v>
      </c>
      <c r="O299" s="9">
        <f t="shared" si="12"/>
        <v>21989.999999999996</v>
      </c>
      <c r="P299" s="7" t="s">
        <v>16</v>
      </c>
    </row>
    <row r="300" spans="1:16" x14ac:dyDescent="0.25">
      <c r="A300" s="7" t="str">
        <f t="shared" si="13"/>
        <v>2022 ALL D90</v>
      </c>
      <c r="B300" s="8">
        <v>46099</v>
      </c>
      <c r="C300" s="8">
        <v>46113</v>
      </c>
      <c r="D300" s="7">
        <v>3272</v>
      </c>
      <c r="E300" s="7">
        <v>336</v>
      </c>
      <c r="F300" s="7">
        <v>4</v>
      </c>
      <c r="G300" s="7">
        <v>3</v>
      </c>
      <c r="H300" s="7">
        <v>81379</v>
      </c>
      <c r="I300" s="7" t="s">
        <v>104</v>
      </c>
      <c r="J300" s="7">
        <v>67703117</v>
      </c>
      <c r="K300" s="7" t="s">
        <v>1408</v>
      </c>
      <c r="L300" s="7" t="s">
        <v>1413</v>
      </c>
      <c r="M300" s="9">
        <v>219900</v>
      </c>
      <c r="N300" s="10">
        <f t="shared" si="14"/>
        <v>0.9</v>
      </c>
      <c r="O300" s="9">
        <f t="shared" si="12"/>
        <v>21989.999999999996</v>
      </c>
      <c r="P300" s="7" t="s">
        <v>16</v>
      </c>
    </row>
    <row r="301" spans="1:16" x14ac:dyDescent="0.25">
      <c r="A301" s="7" t="str">
        <f t="shared" si="13"/>
        <v>2022 ALL D90</v>
      </c>
      <c r="B301" s="8">
        <v>46099</v>
      </c>
      <c r="C301" s="8">
        <v>46113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73075633</v>
      </c>
      <c r="K301" s="7" t="s">
        <v>1414</v>
      </c>
      <c r="L301" s="7" t="s">
        <v>1415</v>
      </c>
      <c r="M301" s="9">
        <v>229900</v>
      </c>
      <c r="N301" s="10">
        <f t="shared" si="14"/>
        <v>0.9</v>
      </c>
      <c r="O301" s="9">
        <f t="shared" si="12"/>
        <v>22989.999999999996</v>
      </c>
      <c r="P301" s="7" t="s">
        <v>16</v>
      </c>
    </row>
    <row r="302" spans="1:16" x14ac:dyDescent="0.25">
      <c r="A302" s="7" t="str">
        <f t="shared" si="13"/>
        <v>2022 ALL D90</v>
      </c>
      <c r="B302" s="8">
        <v>46099</v>
      </c>
      <c r="C302" s="8">
        <v>46113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73075624</v>
      </c>
      <c r="K302" s="7" t="s">
        <v>1414</v>
      </c>
      <c r="L302" s="7" t="s">
        <v>1416</v>
      </c>
      <c r="M302" s="9">
        <v>229900</v>
      </c>
      <c r="N302" s="10">
        <f t="shared" si="14"/>
        <v>0.9</v>
      </c>
      <c r="O302" s="9">
        <f t="shared" si="12"/>
        <v>22989.999999999996</v>
      </c>
      <c r="P302" s="7" t="s">
        <v>16</v>
      </c>
    </row>
    <row r="303" spans="1:16" x14ac:dyDescent="0.25">
      <c r="A303" s="7" t="str">
        <f t="shared" si="13"/>
        <v>2022 ALL D90</v>
      </c>
      <c r="B303" s="8">
        <v>46099</v>
      </c>
      <c r="C303" s="8">
        <v>46113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73075642</v>
      </c>
      <c r="K303" s="7" t="s">
        <v>1414</v>
      </c>
      <c r="L303" s="7" t="s">
        <v>1417</v>
      </c>
      <c r="M303" s="9">
        <v>229900</v>
      </c>
      <c r="N303" s="10">
        <f t="shared" si="14"/>
        <v>0.9</v>
      </c>
      <c r="O303" s="9">
        <f t="shared" si="12"/>
        <v>22989.999999999996</v>
      </c>
      <c r="P303" s="7" t="s">
        <v>16</v>
      </c>
    </row>
    <row r="304" spans="1:16" x14ac:dyDescent="0.25">
      <c r="A304" s="7" t="str">
        <f t="shared" si="13"/>
        <v>2022 ALL D90</v>
      </c>
      <c r="B304" s="8">
        <v>46099</v>
      </c>
      <c r="C304" s="8">
        <v>46113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73075651</v>
      </c>
      <c r="K304" s="7" t="s">
        <v>1414</v>
      </c>
      <c r="L304" s="7" t="s">
        <v>1418</v>
      </c>
      <c r="M304" s="9">
        <v>229900</v>
      </c>
      <c r="N304" s="10">
        <f t="shared" si="14"/>
        <v>0.9</v>
      </c>
      <c r="O304" s="9">
        <f t="shared" si="12"/>
        <v>22989.999999999996</v>
      </c>
      <c r="P304" s="7" t="s">
        <v>16</v>
      </c>
    </row>
    <row r="305" spans="1:16" x14ac:dyDescent="0.25">
      <c r="A305" s="7" t="str">
        <f t="shared" si="13"/>
        <v>2022 ALL D90</v>
      </c>
      <c r="B305" s="8">
        <v>46099</v>
      </c>
      <c r="C305" s="8">
        <v>46113</v>
      </c>
      <c r="D305" s="7">
        <v>3272</v>
      </c>
      <c r="E305" s="7">
        <v>336</v>
      </c>
      <c r="F305" s="7">
        <v>4</v>
      </c>
      <c r="G305" s="7">
        <v>3</v>
      </c>
      <c r="H305" s="7">
        <v>81221</v>
      </c>
      <c r="I305" s="7" t="s">
        <v>104</v>
      </c>
      <c r="J305" s="7">
        <v>73075660</v>
      </c>
      <c r="K305" s="7" t="s">
        <v>1414</v>
      </c>
      <c r="L305" s="7" t="s">
        <v>1419</v>
      </c>
      <c r="M305" s="9">
        <v>229900</v>
      </c>
      <c r="N305" s="10">
        <f t="shared" si="14"/>
        <v>0.9</v>
      </c>
      <c r="O305" s="9">
        <f t="shared" si="12"/>
        <v>22989.999999999996</v>
      </c>
      <c r="P305" s="7" t="s">
        <v>16</v>
      </c>
    </row>
    <row r="306" spans="1:16" x14ac:dyDescent="0.25">
      <c r="A306" s="7" t="str">
        <f t="shared" si="13"/>
        <v>2022 ALL D90</v>
      </c>
      <c r="B306" s="8">
        <v>46099</v>
      </c>
      <c r="C306" s="8">
        <v>46113</v>
      </c>
      <c r="D306" s="7">
        <v>3272</v>
      </c>
      <c r="E306" s="7">
        <v>336</v>
      </c>
      <c r="F306" s="7">
        <v>4</v>
      </c>
      <c r="G306" s="7">
        <v>3</v>
      </c>
      <c r="H306" s="7">
        <v>81221</v>
      </c>
      <c r="I306" s="7" t="s">
        <v>104</v>
      </c>
      <c r="J306" s="7">
        <v>76027439</v>
      </c>
      <c r="K306" s="7" t="s">
        <v>1420</v>
      </c>
      <c r="L306" s="7" t="s">
        <v>1421</v>
      </c>
      <c r="M306" s="9">
        <v>229900</v>
      </c>
      <c r="N306" s="10">
        <f t="shared" si="14"/>
        <v>0.9</v>
      </c>
      <c r="O306" s="9">
        <f t="shared" si="12"/>
        <v>22989.999999999996</v>
      </c>
      <c r="P306" s="7" t="s">
        <v>16</v>
      </c>
    </row>
    <row r="307" spans="1:16" x14ac:dyDescent="0.25">
      <c r="A307" s="7" t="str">
        <f t="shared" si="13"/>
        <v>2022 ALL D90</v>
      </c>
      <c r="B307" s="8">
        <v>46099</v>
      </c>
      <c r="C307" s="8">
        <v>46113</v>
      </c>
      <c r="D307" s="7">
        <v>3272</v>
      </c>
      <c r="E307" s="7">
        <v>336</v>
      </c>
      <c r="F307" s="7">
        <v>4</v>
      </c>
      <c r="G307" s="7">
        <v>3</v>
      </c>
      <c r="H307" s="7">
        <v>81221</v>
      </c>
      <c r="I307" s="7" t="s">
        <v>104</v>
      </c>
      <c r="J307" s="7">
        <v>76027448</v>
      </c>
      <c r="K307" s="7" t="s">
        <v>1420</v>
      </c>
      <c r="L307" s="7" t="s">
        <v>1422</v>
      </c>
      <c r="M307" s="9">
        <v>229900</v>
      </c>
      <c r="N307" s="10">
        <f t="shared" si="14"/>
        <v>0.9</v>
      </c>
      <c r="O307" s="9">
        <f t="shared" si="12"/>
        <v>22989.999999999996</v>
      </c>
      <c r="P307" s="7" t="s">
        <v>16</v>
      </c>
    </row>
    <row r="308" spans="1:16" x14ac:dyDescent="0.25">
      <c r="A308" s="7" t="str">
        <f t="shared" si="13"/>
        <v>2022 ALL D90</v>
      </c>
      <c r="B308" s="8">
        <v>46099</v>
      </c>
      <c r="C308" s="8">
        <v>46113</v>
      </c>
      <c r="D308" s="7">
        <v>3272</v>
      </c>
      <c r="E308" s="7">
        <v>336</v>
      </c>
      <c r="F308" s="7">
        <v>4</v>
      </c>
      <c r="G308" s="7">
        <v>3</v>
      </c>
      <c r="H308" s="7">
        <v>81221</v>
      </c>
      <c r="I308" s="7" t="s">
        <v>104</v>
      </c>
      <c r="J308" s="7">
        <v>76027457</v>
      </c>
      <c r="K308" s="7" t="s">
        <v>1420</v>
      </c>
      <c r="L308" s="7" t="s">
        <v>1423</v>
      </c>
      <c r="M308" s="9">
        <v>229900</v>
      </c>
      <c r="N308" s="10">
        <f t="shared" si="14"/>
        <v>0.9</v>
      </c>
      <c r="O308" s="9">
        <f t="shared" si="12"/>
        <v>22989.999999999996</v>
      </c>
      <c r="P308" s="7" t="s">
        <v>16</v>
      </c>
    </row>
    <row r="309" spans="1:16" x14ac:dyDescent="0.25">
      <c r="A309" s="7" t="str">
        <f t="shared" si="13"/>
        <v>2022 ALL D90</v>
      </c>
      <c r="B309" s="8">
        <v>46099</v>
      </c>
      <c r="C309" s="8">
        <v>46113</v>
      </c>
      <c r="D309" s="7">
        <v>3272</v>
      </c>
      <c r="E309" s="7">
        <v>336</v>
      </c>
      <c r="F309" s="7">
        <v>4</v>
      </c>
      <c r="G309" s="7">
        <v>3</v>
      </c>
      <c r="H309" s="7">
        <v>81221</v>
      </c>
      <c r="I309" s="7" t="s">
        <v>104</v>
      </c>
      <c r="J309" s="7">
        <v>76027466</v>
      </c>
      <c r="K309" s="7" t="s">
        <v>1420</v>
      </c>
      <c r="L309" s="7" t="s">
        <v>1424</v>
      </c>
      <c r="M309" s="9">
        <v>229900</v>
      </c>
      <c r="N309" s="10">
        <f t="shared" si="14"/>
        <v>0.9</v>
      </c>
      <c r="O309" s="9">
        <f t="shared" si="12"/>
        <v>22989.999999999996</v>
      </c>
      <c r="P309" s="7" t="s">
        <v>16</v>
      </c>
    </row>
    <row r="310" spans="1:16" x14ac:dyDescent="0.25">
      <c r="A310" s="7" t="str">
        <f t="shared" si="13"/>
        <v>2022 ALL D90</v>
      </c>
      <c r="B310" s="8">
        <v>46099</v>
      </c>
      <c r="C310" s="8">
        <v>46113</v>
      </c>
      <c r="D310" s="7">
        <v>3272</v>
      </c>
      <c r="E310" s="7">
        <v>336</v>
      </c>
      <c r="F310" s="7">
        <v>4</v>
      </c>
      <c r="G310" s="7">
        <v>3</v>
      </c>
      <c r="H310" s="7">
        <v>81221</v>
      </c>
      <c r="I310" s="7" t="s">
        <v>104</v>
      </c>
      <c r="J310" s="7">
        <v>76027475</v>
      </c>
      <c r="K310" s="7" t="s">
        <v>1420</v>
      </c>
      <c r="L310" s="7" t="s">
        <v>1425</v>
      </c>
      <c r="M310" s="9">
        <v>229900</v>
      </c>
      <c r="N310" s="10">
        <f t="shared" si="14"/>
        <v>0.9</v>
      </c>
      <c r="O310" s="9">
        <f t="shared" si="12"/>
        <v>22989.999999999996</v>
      </c>
      <c r="P310" s="7" t="s">
        <v>16</v>
      </c>
    </row>
    <row r="311" spans="1:16" x14ac:dyDescent="0.25">
      <c r="A311" s="7" t="str">
        <f t="shared" si="13"/>
        <v>2022 ALL D90</v>
      </c>
      <c r="B311" s="8">
        <v>46099</v>
      </c>
      <c r="C311" s="8">
        <v>46113</v>
      </c>
      <c r="D311" s="7">
        <v>3272</v>
      </c>
      <c r="E311" s="7">
        <v>336</v>
      </c>
      <c r="F311" s="7">
        <v>4</v>
      </c>
      <c r="G311" s="7">
        <v>3</v>
      </c>
      <c r="H311" s="7">
        <v>81379</v>
      </c>
      <c r="I311" s="7" t="s">
        <v>104</v>
      </c>
      <c r="J311" s="7">
        <v>76174708</v>
      </c>
      <c r="K311" s="7" t="s">
        <v>1426</v>
      </c>
      <c r="L311" s="7" t="s">
        <v>1427</v>
      </c>
      <c r="M311" s="9">
        <v>229900</v>
      </c>
      <c r="N311" s="10">
        <f t="shared" si="14"/>
        <v>0.9</v>
      </c>
      <c r="O311" s="9">
        <f t="shared" si="12"/>
        <v>22989.999999999996</v>
      </c>
      <c r="P311" s="7" t="s">
        <v>16</v>
      </c>
    </row>
    <row r="312" spans="1:16" x14ac:dyDescent="0.25">
      <c r="A312" s="7" t="str">
        <f t="shared" si="13"/>
        <v>2022 ALL D90</v>
      </c>
      <c r="B312" s="8">
        <v>46099</v>
      </c>
      <c r="C312" s="8">
        <v>46113</v>
      </c>
      <c r="D312" s="7">
        <v>3272</v>
      </c>
      <c r="E312" s="7">
        <v>336</v>
      </c>
      <c r="F312" s="7">
        <v>4</v>
      </c>
      <c r="G312" s="7">
        <v>3</v>
      </c>
      <c r="H312" s="7">
        <v>81379</v>
      </c>
      <c r="I312" s="7" t="s">
        <v>104</v>
      </c>
      <c r="J312" s="7">
        <v>76174717</v>
      </c>
      <c r="K312" s="7" t="s">
        <v>1426</v>
      </c>
      <c r="L312" s="7" t="s">
        <v>1428</v>
      </c>
      <c r="M312" s="9">
        <v>229900</v>
      </c>
      <c r="N312" s="10">
        <f t="shared" si="14"/>
        <v>0.9</v>
      </c>
      <c r="O312" s="9">
        <f t="shared" si="12"/>
        <v>22989.999999999996</v>
      </c>
      <c r="P312" s="7" t="s">
        <v>16</v>
      </c>
    </row>
    <row r="313" spans="1:16" x14ac:dyDescent="0.25">
      <c r="A313" s="7" t="str">
        <f t="shared" si="13"/>
        <v>2022 ALL D90</v>
      </c>
      <c r="B313" s="8">
        <v>46099</v>
      </c>
      <c r="C313" s="8">
        <v>46113</v>
      </c>
      <c r="D313" s="7">
        <v>3272</v>
      </c>
      <c r="E313" s="7">
        <v>336</v>
      </c>
      <c r="F313" s="7">
        <v>4</v>
      </c>
      <c r="G313" s="7">
        <v>3</v>
      </c>
      <c r="H313" s="7">
        <v>81379</v>
      </c>
      <c r="I313" s="7" t="s">
        <v>104</v>
      </c>
      <c r="J313" s="7">
        <v>76174726</v>
      </c>
      <c r="K313" s="7" t="s">
        <v>1426</v>
      </c>
      <c r="L313" s="7" t="s">
        <v>1429</v>
      </c>
      <c r="M313" s="9">
        <v>229900</v>
      </c>
      <c r="N313" s="10">
        <f t="shared" si="14"/>
        <v>0.9</v>
      </c>
      <c r="O313" s="9">
        <f t="shared" si="12"/>
        <v>22989.999999999996</v>
      </c>
      <c r="P313" s="7" t="s">
        <v>16</v>
      </c>
    </row>
    <row r="314" spans="1:16" x14ac:dyDescent="0.25">
      <c r="A314" s="7" t="str">
        <f t="shared" si="13"/>
        <v>2022 ALL D90</v>
      </c>
      <c r="B314" s="8">
        <v>46099</v>
      </c>
      <c r="C314" s="8">
        <v>46113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76174735</v>
      </c>
      <c r="K314" s="7" t="s">
        <v>1426</v>
      </c>
      <c r="L314" s="7" t="s">
        <v>1430</v>
      </c>
      <c r="M314" s="9">
        <v>229900</v>
      </c>
      <c r="N314" s="10">
        <f t="shared" si="14"/>
        <v>0.9</v>
      </c>
      <c r="O314" s="9">
        <f t="shared" si="12"/>
        <v>22989.999999999996</v>
      </c>
      <c r="P314" s="7" t="s">
        <v>16</v>
      </c>
    </row>
    <row r="315" spans="1:16" x14ac:dyDescent="0.25">
      <c r="A315" s="7" t="str">
        <f t="shared" si="13"/>
        <v>2022 ALL D90</v>
      </c>
      <c r="B315" s="8">
        <v>46099</v>
      </c>
      <c r="C315" s="8">
        <v>46113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76174744</v>
      </c>
      <c r="K315" s="7" t="s">
        <v>1426</v>
      </c>
      <c r="L315" s="7" t="s">
        <v>1431</v>
      </c>
      <c r="M315" s="9">
        <v>229900</v>
      </c>
      <c r="N315" s="10">
        <f t="shared" si="14"/>
        <v>0.9</v>
      </c>
      <c r="O315" s="9">
        <f t="shared" si="12"/>
        <v>22989.999999999996</v>
      </c>
      <c r="P315" s="7" t="s">
        <v>16</v>
      </c>
    </row>
    <row r="316" spans="1:16" x14ac:dyDescent="0.25">
      <c r="A316" s="7" t="str">
        <f t="shared" si="13"/>
        <v>2022 ALL D90</v>
      </c>
      <c r="B316" s="8">
        <v>46099</v>
      </c>
      <c r="C316" s="8">
        <v>46113</v>
      </c>
      <c r="D316" s="7">
        <v>3272</v>
      </c>
      <c r="E316" s="7">
        <v>336</v>
      </c>
      <c r="F316" s="7">
        <v>4</v>
      </c>
      <c r="G316" s="7">
        <v>3</v>
      </c>
      <c r="H316" s="7">
        <v>81221</v>
      </c>
      <c r="I316" s="7" t="s">
        <v>104</v>
      </c>
      <c r="J316" s="7">
        <v>63286228</v>
      </c>
      <c r="K316" s="7" t="s">
        <v>1432</v>
      </c>
      <c r="L316" s="7" t="s">
        <v>1433</v>
      </c>
      <c r="M316" s="9">
        <v>229900</v>
      </c>
      <c r="N316" s="10">
        <f t="shared" si="14"/>
        <v>0.9</v>
      </c>
      <c r="O316" s="9">
        <f t="shared" si="12"/>
        <v>22989.999999999996</v>
      </c>
      <c r="P316" s="7" t="s">
        <v>16</v>
      </c>
    </row>
    <row r="317" spans="1:16" x14ac:dyDescent="0.25">
      <c r="A317" s="7" t="str">
        <f t="shared" si="13"/>
        <v>2022 ALL D90</v>
      </c>
      <c r="B317" s="8">
        <v>46099</v>
      </c>
      <c r="C317" s="8">
        <v>46113</v>
      </c>
      <c r="D317" s="7">
        <v>3272</v>
      </c>
      <c r="E317" s="7">
        <v>336</v>
      </c>
      <c r="F317" s="7">
        <v>4</v>
      </c>
      <c r="G317" s="7">
        <v>3</v>
      </c>
      <c r="H317" s="7">
        <v>81221</v>
      </c>
      <c r="I317" s="7" t="s">
        <v>104</v>
      </c>
      <c r="J317" s="7">
        <v>63286237</v>
      </c>
      <c r="K317" s="7" t="s">
        <v>1432</v>
      </c>
      <c r="L317" s="7" t="s">
        <v>1434</v>
      </c>
      <c r="M317" s="9">
        <v>229900</v>
      </c>
      <c r="N317" s="10">
        <f t="shared" si="14"/>
        <v>0.9</v>
      </c>
      <c r="O317" s="9">
        <f t="shared" si="12"/>
        <v>22989.999999999996</v>
      </c>
      <c r="P317" s="7" t="s">
        <v>16</v>
      </c>
    </row>
    <row r="318" spans="1:16" x14ac:dyDescent="0.25">
      <c r="A318" s="7" t="str">
        <f t="shared" si="13"/>
        <v>2022 ALL D90</v>
      </c>
      <c r="B318" s="8">
        <v>46099</v>
      </c>
      <c r="C318" s="8">
        <v>46113</v>
      </c>
      <c r="D318" s="7">
        <v>3272</v>
      </c>
      <c r="E318" s="7">
        <v>336</v>
      </c>
      <c r="F318" s="7">
        <v>4</v>
      </c>
      <c r="G318" s="7">
        <v>3</v>
      </c>
      <c r="H318" s="7">
        <v>81221</v>
      </c>
      <c r="I318" s="7" t="s">
        <v>104</v>
      </c>
      <c r="J318" s="7">
        <v>63286246</v>
      </c>
      <c r="K318" s="7" t="s">
        <v>1432</v>
      </c>
      <c r="L318" s="7" t="s">
        <v>1435</v>
      </c>
      <c r="M318" s="9">
        <v>229900</v>
      </c>
      <c r="N318" s="10">
        <f t="shared" si="14"/>
        <v>0.9</v>
      </c>
      <c r="O318" s="9">
        <f t="shared" si="12"/>
        <v>22989.999999999996</v>
      </c>
      <c r="P318" s="7" t="s">
        <v>16</v>
      </c>
    </row>
    <row r="319" spans="1:16" x14ac:dyDescent="0.25">
      <c r="A319" s="7" t="str">
        <f t="shared" si="13"/>
        <v>2022 ALL D90</v>
      </c>
      <c r="B319" s="8">
        <v>46099</v>
      </c>
      <c r="C319" s="8">
        <v>46113</v>
      </c>
      <c r="D319" s="7">
        <v>3272</v>
      </c>
      <c r="E319" s="7">
        <v>336</v>
      </c>
      <c r="F319" s="7">
        <v>4</v>
      </c>
      <c r="G319" s="7">
        <v>3</v>
      </c>
      <c r="H319" s="7">
        <v>81221</v>
      </c>
      <c r="I319" s="7" t="s">
        <v>104</v>
      </c>
      <c r="J319" s="7">
        <v>63286255</v>
      </c>
      <c r="K319" s="7" t="s">
        <v>1432</v>
      </c>
      <c r="L319" s="7" t="s">
        <v>1436</v>
      </c>
      <c r="M319" s="9">
        <v>229900</v>
      </c>
      <c r="N319" s="10">
        <f t="shared" si="14"/>
        <v>0.9</v>
      </c>
      <c r="O319" s="9">
        <f t="shared" si="12"/>
        <v>22989.999999999996</v>
      </c>
      <c r="P319" s="7" t="s">
        <v>16</v>
      </c>
    </row>
    <row r="320" spans="1:16" x14ac:dyDescent="0.25">
      <c r="A320" s="7" t="str">
        <f t="shared" si="13"/>
        <v>2022 ALL D90</v>
      </c>
      <c r="B320" s="8">
        <v>46099</v>
      </c>
      <c r="C320" s="8">
        <v>46113</v>
      </c>
      <c r="D320" s="7">
        <v>3272</v>
      </c>
      <c r="E320" s="7">
        <v>336</v>
      </c>
      <c r="F320" s="7">
        <v>4</v>
      </c>
      <c r="G320" s="7">
        <v>3</v>
      </c>
      <c r="H320" s="7">
        <v>81221</v>
      </c>
      <c r="I320" s="7" t="s">
        <v>104</v>
      </c>
      <c r="J320" s="7">
        <v>63286264</v>
      </c>
      <c r="K320" s="7" t="s">
        <v>1432</v>
      </c>
      <c r="L320" s="7" t="s">
        <v>1437</v>
      </c>
      <c r="M320" s="9">
        <v>229900</v>
      </c>
      <c r="N320" s="10">
        <f t="shared" si="14"/>
        <v>0.9</v>
      </c>
      <c r="O320" s="9">
        <f t="shared" si="12"/>
        <v>22989.999999999996</v>
      </c>
      <c r="P320" s="7" t="s">
        <v>16</v>
      </c>
    </row>
    <row r="321" spans="1:16" x14ac:dyDescent="0.25">
      <c r="A321" s="7" t="str">
        <f t="shared" si="13"/>
        <v>2022 ALL D90</v>
      </c>
      <c r="B321" s="8">
        <v>46099</v>
      </c>
      <c r="C321" s="8">
        <v>46113</v>
      </c>
      <c r="D321" s="7">
        <v>3272</v>
      </c>
      <c r="E321" s="7">
        <v>336</v>
      </c>
      <c r="F321" s="7">
        <v>4</v>
      </c>
      <c r="G321" s="7">
        <v>3</v>
      </c>
      <c r="H321" s="7">
        <v>81221</v>
      </c>
      <c r="I321" s="7" t="s">
        <v>104</v>
      </c>
      <c r="J321" s="7">
        <v>76175010</v>
      </c>
      <c r="K321" s="7" t="s">
        <v>1438</v>
      </c>
      <c r="L321" s="7" t="s">
        <v>1439</v>
      </c>
      <c r="M321" s="9">
        <v>229900</v>
      </c>
      <c r="N321" s="10">
        <f t="shared" si="14"/>
        <v>0.9</v>
      </c>
      <c r="O321" s="9">
        <f t="shared" si="12"/>
        <v>22989.999999999996</v>
      </c>
      <c r="P321" s="7" t="s">
        <v>16</v>
      </c>
    </row>
    <row r="322" spans="1:16" x14ac:dyDescent="0.25">
      <c r="A322" s="7" t="str">
        <f t="shared" si="13"/>
        <v>2022 ALL D90</v>
      </c>
      <c r="B322" s="8">
        <v>46099</v>
      </c>
      <c r="C322" s="8">
        <v>46113</v>
      </c>
      <c r="D322" s="7">
        <v>3272</v>
      </c>
      <c r="E322" s="7">
        <v>336</v>
      </c>
      <c r="F322" s="7">
        <v>4</v>
      </c>
      <c r="G322" s="7">
        <v>3</v>
      </c>
      <c r="H322" s="7">
        <v>81221</v>
      </c>
      <c r="I322" s="7" t="s">
        <v>104</v>
      </c>
      <c r="J322" s="7">
        <v>76175001</v>
      </c>
      <c r="K322" s="7" t="s">
        <v>1438</v>
      </c>
      <c r="L322" s="7" t="s">
        <v>1440</v>
      </c>
      <c r="M322" s="9">
        <v>229900</v>
      </c>
      <c r="N322" s="10">
        <f t="shared" si="14"/>
        <v>0.9</v>
      </c>
      <c r="O322" s="9">
        <f t="shared" si="12"/>
        <v>22989.999999999996</v>
      </c>
      <c r="P322" s="7" t="s">
        <v>16</v>
      </c>
    </row>
    <row r="323" spans="1:16" x14ac:dyDescent="0.25">
      <c r="A323" s="7" t="str">
        <f t="shared" si="13"/>
        <v>2022 ALL D90</v>
      </c>
      <c r="B323" s="8">
        <v>46099</v>
      </c>
      <c r="C323" s="8">
        <v>46113</v>
      </c>
      <c r="D323" s="7">
        <v>3272</v>
      </c>
      <c r="E323" s="7">
        <v>336</v>
      </c>
      <c r="F323" s="7">
        <v>4</v>
      </c>
      <c r="G323" s="7">
        <v>3</v>
      </c>
      <c r="H323" s="7">
        <v>81221</v>
      </c>
      <c r="I323" s="7" t="s">
        <v>104</v>
      </c>
      <c r="J323" s="7">
        <v>76175029</v>
      </c>
      <c r="K323" s="7" t="s">
        <v>1438</v>
      </c>
      <c r="L323" s="7" t="s">
        <v>1441</v>
      </c>
      <c r="M323" s="9">
        <v>229900</v>
      </c>
      <c r="N323" s="10">
        <f t="shared" si="14"/>
        <v>0.9</v>
      </c>
      <c r="O323" s="9">
        <f t="shared" ref="O323:O361" si="15">M323*(1-N323)</f>
        <v>22989.999999999996</v>
      </c>
      <c r="P323" s="7" t="s">
        <v>16</v>
      </c>
    </row>
    <row r="324" spans="1:16" x14ac:dyDescent="0.25">
      <c r="A324" s="7" t="str">
        <f t="shared" ref="A324:A361" si="16">A323</f>
        <v>2022 ALL D90</v>
      </c>
      <c r="B324" s="8">
        <v>46099</v>
      </c>
      <c r="C324" s="8">
        <v>46113</v>
      </c>
      <c r="D324" s="7">
        <v>3272</v>
      </c>
      <c r="E324" s="7">
        <v>336</v>
      </c>
      <c r="F324" s="7">
        <v>4</v>
      </c>
      <c r="G324" s="7">
        <v>3</v>
      </c>
      <c r="H324" s="7">
        <v>81221</v>
      </c>
      <c r="I324" s="7" t="s">
        <v>104</v>
      </c>
      <c r="J324" s="7">
        <v>76175038</v>
      </c>
      <c r="K324" s="7" t="s">
        <v>1438</v>
      </c>
      <c r="L324" s="7" t="s">
        <v>1442</v>
      </c>
      <c r="M324" s="9">
        <v>229900</v>
      </c>
      <c r="N324" s="10">
        <f t="shared" ref="N324:N361" si="17">N323</f>
        <v>0.9</v>
      </c>
      <c r="O324" s="9">
        <f t="shared" si="15"/>
        <v>22989.999999999996</v>
      </c>
      <c r="P324" s="7" t="s">
        <v>16</v>
      </c>
    </row>
    <row r="325" spans="1:16" x14ac:dyDescent="0.25">
      <c r="A325" s="7" t="str">
        <f t="shared" si="16"/>
        <v>2022 ALL D90</v>
      </c>
      <c r="B325" s="8">
        <v>46099</v>
      </c>
      <c r="C325" s="8">
        <v>46113</v>
      </c>
      <c r="D325" s="7">
        <v>3272</v>
      </c>
      <c r="E325" s="7">
        <v>336</v>
      </c>
      <c r="F325" s="7">
        <v>4</v>
      </c>
      <c r="G325" s="7">
        <v>3</v>
      </c>
      <c r="H325" s="7">
        <v>81221</v>
      </c>
      <c r="I325" s="7" t="s">
        <v>104</v>
      </c>
      <c r="J325" s="7">
        <v>76175047</v>
      </c>
      <c r="K325" s="7" t="s">
        <v>1438</v>
      </c>
      <c r="L325" s="7" t="s">
        <v>1443</v>
      </c>
      <c r="M325" s="9">
        <v>229900</v>
      </c>
      <c r="N325" s="10">
        <f t="shared" si="17"/>
        <v>0.9</v>
      </c>
      <c r="O325" s="9">
        <f t="shared" si="15"/>
        <v>22989.999999999996</v>
      </c>
      <c r="P325" s="7" t="s">
        <v>16</v>
      </c>
    </row>
    <row r="326" spans="1:16" x14ac:dyDescent="0.25">
      <c r="A326" s="7" t="str">
        <f t="shared" si="16"/>
        <v>2022 ALL D90</v>
      </c>
      <c r="B326" s="8">
        <v>46099</v>
      </c>
      <c r="C326" s="8">
        <v>46113</v>
      </c>
      <c r="D326" s="7">
        <v>3272</v>
      </c>
      <c r="E326" s="7">
        <v>336</v>
      </c>
      <c r="F326" s="7">
        <v>4</v>
      </c>
      <c r="G326" s="7">
        <v>3</v>
      </c>
      <c r="H326" s="7">
        <v>81379</v>
      </c>
      <c r="I326" s="7" t="s">
        <v>104</v>
      </c>
      <c r="J326" s="7">
        <v>63287110</v>
      </c>
      <c r="K326" s="7" t="s">
        <v>1444</v>
      </c>
      <c r="L326" s="7" t="s">
        <v>1445</v>
      </c>
      <c r="M326" s="9">
        <v>219900</v>
      </c>
      <c r="N326" s="10">
        <f t="shared" si="17"/>
        <v>0.9</v>
      </c>
      <c r="O326" s="9">
        <f t="shared" si="15"/>
        <v>21989.999999999996</v>
      </c>
      <c r="P326" s="7" t="s">
        <v>16</v>
      </c>
    </row>
    <row r="327" spans="1:16" x14ac:dyDescent="0.25">
      <c r="A327" s="7" t="str">
        <f t="shared" si="16"/>
        <v>2022 ALL D90</v>
      </c>
      <c r="B327" s="8">
        <v>46099</v>
      </c>
      <c r="C327" s="8">
        <v>46113</v>
      </c>
      <c r="D327" s="7">
        <v>3272</v>
      </c>
      <c r="E327" s="7">
        <v>336</v>
      </c>
      <c r="F327" s="7">
        <v>4</v>
      </c>
      <c r="G327" s="7">
        <v>3</v>
      </c>
      <c r="H327" s="7">
        <v>81379</v>
      </c>
      <c r="I327" s="7" t="s">
        <v>104</v>
      </c>
      <c r="J327" s="7">
        <v>63287129</v>
      </c>
      <c r="K327" s="7" t="s">
        <v>1444</v>
      </c>
      <c r="L327" s="7" t="s">
        <v>1446</v>
      </c>
      <c r="M327" s="9">
        <v>219900</v>
      </c>
      <c r="N327" s="10">
        <f t="shared" si="17"/>
        <v>0.9</v>
      </c>
      <c r="O327" s="9">
        <f t="shared" si="15"/>
        <v>21989.999999999996</v>
      </c>
      <c r="P327" s="7" t="s">
        <v>16</v>
      </c>
    </row>
    <row r="328" spans="1:16" x14ac:dyDescent="0.25">
      <c r="A328" s="7" t="str">
        <f t="shared" si="16"/>
        <v>2022 ALL D90</v>
      </c>
      <c r="B328" s="8">
        <v>46099</v>
      </c>
      <c r="C328" s="8">
        <v>46113</v>
      </c>
      <c r="D328" s="7">
        <v>3272</v>
      </c>
      <c r="E328" s="7">
        <v>336</v>
      </c>
      <c r="F328" s="7">
        <v>4</v>
      </c>
      <c r="G328" s="7">
        <v>3</v>
      </c>
      <c r="H328" s="7">
        <v>81379</v>
      </c>
      <c r="I328" s="7" t="s">
        <v>104</v>
      </c>
      <c r="J328" s="7">
        <v>63287138</v>
      </c>
      <c r="K328" s="7" t="s">
        <v>1444</v>
      </c>
      <c r="L328" s="7" t="s">
        <v>1447</v>
      </c>
      <c r="M328" s="9">
        <v>219900</v>
      </c>
      <c r="N328" s="10">
        <f t="shared" si="17"/>
        <v>0.9</v>
      </c>
      <c r="O328" s="9">
        <f t="shared" si="15"/>
        <v>21989.999999999996</v>
      </c>
      <c r="P328" s="7" t="s">
        <v>16</v>
      </c>
    </row>
    <row r="329" spans="1:16" x14ac:dyDescent="0.25">
      <c r="A329" s="7" t="str">
        <f t="shared" si="16"/>
        <v>2022 ALL D90</v>
      </c>
      <c r="B329" s="8">
        <v>46099</v>
      </c>
      <c r="C329" s="8">
        <v>46113</v>
      </c>
      <c r="D329" s="7">
        <v>3272</v>
      </c>
      <c r="E329" s="7">
        <v>336</v>
      </c>
      <c r="F329" s="7">
        <v>4</v>
      </c>
      <c r="G329" s="7">
        <v>3</v>
      </c>
      <c r="H329" s="7">
        <v>81379</v>
      </c>
      <c r="I329" s="7" t="s">
        <v>104</v>
      </c>
      <c r="J329" s="7">
        <v>63287156</v>
      </c>
      <c r="K329" s="7" t="s">
        <v>1444</v>
      </c>
      <c r="L329" s="7" t="s">
        <v>1448</v>
      </c>
      <c r="M329" s="9">
        <v>219900</v>
      </c>
      <c r="N329" s="10">
        <f t="shared" si="17"/>
        <v>0.9</v>
      </c>
      <c r="O329" s="9">
        <f t="shared" si="15"/>
        <v>21989.999999999996</v>
      </c>
      <c r="P329" s="7" t="s">
        <v>16</v>
      </c>
    </row>
    <row r="330" spans="1:16" x14ac:dyDescent="0.25">
      <c r="A330" s="7" t="str">
        <f t="shared" si="16"/>
        <v>2022 ALL D90</v>
      </c>
      <c r="B330" s="8">
        <v>46099</v>
      </c>
      <c r="C330" s="8">
        <v>46113</v>
      </c>
      <c r="D330" s="7">
        <v>3272</v>
      </c>
      <c r="E330" s="7">
        <v>336</v>
      </c>
      <c r="F330" s="7">
        <v>4</v>
      </c>
      <c r="G330" s="7">
        <v>3</v>
      </c>
      <c r="H330" s="7">
        <v>81379</v>
      </c>
      <c r="I330" s="7" t="s">
        <v>104</v>
      </c>
      <c r="J330" s="7">
        <v>76550499</v>
      </c>
      <c r="K330" s="7" t="s">
        <v>1449</v>
      </c>
      <c r="L330" s="7" t="s">
        <v>1450</v>
      </c>
      <c r="M330" s="9">
        <v>229900</v>
      </c>
      <c r="N330" s="10">
        <f t="shared" si="17"/>
        <v>0.9</v>
      </c>
      <c r="O330" s="9">
        <f t="shared" si="15"/>
        <v>22989.999999999996</v>
      </c>
      <c r="P330" s="7" t="s">
        <v>16</v>
      </c>
    </row>
    <row r="331" spans="1:16" x14ac:dyDescent="0.25">
      <c r="A331" s="7" t="str">
        <f t="shared" si="16"/>
        <v>2022 ALL D90</v>
      </c>
      <c r="B331" s="8">
        <v>46099</v>
      </c>
      <c r="C331" s="8">
        <v>46113</v>
      </c>
      <c r="D331" s="7">
        <v>3272</v>
      </c>
      <c r="E331" s="7">
        <v>336</v>
      </c>
      <c r="F331" s="7">
        <v>4</v>
      </c>
      <c r="G331" s="7">
        <v>3</v>
      </c>
      <c r="H331" s="7">
        <v>81379</v>
      </c>
      <c r="I331" s="7" t="s">
        <v>104</v>
      </c>
      <c r="J331" s="7">
        <v>76550506</v>
      </c>
      <c r="K331" s="7" t="s">
        <v>1449</v>
      </c>
      <c r="L331" s="7" t="s">
        <v>1451</v>
      </c>
      <c r="M331" s="9">
        <v>229900</v>
      </c>
      <c r="N331" s="10">
        <f t="shared" si="17"/>
        <v>0.9</v>
      </c>
      <c r="O331" s="9">
        <f t="shared" si="15"/>
        <v>22989.999999999996</v>
      </c>
      <c r="P331" s="7" t="s">
        <v>16</v>
      </c>
    </row>
    <row r="332" spans="1:16" x14ac:dyDescent="0.25">
      <c r="A332" s="7" t="str">
        <f t="shared" si="16"/>
        <v>2022 ALL D90</v>
      </c>
      <c r="B332" s="8">
        <v>46099</v>
      </c>
      <c r="C332" s="8">
        <v>46113</v>
      </c>
      <c r="D332" s="7">
        <v>3272</v>
      </c>
      <c r="E332" s="7">
        <v>336</v>
      </c>
      <c r="F332" s="7">
        <v>4</v>
      </c>
      <c r="G332" s="7">
        <v>3</v>
      </c>
      <c r="H332" s="7">
        <v>81379</v>
      </c>
      <c r="I332" s="7" t="s">
        <v>104</v>
      </c>
      <c r="J332" s="7">
        <v>76550515</v>
      </c>
      <c r="K332" s="7" t="s">
        <v>1449</v>
      </c>
      <c r="L332" s="7" t="s">
        <v>1452</v>
      </c>
      <c r="M332" s="9">
        <v>229900</v>
      </c>
      <c r="N332" s="10">
        <f t="shared" si="17"/>
        <v>0.9</v>
      </c>
      <c r="O332" s="9">
        <f t="shared" si="15"/>
        <v>22989.999999999996</v>
      </c>
      <c r="P332" s="7" t="s">
        <v>16</v>
      </c>
    </row>
    <row r="333" spans="1:16" x14ac:dyDescent="0.25">
      <c r="A333" s="7" t="str">
        <f t="shared" si="16"/>
        <v>2022 ALL D90</v>
      </c>
      <c r="B333" s="8">
        <v>46099</v>
      </c>
      <c r="C333" s="8">
        <v>46113</v>
      </c>
      <c r="D333" s="7">
        <v>3272</v>
      </c>
      <c r="E333" s="7">
        <v>336</v>
      </c>
      <c r="F333" s="7">
        <v>4</v>
      </c>
      <c r="G333" s="7">
        <v>3</v>
      </c>
      <c r="H333" s="7">
        <v>81379</v>
      </c>
      <c r="I333" s="7" t="s">
        <v>104</v>
      </c>
      <c r="J333" s="7">
        <v>76550524</v>
      </c>
      <c r="K333" s="7" t="s">
        <v>1449</v>
      </c>
      <c r="L333" s="7" t="s">
        <v>1453</v>
      </c>
      <c r="M333" s="9">
        <v>229900</v>
      </c>
      <c r="N333" s="10">
        <f t="shared" si="17"/>
        <v>0.9</v>
      </c>
      <c r="O333" s="9">
        <f t="shared" si="15"/>
        <v>22989.999999999996</v>
      </c>
      <c r="P333" s="7" t="s">
        <v>16</v>
      </c>
    </row>
    <row r="334" spans="1:16" x14ac:dyDescent="0.25">
      <c r="A334" s="7" t="str">
        <f t="shared" si="16"/>
        <v>2022 ALL D90</v>
      </c>
      <c r="B334" s="8">
        <v>46099</v>
      </c>
      <c r="C334" s="8">
        <v>46113</v>
      </c>
      <c r="D334" s="7">
        <v>3272</v>
      </c>
      <c r="E334" s="7">
        <v>336</v>
      </c>
      <c r="F334" s="7">
        <v>4</v>
      </c>
      <c r="G334" s="7">
        <v>3</v>
      </c>
      <c r="H334" s="7">
        <v>81379</v>
      </c>
      <c r="I334" s="7" t="s">
        <v>104</v>
      </c>
      <c r="J334" s="7">
        <v>76550533</v>
      </c>
      <c r="K334" s="7" t="s">
        <v>1449</v>
      </c>
      <c r="L334" s="7" t="s">
        <v>1454</v>
      </c>
      <c r="M334" s="9">
        <v>229900</v>
      </c>
      <c r="N334" s="10">
        <f t="shared" si="17"/>
        <v>0.9</v>
      </c>
      <c r="O334" s="9">
        <f t="shared" si="15"/>
        <v>22989.999999999996</v>
      </c>
      <c r="P334" s="7" t="s">
        <v>16</v>
      </c>
    </row>
    <row r="335" spans="1:16" x14ac:dyDescent="0.25">
      <c r="A335" s="7" t="str">
        <f t="shared" si="16"/>
        <v>2022 ALL D90</v>
      </c>
      <c r="B335" s="8">
        <v>46099</v>
      </c>
      <c r="C335" s="8">
        <v>46113</v>
      </c>
      <c r="D335" s="7">
        <v>3272</v>
      </c>
      <c r="E335" s="7">
        <v>336</v>
      </c>
      <c r="F335" s="7">
        <v>4</v>
      </c>
      <c r="G335" s="7">
        <v>3</v>
      </c>
      <c r="H335" s="7">
        <v>81379</v>
      </c>
      <c r="I335" s="7" t="s">
        <v>104</v>
      </c>
      <c r="J335" s="7">
        <v>76299306</v>
      </c>
      <c r="K335" s="7" t="s">
        <v>1455</v>
      </c>
      <c r="L335" s="7" t="s">
        <v>1456</v>
      </c>
      <c r="M335" s="9">
        <v>229900</v>
      </c>
      <c r="N335" s="10">
        <f t="shared" si="17"/>
        <v>0.9</v>
      </c>
      <c r="O335" s="9">
        <f t="shared" si="15"/>
        <v>22989.999999999996</v>
      </c>
      <c r="P335" s="7" t="s">
        <v>16</v>
      </c>
    </row>
    <row r="336" spans="1:16" x14ac:dyDescent="0.25">
      <c r="A336" s="7" t="str">
        <f t="shared" si="16"/>
        <v>2022 ALL D90</v>
      </c>
      <c r="B336" s="8">
        <v>46099</v>
      </c>
      <c r="C336" s="8">
        <v>46113</v>
      </c>
      <c r="D336" s="7">
        <v>3272</v>
      </c>
      <c r="E336" s="7">
        <v>336</v>
      </c>
      <c r="F336" s="7">
        <v>4</v>
      </c>
      <c r="G336" s="7">
        <v>3</v>
      </c>
      <c r="H336" s="7">
        <v>81379</v>
      </c>
      <c r="I336" s="7" t="s">
        <v>104</v>
      </c>
      <c r="J336" s="7">
        <v>76395167</v>
      </c>
      <c r="K336" s="7" t="s">
        <v>1455</v>
      </c>
      <c r="L336" s="7" t="s">
        <v>1457</v>
      </c>
      <c r="M336" s="9">
        <v>229900</v>
      </c>
      <c r="N336" s="10">
        <f t="shared" si="17"/>
        <v>0.9</v>
      </c>
      <c r="O336" s="9">
        <f t="shared" si="15"/>
        <v>22989.999999999996</v>
      </c>
      <c r="P336" s="7" t="s">
        <v>16</v>
      </c>
    </row>
    <row r="337" spans="1:16" x14ac:dyDescent="0.25">
      <c r="A337" s="7" t="str">
        <f t="shared" si="16"/>
        <v>2022 ALL D90</v>
      </c>
      <c r="B337" s="8">
        <v>46099</v>
      </c>
      <c r="C337" s="8">
        <v>46113</v>
      </c>
      <c r="D337" s="7">
        <v>3272</v>
      </c>
      <c r="E337" s="7">
        <v>336</v>
      </c>
      <c r="F337" s="7">
        <v>4</v>
      </c>
      <c r="G337" s="7">
        <v>3</v>
      </c>
      <c r="H337" s="7">
        <v>81379</v>
      </c>
      <c r="I337" s="7" t="s">
        <v>104</v>
      </c>
      <c r="J337" s="7">
        <v>76395176</v>
      </c>
      <c r="K337" s="7" t="s">
        <v>1455</v>
      </c>
      <c r="L337" s="7" t="s">
        <v>1458</v>
      </c>
      <c r="M337" s="9">
        <v>229900</v>
      </c>
      <c r="N337" s="10">
        <f t="shared" si="17"/>
        <v>0.9</v>
      </c>
      <c r="O337" s="9">
        <f t="shared" si="15"/>
        <v>22989.999999999996</v>
      </c>
      <c r="P337" s="7" t="s">
        <v>16</v>
      </c>
    </row>
    <row r="338" spans="1:16" x14ac:dyDescent="0.25">
      <c r="A338" s="7" t="str">
        <f t="shared" si="16"/>
        <v>2022 ALL D90</v>
      </c>
      <c r="B338" s="8">
        <v>46099</v>
      </c>
      <c r="C338" s="8">
        <v>46113</v>
      </c>
      <c r="D338" s="7">
        <v>3272</v>
      </c>
      <c r="E338" s="7">
        <v>336</v>
      </c>
      <c r="F338" s="7">
        <v>4</v>
      </c>
      <c r="G338" s="7">
        <v>3</v>
      </c>
      <c r="H338" s="7">
        <v>81379</v>
      </c>
      <c r="I338" s="7" t="s">
        <v>104</v>
      </c>
      <c r="J338" s="7">
        <v>76395185</v>
      </c>
      <c r="K338" s="7" t="s">
        <v>1455</v>
      </c>
      <c r="L338" s="7" t="s">
        <v>1459</v>
      </c>
      <c r="M338" s="9">
        <v>229900</v>
      </c>
      <c r="N338" s="10">
        <f t="shared" si="17"/>
        <v>0.9</v>
      </c>
      <c r="O338" s="9">
        <f t="shared" si="15"/>
        <v>22989.999999999996</v>
      </c>
      <c r="P338" s="7" t="s">
        <v>16</v>
      </c>
    </row>
    <row r="339" spans="1:16" x14ac:dyDescent="0.25">
      <c r="A339" s="7" t="str">
        <f t="shared" si="16"/>
        <v>2022 ALL D90</v>
      </c>
      <c r="B339" s="8">
        <v>46099</v>
      </c>
      <c r="C339" s="8">
        <v>46113</v>
      </c>
      <c r="D339" s="7">
        <v>3272</v>
      </c>
      <c r="E339" s="7">
        <v>336</v>
      </c>
      <c r="F339" s="7">
        <v>4</v>
      </c>
      <c r="G339" s="7">
        <v>4</v>
      </c>
      <c r="H339" s="7">
        <v>81379</v>
      </c>
      <c r="I339" s="7" t="s">
        <v>104</v>
      </c>
      <c r="J339" s="7">
        <v>76174806</v>
      </c>
      <c r="K339" s="7" t="s">
        <v>1460</v>
      </c>
      <c r="L339" s="7" t="s">
        <v>1461</v>
      </c>
      <c r="M339" s="9">
        <v>159900</v>
      </c>
      <c r="N339" s="10">
        <f t="shared" si="17"/>
        <v>0.9</v>
      </c>
      <c r="O339" s="9">
        <f t="shared" si="15"/>
        <v>15989.999999999996</v>
      </c>
      <c r="P339" s="7" t="s">
        <v>16</v>
      </c>
    </row>
    <row r="340" spans="1:16" x14ac:dyDescent="0.25">
      <c r="A340" s="7" t="str">
        <f t="shared" si="16"/>
        <v>2022 ALL D90</v>
      </c>
      <c r="B340" s="8">
        <v>46099</v>
      </c>
      <c r="C340" s="8">
        <v>46113</v>
      </c>
      <c r="D340" s="7">
        <v>3272</v>
      </c>
      <c r="E340" s="7">
        <v>336</v>
      </c>
      <c r="F340" s="7">
        <v>4</v>
      </c>
      <c r="G340" s="7">
        <v>4</v>
      </c>
      <c r="H340" s="7">
        <v>81379</v>
      </c>
      <c r="I340" s="7" t="s">
        <v>104</v>
      </c>
      <c r="J340" s="7">
        <v>76174815</v>
      </c>
      <c r="K340" s="7" t="s">
        <v>1460</v>
      </c>
      <c r="L340" s="7" t="s">
        <v>1462</v>
      </c>
      <c r="M340" s="9">
        <v>159900</v>
      </c>
      <c r="N340" s="10">
        <f t="shared" si="17"/>
        <v>0.9</v>
      </c>
      <c r="O340" s="9">
        <f t="shared" si="15"/>
        <v>15989.999999999996</v>
      </c>
      <c r="P340" s="7" t="s">
        <v>16</v>
      </c>
    </row>
    <row r="341" spans="1:16" x14ac:dyDescent="0.25">
      <c r="A341" s="7" t="str">
        <f t="shared" si="16"/>
        <v>2022 ALL D90</v>
      </c>
      <c r="B341" s="8">
        <v>46099</v>
      </c>
      <c r="C341" s="8">
        <v>46113</v>
      </c>
      <c r="D341" s="7">
        <v>3272</v>
      </c>
      <c r="E341" s="7">
        <v>336</v>
      </c>
      <c r="F341" s="7">
        <v>4</v>
      </c>
      <c r="G341" s="7">
        <v>4</v>
      </c>
      <c r="H341" s="7">
        <v>81379</v>
      </c>
      <c r="I341" s="7" t="s">
        <v>104</v>
      </c>
      <c r="J341" s="7">
        <v>76174824</v>
      </c>
      <c r="K341" s="7" t="s">
        <v>1460</v>
      </c>
      <c r="L341" s="7" t="s">
        <v>1463</v>
      </c>
      <c r="M341" s="9">
        <v>159900</v>
      </c>
      <c r="N341" s="10">
        <f t="shared" si="17"/>
        <v>0.9</v>
      </c>
      <c r="O341" s="9">
        <f t="shared" si="15"/>
        <v>15989.999999999996</v>
      </c>
      <c r="P341" s="7" t="s">
        <v>16</v>
      </c>
    </row>
    <row r="342" spans="1:16" x14ac:dyDescent="0.25">
      <c r="A342" s="7" t="str">
        <f t="shared" si="16"/>
        <v>2022 ALL D90</v>
      </c>
      <c r="B342" s="8">
        <v>46099</v>
      </c>
      <c r="C342" s="8">
        <v>46113</v>
      </c>
      <c r="D342" s="7">
        <v>3272</v>
      </c>
      <c r="E342" s="7">
        <v>336</v>
      </c>
      <c r="F342" s="7">
        <v>4</v>
      </c>
      <c r="G342" s="7">
        <v>4</v>
      </c>
      <c r="H342" s="7">
        <v>81379</v>
      </c>
      <c r="I342" s="7" t="s">
        <v>104</v>
      </c>
      <c r="J342" s="7">
        <v>76174833</v>
      </c>
      <c r="K342" s="7" t="s">
        <v>1460</v>
      </c>
      <c r="L342" s="7" t="s">
        <v>1464</v>
      </c>
      <c r="M342" s="9">
        <v>159900</v>
      </c>
      <c r="N342" s="10">
        <f t="shared" si="17"/>
        <v>0.9</v>
      </c>
      <c r="O342" s="9">
        <f t="shared" si="15"/>
        <v>15989.999999999996</v>
      </c>
      <c r="P342" s="7" t="s">
        <v>16</v>
      </c>
    </row>
    <row r="343" spans="1:16" x14ac:dyDescent="0.25">
      <c r="A343" s="7" t="str">
        <f t="shared" si="16"/>
        <v>2022 ALL D90</v>
      </c>
      <c r="B343" s="8">
        <v>46099</v>
      </c>
      <c r="C343" s="8">
        <v>46113</v>
      </c>
      <c r="D343" s="7">
        <v>3272</v>
      </c>
      <c r="E343" s="7">
        <v>336</v>
      </c>
      <c r="F343" s="7">
        <v>4</v>
      </c>
      <c r="G343" s="7">
        <v>4</v>
      </c>
      <c r="H343" s="7">
        <v>81379</v>
      </c>
      <c r="I343" s="7" t="s">
        <v>104</v>
      </c>
      <c r="J343" s="7">
        <v>76174842</v>
      </c>
      <c r="K343" s="7" t="s">
        <v>1460</v>
      </c>
      <c r="L343" s="7" t="s">
        <v>1465</v>
      </c>
      <c r="M343" s="9">
        <v>159900</v>
      </c>
      <c r="N343" s="10">
        <f t="shared" si="17"/>
        <v>0.9</v>
      </c>
      <c r="O343" s="9">
        <f t="shared" si="15"/>
        <v>15989.999999999996</v>
      </c>
      <c r="P343" s="7" t="s">
        <v>16</v>
      </c>
    </row>
    <row r="344" spans="1:16" x14ac:dyDescent="0.25">
      <c r="A344" s="7" t="str">
        <f t="shared" si="16"/>
        <v>2022 ALL D90</v>
      </c>
      <c r="B344" s="8">
        <v>46099</v>
      </c>
      <c r="C344" s="8">
        <v>46113</v>
      </c>
      <c r="D344" s="7">
        <v>3272</v>
      </c>
      <c r="E344" s="7">
        <v>336</v>
      </c>
      <c r="F344" s="7">
        <v>4</v>
      </c>
      <c r="G344" s="7">
        <v>4</v>
      </c>
      <c r="H344" s="7">
        <v>81676</v>
      </c>
      <c r="I344" s="7" t="s">
        <v>104</v>
      </c>
      <c r="J344" s="7">
        <v>63287236</v>
      </c>
      <c r="K344" s="7" t="s">
        <v>1466</v>
      </c>
      <c r="L344" s="7" t="s">
        <v>1467</v>
      </c>
      <c r="M344" s="9">
        <v>169900</v>
      </c>
      <c r="N344" s="10">
        <f t="shared" si="17"/>
        <v>0.9</v>
      </c>
      <c r="O344" s="9">
        <f t="shared" si="15"/>
        <v>16989.999999999996</v>
      </c>
      <c r="P344" s="7" t="s">
        <v>16</v>
      </c>
    </row>
    <row r="345" spans="1:16" x14ac:dyDescent="0.25">
      <c r="A345" s="7" t="str">
        <f t="shared" si="16"/>
        <v>2022 ALL D90</v>
      </c>
      <c r="B345" s="8">
        <v>46099</v>
      </c>
      <c r="C345" s="8">
        <v>46113</v>
      </c>
      <c r="D345" s="7">
        <v>3272</v>
      </c>
      <c r="E345" s="7">
        <v>336</v>
      </c>
      <c r="F345" s="7">
        <v>4</v>
      </c>
      <c r="G345" s="7">
        <v>4</v>
      </c>
      <c r="H345" s="7">
        <v>81676</v>
      </c>
      <c r="I345" s="7" t="s">
        <v>104</v>
      </c>
      <c r="J345" s="7">
        <v>63287245</v>
      </c>
      <c r="K345" s="7" t="s">
        <v>1466</v>
      </c>
      <c r="L345" s="7" t="s">
        <v>1468</v>
      </c>
      <c r="M345" s="9">
        <v>169900</v>
      </c>
      <c r="N345" s="10">
        <f t="shared" si="17"/>
        <v>0.9</v>
      </c>
      <c r="O345" s="9">
        <f t="shared" si="15"/>
        <v>16989.999999999996</v>
      </c>
      <c r="P345" s="7" t="s">
        <v>16</v>
      </c>
    </row>
    <row r="346" spans="1:16" x14ac:dyDescent="0.25">
      <c r="A346" s="7" t="str">
        <f t="shared" si="16"/>
        <v>2022 ALL D90</v>
      </c>
      <c r="B346" s="8">
        <v>46099</v>
      </c>
      <c r="C346" s="8">
        <v>46113</v>
      </c>
      <c r="D346" s="7">
        <v>3272</v>
      </c>
      <c r="E346" s="7">
        <v>336</v>
      </c>
      <c r="F346" s="7">
        <v>4</v>
      </c>
      <c r="G346" s="7">
        <v>4</v>
      </c>
      <c r="H346" s="7">
        <v>81676</v>
      </c>
      <c r="I346" s="7" t="s">
        <v>104</v>
      </c>
      <c r="J346" s="7">
        <v>63287254</v>
      </c>
      <c r="K346" s="7" t="s">
        <v>1466</v>
      </c>
      <c r="L346" s="7" t="s">
        <v>1469</v>
      </c>
      <c r="M346" s="9">
        <v>169900</v>
      </c>
      <c r="N346" s="10">
        <f t="shared" si="17"/>
        <v>0.9</v>
      </c>
      <c r="O346" s="9">
        <f t="shared" si="15"/>
        <v>16989.999999999996</v>
      </c>
      <c r="P346" s="7" t="s">
        <v>16</v>
      </c>
    </row>
    <row r="347" spans="1:16" x14ac:dyDescent="0.25">
      <c r="A347" s="7" t="str">
        <f t="shared" si="16"/>
        <v>2022 ALL D90</v>
      </c>
      <c r="B347" s="8">
        <v>46099</v>
      </c>
      <c r="C347" s="8">
        <v>46113</v>
      </c>
      <c r="D347" s="7">
        <v>3272</v>
      </c>
      <c r="E347" s="7">
        <v>336</v>
      </c>
      <c r="F347" s="7">
        <v>4</v>
      </c>
      <c r="G347" s="7">
        <v>5</v>
      </c>
      <c r="H347" s="7">
        <v>81379</v>
      </c>
      <c r="I347" s="7" t="s">
        <v>104</v>
      </c>
      <c r="J347" s="7">
        <v>76174753</v>
      </c>
      <c r="K347" s="7" t="s">
        <v>1470</v>
      </c>
      <c r="L347" s="7" t="s">
        <v>1471</v>
      </c>
      <c r="M347" s="9">
        <v>219900</v>
      </c>
      <c r="N347" s="10">
        <f t="shared" si="17"/>
        <v>0.9</v>
      </c>
      <c r="O347" s="9">
        <f t="shared" si="15"/>
        <v>21989.999999999996</v>
      </c>
      <c r="P347" s="7" t="s">
        <v>16</v>
      </c>
    </row>
    <row r="348" spans="1:16" x14ac:dyDescent="0.25">
      <c r="A348" s="7" t="str">
        <f t="shared" si="16"/>
        <v>2022 ALL D90</v>
      </c>
      <c r="B348" s="8">
        <v>46099</v>
      </c>
      <c r="C348" s="8">
        <v>46113</v>
      </c>
      <c r="D348" s="7">
        <v>3272</v>
      </c>
      <c r="E348" s="7">
        <v>336</v>
      </c>
      <c r="F348" s="7">
        <v>4</v>
      </c>
      <c r="G348" s="7">
        <v>5</v>
      </c>
      <c r="H348" s="7">
        <v>81379</v>
      </c>
      <c r="I348" s="7" t="s">
        <v>104</v>
      </c>
      <c r="J348" s="7">
        <v>76174762</v>
      </c>
      <c r="K348" s="7" t="s">
        <v>1470</v>
      </c>
      <c r="L348" s="7" t="s">
        <v>1472</v>
      </c>
      <c r="M348" s="9">
        <v>219900</v>
      </c>
      <c r="N348" s="10">
        <f t="shared" si="17"/>
        <v>0.9</v>
      </c>
      <c r="O348" s="9">
        <f t="shared" si="15"/>
        <v>21989.999999999996</v>
      </c>
      <c r="P348" s="7" t="s">
        <v>16</v>
      </c>
    </row>
    <row r="349" spans="1:16" x14ac:dyDescent="0.25">
      <c r="A349" s="7" t="str">
        <f t="shared" si="16"/>
        <v>2022 ALL D90</v>
      </c>
      <c r="B349" s="8">
        <v>46099</v>
      </c>
      <c r="C349" s="8">
        <v>46113</v>
      </c>
      <c r="D349" s="7">
        <v>3272</v>
      </c>
      <c r="E349" s="7">
        <v>336</v>
      </c>
      <c r="F349" s="7">
        <v>4</v>
      </c>
      <c r="G349" s="7">
        <v>5</v>
      </c>
      <c r="H349" s="7">
        <v>81379</v>
      </c>
      <c r="I349" s="7" t="s">
        <v>104</v>
      </c>
      <c r="J349" s="7">
        <v>76174771</v>
      </c>
      <c r="K349" s="7" t="s">
        <v>1470</v>
      </c>
      <c r="L349" s="7" t="s">
        <v>1473</v>
      </c>
      <c r="M349" s="9">
        <v>219900</v>
      </c>
      <c r="N349" s="10">
        <f t="shared" si="17"/>
        <v>0.9</v>
      </c>
      <c r="O349" s="9">
        <f t="shared" si="15"/>
        <v>21989.999999999996</v>
      </c>
      <c r="P349" s="7" t="s">
        <v>16</v>
      </c>
    </row>
    <row r="350" spans="1:16" x14ac:dyDescent="0.25">
      <c r="A350" s="7" t="str">
        <f t="shared" si="16"/>
        <v>2022 ALL D90</v>
      </c>
      <c r="B350" s="8">
        <v>46099</v>
      </c>
      <c r="C350" s="8">
        <v>46113</v>
      </c>
      <c r="D350" s="7">
        <v>3272</v>
      </c>
      <c r="E350" s="7">
        <v>336</v>
      </c>
      <c r="F350" s="7">
        <v>4</v>
      </c>
      <c r="G350" s="7">
        <v>5</v>
      </c>
      <c r="H350" s="7">
        <v>81379</v>
      </c>
      <c r="I350" s="7" t="s">
        <v>104</v>
      </c>
      <c r="J350" s="7">
        <v>76174780</v>
      </c>
      <c r="K350" s="7" t="s">
        <v>1470</v>
      </c>
      <c r="L350" s="7" t="s">
        <v>1474</v>
      </c>
      <c r="M350" s="9">
        <v>219900</v>
      </c>
      <c r="N350" s="10">
        <f t="shared" si="17"/>
        <v>0.9</v>
      </c>
      <c r="O350" s="9">
        <f t="shared" si="15"/>
        <v>21989.999999999996</v>
      </c>
      <c r="P350" s="7" t="s">
        <v>16</v>
      </c>
    </row>
    <row r="351" spans="1:16" x14ac:dyDescent="0.25">
      <c r="A351" s="7" t="str">
        <f t="shared" si="16"/>
        <v>2022 ALL D90</v>
      </c>
      <c r="B351" s="8">
        <v>46099</v>
      </c>
      <c r="C351" s="8">
        <v>46113</v>
      </c>
      <c r="D351" s="7">
        <v>3272</v>
      </c>
      <c r="E351" s="7">
        <v>336</v>
      </c>
      <c r="F351" s="7">
        <v>4</v>
      </c>
      <c r="G351" s="7">
        <v>5</v>
      </c>
      <c r="H351" s="7">
        <v>81379</v>
      </c>
      <c r="I351" s="7" t="s">
        <v>104</v>
      </c>
      <c r="J351" s="7">
        <v>76174799</v>
      </c>
      <c r="K351" s="7" t="s">
        <v>1470</v>
      </c>
      <c r="L351" s="7" t="s">
        <v>1475</v>
      </c>
      <c r="M351" s="9">
        <v>219900</v>
      </c>
      <c r="N351" s="10">
        <f t="shared" si="17"/>
        <v>0.9</v>
      </c>
      <c r="O351" s="9">
        <f t="shared" si="15"/>
        <v>21989.999999999996</v>
      </c>
      <c r="P351" s="7" t="s">
        <v>16</v>
      </c>
    </row>
    <row r="352" spans="1:16" x14ac:dyDescent="0.25">
      <c r="A352" s="7" t="str">
        <f t="shared" si="16"/>
        <v>2022 ALL D90</v>
      </c>
      <c r="B352" s="8">
        <v>46099</v>
      </c>
      <c r="C352" s="8">
        <v>46113</v>
      </c>
      <c r="D352" s="7">
        <v>3272</v>
      </c>
      <c r="E352" s="7">
        <v>336</v>
      </c>
      <c r="F352" s="7">
        <v>4</v>
      </c>
      <c r="G352" s="7">
        <v>6</v>
      </c>
      <c r="H352" s="7">
        <v>81574</v>
      </c>
      <c r="I352" s="7" t="s">
        <v>104</v>
      </c>
      <c r="J352" s="7">
        <v>64327066</v>
      </c>
      <c r="K352" s="7" t="s">
        <v>1476</v>
      </c>
      <c r="L352" s="7" t="s">
        <v>1477</v>
      </c>
      <c r="M352" s="9">
        <v>129900</v>
      </c>
      <c r="N352" s="10">
        <f t="shared" si="17"/>
        <v>0.9</v>
      </c>
      <c r="O352" s="9">
        <f t="shared" si="15"/>
        <v>12989.999999999996</v>
      </c>
      <c r="P352" s="7" t="s">
        <v>16</v>
      </c>
    </row>
    <row r="353" spans="1:16" x14ac:dyDescent="0.25">
      <c r="A353" s="7" t="str">
        <f t="shared" si="16"/>
        <v>2022 ALL D90</v>
      </c>
      <c r="B353" s="8">
        <v>46099</v>
      </c>
      <c r="C353" s="8">
        <v>46113</v>
      </c>
      <c r="D353" s="7">
        <v>3272</v>
      </c>
      <c r="E353" s="7">
        <v>336</v>
      </c>
      <c r="F353" s="7">
        <v>4</v>
      </c>
      <c r="G353" s="7">
        <v>6</v>
      </c>
      <c r="H353" s="7">
        <v>81221</v>
      </c>
      <c r="I353" s="7" t="s">
        <v>104</v>
      </c>
      <c r="J353" s="7">
        <v>66037205</v>
      </c>
      <c r="K353" s="7" t="s">
        <v>1478</v>
      </c>
      <c r="L353" s="7" t="s">
        <v>1479</v>
      </c>
      <c r="M353" s="9">
        <v>129900</v>
      </c>
      <c r="N353" s="10">
        <f t="shared" si="17"/>
        <v>0.9</v>
      </c>
      <c r="O353" s="9">
        <f t="shared" si="15"/>
        <v>12989.999999999996</v>
      </c>
      <c r="P353" s="7" t="s">
        <v>16</v>
      </c>
    </row>
    <row r="354" spans="1:16" x14ac:dyDescent="0.25">
      <c r="A354" s="7" t="str">
        <f t="shared" si="16"/>
        <v>2022 ALL D90</v>
      </c>
      <c r="B354" s="8">
        <v>46099</v>
      </c>
      <c r="C354" s="8">
        <v>46113</v>
      </c>
      <c r="D354" s="7">
        <v>3272</v>
      </c>
      <c r="E354" s="7">
        <v>336</v>
      </c>
      <c r="F354" s="7">
        <v>4</v>
      </c>
      <c r="G354" s="7">
        <v>6</v>
      </c>
      <c r="H354" s="7">
        <v>81221</v>
      </c>
      <c r="I354" s="7" t="s">
        <v>104</v>
      </c>
      <c r="J354" s="7">
        <v>65515566</v>
      </c>
      <c r="K354" s="7" t="s">
        <v>1480</v>
      </c>
      <c r="L354" s="7" t="s">
        <v>1481</v>
      </c>
      <c r="M354" s="9">
        <v>129900</v>
      </c>
      <c r="N354" s="10">
        <f t="shared" si="17"/>
        <v>0.9</v>
      </c>
      <c r="O354" s="9">
        <f t="shared" si="15"/>
        <v>12989.999999999996</v>
      </c>
      <c r="P354" s="7" t="s">
        <v>16</v>
      </c>
    </row>
    <row r="355" spans="1:16" x14ac:dyDescent="0.25">
      <c r="A355" s="7" t="str">
        <f t="shared" si="16"/>
        <v>2022 ALL D90</v>
      </c>
      <c r="B355" s="8">
        <v>46099</v>
      </c>
      <c r="C355" s="8">
        <v>46113</v>
      </c>
      <c r="D355" s="7">
        <v>3272</v>
      </c>
      <c r="E355" s="7">
        <v>336</v>
      </c>
      <c r="F355" s="7">
        <v>4</v>
      </c>
      <c r="G355" s="7">
        <v>6</v>
      </c>
      <c r="H355" s="7">
        <v>81221</v>
      </c>
      <c r="I355" s="7" t="s">
        <v>104</v>
      </c>
      <c r="J355" s="7">
        <v>73076436</v>
      </c>
      <c r="K355" s="7" t="s">
        <v>1482</v>
      </c>
      <c r="L355" s="7" t="s">
        <v>1483</v>
      </c>
      <c r="M355" s="9">
        <v>129900</v>
      </c>
      <c r="N355" s="10">
        <f t="shared" si="17"/>
        <v>0.9</v>
      </c>
      <c r="O355" s="9">
        <f t="shared" si="15"/>
        <v>12989.999999999996</v>
      </c>
      <c r="P355" s="7" t="s">
        <v>16</v>
      </c>
    </row>
    <row r="356" spans="1:16" x14ac:dyDescent="0.25">
      <c r="A356" s="7" t="str">
        <f t="shared" si="16"/>
        <v>2022 ALL D90</v>
      </c>
      <c r="B356" s="8">
        <v>46099</v>
      </c>
      <c r="C356" s="8">
        <v>46113</v>
      </c>
      <c r="D356" s="7">
        <v>3272</v>
      </c>
      <c r="E356" s="7">
        <v>336</v>
      </c>
      <c r="F356" s="7">
        <v>4</v>
      </c>
      <c r="G356" s="7">
        <v>6</v>
      </c>
      <c r="H356" s="7">
        <v>81221</v>
      </c>
      <c r="I356" s="7" t="s">
        <v>104</v>
      </c>
      <c r="J356" s="7">
        <v>63516612</v>
      </c>
      <c r="K356" s="7" t="s">
        <v>1484</v>
      </c>
      <c r="L356" s="7" t="s">
        <v>1485</v>
      </c>
      <c r="M356" s="9">
        <v>129900</v>
      </c>
      <c r="N356" s="10">
        <f t="shared" si="17"/>
        <v>0.9</v>
      </c>
      <c r="O356" s="9">
        <f t="shared" si="15"/>
        <v>12989.999999999996</v>
      </c>
      <c r="P356" s="7" t="s">
        <v>16</v>
      </c>
    </row>
    <row r="357" spans="1:16" x14ac:dyDescent="0.25">
      <c r="A357" s="7" t="str">
        <f t="shared" si="16"/>
        <v>2022 ALL D90</v>
      </c>
      <c r="B357" s="8">
        <v>46099</v>
      </c>
      <c r="C357" s="8">
        <v>46113</v>
      </c>
      <c r="D357" s="7">
        <v>3272</v>
      </c>
      <c r="E357" s="7">
        <v>336</v>
      </c>
      <c r="F357" s="7">
        <v>4</v>
      </c>
      <c r="G357" s="7">
        <v>6</v>
      </c>
      <c r="H357" s="7">
        <v>81221</v>
      </c>
      <c r="I357" s="7" t="s">
        <v>104</v>
      </c>
      <c r="J357" s="7">
        <v>73375569</v>
      </c>
      <c r="K357" s="7" t="s">
        <v>1486</v>
      </c>
      <c r="L357" s="7" t="s">
        <v>1487</v>
      </c>
      <c r="M357" s="9">
        <v>129900</v>
      </c>
      <c r="N357" s="10">
        <f t="shared" si="17"/>
        <v>0.9</v>
      </c>
      <c r="O357" s="9">
        <f t="shared" si="15"/>
        <v>12989.999999999996</v>
      </c>
      <c r="P357" s="7" t="s">
        <v>16</v>
      </c>
    </row>
    <row r="358" spans="1:16" x14ac:dyDescent="0.25">
      <c r="A358" s="7" t="str">
        <f t="shared" si="16"/>
        <v>2022 ALL D90</v>
      </c>
      <c r="B358" s="8">
        <v>46099</v>
      </c>
      <c r="C358" s="8">
        <v>46113</v>
      </c>
      <c r="D358" s="7">
        <v>3272</v>
      </c>
      <c r="E358" s="7">
        <v>336</v>
      </c>
      <c r="F358" s="7">
        <v>4</v>
      </c>
      <c r="G358" s="7">
        <v>6</v>
      </c>
      <c r="H358" s="7">
        <v>81221</v>
      </c>
      <c r="I358" s="7" t="s">
        <v>104</v>
      </c>
      <c r="J358" s="7">
        <v>73375550</v>
      </c>
      <c r="K358" s="7" t="s">
        <v>1488</v>
      </c>
      <c r="L358" s="7" t="s">
        <v>1489</v>
      </c>
      <c r="M358" s="9">
        <v>129900</v>
      </c>
      <c r="N358" s="10">
        <f t="shared" si="17"/>
        <v>0.9</v>
      </c>
      <c r="O358" s="9">
        <f t="shared" si="15"/>
        <v>12989.999999999996</v>
      </c>
      <c r="P358" s="7" t="s">
        <v>16</v>
      </c>
    </row>
    <row r="359" spans="1:16" x14ac:dyDescent="0.25">
      <c r="A359" s="7" t="str">
        <f t="shared" si="16"/>
        <v>2022 ALL D90</v>
      </c>
      <c r="B359" s="8">
        <v>46099</v>
      </c>
      <c r="C359" s="8">
        <v>46113</v>
      </c>
      <c r="D359" s="7">
        <v>3272</v>
      </c>
      <c r="E359" s="7">
        <v>336</v>
      </c>
      <c r="F359" s="7">
        <v>4</v>
      </c>
      <c r="G359" s="7">
        <v>6</v>
      </c>
      <c r="H359" s="7">
        <v>81221</v>
      </c>
      <c r="I359" s="7" t="s">
        <v>104</v>
      </c>
      <c r="J359" s="7">
        <v>73375578</v>
      </c>
      <c r="K359" s="7" t="s">
        <v>1490</v>
      </c>
      <c r="L359" s="7" t="s">
        <v>1491</v>
      </c>
      <c r="M359" s="9">
        <v>129900</v>
      </c>
      <c r="N359" s="10">
        <f t="shared" si="17"/>
        <v>0.9</v>
      </c>
      <c r="O359" s="9">
        <f t="shared" si="15"/>
        <v>12989.999999999996</v>
      </c>
      <c r="P359" s="7" t="s">
        <v>16</v>
      </c>
    </row>
    <row r="360" spans="1:16" x14ac:dyDescent="0.25">
      <c r="A360" s="7" t="str">
        <f t="shared" si="16"/>
        <v>2022 ALL D90</v>
      </c>
      <c r="B360" s="8">
        <v>46099</v>
      </c>
      <c r="C360" s="8">
        <v>46113</v>
      </c>
      <c r="D360" s="7">
        <v>3272</v>
      </c>
      <c r="E360" s="7">
        <v>336</v>
      </c>
      <c r="F360" s="7">
        <v>4</v>
      </c>
      <c r="G360" s="7">
        <v>6</v>
      </c>
      <c r="H360" s="7">
        <v>81574</v>
      </c>
      <c r="I360" s="7" t="s">
        <v>104</v>
      </c>
      <c r="J360" s="7">
        <v>64331480</v>
      </c>
      <c r="K360" s="7" t="s">
        <v>1492</v>
      </c>
      <c r="L360" s="7" t="s">
        <v>1493</v>
      </c>
      <c r="M360" s="9">
        <v>129900</v>
      </c>
      <c r="N360" s="10">
        <f t="shared" si="17"/>
        <v>0.9</v>
      </c>
      <c r="O360" s="9">
        <f t="shared" si="15"/>
        <v>12989.999999999996</v>
      </c>
      <c r="P360" s="7" t="s">
        <v>16</v>
      </c>
    </row>
    <row r="361" spans="1:16" x14ac:dyDescent="0.25">
      <c r="A361" s="7" t="str">
        <f t="shared" si="16"/>
        <v>2022 ALL D90</v>
      </c>
      <c r="B361" s="8">
        <v>46099</v>
      </c>
      <c r="C361" s="8">
        <v>46113</v>
      </c>
      <c r="D361" s="7">
        <v>3272</v>
      </c>
      <c r="E361" s="7">
        <v>336</v>
      </c>
      <c r="F361" s="7">
        <v>4</v>
      </c>
      <c r="G361" s="7">
        <v>6</v>
      </c>
      <c r="H361" s="7">
        <v>81574</v>
      </c>
      <c r="I361" s="7" t="s">
        <v>104</v>
      </c>
      <c r="J361" s="7">
        <v>64344887</v>
      </c>
      <c r="K361" s="7" t="s">
        <v>1494</v>
      </c>
      <c r="L361" s="7" t="s">
        <v>1495</v>
      </c>
      <c r="M361" s="9">
        <v>129900</v>
      </c>
      <c r="N361" s="10">
        <f t="shared" si="17"/>
        <v>0.9</v>
      </c>
      <c r="O361" s="9">
        <f t="shared" si="15"/>
        <v>12989.999999999996</v>
      </c>
      <c r="P361" s="7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2107-3552-4F2E-B8EE-94A0A98A3105}">
  <dimension ref="A1:P682"/>
  <sheetViews>
    <sheetView zoomScale="98" zoomScaleNormal="98" workbookViewId="0">
      <pane ySplit="1" topLeftCell="A2" activePane="bottomLeft" state="frozen"/>
      <selection activeCell="I267" sqref="I267"/>
      <selection pane="bottomLeft" activeCell="A592" sqref="A592"/>
    </sheetView>
  </sheetViews>
  <sheetFormatPr defaultColWidth="8.7109375" defaultRowHeight="15" x14ac:dyDescent="0.25"/>
  <cols>
    <col min="1" max="1" width="28.5703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105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4050</v>
      </c>
      <c r="B2" s="8">
        <f>'2019 ALL D95'!B2</f>
        <v>46099</v>
      </c>
      <c r="C2" s="8">
        <f>'2019 ALL D95'!C2</f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76512566</v>
      </c>
      <c r="K2" s="7" t="s">
        <v>229</v>
      </c>
      <c r="L2" s="7" t="s">
        <v>230</v>
      </c>
      <c r="M2" s="9">
        <v>149900</v>
      </c>
      <c r="N2" s="10">
        <v>0.9</v>
      </c>
      <c r="O2" s="9">
        <f>M2*(1-N2)</f>
        <v>14989.999999999996</v>
      </c>
      <c r="P2" s="7" t="s">
        <v>16</v>
      </c>
    </row>
    <row r="3" spans="1:16" x14ac:dyDescent="0.25">
      <c r="A3" s="7" t="str">
        <f t="shared" ref="A3:A66" si="0">A2</f>
        <v>2023 ALL D90</v>
      </c>
      <c r="B3" s="8">
        <f>B2</f>
        <v>46099</v>
      </c>
      <c r="C3" s="8">
        <f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76512575</v>
      </c>
      <c r="K3" s="7" t="s">
        <v>229</v>
      </c>
      <c r="L3" s="7" t="s">
        <v>231</v>
      </c>
      <c r="M3" s="9">
        <v>149900</v>
      </c>
      <c r="N3" s="10">
        <f t="shared" ref="N3:N66" si="1">N2</f>
        <v>0.9</v>
      </c>
      <c r="O3" s="34">
        <f t="shared" ref="O3:O66" si="2">M3*(1-N3)</f>
        <v>14989.999999999996</v>
      </c>
      <c r="P3" s="7" t="str">
        <f t="shared" ref="P3:P66" si="3">P2</f>
        <v>PERCENTAGE</v>
      </c>
    </row>
    <row r="4" spans="1:16" x14ac:dyDescent="0.25">
      <c r="A4" s="7" t="str">
        <f t="shared" si="0"/>
        <v>2023 ALL D90</v>
      </c>
      <c r="B4" s="8">
        <f t="shared" ref="B4:B66" si="4">B3</f>
        <v>46099</v>
      </c>
      <c r="C4" s="8">
        <f t="shared" ref="C4:C66" si="5">C3</f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76512584</v>
      </c>
      <c r="K4" s="7" t="s">
        <v>229</v>
      </c>
      <c r="L4" s="7" t="s">
        <v>232</v>
      </c>
      <c r="M4" s="9">
        <v>149900</v>
      </c>
      <c r="N4" s="10">
        <f t="shared" si="1"/>
        <v>0.9</v>
      </c>
      <c r="O4" s="34">
        <f t="shared" si="2"/>
        <v>14989.999999999996</v>
      </c>
      <c r="P4" s="7" t="str">
        <f t="shared" si="3"/>
        <v>PERCENTAGE</v>
      </c>
    </row>
    <row r="5" spans="1:16" x14ac:dyDescent="0.25">
      <c r="A5" s="7" t="str">
        <f t="shared" si="0"/>
        <v>2023 ALL D90</v>
      </c>
      <c r="B5" s="8">
        <f t="shared" si="4"/>
        <v>46099</v>
      </c>
      <c r="C5" s="8">
        <f t="shared" si="5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76512593</v>
      </c>
      <c r="K5" s="7" t="s">
        <v>229</v>
      </c>
      <c r="L5" s="7" t="s">
        <v>233</v>
      </c>
      <c r="M5" s="9">
        <v>149900</v>
      </c>
      <c r="N5" s="10">
        <f t="shared" si="1"/>
        <v>0.9</v>
      </c>
      <c r="O5" s="34">
        <f t="shared" si="2"/>
        <v>14989.999999999996</v>
      </c>
      <c r="P5" s="7" t="str">
        <f t="shared" si="3"/>
        <v>PERCENTAGE</v>
      </c>
    </row>
    <row r="6" spans="1:16" x14ac:dyDescent="0.25">
      <c r="A6" s="7" t="str">
        <f t="shared" si="0"/>
        <v>2023 ALL D90</v>
      </c>
      <c r="B6" s="8">
        <f t="shared" si="4"/>
        <v>46099</v>
      </c>
      <c r="C6" s="8">
        <f t="shared" si="5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76906891</v>
      </c>
      <c r="K6" s="7" t="s">
        <v>234</v>
      </c>
      <c r="L6" s="7" t="s">
        <v>235</v>
      </c>
      <c r="M6" s="9">
        <v>149900</v>
      </c>
      <c r="N6" s="10">
        <f t="shared" si="1"/>
        <v>0.9</v>
      </c>
      <c r="O6" s="34">
        <f t="shared" si="2"/>
        <v>14989.999999999996</v>
      </c>
      <c r="P6" s="7" t="str">
        <f t="shared" si="3"/>
        <v>PERCENTAGE</v>
      </c>
    </row>
    <row r="7" spans="1:16" x14ac:dyDescent="0.25">
      <c r="A7" s="7" t="str">
        <f t="shared" si="0"/>
        <v>2023 ALL D90</v>
      </c>
      <c r="B7" s="8">
        <f t="shared" si="4"/>
        <v>46099</v>
      </c>
      <c r="C7" s="8">
        <f t="shared" si="5"/>
        <v>46113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76906908</v>
      </c>
      <c r="K7" s="7" t="s">
        <v>234</v>
      </c>
      <c r="L7" s="7" t="s">
        <v>236</v>
      </c>
      <c r="M7" s="9">
        <v>149900</v>
      </c>
      <c r="N7" s="10">
        <f t="shared" si="1"/>
        <v>0.9</v>
      </c>
      <c r="O7" s="34">
        <f t="shared" si="2"/>
        <v>14989.999999999996</v>
      </c>
      <c r="P7" s="7" t="str">
        <f t="shared" si="3"/>
        <v>PERCENTAGE</v>
      </c>
    </row>
    <row r="8" spans="1:16" x14ac:dyDescent="0.25">
      <c r="A8" s="7" t="str">
        <f t="shared" si="0"/>
        <v>2023 ALL D90</v>
      </c>
      <c r="B8" s="8">
        <f t="shared" si="4"/>
        <v>46099</v>
      </c>
      <c r="C8" s="8">
        <f t="shared" si="5"/>
        <v>46113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76906926</v>
      </c>
      <c r="K8" s="7" t="s">
        <v>234</v>
      </c>
      <c r="L8" s="7" t="s">
        <v>237</v>
      </c>
      <c r="M8" s="9">
        <v>149900</v>
      </c>
      <c r="N8" s="10">
        <f t="shared" si="1"/>
        <v>0.9</v>
      </c>
      <c r="O8" s="34">
        <f t="shared" si="2"/>
        <v>14989.999999999996</v>
      </c>
      <c r="P8" s="7" t="str">
        <f t="shared" si="3"/>
        <v>PERCENTAGE</v>
      </c>
    </row>
    <row r="9" spans="1:16" x14ac:dyDescent="0.25">
      <c r="A9" s="7" t="str">
        <f t="shared" si="0"/>
        <v>2023 ALL D90</v>
      </c>
      <c r="B9" s="8">
        <f t="shared" si="4"/>
        <v>46099</v>
      </c>
      <c r="C9" s="8">
        <f t="shared" si="5"/>
        <v>46113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76906944</v>
      </c>
      <c r="K9" s="7" t="s">
        <v>238</v>
      </c>
      <c r="L9" s="7" t="s">
        <v>239</v>
      </c>
      <c r="M9" s="9">
        <v>149900</v>
      </c>
      <c r="N9" s="10">
        <f t="shared" si="1"/>
        <v>0.9</v>
      </c>
      <c r="O9" s="34">
        <f t="shared" si="2"/>
        <v>14989.999999999996</v>
      </c>
      <c r="P9" s="7" t="str">
        <f t="shared" si="3"/>
        <v>PERCENTAGE</v>
      </c>
    </row>
    <row r="10" spans="1:16" x14ac:dyDescent="0.25">
      <c r="A10" s="7" t="str">
        <f t="shared" si="0"/>
        <v>2023 ALL D90</v>
      </c>
      <c r="B10" s="8">
        <f t="shared" si="4"/>
        <v>46099</v>
      </c>
      <c r="C10" s="8">
        <f t="shared" si="5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76906953</v>
      </c>
      <c r="K10" s="7" t="s">
        <v>238</v>
      </c>
      <c r="L10" s="7" t="s">
        <v>240</v>
      </c>
      <c r="M10" s="9">
        <v>149900</v>
      </c>
      <c r="N10" s="10">
        <f t="shared" si="1"/>
        <v>0.9</v>
      </c>
      <c r="O10" s="34">
        <f t="shared" si="2"/>
        <v>14989.999999999996</v>
      </c>
      <c r="P10" s="7" t="str">
        <f t="shared" si="3"/>
        <v>PERCENTAGE</v>
      </c>
    </row>
    <row r="11" spans="1:16" x14ac:dyDescent="0.25">
      <c r="A11" s="7" t="str">
        <f t="shared" si="0"/>
        <v>2023 ALL D90</v>
      </c>
      <c r="B11" s="8">
        <f t="shared" si="4"/>
        <v>46099</v>
      </c>
      <c r="C11" s="8">
        <f t="shared" si="5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76906962</v>
      </c>
      <c r="K11" s="7" t="s">
        <v>238</v>
      </c>
      <c r="L11" s="7" t="s">
        <v>241</v>
      </c>
      <c r="M11" s="9">
        <v>149900</v>
      </c>
      <c r="N11" s="10">
        <f t="shared" si="1"/>
        <v>0.9</v>
      </c>
      <c r="O11" s="34">
        <f t="shared" si="2"/>
        <v>14989.999999999996</v>
      </c>
      <c r="P11" s="7" t="str">
        <f t="shared" si="3"/>
        <v>PERCENTAGE</v>
      </c>
    </row>
    <row r="12" spans="1:16" x14ac:dyDescent="0.25">
      <c r="A12" s="7" t="str">
        <f t="shared" si="0"/>
        <v>2023 ALL D90</v>
      </c>
      <c r="B12" s="8">
        <f t="shared" si="4"/>
        <v>46099</v>
      </c>
      <c r="C12" s="8">
        <f t="shared" si="5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76906971</v>
      </c>
      <c r="K12" s="7" t="s">
        <v>238</v>
      </c>
      <c r="L12" s="7" t="s">
        <v>242</v>
      </c>
      <c r="M12" s="9">
        <v>149900</v>
      </c>
      <c r="N12" s="10">
        <f t="shared" si="1"/>
        <v>0.9</v>
      </c>
      <c r="O12" s="34">
        <f t="shared" si="2"/>
        <v>14989.999999999996</v>
      </c>
      <c r="P12" s="7" t="str">
        <f t="shared" si="3"/>
        <v>PERCENTAGE</v>
      </c>
    </row>
    <row r="13" spans="1:16" x14ac:dyDescent="0.25">
      <c r="A13" s="7" t="str">
        <f t="shared" si="0"/>
        <v>2023 ALL D90</v>
      </c>
      <c r="B13" s="8">
        <f t="shared" si="4"/>
        <v>46099</v>
      </c>
      <c r="C13" s="8">
        <f t="shared" si="5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76906980</v>
      </c>
      <c r="K13" s="7" t="s">
        <v>238</v>
      </c>
      <c r="L13" s="7" t="s">
        <v>243</v>
      </c>
      <c r="M13" s="9">
        <v>149900</v>
      </c>
      <c r="N13" s="10">
        <f t="shared" si="1"/>
        <v>0.9</v>
      </c>
      <c r="O13" s="34">
        <f t="shared" si="2"/>
        <v>14989.999999999996</v>
      </c>
      <c r="P13" s="7" t="str">
        <f t="shared" si="3"/>
        <v>PERCENTAGE</v>
      </c>
    </row>
    <row r="14" spans="1:16" x14ac:dyDescent="0.25">
      <c r="A14" s="7" t="str">
        <f t="shared" si="0"/>
        <v>2023 ALL D90</v>
      </c>
      <c r="B14" s="8">
        <f t="shared" si="4"/>
        <v>46099</v>
      </c>
      <c r="C14" s="8">
        <f t="shared" si="5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76906999</v>
      </c>
      <c r="K14" s="7" t="s">
        <v>244</v>
      </c>
      <c r="L14" s="7" t="s">
        <v>245</v>
      </c>
      <c r="M14" s="9">
        <v>139900</v>
      </c>
      <c r="N14" s="10">
        <f t="shared" si="1"/>
        <v>0.9</v>
      </c>
      <c r="O14" s="34">
        <f t="shared" si="2"/>
        <v>13989.999999999996</v>
      </c>
      <c r="P14" s="7" t="str">
        <f t="shared" si="3"/>
        <v>PERCENTAGE</v>
      </c>
    </row>
    <row r="15" spans="1:16" x14ac:dyDescent="0.25">
      <c r="A15" s="7" t="str">
        <f t="shared" si="0"/>
        <v>2023 ALL D90</v>
      </c>
      <c r="B15" s="8">
        <f t="shared" si="4"/>
        <v>46099</v>
      </c>
      <c r="C15" s="8">
        <f t="shared" si="5"/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76907005</v>
      </c>
      <c r="K15" s="7" t="s">
        <v>244</v>
      </c>
      <c r="L15" s="7" t="s">
        <v>246</v>
      </c>
      <c r="M15" s="9">
        <v>139900</v>
      </c>
      <c r="N15" s="10">
        <f t="shared" si="1"/>
        <v>0.9</v>
      </c>
      <c r="O15" s="34">
        <f t="shared" si="2"/>
        <v>13989.999999999996</v>
      </c>
      <c r="P15" s="7" t="str">
        <f t="shared" si="3"/>
        <v>PERCENTAGE</v>
      </c>
    </row>
    <row r="16" spans="1:16" x14ac:dyDescent="0.25">
      <c r="A16" s="7" t="str">
        <f t="shared" si="0"/>
        <v>2023 ALL D90</v>
      </c>
      <c r="B16" s="8">
        <f t="shared" si="4"/>
        <v>46099</v>
      </c>
      <c r="C16" s="8">
        <f t="shared" si="5"/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76907014</v>
      </c>
      <c r="K16" s="7" t="s">
        <v>244</v>
      </c>
      <c r="L16" s="7" t="s">
        <v>247</v>
      </c>
      <c r="M16" s="9">
        <v>139900</v>
      </c>
      <c r="N16" s="10">
        <f t="shared" si="1"/>
        <v>0.9</v>
      </c>
      <c r="O16" s="34">
        <f t="shared" si="2"/>
        <v>13989.999999999996</v>
      </c>
      <c r="P16" s="7" t="str">
        <f t="shared" si="3"/>
        <v>PERCENTAGE</v>
      </c>
    </row>
    <row r="17" spans="1:16" x14ac:dyDescent="0.25">
      <c r="A17" s="7" t="str">
        <f t="shared" si="0"/>
        <v>2023 ALL D90</v>
      </c>
      <c r="B17" s="8">
        <f t="shared" si="4"/>
        <v>46099</v>
      </c>
      <c r="C17" s="8">
        <f t="shared" si="5"/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76907023</v>
      </c>
      <c r="K17" s="7" t="s">
        <v>244</v>
      </c>
      <c r="L17" s="7" t="s">
        <v>248</v>
      </c>
      <c r="M17" s="9">
        <v>139900</v>
      </c>
      <c r="N17" s="10">
        <f t="shared" si="1"/>
        <v>0.9</v>
      </c>
      <c r="O17" s="34">
        <f t="shared" si="2"/>
        <v>13989.999999999996</v>
      </c>
      <c r="P17" s="7" t="str">
        <f t="shared" si="3"/>
        <v>PERCENTAGE</v>
      </c>
    </row>
    <row r="18" spans="1:16" x14ac:dyDescent="0.25">
      <c r="A18" s="7" t="str">
        <f t="shared" si="0"/>
        <v>2023 ALL D90</v>
      </c>
      <c r="B18" s="8">
        <f t="shared" si="4"/>
        <v>46099</v>
      </c>
      <c r="C18" s="8">
        <f t="shared" si="5"/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76907032</v>
      </c>
      <c r="K18" s="7" t="s">
        <v>244</v>
      </c>
      <c r="L18" s="7" t="s">
        <v>249</v>
      </c>
      <c r="M18" s="9">
        <v>139900</v>
      </c>
      <c r="N18" s="10">
        <f t="shared" si="1"/>
        <v>0.9</v>
      </c>
      <c r="O18" s="34">
        <f t="shared" si="2"/>
        <v>13989.999999999996</v>
      </c>
      <c r="P18" s="7" t="str">
        <f t="shared" si="3"/>
        <v>PERCENTAGE</v>
      </c>
    </row>
    <row r="19" spans="1:16" x14ac:dyDescent="0.25">
      <c r="A19" s="7" t="str">
        <f t="shared" si="0"/>
        <v>2023 ALL D90</v>
      </c>
      <c r="B19" s="8">
        <f t="shared" si="4"/>
        <v>46099</v>
      </c>
      <c r="C19" s="8">
        <f t="shared" si="5"/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76907041</v>
      </c>
      <c r="K19" s="7" t="s">
        <v>250</v>
      </c>
      <c r="L19" s="7" t="s">
        <v>251</v>
      </c>
      <c r="M19" s="9">
        <v>149900</v>
      </c>
      <c r="N19" s="10">
        <f t="shared" si="1"/>
        <v>0.9</v>
      </c>
      <c r="O19" s="34">
        <f t="shared" si="2"/>
        <v>14989.999999999996</v>
      </c>
      <c r="P19" s="7" t="str">
        <f t="shared" si="3"/>
        <v>PERCENTAGE</v>
      </c>
    </row>
    <row r="20" spans="1:16" x14ac:dyDescent="0.25">
      <c r="A20" s="7" t="str">
        <f t="shared" si="0"/>
        <v>2023 ALL D90</v>
      </c>
      <c r="B20" s="8">
        <f t="shared" si="4"/>
        <v>46099</v>
      </c>
      <c r="C20" s="8">
        <f t="shared" si="5"/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76907050</v>
      </c>
      <c r="K20" s="7" t="s">
        <v>250</v>
      </c>
      <c r="L20" s="7" t="s">
        <v>252</v>
      </c>
      <c r="M20" s="9">
        <v>149900</v>
      </c>
      <c r="N20" s="10">
        <f t="shared" si="1"/>
        <v>0.9</v>
      </c>
      <c r="O20" s="34">
        <f t="shared" si="2"/>
        <v>14989.999999999996</v>
      </c>
      <c r="P20" s="7" t="str">
        <f t="shared" si="3"/>
        <v>PERCENTAGE</v>
      </c>
    </row>
    <row r="21" spans="1:16" x14ac:dyDescent="0.25">
      <c r="A21" s="7" t="str">
        <f t="shared" si="0"/>
        <v>2023 ALL D90</v>
      </c>
      <c r="B21" s="8">
        <f t="shared" si="4"/>
        <v>46099</v>
      </c>
      <c r="C21" s="8">
        <f t="shared" si="5"/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76907069</v>
      </c>
      <c r="K21" s="7" t="s">
        <v>250</v>
      </c>
      <c r="L21" s="7" t="s">
        <v>253</v>
      </c>
      <c r="M21" s="9">
        <v>149900</v>
      </c>
      <c r="N21" s="10">
        <f t="shared" si="1"/>
        <v>0.9</v>
      </c>
      <c r="O21" s="34">
        <f t="shared" si="2"/>
        <v>14989.999999999996</v>
      </c>
      <c r="P21" s="7" t="str">
        <f t="shared" si="3"/>
        <v>PERCENTAGE</v>
      </c>
    </row>
    <row r="22" spans="1:16" x14ac:dyDescent="0.25">
      <c r="A22" s="7" t="str">
        <f t="shared" si="0"/>
        <v>2023 ALL D90</v>
      </c>
      <c r="B22" s="8">
        <f t="shared" si="4"/>
        <v>46099</v>
      </c>
      <c r="C22" s="8">
        <f t="shared" si="5"/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76907078</v>
      </c>
      <c r="K22" s="7" t="s">
        <v>250</v>
      </c>
      <c r="L22" s="7" t="s">
        <v>254</v>
      </c>
      <c r="M22" s="9">
        <v>149900</v>
      </c>
      <c r="N22" s="10">
        <f t="shared" si="1"/>
        <v>0.9</v>
      </c>
      <c r="O22" s="34">
        <f t="shared" si="2"/>
        <v>14989.999999999996</v>
      </c>
      <c r="P22" s="7" t="str">
        <f t="shared" si="3"/>
        <v>PERCENTAGE</v>
      </c>
    </row>
    <row r="23" spans="1:16" x14ac:dyDescent="0.25">
      <c r="A23" s="7" t="str">
        <f t="shared" si="0"/>
        <v>2023 ALL D90</v>
      </c>
      <c r="B23" s="8">
        <f t="shared" si="4"/>
        <v>46099</v>
      </c>
      <c r="C23" s="8">
        <f t="shared" si="5"/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76907096</v>
      </c>
      <c r="K23" s="7" t="s">
        <v>255</v>
      </c>
      <c r="L23" s="7" t="s">
        <v>256</v>
      </c>
      <c r="M23" s="9">
        <v>149900</v>
      </c>
      <c r="N23" s="10">
        <f t="shared" si="1"/>
        <v>0.9</v>
      </c>
      <c r="O23" s="34">
        <f t="shared" si="2"/>
        <v>14989.999999999996</v>
      </c>
      <c r="P23" s="7" t="str">
        <f t="shared" si="3"/>
        <v>PERCENTAGE</v>
      </c>
    </row>
    <row r="24" spans="1:16" x14ac:dyDescent="0.25">
      <c r="A24" s="7" t="str">
        <f t="shared" si="0"/>
        <v>2023 ALL D90</v>
      </c>
      <c r="B24" s="8">
        <f t="shared" si="4"/>
        <v>46099</v>
      </c>
      <c r="C24" s="8">
        <f t="shared" si="5"/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76907103</v>
      </c>
      <c r="K24" s="7" t="s">
        <v>255</v>
      </c>
      <c r="L24" s="7" t="s">
        <v>257</v>
      </c>
      <c r="M24" s="9">
        <v>149900</v>
      </c>
      <c r="N24" s="10">
        <f t="shared" si="1"/>
        <v>0.9</v>
      </c>
      <c r="O24" s="34">
        <f t="shared" si="2"/>
        <v>14989.999999999996</v>
      </c>
      <c r="P24" s="7" t="str">
        <f t="shared" si="3"/>
        <v>PERCENTAGE</v>
      </c>
    </row>
    <row r="25" spans="1:16" x14ac:dyDescent="0.25">
      <c r="A25" s="7" t="str">
        <f t="shared" si="0"/>
        <v>2023 ALL D90</v>
      </c>
      <c r="B25" s="8">
        <f t="shared" si="4"/>
        <v>46099</v>
      </c>
      <c r="C25" s="8">
        <f t="shared" si="5"/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76907112</v>
      </c>
      <c r="K25" s="7" t="s">
        <v>255</v>
      </c>
      <c r="L25" s="7" t="s">
        <v>258</v>
      </c>
      <c r="M25" s="9">
        <v>149900</v>
      </c>
      <c r="N25" s="10">
        <f t="shared" si="1"/>
        <v>0.9</v>
      </c>
      <c r="O25" s="34">
        <f t="shared" si="2"/>
        <v>14989.999999999996</v>
      </c>
      <c r="P25" s="7" t="str">
        <f t="shared" si="3"/>
        <v>PERCENTAGE</v>
      </c>
    </row>
    <row r="26" spans="1:16" x14ac:dyDescent="0.25">
      <c r="A26" s="7" t="str">
        <f t="shared" si="0"/>
        <v>2023 ALL D90</v>
      </c>
      <c r="B26" s="8">
        <f t="shared" si="4"/>
        <v>46099</v>
      </c>
      <c r="C26" s="8">
        <f t="shared" si="5"/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76907121</v>
      </c>
      <c r="K26" s="7" t="s">
        <v>255</v>
      </c>
      <c r="L26" s="7" t="s">
        <v>259</v>
      </c>
      <c r="M26" s="9">
        <v>149900</v>
      </c>
      <c r="N26" s="10">
        <f t="shared" si="1"/>
        <v>0.9</v>
      </c>
      <c r="O26" s="34">
        <f t="shared" si="2"/>
        <v>14989.999999999996</v>
      </c>
      <c r="P26" s="7" t="str">
        <f t="shared" si="3"/>
        <v>PERCENTAGE</v>
      </c>
    </row>
    <row r="27" spans="1:16" x14ac:dyDescent="0.25">
      <c r="A27" s="7" t="str">
        <f t="shared" si="0"/>
        <v>2023 ALL D90</v>
      </c>
      <c r="B27" s="8">
        <f t="shared" si="4"/>
        <v>46099</v>
      </c>
      <c r="C27" s="8">
        <f t="shared" si="5"/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76907130</v>
      </c>
      <c r="K27" s="7" t="s">
        <v>255</v>
      </c>
      <c r="L27" s="7" t="s">
        <v>260</v>
      </c>
      <c r="M27" s="9">
        <v>149900</v>
      </c>
      <c r="N27" s="10">
        <f t="shared" si="1"/>
        <v>0.9</v>
      </c>
      <c r="O27" s="34">
        <f t="shared" si="2"/>
        <v>14989.999999999996</v>
      </c>
      <c r="P27" s="7" t="str">
        <f t="shared" si="3"/>
        <v>PERCENTAGE</v>
      </c>
    </row>
    <row r="28" spans="1:16" x14ac:dyDescent="0.25">
      <c r="A28" s="7" t="str">
        <f t="shared" si="0"/>
        <v>2023 ALL D90</v>
      </c>
      <c r="B28" s="8">
        <f t="shared" si="4"/>
        <v>46099</v>
      </c>
      <c r="C28" s="8">
        <f t="shared" si="5"/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76907149</v>
      </c>
      <c r="K28" s="7" t="s">
        <v>261</v>
      </c>
      <c r="L28" s="7" t="s">
        <v>262</v>
      </c>
      <c r="M28" s="9">
        <v>139900</v>
      </c>
      <c r="N28" s="10">
        <f t="shared" si="1"/>
        <v>0.9</v>
      </c>
      <c r="O28" s="34">
        <f t="shared" si="2"/>
        <v>13989.999999999996</v>
      </c>
      <c r="P28" s="7" t="str">
        <f t="shared" si="3"/>
        <v>PERCENTAGE</v>
      </c>
    </row>
    <row r="29" spans="1:16" x14ac:dyDescent="0.25">
      <c r="A29" s="7" t="str">
        <f t="shared" si="0"/>
        <v>2023 ALL D90</v>
      </c>
      <c r="B29" s="8">
        <f t="shared" si="4"/>
        <v>46099</v>
      </c>
      <c r="C29" s="8">
        <f t="shared" si="5"/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76907158</v>
      </c>
      <c r="K29" s="7" t="s">
        <v>261</v>
      </c>
      <c r="L29" s="7" t="s">
        <v>263</v>
      </c>
      <c r="M29" s="9">
        <v>139900</v>
      </c>
      <c r="N29" s="10">
        <f t="shared" si="1"/>
        <v>0.9</v>
      </c>
      <c r="O29" s="34">
        <f t="shared" si="2"/>
        <v>13989.999999999996</v>
      </c>
      <c r="P29" s="7" t="str">
        <f t="shared" si="3"/>
        <v>PERCENTAGE</v>
      </c>
    </row>
    <row r="30" spans="1:16" x14ac:dyDescent="0.25">
      <c r="A30" s="7" t="str">
        <f t="shared" si="0"/>
        <v>2023 ALL D90</v>
      </c>
      <c r="B30" s="8">
        <f t="shared" si="4"/>
        <v>46099</v>
      </c>
      <c r="C30" s="8">
        <f t="shared" si="5"/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76907194</v>
      </c>
      <c r="K30" s="7" t="s">
        <v>264</v>
      </c>
      <c r="L30" s="7" t="s">
        <v>265</v>
      </c>
      <c r="M30" s="9">
        <v>149900</v>
      </c>
      <c r="N30" s="10">
        <f t="shared" si="1"/>
        <v>0.9</v>
      </c>
      <c r="O30" s="34">
        <f t="shared" si="2"/>
        <v>14989.999999999996</v>
      </c>
      <c r="P30" s="7" t="str">
        <f t="shared" si="3"/>
        <v>PERCENTAGE</v>
      </c>
    </row>
    <row r="31" spans="1:16" x14ac:dyDescent="0.25">
      <c r="A31" s="7" t="str">
        <f t="shared" si="0"/>
        <v>2023 ALL D90</v>
      </c>
      <c r="B31" s="8">
        <f t="shared" si="4"/>
        <v>46099</v>
      </c>
      <c r="C31" s="8">
        <f t="shared" si="5"/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76907201</v>
      </c>
      <c r="K31" s="7" t="s">
        <v>264</v>
      </c>
      <c r="L31" s="7" t="s">
        <v>266</v>
      </c>
      <c r="M31" s="9">
        <v>149900</v>
      </c>
      <c r="N31" s="10">
        <f t="shared" si="1"/>
        <v>0.9</v>
      </c>
      <c r="O31" s="34">
        <f t="shared" si="2"/>
        <v>14989.999999999996</v>
      </c>
      <c r="P31" s="7" t="str">
        <f t="shared" si="3"/>
        <v>PERCENTAGE</v>
      </c>
    </row>
    <row r="32" spans="1:16" x14ac:dyDescent="0.25">
      <c r="A32" s="7" t="str">
        <f t="shared" si="0"/>
        <v>2023 ALL D90</v>
      </c>
      <c r="B32" s="8">
        <f t="shared" si="4"/>
        <v>46099</v>
      </c>
      <c r="C32" s="8">
        <f t="shared" si="5"/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76907210</v>
      </c>
      <c r="K32" s="7" t="s">
        <v>264</v>
      </c>
      <c r="L32" s="7" t="s">
        <v>267</v>
      </c>
      <c r="M32" s="9">
        <v>149900</v>
      </c>
      <c r="N32" s="10">
        <f t="shared" si="1"/>
        <v>0.9</v>
      </c>
      <c r="O32" s="34">
        <f t="shared" si="2"/>
        <v>14989.999999999996</v>
      </c>
      <c r="P32" s="7" t="str">
        <f t="shared" si="3"/>
        <v>PERCENTAGE</v>
      </c>
    </row>
    <row r="33" spans="1:16" x14ac:dyDescent="0.25">
      <c r="A33" s="7" t="str">
        <f t="shared" si="0"/>
        <v>2023 ALL D90</v>
      </c>
      <c r="B33" s="8">
        <f t="shared" si="4"/>
        <v>46099</v>
      </c>
      <c r="C33" s="8">
        <f t="shared" si="5"/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76907229</v>
      </c>
      <c r="K33" s="7" t="s">
        <v>264</v>
      </c>
      <c r="L33" s="7" t="s">
        <v>268</v>
      </c>
      <c r="M33" s="9">
        <v>149900</v>
      </c>
      <c r="N33" s="10">
        <f t="shared" si="1"/>
        <v>0.9</v>
      </c>
      <c r="O33" s="34">
        <f t="shared" si="2"/>
        <v>14989.999999999996</v>
      </c>
      <c r="P33" s="7" t="str">
        <f t="shared" si="3"/>
        <v>PERCENTAGE</v>
      </c>
    </row>
    <row r="34" spans="1:16" x14ac:dyDescent="0.25">
      <c r="A34" s="7" t="str">
        <f t="shared" si="0"/>
        <v>2023 ALL D90</v>
      </c>
      <c r="B34" s="8">
        <f t="shared" si="4"/>
        <v>46099</v>
      </c>
      <c r="C34" s="8">
        <f t="shared" si="5"/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76907238</v>
      </c>
      <c r="K34" s="7" t="s">
        <v>264</v>
      </c>
      <c r="L34" s="7" t="s">
        <v>269</v>
      </c>
      <c r="M34" s="9">
        <v>149900</v>
      </c>
      <c r="N34" s="10">
        <f t="shared" si="1"/>
        <v>0.9</v>
      </c>
      <c r="O34" s="34">
        <f t="shared" si="2"/>
        <v>14989.999999999996</v>
      </c>
      <c r="P34" s="7" t="str">
        <f t="shared" si="3"/>
        <v>PERCENTAGE</v>
      </c>
    </row>
    <row r="35" spans="1:16" x14ac:dyDescent="0.25">
      <c r="A35" s="7" t="str">
        <f t="shared" si="0"/>
        <v>2023 ALL D90</v>
      </c>
      <c r="B35" s="8">
        <f t="shared" si="4"/>
        <v>46099</v>
      </c>
      <c r="C35" s="8">
        <f t="shared" si="5"/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76907247</v>
      </c>
      <c r="K35" s="7" t="s">
        <v>270</v>
      </c>
      <c r="L35" s="7" t="s">
        <v>271</v>
      </c>
      <c r="M35" s="9">
        <v>149900</v>
      </c>
      <c r="N35" s="10">
        <f t="shared" si="1"/>
        <v>0.9</v>
      </c>
      <c r="O35" s="34">
        <f t="shared" si="2"/>
        <v>14989.999999999996</v>
      </c>
      <c r="P35" s="7" t="str">
        <f t="shared" si="3"/>
        <v>PERCENTAGE</v>
      </c>
    </row>
    <row r="36" spans="1:16" x14ac:dyDescent="0.25">
      <c r="A36" s="7" t="str">
        <f t="shared" si="0"/>
        <v>2023 ALL D90</v>
      </c>
      <c r="B36" s="8">
        <f t="shared" si="4"/>
        <v>46099</v>
      </c>
      <c r="C36" s="8">
        <f t="shared" si="5"/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76907256</v>
      </c>
      <c r="K36" s="7" t="s">
        <v>270</v>
      </c>
      <c r="L36" s="7" t="s">
        <v>272</v>
      </c>
      <c r="M36" s="9">
        <v>149900</v>
      </c>
      <c r="N36" s="10">
        <f t="shared" si="1"/>
        <v>0.9</v>
      </c>
      <c r="O36" s="34">
        <f t="shared" si="2"/>
        <v>14989.999999999996</v>
      </c>
      <c r="P36" s="7" t="str">
        <f t="shared" si="3"/>
        <v>PERCENTAGE</v>
      </c>
    </row>
    <row r="37" spans="1:16" x14ac:dyDescent="0.25">
      <c r="A37" s="7" t="str">
        <f t="shared" si="0"/>
        <v>2023 ALL D90</v>
      </c>
      <c r="B37" s="8">
        <f t="shared" si="4"/>
        <v>46099</v>
      </c>
      <c r="C37" s="8">
        <f t="shared" si="5"/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76907265</v>
      </c>
      <c r="K37" s="7" t="s">
        <v>270</v>
      </c>
      <c r="L37" s="7" t="s">
        <v>273</v>
      </c>
      <c r="M37" s="9">
        <v>149900</v>
      </c>
      <c r="N37" s="10">
        <f t="shared" si="1"/>
        <v>0.9</v>
      </c>
      <c r="O37" s="34">
        <f t="shared" si="2"/>
        <v>14989.999999999996</v>
      </c>
      <c r="P37" s="7" t="str">
        <f t="shared" si="3"/>
        <v>PERCENTAGE</v>
      </c>
    </row>
    <row r="38" spans="1:16" x14ac:dyDescent="0.25">
      <c r="A38" s="7" t="str">
        <f t="shared" si="0"/>
        <v>2023 ALL D90</v>
      </c>
      <c r="B38" s="8">
        <f t="shared" si="4"/>
        <v>46099</v>
      </c>
      <c r="C38" s="8">
        <f t="shared" si="5"/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76907274</v>
      </c>
      <c r="K38" s="7" t="s">
        <v>270</v>
      </c>
      <c r="L38" s="7" t="s">
        <v>274</v>
      </c>
      <c r="M38" s="9">
        <v>149900</v>
      </c>
      <c r="N38" s="10">
        <f t="shared" si="1"/>
        <v>0.9</v>
      </c>
      <c r="O38" s="34">
        <f t="shared" si="2"/>
        <v>14989.999999999996</v>
      </c>
      <c r="P38" s="7" t="str">
        <f t="shared" si="3"/>
        <v>PERCENTAGE</v>
      </c>
    </row>
    <row r="39" spans="1:16" x14ac:dyDescent="0.25">
      <c r="A39" s="7" t="str">
        <f t="shared" si="0"/>
        <v>2023 ALL D90</v>
      </c>
      <c r="B39" s="8">
        <f t="shared" si="4"/>
        <v>46099</v>
      </c>
      <c r="C39" s="8">
        <f t="shared" si="5"/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76907283</v>
      </c>
      <c r="K39" s="7" t="s">
        <v>270</v>
      </c>
      <c r="L39" s="7" t="s">
        <v>275</v>
      </c>
      <c r="M39" s="9">
        <v>149900</v>
      </c>
      <c r="N39" s="10">
        <f t="shared" si="1"/>
        <v>0.9</v>
      </c>
      <c r="O39" s="34">
        <f t="shared" si="2"/>
        <v>14989.999999999996</v>
      </c>
      <c r="P39" s="7" t="str">
        <f t="shared" si="3"/>
        <v>PERCENTAGE</v>
      </c>
    </row>
    <row r="40" spans="1:16" x14ac:dyDescent="0.25">
      <c r="A40" s="7" t="str">
        <f t="shared" si="0"/>
        <v>2023 ALL D90</v>
      </c>
      <c r="B40" s="8">
        <f t="shared" si="4"/>
        <v>46099</v>
      </c>
      <c r="C40" s="8">
        <f t="shared" si="5"/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76907292</v>
      </c>
      <c r="K40" s="7" t="s">
        <v>276</v>
      </c>
      <c r="L40" s="7" t="s">
        <v>277</v>
      </c>
      <c r="M40" s="9">
        <v>139900</v>
      </c>
      <c r="N40" s="10">
        <f t="shared" si="1"/>
        <v>0.9</v>
      </c>
      <c r="O40" s="34">
        <f t="shared" si="2"/>
        <v>13989.999999999996</v>
      </c>
      <c r="P40" s="7" t="str">
        <f t="shared" si="3"/>
        <v>PERCENTAGE</v>
      </c>
    </row>
    <row r="41" spans="1:16" x14ac:dyDescent="0.25">
      <c r="A41" s="7" t="str">
        <f t="shared" si="0"/>
        <v>2023 ALL D90</v>
      </c>
      <c r="B41" s="8">
        <f t="shared" si="4"/>
        <v>46099</v>
      </c>
      <c r="C41" s="8">
        <f t="shared" si="5"/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76907309</v>
      </c>
      <c r="K41" s="7" t="s">
        <v>276</v>
      </c>
      <c r="L41" s="7" t="s">
        <v>278</v>
      </c>
      <c r="M41" s="9">
        <v>139900</v>
      </c>
      <c r="N41" s="10">
        <f t="shared" si="1"/>
        <v>0.9</v>
      </c>
      <c r="O41" s="34">
        <f t="shared" si="2"/>
        <v>13989.999999999996</v>
      </c>
      <c r="P41" s="7" t="str">
        <f t="shared" si="3"/>
        <v>PERCENTAGE</v>
      </c>
    </row>
    <row r="42" spans="1:16" x14ac:dyDescent="0.25">
      <c r="A42" s="7" t="str">
        <f t="shared" si="0"/>
        <v>2023 ALL D90</v>
      </c>
      <c r="B42" s="8">
        <f t="shared" si="4"/>
        <v>46099</v>
      </c>
      <c r="C42" s="8">
        <f t="shared" si="5"/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76907336</v>
      </c>
      <c r="K42" s="7" t="s">
        <v>276</v>
      </c>
      <c r="L42" s="7" t="s">
        <v>279</v>
      </c>
      <c r="M42" s="9">
        <v>139900</v>
      </c>
      <c r="N42" s="10">
        <f t="shared" si="1"/>
        <v>0.9</v>
      </c>
      <c r="O42" s="34">
        <f t="shared" si="2"/>
        <v>13989.999999999996</v>
      </c>
      <c r="P42" s="7" t="str">
        <f t="shared" si="3"/>
        <v>PERCENTAGE</v>
      </c>
    </row>
    <row r="43" spans="1:16" x14ac:dyDescent="0.25">
      <c r="A43" s="7" t="str">
        <f t="shared" si="0"/>
        <v>2023 ALL D90</v>
      </c>
      <c r="B43" s="8">
        <f t="shared" si="4"/>
        <v>46099</v>
      </c>
      <c r="C43" s="8">
        <f t="shared" si="5"/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78759789</v>
      </c>
      <c r="K43" s="7" t="s">
        <v>280</v>
      </c>
      <c r="L43" s="7" t="s">
        <v>281</v>
      </c>
      <c r="M43" s="9">
        <v>149900</v>
      </c>
      <c r="N43" s="10">
        <f t="shared" si="1"/>
        <v>0.9</v>
      </c>
      <c r="O43" s="34">
        <f t="shared" si="2"/>
        <v>14989.999999999996</v>
      </c>
      <c r="P43" s="7" t="str">
        <f t="shared" si="3"/>
        <v>PERCENTAGE</v>
      </c>
    </row>
    <row r="44" spans="1:16" x14ac:dyDescent="0.25">
      <c r="A44" s="7" t="str">
        <f t="shared" si="0"/>
        <v>2023 ALL D90</v>
      </c>
      <c r="B44" s="8">
        <f t="shared" si="4"/>
        <v>46099</v>
      </c>
      <c r="C44" s="8">
        <f t="shared" si="5"/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78759798</v>
      </c>
      <c r="K44" s="7" t="s">
        <v>280</v>
      </c>
      <c r="L44" s="7" t="s">
        <v>282</v>
      </c>
      <c r="M44" s="9">
        <v>149900</v>
      </c>
      <c r="N44" s="10">
        <f t="shared" si="1"/>
        <v>0.9</v>
      </c>
      <c r="O44" s="34">
        <f t="shared" si="2"/>
        <v>14989.999999999996</v>
      </c>
      <c r="P44" s="7" t="str">
        <f t="shared" si="3"/>
        <v>PERCENTAGE</v>
      </c>
    </row>
    <row r="45" spans="1:16" x14ac:dyDescent="0.25">
      <c r="A45" s="7" t="str">
        <f t="shared" si="0"/>
        <v>2023 ALL D90</v>
      </c>
      <c r="B45" s="8">
        <f t="shared" si="4"/>
        <v>46099</v>
      </c>
      <c r="C45" s="8">
        <f t="shared" si="5"/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78759805</v>
      </c>
      <c r="K45" s="7" t="s">
        <v>280</v>
      </c>
      <c r="L45" s="7" t="s">
        <v>283</v>
      </c>
      <c r="M45" s="9">
        <v>149900</v>
      </c>
      <c r="N45" s="10">
        <f t="shared" si="1"/>
        <v>0.9</v>
      </c>
      <c r="O45" s="34">
        <f t="shared" si="2"/>
        <v>14989.999999999996</v>
      </c>
      <c r="P45" s="7" t="str">
        <f t="shared" si="3"/>
        <v>PERCENTAGE</v>
      </c>
    </row>
    <row r="46" spans="1:16" x14ac:dyDescent="0.25">
      <c r="A46" s="7" t="str">
        <f t="shared" si="0"/>
        <v>2023 ALL D90</v>
      </c>
      <c r="B46" s="8">
        <f t="shared" si="4"/>
        <v>46099</v>
      </c>
      <c r="C46" s="8">
        <f t="shared" si="5"/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78759814</v>
      </c>
      <c r="K46" s="7" t="s">
        <v>280</v>
      </c>
      <c r="L46" s="7" t="s">
        <v>284</v>
      </c>
      <c r="M46" s="9">
        <v>149900</v>
      </c>
      <c r="N46" s="10">
        <f t="shared" si="1"/>
        <v>0.9</v>
      </c>
      <c r="O46" s="34">
        <f t="shared" si="2"/>
        <v>14989.999999999996</v>
      </c>
      <c r="P46" s="7" t="str">
        <f t="shared" si="3"/>
        <v>PERCENTAGE</v>
      </c>
    </row>
    <row r="47" spans="1:16" x14ac:dyDescent="0.25">
      <c r="A47" s="7" t="str">
        <f t="shared" si="0"/>
        <v>2023 ALL D90</v>
      </c>
      <c r="B47" s="8">
        <f t="shared" si="4"/>
        <v>46099</v>
      </c>
      <c r="C47" s="8">
        <f t="shared" si="5"/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78759823</v>
      </c>
      <c r="K47" s="7" t="s">
        <v>280</v>
      </c>
      <c r="L47" s="7" t="s">
        <v>285</v>
      </c>
      <c r="M47" s="9">
        <v>149900</v>
      </c>
      <c r="N47" s="10">
        <f t="shared" si="1"/>
        <v>0.9</v>
      </c>
      <c r="O47" s="34">
        <f t="shared" si="2"/>
        <v>14989.999999999996</v>
      </c>
      <c r="P47" s="7" t="str">
        <f t="shared" si="3"/>
        <v>PERCENTAGE</v>
      </c>
    </row>
    <row r="48" spans="1:16" x14ac:dyDescent="0.25">
      <c r="A48" s="7" t="str">
        <f t="shared" si="0"/>
        <v>2023 ALL D90</v>
      </c>
      <c r="B48" s="8">
        <f t="shared" si="4"/>
        <v>46099</v>
      </c>
      <c r="C48" s="8">
        <f t="shared" si="5"/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78759841</v>
      </c>
      <c r="K48" s="7" t="s">
        <v>286</v>
      </c>
      <c r="L48" s="7" t="s">
        <v>287</v>
      </c>
      <c r="M48" s="9">
        <v>149900</v>
      </c>
      <c r="N48" s="10">
        <f t="shared" si="1"/>
        <v>0.9</v>
      </c>
      <c r="O48" s="34">
        <f t="shared" si="2"/>
        <v>14989.999999999996</v>
      </c>
      <c r="P48" s="7" t="str">
        <f t="shared" si="3"/>
        <v>PERCENTAGE</v>
      </c>
    </row>
    <row r="49" spans="1:16" x14ac:dyDescent="0.25">
      <c r="A49" s="7" t="str">
        <f t="shared" si="0"/>
        <v>2023 ALL D90</v>
      </c>
      <c r="B49" s="8">
        <f t="shared" si="4"/>
        <v>46099</v>
      </c>
      <c r="C49" s="8">
        <f t="shared" si="5"/>
        <v>46113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78759878</v>
      </c>
      <c r="K49" s="7" t="s">
        <v>286</v>
      </c>
      <c r="L49" s="7" t="s">
        <v>288</v>
      </c>
      <c r="M49" s="9">
        <v>149900</v>
      </c>
      <c r="N49" s="10">
        <f t="shared" si="1"/>
        <v>0.9</v>
      </c>
      <c r="O49" s="34">
        <f t="shared" si="2"/>
        <v>14989.999999999996</v>
      </c>
      <c r="P49" s="7" t="str">
        <f t="shared" si="3"/>
        <v>PERCENTAGE</v>
      </c>
    </row>
    <row r="50" spans="1:16" x14ac:dyDescent="0.25">
      <c r="A50" s="7" t="str">
        <f t="shared" si="0"/>
        <v>2023 ALL D90</v>
      </c>
      <c r="B50" s="8">
        <f t="shared" si="4"/>
        <v>46099</v>
      </c>
      <c r="C50" s="8">
        <f t="shared" si="5"/>
        <v>46113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79058043</v>
      </c>
      <c r="K50" s="7" t="s">
        <v>289</v>
      </c>
      <c r="L50" s="7" t="s">
        <v>290</v>
      </c>
      <c r="M50" s="9">
        <v>149900</v>
      </c>
      <c r="N50" s="10">
        <f t="shared" si="1"/>
        <v>0.9</v>
      </c>
      <c r="O50" s="34">
        <f t="shared" si="2"/>
        <v>14989.999999999996</v>
      </c>
      <c r="P50" s="7" t="str">
        <f t="shared" si="3"/>
        <v>PERCENTAGE</v>
      </c>
    </row>
    <row r="51" spans="1:16" x14ac:dyDescent="0.25">
      <c r="A51" s="7" t="str">
        <f t="shared" si="0"/>
        <v>2023 ALL D90</v>
      </c>
      <c r="B51" s="8">
        <f t="shared" si="4"/>
        <v>46099</v>
      </c>
      <c r="C51" s="8">
        <f t="shared" si="5"/>
        <v>46113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79058052</v>
      </c>
      <c r="K51" s="7" t="s">
        <v>289</v>
      </c>
      <c r="L51" s="7" t="s">
        <v>291</v>
      </c>
      <c r="M51" s="9">
        <v>149900</v>
      </c>
      <c r="N51" s="10">
        <f t="shared" si="1"/>
        <v>0.9</v>
      </c>
      <c r="O51" s="34">
        <f t="shared" si="2"/>
        <v>14989.999999999996</v>
      </c>
      <c r="P51" s="7" t="str">
        <f t="shared" si="3"/>
        <v>PERCENTAGE</v>
      </c>
    </row>
    <row r="52" spans="1:16" x14ac:dyDescent="0.25">
      <c r="A52" s="7" t="str">
        <f t="shared" si="0"/>
        <v>2023 ALL D90</v>
      </c>
      <c r="B52" s="8">
        <f t="shared" si="4"/>
        <v>46099</v>
      </c>
      <c r="C52" s="8">
        <f t="shared" si="5"/>
        <v>46113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79058061</v>
      </c>
      <c r="K52" s="7" t="s">
        <v>289</v>
      </c>
      <c r="L52" s="7" t="s">
        <v>292</v>
      </c>
      <c r="M52" s="9">
        <v>149900</v>
      </c>
      <c r="N52" s="10">
        <f t="shared" si="1"/>
        <v>0.9</v>
      </c>
      <c r="O52" s="34">
        <f t="shared" si="2"/>
        <v>14989.999999999996</v>
      </c>
      <c r="P52" s="7" t="str">
        <f t="shared" si="3"/>
        <v>PERCENTAGE</v>
      </c>
    </row>
    <row r="53" spans="1:16" x14ac:dyDescent="0.25">
      <c r="A53" s="7" t="str">
        <f t="shared" si="0"/>
        <v>2023 ALL D90</v>
      </c>
      <c r="B53" s="8">
        <f t="shared" si="4"/>
        <v>46099</v>
      </c>
      <c r="C53" s="8">
        <f t="shared" si="5"/>
        <v>46113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79058070</v>
      </c>
      <c r="K53" s="7" t="s">
        <v>289</v>
      </c>
      <c r="L53" s="7" t="s">
        <v>293</v>
      </c>
      <c r="M53" s="9">
        <v>149900</v>
      </c>
      <c r="N53" s="10">
        <f t="shared" si="1"/>
        <v>0.9</v>
      </c>
      <c r="O53" s="34">
        <f t="shared" si="2"/>
        <v>14989.999999999996</v>
      </c>
      <c r="P53" s="7" t="str">
        <f t="shared" si="3"/>
        <v>PERCENTAGE</v>
      </c>
    </row>
    <row r="54" spans="1:16" x14ac:dyDescent="0.25">
      <c r="A54" s="7" t="str">
        <f t="shared" si="0"/>
        <v>2023 ALL D90</v>
      </c>
      <c r="B54" s="8">
        <f t="shared" si="4"/>
        <v>46099</v>
      </c>
      <c r="C54" s="8">
        <f t="shared" si="5"/>
        <v>46113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79058089</v>
      </c>
      <c r="K54" s="7" t="s">
        <v>289</v>
      </c>
      <c r="L54" s="7" t="s">
        <v>294</v>
      </c>
      <c r="M54" s="9">
        <v>149900</v>
      </c>
      <c r="N54" s="10">
        <f t="shared" si="1"/>
        <v>0.9</v>
      </c>
      <c r="O54" s="34">
        <f t="shared" si="2"/>
        <v>14989.999999999996</v>
      </c>
      <c r="P54" s="7" t="str">
        <f t="shared" si="3"/>
        <v>PERCENTAGE</v>
      </c>
    </row>
    <row r="55" spans="1:16" x14ac:dyDescent="0.25">
      <c r="A55" s="7" t="str">
        <f t="shared" si="0"/>
        <v>2023 ALL D90</v>
      </c>
      <c r="B55" s="8">
        <f t="shared" si="4"/>
        <v>46099</v>
      </c>
      <c r="C55" s="8">
        <f t="shared" si="5"/>
        <v>46113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79058098</v>
      </c>
      <c r="K55" s="7" t="s">
        <v>295</v>
      </c>
      <c r="L55" s="7" t="s">
        <v>296</v>
      </c>
      <c r="M55" s="9">
        <v>139900</v>
      </c>
      <c r="N55" s="10">
        <f t="shared" si="1"/>
        <v>0.9</v>
      </c>
      <c r="O55" s="34">
        <f t="shared" si="2"/>
        <v>13989.999999999996</v>
      </c>
      <c r="P55" s="7" t="str">
        <f t="shared" si="3"/>
        <v>PERCENTAGE</v>
      </c>
    </row>
    <row r="56" spans="1:16" x14ac:dyDescent="0.25">
      <c r="A56" s="7" t="str">
        <f t="shared" si="0"/>
        <v>2023 ALL D90</v>
      </c>
      <c r="B56" s="8">
        <f t="shared" si="4"/>
        <v>46099</v>
      </c>
      <c r="C56" s="8">
        <f t="shared" si="5"/>
        <v>46113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79058105</v>
      </c>
      <c r="K56" s="7" t="s">
        <v>295</v>
      </c>
      <c r="L56" s="7" t="s">
        <v>297</v>
      </c>
      <c r="M56" s="9">
        <v>139900</v>
      </c>
      <c r="N56" s="10">
        <f t="shared" si="1"/>
        <v>0.9</v>
      </c>
      <c r="O56" s="34">
        <f t="shared" si="2"/>
        <v>13989.999999999996</v>
      </c>
      <c r="P56" s="7" t="str">
        <f t="shared" si="3"/>
        <v>PERCENTAGE</v>
      </c>
    </row>
    <row r="57" spans="1:16" x14ac:dyDescent="0.25">
      <c r="A57" s="7" t="str">
        <f t="shared" si="0"/>
        <v>2023 ALL D90</v>
      </c>
      <c r="B57" s="8">
        <f t="shared" si="4"/>
        <v>46099</v>
      </c>
      <c r="C57" s="8">
        <f t="shared" si="5"/>
        <v>46113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79058123</v>
      </c>
      <c r="K57" s="7" t="s">
        <v>295</v>
      </c>
      <c r="L57" s="7" t="s">
        <v>298</v>
      </c>
      <c r="M57" s="9">
        <v>139900</v>
      </c>
      <c r="N57" s="10">
        <f t="shared" si="1"/>
        <v>0.9</v>
      </c>
      <c r="O57" s="34">
        <f t="shared" si="2"/>
        <v>13989.999999999996</v>
      </c>
      <c r="P57" s="7" t="str">
        <f t="shared" si="3"/>
        <v>PERCENTAGE</v>
      </c>
    </row>
    <row r="58" spans="1:16" x14ac:dyDescent="0.25">
      <c r="A58" s="7" t="str">
        <f t="shared" si="0"/>
        <v>2023 ALL D90</v>
      </c>
      <c r="B58" s="8">
        <f t="shared" si="4"/>
        <v>46099</v>
      </c>
      <c r="C58" s="8">
        <f t="shared" si="5"/>
        <v>46113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79058132</v>
      </c>
      <c r="K58" s="7" t="s">
        <v>295</v>
      </c>
      <c r="L58" s="7" t="s">
        <v>299</v>
      </c>
      <c r="M58" s="9">
        <v>139900</v>
      </c>
      <c r="N58" s="10">
        <f t="shared" si="1"/>
        <v>0.9</v>
      </c>
      <c r="O58" s="34">
        <f t="shared" si="2"/>
        <v>13989.999999999996</v>
      </c>
      <c r="P58" s="7" t="str">
        <f t="shared" si="3"/>
        <v>PERCENTAGE</v>
      </c>
    </row>
    <row r="59" spans="1:16" x14ac:dyDescent="0.25">
      <c r="A59" s="7" t="str">
        <f t="shared" si="0"/>
        <v>2023 ALL D90</v>
      </c>
      <c r="B59" s="8">
        <f t="shared" si="4"/>
        <v>46099</v>
      </c>
      <c r="C59" s="8">
        <f t="shared" si="5"/>
        <v>46113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79058141</v>
      </c>
      <c r="K59" s="7" t="s">
        <v>300</v>
      </c>
      <c r="L59" s="7" t="s">
        <v>301</v>
      </c>
      <c r="M59" s="9">
        <v>149900</v>
      </c>
      <c r="N59" s="10">
        <f t="shared" si="1"/>
        <v>0.9</v>
      </c>
      <c r="O59" s="34">
        <f t="shared" si="2"/>
        <v>14989.999999999996</v>
      </c>
      <c r="P59" s="7" t="str">
        <f t="shared" si="3"/>
        <v>PERCENTAGE</v>
      </c>
    </row>
    <row r="60" spans="1:16" x14ac:dyDescent="0.25">
      <c r="A60" s="7" t="str">
        <f t="shared" si="0"/>
        <v>2023 ALL D90</v>
      </c>
      <c r="B60" s="8">
        <f t="shared" si="4"/>
        <v>46099</v>
      </c>
      <c r="C60" s="8">
        <f t="shared" si="5"/>
        <v>46113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79058150</v>
      </c>
      <c r="K60" s="7" t="s">
        <v>300</v>
      </c>
      <c r="L60" s="7" t="s">
        <v>302</v>
      </c>
      <c r="M60" s="9">
        <v>149900</v>
      </c>
      <c r="N60" s="10">
        <f t="shared" si="1"/>
        <v>0.9</v>
      </c>
      <c r="O60" s="34">
        <f t="shared" si="2"/>
        <v>14989.999999999996</v>
      </c>
      <c r="P60" s="7" t="str">
        <f t="shared" si="3"/>
        <v>PERCENTAGE</v>
      </c>
    </row>
    <row r="61" spans="1:16" x14ac:dyDescent="0.25">
      <c r="A61" s="7" t="str">
        <f t="shared" si="0"/>
        <v>2023 ALL D90</v>
      </c>
      <c r="B61" s="8">
        <f t="shared" si="4"/>
        <v>46099</v>
      </c>
      <c r="C61" s="8">
        <f t="shared" si="5"/>
        <v>46113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79058169</v>
      </c>
      <c r="K61" s="7" t="s">
        <v>300</v>
      </c>
      <c r="L61" s="7" t="s">
        <v>303</v>
      </c>
      <c r="M61" s="9">
        <v>149900</v>
      </c>
      <c r="N61" s="10">
        <f t="shared" si="1"/>
        <v>0.9</v>
      </c>
      <c r="O61" s="34">
        <f t="shared" si="2"/>
        <v>14989.999999999996</v>
      </c>
      <c r="P61" s="7" t="str">
        <f t="shared" si="3"/>
        <v>PERCENTAGE</v>
      </c>
    </row>
    <row r="62" spans="1:16" x14ac:dyDescent="0.25">
      <c r="A62" s="7" t="str">
        <f t="shared" si="0"/>
        <v>2023 ALL D90</v>
      </c>
      <c r="B62" s="8">
        <f t="shared" si="4"/>
        <v>46099</v>
      </c>
      <c r="C62" s="8">
        <f t="shared" si="5"/>
        <v>46113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79058178</v>
      </c>
      <c r="K62" s="7" t="s">
        <v>300</v>
      </c>
      <c r="L62" s="7" t="s">
        <v>304</v>
      </c>
      <c r="M62" s="9">
        <v>149900</v>
      </c>
      <c r="N62" s="10">
        <f t="shared" si="1"/>
        <v>0.9</v>
      </c>
      <c r="O62" s="34">
        <f t="shared" si="2"/>
        <v>14989.999999999996</v>
      </c>
      <c r="P62" s="7" t="str">
        <f t="shared" si="3"/>
        <v>PERCENTAGE</v>
      </c>
    </row>
    <row r="63" spans="1:16" x14ac:dyDescent="0.25">
      <c r="A63" s="7" t="str">
        <f t="shared" si="0"/>
        <v>2023 ALL D90</v>
      </c>
      <c r="B63" s="8">
        <f t="shared" si="4"/>
        <v>46099</v>
      </c>
      <c r="C63" s="8">
        <f t="shared" si="5"/>
        <v>46113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79058187</v>
      </c>
      <c r="K63" s="7" t="s">
        <v>300</v>
      </c>
      <c r="L63" s="7" t="s">
        <v>305</v>
      </c>
      <c r="M63" s="9">
        <v>149900</v>
      </c>
      <c r="N63" s="10">
        <f t="shared" si="1"/>
        <v>0.9</v>
      </c>
      <c r="O63" s="34">
        <f t="shared" si="2"/>
        <v>14989.999999999996</v>
      </c>
      <c r="P63" s="7" t="str">
        <f t="shared" si="3"/>
        <v>PERCENTAGE</v>
      </c>
    </row>
    <row r="64" spans="1:16" x14ac:dyDescent="0.25">
      <c r="A64" s="7" t="str">
        <f t="shared" si="0"/>
        <v>2023 ALL D90</v>
      </c>
      <c r="B64" s="8">
        <f t="shared" si="4"/>
        <v>46099</v>
      </c>
      <c r="C64" s="8">
        <f t="shared" si="5"/>
        <v>46113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79058196</v>
      </c>
      <c r="K64" s="7" t="s">
        <v>306</v>
      </c>
      <c r="L64" s="7" t="s">
        <v>307</v>
      </c>
      <c r="M64" s="9">
        <v>139900</v>
      </c>
      <c r="N64" s="10">
        <f t="shared" si="1"/>
        <v>0.9</v>
      </c>
      <c r="O64" s="34">
        <f t="shared" si="2"/>
        <v>13989.999999999996</v>
      </c>
      <c r="P64" s="7" t="str">
        <f t="shared" si="3"/>
        <v>PERCENTAGE</v>
      </c>
    </row>
    <row r="65" spans="1:16" x14ac:dyDescent="0.25">
      <c r="A65" s="7" t="str">
        <f t="shared" si="0"/>
        <v>2023 ALL D90</v>
      </c>
      <c r="B65" s="8">
        <f t="shared" si="4"/>
        <v>46099</v>
      </c>
      <c r="C65" s="8">
        <f t="shared" si="5"/>
        <v>46113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79058203</v>
      </c>
      <c r="K65" s="7" t="s">
        <v>306</v>
      </c>
      <c r="L65" s="7" t="s">
        <v>308</v>
      </c>
      <c r="M65" s="9">
        <v>139900</v>
      </c>
      <c r="N65" s="10">
        <f t="shared" si="1"/>
        <v>0.9</v>
      </c>
      <c r="O65" s="34">
        <f t="shared" si="2"/>
        <v>13989.999999999996</v>
      </c>
      <c r="P65" s="7" t="str">
        <f t="shared" si="3"/>
        <v>PERCENTAGE</v>
      </c>
    </row>
    <row r="66" spans="1:16" x14ac:dyDescent="0.25">
      <c r="A66" s="7" t="str">
        <f t="shared" si="0"/>
        <v>2023 ALL D90</v>
      </c>
      <c r="B66" s="8">
        <f t="shared" si="4"/>
        <v>46099</v>
      </c>
      <c r="C66" s="8">
        <f t="shared" si="5"/>
        <v>46113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79058212</v>
      </c>
      <c r="K66" s="7" t="s">
        <v>306</v>
      </c>
      <c r="L66" s="7" t="s">
        <v>309</v>
      </c>
      <c r="M66" s="9">
        <v>139900</v>
      </c>
      <c r="N66" s="10">
        <f t="shared" si="1"/>
        <v>0.9</v>
      </c>
      <c r="O66" s="34">
        <f t="shared" si="2"/>
        <v>13989.999999999996</v>
      </c>
      <c r="P66" s="7" t="str">
        <f t="shared" si="3"/>
        <v>PERCENTAGE</v>
      </c>
    </row>
    <row r="67" spans="1:16" x14ac:dyDescent="0.25">
      <c r="A67" s="7" t="str">
        <f t="shared" ref="A67:A130" si="6">A66</f>
        <v>2023 ALL D90</v>
      </c>
      <c r="B67" s="8">
        <f t="shared" ref="B67:B130" si="7">B66</f>
        <v>46099</v>
      </c>
      <c r="C67" s="8">
        <f t="shared" ref="C67:C130" si="8">C66</f>
        <v>46113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79058221</v>
      </c>
      <c r="K67" s="7" t="s">
        <v>306</v>
      </c>
      <c r="L67" s="7" t="s">
        <v>310</v>
      </c>
      <c r="M67" s="9">
        <v>139900</v>
      </c>
      <c r="N67" s="10">
        <f t="shared" ref="N67:N130" si="9">N66</f>
        <v>0.9</v>
      </c>
      <c r="O67" s="34">
        <f t="shared" ref="O67:O130" si="10">M67*(1-N67)</f>
        <v>13989.999999999996</v>
      </c>
      <c r="P67" s="7" t="str">
        <f t="shared" ref="P67:P130" si="11">P66</f>
        <v>PERCENTAGE</v>
      </c>
    </row>
    <row r="68" spans="1:16" x14ac:dyDescent="0.25">
      <c r="A68" s="7" t="str">
        <f t="shared" si="6"/>
        <v>2023 ALL D90</v>
      </c>
      <c r="B68" s="8">
        <f t="shared" si="7"/>
        <v>46099</v>
      </c>
      <c r="C68" s="8">
        <f t="shared" si="8"/>
        <v>46113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79058230</v>
      </c>
      <c r="K68" s="7" t="s">
        <v>306</v>
      </c>
      <c r="L68" s="7" t="s">
        <v>311</v>
      </c>
      <c r="M68" s="9">
        <v>139900</v>
      </c>
      <c r="N68" s="10">
        <f t="shared" si="9"/>
        <v>0.9</v>
      </c>
      <c r="O68" s="34">
        <f t="shared" si="10"/>
        <v>13989.999999999996</v>
      </c>
      <c r="P68" s="7" t="str">
        <f t="shared" si="11"/>
        <v>PERCENTAGE</v>
      </c>
    </row>
    <row r="69" spans="1:16" x14ac:dyDescent="0.25">
      <c r="A69" s="7" t="str">
        <f t="shared" si="6"/>
        <v>2023 ALL D90</v>
      </c>
      <c r="B69" s="8">
        <f t="shared" si="7"/>
        <v>46099</v>
      </c>
      <c r="C69" s="8">
        <f t="shared" si="8"/>
        <v>46113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79058249</v>
      </c>
      <c r="K69" s="7" t="s">
        <v>312</v>
      </c>
      <c r="L69" s="7" t="s">
        <v>313</v>
      </c>
      <c r="M69" s="9">
        <v>149900</v>
      </c>
      <c r="N69" s="10">
        <f t="shared" si="9"/>
        <v>0.9</v>
      </c>
      <c r="O69" s="34">
        <f t="shared" si="10"/>
        <v>14989.999999999996</v>
      </c>
      <c r="P69" s="7" t="str">
        <f t="shared" si="11"/>
        <v>PERCENTAGE</v>
      </c>
    </row>
    <row r="70" spans="1:16" x14ac:dyDescent="0.25">
      <c r="A70" s="7" t="str">
        <f t="shared" si="6"/>
        <v>2023 ALL D90</v>
      </c>
      <c r="B70" s="8">
        <f t="shared" si="7"/>
        <v>46099</v>
      </c>
      <c r="C70" s="8">
        <f t="shared" si="8"/>
        <v>46113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79058258</v>
      </c>
      <c r="K70" s="7" t="s">
        <v>312</v>
      </c>
      <c r="L70" s="7" t="s">
        <v>314</v>
      </c>
      <c r="M70" s="9">
        <v>149900</v>
      </c>
      <c r="N70" s="10">
        <f t="shared" si="9"/>
        <v>0.9</v>
      </c>
      <c r="O70" s="34">
        <f t="shared" si="10"/>
        <v>14989.999999999996</v>
      </c>
      <c r="P70" s="7" t="str">
        <f t="shared" si="11"/>
        <v>PERCENTAGE</v>
      </c>
    </row>
    <row r="71" spans="1:16" x14ac:dyDescent="0.25">
      <c r="A71" s="7" t="str">
        <f t="shared" si="6"/>
        <v>2023 ALL D90</v>
      </c>
      <c r="B71" s="8">
        <f t="shared" si="7"/>
        <v>46099</v>
      </c>
      <c r="C71" s="8">
        <f t="shared" si="8"/>
        <v>46113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79058267</v>
      </c>
      <c r="K71" s="7" t="s">
        <v>312</v>
      </c>
      <c r="L71" s="7" t="s">
        <v>315</v>
      </c>
      <c r="M71" s="9">
        <v>149900</v>
      </c>
      <c r="N71" s="10">
        <f t="shared" si="9"/>
        <v>0.9</v>
      </c>
      <c r="O71" s="34">
        <f t="shared" si="10"/>
        <v>14989.999999999996</v>
      </c>
      <c r="P71" s="7" t="str">
        <f t="shared" si="11"/>
        <v>PERCENTAGE</v>
      </c>
    </row>
    <row r="72" spans="1:16" x14ac:dyDescent="0.25">
      <c r="A72" s="7" t="str">
        <f t="shared" si="6"/>
        <v>2023 ALL D90</v>
      </c>
      <c r="B72" s="8">
        <f t="shared" si="7"/>
        <v>46099</v>
      </c>
      <c r="C72" s="8">
        <f t="shared" si="8"/>
        <v>46113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79058276</v>
      </c>
      <c r="K72" s="7" t="s">
        <v>312</v>
      </c>
      <c r="L72" s="7" t="s">
        <v>316</v>
      </c>
      <c r="M72" s="9">
        <v>149900</v>
      </c>
      <c r="N72" s="10">
        <f t="shared" si="9"/>
        <v>0.9</v>
      </c>
      <c r="O72" s="34">
        <f t="shared" si="10"/>
        <v>14989.999999999996</v>
      </c>
      <c r="P72" s="7" t="str">
        <f t="shared" si="11"/>
        <v>PERCENTAGE</v>
      </c>
    </row>
    <row r="73" spans="1:16" x14ac:dyDescent="0.25">
      <c r="A73" s="7" t="str">
        <f t="shared" si="6"/>
        <v>2023 ALL D90</v>
      </c>
      <c r="B73" s="8">
        <f t="shared" si="7"/>
        <v>46099</v>
      </c>
      <c r="C73" s="8">
        <f t="shared" si="8"/>
        <v>46113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79058285</v>
      </c>
      <c r="K73" s="7" t="s">
        <v>312</v>
      </c>
      <c r="L73" s="7" t="s">
        <v>317</v>
      </c>
      <c r="M73" s="9">
        <v>149900</v>
      </c>
      <c r="N73" s="10">
        <f t="shared" si="9"/>
        <v>0.9</v>
      </c>
      <c r="O73" s="34">
        <f t="shared" si="10"/>
        <v>14989.999999999996</v>
      </c>
      <c r="P73" s="7" t="str">
        <f t="shared" si="11"/>
        <v>PERCENTAGE</v>
      </c>
    </row>
    <row r="74" spans="1:16" x14ac:dyDescent="0.25">
      <c r="A74" s="7" t="str">
        <f t="shared" si="6"/>
        <v>2023 ALL D90</v>
      </c>
      <c r="B74" s="8">
        <f t="shared" si="7"/>
        <v>46099</v>
      </c>
      <c r="C74" s="8">
        <f t="shared" si="8"/>
        <v>46113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79058294</v>
      </c>
      <c r="K74" s="7" t="s">
        <v>318</v>
      </c>
      <c r="L74" s="7" t="s">
        <v>319</v>
      </c>
      <c r="M74" s="9">
        <v>149900</v>
      </c>
      <c r="N74" s="10">
        <f t="shared" si="9"/>
        <v>0.9</v>
      </c>
      <c r="O74" s="34">
        <f t="shared" si="10"/>
        <v>14989.999999999996</v>
      </c>
      <c r="P74" s="7" t="str">
        <f t="shared" si="11"/>
        <v>PERCENTAGE</v>
      </c>
    </row>
    <row r="75" spans="1:16" x14ac:dyDescent="0.25">
      <c r="A75" s="7" t="str">
        <f t="shared" si="6"/>
        <v>2023 ALL D90</v>
      </c>
      <c r="B75" s="8">
        <f t="shared" si="7"/>
        <v>46099</v>
      </c>
      <c r="C75" s="8">
        <f t="shared" si="8"/>
        <v>46113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79058301</v>
      </c>
      <c r="K75" s="7" t="s">
        <v>318</v>
      </c>
      <c r="L75" s="7" t="s">
        <v>320</v>
      </c>
      <c r="M75" s="9">
        <v>149900</v>
      </c>
      <c r="N75" s="10">
        <f t="shared" si="9"/>
        <v>0.9</v>
      </c>
      <c r="O75" s="34">
        <f t="shared" si="10"/>
        <v>14989.999999999996</v>
      </c>
      <c r="P75" s="7" t="str">
        <f t="shared" si="11"/>
        <v>PERCENTAGE</v>
      </c>
    </row>
    <row r="76" spans="1:16" x14ac:dyDescent="0.25">
      <c r="A76" s="7" t="str">
        <f t="shared" si="6"/>
        <v>2023 ALL D90</v>
      </c>
      <c r="B76" s="8">
        <f t="shared" si="7"/>
        <v>46099</v>
      </c>
      <c r="C76" s="8">
        <f t="shared" si="8"/>
        <v>46113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79058329</v>
      </c>
      <c r="K76" s="7" t="s">
        <v>318</v>
      </c>
      <c r="L76" s="7" t="s">
        <v>321</v>
      </c>
      <c r="M76" s="9">
        <v>149900</v>
      </c>
      <c r="N76" s="10">
        <f t="shared" si="9"/>
        <v>0.9</v>
      </c>
      <c r="O76" s="34">
        <f t="shared" si="10"/>
        <v>14989.999999999996</v>
      </c>
      <c r="P76" s="7" t="str">
        <f t="shared" si="11"/>
        <v>PERCENTAGE</v>
      </c>
    </row>
    <row r="77" spans="1:16" x14ac:dyDescent="0.25">
      <c r="A77" s="7" t="str">
        <f t="shared" si="6"/>
        <v>2023 ALL D90</v>
      </c>
      <c r="B77" s="8">
        <f t="shared" si="7"/>
        <v>46099</v>
      </c>
      <c r="C77" s="8">
        <f t="shared" si="8"/>
        <v>46113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79299195</v>
      </c>
      <c r="K77" s="7" t="s">
        <v>322</v>
      </c>
      <c r="L77" s="7" t="s">
        <v>323</v>
      </c>
      <c r="M77" s="9">
        <v>149900</v>
      </c>
      <c r="N77" s="10">
        <f t="shared" si="9"/>
        <v>0.9</v>
      </c>
      <c r="O77" s="34">
        <f t="shared" si="10"/>
        <v>14989.999999999996</v>
      </c>
      <c r="P77" s="7" t="str">
        <f t="shared" si="11"/>
        <v>PERCENTAGE</v>
      </c>
    </row>
    <row r="78" spans="1:16" x14ac:dyDescent="0.25">
      <c r="A78" s="7" t="str">
        <f t="shared" si="6"/>
        <v>2023 ALL D90</v>
      </c>
      <c r="B78" s="8">
        <f t="shared" si="7"/>
        <v>46099</v>
      </c>
      <c r="C78" s="8">
        <f t="shared" si="8"/>
        <v>46113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79299211</v>
      </c>
      <c r="K78" s="7" t="s">
        <v>322</v>
      </c>
      <c r="L78" s="7" t="s">
        <v>324</v>
      </c>
      <c r="M78" s="9">
        <v>149900</v>
      </c>
      <c r="N78" s="10">
        <f t="shared" si="9"/>
        <v>0.9</v>
      </c>
      <c r="O78" s="34">
        <f t="shared" si="10"/>
        <v>14989.999999999996</v>
      </c>
      <c r="P78" s="7" t="str">
        <f t="shared" si="11"/>
        <v>PERCENTAGE</v>
      </c>
    </row>
    <row r="79" spans="1:16" x14ac:dyDescent="0.25">
      <c r="A79" s="7" t="str">
        <f t="shared" si="6"/>
        <v>2023 ALL D90</v>
      </c>
      <c r="B79" s="8">
        <f t="shared" si="7"/>
        <v>46099</v>
      </c>
      <c r="C79" s="8">
        <f t="shared" si="8"/>
        <v>46113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79299220</v>
      </c>
      <c r="K79" s="7" t="s">
        <v>322</v>
      </c>
      <c r="L79" s="7" t="s">
        <v>325</v>
      </c>
      <c r="M79" s="9">
        <v>149900</v>
      </c>
      <c r="N79" s="10">
        <f t="shared" si="9"/>
        <v>0.9</v>
      </c>
      <c r="O79" s="34">
        <f t="shared" si="10"/>
        <v>14989.999999999996</v>
      </c>
      <c r="P79" s="7" t="str">
        <f t="shared" si="11"/>
        <v>PERCENTAGE</v>
      </c>
    </row>
    <row r="80" spans="1:16" x14ac:dyDescent="0.25">
      <c r="A80" s="7" t="str">
        <f t="shared" si="6"/>
        <v>2023 ALL D90</v>
      </c>
      <c r="B80" s="8">
        <f t="shared" si="7"/>
        <v>46099</v>
      </c>
      <c r="C80" s="8">
        <f t="shared" si="8"/>
        <v>46113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79299239</v>
      </c>
      <c r="K80" s="7" t="s">
        <v>322</v>
      </c>
      <c r="L80" s="7" t="s">
        <v>326</v>
      </c>
      <c r="M80" s="9">
        <v>149900</v>
      </c>
      <c r="N80" s="10">
        <f t="shared" si="9"/>
        <v>0.9</v>
      </c>
      <c r="O80" s="34">
        <f t="shared" si="10"/>
        <v>14989.999999999996</v>
      </c>
      <c r="P80" s="7" t="str">
        <f t="shared" si="11"/>
        <v>PERCENTAGE</v>
      </c>
    </row>
    <row r="81" spans="1:16" x14ac:dyDescent="0.25">
      <c r="A81" s="7" t="str">
        <f t="shared" si="6"/>
        <v>2023 ALL D90</v>
      </c>
      <c r="B81" s="8">
        <f t="shared" si="7"/>
        <v>46099</v>
      </c>
      <c r="C81" s="8">
        <f t="shared" si="8"/>
        <v>46113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79299293</v>
      </c>
      <c r="K81" s="7" t="s">
        <v>327</v>
      </c>
      <c r="L81" s="7" t="s">
        <v>328</v>
      </c>
      <c r="M81" s="9">
        <v>149900</v>
      </c>
      <c r="N81" s="10">
        <f t="shared" si="9"/>
        <v>0.9</v>
      </c>
      <c r="O81" s="34">
        <f t="shared" si="10"/>
        <v>14989.999999999996</v>
      </c>
      <c r="P81" s="7" t="str">
        <f t="shared" si="11"/>
        <v>PERCENTAGE</v>
      </c>
    </row>
    <row r="82" spans="1:16" x14ac:dyDescent="0.25">
      <c r="A82" s="7" t="str">
        <f t="shared" si="6"/>
        <v>2023 ALL D90</v>
      </c>
      <c r="B82" s="8">
        <f t="shared" si="7"/>
        <v>46099</v>
      </c>
      <c r="C82" s="8">
        <f t="shared" si="8"/>
        <v>46113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79299300</v>
      </c>
      <c r="K82" s="7" t="s">
        <v>327</v>
      </c>
      <c r="L82" s="7" t="s">
        <v>329</v>
      </c>
      <c r="M82" s="9">
        <v>149900</v>
      </c>
      <c r="N82" s="10">
        <f t="shared" si="9"/>
        <v>0.9</v>
      </c>
      <c r="O82" s="34">
        <f t="shared" si="10"/>
        <v>14989.999999999996</v>
      </c>
      <c r="P82" s="7" t="str">
        <f t="shared" si="11"/>
        <v>PERCENTAGE</v>
      </c>
    </row>
    <row r="83" spans="1:16" x14ac:dyDescent="0.25">
      <c r="A83" s="7" t="str">
        <f t="shared" si="6"/>
        <v>2023 ALL D90</v>
      </c>
      <c r="B83" s="8">
        <f t="shared" si="7"/>
        <v>46099</v>
      </c>
      <c r="C83" s="8">
        <f t="shared" si="8"/>
        <v>46113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79299319</v>
      </c>
      <c r="K83" s="7" t="s">
        <v>327</v>
      </c>
      <c r="L83" s="7" t="s">
        <v>330</v>
      </c>
      <c r="M83" s="9">
        <v>149900</v>
      </c>
      <c r="N83" s="10">
        <f t="shared" si="9"/>
        <v>0.9</v>
      </c>
      <c r="O83" s="34">
        <f t="shared" si="10"/>
        <v>14989.999999999996</v>
      </c>
      <c r="P83" s="7" t="str">
        <f t="shared" si="11"/>
        <v>PERCENTAGE</v>
      </c>
    </row>
    <row r="84" spans="1:16" x14ac:dyDescent="0.25">
      <c r="A84" s="7" t="str">
        <f t="shared" si="6"/>
        <v>2023 ALL D90</v>
      </c>
      <c r="B84" s="8">
        <f t="shared" si="7"/>
        <v>46099</v>
      </c>
      <c r="C84" s="8">
        <f t="shared" si="8"/>
        <v>46113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79299328</v>
      </c>
      <c r="K84" s="7" t="s">
        <v>327</v>
      </c>
      <c r="L84" s="7" t="s">
        <v>331</v>
      </c>
      <c r="M84" s="9">
        <v>149900</v>
      </c>
      <c r="N84" s="10">
        <f t="shared" si="9"/>
        <v>0.9</v>
      </c>
      <c r="O84" s="34">
        <f t="shared" si="10"/>
        <v>14989.999999999996</v>
      </c>
      <c r="P84" s="7" t="str">
        <f t="shared" si="11"/>
        <v>PERCENTAGE</v>
      </c>
    </row>
    <row r="85" spans="1:16" x14ac:dyDescent="0.25">
      <c r="A85" s="7" t="str">
        <f t="shared" si="6"/>
        <v>2023 ALL D90</v>
      </c>
      <c r="B85" s="8">
        <f t="shared" si="7"/>
        <v>46099</v>
      </c>
      <c r="C85" s="8">
        <f t="shared" si="8"/>
        <v>46113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79299337</v>
      </c>
      <c r="K85" s="7" t="s">
        <v>327</v>
      </c>
      <c r="L85" s="7" t="s">
        <v>332</v>
      </c>
      <c r="M85" s="9">
        <v>149900</v>
      </c>
      <c r="N85" s="10">
        <f t="shared" si="9"/>
        <v>0.9</v>
      </c>
      <c r="O85" s="34">
        <f t="shared" si="10"/>
        <v>14989.999999999996</v>
      </c>
      <c r="P85" s="7" t="str">
        <f t="shared" si="11"/>
        <v>PERCENTAGE</v>
      </c>
    </row>
    <row r="86" spans="1:16" x14ac:dyDescent="0.25">
      <c r="A86" s="7" t="str">
        <f t="shared" si="6"/>
        <v>2023 ALL D90</v>
      </c>
      <c r="B86" s="8">
        <f t="shared" si="7"/>
        <v>46099</v>
      </c>
      <c r="C86" s="8">
        <f t="shared" si="8"/>
        <v>46113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79299391</v>
      </c>
      <c r="K86" s="7" t="s">
        <v>333</v>
      </c>
      <c r="L86" s="7" t="s">
        <v>334</v>
      </c>
      <c r="M86" s="9">
        <v>139900</v>
      </c>
      <c r="N86" s="10">
        <f t="shared" si="9"/>
        <v>0.9</v>
      </c>
      <c r="O86" s="34">
        <f t="shared" si="10"/>
        <v>13989.999999999996</v>
      </c>
      <c r="P86" s="7" t="str">
        <f t="shared" si="11"/>
        <v>PERCENTAGE</v>
      </c>
    </row>
    <row r="87" spans="1:16" x14ac:dyDescent="0.25">
      <c r="A87" s="7" t="str">
        <f t="shared" si="6"/>
        <v>2023 ALL D90</v>
      </c>
      <c r="B87" s="8">
        <f t="shared" si="7"/>
        <v>46099</v>
      </c>
      <c r="C87" s="8">
        <f t="shared" si="8"/>
        <v>46113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79299408</v>
      </c>
      <c r="K87" s="7" t="s">
        <v>333</v>
      </c>
      <c r="L87" s="7" t="s">
        <v>335</v>
      </c>
      <c r="M87" s="9">
        <v>139900</v>
      </c>
      <c r="N87" s="10">
        <f t="shared" si="9"/>
        <v>0.9</v>
      </c>
      <c r="O87" s="34">
        <f t="shared" si="10"/>
        <v>13989.999999999996</v>
      </c>
      <c r="P87" s="7" t="str">
        <f t="shared" si="11"/>
        <v>PERCENTAGE</v>
      </c>
    </row>
    <row r="88" spans="1:16" x14ac:dyDescent="0.25">
      <c r="A88" s="7" t="str">
        <f t="shared" si="6"/>
        <v>2023 ALL D90</v>
      </c>
      <c r="B88" s="8">
        <f t="shared" si="7"/>
        <v>46099</v>
      </c>
      <c r="C88" s="8">
        <f t="shared" si="8"/>
        <v>46113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79299417</v>
      </c>
      <c r="K88" s="7" t="s">
        <v>333</v>
      </c>
      <c r="L88" s="7" t="s">
        <v>336</v>
      </c>
      <c r="M88" s="9">
        <v>139900</v>
      </c>
      <c r="N88" s="10">
        <f t="shared" si="9"/>
        <v>0.9</v>
      </c>
      <c r="O88" s="34">
        <f t="shared" si="10"/>
        <v>13989.999999999996</v>
      </c>
      <c r="P88" s="7" t="str">
        <f t="shared" si="11"/>
        <v>PERCENTAGE</v>
      </c>
    </row>
    <row r="89" spans="1:16" x14ac:dyDescent="0.25">
      <c r="A89" s="7" t="str">
        <f t="shared" si="6"/>
        <v>2023 ALL D90</v>
      </c>
      <c r="B89" s="8">
        <f t="shared" si="7"/>
        <v>46099</v>
      </c>
      <c r="C89" s="8">
        <f t="shared" si="8"/>
        <v>46113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79299426</v>
      </c>
      <c r="K89" s="7" t="s">
        <v>333</v>
      </c>
      <c r="L89" s="7" t="s">
        <v>337</v>
      </c>
      <c r="M89" s="9">
        <v>139900</v>
      </c>
      <c r="N89" s="10">
        <f t="shared" si="9"/>
        <v>0.9</v>
      </c>
      <c r="O89" s="34">
        <f t="shared" si="10"/>
        <v>13989.999999999996</v>
      </c>
      <c r="P89" s="7" t="str">
        <f t="shared" si="11"/>
        <v>PERCENTAGE</v>
      </c>
    </row>
    <row r="90" spans="1:16" x14ac:dyDescent="0.25">
      <c r="A90" s="7" t="str">
        <f t="shared" si="6"/>
        <v>2023 ALL D90</v>
      </c>
      <c r="B90" s="8">
        <f t="shared" si="7"/>
        <v>46099</v>
      </c>
      <c r="C90" s="8">
        <f t="shared" si="8"/>
        <v>46113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79299435</v>
      </c>
      <c r="K90" s="7" t="s">
        <v>333</v>
      </c>
      <c r="L90" s="7" t="s">
        <v>338</v>
      </c>
      <c r="M90" s="9">
        <v>139900</v>
      </c>
      <c r="N90" s="10">
        <f t="shared" si="9"/>
        <v>0.9</v>
      </c>
      <c r="O90" s="34">
        <f t="shared" si="10"/>
        <v>13989.999999999996</v>
      </c>
      <c r="P90" s="7" t="str">
        <f t="shared" si="11"/>
        <v>PERCENTAGE</v>
      </c>
    </row>
    <row r="91" spans="1:16" x14ac:dyDescent="0.25">
      <c r="A91" s="7" t="str">
        <f t="shared" si="6"/>
        <v>2023 ALL D90</v>
      </c>
      <c r="B91" s="8">
        <f t="shared" si="7"/>
        <v>46099</v>
      </c>
      <c r="C91" s="8">
        <f t="shared" si="8"/>
        <v>46113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79299444</v>
      </c>
      <c r="K91" s="7" t="s">
        <v>339</v>
      </c>
      <c r="L91" s="7" t="s">
        <v>340</v>
      </c>
      <c r="M91" s="9">
        <v>139900</v>
      </c>
      <c r="N91" s="10">
        <f t="shared" si="9"/>
        <v>0.9</v>
      </c>
      <c r="O91" s="34">
        <f t="shared" si="10"/>
        <v>13989.999999999996</v>
      </c>
      <c r="P91" s="7" t="str">
        <f t="shared" si="11"/>
        <v>PERCENTAGE</v>
      </c>
    </row>
    <row r="92" spans="1:16" x14ac:dyDescent="0.25">
      <c r="A92" s="7" t="str">
        <f t="shared" si="6"/>
        <v>2023 ALL D90</v>
      </c>
      <c r="B92" s="8">
        <f t="shared" si="7"/>
        <v>46099</v>
      </c>
      <c r="C92" s="8">
        <f t="shared" si="8"/>
        <v>46113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79299453</v>
      </c>
      <c r="K92" s="7" t="s">
        <v>339</v>
      </c>
      <c r="L92" s="7" t="s">
        <v>341</v>
      </c>
      <c r="M92" s="9">
        <v>139900</v>
      </c>
      <c r="N92" s="10">
        <f t="shared" si="9"/>
        <v>0.9</v>
      </c>
      <c r="O92" s="34">
        <f t="shared" si="10"/>
        <v>13989.999999999996</v>
      </c>
      <c r="P92" s="7" t="str">
        <f t="shared" si="11"/>
        <v>PERCENTAGE</v>
      </c>
    </row>
    <row r="93" spans="1:16" x14ac:dyDescent="0.25">
      <c r="A93" s="7" t="str">
        <f t="shared" si="6"/>
        <v>2023 ALL D90</v>
      </c>
      <c r="B93" s="8">
        <f t="shared" si="7"/>
        <v>46099</v>
      </c>
      <c r="C93" s="8">
        <f t="shared" si="8"/>
        <v>46113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79299471</v>
      </c>
      <c r="K93" s="7" t="s">
        <v>339</v>
      </c>
      <c r="L93" s="7" t="s">
        <v>342</v>
      </c>
      <c r="M93" s="9">
        <v>139900</v>
      </c>
      <c r="N93" s="10">
        <f t="shared" si="9"/>
        <v>0.9</v>
      </c>
      <c r="O93" s="34">
        <f t="shared" si="10"/>
        <v>13989.999999999996</v>
      </c>
      <c r="P93" s="7" t="str">
        <f t="shared" si="11"/>
        <v>PERCENTAGE</v>
      </c>
    </row>
    <row r="94" spans="1:16" x14ac:dyDescent="0.25">
      <c r="A94" s="7" t="str">
        <f t="shared" si="6"/>
        <v>2023 ALL D90</v>
      </c>
      <c r="B94" s="8">
        <f t="shared" si="7"/>
        <v>46099</v>
      </c>
      <c r="C94" s="8">
        <f t="shared" si="8"/>
        <v>46113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79299480</v>
      </c>
      <c r="K94" s="7" t="s">
        <v>339</v>
      </c>
      <c r="L94" s="7" t="s">
        <v>343</v>
      </c>
      <c r="M94" s="9">
        <v>139900</v>
      </c>
      <c r="N94" s="10">
        <f t="shared" si="9"/>
        <v>0.9</v>
      </c>
      <c r="O94" s="34">
        <f t="shared" si="10"/>
        <v>13989.999999999996</v>
      </c>
      <c r="P94" s="7" t="str">
        <f t="shared" si="11"/>
        <v>PERCENTAGE</v>
      </c>
    </row>
    <row r="95" spans="1:16" x14ac:dyDescent="0.25">
      <c r="A95" s="7" t="str">
        <f t="shared" si="6"/>
        <v>2023 ALL D90</v>
      </c>
      <c r="B95" s="8">
        <f t="shared" si="7"/>
        <v>46099</v>
      </c>
      <c r="C95" s="8">
        <f t="shared" si="8"/>
        <v>46113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79844532</v>
      </c>
      <c r="K95" s="7" t="s">
        <v>344</v>
      </c>
      <c r="L95" s="7" t="s">
        <v>345</v>
      </c>
      <c r="M95" s="9">
        <v>149900</v>
      </c>
      <c r="N95" s="10">
        <f t="shared" si="9"/>
        <v>0.9</v>
      </c>
      <c r="O95" s="34">
        <f t="shared" si="10"/>
        <v>14989.999999999996</v>
      </c>
      <c r="P95" s="7" t="str">
        <f t="shared" si="11"/>
        <v>PERCENTAGE</v>
      </c>
    </row>
    <row r="96" spans="1:16" x14ac:dyDescent="0.25">
      <c r="A96" s="7" t="str">
        <f t="shared" si="6"/>
        <v>2023 ALL D90</v>
      </c>
      <c r="B96" s="8">
        <f t="shared" si="7"/>
        <v>46099</v>
      </c>
      <c r="C96" s="8">
        <f t="shared" si="8"/>
        <v>46113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79844541</v>
      </c>
      <c r="K96" s="7" t="s">
        <v>344</v>
      </c>
      <c r="L96" s="7" t="s">
        <v>346</v>
      </c>
      <c r="M96" s="9">
        <v>149900</v>
      </c>
      <c r="N96" s="10">
        <f t="shared" si="9"/>
        <v>0.9</v>
      </c>
      <c r="O96" s="34">
        <f t="shared" si="10"/>
        <v>14989.999999999996</v>
      </c>
      <c r="P96" s="7" t="str">
        <f t="shared" si="11"/>
        <v>PERCENTAGE</v>
      </c>
    </row>
    <row r="97" spans="1:16" x14ac:dyDescent="0.25">
      <c r="A97" s="7" t="str">
        <f t="shared" si="6"/>
        <v>2023 ALL D90</v>
      </c>
      <c r="B97" s="8">
        <f t="shared" si="7"/>
        <v>46099</v>
      </c>
      <c r="C97" s="8">
        <f t="shared" si="8"/>
        <v>46113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79844550</v>
      </c>
      <c r="K97" s="7" t="s">
        <v>344</v>
      </c>
      <c r="L97" s="7" t="s">
        <v>347</v>
      </c>
      <c r="M97" s="9">
        <v>149900</v>
      </c>
      <c r="N97" s="10">
        <f t="shared" si="9"/>
        <v>0.9</v>
      </c>
      <c r="O97" s="34">
        <f t="shared" si="10"/>
        <v>14989.999999999996</v>
      </c>
      <c r="P97" s="7" t="str">
        <f t="shared" si="11"/>
        <v>PERCENTAGE</v>
      </c>
    </row>
    <row r="98" spans="1:16" x14ac:dyDescent="0.25">
      <c r="A98" s="7" t="str">
        <f t="shared" si="6"/>
        <v>2023 ALL D90</v>
      </c>
      <c r="B98" s="8">
        <f t="shared" si="7"/>
        <v>46099</v>
      </c>
      <c r="C98" s="8">
        <f t="shared" si="8"/>
        <v>46113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79844569</v>
      </c>
      <c r="K98" s="7" t="s">
        <v>344</v>
      </c>
      <c r="L98" s="7" t="s">
        <v>348</v>
      </c>
      <c r="M98" s="9">
        <v>149900</v>
      </c>
      <c r="N98" s="10">
        <f t="shared" si="9"/>
        <v>0.9</v>
      </c>
      <c r="O98" s="34">
        <f t="shared" si="10"/>
        <v>14989.999999999996</v>
      </c>
      <c r="P98" s="7" t="str">
        <f t="shared" si="11"/>
        <v>PERCENTAGE</v>
      </c>
    </row>
    <row r="99" spans="1:16" x14ac:dyDescent="0.25">
      <c r="A99" s="7" t="str">
        <f t="shared" si="6"/>
        <v>2023 ALL D90</v>
      </c>
      <c r="B99" s="8">
        <f t="shared" si="7"/>
        <v>46099</v>
      </c>
      <c r="C99" s="8">
        <f t="shared" si="8"/>
        <v>46113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79844578</v>
      </c>
      <c r="K99" s="7" t="s">
        <v>344</v>
      </c>
      <c r="L99" s="7" t="s">
        <v>349</v>
      </c>
      <c r="M99" s="9">
        <v>149900</v>
      </c>
      <c r="N99" s="10">
        <f t="shared" si="9"/>
        <v>0.9</v>
      </c>
      <c r="O99" s="34">
        <f t="shared" si="10"/>
        <v>14989.999999999996</v>
      </c>
      <c r="P99" s="7" t="str">
        <f t="shared" si="11"/>
        <v>PERCENTAGE</v>
      </c>
    </row>
    <row r="100" spans="1:16" x14ac:dyDescent="0.25">
      <c r="A100" s="7" t="str">
        <f t="shared" si="6"/>
        <v>2023 ALL D90</v>
      </c>
      <c r="B100" s="8">
        <f t="shared" si="7"/>
        <v>46099</v>
      </c>
      <c r="C100" s="8">
        <f t="shared" si="8"/>
        <v>46113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79845157</v>
      </c>
      <c r="K100" s="7" t="s">
        <v>350</v>
      </c>
      <c r="L100" s="7" t="s">
        <v>351</v>
      </c>
      <c r="M100" s="9">
        <v>149900</v>
      </c>
      <c r="N100" s="10">
        <f t="shared" si="9"/>
        <v>0.9</v>
      </c>
      <c r="O100" s="34">
        <f t="shared" si="10"/>
        <v>14989.999999999996</v>
      </c>
      <c r="P100" s="7" t="str">
        <f t="shared" si="11"/>
        <v>PERCENTAGE</v>
      </c>
    </row>
    <row r="101" spans="1:16" x14ac:dyDescent="0.25">
      <c r="A101" s="7" t="str">
        <f t="shared" si="6"/>
        <v>2023 ALL D90</v>
      </c>
      <c r="B101" s="8">
        <f t="shared" si="7"/>
        <v>46099</v>
      </c>
      <c r="C101" s="8">
        <f t="shared" si="8"/>
        <v>46113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79845166</v>
      </c>
      <c r="K101" s="7" t="s">
        <v>350</v>
      </c>
      <c r="L101" s="7" t="s">
        <v>352</v>
      </c>
      <c r="M101" s="9">
        <v>149900</v>
      </c>
      <c r="N101" s="10">
        <f t="shared" si="9"/>
        <v>0.9</v>
      </c>
      <c r="O101" s="34">
        <f t="shared" si="10"/>
        <v>14989.999999999996</v>
      </c>
      <c r="P101" s="7" t="str">
        <f t="shared" si="11"/>
        <v>PERCENTAGE</v>
      </c>
    </row>
    <row r="102" spans="1:16" x14ac:dyDescent="0.25">
      <c r="A102" s="7" t="str">
        <f t="shared" si="6"/>
        <v>2023 ALL D90</v>
      </c>
      <c r="B102" s="8">
        <f t="shared" si="7"/>
        <v>46099</v>
      </c>
      <c r="C102" s="8">
        <f t="shared" si="8"/>
        <v>46113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79845175</v>
      </c>
      <c r="K102" s="7" t="s">
        <v>350</v>
      </c>
      <c r="L102" s="7" t="s">
        <v>353</v>
      </c>
      <c r="M102" s="9">
        <v>149900</v>
      </c>
      <c r="N102" s="10">
        <f t="shared" si="9"/>
        <v>0.9</v>
      </c>
      <c r="O102" s="34">
        <f t="shared" si="10"/>
        <v>14989.999999999996</v>
      </c>
      <c r="P102" s="7" t="str">
        <f t="shared" si="11"/>
        <v>PERCENTAGE</v>
      </c>
    </row>
    <row r="103" spans="1:16" x14ac:dyDescent="0.25">
      <c r="A103" s="7" t="str">
        <f t="shared" si="6"/>
        <v>2023 ALL D90</v>
      </c>
      <c r="B103" s="8">
        <f t="shared" si="7"/>
        <v>46099</v>
      </c>
      <c r="C103" s="8">
        <f t="shared" si="8"/>
        <v>46113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79845184</v>
      </c>
      <c r="K103" s="7" t="s">
        <v>350</v>
      </c>
      <c r="L103" s="7" t="s">
        <v>354</v>
      </c>
      <c r="M103" s="9">
        <v>149900</v>
      </c>
      <c r="N103" s="10">
        <f t="shared" si="9"/>
        <v>0.9</v>
      </c>
      <c r="O103" s="34">
        <f t="shared" si="10"/>
        <v>14989.999999999996</v>
      </c>
      <c r="P103" s="7" t="str">
        <f t="shared" si="11"/>
        <v>PERCENTAGE</v>
      </c>
    </row>
    <row r="104" spans="1:16" x14ac:dyDescent="0.25">
      <c r="A104" s="7" t="str">
        <f t="shared" si="6"/>
        <v>2023 ALL D90</v>
      </c>
      <c r="B104" s="8">
        <f t="shared" si="7"/>
        <v>46099</v>
      </c>
      <c r="C104" s="8">
        <f t="shared" si="8"/>
        <v>46113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79845193</v>
      </c>
      <c r="K104" s="7" t="s">
        <v>350</v>
      </c>
      <c r="L104" s="7" t="s">
        <v>355</v>
      </c>
      <c r="M104" s="9">
        <v>149900</v>
      </c>
      <c r="N104" s="10">
        <f t="shared" si="9"/>
        <v>0.9</v>
      </c>
      <c r="O104" s="34">
        <f t="shared" si="10"/>
        <v>14989.999999999996</v>
      </c>
      <c r="P104" s="7" t="str">
        <f t="shared" si="11"/>
        <v>PERCENTAGE</v>
      </c>
    </row>
    <row r="105" spans="1:16" x14ac:dyDescent="0.25">
      <c r="A105" s="7" t="str">
        <f t="shared" si="6"/>
        <v>2023 ALL D90</v>
      </c>
      <c r="B105" s="8">
        <f t="shared" si="7"/>
        <v>46099</v>
      </c>
      <c r="C105" s="8">
        <f t="shared" si="8"/>
        <v>46113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79845219</v>
      </c>
      <c r="K105" s="7" t="s">
        <v>356</v>
      </c>
      <c r="L105" s="7" t="s">
        <v>357</v>
      </c>
      <c r="M105" s="9">
        <v>149900</v>
      </c>
      <c r="N105" s="10">
        <f t="shared" si="9"/>
        <v>0.9</v>
      </c>
      <c r="O105" s="34">
        <f t="shared" si="10"/>
        <v>14989.999999999996</v>
      </c>
      <c r="P105" s="7" t="str">
        <f t="shared" si="11"/>
        <v>PERCENTAGE</v>
      </c>
    </row>
    <row r="106" spans="1:16" x14ac:dyDescent="0.25">
      <c r="A106" s="7" t="str">
        <f t="shared" si="6"/>
        <v>2023 ALL D90</v>
      </c>
      <c r="B106" s="8">
        <f t="shared" si="7"/>
        <v>46099</v>
      </c>
      <c r="C106" s="8">
        <f t="shared" si="8"/>
        <v>46113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79845237</v>
      </c>
      <c r="K106" s="7" t="s">
        <v>356</v>
      </c>
      <c r="L106" s="7" t="s">
        <v>358</v>
      </c>
      <c r="M106" s="9">
        <v>149900</v>
      </c>
      <c r="N106" s="10">
        <f t="shared" si="9"/>
        <v>0.9</v>
      </c>
      <c r="O106" s="34">
        <f t="shared" si="10"/>
        <v>14989.999999999996</v>
      </c>
      <c r="P106" s="7" t="str">
        <f t="shared" si="11"/>
        <v>PERCENTAGE</v>
      </c>
    </row>
    <row r="107" spans="1:16" x14ac:dyDescent="0.25">
      <c r="A107" s="7" t="str">
        <f t="shared" si="6"/>
        <v>2023 ALL D90</v>
      </c>
      <c r="B107" s="8">
        <f t="shared" si="7"/>
        <v>46099</v>
      </c>
      <c r="C107" s="8">
        <f t="shared" si="8"/>
        <v>46113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79845246</v>
      </c>
      <c r="K107" s="7" t="s">
        <v>356</v>
      </c>
      <c r="L107" s="7" t="s">
        <v>359</v>
      </c>
      <c r="M107" s="9">
        <v>149900</v>
      </c>
      <c r="N107" s="10">
        <f t="shared" si="9"/>
        <v>0.9</v>
      </c>
      <c r="O107" s="34">
        <f t="shared" si="10"/>
        <v>14989.999999999996</v>
      </c>
      <c r="P107" s="7" t="str">
        <f t="shared" si="11"/>
        <v>PERCENTAGE</v>
      </c>
    </row>
    <row r="108" spans="1:16" x14ac:dyDescent="0.25">
      <c r="A108" s="7" t="str">
        <f t="shared" si="6"/>
        <v>2023 ALL D90</v>
      </c>
      <c r="B108" s="8">
        <f t="shared" si="7"/>
        <v>46099</v>
      </c>
      <c r="C108" s="8">
        <f t="shared" si="8"/>
        <v>46113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79845255</v>
      </c>
      <c r="K108" s="7" t="s">
        <v>360</v>
      </c>
      <c r="L108" s="7" t="s">
        <v>361</v>
      </c>
      <c r="M108" s="9">
        <v>159900</v>
      </c>
      <c r="N108" s="10">
        <f t="shared" si="9"/>
        <v>0.9</v>
      </c>
      <c r="O108" s="34">
        <f t="shared" si="10"/>
        <v>15989.999999999996</v>
      </c>
      <c r="P108" s="7" t="str">
        <f t="shared" si="11"/>
        <v>PERCENTAGE</v>
      </c>
    </row>
    <row r="109" spans="1:16" x14ac:dyDescent="0.25">
      <c r="A109" s="7" t="str">
        <f t="shared" si="6"/>
        <v>2023 ALL D90</v>
      </c>
      <c r="B109" s="8">
        <f t="shared" si="7"/>
        <v>46099</v>
      </c>
      <c r="C109" s="8">
        <f t="shared" si="8"/>
        <v>46113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79845264</v>
      </c>
      <c r="K109" s="7" t="s">
        <v>360</v>
      </c>
      <c r="L109" s="7" t="s">
        <v>362</v>
      </c>
      <c r="M109" s="9">
        <v>159900</v>
      </c>
      <c r="N109" s="10">
        <f t="shared" si="9"/>
        <v>0.9</v>
      </c>
      <c r="O109" s="34">
        <f t="shared" si="10"/>
        <v>15989.999999999996</v>
      </c>
      <c r="P109" s="7" t="str">
        <f t="shared" si="11"/>
        <v>PERCENTAGE</v>
      </c>
    </row>
    <row r="110" spans="1:16" x14ac:dyDescent="0.25">
      <c r="A110" s="7" t="str">
        <f t="shared" si="6"/>
        <v>2023 ALL D90</v>
      </c>
      <c r="B110" s="8">
        <f t="shared" si="7"/>
        <v>46099</v>
      </c>
      <c r="C110" s="8">
        <f t="shared" si="8"/>
        <v>46113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79845273</v>
      </c>
      <c r="K110" s="7" t="s">
        <v>360</v>
      </c>
      <c r="L110" s="7" t="s">
        <v>363</v>
      </c>
      <c r="M110" s="9">
        <v>159900</v>
      </c>
      <c r="N110" s="10">
        <f t="shared" si="9"/>
        <v>0.9</v>
      </c>
      <c r="O110" s="34">
        <f t="shared" si="10"/>
        <v>15989.999999999996</v>
      </c>
      <c r="P110" s="7" t="str">
        <f t="shared" si="11"/>
        <v>PERCENTAGE</v>
      </c>
    </row>
    <row r="111" spans="1:16" x14ac:dyDescent="0.25">
      <c r="A111" s="7" t="str">
        <f t="shared" si="6"/>
        <v>2023 ALL D90</v>
      </c>
      <c r="B111" s="8">
        <f t="shared" si="7"/>
        <v>46099</v>
      </c>
      <c r="C111" s="8">
        <f t="shared" si="8"/>
        <v>46113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79845282</v>
      </c>
      <c r="K111" s="7" t="s">
        <v>360</v>
      </c>
      <c r="L111" s="7" t="s">
        <v>364</v>
      </c>
      <c r="M111" s="9">
        <v>159900</v>
      </c>
      <c r="N111" s="10">
        <f t="shared" si="9"/>
        <v>0.9</v>
      </c>
      <c r="O111" s="34">
        <f t="shared" si="10"/>
        <v>15989.999999999996</v>
      </c>
      <c r="P111" s="7" t="str">
        <f t="shared" si="11"/>
        <v>PERCENTAGE</v>
      </c>
    </row>
    <row r="112" spans="1:16" x14ac:dyDescent="0.25">
      <c r="A112" s="7" t="str">
        <f t="shared" si="6"/>
        <v>2023 ALL D90</v>
      </c>
      <c r="B112" s="8">
        <f t="shared" si="7"/>
        <v>46099</v>
      </c>
      <c r="C112" s="8">
        <f t="shared" si="8"/>
        <v>46113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79845291</v>
      </c>
      <c r="K112" s="7" t="s">
        <v>360</v>
      </c>
      <c r="L112" s="7" t="s">
        <v>365</v>
      </c>
      <c r="M112" s="9">
        <v>159900</v>
      </c>
      <c r="N112" s="10">
        <f t="shared" si="9"/>
        <v>0.9</v>
      </c>
      <c r="O112" s="34">
        <f t="shared" si="10"/>
        <v>15989.999999999996</v>
      </c>
      <c r="P112" s="7" t="str">
        <f t="shared" si="11"/>
        <v>PERCENTAGE</v>
      </c>
    </row>
    <row r="113" spans="1:16" x14ac:dyDescent="0.25">
      <c r="A113" s="7" t="str">
        <f t="shared" si="6"/>
        <v>2023 ALL D90</v>
      </c>
      <c r="B113" s="8">
        <f t="shared" si="7"/>
        <v>46099</v>
      </c>
      <c r="C113" s="8">
        <f t="shared" si="8"/>
        <v>46113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79845326</v>
      </c>
      <c r="K113" s="7" t="s">
        <v>366</v>
      </c>
      <c r="L113" s="7" t="s">
        <v>367</v>
      </c>
      <c r="M113" s="9">
        <v>159900</v>
      </c>
      <c r="N113" s="10">
        <f t="shared" si="9"/>
        <v>0.9</v>
      </c>
      <c r="O113" s="34">
        <f t="shared" si="10"/>
        <v>15989.999999999996</v>
      </c>
      <c r="P113" s="7" t="str">
        <f t="shared" si="11"/>
        <v>PERCENTAGE</v>
      </c>
    </row>
    <row r="114" spans="1:16" x14ac:dyDescent="0.25">
      <c r="A114" s="7" t="str">
        <f t="shared" si="6"/>
        <v>2023 ALL D90</v>
      </c>
      <c r="B114" s="8">
        <f t="shared" si="7"/>
        <v>46099</v>
      </c>
      <c r="C114" s="8">
        <f t="shared" si="8"/>
        <v>46113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79845344</v>
      </c>
      <c r="K114" s="7" t="s">
        <v>366</v>
      </c>
      <c r="L114" s="7" t="s">
        <v>368</v>
      </c>
      <c r="M114" s="9">
        <v>159900</v>
      </c>
      <c r="N114" s="10">
        <f t="shared" si="9"/>
        <v>0.9</v>
      </c>
      <c r="O114" s="34">
        <f t="shared" si="10"/>
        <v>15989.999999999996</v>
      </c>
      <c r="P114" s="7" t="str">
        <f t="shared" si="11"/>
        <v>PERCENTAGE</v>
      </c>
    </row>
    <row r="115" spans="1:16" x14ac:dyDescent="0.25">
      <c r="A115" s="7" t="str">
        <f t="shared" si="6"/>
        <v>2023 ALL D90</v>
      </c>
      <c r="B115" s="8">
        <f t="shared" si="7"/>
        <v>46099</v>
      </c>
      <c r="C115" s="8">
        <f t="shared" si="8"/>
        <v>46113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80970189</v>
      </c>
      <c r="K115" s="7" t="s">
        <v>369</v>
      </c>
      <c r="L115" s="7" t="s">
        <v>370</v>
      </c>
      <c r="M115" s="9">
        <v>149900</v>
      </c>
      <c r="N115" s="10">
        <f t="shared" si="9"/>
        <v>0.9</v>
      </c>
      <c r="O115" s="34">
        <f t="shared" si="10"/>
        <v>14989.999999999996</v>
      </c>
      <c r="P115" s="7" t="str">
        <f t="shared" si="11"/>
        <v>PERCENTAGE</v>
      </c>
    </row>
    <row r="116" spans="1:16" x14ac:dyDescent="0.25">
      <c r="A116" s="7" t="str">
        <f t="shared" si="6"/>
        <v>2023 ALL D90</v>
      </c>
      <c r="B116" s="8">
        <f t="shared" si="7"/>
        <v>46099</v>
      </c>
      <c r="C116" s="8">
        <f t="shared" si="8"/>
        <v>46113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80970198</v>
      </c>
      <c r="K116" s="7" t="s">
        <v>369</v>
      </c>
      <c r="L116" s="7" t="s">
        <v>371</v>
      </c>
      <c r="M116" s="9">
        <v>149900</v>
      </c>
      <c r="N116" s="10">
        <f t="shared" si="9"/>
        <v>0.9</v>
      </c>
      <c r="O116" s="34">
        <f t="shared" si="10"/>
        <v>14989.999999999996</v>
      </c>
      <c r="P116" s="7" t="str">
        <f t="shared" si="11"/>
        <v>PERCENTAGE</v>
      </c>
    </row>
    <row r="117" spans="1:16" x14ac:dyDescent="0.25">
      <c r="A117" s="7" t="str">
        <f t="shared" si="6"/>
        <v>2023 ALL D90</v>
      </c>
      <c r="B117" s="8">
        <f t="shared" si="7"/>
        <v>46099</v>
      </c>
      <c r="C117" s="8">
        <f t="shared" si="8"/>
        <v>46113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80970205</v>
      </c>
      <c r="K117" s="7" t="s">
        <v>369</v>
      </c>
      <c r="L117" s="7" t="s">
        <v>372</v>
      </c>
      <c r="M117" s="9">
        <v>149900</v>
      </c>
      <c r="N117" s="10">
        <f t="shared" si="9"/>
        <v>0.9</v>
      </c>
      <c r="O117" s="34">
        <f t="shared" si="10"/>
        <v>14989.999999999996</v>
      </c>
      <c r="P117" s="7" t="str">
        <f t="shared" si="11"/>
        <v>PERCENTAGE</v>
      </c>
    </row>
    <row r="118" spans="1:16" x14ac:dyDescent="0.25">
      <c r="A118" s="7" t="str">
        <f t="shared" si="6"/>
        <v>2023 ALL D90</v>
      </c>
      <c r="B118" s="8">
        <f t="shared" si="7"/>
        <v>46099</v>
      </c>
      <c r="C118" s="8">
        <f t="shared" si="8"/>
        <v>46113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80970214</v>
      </c>
      <c r="K118" s="7" t="s">
        <v>369</v>
      </c>
      <c r="L118" s="7" t="s">
        <v>373</v>
      </c>
      <c r="M118" s="9">
        <v>149900</v>
      </c>
      <c r="N118" s="10">
        <f t="shared" si="9"/>
        <v>0.9</v>
      </c>
      <c r="O118" s="34">
        <f t="shared" si="10"/>
        <v>14989.999999999996</v>
      </c>
      <c r="P118" s="7" t="str">
        <f t="shared" si="11"/>
        <v>PERCENTAGE</v>
      </c>
    </row>
    <row r="119" spans="1:16" x14ac:dyDescent="0.25">
      <c r="A119" s="7" t="str">
        <f t="shared" si="6"/>
        <v>2023 ALL D90</v>
      </c>
      <c r="B119" s="8">
        <f t="shared" si="7"/>
        <v>46099</v>
      </c>
      <c r="C119" s="8">
        <f t="shared" si="8"/>
        <v>46113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80970223</v>
      </c>
      <c r="K119" s="7" t="s">
        <v>369</v>
      </c>
      <c r="L119" s="7" t="s">
        <v>374</v>
      </c>
      <c r="M119" s="9">
        <v>149900</v>
      </c>
      <c r="N119" s="10">
        <f t="shared" si="9"/>
        <v>0.9</v>
      </c>
      <c r="O119" s="34">
        <f t="shared" si="10"/>
        <v>14989.999999999996</v>
      </c>
      <c r="P119" s="7" t="str">
        <f t="shared" si="11"/>
        <v>PERCENTAGE</v>
      </c>
    </row>
    <row r="120" spans="1:16" x14ac:dyDescent="0.25">
      <c r="A120" s="7" t="str">
        <f t="shared" si="6"/>
        <v>2023 ALL D90</v>
      </c>
      <c r="B120" s="8">
        <f t="shared" si="7"/>
        <v>46099</v>
      </c>
      <c r="C120" s="8">
        <f t="shared" si="8"/>
        <v>46113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78760035</v>
      </c>
      <c r="K120" s="7" t="s">
        <v>375</v>
      </c>
      <c r="L120" s="7" t="s">
        <v>376</v>
      </c>
      <c r="M120" s="9">
        <v>139900</v>
      </c>
      <c r="N120" s="10">
        <f t="shared" si="9"/>
        <v>0.9</v>
      </c>
      <c r="O120" s="34">
        <f t="shared" si="10"/>
        <v>13989.999999999996</v>
      </c>
      <c r="P120" s="7" t="str">
        <f t="shared" si="11"/>
        <v>PERCENTAGE</v>
      </c>
    </row>
    <row r="121" spans="1:16" x14ac:dyDescent="0.25">
      <c r="A121" s="7" t="str">
        <f t="shared" si="6"/>
        <v>2023 ALL D90</v>
      </c>
      <c r="B121" s="8">
        <f t="shared" si="7"/>
        <v>46099</v>
      </c>
      <c r="C121" s="8">
        <f t="shared" si="8"/>
        <v>46113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78760044</v>
      </c>
      <c r="K121" s="7" t="s">
        <v>375</v>
      </c>
      <c r="L121" s="7" t="s">
        <v>377</v>
      </c>
      <c r="M121" s="9">
        <v>139900</v>
      </c>
      <c r="N121" s="10">
        <f t="shared" si="9"/>
        <v>0.9</v>
      </c>
      <c r="O121" s="34">
        <f t="shared" si="10"/>
        <v>13989.999999999996</v>
      </c>
      <c r="P121" s="7" t="str">
        <f t="shared" si="11"/>
        <v>PERCENTAGE</v>
      </c>
    </row>
    <row r="122" spans="1:16" x14ac:dyDescent="0.25">
      <c r="A122" s="7" t="str">
        <f t="shared" si="6"/>
        <v>2023 ALL D90</v>
      </c>
      <c r="B122" s="8">
        <f t="shared" si="7"/>
        <v>46099</v>
      </c>
      <c r="C122" s="8">
        <f t="shared" si="8"/>
        <v>46113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78760062</v>
      </c>
      <c r="K122" s="7" t="s">
        <v>375</v>
      </c>
      <c r="L122" s="7" t="s">
        <v>378</v>
      </c>
      <c r="M122" s="9">
        <v>139900</v>
      </c>
      <c r="N122" s="10">
        <f t="shared" si="9"/>
        <v>0.9</v>
      </c>
      <c r="O122" s="34">
        <f t="shared" si="10"/>
        <v>13989.999999999996</v>
      </c>
      <c r="P122" s="7" t="str">
        <f t="shared" si="11"/>
        <v>PERCENTAGE</v>
      </c>
    </row>
    <row r="123" spans="1:16" x14ac:dyDescent="0.25">
      <c r="A123" s="7" t="str">
        <f t="shared" si="6"/>
        <v>2023 ALL D90</v>
      </c>
      <c r="B123" s="8">
        <f t="shared" si="7"/>
        <v>46099</v>
      </c>
      <c r="C123" s="8">
        <f t="shared" si="8"/>
        <v>46113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78760071</v>
      </c>
      <c r="K123" s="7" t="s">
        <v>375</v>
      </c>
      <c r="L123" s="7" t="s">
        <v>379</v>
      </c>
      <c r="M123" s="9">
        <v>139900</v>
      </c>
      <c r="N123" s="10">
        <f t="shared" si="9"/>
        <v>0.9</v>
      </c>
      <c r="O123" s="34">
        <f t="shared" si="10"/>
        <v>13989.999999999996</v>
      </c>
      <c r="P123" s="7" t="str">
        <f t="shared" si="11"/>
        <v>PERCENTAGE</v>
      </c>
    </row>
    <row r="124" spans="1:16" x14ac:dyDescent="0.25">
      <c r="A124" s="7" t="str">
        <f t="shared" si="6"/>
        <v>2023 ALL D90</v>
      </c>
      <c r="B124" s="8">
        <f t="shared" si="7"/>
        <v>46099</v>
      </c>
      <c r="C124" s="8">
        <f t="shared" si="8"/>
        <v>46113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78760080</v>
      </c>
      <c r="K124" s="7" t="s">
        <v>380</v>
      </c>
      <c r="L124" s="7" t="s">
        <v>381</v>
      </c>
      <c r="M124" s="9">
        <v>139900</v>
      </c>
      <c r="N124" s="10">
        <f t="shared" si="9"/>
        <v>0.9</v>
      </c>
      <c r="O124" s="34">
        <f t="shared" si="10"/>
        <v>13989.999999999996</v>
      </c>
      <c r="P124" s="7" t="str">
        <f t="shared" si="11"/>
        <v>PERCENTAGE</v>
      </c>
    </row>
    <row r="125" spans="1:16" x14ac:dyDescent="0.25">
      <c r="A125" s="7" t="str">
        <f t="shared" si="6"/>
        <v>2023 ALL D90</v>
      </c>
      <c r="B125" s="8">
        <f t="shared" si="7"/>
        <v>46099</v>
      </c>
      <c r="C125" s="8">
        <f t="shared" si="8"/>
        <v>46113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78760099</v>
      </c>
      <c r="K125" s="7" t="s">
        <v>380</v>
      </c>
      <c r="L125" s="7" t="s">
        <v>382</v>
      </c>
      <c r="M125" s="9">
        <v>139900</v>
      </c>
      <c r="N125" s="10">
        <f t="shared" si="9"/>
        <v>0.9</v>
      </c>
      <c r="O125" s="34">
        <f t="shared" si="10"/>
        <v>13989.999999999996</v>
      </c>
      <c r="P125" s="7" t="str">
        <f t="shared" si="11"/>
        <v>PERCENTAGE</v>
      </c>
    </row>
    <row r="126" spans="1:16" x14ac:dyDescent="0.25">
      <c r="A126" s="7" t="str">
        <f t="shared" si="6"/>
        <v>2023 ALL D90</v>
      </c>
      <c r="B126" s="8">
        <f t="shared" si="7"/>
        <v>46099</v>
      </c>
      <c r="C126" s="8">
        <f t="shared" si="8"/>
        <v>46113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78760106</v>
      </c>
      <c r="K126" s="7" t="s">
        <v>380</v>
      </c>
      <c r="L126" s="7" t="s">
        <v>383</v>
      </c>
      <c r="M126" s="9">
        <v>139900</v>
      </c>
      <c r="N126" s="10">
        <f t="shared" si="9"/>
        <v>0.9</v>
      </c>
      <c r="O126" s="34">
        <f t="shared" si="10"/>
        <v>13989.999999999996</v>
      </c>
      <c r="P126" s="7" t="str">
        <f t="shared" si="11"/>
        <v>PERCENTAGE</v>
      </c>
    </row>
    <row r="127" spans="1:16" x14ac:dyDescent="0.25">
      <c r="A127" s="7" t="str">
        <f t="shared" si="6"/>
        <v>2023 ALL D90</v>
      </c>
      <c r="B127" s="8">
        <f t="shared" si="7"/>
        <v>46099</v>
      </c>
      <c r="C127" s="8">
        <f t="shared" si="8"/>
        <v>46113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78760115</v>
      </c>
      <c r="K127" s="7" t="s">
        <v>380</v>
      </c>
      <c r="L127" s="7" t="s">
        <v>384</v>
      </c>
      <c r="M127" s="9">
        <v>139900</v>
      </c>
      <c r="N127" s="10">
        <f t="shared" si="9"/>
        <v>0.9</v>
      </c>
      <c r="O127" s="34">
        <f t="shared" si="10"/>
        <v>13989.999999999996</v>
      </c>
      <c r="P127" s="7" t="str">
        <f t="shared" si="11"/>
        <v>PERCENTAGE</v>
      </c>
    </row>
    <row r="128" spans="1:16" x14ac:dyDescent="0.25">
      <c r="A128" s="7" t="str">
        <f t="shared" si="6"/>
        <v>2023 ALL D90</v>
      </c>
      <c r="B128" s="8">
        <f t="shared" si="7"/>
        <v>46099</v>
      </c>
      <c r="C128" s="8">
        <f t="shared" si="8"/>
        <v>46113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78760124</v>
      </c>
      <c r="K128" s="7" t="s">
        <v>380</v>
      </c>
      <c r="L128" s="7" t="s">
        <v>385</v>
      </c>
      <c r="M128" s="9">
        <v>139900</v>
      </c>
      <c r="N128" s="10">
        <f t="shared" si="9"/>
        <v>0.9</v>
      </c>
      <c r="O128" s="34">
        <f t="shared" si="10"/>
        <v>13989.999999999996</v>
      </c>
      <c r="P128" s="7" t="str">
        <f t="shared" si="11"/>
        <v>PERCENTAGE</v>
      </c>
    </row>
    <row r="129" spans="1:16" x14ac:dyDescent="0.25">
      <c r="A129" s="7" t="str">
        <f t="shared" si="6"/>
        <v>2023 ALL D90</v>
      </c>
      <c r="B129" s="8">
        <f t="shared" si="7"/>
        <v>46099</v>
      </c>
      <c r="C129" s="8">
        <f t="shared" si="8"/>
        <v>46113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78760151</v>
      </c>
      <c r="K129" s="7" t="s">
        <v>386</v>
      </c>
      <c r="L129" s="7" t="s">
        <v>387</v>
      </c>
      <c r="M129" s="9">
        <v>139900</v>
      </c>
      <c r="N129" s="10">
        <f t="shared" si="9"/>
        <v>0.9</v>
      </c>
      <c r="O129" s="34">
        <f t="shared" si="10"/>
        <v>13989.999999999996</v>
      </c>
      <c r="P129" s="7" t="str">
        <f t="shared" si="11"/>
        <v>PERCENTAGE</v>
      </c>
    </row>
    <row r="130" spans="1:16" x14ac:dyDescent="0.25">
      <c r="A130" s="7" t="str">
        <f t="shared" si="6"/>
        <v>2023 ALL D90</v>
      </c>
      <c r="B130" s="8">
        <f t="shared" si="7"/>
        <v>46099</v>
      </c>
      <c r="C130" s="8">
        <f t="shared" si="8"/>
        <v>46113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78760188</v>
      </c>
      <c r="K130" s="7" t="s">
        <v>388</v>
      </c>
      <c r="L130" s="7" t="s">
        <v>389</v>
      </c>
      <c r="M130" s="9">
        <v>139900</v>
      </c>
      <c r="N130" s="10">
        <f t="shared" si="9"/>
        <v>0.9</v>
      </c>
      <c r="O130" s="34">
        <f t="shared" si="10"/>
        <v>13989.999999999996</v>
      </c>
      <c r="P130" s="7" t="str">
        <f t="shared" si="11"/>
        <v>PERCENTAGE</v>
      </c>
    </row>
    <row r="131" spans="1:16" x14ac:dyDescent="0.25">
      <c r="A131" s="7" t="str">
        <f t="shared" ref="A131:A194" si="12">A130</f>
        <v>2023 ALL D90</v>
      </c>
      <c r="B131" s="8">
        <f t="shared" ref="B131:B194" si="13">B130</f>
        <v>46099</v>
      </c>
      <c r="C131" s="8">
        <f t="shared" ref="C131:C194" si="14">C130</f>
        <v>46113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78760197</v>
      </c>
      <c r="K131" s="7" t="s">
        <v>388</v>
      </c>
      <c r="L131" s="7" t="s">
        <v>390</v>
      </c>
      <c r="M131" s="9">
        <v>139900</v>
      </c>
      <c r="N131" s="10">
        <f t="shared" ref="N131:N194" si="15">N130</f>
        <v>0.9</v>
      </c>
      <c r="O131" s="34">
        <f t="shared" ref="O131:O194" si="16">M131*(1-N131)</f>
        <v>13989.999999999996</v>
      </c>
      <c r="P131" s="7" t="str">
        <f t="shared" ref="P131:P194" si="17">P130</f>
        <v>PERCENTAGE</v>
      </c>
    </row>
    <row r="132" spans="1:16" x14ac:dyDescent="0.25">
      <c r="A132" s="7" t="str">
        <f t="shared" si="12"/>
        <v>2023 ALL D90</v>
      </c>
      <c r="B132" s="8">
        <f t="shared" si="13"/>
        <v>46099</v>
      </c>
      <c r="C132" s="8">
        <f t="shared" si="14"/>
        <v>46113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78760204</v>
      </c>
      <c r="K132" s="7" t="s">
        <v>388</v>
      </c>
      <c r="L132" s="7" t="s">
        <v>391</v>
      </c>
      <c r="M132" s="9">
        <v>139900</v>
      </c>
      <c r="N132" s="10">
        <f t="shared" si="15"/>
        <v>0.9</v>
      </c>
      <c r="O132" s="34">
        <f t="shared" si="16"/>
        <v>13989.999999999996</v>
      </c>
      <c r="P132" s="7" t="str">
        <f t="shared" si="17"/>
        <v>PERCENTAGE</v>
      </c>
    </row>
    <row r="133" spans="1:16" x14ac:dyDescent="0.25">
      <c r="A133" s="7" t="str">
        <f t="shared" si="12"/>
        <v>2023 ALL D90</v>
      </c>
      <c r="B133" s="8">
        <f t="shared" si="13"/>
        <v>46099</v>
      </c>
      <c r="C133" s="8">
        <f t="shared" si="14"/>
        <v>46113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78760213</v>
      </c>
      <c r="K133" s="7" t="s">
        <v>388</v>
      </c>
      <c r="L133" s="7" t="s">
        <v>392</v>
      </c>
      <c r="M133" s="9">
        <v>139900</v>
      </c>
      <c r="N133" s="10">
        <f t="shared" si="15"/>
        <v>0.9</v>
      </c>
      <c r="O133" s="34">
        <f t="shared" si="16"/>
        <v>13989.999999999996</v>
      </c>
      <c r="P133" s="7" t="str">
        <f t="shared" si="17"/>
        <v>PERCENTAGE</v>
      </c>
    </row>
    <row r="134" spans="1:16" x14ac:dyDescent="0.25">
      <c r="A134" s="7" t="str">
        <f t="shared" si="12"/>
        <v>2023 ALL D90</v>
      </c>
      <c r="B134" s="8">
        <f t="shared" si="13"/>
        <v>46099</v>
      </c>
      <c r="C134" s="8">
        <f t="shared" si="14"/>
        <v>46113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78760222</v>
      </c>
      <c r="K134" s="7" t="s">
        <v>388</v>
      </c>
      <c r="L134" s="7" t="s">
        <v>393</v>
      </c>
      <c r="M134" s="9">
        <v>139900</v>
      </c>
      <c r="N134" s="10">
        <f t="shared" si="15"/>
        <v>0.9</v>
      </c>
      <c r="O134" s="34">
        <f t="shared" si="16"/>
        <v>13989.999999999996</v>
      </c>
      <c r="P134" s="7" t="str">
        <f t="shared" si="17"/>
        <v>PERCENTAGE</v>
      </c>
    </row>
    <row r="135" spans="1:16" x14ac:dyDescent="0.25">
      <c r="A135" s="7" t="str">
        <f t="shared" si="12"/>
        <v>2023 ALL D90</v>
      </c>
      <c r="B135" s="8">
        <f t="shared" si="13"/>
        <v>46099</v>
      </c>
      <c r="C135" s="8">
        <f t="shared" si="14"/>
        <v>46113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104</v>
      </c>
      <c r="J135" s="7">
        <v>78760231</v>
      </c>
      <c r="K135" s="7" t="s">
        <v>394</v>
      </c>
      <c r="L135" s="7" t="s">
        <v>395</v>
      </c>
      <c r="M135" s="9">
        <v>139900</v>
      </c>
      <c r="N135" s="10">
        <f t="shared" si="15"/>
        <v>0.9</v>
      </c>
      <c r="O135" s="34">
        <f t="shared" si="16"/>
        <v>13989.999999999996</v>
      </c>
      <c r="P135" s="7" t="str">
        <f t="shared" si="17"/>
        <v>PERCENTAGE</v>
      </c>
    </row>
    <row r="136" spans="1:16" x14ac:dyDescent="0.25">
      <c r="A136" s="7" t="str">
        <f t="shared" si="12"/>
        <v>2023 ALL D90</v>
      </c>
      <c r="B136" s="8">
        <f t="shared" si="13"/>
        <v>46099</v>
      </c>
      <c r="C136" s="8">
        <f t="shared" si="14"/>
        <v>46113</v>
      </c>
      <c r="D136" s="7">
        <v>3272</v>
      </c>
      <c r="E136" s="7">
        <v>336</v>
      </c>
      <c r="F136" s="7">
        <v>4</v>
      </c>
      <c r="G136" s="7">
        <v>1</v>
      </c>
      <c r="H136" s="7">
        <v>81379</v>
      </c>
      <c r="I136" s="7" t="s">
        <v>104</v>
      </c>
      <c r="J136" s="7">
        <v>78760240</v>
      </c>
      <c r="K136" s="7" t="s">
        <v>394</v>
      </c>
      <c r="L136" s="7" t="s">
        <v>396</v>
      </c>
      <c r="M136" s="9">
        <v>139900</v>
      </c>
      <c r="N136" s="10">
        <f t="shared" si="15"/>
        <v>0.9</v>
      </c>
      <c r="O136" s="34">
        <f t="shared" si="16"/>
        <v>13989.999999999996</v>
      </c>
      <c r="P136" s="7" t="str">
        <f t="shared" si="17"/>
        <v>PERCENTAGE</v>
      </c>
    </row>
    <row r="137" spans="1:16" x14ac:dyDescent="0.25">
      <c r="A137" s="7" t="str">
        <f t="shared" si="12"/>
        <v>2023 ALL D90</v>
      </c>
      <c r="B137" s="8">
        <f t="shared" si="13"/>
        <v>46099</v>
      </c>
      <c r="C137" s="8">
        <f t="shared" si="14"/>
        <v>46113</v>
      </c>
      <c r="D137" s="7">
        <v>3272</v>
      </c>
      <c r="E137" s="7">
        <v>336</v>
      </c>
      <c r="F137" s="7">
        <v>4</v>
      </c>
      <c r="G137" s="7">
        <v>1</v>
      </c>
      <c r="H137" s="7">
        <v>81379</v>
      </c>
      <c r="I137" s="7" t="s">
        <v>104</v>
      </c>
      <c r="J137" s="7">
        <v>78760259</v>
      </c>
      <c r="K137" s="7" t="s">
        <v>394</v>
      </c>
      <c r="L137" s="7" t="s">
        <v>397</v>
      </c>
      <c r="M137" s="9">
        <v>139900</v>
      </c>
      <c r="N137" s="10">
        <f t="shared" si="15"/>
        <v>0.9</v>
      </c>
      <c r="O137" s="34">
        <f t="shared" si="16"/>
        <v>13989.999999999996</v>
      </c>
      <c r="P137" s="7" t="str">
        <f t="shared" si="17"/>
        <v>PERCENTAGE</v>
      </c>
    </row>
    <row r="138" spans="1:16" x14ac:dyDescent="0.25">
      <c r="A138" s="7" t="str">
        <f t="shared" si="12"/>
        <v>2023 ALL D90</v>
      </c>
      <c r="B138" s="8">
        <f t="shared" si="13"/>
        <v>46099</v>
      </c>
      <c r="C138" s="8">
        <f t="shared" si="14"/>
        <v>46113</v>
      </c>
      <c r="D138" s="7">
        <v>3272</v>
      </c>
      <c r="E138" s="7">
        <v>336</v>
      </c>
      <c r="F138" s="7">
        <v>4</v>
      </c>
      <c r="G138" s="7">
        <v>1</v>
      </c>
      <c r="H138" s="7">
        <v>81379</v>
      </c>
      <c r="I138" s="7" t="s">
        <v>104</v>
      </c>
      <c r="J138" s="7">
        <v>78760268</v>
      </c>
      <c r="K138" s="7" t="s">
        <v>394</v>
      </c>
      <c r="L138" s="7" t="s">
        <v>398</v>
      </c>
      <c r="M138" s="9">
        <v>139900</v>
      </c>
      <c r="N138" s="10">
        <f t="shared" si="15"/>
        <v>0.9</v>
      </c>
      <c r="O138" s="34">
        <f t="shared" si="16"/>
        <v>13989.999999999996</v>
      </c>
      <c r="P138" s="7" t="str">
        <f t="shared" si="17"/>
        <v>PERCENTAGE</v>
      </c>
    </row>
    <row r="139" spans="1:16" x14ac:dyDescent="0.25">
      <c r="A139" s="7" t="str">
        <f t="shared" si="12"/>
        <v>2023 ALL D90</v>
      </c>
      <c r="B139" s="8">
        <f t="shared" si="13"/>
        <v>46099</v>
      </c>
      <c r="C139" s="8">
        <f t="shared" si="14"/>
        <v>46113</v>
      </c>
      <c r="D139" s="7">
        <v>3272</v>
      </c>
      <c r="E139" s="7">
        <v>336</v>
      </c>
      <c r="F139" s="7">
        <v>4</v>
      </c>
      <c r="G139" s="7">
        <v>1</v>
      </c>
      <c r="H139" s="7">
        <v>81379</v>
      </c>
      <c r="I139" s="7" t="s">
        <v>104</v>
      </c>
      <c r="J139" s="7">
        <v>78760286</v>
      </c>
      <c r="K139" s="7" t="s">
        <v>399</v>
      </c>
      <c r="L139" s="7" t="s">
        <v>400</v>
      </c>
      <c r="M139" s="9">
        <v>139900</v>
      </c>
      <c r="N139" s="10">
        <f t="shared" si="15"/>
        <v>0.9</v>
      </c>
      <c r="O139" s="34">
        <f t="shared" si="16"/>
        <v>13989.999999999996</v>
      </c>
      <c r="P139" s="7" t="str">
        <f t="shared" si="17"/>
        <v>PERCENTAGE</v>
      </c>
    </row>
    <row r="140" spans="1:16" x14ac:dyDescent="0.25">
      <c r="A140" s="7" t="str">
        <f t="shared" si="12"/>
        <v>2023 ALL D90</v>
      </c>
      <c r="B140" s="8">
        <f t="shared" si="13"/>
        <v>46099</v>
      </c>
      <c r="C140" s="8">
        <f t="shared" si="14"/>
        <v>46113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78760295</v>
      </c>
      <c r="K140" s="7" t="s">
        <v>399</v>
      </c>
      <c r="L140" s="7" t="s">
        <v>401</v>
      </c>
      <c r="M140" s="9">
        <v>139900</v>
      </c>
      <c r="N140" s="10">
        <f t="shared" si="15"/>
        <v>0.9</v>
      </c>
      <c r="O140" s="34">
        <f t="shared" si="16"/>
        <v>13989.999999999996</v>
      </c>
      <c r="P140" s="7" t="str">
        <f t="shared" si="17"/>
        <v>PERCENTAGE</v>
      </c>
    </row>
    <row r="141" spans="1:16" x14ac:dyDescent="0.25">
      <c r="A141" s="7" t="str">
        <f t="shared" si="12"/>
        <v>2023 ALL D90</v>
      </c>
      <c r="B141" s="8">
        <f t="shared" si="13"/>
        <v>46099</v>
      </c>
      <c r="C141" s="8">
        <f t="shared" si="14"/>
        <v>46113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78760302</v>
      </c>
      <c r="K141" s="7" t="s">
        <v>399</v>
      </c>
      <c r="L141" s="7" t="s">
        <v>402</v>
      </c>
      <c r="M141" s="9">
        <v>139900</v>
      </c>
      <c r="N141" s="10">
        <f t="shared" si="15"/>
        <v>0.9</v>
      </c>
      <c r="O141" s="34">
        <f t="shared" si="16"/>
        <v>13989.999999999996</v>
      </c>
      <c r="P141" s="7" t="str">
        <f t="shared" si="17"/>
        <v>PERCENTAGE</v>
      </c>
    </row>
    <row r="142" spans="1:16" x14ac:dyDescent="0.25">
      <c r="A142" s="7" t="str">
        <f t="shared" si="12"/>
        <v>2023 ALL D90</v>
      </c>
      <c r="B142" s="8">
        <f t="shared" si="13"/>
        <v>46099</v>
      </c>
      <c r="C142" s="8">
        <f t="shared" si="14"/>
        <v>46113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78760311</v>
      </c>
      <c r="K142" s="7" t="s">
        <v>399</v>
      </c>
      <c r="L142" s="7" t="s">
        <v>403</v>
      </c>
      <c r="M142" s="9">
        <v>139900</v>
      </c>
      <c r="N142" s="10">
        <f t="shared" si="15"/>
        <v>0.9</v>
      </c>
      <c r="O142" s="34">
        <f t="shared" si="16"/>
        <v>13989.999999999996</v>
      </c>
      <c r="P142" s="7" t="str">
        <f t="shared" si="17"/>
        <v>PERCENTAGE</v>
      </c>
    </row>
    <row r="143" spans="1:16" x14ac:dyDescent="0.25">
      <c r="A143" s="7" t="str">
        <f t="shared" si="12"/>
        <v>2023 ALL D90</v>
      </c>
      <c r="B143" s="8">
        <f t="shared" si="13"/>
        <v>46099</v>
      </c>
      <c r="C143" s="8">
        <f t="shared" si="14"/>
        <v>46113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78760384</v>
      </c>
      <c r="K143" s="7" t="s">
        <v>404</v>
      </c>
      <c r="L143" s="7" t="s">
        <v>405</v>
      </c>
      <c r="M143" s="9">
        <v>149900</v>
      </c>
      <c r="N143" s="10">
        <f t="shared" si="15"/>
        <v>0.9</v>
      </c>
      <c r="O143" s="34">
        <f t="shared" si="16"/>
        <v>14989.999999999996</v>
      </c>
      <c r="P143" s="7" t="str">
        <f t="shared" si="17"/>
        <v>PERCENTAGE</v>
      </c>
    </row>
    <row r="144" spans="1:16" x14ac:dyDescent="0.25">
      <c r="A144" s="7" t="str">
        <f t="shared" si="12"/>
        <v>2023 ALL D90</v>
      </c>
      <c r="B144" s="8">
        <f t="shared" si="13"/>
        <v>46099</v>
      </c>
      <c r="C144" s="8">
        <f t="shared" si="14"/>
        <v>46113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78760393</v>
      </c>
      <c r="K144" s="7" t="s">
        <v>404</v>
      </c>
      <c r="L144" s="7" t="s">
        <v>406</v>
      </c>
      <c r="M144" s="9">
        <v>149900</v>
      </c>
      <c r="N144" s="10">
        <f t="shared" si="15"/>
        <v>0.9</v>
      </c>
      <c r="O144" s="34">
        <f t="shared" si="16"/>
        <v>14989.999999999996</v>
      </c>
      <c r="P144" s="7" t="str">
        <f t="shared" si="17"/>
        <v>PERCENTAGE</v>
      </c>
    </row>
    <row r="145" spans="1:16" x14ac:dyDescent="0.25">
      <c r="A145" s="7" t="str">
        <f t="shared" si="12"/>
        <v>2023 ALL D90</v>
      </c>
      <c r="B145" s="8">
        <f t="shared" si="13"/>
        <v>46099</v>
      </c>
      <c r="C145" s="8">
        <f t="shared" si="14"/>
        <v>46113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78760400</v>
      </c>
      <c r="K145" s="7" t="s">
        <v>404</v>
      </c>
      <c r="L145" s="7" t="s">
        <v>407</v>
      </c>
      <c r="M145" s="9">
        <v>149900</v>
      </c>
      <c r="N145" s="10">
        <f t="shared" si="15"/>
        <v>0.9</v>
      </c>
      <c r="O145" s="34">
        <f t="shared" si="16"/>
        <v>14989.999999999996</v>
      </c>
      <c r="P145" s="7" t="str">
        <f t="shared" si="17"/>
        <v>PERCENTAGE</v>
      </c>
    </row>
    <row r="146" spans="1:16" x14ac:dyDescent="0.25">
      <c r="A146" s="7" t="str">
        <f t="shared" si="12"/>
        <v>2023 ALL D90</v>
      </c>
      <c r="B146" s="8">
        <f t="shared" si="13"/>
        <v>46099</v>
      </c>
      <c r="C146" s="8">
        <f t="shared" si="14"/>
        <v>46113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78760419</v>
      </c>
      <c r="K146" s="7" t="s">
        <v>404</v>
      </c>
      <c r="L146" s="7" t="s">
        <v>408</v>
      </c>
      <c r="M146" s="9">
        <v>149900</v>
      </c>
      <c r="N146" s="10">
        <f t="shared" si="15"/>
        <v>0.9</v>
      </c>
      <c r="O146" s="34">
        <f t="shared" si="16"/>
        <v>14989.999999999996</v>
      </c>
      <c r="P146" s="7" t="str">
        <f t="shared" si="17"/>
        <v>PERCENTAGE</v>
      </c>
    </row>
    <row r="147" spans="1:16" x14ac:dyDescent="0.25">
      <c r="A147" s="7" t="str">
        <f t="shared" si="12"/>
        <v>2023 ALL D90</v>
      </c>
      <c r="B147" s="8">
        <f t="shared" si="13"/>
        <v>46099</v>
      </c>
      <c r="C147" s="8">
        <f t="shared" si="14"/>
        <v>46113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78760428</v>
      </c>
      <c r="K147" s="7" t="s">
        <v>404</v>
      </c>
      <c r="L147" s="7" t="s">
        <v>409</v>
      </c>
      <c r="M147" s="9">
        <v>149900</v>
      </c>
      <c r="N147" s="10">
        <f t="shared" si="15"/>
        <v>0.9</v>
      </c>
      <c r="O147" s="34">
        <f t="shared" si="16"/>
        <v>14989.999999999996</v>
      </c>
      <c r="P147" s="7" t="str">
        <f t="shared" si="17"/>
        <v>PERCENTAGE</v>
      </c>
    </row>
    <row r="148" spans="1:16" x14ac:dyDescent="0.25">
      <c r="A148" s="7" t="str">
        <f t="shared" si="12"/>
        <v>2023 ALL D90</v>
      </c>
      <c r="B148" s="8">
        <f t="shared" si="13"/>
        <v>46099</v>
      </c>
      <c r="C148" s="8">
        <f t="shared" si="14"/>
        <v>46113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78768019</v>
      </c>
      <c r="K148" s="7" t="s">
        <v>410</v>
      </c>
      <c r="L148" s="7" t="s">
        <v>411</v>
      </c>
      <c r="M148" s="9">
        <v>149900</v>
      </c>
      <c r="N148" s="10">
        <f t="shared" si="15"/>
        <v>0.9</v>
      </c>
      <c r="O148" s="34">
        <f t="shared" si="16"/>
        <v>14989.999999999996</v>
      </c>
      <c r="P148" s="7" t="str">
        <f t="shared" si="17"/>
        <v>PERCENTAGE</v>
      </c>
    </row>
    <row r="149" spans="1:16" x14ac:dyDescent="0.25">
      <c r="A149" s="7" t="str">
        <f t="shared" si="12"/>
        <v>2023 ALL D90</v>
      </c>
      <c r="B149" s="8">
        <f t="shared" si="13"/>
        <v>46099</v>
      </c>
      <c r="C149" s="8">
        <f t="shared" si="14"/>
        <v>46113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78768028</v>
      </c>
      <c r="K149" s="7" t="s">
        <v>410</v>
      </c>
      <c r="L149" s="7" t="s">
        <v>412</v>
      </c>
      <c r="M149" s="9">
        <v>149900</v>
      </c>
      <c r="N149" s="10">
        <f t="shared" si="15"/>
        <v>0.9</v>
      </c>
      <c r="O149" s="34">
        <f t="shared" si="16"/>
        <v>14989.999999999996</v>
      </c>
      <c r="P149" s="7" t="str">
        <f t="shared" si="17"/>
        <v>PERCENTAGE</v>
      </c>
    </row>
    <row r="150" spans="1:16" x14ac:dyDescent="0.25">
      <c r="A150" s="7" t="str">
        <f t="shared" si="12"/>
        <v>2023 ALL D90</v>
      </c>
      <c r="B150" s="8">
        <f t="shared" si="13"/>
        <v>46099</v>
      </c>
      <c r="C150" s="8">
        <f t="shared" si="14"/>
        <v>46113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78768037</v>
      </c>
      <c r="K150" s="7" t="s">
        <v>410</v>
      </c>
      <c r="L150" s="7" t="s">
        <v>413</v>
      </c>
      <c r="M150" s="9">
        <v>149900</v>
      </c>
      <c r="N150" s="10">
        <f t="shared" si="15"/>
        <v>0.9</v>
      </c>
      <c r="O150" s="34">
        <f t="shared" si="16"/>
        <v>14989.999999999996</v>
      </c>
      <c r="P150" s="7" t="str">
        <f t="shared" si="17"/>
        <v>PERCENTAGE</v>
      </c>
    </row>
    <row r="151" spans="1:16" x14ac:dyDescent="0.25">
      <c r="A151" s="7" t="str">
        <f t="shared" si="12"/>
        <v>2023 ALL D90</v>
      </c>
      <c r="B151" s="8">
        <f t="shared" si="13"/>
        <v>46099</v>
      </c>
      <c r="C151" s="8">
        <f t="shared" si="14"/>
        <v>46113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78768046</v>
      </c>
      <c r="K151" s="7" t="s">
        <v>410</v>
      </c>
      <c r="L151" s="7" t="s">
        <v>414</v>
      </c>
      <c r="M151" s="9">
        <v>149900</v>
      </c>
      <c r="N151" s="10">
        <f t="shared" si="15"/>
        <v>0.9</v>
      </c>
      <c r="O151" s="34">
        <f t="shared" si="16"/>
        <v>14989.999999999996</v>
      </c>
      <c r="P151" s="7" t="str">
        <f t="shared" si="17"/>
        <v>PERCENTAGE</v>
      </c>
    </row>
    <row r="152" spans="1:16" x14ac:dyDescent="0.25">
      <c r="A152" s="7" t="str">
        <f t="shared" si="12"/>
        <v>2023 ALL D90</v>
      </c>
      <c r="B152" s="8">
        <f t="shared" si="13"/>
        <v>46099</v>
      </c>
      <c r="C152" s="8">
        <f t="shared" si="14"/>
        <v>46113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78768055</v>
      </c>
      <c r="K152" s="7" t="s">
        <v>410</v>
      </c>
      <c r="L152" s="7" t="s">
        <v>415</v>
      </c>
      <c r="M152" s="9">
        <v>149900</v>
      </c>
      <c r="N152" s="10">
        <f t="shared" si="15"/>
        <v>0.9</v>
      </c>
      <c r="O152" s="34">
        <f t="shared" si="16"/>
        <v>14989.999999999996</v>
      </c>
      <c r="P152" s="7" t="str">
        <f t="shared" si="17"/>
        <v>PERCENTAGE</v>
      </c>
    </row>
    <row r="153" spans="1:16" x14ac:dyDescent="0.25">
      <c r="A153" s="7" t="str">
        <f t="shared" si="12"/>
        <v>2023 ALL D90</v>
      </c>
      <c r="B153" s="8">
        <f t="shared" si="13"/>
        <v>46099</v>
      </c>
      <c r="C153" s="8">
        <f t="shared" si="14"/>
        <v>46113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79058016</v>
      </c>
      <c r="K153" s="7" t="s">
        <v>416</v>
      </c>
      <c r="L153" s="7" t="s">
        <v>417</v>
      </c>
      <c r="M153" s="9">
        <v>149900</v>
      </c>
      <c r="N153" s="10">
        <f t="shared" si="15"/>
        <v>0.9</v>
      </c>
      <c r="O153" s="34">
        <f t="shared" si="16"/>
        <v>14989.999999999996</v>
      </c>
      <c r="P153" s="7" t="str">
        <f t="shared" si="17"/>
        <v>PERCENTAGE</v>
      </c>
    </row>
    <row r="154" spans="1:16" x14ac:dyDescent="0.25">
      <c r="A154" s="7" t="str">
        <f t="shared" si="12"/>
        <v>2023 ALL D90</v>
      </c>
      <c r="B154" s="8">
        <f t="shared" si="13"/>
        <v>46099</v>
      </c>
      <c r="C154" s="8">
        <f t="shared" si="14"/>
        <v>46113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79058025</v>
      </c>
      <c r="K154" s="7" t="s">
        <v>416</v>
      </c>
      <c r="L154" s="7" t="s">
        <v>418</v>
      </c>
      <c r="M154" s="9">
        <v>149900</v>
      </c>
      <c r="N154" s="10">
        <f t="shared" si="15"/>
        <v>0.9</v>
      </c>
      <c r="O154" s="34">
        <f t="shared" si="16"/>
        <v>14989.999999999996</v>
      </c>
      <c r="P154" s="7" t="str">
        <f t="shared" si="17"/>
        <v>PERCENTAGE</v>
      </c>
    </row>
    <row r="155" spans="1:16" x14ac:dyDescent="0.25">
      <c r="A155" s="7" t="str">
        <f t="shared" si="12"/>
        <v>2023 ALL D90</v>
      </c>
      <c r="B155" s="8">
        <f t="shared" si="13"/>
        <v>46099</v>
      </c>
      <c r="C155" s="8">
        <f t="shared" si="14"/>
        <v>46113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79058034</v>
      </c>
      <c r="K155" s="7" t="s">
        <v>416</v>
      </c>
      <c r="L155" s="7" t="s">
        <v>419</v>
      </c>
      <c r="M155" s="9">
        <v>149900</v>
      </c>
      <c r="N155" s="10">
        <f t="shared" si="15"/>
        <v>0.9</v>
      </c>
      <c r="O155" s="34">
        <f t="shared" si="16"/>
        <v>14989.999999999996</v>
      </c>
      <c r="P155" s="7" t="str">
        <f t="shared" si="17"/>
        <v>PERCENTAGE</v>
      </c>
    </row>
    <row r="156" spans="1:16" x14ac:dyDescent="0.25">
      <c r="A156" s="7" t="str">
        <f t="shared" si="12"/>
        <v>2023 ALL D90</v>
      </c>
      <c r="B156" s="8">
        <f t="shared" si="13"/>
        <v>46099</v>
      </c>
      <c r="C156" s="8">
        <f t="shared" si="14"/>
        <v>46113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81198987</v>
      </c>
      <c r="K156" s="7" t="s">
        <v>420</v>
      </c>
      <c r="L156" s="7" t="s">
        <v>421</v>
      </c>
      <c r="M156" s="9">
        <v>149900</v>
      </c>
      <c r="N156" s="10">
        <f t="shared" si="15"/>
        <v>0.9</v>
      </c>
      <c r="O156" s="34">
        <f t="shared" si="16"/>
        <v>14989.999999999996</v>
      </c>
      <c r="P156" s="7" t="str">
        <f t="shared" si="17"/>
        <v>PERCENTAGE</v>
      </c>
    </row>
    <row r="157" spans="1:16" x14ac:dyDescent="0.25">
      <c r="A157" s="7" t="str">
        <f t="shared" si="12"/>
        <v>2023 ALL D90</v>
      </c>
      <c r="B157" s="8">
        <f t="shared" si="13"/>
        <v>46099</v>
      </c>
      <c r="C157" s="8">
        <f t="shared" si="14"/>
        <v>46113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81198996</v>
      </c>
      <c r="K157" s="7" t="s">
        <v>420</v>
      </c>
      <c r="L157" s="7" t="s">
        <v>422</v>
      </c>
      <c r="M157" s="9">
        <v>149900</v>
      </c>
      <c r="N157" s="10">
        <f t="shared" si="15"/>
        <v>0.9</v>
      </c>
      <c r="O157" s="34">
        <f t="shared" si="16"/>
        <v>14989.999999999996</v>
      </c>
      <c r="P157" s="7" t="str">
        <f t="shared" si="17"/>
        <v>PERCENTAGE</v>
      </c>
    </row>
    <row r="158" spans="1:16" x14ac:dyDescent="0.25">
      <c r="A158" s="7" t="str">
        <f t="shared" si="12"/>
        <v>2023 ALL D90</v>
      </c>
      <c r="B158" s="8">
        <f t="shared" si="13"/>
        <v>46099</v>
      </c>
      <c r="C158" s="8">
        <f t="shared" si="14"/>
        <v>46113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81199002</v>
      </c>
      <c r="K158" s="7" t="s">
        <v>420</v>
      </c>
      <c r="L158" s="7" t="s">
        <v>423</v>
      </c>
      <c r="M158" s="9">
        <v>149900</v>
      </c>
      <c r="N158" s="10">
        <f t="shared" si="15"/>
        <v>0.9</v>
      </c>
      <c r="O158" s="34">
        <f t="shared" si="16"/>
        <v>14989.999999999996</v>
      </c>
      <c r="P158" s="7" t="str">
        <f t="shared" si="17"/>
        <v>PERCENTAGE</v>
      </c>
    </row>
    <row r="159" spans="1:16" x14ac:dyDescent="0.25">
      <c r="A159" s="7" t="str">
        <f t="shared" si="12"/>
        <v>2023 ALL D90</v>
      </c>
      <c r="B159" s="8">
        <f t="shared" si="13"/>
        <v>46099</v>
      </c>
      <c r="C159" s="8">
        <f t="shared" si="14"/>
        <v>46113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81199011</v>
      </c>
      <c r="K159" s="7" t="s">
        <v>420</v>
      </c>
      <c r="L159" s="7" t="s">
        <v>424</v>
      </c>
      <c r="M159" s="9">
        <v>149900</v>
      </c>
      <c r="N159" s="10">
        <f t="shared" si="15"/>
        <v>0.9</v>
      </c>
      <c r="O159" s="34">
        <f t="shared" si="16"/>
        <v>14989.999999999996</v>
      </c>
      <c r="P159" s="7" t="str">
        <f t="shared" si="17"/>
        <v>PERCENTAGE</v>
      </c>
    </row>
    <row r="160" spans="1:16" x14ac:dyDescent="0.25">
      <c r="A160" s="7" t="str">
        <f t="shared" si="12"/>
        <v>2023 ALL D90</v>
      </c>
      <c r="B160" s="8">
        <f t="shared" si="13"/>
        <v>46099</v>
      </c>
      <c r="C160" s="8">
        <f t="shared" si="14"/>
        <v>46113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81199020</v>
      </c>
      <c r="K160" s="7" t="s">
        <v>420</v>
      </c>
      <c r="L160" s="7" t="s">
        <v>425</v>
      </c>
      <c r="M160" s="9">
        <v>149900</v>
      </c>
      <c r="N160" s="10">
        <f t="shared" si="15"/>
        <v>0.9</v>
      </c>
      <c r="O160" s="34">
        <f t="shared" si="16"/>
        <v>14989.999999999996</v>
      </c>
      <c r="P160" s="7" t="str">
        <f t="shared" si="17"/>
        <v>PERCENTAGE</v>
      </c>
    </row>
    <row r="161" spans="1:16" x14ac:dyDescent="0.25">
      <c r="A161" s="7" t="str">
        <f t="shared" si="12"/>
        <v>2023 ALL D90</v>
      </c>
      <c r="B161" s="8">
        <f t="shared" si="13"/>
        <v>46099</v>
      </c>
      <c r="C161" s="8">
        <f t="shared" si="14"/>
        <v>46113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63287076</v>
      </c>
      <c r="K161" s="7" t="s">
        <v>426</v>
      </c>
      <c r="L161" s="7" t="s">
        <v>427</v>
      </c>
      <c r="M161" s="9">
        <v>139900</v>
      </c>
      <c r="N161" s="10">
        <f t="shared" si="15"/>
        <v>0.9</v>
      </c>
      <c r="O161" s="34">
        <f t="shared" si="16"/>
        <v>13989.999999999996</v>
      </c>
      <c r="P161" s="7" t="str">
        <f t="shared" si="17"/>
        <v>PERCENTAGE</v>
      </c>
    </row>
    <row r="162" spans="1:16" x14ac:dyDescent="0.25">
      <c r="A162" s="7" t="str">
        <f t="shared" si="12"/>
        <v>2023 ALL D90</v>
      </c>
      <c r="B162" s="8">
        <f t="shared" si="13"/>
        <v>46099</v>
      </c>
      <c r="C162" s="8">
        <f t="shared" si="14"/>
        <v>46113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63287094</v>
      </c>
      <c r="K162" s="7" t="s">
        <v>426</v>
      </c>
      <c r="L162" s="7" t="s">
        <v>428</v>
      </c>
      <c r="M162" s="9">
        <v>139900</v>
      </c>
      <c r="N162" s="10">
        <f t="shared" si="15"/>
        <v>0.9</v>
      </c>
      <c r="O162" s="34">
        <f t="shared" si="16"/>
        <v>13989.999999999996</v>
      </c>
      <c r="P162" s="7" t="str">
        <f t="shared" si="17"/>
        <v>PERCENTAGE</v>
      </c>
    </row>
    <row r="163" spans="1:16" x14ac:dyDescent="0.25">
      <c r="A163" s="7" t="str">
        <f t="shared" si="12"/>
        <v>2023 ALL D90</v>
      </c>
      <c r="B163" s="8">
        <f t="shared" si="13"/>
        <v>46099</v>
      </c>
      <c r="C163" s="8">
        <f t="shared" si="14"/>
        <v>46113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76550542</v>
      </c>
      <c r="K163" s="7" t="s">
        <v>429</v>
      </c>
      <c r="L163" s="7" t="s">
        <v>430</v>
      </c>
      <c r="M163" s="9">
        <v>139900</v>
      </c>
      <c r="N163" s="10">
        <f t="shared" si="15"/>
        <v>0.9</v>
      </c>
      <c r="O163" s="34">
        <f t="shared" si="16"/>
        <v>13989.999999999996</v>
      </c>
      <c r="P163" s="7" t="str">
        <f t="shared" si="17"/>
        <v>PERCENTAGE</v>
      </c>
    </row>
    <row r="164" spans="1:16" x14ac:dyDescent="0.25">
      <c r="A164" s="7" t="str">
        <f t="shared" si="12"/>
        <v>2023 ALL D90</v>
      </c>
      <c r="B164" s="8">
        <f t="shared" si="13"/>
        <v>46099</v>
      </c>
      <c r="C164" s="8">
        <f t="shared" si="14"/>
        <v>46113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76550551</v>
      </c>
      <c r="K164" s="7" t="s">
        <v>429</v>
      </c>
      <c r="L164" s="7" t="s">
        <v>431</v>
      </c>
      <c r="M164" s="9">
        <v>139900</v>
      </c>
      <c r="N164" s="10">
        <f t="shared" si="15"/>
        <v>0.9</v>
      </c>
      <c r="O164" s="34">
        <f t="shared" si="16"/>
        <v>13989.999999999996</v>
      </c>
      <c r="P164" s="7" t="str">
        <f t="shared" si="17"/>
        <v>PERCENTAGE</v>
      </c>
    </row>
    <row r="165" spans="1:16" x14ac:dyDescent="0.25">
      <c r="A165" s="7" t="str">
        <f t="shared" si="12"/>
        <v>2023 ALL D90</v>
      </c>
      <c r="B165" s="8">
        <f t="shared" si="13"/>
        <v>46099</v>
      </c>
      <c r="C165" s="8">
        <f t="shared" si="14"/>
        <v>46113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76550560</v>
      </c>
      <c r="K165" s="7" t="s">
        <v>429</v>
      </c>
      <c r="L165" s="7" t="s">
        <v>432</v>
      </c>
      <c r="M165" s="9">
        <v>139900</v>
      </c>
      <c r="N165" s="10">
        <f t="shared" si="15"/>
        <v>0.9</v>
      </c>
      <c r="O165" s="34">
        <f t="shared" si="16"/>
        <v>13989.999999999996</v>
      </c>
      <c r="P165" s="7" t="str">
        <f t="shared" si="17"/>
        <v>PERCENTAGE</v>
      </c>
    </row>
    <row r="166" spans="1:16" x14ac:dyDescent="0.25">
      <c r="A166" s="7" t="str">
        <f t="shared" si="12"/>
        <v>2023 ALL D90</v>
      </c>
      <c r="B166" s="8">
        <f t="shared" si="13"/>
        <v>46099</v>
      </c>
      <c r="C166" s="8">
        <f t="shared" si="14"/>
        <v>46113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76550588</v>
      </c>
      <c r="K166" s="7" t="s">
        <v>429</v>
      </c>
      <c r="L166" s="7" t="s">
        <v>433</v>
      </c>
      <c r="M166" s="9">
        <v>139900</v>
      </c>
      <c r="N166" s="10">
        <f t="shared" si="15"/>
        <v>0.9</v>
      </c>
      <c r="O166" s="34">
        <f t="shared" si="16"/>
        <v>13989.999999999996</v>
      </c>
      <c r="P166" s="7" t="str">
        <f t="shared" si="17"/>
        <v>PERCENTAGE</v>
      </c>
    </row>
    <row r="167" spans="1:16" x14ac:dyDescent="0.25">
      <c r="A167" s="7" t="str">
        <f t="shared" si="12"/>
        <v>2023 ALL D90</v>
      </c>
      <c r="B167" s="8">
        <f t="shared" si="13"/>
        <v>46099</v>
      </c>
      <c r="C167" s="8">
        <f t="shared" si="14"/>
        <v>46113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76550659</v>
      </c>
      <c r="K167" s="7" t="s">
        <v>434</v>
      </c>
      <c r="L167" s="7" t="s">
        <v>435</v>
      </c>
      <c r="M167" s="9">
        <v>139900</v>
      </c>
      <c r="N167" s="10">
        <f t="shared" si="15"/>
        <v>0.9</v>
      </c>
      <c r="O167" s="34">
        <f t="shared" si="16"/>
        <v>13989.999999999996</v>
      </c>
      <c r="P167" s="7" t="str">
        <f t="shared" si="17"/>
        <v>PERCENTAGE</v>
      </c>
    </row>
    <row r="168" spans="1:16" x14ac:dyDescent="0.25">
      <c r="A168" s="7" t="str">
        <f t="shared" si="12"/>
        <v>2023 ALL D90</v>
      </c>
      <c r="B168" s="8">
        <f t="shared" si="13"/>
        <v>46099</v>
      </c>
      <c r="C168" s="8">
        <f t="shared" si="14"/>
        <v>46113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76550668</v>
      </c>
      <c r="K168" s="7" t="s">
        <v>434</v>
      </c>
      <c r="L168" s="7" t="s">
        <v>436</v>
      </c>
      <c r="M168" s="9">
        <v>139900</v>
      </c>
      <c r="N168" s="10">
        <f t="shared" si="15"/>
        <v>0.9</v>
      </c>
      <c r="O168" s="34">
        <f t="shared" si="16"/>
        <v>13989.999999999996</v>
      </c>
      <c r="P168" s="7" t="str">
        <f t="shared" si="17"/>
        <v>PERCENTAGE</v>
      </c>
    </row>
    <row r="169" spans="1:16" x14ac:dyDescent="0.25">
      <c r="A169" s="7" t="str">
        <f t="shared" si="12"/>
        <v>2023 ALL D90</v>
      </c>
      <c r="B169" s="8">
        <f t="shared" si="13"/>
        <v>46099</v>
      </c>
      <c r="C169" s="8">
        <f t="shared" si="14"/>
        <v>46113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76550677</v>
      </c>
      <c r="K169" s="7" t="s">
        <v>434</v>
      </c>
      <c r="L169" s="7" t="s">
        <v>437</v>
      </c>
      <c r="M169" s="9">
        <v>139900</v>
      </c>
      <c r="N169" s="10">
        <f t="shared" si="15"/>
        <v>0.9</v>
      </c>
      <c r="O169" s="34">
        <f t="shared" si="16"/>
        <v>13989.999999999996</v>
      </c>
      <c r="P169" s="7" t="str">
        <f t="shared" si="17"/>
        <v>PERCENTAGE</v>
      </c>
    </row>
    <row r="170" spans="1:16" x14ac:dyDescent="0.25">
      <c r="A170" s="7" t="str">
        <f t="shared" si="12"/>
        <v>2023 ALL D90</v>
      </c>
      <c r="B170" s="8">
        <f t="shared" si="13"/>
        <v>46099</v>
      </c>
      <c r="C170" s="8">
        <f t="shared" si="14"/>
        <v>46113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76550695</v>
      </c>
      <c r="K170" s="7" t="s">
        <v>438</v>
      </c>
      <c r="L170" s="7" t="s">
        <v>439</v>
      </c>
      <c r="M170" s="9">
        <v>129900</v>
      </c>
      <c r="N170" s="10">
        <f t="shared" si="15"/>
        <v>0.9</v>
      </c>
      <c r="O170" s="34">
        <f t="shared" si="16"/>
        <v>12989.999999999996</v>
      </c>
      <c r="P170" s="7" t="str">
        <f t="shared" si="17"/>
        <v>PERCENTAGE</v>
      </c>
    </row>
    <row r="171" spans="1:16" x14ac:dyDescent="0.25">
      <c r="A171" s="7" t="str">
        <f t="shared" si="12"/>
        <v>2023 ALL D90</v>
      </c>
      <c r="B171" s="8">
        <f t="shared" si="13"/>
        <v>46099</v>
      </c>
      <c r="C171" s="8">
        <f t="shared" si="14"/>
        <v>46113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76550702</v>
      </c>
      <c r="K171" s="7" t="s">
        <v>438</v>
      </c>
      <c r="L171" s="7" t="s">
        <v>440</v>
      </c>
      <c r="M171" s="9">
        <v>129900</v>
      </c>
      <c r="N171" s="10">
        <f t="shared" si="15"/>
        <v>0.9</v>
      </c>
      <c r="O171" s="34">
        <f t="shared" si="16"/>
        <v>12989.999999999996</v>
      </c>
      <c r="P171" s="7" t="str">
        <f t="shared" si="17"/>
        <v>PERCENTAGE</v>
      </c>
    </row>
    <row r="172" spans="1:16" x14ac:dyDescent="0.25">
      <c r="A172" s="7" t="str">
        <f t="shared" si="12"/>
        <v>2023 ALL D90</v>
      </c>
      <c r="B172" s="8">
        <f t="shared" si="13"/>
        <v>46099</v>
      </c>
      <c r="C172" s="8">
        <f t="shared" si="14"/>
        <v>46113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76550711</v>
      </c>
      <c r="K172" s="7" t="s">
        <v>438</v>
      </c>
      <c r="L172" s="7" t="s">
        <v>441</v>
      </c>
      <c r="M172" s="9">
        <v>129900</v>
      </c>
      <c r="N172" s="10">
        <f t="shared" si="15"/>
        <v>0.9</v>
      </c>
      <c r="O172" s="34">
        <f t="shared" si="16"/>
        <v>12989.999999999996</v>
      </c>
      <c r="P172" s="7" t="str">
        <f t="shared" si="17"/>
        <v>PERCENTAGE</v>
      </c>
    </row>
    <row r="173" spans="1:16" x14ac:dyDescent="0.25">
      <c r="A173" s="7" t="str">
        <f t="shared" si="12"/>
        <v>2023 ALL D90</v>
      </c>
      <c r="B173" s="8">
        <f t="shared" si="13"/>
        <v>46099</v>
      </c>
      <c r="C173" s="8">
        <f t="shared" si="14"/>
        <v>46113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76550720</v>
      </c>
      <c r="K173" s="7" t="s">
        <v>438</v>
      </c>
      <c r="L173" s="7" t="s">
        <v>442</v>
      </c>
      <c r="M173" s="9">
        <v>129900</v>
      </c>
      <c r="N173" s="10">
        <f t="shared" si="15"/>
        <v>0.9</v>
      </c>
      <c r="O173" s="34">
        <f t="shared" si="16"/>
        <v>12989.999999999996</v>
      </c>
      <c r="P173" s="7" t="str">
        <f t="shared" si="17"/>
        <v>PERCENTAGE</v>
      </c>
    </row>
    <row r="174" spans="1:16" x14ac:dyDescent="0.25">
      <c r="A174" s="7" t="str">
        <f t="shared" si="12"/>
        <v>2023 ALL D90</v>
      </c>
      <c r="B174" s="8">
        <f t="shared" si="13"/>
        <v>46099</v>
      </c>
      <c r="C174" s="8">
        <f t="shared" si="14"/>
        <v>46113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76550739</v>
      </c>
      <c r="K174" s="7" t="s">
        <v>438</v>
      </c>
      <c r="L174" s="7" t="s">
        <v>443</v>
      </c>
      <c r="M174" s="9">
        <v>129900</v>
      </c>
      <c r="N174" s="10">
        <f t="shared" si="15"/>
        <v>0.9</v>
      </c>
      <c r="O174" s="34">
        <f t="shared" si="16"/>
        <v>12989.999999999996</v>
      </c>
      <c r="P174" s="7" t="str">
        <f t="shared" si="17"/>
        <v>PERCENTAGE</v>
      </c>
    </row>
    <row r="175" spans="1:16" x14ac:dyDescent="0.25">
      <c r="A175" s="7" t="str">
        <f t="shared" si="12"/>
        <v>2023 ALL D90</v>
      </c>
      <c r="B175" s="8">
        <f t="shared" si="13"/>
        <v>46099</v>
      </c>
      <c r="C175" s="8">
        <f t="shared" si="14"/>
        <v>46113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76907407</v>
      </c>
      <c r="K175" s="7" t="s">
        <v>444</v>
      </c>
      <c r="L175" s="7" t="s">
        <v>445</v>
      </c>
      <c r="M175" s="9">
        <v>139900</v>
      </c>
      <c r="N175" s="10">
        <f t="shared" si="15"/>
        <v>0.9</v>
      </c>
      <c r="O175" s="34">
        <f t="shared" si="16"/>
        <v>13989.999999999996</v>
      </c>
      <c r="P175" s="7" t="str">
        <f t="shared" si="17"/>
        <v>PERCENTAGE</v>
      </c>
    </row>
    <row r="176" spans="1:16" x14ac:dyDescent="0.25">
      <c r="A176" s="7" t="str">
        <f t="shared" si="12"/>
        <v>2023 ALL D90</v>
      </c>
      <c r="B176" s="8">
        <f t="shared" si="13"/>
        <v>46099</v>
      </c>
      <c r="C176" s="8">
        <f t="shared" si="14"/>
        <v>46113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76907416</v>
      </c>
      <c r="K176" s="7" t="s">
        <v>444</v>
      </c>
      <c r="L176" s="7" t="s">
        <v>446</v>
      </c>
      <c r="M176" s="9">
        <v>139900</v>
      </c>
      <c r="N176" s="10">
        <f t="shared" si="15"/>
        <v>0.9</v>
      </c>
      <c r="O176" s="34">
        <f t="shared" si="16"/>
        <v>13989.999999999996</v>
      </c>
      <c r="P176" s="7" t="str">
        <f t="shared" si="17"/>
        <v>PERCENTAGE</v>
      </c>
    </row>
    <row r="177" spans="1:16" x14ac:dyDescent="0.25">
      <c r="A177" s="7" t="str">
        <f t="shared" si="12"/>
        <v>2023 ALL D90</v>
      </c>
      <c r="B177" s="8">
        <f t="shared" si="13"/>
        <v>46099</v>
      </c>
      <c r="C177" s="8">
        <f t="shared" si="14"/>
        <v>46113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76907425</v>
      </c>
      <c r="K177" s="7" t="s">
        <v>444</v>
      </c>
      <c r="L177" s="7" t="s">
        <v>447</v>
      </c>
      <c r="M177" s="9">
        <v>139900</v>
      </c>
      <c r="N177" s="10">
        <f t="shared" si="15"/>
        <v>0.9</v>
      </c>
      <c r="O177" s="34">
        <f t="shared" si="16"/>
        <v>13989.999999999996</v>
      </c>
      <c r="P177" s="7" t="str">
        <f t="shared" si="17"/>
        <v>PERCENTAGE</v>
      </c>
    </row>
    <row r="178" spans="1:16" x14ac:dyDescent="0.25">
      <c r="A178" s="7" t="str">
        <f t="shared" si="12"/>
        <v>2023 ALL D90</v>
      </c>
      <c r="B178" s="8">
        <f t="shared" si="13"/>
        <v>46099</v>
      </c>
      <c r="C178" s="8">
        <f t="shared" si="14"/>
        <v>46113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76907434</v>
      </c>
      <c r="K178" s="7" t="s">
        <v>444</v>
      </c>
      <c r="L178" s="7" t="s">
        <v>448</v>
      </c>
      <c r="M178" s="9">
        <v>139900</v>
      </c>
      <c r="N178" s="10">
        <f t="shared" si="15"/>
        <v>0.9</v>
      </c>
      <c r="O178" s="34">
        <f t="shared" si="16"/>
        <v>13989.999999999996</v>
      </c>
      <c r="P178" s="7" t="str">
        <f t="shared" si="17"/>
        <v>PERCENTAGE</v>
      </c>
    </row>
    <row r="179" spans="1:16" x14ac:dyDescent="0.25">
      <c r="A179" s="7" t="str">
        <f t="shared" si="12"/>
        <v>2023 ALL D90</v>
      </c>
      <c r="B179" s="8">
        <f t="shared" si="13"/>
        <v>46099</v>
      </c>
      <c r="C179" s="8">
        <f t="shared" si="14"/>
        <v>46113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76907443</v>
      </c>
      <c r="K179" s="7" t="s">
        <v>444</v>
      </c>
      <c r="L179" s="7" t="s">
        <v>449</v>
      </c>
      <c r="M179" s="9">
        <v>139900</v>
      </c>
      <c r="N179" s="10">
        <f t="shared" si="15"/>
        <v>0.9</v>
      </c>
      <c r="O179" s="34">
        <f t="shared" si="16"/>
        <v>13989.999999999996</v>
      </c>
      <c r="P179" s="7" t="str">
        <f t="shared" si="17"/>
        <v>PERCENTAGE</v>
      </c>
    </row>
    <row r="180" spans="1:16" x14ac:dyDescent="0.25">
      <c r="A180" s="7" t="str">
        <f t="shared" si="12"/>
        <v>2023 ALL D90</v>
      </c>
      <c r="B180" s="8">
        <f t="shared" si="13"/>
        <v>46099</v>
      </c>
      <c r="C180" s="8">
        <f t="shared" si="14"/>
        <v>46113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78460396</v>
      </c>
      <c r="K180" s="7" t="s">
        <v>450</v>
      </c>
      <c r="L180" s="7" t="s">
        <v>451</v>
      </c>
      <c r="M180" s="9">
        <v>139900</v>
      </c>
      <c r="N180" s="10">
        <f t="shared" si="15"/>
        <v>0.9</v>
      </c>
      <c r="O180" s="34">
        <f t="shared" si="16"/>
        <v>13989.999999999996</v>
      </c>
      <c r="P180" s="7" t="str">
        <f t="shared" si="17"/>
        <v>PERCENTAGE</v>
      </c>
    </row>
    <row r="181" spans="1:16" x14ac:dyDescent="0.25">
      <c r="A181" s="7" t="str">
        <f t="shared" si="12"/>
        <v>2023 ALL D90</v>
      </c>
      <c r="B181" s="8">
        <f t="shared" si="13"/>
        <v>46099</v>
      </c>
      <c r="C181" s="8">
        <f t="shared" si="14"/>
        <v>46113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78460403</v>
      </c>
      <c r="K181" s="7" t="s">
        <v>450</v>
      </c>
      <c r="L181" s="7" t="s">
        <v>452</v>
      </c>
      <c r="M181" s="9">
        <v>139900</v>
      </c>
      <c r="N181" s="10">
        <f t="shared" si="15"/>
        <v>0.9</v>
      </c>
      <c r="O181" s="34">
        <f t="shared" si="16"/>
        <v>13989.999999999996</v>
      </c>
      <c r="P181" s="7" t="str">
        <f t="shared" si="17"/>
        <v>PERCENTAGE</v>
      </c>
    </row>
    <row r="182" spans="1:16" x14ac:dyDescent="0.25">
      <c r="A182" s="7" t="str">
        <f t="shared" si="12"/>
        <v>2023 ALL D90</v>
      </c>
      <c r="B182" s="8">
        <f t="shared" si="13"/>
        <v>46099</v>
      </c>
      <c r="C182" s="8">
        <f t="shared" si="14"/>
        <v>46113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78460412</v>
      </c>
      <c r="K182" s="7" t="s">
        <v>450</v>
      </c>
      <c r="L182" s="7" t="s">
        <v>453</v>
      </c>
      <c r="M182" s="9">
        <v>139900</v>
      </c>
      <c r="N182" s="10">
        <f t="shared" si="15"/>
        <v>0.9</v>
      </c>
      <c r="O182" s="34">
        <f t="shared" si="16"/>
        <v>13989.999999999996</v>
      </c>
      <c r="P182" s="7" t="str">
        <f t="shared" si="17"/>
        <v>PERCENTAGE</v>
      </c>
    </row>
    <row r="183" spans="1:16" x14ac:dyDescent="0.25">
      <c r="A183" s="7" t="str">
        <f t="shared" si="12"/>
        <v>2023 ALL D90</v>
      </c>
      <c r="B183" s="8">
        <f t="shared" si="13"/>
        <v>46099</v>
      </c>
      <c r="C183" s="8">
        <f t="shared" si="14"/>
        <v>46113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78460421</v>
      </c>
      <c r="K183" s="7" t="s">
        <v>450</v>
      </c>
      <c r="L183" s="7" t="s">
        <v>454</v>
      </c>
      <c r="M183" s="9">
        <v>139900</v>
      </c>
      <c r="N183" s="10">
        <f t="shared" si="15"/>
        <v>0.9</v>
      </c>
      <c r="O183" s="34">
        <f t="shared" si="16"/>
        <v>13989.999999999996</v>
      </c>
      <c r="P183" s="7" t="str">
        <f t="shared" si="17"/>
        <v>PERCENTAGE</v>
      </c>
    </row>
    <row r="184" spans="1:16" x14ac:dyDescent="0.25">
      <c r="A184" s="7" t="str">
        <f t="shared" si="12"/>
        <v>2023 ALL D90</v>
      </c>
      <c r="B184" s="8">
        <f t="shared" si="13"/>
        <v>46099</v>
      </c>
      <c r="C184" s="8">
        <f t="shared" si="14"/>
        <v>46113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78460430</v>
      </c>
      <c r="K184" s="7" t="s">
        <v>450</v>
      </c>
      <c r="L184" s="7" t="s">
        <v>455</v>
      </c>
      <c r="M184" s="9">
        <v>139900</v>
      </c>
      <c r="N184" s="10">
        <f t="shared" si="15"/>
        <v>0.9</v>
      </c>
      <c r="O184" s="34">
        <f t="shared" si="16"/>
        <v>13989.999999999996</v>
      </c>
      <c r="P184" s="7" t="str">
        <f t="shared" si="17"/>
        <v>PERCENTAGE</v>
      </c>
    </row>
    <row r="185" spans="1:16" x14ac:dyDescent="0.25">
      <c r="A185" s="7" t="str">
        <f t="shared" si="12"/>
        <v>2023 ALL D90</v>
      </c>
      <c r="B185" s="8">
        <f t="shared" si="13"/>
        <v>46099</v>
      </c>
      <c r="C185" s="8">
        <f t="shared" si="14"/>
        <v>46113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78460449</v>
      </c>
      <c r="K185" s="7" t="s">
        <v>456</v>
      </c>
      <c r="L185" s="7" t="s">
        <v>457</v>
      </c>
      <c r="M185" s="9">
        <v>139900</v>
      </c>
      <c r="N185" s="10">
        <f t="shared" si="15"/>
        <v>0.9</v>
      </c>
      <c r="O185" s="34">
        <f t="shared" si="16"/>
        <v>13989.999999999996</v>
      </c>
      <c r="P185" s="7" t="str">
        <f t="shared" si="17"/>
        <v>PERCENTAGE</v>
      </c>
    </row>
    <row r="186" spans="1:16" x14ac:dyDescent="0.25">
      <c r="A186" s="7" t="str">
        <f t="shared" si="12"/>
        <v>2023 ALL D90</v>
      </c>
      <c r="B186" s="8">
        <f t="shared" si="13"/>
        <v>46099</v>
      </c>
      <c r="C186" s="8">
        <f t="shared" si="14"/>
        <v>46113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78460458</v>
      </c>
      <c r="K186" s="7" t="s">
        <v>456</v>
      </c>
      <c r="L186" s="7" t="s">
        <v>458</v>
      </c>
      <c r="M186" s="9">
        <v>139900</v>
      </c>
      <c r="N186" s="10">
        <f t="shared" si="15"/>
        <v>0.9</v>
      </c>
      <c r="O186" s="34">
        <f t="shared" si="16"/>
        <v>13989.999999999996</v>
      </c>
      <c r="P186" s="7" t="str">
        <f t="shared" si="17"/>
        <v>PERCENTAGE</v>
      </c>
    </row>
    <row r="187" spans="1:16" x14ac:dyDescent="0.25">
      <c r="A187" s="7" t="str">
        <f t="shared" si="12"/>
        <v>2023 ALL D90</v>
      </c>
      <c r="B187" s="8">
        <f t="shared" si="13"/>
        <v>46099</v>
      </c>
      <c r="C187" s="8">
        <f t="shared" si="14"/>
        <v>46113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78460467</v>
      </c>
      <c r="K187" s="7" t="s">
        <v>456</v>
      </c>
      <c r="L187" s="7" t="s">
        <v>459</v>
      </c>
      <c r="M187" s="9">
        <v>139900</v>
      </c>
      <c r="N187" s="10">
        <f t="shared" si="15"/>
        <v>0.9</v>
      </c>
      <c r="O187" s="34">
        <f t="shared" si="16"/>
        <v>13989.999999999996</v>
      </c>
      <c r="P187" s="7" t="str">
        <f t="shared" si="17"/>
        <v>PERCENTAGE</v>
      </c>
    </row>
    <row r="188" spans="1:16" x14ac:dyDescent="0.25">
      <c r="A188" s="7" t="str">
        <f t="shared" si="12"/>
        <v>2023 ALL D90</v>
      </c>
      <c r="B188" s="8">
        <f t="shared" si="13"/>
        <v>46099</v>
      </c>
      <c r="C188" s="8">
        <f t="shared" si="14"/>
        <v>46113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78460476</v>
      </c>
      <c r="K188" s="7" t="s">
        <v>456</v>
      </c>
      <c r="L188" s="7" t="s">
        <v>460</v>
      </c>
      <c r="M188" s="9">
        <v>139900</v>
      </c>
      <c r="N188" s="10">
        <f t="shared" si="15"/>
        <v>0.9</v>
      </c>
      <c r="O188" s="34">
        <f t="shared" si="16"/>
        <v>13989.999999999996</v>
      </c>
      <c r="P188" s="7" t="str">
        <f t="shared" si="17"/>
        <v>PERCENTAGE</v>
      </c>
    </row>
    <row r="189" spans="1:16" x14ac:dyDescent="0.25">
      <c r="A189" s="7" t="str">
        <f t="shared" si="12"/>
        <v>2023 ALL D90</v>
      </c>
      <c r="B189" s="8">
        <f t="shared" si="13"/>
        <v>46099</v>
      </c>
      <c r="C189" s="8">
        <f t="shared" si="14"/>
        <v>46113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78460485</v>
      </c>
      <c r="K189" s="7" t="s">
        <v>456</v>
      </c>
      <c r="L189" s="7" t="s">
        <v>461</v>
      </c>
      <c r="M189" s="9">
        <v>139900</v>
      </c>
      <c r="N189" s="10">
        <f t="shared" si="15"/>
        <v>0.9</v>
      </c>
      <c r="O189" s="34">
        <f t="shared" si="16"/>
        <v>13989.999999999996</v>
      </c>
      <c r="P189" s="7" t="str">
        <f t="shared" si="17"/>
        <v>PERCENTAGE</v>
      </c>
    </row>
    <row r="190" spans="1:16" x14ac:dyDescent="0.25">
      <c r="A190" s="7" t="str">
        <f t="shared" si="12"/>
        <v>2023 ALL D90</v>
      </c>
      <c r="B190" s="8">
        <f t="shared" si="13"/>
        <v>46099</v>
      </c>
      <c r="C190" s="8">
        <f t="shared" si="14"/>
        <v>46113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78460494</v>
      </c>
      <c r="K190" s="7" t="s">
        <v>462</v>
      </c>
      <c r="L190" s="7" t="s">
        <v>463</v>
      </c>
      <c r="M190" s="9">
        <v>149900</v>
      </c>
      <c r="N190" s="10">
        <f t="shared" si="15"/>
        <v>0.9</v>
      </c>
      <c r="O190" s="34">
        <f t="shared" si="16"/>
        <v>14989.999999999996</v>
      </c>
      <c r="P190" s="7" t="str">
        <f t="shared" si="17"/>
        <v>PERCENTAGE</v>
      </c>
    </row>
    <row r="191" spans="1:16" x14ac:dyDescent="0.25">
      <c r="A191" s="7" t="str">
        <f t="shared" si="12"/>
        <v>2023 ALL D90</v>
      </c>
      <c r="B191" s="8">
        <f t="shared" si="13"/>
        <v>46099</v>
      </c>
      <c r="C191" s="8">
        <f t="shared" si="14"/>
        <v>46113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78460529</v>
      </c>
      <c r="K191" s="7" t="s">
        <v>462</v>
      </c>
      <c r="L191" s="7" t="s">
        <v>464</v>
      </c>
      <c r="M191" s="9">
        <v>149900</v>
      </c>
      <c r="N191" s="10">
        <f t="shared" si="15"/>
        <v>0.9</v>
      </c>
      <c r="O191" s="34">
        <f t="shared" si="16"/>
        <v>14989.999999999996</v>
      </c>
      <c r="P191" s="7" t="str">
        <f t="shared" si="17"/>
        <v>PERCENTAGE</v>
      </c>
    </row>
    <row r="192" spans="1:16" x14ac:dyDescent="0.25">
      <c r="A192" s="7" t="str">
        <f t="shared" si="12"/>
        <v>2023 ALL D90</v>
      </c>
      <c r="B192" s="8">
        <f t="shared" si="13"/>
        <v>46099</v>
      </c>
      <c r="C192" s="8">
        <f t="shared" si="14"/>
        <v>46113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78460538</v>
      </c>
      <c r="K192" s="7" t="s">
        <v>462</v>
      </c>
      <c r="L192" s="7" t="s">
        <v>465</v>
      </c>
      <c r="M192" s="9">
        <v>149900</v>
      </c>
      <c r="N192" s="10">
        <f t="shared" si="15"/>
        <v>0.9</v>
      </c>
      <c r="O192" s="34">
        <f t="shared" si="16"/>
        <v>14989.999999999996</v>
      </c>
      <c r="P192" s="7" t="str">
        <f t="shared" si="17"/>
        <v>PERCENTAGE</v>
      </c>
    </row>
    <row r="193" spans="1:16" x14ac:dyDescent="0.25">
      <c r="A193" s="7" t="str">
        <f t="shared" si="12"/>
        <v>2023 ALL D90</v>
      </c>
      <c r="B193" s="8">
        <f t="shared" si="13"/>
        <v>46099</v>
      </c>
      <c r="C193" s="8">
        <f t="shared" si="14"/>
        <v>46113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79845362</v>
      </c>
      <c r="K193" s="7" t="s">
        <v>466</v>
      </c>
      <c r="L193" s="7" t="s">
        <v>467</v>
      </c>
      <c r="M193" s="9">
        <v>159900</v>
      </c>
      <c r="N193" s="10">
        <f t="shared" si="15"/>
        <v>0.9</v>
      </c>
      <c r="O193" s="34">
        <f t="shared" si="16"/>
        <v>15989.999999999996</v>
      </c>
      <c r="P193" s="7" t="str">
        <f t="shared" si="17"/>
        <v>PERCENTAGE</v>
      </c>
    </row>
    <row r="194" spans="1:16" x14ac:dyDescent="0.25">
      <c r="A194" s="7" t="str">
        <f t="shared" si="12"/>
        <v>2023 ALL D90</v>
      </c>
      <c r="B194" s="8">
        <f t="shared" si="13"/>
        <v>46099</v>
      </c>
      <c r="C194" s="8">
        <f t="shared" si="14"/>
        <v>46113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79845371</v>
      </c>
      <c r="K194" s="7" t="s">
        <v>466</v>
      </c>
      <c r="L194" s="7" t="s">
        <v>468</v>
      </c>
      <c r="M194" s="9">
        <v>159900</v>
      </c>
      <c r="N194" s="10">
        <f t="shared" si="15"/>
        <v>0.9</v>
      </c>
      <c r="O194" s="34">
        <f t="shared" si="16"/>
        <v>15989.999999999996</v>
      </c>
      <c r="P194" s="7" t="str">
        <f t="shared" si="17"/>
        <v>PERCENTAGE</v>
      </c>
    </row>
    <row r="195" spans="1:16" x14ac:dyDescent="0.25">
      <c r="A195" s="7" t="str">
        <f t="shared" ref="A195:A258" si="18">A194</f>
        <v>2023 ALL D90</v>
      </c>
      <c r="B195" s="8">
        <f t="shared" ref="B195:B258" si="19">B194</f>
        <v>46099</v>
      </c>
      <c r="C195" s="8">
        <f t="shared" ref="C195:C258" si="20">C194</f>
        <v>46113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79845380</v>
      </c>
      <c r="K195" s="7" t="s">
        <v>466</v>
      </c>
      <c r="L195" s="7" t="s">
        <v>469</v>
      </c>
      <c r="M195" s="9">
        <v>159900</v>
      </c>
      <c r="N195" s="10">
        <f t="shared" ref="N195:N258" si="21">N194</f>
        <v>0.9</v>
      </c>
      <c r="O195" s="34">
        <f t="shared" ref="O195:O258" si="22">M195*(1-N195)</f>
        <v>15989.999999999996</v>
      </c>
      <c r="P195" s="7" t="str">
        <f t="shared" ref="P195:P258" si="23">P194</f>
        <v>PERCENTAGE</v>
      </c>
    </row>
    <row r="196" spans="1:16" x14ac:dyDescent="0.25">
      <c r="A196" s="7" t="str">
        <f t="shared" si="18"/>
        <v>2023 ALL D90</v>
      </c>
      <c r="B196" s="8">
        <f t="shared" si="19"/>
        <v>46099</v>
      </c>
      <c r="C196" s="8">
        <f t="shared" si="20"/>
        <v>46113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75232969</v>
      </c>
      <c r="K196" s="7" t="s">
        <v>470</v>
      </c>
      <c r="L196" s="7" t="s">
        <v>471</v>
      </c>
      <c r="M196" s="9">
        <v>139900</v>
      </c>
      <c r="N196" s="10">
        <f t="shared" si="21"/>
        <v>0.9</v>
      </c>
      <c r="O196" s="34">
        <f t="shared" si="22"/>
        <v>13989.999999999996</v>
      </c>
      <c r="P196" s="7" t="str">
        <f t="shared" si="23"/>
        <v>PERCENTAGE</v>
      </c>
    </row>
    <row r="197" spans="1:16" x14ac:dyDescent="0.25">
      <c r="A197" s="7" t="str">
        <f t="shared" si="18"/>
        <v>2023 ALL D90</v>
      </c>
      <c r="B197" s="8">
        <f t="shared" si="19"/>
        <v>46099</v>
      </c>
      <c r="C197" s="8">
        <f t="shared" si="20"/>
        <v>46113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75232978</v>
      </c>
      <c r="K197" s="7" t="s">
        <v>470</v>
      </c>
      <c r="L197" s="7" t="s">
        <v>472</v>
      </c>
      <c r="M197" s="9">
        <v>139900</v>
      </c>
      <c r="N197" s="10">
        <f t="shared" si="21"/>
        <v>0.9</v>
      </c>
      <c r="O197" s="34">
        <f t="shared" si="22"/>
        <v>13989.999999999996</v>
      </c>
      <c r="P197" s="7" t="str">
        <f t="shared" si="23"/>
        <v>PERCENTAGE</v>
      </c>
    </row>
    <row r="198" spans="1:16" x14ac:dyDescent="0.25">
      <c r="A198" s="7" t="str">
        <f t="shared" si="18"/>
        <v>2023 ALL D90</v>
      </c>
      <c r="B198" s="8">
        <f t="shared" si="19"/>
        <v>46099</v>
      </c>
      <c r="C198" s="8">
        <f t="shared" si="20"/>
        <v>46113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75233191</v>
      </c>
      <c r="K198" s="7" t="s">
        <v>473</v>
      </c>
      <c r="L198" s="7" t="s">
        <v>474</v>
      </c>
      <c r="M198" s="9">
        <v>139900</v>
      </c>
      <c r="N198" s="10">
        <f t="shared" si="21"/>
        <v>0.9</v>
      </c>
      <c r="O198" s="34">
        <f t="shared" si="22"/>
        <v>13989.999999999996</v>
      </c>
      <c r="P198" s="7" t="str">
        <f t="shared" si="23"/>
        <v>PERCENTAGE</v>
      </c>
    </row>
    <row r="199" spans="1:16" x14ac:dyDescent="0.25">
      <c r="A199" s="7" t="str">
        <f t="shared" si="18"/>
        <v>2023 ALL D90</v>
      </c>
      <c r="B199" s="8">
        <f t="shared" si="19"/>
        <v>46099</v>
      </c>
      <c r="C199" s="8">
        <f t="shared" si="20"/>
        <v>46113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75233208</v>
      </c>
      <c r="K199" s="7" t="s">
        <v>473</v>
      </c>
      <c r="L199" s="7" t="s">
        <v>475</v>
      </c>
      <c r="M199" s="9">
        <v>139900</v>
      </c>
      <c r="N199" s="10">
        <f t="shared" si="21"/>
        <v>0.9</v>
      </c>
      <c r="O199" s="34">
        <f t="shared" si="22"/>
        <v>13989.999999999996</v>
      </c>
      <c r="P199" s="7" t="str">
        <f t="shared" si="23"/>
        <v>PERCENTAGE</v>
      </c>
    </row>
    <row r="200" spans="1:16" x14ac:dyDescent="0.25">
      <c r="A200" s="7" t="str">
        <f t="shared" si="18"/>
        <v>2023 ALL D90</v>
      </c>
      <c r="B200" s="8">
        <f t="shared" si="19"/>
        <v>46099</v>
      </c>
      <c r="C200" s="8">
        <f t="shared" si="20"/>
        <v>46113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75233217</v>
      </c>
      <c r="K200" s="7" t="s">
        <v>473</v>
      </c>
      <c r="L200" s="7" t="s">
        <v>476</v>
      </c>
      <c r="M200" s="9">
        <v>139900</v>
      </c>
      <c r="N200" s="10">
        <f t="shared" si="21"/>
        <v>0.9</v>
      </c>
      <c r="O200" s="34">
        <f t="shared" si="22"/>
        <v>13989.999999999996</v>
      </c>
      <c r="P200" s="7" t="str">
        <f t="shared" si="23"/>
        <v>PERCENTAGE</v>
      </c>
    </row>
    <row r="201" spans="1:16" x14ac:dyDescent="0.25">
      <c r="A201" s="7" t="str">
        <f t="shared" si="18"/>
        <v>2023 ALL D90</v>
      </c>
      <c r="B201" s="8">
        <f t="shared" si="19"/>
        <v>46099</v>
      </c>
      <c r="C201" s="8">
        <f t="shared" si="20"/>
        <v>46113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75233226</v>
      </c>
      <c r="K201" s="7" t="s">
        <v>473</v>
      </c>
      <c r="L201" s="7" t="s">
        <v>477</v>
      </c>
      <c r="M201" s="9">
        <v>139900</v>
      </c>
      <c r="N201" s="10">
        <f t="shared" si="21"/>
        <v>0.9</v>
      </c>
      <c r="O201" s="34">
        <f t="shared" si="22"/>
        <v>13989.999999999996</v>
      </c>
      <c r="P201" s="7" t="str">
        <f t="shared" si="23"/>
        <v>PERCENTAGE</v>
      </c>
    </row>
    <row r="202" spans="1:16" x14ac:dyDescent="0.25">
      <c r="A202" s="7" t="str">
        <f t="shared" si="18"/>
        <v>2023 ALL D90</v>
      </c>
      <c r="B202" s="8">
        <f t="shared" si="19"/>
        <v>46099</v>
      </c>
      <c r="C202" s="8">
        <f t="shared" si="20"/>
        <v>46113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75961672</v>
      </c>
      <c r="K202" s="7" t="s">
        <v>478</v>
      </c>
      <c r="L202" s="7" t="s">
        <v>479</v>
      </c>
      <c r="M202" s="9">
        <v>139900</v>
      </c>
      <c r="N202" s="10">
        <f t="shared" si="21"/>
        <v>0.9</v>
      </c>
      <c r="O202" s="34">
        <f t="shared" si="22"/>
        <v>13989.999999999996</v>
      </c>
      <c r="P202" s="7" t="str">
        <f t="shared" si="23"/>
        <v>PERCENTAGE</v>
      </c>
    </row>
    <row r="203" spans="1:16" x14ac:dyDescent="0.25">
      <c r="A203" s="7" t="str">
        <f t="shared" si="18"/>
        <v>2023 ALL D90</v>
      </c>
      <c r="B203" s="8">
        <f t="shared" si="19"/>
        <v>46099</v>
      </c>
      <c r="C203" s="8">
        <f t="shared" si="20"/>
        <v>46113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75961681</v>
      </c>
      <c r="K203" s="7" t="s">
        <v>478</v>
      </c>
      <c r="L203" s="7" t="s">
        <v>480</v>
      </c>
      <c r="M203" s="9">
        <v>139900</v>
      </c>
      <c r="N203" s="10">
        <f t="shared" si="21"/>
        <v>0.9</v>
      </c>
      <c r="O203" s="34">
        <f t="shared" si="22"/>
        <v>13989.999999999996</v>
      </c>
      <c r="P203" s="7" t="str">
        <f t="shared" si="23"/>
        <v>PERCENTAGE</v>
      </c>
    </row>
    <row r="204" spans="1:16" x14ac:dyDescent="0.25">
      <c r="A204" s="7" t="str">
        <f t="shared" si="18"/>
        <v>2023 ALL D90</v>
      </c>
      <c r="B204" s="8">
        <f t="shared" si="19"/>
        <v>46099</v>
      </c>
      <c r="C204" s="8">
        <f t="shared" si="20"/>
        <v>46113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75961690</v>
      </c>
      <c r="K204" s="7" t="s">
        <v>478</v>
      </c>
      <c r="L204" s="7" t="s">
        <v>481</v>
      </c>
      <c r="M204" s="9">
        <v>139900</v>
      </c>
      <c r="N204" s="10">
        <f t="shared" si="21"/>
        <v>0.9</v>
      </c>
      <c r="O204" s="34">
        <f t="shared" si="22"/>
        <v>13989.999999999996</v>
      </c>
      <c r="P204" s="7" t="str">
        <f t="shared" si="23"/>
        <v>PERCENTAGE</v>
      </c>
    </row>
    <row r="205" spans="1:16" x14ac:dyDescent="0.25">
      <c r="A205" s="7" t="str">
        <f t="shared" si="18"/>
        <v>2023 ALL D90</v>
      </c>
      <c r="B205" s="8">
        <f t="shared" si="19"/>
        <v>46099</v>
      </c>
      <c r="C205" s="8">
        <f t="shared" si="20"/>
        <v>46113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75961707</v>
      </c>
      <c r="K205" s="7" t="s">
        <v>478</v>
      </c>
      <c r="L205" s="7" t="s">
        <v>482</v>
      </c>
      <c r="M205" s="9">
        <v>139900</v>
      </c>
      <c r="N205" s="10">
        <f t="shared" si="21"/>
        <v>0.9</v>
      </c>
      <c r="O205" s="34">
        <f t="shared" si="22"/>
        <v>13989.999999999996</v>
      </c>
      <c r="P205" s="7" t="str">
        <f t="shared" si="23"/>
        <v>PERCENTAGE</v>
      </c>
    </row>
    <row r="206" spans="1:16" x14ac:dyDescent="0.25">
      <c r="A206" s="7" t="str">
        <f t="shared" si="18"/>
        <v>2023 ALL D90</v>
      </c>
      <c r="B206" s="8">
        <f t="shared" si="19"/>
        <v>46099</v>
      </c>
      <c r="C206" s="8">
        <f t="shared" si="20"/>
        <v>46113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75961716</v>
      </c>
      <c r="K206" s="7" t="s">
        <v>478</v>
      </c>
      <c r="L206" s="7" t="s">
        <v>483</v>
      </c>
      <c r="M206" s="9">
        <v>139900</v>
      </c>
      <c r="N206" s="10">
        <f t="shared" si="21"/>
        <v>0.9</v>
      </c>
      <c r="O206" s="34">
        <f t="shared" si="22"/>
        <v>13989.999999999996</v>
      </c>
      <c r="P206" s="7" t="str">
        <f t="shared" si="23"/>
        <v>PERCENTAGE</v>
      </c>
    </row>
    <row r="207" spans="1:16" x14ac:dyDescent="0.25">
      <c r="A207" s="7" t="str">
        <f t="shared" si="18"/>
        <v>2023 ALL D90</v>
      </c>
      <c r="B207" s="8">
        <f t="shared" si="19"/>
        <v>46099</v>
      </c>
      <c r="C207" s="8">
        <f t="shared" si="20"/>
        <v>46113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76027484</v>
      </c>
      <c r="K207" s="7" t="s">
        <v>484</v>
      </c>
      <c r="L207" s="7" t="s">
        <v>485</v>
      </c>
      <c r="M207" s="9">
        <v>139900</v>
      </c>
      <c r="N207" s="10">
        <f t="shared" si="21"/>
        <v>0.9</v>
      </c>
      <c r="O207" s="34">
        <f t="shared" si="22"/>
        <v>13989.999999999996</v>
      </c>
      <c r="P207" s="7" t="str">
        <f t="shared" si="23"/>
        <v>PERCENTAGE</v>
      </c>
    </row>
    <row r="208" spans="1:16" x14ac:dyDescent="0.25">
      <c r="A208" s="7" t="str">
        <f t="shared" si="18"/>
        <v>2023 ALL D90</v>
      </c>
      <c r="B208" s="8">
        <f t="shared" si="19"/>
        <v>46099</v>
      </c>
      <c r="C208" s="8">
        <f t="shared" si="20"/>
        <v>46113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76027493</v>
      </c>
      <c r="K208" s="7" t="s">
        <v>484</v>
      </c>
      <c r="L208" s="7" t="s">
        <v>486</v>
      </c>
      <c r="M208" s="9">
        <v>139900</v>
      </c>
      <c r="N208" s="10">
        <f t="shared" si="21"/>
        <v>0.9</v>
      </c>
      <c r="O208" s="34">
        <f t="shared" si="22"/>
        <v>13989.999999999996</v>
      </c>
      <c r="P208" s="7" t="str">
        <f t="shared" si="23"/>
        <v>PERCENTAGE</v>
      </c>
    </row>
    <row r="209" spans="1:16" x14ac:dyDescent="0.25">
      <c r="A209" s="7" t="str">
        <f t="shared" si="18"/>
        <v>2023 ALL D90</v>
      </c>
      <c r="B209" s="8">
        <f t="shared" si="19"/>
        <v>46099</v>
      </c>
      <c r="C209" s="8">
        <f t="shared" si="20"/>
        <v>46113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76027500</v>
      </c>
      <c r="K209" s="7" t="s">
        <v>484</v>
      </c>
      <c r="L209" s="7" t="s">
        <v>487</v>
      </c>
      <c r="M209" s="9">
        <v>139900</v>
      </c>
      <c r="N209" s="10">
        <f t="shared" si="21"/>
        <v>0.9</v>
      </c>
      <c r="O209" s="34">
        <f t="shared" si="22"/>
        <v>13989.999999999996</v>
      </c>
      <c r="P209" s="7" t="str">
        <f t="shared" si="23"/>
        <v>PERCENTAGE</v>
      </c>
    </row>
    <row r="210" spans="1:16" x14ac:dyDescent="0.25">
      <c r="A210" s="7" t="str">
        <f t="shared" si="18"/>
        <v>2023 ALL D90</v>
      </c>
      <c r="B210" s="8">
        <f t="shared" si="19"/>
        <v>46099</v>
      </c>
      <c r="C210" s="8">
        <f t="shared" si="20"/>
        <v>46113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76027528</v>
      </c>
      <c r="K210" s="7" t="s">
        <v>484</v>
      </c>
      <c r="L210" s="7" t="s">
        <v>488</v>
      </c>
      <c r="M210" s="9">
        <v>139900</v>
      </c>
      <c r="N210" s="10">
        <f t="shared" si="21"/>
        <v>0.9</v>
      </c>
      <c r="O210" s="34">
        <f t="shared" si="22"/>
        <v>13989.999999999996</v>
      </c>
      <c r="P210" s="7" t="str">
        <f t="shared" si="23"/>
        <v>PERCENTAGE</v>
      </c>
    </row>
    <row r="211" spans="1:16" x14ac:dyDescent="0.25">
      <c r="A211" s="7" t="str">
        <f t="shared" si="18"/>
        <v>2023 ALL D90</v>
      </c>
      <c r="B211" s="8">
        <f t="shared" si="19"/>
        <v>46099</v>
      </c>
      <c r="C211" s="8">
        <f t="shared" si="20"/>
        <v>46113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76067646</v>
      </c>
      <c r="K211" s="7" t="s">
        <v>489</v>
      </c>
      <c r="L211" s="7" t="s">
        <v>490</v>
      </c>
      <c r="M211" s="9">
        <v>139900</v>
      </c>
      <c r="N211" s="10">
        <f t="shared" si="21"/>
        <v>0.9</v>
      </c>
      <c r="O211" s="34">
        <f t="shared" si="22"/>
        <v>13989.999999999996</v>
      </c>
      <c r="P211" s="7" t="str">
        <f t="shared" si="23"/>
        <v>PERCENTAGE</v>
      </c>
    </row>
    <row r="212" spans="1:16" x14ac:dyDescent="0.25">
      <c r="A212" s="7" t="str">
        <f t="shared" si="18"/>
        <v>2023 ALL D90</v>
      </c>
      <c r="B212" s="8">
        <f t="shared" si="19"/>
        <v>46099</v>
      </c>
      <c r="C212" s="8">
        <f t="shared" si="20"/>
        <v>46113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76067655</v>
      </c>
      <c r="K212" s="7" t="s">
        <v>489</v>
      </c>
      <c r="L212" s="7" t="s">
        <v>491</v>
      </c>
      <c r="M212" s="9">
        <v>139900</v>
      </c>
      <c r="N212" s="10">
        <f t="shared" si="21"/>
        <v>0.9</v>
      </c>
      <c r="O212" s="34">
        <f t="shared" si="22"/>
        <v>13989.999999999996</v>
      </c>
      <c r="P212" s="7" t="str">
        <f t="shared" si="23"/>
        <v>PERCENTAGE</v>
      </c>
    </row>
    <row r="213" spans="1:16" x14ac:dyDescent="0.25">
      <c r="A213" s="7" t="str">
        <f t="shared" si="18"/>
        <v>2023 ALL D90</v>
      </c>
      <c r="B213" s="8">
        <f t="shared" si="19"/>
        <v>46099</v>
      </c>
      <c r="C213" s="8">
        <f t="shared" si="20"/>
        <v>46113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76907505</v>
      </c>
      <c r="K213" s="7" t="s">
        <v>492</v>
      </c>
      <c r="L213" s="7" t="s">
        <v>493</v>
      </c>
      <c r="M213" s="9">
        <v>139900</v>
      </c>
      <c r="N213" s="10">
        <f t="shared" si="21"/>
        <v>0.9</v>
      </c>
      <c r="O213" s="34">
        <f t="shared" si="22"/>
        <v>13989.999999999996</v>
      </c>
      <c r="P213" s="7" t="str">
        <f t="shared" si="23"/>
        <v>PERCENTAGE</v>
      </c>
    </row>
    <row r="214" spans="1:16" x14ac:dyDescent="0.25">
      <c r="A214" s="7" t="str">
        <f t="shared" si="18"/>
        <v>2023 ALL D90</v>
      </c>
      <c r="B214" s="8">
        <f t="shared" si="19"/>
        <v>46099</v>
      </c>
      <c r="C214" s="8">
        <f t="shared" si="20"/>
        <v>46113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76907514</v>
      </c>
      <c r="K214" s="7" t="s">
        <v>492</v>
      </c>
      <c r="L214" s="7" t="s">
        <v>494</v>
      </c>
      <c r="M214" s="9">
        <v>139900</v>
      </c>
      <c r="N214" s="10">
        <f t="shared" si="21"/>
        <v>0.9</v>
      </c>
      <c r="O214" s="34">
        <f t="shared" si="22"/>
        <v>13989.999999999996</v>
      </c>
      <c r="P214" s="7" t="str">
        <f t="shared" si="23"/>
        <v>PERCENTAGE</v>
      </c>
    </row>
    <row r="215" spans="1:16" x14ac:dyDescent="0.25">
      <c r="A215" s="7" t="str">
        <f t="shared" si="18"/>
        <v>2023 ALL D90</v>
      </c>
      <c r="B215" s="8">
        <f t="shared" si="19"/>
        <v>46099</v>
      </c>
      <c r="C215" s="8">
        <f t="shared" si="20"/>
        <v>46113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76907523</v>
      </c>
      <c r="K215" s="7" t="s">
        <v>492</v>
      </c>
      <c r="L215" s="7" t="s">
        <v>495</v>
      </c>
      <c r="M215" s="9">
        <v>139900</v>
      </c>
      <c r="N215" s="10">
        <f t="shared" si="21"/>
        <v>0.9</v>
      </c>
      <c r="O215" s="34">
        <f t="shared" si="22"/>
        <v>13989.999999999996</v>
      </c>
      <c r="P215" s="7" t="str">
        <f t="shared" si="23"/>
        <v>PERCENTAGE</v>
      </c>
    </row>
    <row r="216" spans="1:16" x14ac:dyDescent="0.25">
      <c r="A216" s="7" t="str">
        <f t="shared" si="18"/>
        <v>2023 ALL D90</v>
      </c>
      <c r="B216" s="8">
        <f t="shared" si="19"/>
        <v>46099</v>
      </c>
      <c r="C216" s="8">
        <f t="shared" si="20"/>
        <v>46113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76907532</v>
      </c>
      <c r="K216" s="7" t="s">
        <v>492</v>
      </c>
      <c r="L216" s="7" t="s">
        <v>496</v>
      </c>
      <c r="M216" s="9">
        <v>139900</v>
      </c>
      <c r="N216" s="10">
        <f t="shared" si="21"/>
        <v>0.9</v>
      </c>
      <c r="O216" s="34">
        <f t="shared" si="22"/>
        <v>13989.999999999996</v>
      </c>
      <c r="P216" s="7" t="str">
        <f t="shared" si="23"/>
        <v>PERCENTAGE</v>
      </c>
    </row>
    <row r="217" spans="1:16" x14ac:dyDescent="0.25">
      <c r="A217" s="7" t="str">
        <f t="shared" si="18"/>
        <v>2023 ALL D90</v>
      </c>
      <c r="B217" s="8">
        <f t="shared" si="19"/>
        <v>46099</v>
      </c>
      <c r="C217" s="8">
        <f t="shared" si="20"/>
        <v>46113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76907541</v>
      </c>
      <c r="K217" s="7" t="s">
        <v>492</v>
      </c>
      <c r="L217" s="7" t="s">
        <v>497</v>
      </c>
      <c r="M217" s="9">
        <v>139900</v>
      </c>
      <c r="N217" s="10">
        <f t="shared" si="21"/>
        <v>0.9</v>
      </c>
      <c r="O217" s="34">
        <f t="shared" si="22"/>
        <v>13989.999999999996</v>
      </c>
      <c r="P217" s="7" t="str">
        <f t="shared" si="23"/>
        <v>PERCENTAGE</v>
      </c>
    </row>
    <row r="218" spans="1:16" x14ac:dyDescent="0.25">
      <c r="A218" s="7" t="str">
        <f t="shared" si="18"/>
        <v>2023 ALL D90</v>
      </c>
      <c r="B218" s="8">
        <f t="shared" si="19"/>
        <v>46099</v>
      </c>
      <c r="C218" s="8">
        <f t="shared" si="20"/>
        <v>46113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76907550</v>
      </c>
      <c r="K218" s="7" t="s">
        <v>498</v>
      </c>
      <c r="L218" s="7" t="s">
        <v>499</v>
      </c>
      <c r="M218" s="9">
        <v>139900</v>
      </c>
      <c r="N218" s="10">
        <f t="shared" si="21"/>
        <v>0.9</v>
      </c>
      <c r="O218" s="34">
        <f t="shared" si="22"/>
        <v>13989.999999999996</v>
      </c>
      <c r="P218" s="7" t="str">
        <f t="shared" si="23"/>
        <v>PERCENTAGE</v>
      </c>
    </row>
    <row r="219" spans="1:16" x14ac:dyDescent="0.25">
      <c r="A219" s="7" t="str">
        <f t="shared" si="18"/>
        <v>2023 ALL D90</v>
      </c>
      <c r="B219" s="8">
        <f t="shared" si="19"/>
        <v>46099</v>
      </c>
      <c r="C219" s="8">
        <f t="shared" si="20"/>
        <v>46113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76907569</v>
      </c>
      <c r="K219" s="7" t="s">
        <v>498</v>
      </c>
      <c r="L219" s="7" t="s">
        <v>500</v>
      </c>
      <c r="M219" s="9">
        <v>139900</v>
      </c>
      <c r="N219" s="10">
        <f t="shared" si="21"/>
        <v>0.9</v>
      </c>
      <c r="O219" s="34">
        <f t="shared" si="22"/>
        <v>13989.999999999996</v>
      </c>
      <c r="P219" s="7" t="str">
        <f t="shared" si="23"/>
        <v>PERCENTAGE</v>
      </c>
    </row>
    <row r="220" spans="1:16" x14ac:dyDescent="0.25">
      <c r="A220" s="7" t="str">
        <f t="shared" si="18"/>
        <v>2023 ALL D90</v>
      </c>
      <c r="B220" s="8">
        <f t="shared" si="19"/>
        <v>46099</v>
      </c>
      <c r="C220" s="8">
        <f t="shared" si="20"/>
        <v>46113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76907578</v>
      </c>
      <c r="K220" s="7" t="s">
        <v>498</v>
      </c>
      <c r="L220" s="7" t="s">
        <v>501</v>
      </c>
      <c r="M220" s="9">
        <v>139900</v>
      </c>
      <c r="N220" s="10">
        <f t="shared" si="21"/>
        <v>0.9</v>
      </c>
      <c r="O220" s="34">
        <f t="shared" si="22"/>
        <v>13989.999999999996</v>
      </c>
      <c r="P220" s="7" t="str">
        <f t="shared" si="23"/>
        <v>PERCENTAGE</v>
      </c>
    </row>
    <row r="221" spans="1:16" x14ac:dyDescent="0.25">
      <c r="A221" s="7" t="str">
        <f t="shared" si="18"/>
        <v>2023 ALL D90</v>
      </c>
      <c r="B221" s="8">
        <f t="shared" si="19"/>
        <v>46099</v>
      </c>
      <c r="C221" s="8">
        <f t="shared" si="20"/>
        <v>46113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76907587</v>
      </c>
      <c r="K221" s="7" t="s">
        <v>498</v>
      </c>
      <c r="L221" s="7" t="s">
        <v>502</v>
      </c>
      <c r="M221" s="9">
        <v>139900</v>
      </c>
      <c r="N221" s="10">
        <f t="shared" si="21"/>
        <v>0.9</v>
      </c>
      <c r="O221" s="34">
        <f t="shared" si="22"/>
        <v>13989.999999999996</v>
      </c>
      <c r="P221" s="7" t="str">
        <f t="shared" si="23"/>
        <v>PERCENTAGE</v>
      </c>
    </row>
    <row r="222" spans="1:16" x14ac:dyDescent="0.25">
      <c r="A222" s="7" t="str">
        <f t="shared" si="18"/>
        <v>2023 ALL D90</v>
      </c>
      <c r="B222" s="8">
        <f t="shared" si="19"/>
        <v>46099</v>
      </c>
      <c r="C222" s="8">
        <f t="shared" si="20"/>
        <v>46113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76907596</v>
      </c>
      <c r="K222" s="7" t="s">
        <v>498</v>
      </c>
      <c r="L222" s="7" t="s">
        <v>503</v>
      </c>
      <c r="M222" s="9">
        <v>139900</v>
      </c>
      <c r="N222" s="10">
        <f t="shared" si="21"/>
        <v>0.9</v>
      </c>
      <c r="O222" s="34">
        <f t="shared" si="22"/>
        <v>13989.999999999996</v>
      </c>
      <c r="P222" s="7" t="str">
        <f t="shared" si="23"/>
        <v>PERCENTAGE</v>
      </c>
    </row>
    <row r="223" spans="1:16" x14ac:dyDescent="0.25">
      <c r="A223" s="7" t="str">
        <f t="shared" si="18"/>
        <v>2023 ALL D90</v>
      </c>
      <c r="B223" s="8">
        <f t="shared" si="19"/>
        <v>46099</v>
      </c>
      <c r="C223" s="8">
        <f t="shared" si="20"/>
        <v>46113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76907603</v>
      </c>
      <c r="K223" s="7" t="s">
        <v>504</v>
      </c>
      <c r="L223" s="7" t="s">
        <v>505</v>
      </c>
      <c r="M223" s="9">
        <v>139900</v>
      </c>
      <c r="N223" s="10">
        <f t="shared" si="21"/>
        <v>0.9</v>
      </c>
      <c r="O223" s="34">
        <f t="shared" si="22"/>
        <v>13989.999999999996</v>
      </c>
      <c r="P223" s="7" t="str">
        <f t="shared" si="23"/>
        <v>PERCENTAGE</v>
      </c>
    </row>
    <row r="224" spans="1:16" x14ac:dyDescent="0.25">
      <c r="A224" s="7" t="str">
        <f t="shared" si="18"/>
        <v>2023 ALL D90</v>
      </c>
      <c r="B224" s="8">
        <f t="shared" si="19"/>
        <v>46099</v>
      </c>
      <c r="C224" s="8">
        <f t="shared" si="20"/>
        <v>46113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76907612</v>
      </c>
      <c r="K224" s="7" t="s">
        <v>504</v>
      </c>
      <c r="L224" s="7" t="s">
        <v>506</v>
      </c>
      <c r="M224" s="9">
        <v>139900</v>
      </c>
      <c r="N224" s="10">
        <f t="shared" si="21"/>
        <v>0.9</v>
      </c>
      <c r="O224" s="34">
        <f t="shared" si="22"/>
        <v>13989.999999999996</v>
      </c>
      <c r="P224" s="7" t="str">
        <f t="shared" si="23"/>
        <v>PERCENTAGE</v>
      </c>
    </row>
    <row r="225" spans="1:16" x14ac:dyDescent="0.25">
      <c r="A225" s="7" t="str">
        <f t="shared" si="18"/>
        <v>2023 ALL D90</v>
      </c>
      <c r="B225" s="8">
        <f t="shared" si="19"/>
        <v>46099</v>
      </c>
      <c r="C225" s="8">
        <f t="shared" si="20"/>
        <v>46113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76907621</v>
      </c>
      <c r="K225" s="7" t="s">
        <v>504</v>
      </c>
      <c r="L225" s="7" t="s">
        <v>507</v>
      </c>
      <c r="M225" s="9">
        <v>139900</v>
      </c>
      <c r="N225" s="10">
        <f t="shared" si="21"/>
        <v>0.9</v>
      </c>
      <c r="O225" s="34">
        <f t="shared" si="22"/>
        <v>13989.999999999996</v>
      </c>
      <c r="P225" s="7" t="str">
        <f t="shared" si="23"/>
        <v>PERCENTAGE</v>
      </c>
    </row>
    <row r="226" spans="1:16" x14ac:dyDescent="0.25">
      <c r="A226" s="7" t="str">
        <f t="shared" si="18"/>
        <v>2023 ALL D90</v>
      </c>
      <c r="B226" s="8">
        <f t="shared" si="19"/>
        <v>46099</v>
      </c>
      <c r="C226" s="8">
        <f t="shared" si="20"/>
        <v>46113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76907630</v>
      </c>
      <c r="K226" s="7" t="s">
        <v>504</v>
      </c>
      <c r="L226" s="7" t="s">
        <v>508</v>
      </c>
      <c r="M226" s="9">
        <v>139900</v>
      </c>
      <c r="N226" s="10">
        <f t="shared" si="21"/>
        <v>0.9</v>
      </c>
      <c r="O226" s="34">
        <f t="shared" si="22"/>
        <v>13989.999999999996</v>
      </c>
      <c r="P226" s="7" t="str">
        <f t="shared" si="23"/>
        <v>PERCENTAGE</v>
      </c>
    </row>
    <row r="227" spans="1:16" x14ac:dyDescent="0.25">
      <c r="A227" s="7" t="str">
        <f t="shared" si="18"/>
        <v>2023 ALL D90</v>
      </c>
      <c r="B227" s="8">
        <f t="shared" si="19"/>
        <v>46099</v>
      </c>
      <c r="C227" s="8">
        <f t="shared" si="20"/>
        <v>46113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76907649</v>
      </c>
      <c r="K227" s="7" t="s">
        <v>504</v>
      </c>
      <c r="L227" s="7" t="s">
        <v>509</v>
      </c>
      <c r="M227" s="9">
        <v>139900</v>
      </c>
      <c r="N227" s="10">
        <f t="shared" si="21"/>
        <v>0.9</v>
      </c>
      <c r="O227" s="34">
        <f t="shared" si="22"/>
        <v>13989.999999999996</v>
      </c>
      <c r="P227" s="7" t="str">
        <f t="shared" si="23"/>
        <v>PERCENTAGE</v>
      </c>
    </row>
    <row r="228" spans="1:16" x14ac:dyDescent="0.25">
      <c r="A228" s="7" t="str">
        <f t="shared" si="18"/>
        <v>2023 ALL D90</v>
      </c>
      <c r="B228" s="8">
        <f t="shared" si="19"/>
        <v>46099</v>
      </c>
      <c r="C228" s="8">
        <f t="shared" si="20"/>
        <v>46113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76907658</v>
      </c>
      <c r="K228" s="7" t="s">
        <v>510</v>
      </c>
      <c r="L228" s="7" t="s">
        <v>511</v>
      </c>
      <c r="M228" s="9">
        <v>139900</v>
      </c>
      <c r="N228" s="10">
        <f t="shared" si="21"/>
        <v>0.9</v>
      </c>
      <c r="O228" s="34">
        <f t="shared" si="22"/>
        <v>13989.999999999996</v>
      </c>
      <c r="P228" s="7" t="str">
        <f t="shared" si="23"/>
        <v>PERCENTAGE</v>
      </c>
    </row>
    <row r="229" spans="1:16" x14ac:dyDescent="0.25">
      <c r="A229" s="7" t="str">
        <f t="shared" si="18"/>
        <v>2023 ALL D90</v>
      </c>
      <c r="B229" s="8">
        <f t="shared" si="19"/>
        <v>46099</v>
      </c>
      <c r="C229" s="8">
        <f t="shared" si="20"/>
        <v>46113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76907667</v>
      </c>
      <c r="K229" s="7" t="s">
        <v>510</v>
      </c>
      <c r="L229" s="7" t="s">
        <v>512</v>
      </c>
      <c r="M229" s="9">
        <v>139900</v>
      </c>
      <c r="N229" s="10">
        <f t="shared" si="21"/>
        <v>0.9</v>
      </c>
      <c r="O229" s="34">
        <f t="shared" si="22"/>
        <v>13989.999999999996</v>
      </c>
      <c r="P229" s="7" t="str">
        <f t="shared" si="23"/>
        <v>PERCENTAGE</v>
      </c>
    </row>
    <row r="230" spans="1:16" x14ac:dyDescent="0.25">
      <c r="A230" s="7" t="str">
        <f t="shared" si="18"/>
        <v>2023 ALL D90</v>
      </c>
      <c r="B230" s="8">
        <f t="shared" si="19"/>
        <v>46099</v>
      </c>
      <c r="C230" s="8">
        <f t="shared" si="20"/>
        <v>46113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76907676</v>
      </c>
      <c r="K230" s="7" t="s">
        <v>510</v>
      </c>
      <c r="L230" s="7" t="s">
        <v>513</v>
      </c>
      <c r="M230" s="9">
        <v>139900</v>
      </c>
      <c r="N230" s="10">
        <f t="shared" si="21"/>
        <v>0.9</v>
      </c>
      <c r="O230" s="34">
        <f t="shared" si="22"/>
        <v>13989.999999999996</v>
      </c>
      <c r="P230" s="7" t="str">
        <f t="shared" si="23"/>
        <v>PERCENTAGE</v>
      </c>
    </row>
    <row r="231" spans="1:16" x14ac:dyDescent="0.25">
      <c r="A231" s="7" t="str">
        <f t="shared" si="18"/>
        <v>2023 ALL D90</v>
      </c>
      <c r="B231" s="8">
        <f t="shared" si="19"/>
        <v>46099</v>
      </c>
      <c r="C231" s="8">
        <f t="shared" si="20"/>
        <v>46113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76907685</v>
      </c>
      <c r="K231" s="7" t="s">
        <v>510</v>
      </c>
      <c r="L231" s="7" t="s">
        <v>514</v>
      </c>
      <c r="M231" s="9">
        <v>139900</v>
      </c>
      <c r="N231" s="10">
        <f t="shared" si="21"/>
        <v>0.9</v>
      </c>
      <c r="O231" s="34">
        <f t="shared" si="22"/>
        <v>13989.999999999996</v>
      </c>
      <c r="P231" s="7" t="str">
        <f t="shared" si="23"/>
        <v>PERCENTAGE</v>
      </c>
    </row>
    <row r="232" spans="1:16" x14ac:dyDescent="0.25">
      <c r="A232" s="7" t="str">
        <f t="shared" si="18"/>
        <v>2023 ALL D90</v>
      </c>
      <c r="B232" s="8">
        <f t="shared" si="19"/>
        <v>46099</v>
      </c>
      <c r="C232" s="8">
        <f t="shared" si="20"/>
        <v>46113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76907694</v>
      </c>
      <c r="K232" s="7" t="s">
        <v>510</v>
      </c>
      <c r="L232" s="7" t="s">
        <v>515</v>
      </c>
      <c r="M232" s="9">
        <v>139900</v>
      </c>
      <c r="N232" s="10">
        <f t="shared" si="21"/>
        <v>0.9</v>
      </c>
      <c r="O232" s="34">
        <f t="shared" si="22"/>
        <v>13989.999999999996</v>
      </c>
      <c r="P232" s="7" t="str">
        <f t="shared" si="23"/>
        <v>PERCENTAGE</v>
      </c>
    </row>
    <row r="233" spans="1:16" x14ac:dyDescent="0.25">
      <c r="A233" s="7" t="str">
        <f t="shared" si="18"/>
        <v>2023 ALL D90</v>
      </c>
      <c r="B233" s="8">
        <f t="shared" si="19"/>
        <v>46099</v>
      </c>
      <c r="C233" s="8">
        <f t="shared" si="20"/>
        <v>46113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78460592</v>
      </c>
      <c r="K233" s="7" t="s">
        <v>516</v>
      </c>
      <c r="L233" s="7" t="s">
        <v>517</v>
      </c>
      <c r="M233" s="9">
        <v>139900</v>
      </c>
      <c r="N233" s="10">
        <f t="shared" si="21"/>
        <v>0.9</v>
      </c>
      <c r="O233" s="34">
        <f t="shared" si="22"/>
        <v>13989.999999999996</v>
      </c>
      <c r="P233" s="7" t="str">
        <f t="shared" si="23"/>
        <v>PERCENTAGE</v>
      </c>
    </row>
    <row r="234" spans="1:16" x14ac:dyDescent="0.25">
      <c r="A234" s="7" t="str">
        <f t="shared" si="18"/>
        <v>2023 ALL D90</v>
      </c>
      <c r="B234" s="8">
        <f t="shared" si="19"/>
        <v>46099</v>
      </c>
      <c r="C234" s="8">
        <f t="shared" si="20"/>
        <v>46113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78460609</v>
      </c>
      <c r="K234" s="7" t="s">
        <v>516</v>
      </c>
      <c r="L234" s="7" t="s">
        <v>518</v>
      </c>
      <c r="M234" s="9">
        <v>139900</v>
      </c>
      <c r="N234" s="10">
        <f t="shared" si="21"/>
        <v>0.9</v>
      </c>
      <c r="O234" s="34">
        <f t="shared" si="22"/>
        <v>13989.999999999996</v>
      </c>
      <c r="P234" s="7" t="str">
        <f t="shared" si="23"/>
        <v>PERCENTAGE</v>
      </c>
    </row>
    <row r="235" spans="1:16" x14ac:dyDescent="0.25">
      <c r="A235" s="7" t="str">
        <f t="shared" si="18"/>
        <v>2023 ALL D90</v>
      </c>
      <c r="B235" s="8">
        <f t="shared" si="19"/>
        <v>46099</v>
      </c>
      <c r="C235" s="8">
        <f t="shared" si="20"/>
        <v>46113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78460618</v>
      </c>
      <c r="K235" s="7" t="s">
        <v>516</v>
      </c>
      <c r="L235" s="7" t="s">
        <v>519</v>
      </c>
      <c r="M235" s="9">
        <v>139900</v>
      </c>
      <c r="N235" s="10">
        <f t="shared" si="21"/>
        <v>0.9</v>
      </c>
      <c r="O235" s="34">
        <f t="shared" si="22"/>
        <v>13989.999999999996</v>
      </c>
      <c r="P235" s="7" t="str">
        <f t="shared" si="23"/>
        <v>PERCENTAGE</v>
      </c>
    </row>
    <row r="236" spans="1:16" x14ac:dyDescent="0.25">
      <c r="A236" s="7" t="str">
        <f t="shared" si="18"/>
        <v>2023 ALL D90</v>
      </c>
      <c r="B236" s="8">
        <f t="shared" si="19"/>
        <v>46099</v>
      </c>
      <c r="C236" s="8">
        <f t="shared" si="20"/>
        <v>46113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79299499</v>
      </c>
      <c r="K236" s="7" t="s">
        <v>520</v>
      </c>
      <c r="L236" s="7" t="s">
        <v>521</v>
      </c>
      <c r="M236" s="9">
        <v>149900</v>
      </c>
      <c r="N236" s="10">
        <f t="shared" si="21"/>
        <v>0.9</v>
      </c>
      <c r="O236" s="34">
        <f t="shared" si="22"/>
        <v>14989.999999999996</v>
      </c>
      <c r="P236" s="7" t="str">
        <f t="shared" si="23"/>
        <v>PERCENTAGE</v>
      </c>
    </row>
    <row r="237" spans="1:16" x14ac:dyDescent="0.25">
      <c r="A237" s="7" t="str">
        <f t="shared" si="18"/>
        <v>2023 ALL D90</v>
      </c>
      <c r="B237" s="8">
        <f t="shared" si="19"/>
        <v>46099</v>
      </c>
      <c r="C237" s="8">
        <f t="shared" si="20"/>
        <v>46113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79299506</v>
      </c>
      <c r="K237" s="7" t="s">
        <v>520</v>
      </c>
      <c r="L237" s="7" t="s">
        <v>522</v>
      </c>
      <c r="M237" s="9">
        <v>149900</v>
      </c>
      <c r="N237" s="10">
        <f t="shared" si="21"/>
        <v>0.9</v>
      </c>
      <c r="O237" s="34">
        <f t="shared" si="22"/>
        <v>14989.999999999996</v>
      </c>
      <c r="P237" s="7" t="str">
        <f t="shared" si="23"/>
        <v>PERCENTAGE</v>
      </c>
    </row>
    <row r="238" spans="1:16" x14ac:dyDescent="0.25">
      <c r="A238" s="7" t="str">
        <f t="shared" si="18"/>
        <v>2023 ALL D90</v>
      </c>
      <c r="B238" s="8">
        <f t="shared" si="19"/>
        <v>46099</v>
      </c>
      <c r="C238" s="8">
        <f t="shared" si="20"/>
        <v>46113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79299515</v>
      </c>
      <c r="K238" s="7" t="s">
        <v>520</v>
      </c>
      <c r="L238" s="7" t="s">
        <v>523</v>
      </c>
      <c r="M238" s="9">
        <v>149900</v>
      </c>
      <c r="N238" s="10">
        <f t="shared" si="21"/>
        <v>0.9</v>
      </c>
      <c r="O238" s="34">
        <f t="shared" si="22"/>
        <v>14989.999999999996</v>
      </c>
      <c r="P238" s="7" t="str">
        <f t="shared" si="23"/>
        <v>PERCENTAGE</v>
      </c>
    </row>
    <row r="239" spans="1:16" x14ac:dyDescent="0.25">
      <c r="A239" s="7" t="str">
        <f t="shared" si="18"/>
        <v>2023 ALL D90</v>
      </c>
      <c r="B239" s="8">
        <f t="shared" si="19"/>
        <v>46099</v>
      </c>
      <c r="C239" s="8">
        <f t="shared" si="20"/>
        <v>46113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79299524</v>
      </c>
      <c r="K239" s="7" t="s">
        <v>520</v>
      </c>
      <c r="L239" s="7" t="s">
        <v>524</v>
      </c>
      <c r="M239" s="9">
        <v>149900</v>
      </c>
      <c r="N239" s="10">
        <f t="shared" si="21"/>
        <v>0.9</v>
      </c>
      <c r="O239" s="34">
        <f t="shared" si="22"/>
        <v>14989.999999999996</v>
      </c>
      <c r="P239" s="7" t="str">
        <f t="shared" si="23"/>
        <v>PERCENTAGE</v>
      </c>
    </row>
    <row r="240" spans="1:16" x14ac:dyDescent="0.25">
      <c r="A240" s="7" t="str">
        <f t="shared" si="18"/>
        <v>2023 ALL D90</v>
      </c>
      <c r="B240" s="8">
        <f t="shared" si="19"/>
        <v>46099</v>
      </c>
      <c r="C240" s="8">
        <f t="shared" si="20"/>
        <v>46113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79299533</v>
      </c>
      <c r="K240" s="7" t="s">
        <v>520</v>
      </c>
      <c r="L240" s="7" t="s">
        <v>525</v>
      </c>
      <c r="M240" s="9">
        <v>149900</v>
      </c>
      <c r="N240" s="10">
        <f t="shared" si="21"/>
        <v>0.9</v>
      </c>
      <c r="O240" s="34">
        <f t="shared" si="22"/>
        <v>14989.999999999996</v>
      </c>
      <c r="P240" s="7" t="str">
        <f t="shared" si="23"/>
        <v>PERCENTAGE</v>
      </c>
    </row>
    <row r="241" spans="1:16" x14ac:dyDescent="0.25">
      <c r="A241" s="7" t="str">
        <f t="shared" si="18"/>
        <v>2023 ALL D90</v>
      </c>
      <c r="B241" s="8">
        <f t="shared" si="19"/>
        <v>46099</v>
      </c>
      <c r="C241" s="8">
        <f t="shared" si="20"/>
        <v>46113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79845451</v>
      </c>
      <c r="K241" s="7" t="s">
        <v>526</v>
      </c>
      <c r="L241" s="7" t="s">
        <v>527</v>
      </c>
      <c r="M241" s="9">
        <v>139900</v>
      </c>
      <c r="N241" s="10">
        <f t="shared" si="21"/>
        <v>0.9</v>
      </c>
      <c r="O241" s="34">
        <f t="shared" si="22"/>
        <v>13989.999999999996</v>
      </c>
      <c r="P241" s="7" t="str">
        <f t="shared" si="23"/>
        <v>PERCENTAGE</v>
      </c>
    </row>
    <row r="242" spans="1:16" x14ac:dyDescent="0.25">
      <c r="A242" s="7" t="str">
        <f t="shared" si="18"/>
        <v>2023 ALL D90</v>
      </c>
      <c r="B242" s="8">
        <f t="shared" si="19"/>
        <v>46099</v>
      </c>
      <c r="C242" s="8">
        <f t="shared" si="20"/>
        <v>46113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79845460</v>
      </c>
      <c r="K242" s="7" t="s">
        <v>526</v>
      </c>
      <c r="L242" s="7" t="s">
        <v>528</v>
      </c>
      <c r="M242" s="9">
        <v>139900</v>
      </c>
      <c r="N242" s="10">
        <f t="shared" si="21"/>
        <v>0.9</v>
      </c>
      <c r="O242" s="34">
        <f t="shared" si="22"/>
        <v>13989.999999999996</v>
      </c>
      <c r="P242" s="7" t="str">
        <f t="shared" si="23"/>
        <v>PERCENTAGE</v>
      </c>
    </row>
    <row r="243" spans="1:16" x14ac:dyDescent="0.25">
      <c r="A243" s="7" t="str">
        <f t="shared" si="18"/>
        <v>2023 ALL D90</v>
      </c>
      <c r="B243" s="8">
        <f t="shared" si="19"/>
        <v>46099</v>
      </c>
      <c r="C243" s="8">
        <f t="shared" si="20"/>
        <v>46113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79845479</v>
      </c>
      <c r="K243" s="7" t="s">
        <v>526</v>
      </c>
      <c r="L243" s="7" t="s">
        <v>529</v>
      </c>
      <c r="M243" s="9">
        <v>139900</v>
      </c>
      <c r="N243" s="10">
        <f t="shared" si="21"/>
        <v>0.9</v>
      </c>
      <c r="O243" s="34">
        <f t="shared" si="22"/>
        <v>13989.999999999996</v>
      </c>
      <c r="P243" s="7" t="str">
        <f t="shared" si="23"/>
        <v>PERCENTAGE</v>
      </c>
    </row>
    <row r="244" spans="1:16" x14ac:dyDescent="0.25">
      <c r="A244" s="7" t="str">
        <f t="shared" si="18"/>
        <v>2023 ALL D90</v>
      </c>
      <c r="B244" s="8">
        <f t="shared" si="19"/>
        <v>46099</v>
      </c>
      <c r="C244" s="8">
        <f t="shared" si="20"/>
        <v>46113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79845488</v>
      </c>
      <c r="K244" s="7" t="s">
        <v>526</v>
      </c>
      <c r="L244" s="7" t="s">
        <v>530</v>
      </c>
      <c r="M244" s="9">
        <v>139900</v>
      </c>
      <c r="N244" s="10">
        <f t="shared" si="21"/>
        <v>0.9</v>
      </c>
      <c r="O244" s="34">
        <f t="shared" si="22"/>
        <v>13989.999999999996</v>
      </c>
      <c r="P244" s="7" t="str">
        <f t="shared" si="23"/>
        <v>PERCENTAGE</v>
      </c>
    </row>
    <row r="245" spans="1:16" x14ac:dyDescent="0.25">
      <c r="A245" s="7" t="str">
        <f t="shared" si="18"/>
        <v>2023 ALL D90</v>
      </c>
      <c r="B245" s="8">
        <f t="shared" si="19"/>
        <v>46099</v>
      </c>
      <c r="C245" s="8">
        <f t="shared" si="20"/>
        <v>46113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79845497</v>
      </c>
      <c r="K245" s="7" t="s">
        <v>526</v>
      </c>
      <c r="L245" s="7" t="s">
        <v>531</v>
      </c>
      <c r="M245" s="9">
        <v>139900</v>
      </c>
      <c r="N245" s="10">
        <f t="shared" si="21"/>
        <v>0.9</v>
      </c>
      <c r="O245" s="34">
        <f t="shared" si="22"/>
        <v>13989.999999999996</v>
      </c>
      <c r="P245" s="7" t="str">
        <f t="shared" si="23"/>
        <v>PERCENTAGE</v>
      </c>
    </row>
    <row r="246" spans="1:16" x14ac:dyDescent="0.25">
      <c r="A246" s="7" t="str">
        <f t="shared" si="18"/>
        <v>2023 ALL D90</v>
      </c>
      <c r="B246" s="8">
        <f t="shared" si="19"/>
        <v>46099</v>
      </c>
      <c r="C246" s="8">
        <f t="shared" si="20"/>
        <v>46113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79845513</v>
      </c>
      <c r="K246" s="7" t="s">
        <v>532</v>
      </c>
      <c r="L246" s="7" t="s">
        <v>533</v>
      </c>
      <c r="M246" s="9">
        <v>159900</v>
      </c>
      <c r="N246" s="10">
        <f t="shared" si="21"/>
        <v>0.9</v>
      </c>
      <c r="O246" s="34">
        <f t="shared" si="22"/>
        <v>15989.999999999996</v>
      </c>
      <c r="P246" s="7" t="str">
        <f t="shared" si="23"/>
        <v>PERCENTAGE</v>
      </c>
    </row>
    <row r="247" spans="1:16" x14ac:dyDescent="0.25">
      <c r="A247" s="7" t="str">
        <f t="shared" si="18"/>
        <v>2023 ALL D90</v>
      </c>
      <c r="B247" s="8">
        <f t="shared" si="19"/>
        <v>46099</v>
      </c>
      <c r="C247" s="8">
        <f t="shared" si="20"/>
        <v>46113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79845522</v>
      </c>
      <c r="K247" s="7" t="s">
        <v>532</v>
      </c>
      <c r="L247" s="7" t="s">
        <v>534</v>
      </c>
      <c r="M247" s="9">
        <v>159900</v>
      </c>
      <c r="N247" s="10">
        <f t="shared" si="21"/>
        <v>0.9</v>
      </c>
      <c r="O247" s="34">
        <f t="shared" si="22"/>
        <v>15989.999999999996</v>
      </c>
      <c r="P247" s="7" t="str">
        <f t="shared" si="23"/>
        <v>PERCENTAGE</v>
      </c>
    </row>
    <row r="248" spans="1:16" x14ac:dyDescent="0.25">
      <c r="A248" s="7" t="str">
        <f t="shared" si="18"/>
        <v>2023 ALL D90</v>
      </c>
      <c r="B248" s="8">
        <f t="shared" si="19"/>
        <v>46099</v>
      </c>
      <c r="C248" s="8">
        <f t="shared" si="20"/>
        <v>46113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79845531</v>
      </c>
      <c r="K248" s="7" t="s">
        <v>532</v>
      </c>
      <c r="L248" s="7" t="s">
        <v>535</v>
      </c>
      <c r="M248" s="9">
        <v>159900</v>
      </c>
      <c r="N248" s="10">
        <f t="shared" si="21"/>
        <v>0.9</v>
      </c>
      <c r="O248" s="34">
        <f t="shared" si="22"/>
        <v>15989.999999999996</v>
      </c>
      <c r="P248" s="7" t="str">
        <f t="shared" si="23"/>
        <v>PERCENTAGE</v>
      </c>
    </row>
    <row r="249" spans="1:16" x14ac:dyDescent="0.25">
      <c r="A249" s="7" t="str">
        <f t="shared" si="18"/>
        <v>2023 ALL D90</v>
      </c>
      <c r="B249" s="8">
        <f t="shared" si="19"/>
        <v>46099</v>
      </c>
      <c r="C249" s="8">
        <f t="shared" si="20"/>
        <v>46113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79845540</v>
      </c>
      <c r="K249" s="7" t="s">
        <v>532</v>
      </c>
      <c r="L249" s="7" t="s">
        <v>536</v>
      </c>
      <c r="M249" s="9">
        <v>159900</v>
      </c>
      <c r="N249" s="10">
        <f t="shared" si="21"/>
        <v>0.9</v>
      </c>
      <c r="O249" s="34">
        <f t="shared" si="22"/>
        <v>15989.999999999996</v>
      </c>
      <c r="P249" s="7" t="str">
        <f t="shared" si="23"/>
        <v>PERCENTAGE</v>
      </c>
    </row>
    <row r="250" spans="1:16" x14ac:dyDescent="0.25">
      <c r="A250" s="7" t="str">
        <f t="shared" si="18"/>
        <v>2023 ALL D90</v>
      </c>
      <c r="B250" s="8">
        <f t="shared" si="19"/>
        <v>46099</v>
      </c>
      <c r="C250" s="8">
        <f t="shared" si="20"/>
        <v>46113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79845586</v>
      </c>
      <c r="K250" s="7" t="s">
        <v>537</v>
      </c>
      <c r="L250" s="7" t="s">
        <v>538</v>
      </c>
      <c r="M250" s="9">
        <v>149900</v>
      </c>
      <c r="N250" s="10">
        <f t="shared" si="21"/>
        <v>0.9</v>
      </c>
      <c r="O250" s="34">
        <f t="shared" si="22"/>
        <v>14989.999999999996</v>
      </c>
      <c r="P250" s="7" t="str">
        <f t="shared" si="23"/>
        <v>PERCENTAGE</v>
      </c>
    </row>
    <row r="251" spans="1:16" x14ac:dyDescent="0.25">
      <c r="A251" s="7" t="str">
        <f t="shared" si="18"/>
        <v>2023 ALL D90</v>
      </c>
      <c r="B251" s="8">
        <f t="shared" si="19"/>
        <v>46099</v>
      </c>
      <c r="C251" s="8">
        <f t="shared" si="20"/>
        <v>46113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79845602</v>
      </c>
      <c r="K251" s="7" t="s">
        <v>539</v>
      </c>
      <c r="L251" s="7" t="s">
        <v>540</v>
      </c>
      <c r="M251" s="9">
        <v>159900</v>
      </c>
      <c r="N251" s="10">
        <f t="shared" si="21"/>
        <v>0.9</v>
      </c>
      <c r="O251" s="34">
        <f t="shared" si="22"/>
        <v>15989.999999999996</v>
      </c>
      <c r="P251" s="7" t="str">
        <f t="shared" si="23"/>
        <v>PERCENTAGE</v>
      </c>
    </row>
    <row r="252" spans="1:16" x14ac:dyDescent="0.25">
      <c r="A252" s="7" t="str">
        <f t="shared" si="18"/>
        <v>2023 ALL D90</v>
      </c>
      <c r="B252" s="8">
        <f t="shared" si="19"/>
        <v>46099</v>
      </c>
      <c r="C252" s="8">
        <f t="shared" si="20"/>
        <v>46113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79845611</v>
      </c>
      <c r="K252" s="7" t="s">
        <v>539</v>
      </c>
      <c r="L252" s="7" t="s">
        <v>541</v>
      </c>
      <c r="M252" s="9">
        <v>159900</v>
      </c>
      <c r="N252" s="10">
        <f t="shared" si="21"/>
        <v>0.9</v>
      </c>
      <c r="O252" s="34">
        <f t="shared" si="22"/>
        <v>15989.999999999996</v>
      </c>
      <c r="P252" s="7" t="str">
        <f t="shared" si="23"/>
        <v>PERCENTAGE</v>
      </c>
    </row>
    <row r="253" spans="1:16" x14ac:dyDescent="0.25">
      <c r="A253" s="7" t="str">
        <f t="shared" si="18"/>
        <v>2023 ALL D90</v>
      </c>
      <c r="B253" s="8">
        <f t="shared" si="19"/>
        <v>46099</v>
      </c>
      <c r="C253" s="8">
        <f t="shared" si="20"/>
        <v>46113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79845620</v>
      </c>
      <c r="K253" s="7" t="s">
        <v>539</v>
      </c>
      <c r="L253" s="7" t="s">
        <v>542</v>
      </c>
      <c r="M253" s="9">
        <v>159900</v>
      </c>
      <c r="N253" s="10">
        <f t="shared" si="21"/>
        <v>0.9</v>
      </c>
      <c r="O253" s="34">
        <f t="shared" si="22"/>
        <v>15989.999999999996</v>
      </c>
      <c r="P253" s="7" t="str">
        <f t="shared" si="23"/>
        <v>PERCENTAGE</v>
      </c>
    </row>
    <row r="254" spans="1:16" x14ac:dyDescent="0.25">
      <c r="A254" s="7" t="str">
        <f t="shared" si="18"/>
        <v>2023 ALL D90</v>
      </c>
      <c r="B254" s="8">
        <f t="shared" si="19"/>
        <v>46099</v>
      </c>
      <c r="C254" s="8">
        <f t="shared" si="20"/>
        <v>46113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79845639</v>
      </c>
      <c r="K254" s="7" t="s">
        <v>539</v>
      </c>
      <c r="L254" s="7" t="s">
        <v>543</v>
      </c>
      <c r="M254" s="9">
        <v>159900</v>
      </c>
      <c r="N254" s="10">
        <f t="shared" si="21"/>
        <v>0.9</v>
      </c>
      <c r="O254" s="34">
        <f t="shared" si="22"/>
        <v>15989.999999999996</v>
      </c>
      <c r="P254" s="7" t="str">
        <f t="shared" si="23"/>
        <v>PERCENTAGE</v>
      </c>
    </row>
    <row r="255" spans="1:16" x14ac:dyDescent="0.25">
      <c r="A255" s="7" t="str">
        <f t="shared" si="18"/>
        <v>2023 ALL D90</v>
      </c>
      <c r="B255" s="8">
        <f t="shared" si="19"/>
        <v>46099</v>
      </c>
      <c r="C255" s="8">
        <f t="shared" si="20"/>
        <v>46113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79845648</v>
      </c>
      <c r="K255" s="7" t="s">
        <v>539</v>
      </c>
      <c r="L255" s="7" t="s">
        <v>544</v>
      </c>
      <c r="M255" s="9">
        <v>159900</v>
      </c>
      <c r="N255" s="10">
        <f t="shared" si="21"/>
        <v>0.9</v>
      </c>
      <c r="O255" s="34">
        <f t="shared" si="22"/>
        <v>15989.999999999996</v>
      </c>
      <c r="P255" s="7" t="str">
        <f t="shared" si="23"/>
        <v>PERCENTAGE</v>
      </c>
    </row>
    <row r="256" spans="1:16" x14ac:dyDescent="0.25">
      <c r="A256" s="7" t="str">
        <f t="shared" si="18"/>
        <v>2023 ALL D90</v>
      </c>
      <c r="B256" s="8">
        <f t="shared" si="19"/>
        <v>46099</v>
      </c>
      <c r="C256" s="8">
        <f t="shared" si="20"/>
        <v>46113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81299752</v>
      </c>
      <c r="K256" s="7" t="s">
        <v>545</v>
      </c>
      <c r="L256" s="7" t="s">
        <v>546</v>
      </c>
      <c r="M256" s="9">
        <v>159900</v>
      </c>
      <c r="N256" s="10">
        <f t="shared" si="21"/>
        <v>0.9</v>
      </c>
      <c r="O256" s="34">
        <f t="shared" si="22"/>
        <v>15989.999999999996</v>
      </c>
      <c r="P256" s="7" t="str">
        <f t="shared" si="23"/>
        <v>PERCENTAGE</v>
      </c>
    </row>
    <row r="257" spans="1:16" x14ac:dyDescent="0.25">
      <c r="A257" s="7" t="str">
        <f t="shared" si="18"/>
        <v>2023 ALL D90</v>
      </c>
      <c r="B257" s="8">
        <f t="shared" si="19"/>
        <v>46099</v>
      </c>
      <c r="C257" s="8">
        <f t="shared" si="20"/>
        <v>46113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81299761</v>
      </c>
      <c r="K257" s="7" t="s">
        <v>545</v>
      </c>
      <c r="L257" s="7" t="s">
        <v>547</v>
      </c>
      <c r="M257" s="9">
        <v>159900</v>
      </c>
      <c r="N257" s="10">
        <f t="shared" si="21"/>
        <v>0.9</v>
      </c>
      <c r="O257" s="34">
        <f t="shared" si="22"/>
        <v>15989.999999999996</v>
      </c>
      <c r="P257" s="7" t="str">
        <f t="shared" si="23"/>
        <v>PERCENTAGE</v>
      </c>
    </row>
    <row r="258" spans="1:16" x14ac:dyDescent="0.25">
      <c r="A258" s="7" t="str">
        <f t="shared" si="18"/>
        <v>2023 ALL D90</v>
      </c>
      <c r="B258" s="8">
        <f t="shared" si="19"/>
        <v>46099</v>
      </c>
      <c r="C258" s="8">
        <f t="shared" si="20"/>
        <v>46113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81299770</v>
      </c>
      <c r="K258" s="7" t="s">
        <v>545</v>
      </c>
      <c r="L258" s="7" t="s">
        <v>548</v>
      </c>
      <c r="M258" s="9">
        <v>159900</v>
      </c>
      <c r="N258" s="10">
        <f t="shared" si="21"/>
        <v>0.9</v>
      </c>
      <c r="O258" s="34">
        <f t="shared" si="22"/>
        <v>15989.999999999996</v>
      </c>
      <c r="P258" s="7" t="str">
        <f t="shared" si="23"/>
        <v>PERCENTAGE</v>
      </c>
    </row>
    <row r="259" spans="1:16" x14ac:dyDescent="0.25">
      <c r="A259" s="7" t="str">
        <f t="shared" ref="A259:A322" si="24">A258</f>
        <v>2023 ALL D90</v>
      </c>
      <c r="B259" s="8">
        <f t="shared" ref="B259:B322" si="25">B258</f>
        <v>46099</v>
      </c>
      <c r="C259" s="8">
        <f t="shared" ref="C259:C322" si="26">C258</f>
        <v>46113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81299789</v>
      </c>
      <c r="K259" s="7" t="s">
        <v>545</v>
      </c>
      <c r="L259" s="7" t="s">
        <v>549</v>
      </c>
      <c r="M259" s="9">
        <v>159900</v>
      </c>
      <c r="N259" s="10">
        <f t="shared" ref="N259:N322" si="27">N258</f>
        <v>0.9</v>
      </c>
      <c r="O259" s="34">
        <f t="shared" ref="O259:O322" si="28">M259*(1-N259)</f>
        <v>15989.999999999996</v>
      </c>
      <c r="P259" s="7" t="str">
        <f t="shared" ref="P259:P322" si="29">P258</f>
        <v>PERCENTAGE</v>
      </c>
    </row>
    <row r="260" spans="1:16" x14ac:dyDescent="0.25">
      <c r="A260" s="7" t="str">
        <f t="shared" si="24"/>
        <v>2023 ALL D90</v>
      </c>
      <c r="B260" s="8">
        <f t="shared" si="25"/>
        <v>46099</v>
      </c>
      <c r="C260" s="8">
        <f t="shared" si="26"/>
        <v>46113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81299798</v>
      </c>
      <c r="K260" s="7" t="s">
        <v>545</v>
      </c>
      <c r="L260" s="7" t="s">
        <v>550</v>
      </c>
      <c r="M260" s="9">
        <v>159900</v>
      </c>
      <c r="N260" s="10">
        <f t="shared" si="27"/>
        <v>0.9</v>
      </c>
      <c r="O260" s="34">
        <f t="shared" si="28"/>
        <v>15989.999999999996</v>
      </c>
      <c r="P260" s="7" t="str">
        <f t="shared" si="29"/>
        <v>PERCENTAGE</v>
      </c>
    </row>
    <row r="261" spans="1:16" x14ac:dyDescent="0.25">
      <c r="A261" s="7" t="str">
        <f t="shared" si="24"/>
        <v>2023 ALL D90</v>
      </c>
      <c r="B261" s="8">
        <f t="shared" si="25"/>
        <v>46099</v>
      </c>
      <c r="C261" s="8">
        <f t="shared" si="26"/>
        <v>46113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82233570</v>
      </c>
      <c r="K261" s="7" t="s">
        <v>619</v>
      </c>
      <c r="L261" s="7" t="s">
        <v>620</v>
      </c>
      <c r="M261" s="9">
        <v>139900</v>
      </c>
      <c r="N261" s="10">
        <f t="shared" si="27"/>
        <v>0.9</v>
      </c>
      <c r="O261" s="34">
        <f t="shared" si="28"/>
        <v>13989.999999999996</v>
      </c>
      <c r="P261" s="7" t="str">
        <f t="shared" si="29"/>
        <v>PERCENTAGE</v>
      </c>
    </row>
    <row r="262" spans="1:16" x14ac:dyDescent="0.25">
      <c r="A262" s="7" t="str">
        <f t="shared" si="24"/>
        <v>2023 ALL D90</v>
      </c>
      <c r="B262" s="8">
        <f t="shared" si="25"/>
        <v>46099</v>
      </c>
      <c r="C262" s="8">
        <f t="shared" si="26"/>
        <v>46113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82233589</v>
      </c>
      <c r="K262" s="7" t="s">
        <v>619</v>
      </c>
      <c r="L262" s="7" t="s">
        <v>621</v>
      </c>
      <c r="M262" s="9">
        <v>139900</v>
      </c>
      <c r="N262" s="10">
        <f t="shared" si="27"/>
        <v>0.9</v>
      </c>
      <c r="O262" s="34">
        <f t="shared" si="28"/>
        <v>13989.999999999996</v>
      </c>
      <c r="P262" s="7" t="str">
        <f t="shared" si="29"/>
        <v>PERCENTAGE</v>
      </c>
    </row>
    <row r="263" spans="1:16" x14ac:dyDescent="0.25">
      <c r="A263" s="7" t="str">
        <f t="shared" si="24"/>
        <v>2023 ALL D90</v>
      </c>
      <c r="B263" s="8">
        <f t="shared" si="25"/>
        <v>46099</v>
      </c>
      <c r="C263" s="8">
        <f t="shared" si="26"/>
        <v>46113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82233598</v>
      </c>
      <c r="K263" s="7" t="s">
        <v>619</v>
      </c>
      <c r="L263" s="7" t="s">
        <v>622</v>
      </c>
      <c r="M263" s="9">
        <v>139900</v>
      </c>
      <c r="N263" s="10">
        <f t="shared" si="27"/>
        <v>0.9</v>
      </c>
      <c r="O263" s="34">
        <f t="shared" si="28"/>
        <v>13989.999999999996</v>
      </c>
      <c r="P263" s="7" t="str">
        <f t="shared" si="29"/>
        <v>PERCENTAGE</v>
      </c>
    </row>
    <row r="264" spans="1:16" x14ac:dyDescent="0.25">
      <c r="A264" s="7" t="str">
        <f t="shared" si="24"/>
        <v>2023 ALL D90</v>
      </c>
      <c r="B264" s="8">
        <f t="shared" si="25"/>
        <v>46099</v>
      </c>
      <c r="C264" s="8">
        <f t="shared" si="26"/>
        <v>46113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82233605</v>
      </c>
      <c r="K264" s="7" t="s">
        <v>619</v>
      </c>
      <c r="L264" s="7" t="s">
        <v>623</v>
      </c>
      <c r="M264" s="9">
        <v>139900</v>
      </c>
      <c r="N264" s="10">
        <f t="shared" si="27"/>
        <v>0.9</v>
      </c>
      <c r="O264" s="34">
        <f t="shared" si="28"/>
        <v>13989.999999999996</v>
      </c>
      <c r="P264" s="7" t="str">
        <f t="shared" si="29"/>
        <v>PERCENTAGE</v>
      </c>
    </row>
    <row r="265" spans="1:16" x14ac:dyDescent="0.25">
      <c r="A265" s="7" t="str">
        <f t="shared" si="24"/>
        <v>2023 ALL D90</v>
      </c>
      <c r="B265" s="8">
        <f t="shared" si="25"/>
        <v>46099</v>
      </c>
      <c r="C265" s="8">
        <f t="shared" si="26"/>
        <v>46113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82233614</v>
      </c>
      <c r="K265" s="7" t="s">
        <v>619</v>
      </c>
      <c r="L265" s="7" t="s">
        <v>624</v>
      </c>
      <c r="M265" s="9">
        <v>139900</v>
      </c>
      <c r="N265" s="10">
        <f t="shared" si="27"/>
        <v>0.9</v>
      </c>
      <c r="O265" s="34">
        <f t="shared" si="28"/>
        <v>13989.999999999996</v>
      </c>
      <c r="P265" s="7" t="str">
        <f t="shared" si="29"/>
        <v>PERCENTAGE</v>
      </c>
    </row>
    <row r="266" spans="1:16" x14ac:dyDescent="0.25">
      <c r="A266" s="7" t="str">
        <f t="shared" si="24"/>
        <v>2023 ALL D90</v>
      </c>
      <c r="B266" s="8">
        <f t="shared" si="25"/>
        <v>46099</v>
      </c>
      <c r="C266" s="8">
        <f t="shared" si="26"/>
        <v>46113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82233623</v>
      </c>
      <c r="K266" s="7" t="s">
        <v>625</v>
      </c>
      <c r="L266" s="7" t="s">
        <v>626</v>
      </c>
      <c r="M266" s="9">
        <v>149900</v>
      </c>
      <c r="N266" s="10">
        <f t="shared" si="27"/>
        <v>0.9</v>
      </c>
      <c r="O266" s="34">
        <f t="shared" si="28"/>
        <v>14989.999999999996</v>
      </c>
      <c r="P266" s="7" t="str">
        <f t="shared" si="29"/>
        <v>PERCENTAGE</v>
      </c>
    </row>
    <row r="267" spans="1:16" x14ac:dyDescent="0.25">
      <c r="A267" s="7" t="str">
        <f t="shared" si="24"/>
        <v>2023 ALL D90</v>
      </c>
      <c r="B267" s="8">
        <f t="shared" si="25"/>
        <v>46099</v>
      </c>
      <c r="C267" s="8">
        <f t="shared" si="26"/>
        <v>46113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82233632</v>
      </c>
      <c r="K267" s="7" t="s">
        <v>625</v>
      </c>
      <c r="L267" s="7" t="s">
        <v>627</v>
      </c>
      <c r="M267" s="9">
        <v>149900</v>
      </c>
      <c r="N267" s="10">
        <f t="shared" si="27"/>
        <v>0.9</v>
      </c>
      <c r="O267" s="34">
        <f t="shared" si="28"/>
        <v>14989.999999999996</v>
      </c>
      <c r="P267" s="7" t="str">
        <f t="shared" si="29"/>
        <v>PERCENTAGE</v>
      </c>
    </row>
    <row r="268" spans="1:16" x14ac:dyDescent="0.25">
      <c r="A268" s="7" t="str">
        <f t="shared" si="24"/>
        <v>2023 ALL D90</v>
      </c>
      <c r="B268" s="8">
        <f t="shared" si="25"/>
        <v>46099</v>
      </c>
      <c r="C268" s="8">
        <f t="shared" si="26"/>
        <v>46113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82233641</v>
      </c>
      <c r="K268" s="7" t="s">
        <v>625</v>
      </c>
      <c r="L268" s="7" t="s">
        <v>628</v>
      </c>
      <c r="M268" s="9">
        <v>149900</v>
      </c>
      <c r="N268" s="10">
        <f t="shared" si="27"/>
        <v>0.9</v>
      </c>
      <c r="O268" s="34">
        <f t="shared" si="28"/>
        <v>14989.999999999996</v>
      </c>
      <c r="P268" s="7" t="str">
        <f t="shared" si="29"/>
        <v>PERCENTAGE</v>
      </c>
    </row>
    <row r="269" spans="1:16" x14ac:dyDescent="0.25">
      <c r="A269" s="7" t="str">
        <f t="shared" si="24"/>
        <v>2023 ALL D90</v>
      </c>
      <c r="B269" s="8">
        <f t="shared" si="25"/>
        <v>46099</v>
      </c>
      <c r="C269" s="8">
        <f t="shared" si="26"/>
        <v>46113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82233650</v>
      </c>
      <c r="K269" s="7" t="s">
        <v>625</v>
      </c>
      <c r="L269" s="7" t="s">
        <v>629</v>
      </c>
      <c r="M269" s="9">
        <v>149900</v>
      </c>
      <c r="N269" s="10">
        <f t="shared" si="27"/>
        <v>0.9</v>
      </c>
      <c r="O269" s="34">
        <f t="shared" si="28"/>
        <v>14989.999999999996</v>
      </c>
      <c r="P269" s="7" t="str">
        <f t="shared" si="29"/>
        <v>PERCENTAGE</v>
      </c>
    </row>
    <row r="270" spans="1:16" x14ac:dyDescent="0.25">
      <c r="A270" s="7" t="str">
        <f t="shared" si="24"/>
        <v>2023 ALL D90</v>
      </c>
      <c r="B270" s="8">
        <f t="shared" si="25"/>
        <v>46099</v>
      </c>
      <c r="C270" s="8">
        <f t="shared" si="26"/>
        <v>46113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82233669</v>
      </c>
      <c r="K270" s="7" t="s">
        <v>625</v>
      </c>
      <c r="L270" s="7" t="s">
        <v>630</v>
      </c>
      <c r="M270" s="9">
        <v>149900</v>
      </c>
      <c r="N270" s="10">
        <f t="shared" si="27"/>
        <v>0.9</v>
      </c>
      <c r="O270" s="34">
        <f t="shared" si="28"/>
        <v>14989.999999999996</v>
      </c>
      <c r="P270" s="7" t="str">
        <f t="shared" si="29"/>
        <v>PERCENTAGE</v>
      </c>
    </row>
    <row r="271" spans="1:16" x14ac:dyDescent="0.25">
      <c r="A271" s="7" t="str">
        <f t="shared" si="24"/>
        <v>2023 ALL D90</v>
      </c>
      <c r="B271" s="8">
        <f t="shared" si="25"/>
        <v>46099</v>
      </c>
      <c r="C271" s="8">
        <f t="shared" si="26"/>
        <v>46113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82233678</v>
      </c>
      <c r="K271" s="7" t="s">
        <v>631</v>
      </c>
      <c r="L271" s="7" t="s">
        <v>632</v>
      </c>
      <c r="M271" s="9">
        <v>149900</v>
      </c>
      <c r="N271" s="10">
        <f t="shared" si="27"/>
        <v>0.9</v>
      </c>
      <c r="O271" s="34">
        <f t="shared" si="28"/>
        <v>14989.999999999996</v>
      </c>
      <c r="P271" s="7" t="str">
        <f t="shared" si="29"/>
        <v>PERCENTAGE</v>
      </c>
    </row>
    <row r="272" spans="1:16" x14ac:dyDescent="0.25">
      <c r="A272" s="7" t="str">
        <f t="shared" si="24"/>
        <v>2023 ALL D90</v>
      </c>
      <c r="B272" s="8">
        <f t="shared" si="25"/>
        <v>46099</v>
      </c>
      <c r="C272" s="8">
        <f t="shared" si="26"/>
        <v>46113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82233687</v>
      </c>
      <c r="K272" s="7" t="s">
        <v>631</v>
      </c>
      <c r="L272" s="7" t="s">
        <v>633</v>
      </c>
      <c r="M272" s="9">
        <v>149900</v>
      </c>
      <c r="N272" s="10">
        <f t="shared" si="27"/>
        <v>0.9</v>
      </c>
      <c r="O272" s="34">
        <f t="shared" si="28"/>
        <v>14989.999999999996</v>
      </c>
      <c r="P272" s="7" t="str">
        <f t="shared" si="29"/>
        <v>PERCENTAGE</v>
      </c>
    </row>
    <row r="273" spans="1:16" x14ac:dyDescent="0.25">
      <c r="A273" s="7" t="str">
        <f t="shared" si="24"/>
        <v>2023 ALL D90</v>
      </c>
      <c r="B273" s="8">
        <f t="shared" si="25"/>
        <v>46099</v>
      </c>
      <c r="C273" s="8">
        <f t="shared" si="26"/>
        <v>46113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82233696</v>
      </c>
      <c r="K273" s="7" t="s">
        <v>631</v>
      </c>
      <c r="L273" s="7" t="s">
        <v>634</v>
      </c>
      <c r="M273" s="9">
        <v>149900</v>
      </c>
      <c r="N273" s="10">
        <f t="shared" si="27"/>
        <v>0.9</v>
      </c>
      <c r="O273" s="34">
        <f t="shared" si="28"/>
        <v>14989.999999999996</v>
      </c>
      <c r="P273" s="7" t="str">
        <f t="shared" si="29"/>
        <v>PERCENTAGE</v>
      </c>
    </row>
    <row r="274" spans="1:16" x14ac:dyDescent="0.25">
      <c r="A274" s="7" t="str">
        <f t="shared" si="24"/>
        <v>2023 ALL D90</v>
      </c>
      <c r="B274" s="8">
        <f t="shared" si="25"/>
        <v>46099</v>
      </c>
      <c r="C274" s="8">
        <f t="shared" si="26"/>
        <v>46113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82233703</v>
      </c>
      <c r="K274" s="7" t="s">
        <v>631</v>
      </c>
      <c r="L274" s="7" t="s">
        <v>635</v>
      </c>
      <c r="M274" s="9">
        <v>149900</v>
      </c>
      <c r="N274" s="10">
        <f t="shared" si="27"/>
        <v>0.9</v>
      </c>
      <c r="O274" s="34">
        <f t="shared" si="28"/>
        <v>14989.999999999996</v>
      </c>
      <c r="P274" s="7" t="str">
        <f t="shared" si="29"/>
        <v>PERCENTAGE</v>
      </c>
    </row>
    <row r="275" spans="1:16" x14ac:dyDescent="0.25">
      <c r="A275" s="7" t="str">
        <f t="shared" si="24"/>
        <v>2023 ALL D90</v>
      </c>
      <c r="B275" s="8">
        <f t="shared" si="25"/>
        <v>46099</v>
      </c>
      <c r="C275" s="8">
        <f t="shared" si="26"/>
        <v>46113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82233712</v>
      </c>
      <c r="K275" s="7" t="s">
        <v>631</v>
      </c>
      <c r="L275" s="7" t="s">
        <v>636</v>
      </c>
      <c r="M275" s="9">
        <v>149900</v>
      </c>
      <c r="N275" s="10">
        <f t="shared" si="27"/>
        <v>0.9</v>
      </c>
      <c r="O275" s="34">
        <f t="shared" si="28"/>
        <v>14989.999999999996</v>
      </c>
      <c r="P275" s="7" t="str">
        <f t="shared" si="29"/>
        <v>PERCENTAGE</v>
      </c>
    </row>
    <row r="276" spans="1:16" x14ac:dyDescent="0.25">
      <c r="A276" s="7" t="str">
        <f t="shared" si="24"/>
        <v>2023 ALL D90</v>
      </c>
      <c r="B276" s="8">
        <f t="shared" si="25"/>
        <v>46099</v>
      </c>
      <c r="C276" s="8">
        <f t="shared" si="26"/>
        <v>46113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82233721</v>
      </c>
      <c r="K276" s="7" t="s">
        <v>637</v>
      </c>
      <c r="L276" s="7" t="s">
        <v>638</v>
      </c>
      <c r="M276" s="9">
        <v>149900</v>
      </c>
      <c r="N276" s="10">
        <f t="shared" si="27"/>
        <v>0.9</v>
      </c>
      <c r="O276" s="34">
        <f t="shared" si="28"/>
        <v>14989.999999999996</v>
      </c>
      <c r="P276" s="7" t="str">
        <f t="shared" si="29"/>
        <v>PERCENTAGE</v>
      </c>
    </row>
    <row r="277" spans="1:16" x14ac:dyDescent="0.25">
      <c r="A277" s="7" t="str">
        <f t="shared" si="24"/>
        <v>2023 ALL D90</v>
      </c>
      <c r="B277" s="8">
        <f t="shared" si="25"/>
        <v>46099</v>
      </c>
      <c r="C277" s="8">
        <f t="shared" si="26"/>
        <v>46113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82233730</v>
      </c>
      <c r="K277" s="7" t="s">
        <v>637</v>
      </c>
      <c r="L277" s="7" t="s">
        <v>639</v>
      </c>
      <c r="M277" s="9">
        <v>149900</v>
      </c>
      <c r="N277" s="10">
        <f t="shared" si="27"/>
        <v>0.9</v>
      </c>
      <c r="O277" s="34">
        <f t="shared" si="28"/>
        <v>14989.999999999996</v>
      </c>
      <c r="P277" s="7" t="str">
        <f t="shared" si="29"/>
        <v>PERCENTAGE</v>
      </c>
    </row>
    <row r="278" spans="1:16" x14ac:dyDescent="0.25">
      <c r="A278" s="7" t="str">
        <f t="shared" si="24"/>
        <v>2023 ALL D90</v>
      </c>
      <c r="B278" s="8">
        <f t="shared" si="25"/>
        <v>46099</v>
      </c>
      <c r="C278" s="8">
        <f t="shared" si="26"/>
        <v>46113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82233749</v>
      </c>
      <c r="K278" s="7" t="s">
        <v>637</v>
      </c>
      <c r="L278" s="7" t="s">
        <v>640</v>
      </c>
      <c r="M278" s="9">
        <v>149900</v>
      </c>
      <c r="N278" s="10">
        <f t="shared" si="27"/>
        <v>0.9</v>
      </c>
      <c r="O278" s="34">
        <f t="shared" si="28"/>
        <v>14989.999999999996</v>
      </c>
      <c r="P278" s="7" t="str">
        <f t="shared" si="29"/>
        <v>PERCENTAGE</v>
      </c>
    </row>
    <row r="279" spans="1:16" x14ac:dyDescent="0.25">
      <c r="A279" s="7" t="str">
        <f t="shared" si="24"/>
        <v>2023 ALL D90</v>
      </c>
      <c r="B279" s="8">
        <f t="shared" si="25"/>
        <v>46099</v>
      </c>
      <c r="C279" s="8">
        <f t="shared" si="26"/>
        <v>46113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82233758</v>
      </c>
      <c r="K279" s="7" t="s">
        <v>637</v>
      </c>
      <c r="L279" s="7" t="s">
        <v>641</v>
      </c>
      <c r="M279" s="9">
        <v>149900</v>
      </c>
      <c r="N279" s="10">
        <f t="shared" si="27"/>
        <v>0.9</v>
      </c>
      <c r="O279" s="34">
        <f t="shared" si="28"/>
        <v>14989.999999999996</v>
      </c>
      <c r="P279" s="7" t="str">
        <f t="shared" si="29"/>
        <v>PERCENTAGE</v>
      </c>
    </row>
    <row r="280" spans="1:16" x14ac:dyDescent="0.25">
      <c r="A280" s="7" t="str">
        <f t="shared" si="24"/>
        <v>2023 ALL D90</v>
      </c>
      <c r="B280" s="8">
        <f t="shared" si="25"/>
        <v>46099</v>
      </c>
      <c r="C280" s="8">
        <f t="shared" si="26"/>
        <v>46113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82233767</v>
      </c>
      <c r="K280" s="7" t="s">
        <v>637</v>
      </c>
      <c r="L280" s="7" t="s">
        <v>642</v>
      </c>
      <c r="M280" s="9">
        <v>149900</v>
      </c>
      <c r="N280" s="10">
        <f t="shared" si="27"/>
        <v>0.9</v>
      </c>
      <c r="O280" s="34">
        <f t="shared" si="28"/>
        <v>14989.999999999996</v>
      </c>
      <c r="P280" s="7" t="str">
        <f t="shared" si="29"/>
        <v>PERCENTAGE</v>
      </c>
    </row>
    <row r="281" spans="1:16" x14ac:dyDescent="0.25">
      <c r="A281" s="7" t="str">
        <f t="shared" si="24"/>
        <v>2023 ALL D90</v>
      </c>
      <c r="B281" s="8">
        <f t="shared" si="25"/>
        <v>46099</v>
      </c>
      <c r="C281" s="8">
        <f t="shared" si="26"/>
        <v>46113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82233776</v>
      </c>
      <c r="K281" s="7" t="s">
        <v>643</v>
      </c>
      <c r="L281" s="7" t="s">
        <v>644</v>
      </c>
      <c r="M281" s="9">
        <v>149900</v>
      </c>
      <c r="N281" s="10">
        <f t="shared" si="27"/>
        <v>0.9</v>
      </c>
      <c r="O281" s="34">
        <f t="shared" si="28"/>
        <v>14989.999999999996</v>
      </c>
      <c r="P281" s="7" t="str">
        <f t="shared" si="29"/>
        <v>PERCENTAGE</v>
      </c>
    </row>
    <row r="282" spans="1:16" x14ac:dyDescent="0.25">
      <c r="A282" s="7" t="str">
        <f t="shared" si="24"/>
        <v>2023 ALL D90</v>
      </c>
      <c r="B282" s="8">
        <f t="shared" si="25"/>
        <v>46099</v>
      </c>
      <c r="C282" s="8">
        <f t="shared" si="26"/>
        <v>46113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82233785</v>
      </c>
      <c r="K282" s="7" t="s">
        <v>643</v>
      </c>
      <c r="L282" s="7" t="s">
        <v>645</v>
      </c>
      <c r="M282" s="9">
        <v>149900</v>
      </c>
      <c r="N282" s="10">
        <f t="shared" si="27"/>
        <v>0.9</v>
      </c>
      <c r="O282" s="34">
        <f t="shared" si="28"/>
        <v>14989.999999999996</v>
      </c>
      <c r="P282" s="7" t="str">
        <f t="shared" si="29"/>
        <v>PERCENTAGE</v>
      </c>
    </row>
    <row r="283" spans="1:16" x14ac:dyDescent="0.25">
      <c r="A283" s="7" t="str">
        <f t="shared" si="24"/>
        <v>2023 ALL D90</v>
      </c>
      <c r="B283" s="8">
        <f t="shared" si="25"/>
        <v>46099</v>
      </c>
      <c r="C283" s="8">
        <f t="shared" si="26"/>
        <v>46113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82233794</v>
      </c>
      <c r="K283" s="7" t="s">
        <v>643</v>
      </c>
      <c r="L283" s="7" t="s">
        <v>646</v>
      </c>
      <c r="M283" s="9">
        <v>149900</v>
      </c>
      <c r="N283" s="10">
        <f t="shared" si="27"/>
        <v>0.9</v>
      </c>
      <c r="O283" s="34">
        <f t="shared" si="28"/>
        <v>14989.999999999996</v>
      </c>
      <c r="P283" s="7" t="str">
        <f t="shared" si="29"/>
        <v>PERCENTAGE</v>
      </c>
    </row>
    <row r="284" spans="1:16" x14ac:dyDescent="0.25">
      <c r="A284" s="7" t="str">
        <f t="shared" si="24"/>
        <v>2023 ALL D90</v>
      </c>
      <c r="B284" s="8">
        <f t="shared" si="25"/>
        <v>46099</v>
      </c>
      <c r="C284" s="8">
        <f t="shared" si="26"/>
        <v>46113</v>
      </c>
      <c r="D284" s="7">
        <v>3272</v>
      </c>
      <c r="E284" s="7">
        <v>336</v>
      </c>
      <c r="F284" s="7">
        <v>4</v>
      </c>
      <c r="G284" s="7">
        <v>1</v>
      </c>
      <c r="H284" s="7">
        <v>81379</v>
      </c>
      <c r="I284" s="7" t="s">
        <v>104</v>
      </c>
      <c r="J284" s="7">
        <v>82233801</v>
      </c>
      <c r="K284" s="7" t="s">
        <v>643</v>
      </c>
      <c r="L284" s="7" t="s">
        <v>647</v>
      </c>
      <c r="M284" s="9">
        <v>149900</v>
      </c>
      <c r="N284" s="10">
        <f t="shared" si="27"/>
        <v>0.9</v>
      </c>
      <c r="O284" s="34">
        <f t="shared" si="28"/>
        <v>14989.999999999996</v>
      </c>
      <c r="P284" s="7" t="str">
        <f t="shared" si="29"/>
        <v>PERCENTAGE</v>
      </c>
    </row>
    <row r="285" spans="1:16" x14ac:dyDescent="0.25">
      <c r="A285" s="7" t="str">
        <f t="shared" si="24"/>
        <v>2023 ALL D90</v>
      </c>
      <c r="B285" s="8">
        <f t="shared" si="25"/>
        <v>46099</v>
      </c>
      <c r="C285" s="8">
        <f t="shared" si="26"/>
        <v>46113</v>
      </c>
      <c r="D285" s="7">
        <v>3272</v>
      </c>
      <c r="E285" s="7">
        <v>336</v>
      </c>
      <c r="F285" s="7">
        <v>4</v>
      </c>
      <c r="G285" s="7">
        <v>1</v>
      </c>
      <c r="H285" s="7">
        <v>81379</v>
      </c>
      <c r="I285" s="7" t="s">
        <v>104</v>
      </c>
      <c r="J285" s="7">
        <v>82233810</v>
      </c>
      <c r="K285" s="7" t="s">
        <v>643</v>
      </c>
      <c r="L285" s="7" t="s">
        <v>648</v>
      </c>
      <c r="M285" s="9">
        <v>149900</v>
      </c>
      <c r="N285" s="10">
        <f t="shared" si="27"/>
        <v>0.9</v>
      </c>
      <c r="O285" s="34">
        <f t="shared" si="28"/>
        <v>14989.999999999996</v>
      </c>
      <c r="P285" s="7" t="str">
        <f t="shared" si="29"/>
        <v>PERCENTAGE</v>
      </c>
    </row>
    <row r="286" spans="1:16" x14ac:dyDescent="0.25">
      <c r="A286" s="7" t="str">
        <f t="shared" si="24"/>
        <v>2023 ALL D90</v>
      </c>
      <c r="B286" s="8">
        <f t="shared" si="25"/>
        <v>46099</v>
      </c>
      <c r="C286" s="8">
        <f t="shared" si="26"/>
        <v>46113</v>
      </c>
      <c r="D286" s="7">
        <v>3272</v>
      </c>
      <c r="E286" s="7">
        <v>336</v>
      </c>
      <c r="F286" s="7">
        <v>4</v>
      </c>
      <c r="G286" s="7">
        <v>3</v>
      </c>
      <c r="H286" s="7">
        <v>81221</v>
      </c>
      <c r="I286" s="7" t="s">
        <v>104</v>
      </c>
      <c r="J286" s="7">
        <v>76512646</v>
      </c>
      <c r="K286" s="7" t="s">
        <v>551</v>
      </c>
      <c r="L286" s="7" t="s">
        <v>552</v>
      </c>
      <c r="M286" s="9">
        <v>239900</v>
      </c>
      <c r="N286" s="10">
        <f t="shared" si="27"/>
        <v>0.9</v>
      </c>
      <c r="O286" s="34">
        <f t="shared" si="28"/>
        <v>23989.999999999996</v>
      </c>
      <c r="P286" s="7" t="str">
        <f t="shared" si="29"/>
        <v>PERCENTAGE</v>
      </c>
    </row>
    <row r="287" spans="1:16" x14ac:dyDescent="0.25">
      <c r="A287" s="7" t="str">
        <f t="shared" si="24"/>
        <v>2023 ALL D90</v>
      </c>
      <c r="B287" s="8">
        <f t="shared" si="25"/>
        <v>46099</v>
      </c>
      <c r="C287" s="8">
        <f t="shared" si="26"/>
        <v>46113</v>
      </c>
      <c r="D287" s="7">
        <v>3272</v>
      </c>
      <c r="E287" s="7">
        <v>336</v>
      </c>
      <c r="F287" s="7">
        <v>4</v>
      </c>
      <c r="G287" s="7">
        <v>3</v>
      </c>
      <c r="H287" s="7">
        <v>81221</v>
      </c>
      <c r="I287" s="7" t="s">
        <v>104</v>
      </c>
      <c r="J287" s="7">
        <v>76512655</v>
      </c>
      <c r="K287" s="7" t="s">
        <v>551</v>
      </c>
      <c r="L287" s="7" t="s">
        <v>553</v>
      </c>
      <c r="M287" s="9">
        <v>239900</v>
      </c>
      <c r="N287" s="10">
        <f t="shared" si="27"/>
        <v>0.9</v>
      </c>
      <c r="O287" s="34">
        <f t="shared" si="28"/>
        <v>23989.999999999996</v>
      </c>
      <c r="P287" s="7" t="str">
        <f t="shared" si="29"/>
        <v>PERCENTAGE</v>
      </c>
    </row>
    <row r="288" spans="1:16" x14ac:dyDescent="0.25">
      <c r="A288" s="7" t="str">
        <f t="shared" si="24"/>
        <v>2023 ALL D90</v>
      </c>
      <c r="B288" s="8">
        <f t="shared" si="25"/>
        <v>46099</v>
      </c>
      <c r="C288" s="8">
        <f t="shared" si="26"/>
        <v>46113</v>
      </c>
      <c r="D288" s="7">
        <v>3272</v>
      </c>
      <c r="E288" s="7">
        <v>336</v>
      </c>
      <c r="F288" s="7">
        <v>4</v>
      </c>
      <c r="G288" s="7">
        <v>3</v>
      </c>
      <c r="H288" s="7">
        <v>81221</v>
      </c>
      <c r="I288" s="7" t="s">
        <v>104</v>
      </c>
      <c r="J288" s="7">
        <v>76512664</v>
      </c>
      <c r="K288" s="7" t="s">
        <v>551</v>
      </c>
      <c r="L288" s="7" t="s">
        <v>554</v>
      </c>
      <c r="M288" s="9">
        <v>239900</v>
      </c>
      <c r="N288" s="10">
        <f t="shared" si="27"/>
        <v>0.9</v>
      </c>
      <c r="O288" s="34">
        <f t="shared" si="28"/>
        <v>23989.999999999996</v>
      </c>
      <c r="P288" s="7" t="str">
        <f t="shared" si="29"/>
        <v>PERCENTAGE</v>
      </c>
    </row>
    <row r="289" spans="1:16" x14ac:dyDescent="0.25">
      <c r="A289" s="7" t="str">
        <f t="shared" si="24"/>
        <v>2023 ALL D90</v>
      </c>
      <c r="B289" s="8">
        <f t="shared" si="25"/>
        <v>46099</v>
      </c>
      <c r="C289" s="8">
        <f t="shared" si="26"/>
        <v>46113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76512673</v>
      </c>
      <c r="K289" s="7" t="s">
        <v>551</v>
      </c>
      <c r="L289" s="7" t="s">
        <v>555</v>
      </c>
      <c r="M289" s="9">
        <v>239900</v>
      </c>
      <c r="N289" s="10">
        <f t="shared" si="27"/>
        <v>0.9</v>
      </c>
      <c r="O289" s="34">
        <f t="shared" si="28"/>
        <v>23989.999999999996</v>
      </c>
      <c r="P289" s="7" t="str">
        <f t="shared" si="29"/>
        <v>PERCENTAGE</v>
      </c>
    </row>
    <row r="290" spans="1:16" x14ac:dyDescent="0.25">
      <c r="A290" s="7" t="str">
        <f t="shared" si="24"/>
        <v>2023 ALL D90</v>
      </c>
      <c r="B290" s="8">
        <f t="shared" si="25"/>
        <v>46099</v>
      </c>
      <c r="C290" s="8">
        <f t="shared" si="26"/>
        <v>46113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76621993</v>
      </c>
      <c r="K290" s="7" t="s">
        <v>551</v>
      </c>
      <c r="L290" s="7" t="s">
        <v>556</v>
      </c>
      <c r="M290" s="9">
        <v>239900</v>
      </c>
      <c r="N290" s="10">
        <f t="shared" si="27"/>
        <v>0.9</v>
      </c>
      <c r="O290" s="34">
        <f t="shared" si="28"/>
        <v>23989.999999999996</v>
      </c>
      <c r="P290" s="7" t="str">
        <f t="shared" si="29"/>
        <v>PERCENTAGE</v>
      </c>
    </row>
    <row r="291" spans="1:16" x14ac:dyDescent="0.25">
      <c r="A291" s="7" t="str">
        <f t="shared" si="24"/>
        <v>2023 ALL D90</v>
      </c>
      <c r="B291" s="8">
        <f t="shared" si="25"/>
        <v>46099</v>
      </c>
      <c r="C291" s="8">
        <f t="shared" si="26"/>
        <v>46113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76512682</v>
      </c>
      <c r="K291" s="7" t="s">
        <v>557</v>
      </c>
      <c r="L291" s="7" t="s">
        <v>558</v>
      </c>
      <c r="M291" s="9">
        <v>299900</v>
      </c>
      <c r="N291" s="10">
        <f t="shared" si="27"/>
        <v>0.9</v>
      </c>
      <c r="O291" s="34">
        <f t="shared" si="28"/>
        <v>29989.999999999993</v>
      </c>
      <c r="P291" s="7" t="str">
        <f t="shared" si="29"/>
        <v>PERCENTAGE</v>
      </c>
    </row>
    <row r="292" spans="1:16" x14ac:dyDescent="0.25">
      <c r="A292" s="7" t="str">
        <f t="shared" si="24"/>
        <v>2023 ALL D90</v>
      </c>
      <c r="B292" s="8">
        <f t="shared" si="25"/>
        <v>46099</v>
      </c>
      <c r="C292" s="8">
        <f t="shared" si="26"/>
        <v>46113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76512691</v>
      </c>
      <c r="K292" s="7" t="s">
        <v>557</v>
      </c>
      <c r="L292" s="7" t="s">
        <v>559</v>
      </c>
      <c r="M292" s="9">
        <v>299900</v>
      </c>
      <c r="N292" s="10">
        <f t="shared" si="27"/>
        <v>0.9</v>
      </c>
      <c r="O292" s="34">
        <f t="shared" si="28"/>
        <v>29989.999999999993</v>
      </c>
      <c r="P292" s="7" t="str">
        <f t="shared" si="29"/>
        <v>PERCENTAGE</v>
      </c>
    </row>
    <row r="293" spans="1:16" x14ac:dyDescent="0.25">
      <c r="A293" s="7" t="str">
        <f t="shared" si="24"/>
        <v>2023 ALL D90</v>
      </c>
      <c r="B293" s="8">
        <f t="shared" si="25"/>
        <v>46099</v>
      </c>
      <c r="C293" s="8">
        <f t="shared" si="26"/>
        <v>46113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76512708</v>
      </c>
      <c r="K293" s="7" t="s">
        <v>557</v>
      </c>
      <c r="L293" s="7" t="s">
        <v>560</v>
      </c>
      <c r="M293" s="9">
        <v>299900</v>
      </c>
      <c r="N293" s="10">
        <f t="shared" si="27"/>
        <v>0.9</v>
      </c>
      <c r="O293" s="34">
        <f t="shared" si="28"/>
        <v>29989.999999999993</v>
      </c>
      <c r="P293" s="7" t="str">
        <f t="shared" si="29"/>
        <v>PERCENTAGE</v>
      </c>
    </row>
    <row r="294" spans="1:16" x14ac:dyDescent="0.25">
      <c r="A294" s="7" t="str">
        <f t="shared" si="24"/>
        <v>2023 ALL D90</v>
      </c>
      <c r="B294" s="8">
        <f t="shared" si="25"/>
        <v>46099</v>
      </c>
      <c r="C294" s="8">
        <f t="shared" si="26"/>
        <v>46113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76512717</v>
      </c>
      <c r="K294" s="7" t="s">
        <v>557</v>
      </c>
      <c r="L294" s="7" t="s">
        <v>561</v>
      </c>
      <c r="M294" s="9">
        <v>299900</v>
      </c>
      <c r="N294" s="10">
        <f t="shared" si="27"/>
        <v>0.9</v>
      </c>
      <c r="O294" s="34">
        <f t="shared" si="28"/>
        <v>29989.999999999993</v>
      </c>
      <c r="P294" s="7" t="str">
        <f t="shared" si="29"/>
        <v>PERCENTAGE</v>
      </c>
    </row>
    <row r="295" spans="1:16" x14ac:dyDescent="0.25">
      <c r="A295" s="7" t="str">
        <f t="shared" si="24"/>
        <v>2023 ALL D90</v>
      </c>
      <c r="B295" s="8">
        <f t="shared" si="25"/>
        <v>46099</v>
      </c>
      <c r="C295" s="8">
        <f t="shared" si="26"/>
        <v>46113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76622009</v>
      </c>
      <c r="K295" s="7" t="s">
        <v>557</v>
      </c>
      <c r="L295" s="7" t="s">
        <v>562</v>
      </c>
      <c r="M295" s="9">
        <v>299900</v>
      </c>
      <c r="N295" s="10">
        <f t="shared" si="27"/>
        <v>0.9</v>
      </c>
      <c r="O295" s="34">
        <f t="shared" si="28"/>
        <v>29989.999999999993</v>
      </c>
      <c r="P295" s="7" t="str">
        <f t="shared" si="29"/>
        <v>PERCENTAGE</v>
      </c>
    </row>
    <row r="296" spans="1:16" x14ac:dyDescent="0.25">
      <c r="A296" s="7" t="str">
        <f t="shared" si="24"/>
        <v>2023 ALL D90</v>
      </c>
      <c r="B296" s="8">
        <f t="shared" si="25"/>
        <v>46099</v>
      </c>
      <c r="C296" s="8">
        <f t="shared" si="26"/>
        <v>46113</v>
      </c>
      <c r="D296" s="7">
        <v>3272</v>
      </c>
      <c r="E296" s="7">
        <v>336</v>
      </c>
      <c r="F296" s="7">
        <v>4</v>
      </c>
      <c r="G296" s="7">
        <v>3</v>
      </c>
      <c r="H296" s="7">
        <v>81221</v>
      </c>
      <c r="I296" s="7" t="s">
        <v>104</v>
      </c>
      <c r="J296" s="7">
        <v>76512726</v>
      </c>
      <c r="K296" s="7" t="s">
        <v>563</v>
      </c>
      <c r="L296" s="7" t="s">
        <v>564</v>
      </c>
      <c r="M296" s="9">
        <v>239900</v>
      </c>
      <c r="N296" s="10">
        <f t="shared" si="27"/>
        <v>0.9</v>
      </c>
      <c r="O296" s="34">
        <f t="shared" si="28"/>
        <v>23989.999999999996</v>
      </c>
      <c r="P296" s="7" t="str">
        <f t="shared" si="29"/>
        <v>PERCENTAGE</v>
      </c>
    </row>
    <row r="297" spans="1:16" x14ac:dyDescent="0.25">
      <c r="A297" s="7" t="str">
        <f t="shared" si="24"/>
        <v>2023 ALL D90</v>
      </c>
      <c r="B297" s="8">
        <f t="shared" si="25"/>
        <v>46099</v>
      </c>
      <c r="C297" s="8">
        <f t="shared" si="26"/>
        <v>46113</v>
      </c>
      <c r="D297" s="7">
        <v>3272</v>
      </c>
      <c r="E297" s="7">
        <v>336</v>
      </c>
      <c r="F297" s="7">
        <v>4</v>
      </c>
      <c r="G297" s="7">
        <v>3</v>
      </c>
      <c r="H297" s="7">
        <v>81221</v>
      </c>
      <c r="I297" s="7" t="s">
        <v>104</v>
      </c>
      <c r="J297" s="7">
        <v>76512735</v>
      </c>
      <c r="K297" s="7" t="s">
        <v>563</v>
      </c>
      <c r="L297" s="7" t="s">
        <v>565</v>
      </c>
      <c r="M297" s="9">
        <v>239900</v>
      </c>
      <c r="N297" s="10">
        <f t="shared" si="27"/>
        <v>0.9</v>
      </c>
      <c r="O297" s="34">
        <f t="shared" si="28"/>
        <v>23989.999999999996</v>
      </c>
      <c r="P297" s="7" t="str">
        <f t="shared" si="29"/>
        <v>PERCENTAGE</v>
      </c>
    </row>
    <row r="298" spans="1:16" x14ac:dyDescent="0.25">
      <c r="A298" s="7" t="str">
        <f t="shared" si="24"/>
        <v>2023 ALL D90</v>
      </c>
      <c r="B298" s="8">
        <f t="shared" si="25"/>
        <v>46099</v>
      </c>
      <c r="C298" s="8">
        <f t="shared" si="26"/>
        <v>46113</v>
      </c>
      <c r="D298" s="7">
        <v>3272</v>
      </c>
      <c r="E298" s="7">
        <v>336</v>
      </c>
      <c r="F298" s="7">
        <v>4</v>
      </c>
      <c r="G298" s="7">
        <v>3</v>
      </c>
      <c r="H298" s="7">
        <v>81221</v>
      </c>
      <c r="I298" s="7" t="s">
        <v>104</v>
      </c>
      <c r="J298" s="7">
        <v>76512744</v>
      </c>
      <c r="K298" s="7" t="s">
        <v>563</v>
      </c>
      <c r="L298" s="7" t="s">
        <v>566</v>
      </c>
      <c r="M298" s="9">
        <v>239900</v>
      </c>
      <c r="N298" s="10">
        <f t="shared" si="27"/>
        <v>0.9</v>
      </c>
      <c r="O298" s="34">
        <f t="shared" si="28"/>
        <v>23989.999999999996</v>
      </c>
      <c r="P298" s="7" t="str">
        <f t="shared" si="29"/>
        <v>PERCENTAGE</v>
      </c>
    </row>
    <row r="299" spans="1:16" x14ac:dyDescent="0.25">
      <c r="A299" s="7" t="str">
        <f t="shared" si="24"/>
        <v>2023 ALL D90</v>
      </c>
      <c r="B299" s="8">
        <f t="shared" si="25"/>
        <v>46099</v>
      </c>
      <c r="C299" s="8">
        <f t="shared" si="26"/>
        <v>46113</v>
      </c>
      <c r="D299" s="7">
        <v>3272</v>
      </c>
      <c r="E299" s="7">
        <v>336</v>
      </c>
      <c r="F299" s="7">
        <v>4</v>
      </c>
      <c r="G299" s="7">
        <v>3</v>
      </c>
      <c r="H299" s="7">
        <v>81221</v>
      </c>
      <c r="I299" s="7" t="s">
        <v>104</v>
      </c>
      <c r="J299" s="7">
        <v>76512753</v>
      </c>
      <c r="K299" s="7" t="s">
        <v>563</v>
      </c>
      <c r="L299" s="7" t="s">
        <v>567</v>
      </c>
      <c r="M299" s="9">
        <v>239900</v>
      </c>
      <c r="N299" s="10">
        <f t="shared" si="27"/>
        <v>0.9</v>
      </c>
      <c r="O299" s="34">
        <f t="shared" si="28"/>
        <v>23989.999999999996</v>
      </c>
      <c r="P299" s="7" t="str">
        <f t="shared" si="29"/>
        <v>PERCENTAGE</v>
      </c>
    </row>
    <row r="300" spans="1:16" x14ac:dyDescent="0.25">
      <c r="A300" s="7" t="str">
        <f t="shared" si="24"/>
        <v>2023 ALL D90</v>
      </c>
      <c r="B300" s="8">
        <f t="shared" si="25"/>
        <v>46099</v>
      </c>
      <c r="C300" s="8">
        <f t="shared" si="26"/>
        <v>46113</v>
      </c>
      <c r="D300" s="7">
        <v>3272</v>
      </c>
      <c r="E300" s="7">
        <v>336</v>
      </c>
      <c r="F300" s="7">
        <v>4</v>
      </c>
      <c r="G300" s="7">
        <v>3</v>
      </c>
      <c r="H300" s="7">
        <v>81221</v>
      </c>
      <c r="I300" s="7" t="s">
        <v>104</v>
      </c>
      <c r="J300" s="7">
        <v>76622018</v>
      </c>
      <c r="K300" s="7" t="s">
        <v>563</v>
      </c>
      <c r="L300" s="7" t="s">
        <v>568</v>
      </c>
      <c r="M300" s="9">
        <v>239900</v>
      </c>
      <c r="N300" s="10">
        <f t="shared" si="27"/>
        <v>0.9</v>
      </c>
      <c r="O300" s="34">
        <f t="shared" si="28"/>
        <v>23989.999999999996</v>
      </c>
      <c r="P300" s="7" t="str">
        <f t="shared" si="29"/>
        <v>PERCENTAGE</v>
      </c>
    </row>
    <row r="301" spans="1:16" x14ac:dyDescent="0.25">
      <c r="A301" s="7" t="str">
        <f t="shared" si="24"/>
        <v>2023 ALL D90</v>
      </c>
      <c r="B301" s="8">
        <f t="shared" si="25"/>
        <v>46099</v>
      </c>
      <c r="C301" s="8">
        <f t="shared" si="26"/>
        <v>46113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76512762</v>
      </c>
      <c r="K301" s="7" t="s">
        <v>569</v>
      </c>
      <c r="L301" s="7" t="s">
        <v>570</v>
      </c>
      <c r="M301" s="9">
        <v>229900</v>
      </c>
      <c r="N301" s="10">
        <f t="shared" si="27"/>
        <v>0.9</v>
      </c>
      <c r="O301" s="34">
        <f t="shared" si="28"/>
        <v>22989.999999999996</v>
      </c>
      <c r="P301" s="7" t="str">
        <f t="shared" si="29"/>
        <v>PERCENTAGE</v>
      </c>
    </row>
    <row r="302" spans="1:16" x14ac:dyDescent="0.25">
      <c r="A302" s="7" t="str">
        <f t="shared" si="24"/>
        <v>2023 ALL D90</v>
      </c>
      <c r="B302" s="8">
        <f t="shared" si="25"/>
        <v>46099</v>
      </c>
      <c r="C302" s="8">
        <f t="shared" si="26"/>
        <v>46113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76512780</v>
      </c>
      <c r="K302" s="7" t="s">
        <v>569</v>
      </c>
      <c r="L302" s="7" t="s">
        <v>571</v>
      </c>
      <c r="M302" s="9">
        <v>229900</v>
      </c>
      <c r="N302" s="10">
        <f t="shared" si="27"/>
        <v>0.9</v>
      </c>
      <c r="O302" s="34">
        <f t="shared" si="28"/>
        <v>22989.999999999996</v>
      </c>
      <c r="P302" s="7" t="str">
        <f t="shared" si="29"/>
        <v>PERCENTAGE</v>
      </c>
    </row>
    <row r="303" spans="1:16" x14ac:dyDescent="0.25">
      <c r="A303" s="7" t="str">
        <f t="shared" si="24"/>
        <v>2023 ALL D90</v>
      </c>
      <c r="B303" s="8">
        <f t="shared" si="25"/>
        <v>46099</v>
      </c>
      <c r="C303" s="8">
        <f t="shared" si="26"/>
        <v>46113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76512799</v>
      </c>
      <c r="K303" s="7" t="s">
        <v>569</v>
      </c>
      <c r="L303" s="7" t="s">
        <v>572</v>
      </c>
      <c r="M303" s="9">
        <v>229900</v>
      </c>
      <c r="N303" s="10">
        <f t="shared" si="27"/>
        <v>0.9</v>
      </c>
      <c r="O303" s="34">
        <f t="shared" si="28"/>
        <v>22989.999999999996</v>
      </c>
      <c r="P303" s="7" t="str">
        <f t="shared" si="29"/>
        <v>PERCENTAGE</v>
      </c>
    </row>
    <row r="304" spans="1:16" x14ac:dyDescent="0.25">
      <c r="A304" s="7" t="str">
        <f t="shared" si="24"/>
        <v>2023 ALL D90</v>
      </c>
      <c r="B304" s="8">
        <f t="shared" si="25"/>
        <v>46099</v>
      </c>
      <c r="C304" s="8">
        <f t="shared" si="26"/>
        <v>46113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76512806</v>
      </c>
      <c r="K304" s="7" t="s">
        <v>569</v>
      </c>
      <c r="L304" s="7" t="s">
        <v>573</v>
      </c>
      <c r="M304" s="9">
        <v>229900</v>
      </c>
      <c r="N304" s="10">
        <f t="shared" si="27"/>
        <v>0.9</v>
      </c>
      <c r="O304" s="34">
        <f t="shared" si="28"/>
        <v>22989.999999999996</v>
      </c>
      <c r="P304" s="7" t="str">
        <f t="shared" si="29"/>
        <v>PERCENTAGE</v>
      </c>
    </row>
    <row r="305" spans="1:16" x14ac:dyDescent="0.25">
      <c r="A305" s="7" t="str">
        <f t="shared" si="24"/>
        <v>2023 ALL D90</v>
      </c>
      <c r="B305" s="8">
        <f t="shared" si="25"/>
        <v>46099</v>
      </c>
      <c r="C305" s="8">
        <f t="shared" si="26"/>
        <v>46113</v>
      </c>
      <c r="D305" s="7">
        <v>3272</v>
      </c>
      <c r="E305" s="7">
        <v>336</v>
      </c>
      <c r="F305" s="7">
        <v>4</v>
      </c>
      <c r="G305" s="7">
        <v>3</v>
      </c>
      <c r="H305" s="7">
        <v>81379</v>
      </c>
      <c r="I305" s="7" t="s">
        <v>104</v>
      </c>
      <c r="J305" s="7">
        <v>78759887</v>
      </c>
      <c r="K305" s="7" t="s">
        <v>574</v>
      </c>
      <c r="L305" s="7" t="s">
        <v>575</v>
      </c>
      <c r="M305" s="9">
        <v>239900</v>
      </c>
      <c r="N305" s="10">
        <f t="shared" si="27"/>
        <v>0.9</v>
      </c>
      <c r="O305" s="34">
        <f t="shared" si="28"/>
        <v>23989.999999999996</v>
      </c>
      <c r="P305" s="7" t="str">
        <f t="shared" si="29"/>
        <v>PERCENTAGE</v>
      </c>
    </row>
    <row r="306" spans="1:16" x14ac:dyDescent="0.25">
      <c r="A306" s="7" t="str">
        <f t="shared" si="24"/>
        <v>2023 ALL D90</v>
      </c>
      <c r="B306" s="8">
        <f t="shared" si="25"/>
        <v>46099</v>
      </c>
      <c r="C306" s="8">
        <f t="shared" si="26"/>
        <v>46113</v>
      </c>
      <c r="D306" s="7">
        <v>3272</v>
      </c>
      <c r="E306" s="7">
        <v>336</v>
      </c>
      <c r="F306" s="7">
        <v>4</v>
      </c>
      <c r="G306" s="7">
        <v>3</v>
      </c>
      <c r="H306" s="7">
        <v>81379</v>
      </c>
      <c r="I306" s="7" t="s">
        <v>104</v>
      </c>
      <c r="J306" s="7">
        <v>78759896</v>
      </c>
      <c r="K306" s="7" t="s">
        <v>574</v>
      </c>
      <c r="L306" s="7" t="s">
        <v>576</v>
      </c>
      <c r="M306" s="9">
        <v>239900</v>
      </c>
      <c r="N306" s="10">
        <f t="shared" si="27"/>
        <v>0.9</v>
      </c>
      <c r="O306" s="34">
        <f t="shared" si="28"/>
        <v>23989.999999999996</v>
      </c>
      <c r="P306" s="7" t="str">
        <f t="shared" si="29"/>
        <v>PERCENTAGE</v>
      </c>
    </row>
    <row r="307" spans="1:16" x14ac:dyDescent="0.25">
      <c r="A307" s="7" t="str">
        <f t="shared" si="24"/>
        <v>2023 ALL D90</v>
      </c>
      <c r="B307" s="8">
        <f t="shared" si="25"/>
        <v>46099</v>
      </c>
      <c r="C307" s="8">
        <f t="shared" si="26"/>
        <v>46113</v>
      </c>
      <c r="D307" s="7">
        <v>3272</v>
      </c>
      <c r="E307" s="7">
        <v>336</v>
      </c>
      <c r="F307" s="7">
        <v>4</v>
      </c>
      <c r="G307" s="7">
        <v>3</v>
      </c>
      <c r="H307" s="7">
        <v>81379</v>
      </c>
      <c r="I307" s="7" t="s">
        <v>104</v>
      </c>
      <c r="J307" s="7">
        <v>78759903</v>
      </c>
      <c r="K307" s="7" t="s">
        <v>574</v>
      </c>
      <c r="L307" s="7" t="s">
        <v>577</v>
      </c>
      <c r="M307" s="9">
        <v>239900</v>
      </c>
      <c r="N307" s="10">
        <f t="shared" si="27"/>
        <v>0.9</v>
      </c>
      <c r="O307" s="34">
        <f t="shared" si="28"/>
        <v>23989.999999999996</v>
      </c>
      <c r="P307" s="7" t="str">
        <f t="shared" si="29"/>
        <v>PERCENTAGE</v>
      </c>
    </row>
    <row r="308" spans="1:16" x14ac:dyDescent="0.25">
      <c r="A308" s="7" t="str">
        <f t="shared" si="24"/>
        <v>2023 ALL D90</v>
      </c>
      <c r="B308" s="8">
        <f t="shared" si="25"/>
        <v>46099</v>
      </c>
      <c r="C308" s="8">
        <f t="shared" si="26"/>
        <v>46113</v>
      </c>
      <c r="D308" s="7">
        <v>3272</v>
      </c>
      <c r="E308" s="7">
        <v>336</v>
      </c>
      <c r="F308" s="7">
        <v>4</v>
      </c>
      <c r="G308" s="7">
        <v>3</v>
      </c>
      <c r="H308" s="7">
        <v>81379</v>
      </c>
      <c r="I308" s="7" t="s">
        <v>104</v>
      </c>
      <c r="J308" s="7">
        <v>78759912</v>
      </c>
      <c r="K308" s="7" t="s">
        <v>574</v>
      </c>
      <c r="L308" s="7" t="s">
        <v>578</v>
      </c>
      <c r="M308" s="9">
        <v>239900</v>
      </c>
      <c r="N308" s="10">
        <f t="shared" si="27"/>
        <v>0.9</v>
      </c>
      <c r="O308" s="34">
        <f t="shared" si="28"/>
        <v>23989.999999999996</v>
      </c>
      <c r="P308" s="7" t="str">
        <f t="shared" si="29"/>
        <v>PERCENTAGE</v>
      </c>
    </row>
    <row r="309" spans="1:16" x14ac:dyDescent="0.25">
      <c r="A309" s="7" t="str">
        <f t="shared" si="24"/>
        <v>2023 ALL D90</v>
      </c>
      <c r="B309" s="8">
        <f t="shared" si="25"/>
        <v>46099</v>
      </c>
      <c r="C309" s="8">
        <f t="shared" si="26"/>
        <v>46113</v>
      </c>
      <c r="D309" s="7">
        <v>3272</v>
      </c>
      <c r="E309" s="7">
        <v>336</v>
      </c>
      <c r="F309" s="7">
        <v>4</v>
      </c>
      <c r="G309" s="7">
        <v>3</v>
      </c>
      <c r="H309" s="7">
        <v>81379</v>
      </c>
      <c r="I309" s="7" t="s">
        <v>104</v>
      </c>
      <c r="J309" s="7">
        <v>78759921</v>
      </c>
      <c r="K309" s="7" t="s">
        <v>574</v>
      </c>
      <c r="L309" s="7" t="s">
        <v>579</v>
      </c>
      <c r="M309" s="9">
        <v>239900</v>
      </c>
      <c r="N309" s="10">
        <f t="shared" si="27"/>
        <v>0.9</v>
      </c>
      <c r="O309" s="34">
        <f t="shared" si="28"/>
        <v>23989.999999999996</v>
      </c>
      <c r="P309" s="7" t="str">
        <f t="shared" si="29"/>
        <v>PERCENTAGE</v>
      </c>
    </row>
    <row r="310" spans="1:16" x14ac:dyDescent="0.25">
      <c r="A310" s="7" t="str">
        <f t="shared" si="24"/>
        <v>2023 ALL D90</v>
      </c>
      <c r="B310" s="8">
        <f t="shared" si="25"/>
        <v>46099</v>
      </c>
      <c r="C310" s="8">
        <f t="shared" si="26"/>
        <v>46113</v>
      </c>
      <c r="D310" s="7">
        <v>3272</v>
      </c>
      <c r="E310" s="7">
        <v>336</v>
      </c>
      <c r="F310" s="7">
        <v>4</v>
      </c>
      <c r="G310" s="7">
        <v>3</v>
      </c>
      <c r="H310" s="7">
        <v>81676</v>
      </c>
      <c r="I310" s="7" t="s">
        <v>104</v>
      </c>
      <c r="J310" s="7">
        <v>63287165</v>
      </c>
      <c r="K310" s="7" t="s">
        <v>580</v>
      </c>
      <c r="L310" s="7" t="s">
        <v>581</v>
      </c>
      <c r="M310" s="9">
        <v>219900</v>
      </c>
      <c r="N310" s="10">
        <f t="shared" si="27"/>
        <v>0.9</v>
      </c>
      <c r="O310" s="34">
        <f t="shared" si="28"/>
        <v>21989.999999999996</v>
      </c>
      <c r="P310" s="7" t="str">
        <f t="shared" si="29"/>
        <v>PERCENTAGE</v>
      </c>
    </row>
    <row r="311" spans="1:16" x14ac:dyDescent="0.25">
      <c r="A311" s="7" t="str">
        <f t="shared" si="24"/>
        <v>2023 ALL D90</v>
      </c>
      <c r="B311" s="8">
        <f t="shared" si="25"/>
        <v>46099</v>
      </c>
      <c r="C311" s="8">
        <f t="shared" si="26"/>
        <v>46113</v>
      </c>
      <c r="D311" s="7">
        <v>3272</v>
      </c>
      <c r="E311" s="7">
        <v>336</v>
      </c>
      <c r="F311" s="7">
        <v>4</v>
      </c>
      <c r="G311" s="7">
        <v>3</v>
      </c>
      <c r="H311" s="7">
        <v>81676</v>
      </c>
      <c r="I311" s="7" t="s">
        <v>104</v>
      </c>
      <c r="J311" s="7">
        <v>63287174</v>
      </c>
      <c r="K311" s="7" t="s">
        <v>580</v>
      </c>
      <c r="L311" s="7" t="s">
        <v>582</v>
      </c>
      <c r="M311" s="9">
        <v>219900</v>
      </c>
      <c r="N311" s="10">
        <f t="shared" si="27"/>
        <v>0.9</v>
      </c>
      <c r="O311" s="34">
        <f t="shared" si="28"/>
        <v>21989.999999999996</v>
      </c>
      <c r="P311" s="7" t="str">
        <f t="shared" si="29"/>
        <v>PERCENTAGE</v>
      </c>
    </row>
    <row r="312" spans="1:16" x14ac:dyDescent="0.25">
      <c r="A312" s="7" t="str">
        <f t="shared" si="24"/>
        <v>2023 ALL D90</v>
      </c>
      <c r="B312" s="8">
        <f t="shared" si="25"/>
        <v>46099</v>
      </c>
      <c r="C312" s="8">
        <f t="shared" si="26"/>
        <v>46113</v>
      </c>
      <c r="D312" s="7">
        <v>3272</v>
      </c>
      <c r="E312" s="7">
        <v>336</v>
      </c>
      <c r="F312" s="7">
        <v>4</v>
      </c>
      <c r="G312" s="7">
        <v>3</v>
      </c>
      <c r="H312" s="7">
        <v>81676</v>
      </c>
      <c r="I312" s="7" t="s">
        <v>104</v>
      </c>
      <c r="J312" s="7">
        <v>63287183</v>
      </c>
      <c r="K312" s="7" t="s">
        <v>580</v>
      </c>
      <c r="L312" s="7" t="s">
        <v>583</v>
      </c>
      <c r="M312" s="9">
        <v>219900</v>
      </c>
      <c r="N312" s="10">
        <f t="shared" si="27"/>
        <v>0.9</v>
      </c>
      <c r="O312" s="34">
        <f t="shared" si="28"/>
        <v>21989.999999999996</v>
      </c>
      <c r="P312" s="7" t="str">
        <f t="shared" si="29"/>
        <v>PERCENTAGE</v>
      </c>
    </row>
    <row r="313" spans="1:16" x14ac:dyDescent="0.25">
      <c r="A313" s="7" t="str">
        <f t="shared" si="24"/>
        <v>2023 ALL D90</v>
      </c>
      <c r="B313" s="8">
        <f t="shared" si="25"/>
        <v>46099</v>
      </c>
      <c r="C313" s="8">
        <f t="shared" si="26"/>
        <v>46113</v>
      </c>
      <c r="D313" s="7">
        <v>3272</v>
      </c>
      <c r="E313" s="7">
        <v>336</v>
      </c>
      <c r="F313" s="7">
        <v>4</v>
      </c>
      <c r="G313" s="7">
        <v>3</v>
      </c>
      <c r="H313" s="7">
        <v>81676</v>
      </c>
      <c r="I313" s="7" t="s">
        <v>104</v>
      </c>
      <c r="J313" s="7">
        <v>63287209</v>
      </c>
      <c r="K313" s="7" t="s">
        <v>580</v>
      </c>
      <c r="L313" s="7" t="s">
        <v>584</v>
      </c>
      <c r="M313" s="9">
        <v>219900</v>
      </c>
      <c r="N313" s="10">
        <f t="shared" si="27"/>
        <v>0.9</v>
      </c>
      <c r="O313" s="34">
        <f t="shared" si="28"/>
        <v>21989.999999999996</v>
      </c>
      <c r="P313" s="7" t="str">
        <f t="shared" si="29"/>
        <v>PERCENTAGE</v>
      </c>
    </row>
    <row r="314" spans="1:16" x14ac:dyDescent="0.25">
      <c r="A314" s="7" t="str">
        <f t="shared" si="24"/>
        <v>2023 ALL D90</v>
      </c>
      <c r="B314" s="8">
        <f t="shared" si="25"/>
        <v>46099</v>
      </c>
      <c r="C314" s="8">
        <f t="shared" si="26"/>
        <v>46113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79845406</v>
      </c>
      <c r="K314" s="7" t="s">
        <v>585</v>
      </c>
      <c r="L314" s="7" t="s">
        <v>586</v>
      </c>
      <c r="M314" s="9">
        <v>239900</v>
      </c>
      <c r="N314" s="10">
        <f t="shared" si="27"/>
        <v>0.9</v>
      </c>
      <c r="O314" s="34">
        <f t="shared" si="28"/>
        <v>23989.999999999996</v>
      </c>
      <c r="P314" s="7" t="str">
        <f t="shared" si="29"/>
        <v>PERCENTAGE</v>
      </c>
    </row>
    <row r="315" spans="1:16" x14ac:dyDescent="0.25">
      <c r="A315" s="7" t="str">
        <f t="shared" si="24"/>
        <v>2023 ALL D90</v>
      </c>
      <c r="B315" s="8">
        <f t="shared" si="25"/>
        <v>46099</v>
      </c>
      <c r="C315" s="8">
        <f t="shared" si="26"/>
        <v>46113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79845415</v>
      </c>
      <c r="K315" s="7" t="s">
        <v>585</v>
      </c>
      <c r="L315" s="7" t="s">
        <v>587</v>
      </c>
      <c r="M315" s="9">
        <v>239900</v>
      </c>
      <c r="N315" s="10">
        <f t="shared" si="27"/>
        <v>0.9</v>
      </c>
      <c r="O315" s="34">
        <f t="shared" si="28"/>
        <v>23989.999999999996</v>
      </c>
      <c r="P315" s="7" t="str">
        <f t="shared" si="29"/>
        <v>PERCENTAGE</v>
      </c>
    </row>
    <row r="316" spans="1:16" x14ac:dyDescent="0.25">
      <c r="A316" s="7" t="str">
        <f t="shared" si="24"/>
        <v>2023 ALL D90</v>
      </c>
      <c r="B316" s="8">
        <f t="shared" si="25"/>
        <v>46099</v>
      </c>
      <c r="C316" s="8">
        <f t="shared" si="26"/>
        <v>46113</v>
      </c>
      <c r="D316" s="7">
        <v>3272</v>
      </c>
      <c r="E316" s="7">
        <v>336</v>
      </c>
      <c r="F316" s="7">
        <v>4</v>
      </c>
      <c r="G316" s="7">
        <v>3</v>
      </c>
      <c r="H316" s="7">
        <v>81379</v>
      </c>
      <c r="I316" s="7" t="s">
        <v>104</v>
      </c>
      <c r="J316" s="7">
        <v>79845424</v>
      </c>
      <c r="K316" s="7" t="s">
        <v>585</v>
      </c>
      <c r="L316" s="7" t="s">
        <v>588</v>
      </c>
      <c r="M316" s="9">
        <v>239900</v>
      </c>
      <c r="N316" s="10">
        <f t="shared" si="27"/>
        <v>0.9</v>
      </c>
      <c r="O316" s="34">
        <f t="shared" si="28"/>
        <v>23989.999999999996</v>
      </c>
      <c r="P316" s="7" t="str">
        <f t="shared" si="29"/>
        <v>PERCENTAGE</v>
      </c>
    </row>
    <row r="317" spans="1:16" x14ac:dyDescent="0.25">
      <c r="A317" s="7" t="str">
        <f t="shared" si="24"/>
        <v>2023 ALL D90</v>
      </c>
      <c r="B317" s="8">
        <f t="shared" si="25"/>
        <v>46099</v>
      </c>
      <c r="C317" s="8">
        <f t="shared" si="26"/>
        <v>46113</v>
      </c>
      <c r="D317" s="7">
        <v>3272</v>
      </c>
      <c r="E317" s="7">
        <v>336</v>
      </c>
      <c r="F317" s="7">
        <v>4</v>
      </c>
      <c r="G317" s="7">
        <v>3</v>
      </c>
      <c r="H317" s="7">
        <v>81379</v>
      </c>
      <c r="I317" s="7" t="s">
        <v>104</v>
      </c>
      <c r="J317" s="7">
        <v>79845433</v>
      </c>
      <c r="K317" s="7" t="s">
        <v>585</v>
      </c>
      <c r="L317" s="7" t="s">
        <v>589</v>
      </c>
      <c r="M317" s="9">
        <v>239900</v>
      </c>
      <c r="N317" s="10">
        <f t="shared" si="27"/>
        <v>0.9</v>
      </c>
      <c r="O317" s="34">
        <f t="shared" si="28"/>
        <v>23989.999999999996</v>
      </c>
      <c r="P317" s="7" t="str">
        <f t="shared" si="29"/>
        <v>PERCENTAGE</v>
      </c>
    </row>
    <row r="318" spans="1:16" x14ac:dyDescent="0.25">
      <c r="A318" s="7" t="str">
        <f t="shared" si="24"/>
        <v>2023 ALL D90</v>
      </c>
      <c r="B318" s="8">
        <f t="shared" si="25"/>
        <v>46099</v>
      </c>
      <c r="C318" s="8">
        <f t="shared" si="26"/>
        <v>46113</v>
      </c>
      <c r="D318" s="7">
        <v>3272</v>
      </c>
      <c r="E318" s="7">
        <v>336</v>
      </c>
      <c r="F318" s="7">
        <v>4</v>
      </c>
      <c r="G318" s="7">
        <v>3</v>
      </c>
      <c r="H318" s="7">
        <v>81379</v>
      </c>
      <c r="I318" s="7" t="s">
        <v>104</v>
      </c>
      <c r="J318" s="7">
        <v>79845442</v>
      </c>
      <c r="K318" s="7" t="s">
        <v>585</v>
      </c>
      <c r="L318" s="7" t="s">
        <v>590</v>
      </c>
      <c r="M318" s="9">
        <v>239900</v>
      </c>
      <c r="N318" s="10">
        <f t="shared" si="27"/>
        <v>0.9</v>
      </c>
      <c r="O318" s="34">
        <f t="shared" si="28"/>
        <v>23989.999999999996</v>
      </c>
      <c r="P318" s="7" t="str">
        <f t="shared" si="29"/>
        <v>PERCENTAGE</v>
      </c>
    </row>
    <row r="319" spans="1:16" x14ac:dyDescent="0.25">
      <c r="A319" s="7" t="str">
        <f t="shared" si="24"/>
        <v>2023 ALL D90</v>
      </c>
      <c r="B319" s="8">
        <f t="shared" si="25"/>
        <v>46099</v>
      </c>
      <c r="C319" s="8">
        <f t="shared" si="26"/>
        <v>46113</v>
      </c>
      <c r="D319" s="7">
        <v>3272</v>
      </c>
      <c r="E319" s="7">
        <v>336</v>
      </c>
      <c r="F319" s="7">
        <v>4</v>
      </c>
      <c r="G319" s="7">
        <v>4</v>
      </c>
      <c r="H319" s="7">
        <v>81379</v>
      </c>
      <c r="I319" s="7" t="s">
        <v>104</v>
      </c>
      <c r="J319" s="7">
        <v>76512619</v>
      </c>
      <c r="K319" s="7" t="s">
        <v>591</v>
      </c>
      <c r="L319" s="7" t="s">
        <v>592</v>
      </c>
      <c r="M319" s="9">
        <v>159900</v>
      </c>
      <c r="N319" s="10">
        <f t="shared" si="27"/>
        <v>0.9</v>
      </c>
      <c r="O319" s="34">
        <f t="shared" si="28"/>
        <v>15989.999999999996</v>
      </c>
      <c r="P319" s="7" t="str">
        <f t="shared" si="29"/>
        <v>PERCENTAGE</v>
      </c>
    </row>
    <row r="320" spans="1:16" x14ac:dyDescent="0.25">
      <c r="A320" s="7" t="str">
        <f t="shared" si="24"/>
        <v>2023 ALL D90</v>
      </c>
      <c r="B320" s="8">
        <f t="shared" si="25"/>
        <v>46099</v>
      </c>
      <c r="C320" s="8">
        <f t="shared" si="26"/>
        <v>46113</v>
      </c>
      <c r="D320" s="7">
        <v>3272</v>
      </c>
      <c r="E320" s="7">
        <v>336</v>
      </c>
      <c r="F320" s="7">
        <v>4</v>
      </c>
      <c r="G320" s="7">
        <v>4</v>
      </c>
      <c r="H320" s="7">
        <v>81379</v>
      </c>
      <c r="I320" s="7" t="s">
        <v>104</v>
      </c>
      <c r="J320" s="7">
        <v>76512628</v>
      </c>
      <c r="K320" s="7" t="s">
        <v>591</v>
      </c>
      <c r="L320" s="7" t="s">
        <v>593</v>
      </c>
      <c r="M320" s="9">
        <v>159900</v>
      </c>
      <c r="N320" s="10">
        <f t="shared" si="27"/>
        <v>0.9</v>
      </c>
      <c r="O320" s="34">
        <f t="shared" si="28"/>
        <v>15989.999999999996</v>
      </c>
      <c r="P320" s="7" t="str">
        <f t="shared" si="29"/>
        <v>PERCENTAGE</v>
      </c>
    </row>
    <row r="321" spans="1:16" x14ac:dyDescent="0.25">
      <c r="A321" s="7" t="str">
        <f t="shared" si="24"/>
        <v>2023 ALL D90</v>
      </c>
      <c r="B321" s="8">
        <f t="shared" si="25"/>
        <v>46099</v>
      </c>
      <c r="C321" s="8">
        <f t="shared" si="26"/>
        <v>46113</v>
      </c>
      <c r="D321" s="7">
        <v>3272</v>
      </c>
      <c r="E321" s="7">
        <v>336</v>
      </c>
      <c r="F321" s="7">
        <v>4</v>
      </c>
      <c r="G321" s="7">
        <v>4</v>
      </c>
      <c r="H321" s="7">
        <v>81379</v>
      </c>
      <c r="I321" s="7" t="s">
        <v>104</v>
      </c>
      <c r="J321" s="7">
        <v>76512637</v>
      </c>
      <c r="K321" s="7" t="s">
        <v>591</v>
      </c>
      <c r="L321" s="7" t="s">
        <v>594</v>
      </c>
      <c r="M321" s="9">
        <v>159900</v>
      </c>
      <c r="N321" s="10">
        <f t="shared" si="27"/>
        <v>0.9</v>
      </c>
      <c r="O321" s="34">
        <f t="shared" si="28"/>
        <v>15989.999999999996</v>
      </c>
      <c r="P321" s="7" t="str">
        <f t="shared" si="29"/>
        <v>PERCENTAGE</v>
      </c>
    </row>
    <row r="322" spans="1:16" x14ac:dyDescent="0.25">
      <c r="A322" s="7" t="str">
        <f t="shared" si="24"/>
        <v>2023 ALL D90</v>
      </c>
      <c r="B322" s="8">
        <f t="shared" si="25"/>
        <v>46099</v>
      </c>
      <c r="C322" s="8">
        <f t="shared" si="26"/>
        <v>46113</v>
      </c>
      <c r="D322" s="7">
        <v>3272</v>
      </c>
      <c r="E322" s="7">
        <v>336</v>
      </c>
      <c r="F322" s="7">
        <v>4</v>
      </c>
      <c r="G322" s="7">
        <v>4</v>
      </c>
      <c r="H322" s="7">
        <v>81379</v>
      </c>
      <c r="I322" s="7" t="s">
        <v>104</v>
      </c>
      <c r="J322" s="7">
        <v>76621984</v>
      </c>
      <c r="K322" s="7" t="s">
        <v>591</v>
      </c>
      <c r="L322" s="7" t="s">
        <v>595</v>
      </c>
      <c r="M322" s="9">
        <v>159900</v>
      </c>
      <c r="N322" s="10">
        <f t="shared" si="27"/>
        <v>0.9</v>
      </c>
      <c r="O322" s="34">
        <f t="shared" si="28"/>
        <v>15989.999999999996</v>
      </c>
      <c r="P322" s="7" t="str">
        <f t="shared" si="29"/>
        <v>PERCENTAGE</v>
      </c>
    </row>
    <row r="323" spans="1:16" x14ac:dyDescent="0.25">
      <c r="A323" s="7" t="str">
        <f t="shared" ref="A323:A386" si="30">A322</f>
        <v>2023 ALL D90</v>
      </c>
      <c r="B323" s="8">
        <f t="shared" ref="B323:B386" si="31">B322</f>
        <v>46099</v>
      </c>
      <c r="C323" s="8">
        <f t="shared" ref="C323:C386" si="32">C322</f>
        <v>46113</v>
      </c>
      <c r="D323" s="7">
        <v>3272</v>
      </c>
      <c r="E323" s="7">
        <v>336</v>
      </c>
      <c r="F323" s="7">
        <v>4</v>
      </c>
      <c r="G323" s="7">
        <v>4</v>
      </c>
      <c r="H323" s="7">
        <v>81379</v>
      </c>
      <c r="I323" s="7" t="s">
        <v>104</v>
      </c>
      <c r="J323" s="7">
        <v>80290931</v>
      </c>
      <c r="K323" s="7" t="s">
        <v>596</v>
      </c>
      <c r="L323" s="7" t="s">
        <v>597</v>
      </c>
      <c r="M323" s="9">
        <v>159900</v>
      </c>
      <c r="N323" s="10">
        <f t="shared" ref="N323:N386" si="33">N322</f>
        <v>0.9</v>
      </c>
      <c r="O323" s="34">
        <f t="shared" ref="O323:O386" si="34">M323*(1-N323)</f>
        <v>15989.999999999996</v>
      </c>
      <c r="P323" s="7" t="str">
        <f t="shared" ref="P323:P386" si="35">P322</f>
        <v>PERCENTAGE</v>
      </c>
    </row>
    <row r="324" spans="1:16" x14ac:dyDescent="0.25">
      <c r="A324" s="7" t="str">
        <f t="shared" si="30"/>
        <v>2023 ALL D90</v>
      </c>
      <c r="B324" s="8">
        <f t="shared" si="31"/>
        <v>46099</v>
      </c>
      <c r="C324" s="8">
        <f t="shared" si="32"/>
        <v>46113</v>
      </c>
      <c r="D324" s="7">
        <v>3272</v>
      </c>
      <c r="E324" s="7">
        <v>336</v>
      </c>
      <c r="F324" s="7">
        <v>4</v>
      </c>
      <c r="G324" s="7">
        <v>4</v>
      </c>
      <c r="H324" s="7">
        <v>81379</v>
      </c>
      <c r="I324" s="7" t="s">
        <v>104</v>
      </c>
      <c r="J324" s="7">
        <v>80290940</v>
      </c>
      <c r="K324" s="7" t="s">
        <v>596</v>
      </c>
      <c r="L324" s="7" t="s">
        <v>598</v>
      </c>
      <c r="M324" s="9">
        <v>159900</v>
      </c>
      <c r="N324" s="10">
        <f t="shared" si="33"/>
        <v>0.9</v>
      </c>
      <c r="O324" s="34">
        <f t="shared" si="34"/>
        <v>15989.999999999996</v>
      </c>
      <c r="P324" s="7" t="str">
        <f t="shared" si="35"/>
        <v>PERCENTAGE</v>
      </c>
    </row>
    <row r="325" spans="1:16" x14ac:dyDescent="0.25">
      <c r="A325" s="7" t="str">
        <f t="shared" si="30"/>
        <v>2023 ALL D90</v>
      </c>
      <c r="B325" s="8">
        <f t="shared" si="31"/>
        <v>46099</v>
      </c>
      <c r="C325" s="8">
        <f t="shared" si="32"/>
        <v>46113</v>
      </c>
      <c r="D325" s="7">
        <v>3272</v>
      </c>
      <c r="E325" s="7">
        <v>336</v>
      </c>
      <c r="F325" s="7">
        <v>4</v>
      </c>
      <c r="G325" s="7">
        <v>4</v>
      </c>
      <c r="H325" s="7">
        <v>81379</v>
      </c>
      <c r="I325" s="7" t="s">
        <v>104</v>
      </c>
      <c r="J325" s="7">
        <v>80290968</v>
      </c>
      <c r="K325" s="7" t="s">
        <v>596</v>
      </c>
      <c r="L325" s="7" t="s">
        <v>599</v>
      </c>
      <c r="M325" s="9">
        <v>159900</v>
      </c>
      <c r="N325" s="10">
        <f t="shared" si="33"/>
        <v>0.9</v>
      </c>
      <c r="O325" s="34">
        <f t="shared" si="34"/>
        <v>15989.999999999996</v>
      </c>
      <c r="P325" s="7" t="str">
        <f t="shared" si="35"/>
        <v>PERCENTAGE</v>
      </c>
    </row>
    <row r="326" spans="1:16" x14ac:dyDescent="0.25">
      <c r="A326" s="7" t="str">
        <f t="shared" si="30"/>
        <v>2023 ALL D90</v>
      </c>
      <c r="B326" s="8">
        <f t="shared" si="31"/>
        <v>46099</v>
      </c>
      <c r="C326" s="8">
        <f t="shared" si="32"/>
        <v>46113</v>
      </c>
      <c r="D326" s="7">
        <v>3272</v>
      </c>
      <c r="E326" s="7">
        <v>336</v>
      </c>
      <c r="F326" s="7">
        <v>4</v>
      </c>
      <c r="G326" s="7">
        <v>4</v>
      </c>
      <c r="H326" s="7">
        <v>81379</v>
      </c>
      <c r="I326" s="7" t="s">
        <v>104</v>
      </c>
      <c r="J326" s="7">
        <v>80290977</v>
      </c>
      <c r="K326" s="7" t="s">
        <v>596</v>
      </c>
      <c r="L326" s="7" t="s">
        <v>600</v>
      </c>
      <c r="M326" s="9">
        <v>159900</v>
      </c>
      <c r="N326" s="10">
        <f t="shared" si="33"/>
        <v>0.9</v>
      </c>
      <c r="O326" s="34">
        <f t="shared" si="34"/>
        <v>15989.999999999996</v>
      </c>
      <c r="P326" s="7" t="str">
        <f t="shared" si="35"/>
        <v>PERCENTAGE</v>
      </c>
    </row>
    <row r="327" spans="1:16" x14ac:dyDescent="0.25">
      <c r="A327" s="7" t="str">
        <f t="shared" si="30"/>
        <v>2023 ALL D90</v>
      </c>
      <c r="B327" s="8">
        <f t="shared" si="31"/>
        <v>46099</v>
      </c>
      <c r="C327" s="8">
        <f t="shared" si="32"/>
        <v>46113</v>
      </c>
      <c r="D327" s="7">
        <v>3272</v>
      </c>
      <c r="E327" s="7">
        <v>336</v>
      </c>
      <c r="F327" s="7">
        <v>4</v>
      </c>
      <c r="G327" s="7">
        <v>5</v>
      </c>
      <c r="H327" s="7">
        <v>81379</v>
      </c>
      <c r="I327" s="7" t="s">
        <v>104</v>
      </c>
      <c r="J327" s="7">
        <v>78759985</v>
      </c>
      <c r="K327" s="7" t="s">
        <v>601</v>
      </c>
      <c r="L327" s="7" t="s">
        <v>602</v>
      </c>
      <c r="M327" s="9">
        <v>239900</v>
      </c>
      <c r="N327" s="10">
        <f t="shared" si="33"/>
        <v>0.9</v>
      </c>
      <c r="O327" s="34">
        <f t="shared" si="34"/>
        <v>23989.999999999996</v>
      </c>
      <c r="P327" s="7" t="str">
        <f t="shared" si="35"/>
        <v>PERCENTAGE</v>
      </c>
    </row>
    <row r="328" spans="1:16" x14ac:dyDescent="0.25">
      <c r="A328" s="7" t="str">
        <f t="shared" si="30"/>
        <v>2023 ALL D90</v>
      </c>
      <c r="B328" s="8">
        <f t="shared" si="31"/>
        <v>46099</v>
      </c>
      <c r="C328" s="8">
        <f t="shared" si="32"/>
        <v>46113</v>
      </c>
      <c r="D328" s="7">
        <v>3272</v>
      </c>
      <c r="E328" s="7">
        <v>336</v>
      </c>
      <c r="F328" s="7">
        <v>4</v>
      </c>
      <c r="G328" s="7">
        <v>5</v>
      </c>
      <c r="H328" s="7">
        <v>81379</v>
      </c>
      <c r="I328" s="7" t="s">
        <v>104</v>
      </c>
      <c r="J328" s="7">
        <v>78759994</v>
      </c>
      <c r="K328" s="7" t="s">
        <v>601</v>
      </c>
      <c r="L328" s="7" t="s">
        <v>603</v>
      </c>
      <c r="M328" s="9">
        <v>239900</v>
      </c>
      <c r="N328" s="10">
        <f t="shared" si="33"/>
        <v>0.9</v>
      </c>
      <c r="O328" s="34">
        <f t="shared" si="34"/>
        <v>23989.999999999996</v>
      </c>
      <c r="P328" s="7" t="str">
        <f t="shared" si="35"/>
        <v>PERCENTAGE</v>
      </c>
    </row>
    <row r="329" spans="1:16" x14ac:dyDescent="0.25">
      <c r="A329" s="7" t="str">
        <f t="shared" si="30"/>
        <v>2023 ALL D90</v>
      </c>
      <c r="B329" s="8">
        <f t="shared" si="31"/>
        <v>46099</v>
      </c>
      <c r="C329" s="8">
        <f t="shared" si="32"/>
        <v>46113</v>
      </c>
      <c r="D329" s="7">
        <v>3272</v>
      </c>
      <c r="E329" s="7">
        <v>336</v>
      </c>
      <c r="F329" s="7">
        <v>4</v>
      </c>
      <c r="G329" s="7">
        <v>5</v>
      </c>
      <c r="H329" s="7">
        <v>81379</v>
      </c>
      <c r="I329" s="7" t="s">
        <v>104</v>
      </c>
      <c r="J329" s="7">
        <v>78760008</v>
      </c>
      <c r="K329" s="7" t="s">
        <v>601</v>
      </c>
      <c r="L329" s="7" t="s">
        <v>604</v>
      </c>
      <c r="M329" s="9">
        <v>239900</v>
      </c>
      <c r="N329" s="10">
        <f t="shared" si="33"/>
        <v>0.9</v>
      </c>
      <c r="O329" s="34">
        <f t="shared" si="34"/>
        <v>23989.999999999996</v>
      </c>
      <c r="P329" s="7" t="str">
        <f t="shared" si="35"/>
        <v>PERCENTAGE</v>
      </c>
    </row>
    <row r="330" spans="1:16" x14ac:dyDescent="0.25">
      <c r="A330" s="7" t="str">
        <f t="shared" si="30"/>
        <v>2023 ALL D90</v>
      </c>
      <c r="B330" s="8">
        <f t="shared" si="31"/>
        <v>46099</v>
      </c>
      <c r="C330" s="8">
        <f t="shared" si="32"/>
        <v>46113</v>
      </c>
      <c r="D330" s="7">
        <v>3272</v>
      </c>
      <c r="E330" s="7">
        <v>336</v>
      </c>
      <c r="F330" s="7">
        <v>4</v>
      </c>
      <c r="G330" s="7">
        <v>5</v>
      </c>
      <c r="H330" s="7">
        <v>81379</v>
      </c>
      <c r="I330" s="7" t="s">
        <v>104</v>
      </c>
      <c r="J330" s="7">
        <v>78760017</v>
      </c>
      <c r="K330" s="7" t="s">
        <v>601</v>
      </c>
      <c r="L330" s="7" t="s">
        <v>605</v>
      </c>
      <c r="M330" s="9">
        <v>239900</v>
      </c>
      <c r="N330" s="10">
        <f t="shared" si="33"/>
        <v>0.9</v>
      </c>
      <c r="O330" s="34">
        <f t="shared" si="34"/>
        <v>23989.999999999996</v>
      </c>
      <c r="P330" s="7" t="str">
        <f t="shared" si="35"/>
        <v>PERCENTAGE</v>
      </c>
    </row>
    <row r="331" spans="1:16" x14ac:dyDescent="0.25">
      <c r="A331" s="7" t="str">
        <f t="shared" si="30"/>
        <v>2023 ALL D90</v>
      </c>
      <c r="B331" s="8">
        <f t="shared" si="31"/>
        <v>46099</v>
      </c>
      <c r="C331" s="8">
        <f t="shared" si="32"/>
        <v>46113</v>
      </c>
      <c r="D331" s="7">
        <v>3272</v>
      </c>
      <c r="E331" s="7">
        <v>336</v>
      </c>
      <c r="F331" s="7">
        <v>4</v>
      </c>
      <c r="G331" s="7">
        <v>5</v>
      </c>
      <c r="H331" s="7">
        <v>81379</v>
      </c>
      <c r="I331" s="7" t="s">
        <v>104</v>
      </c>
      <c r="J331" s="7">
        <v>78760026</v>
      </c>
      <c r="K331" s="7" t="s">
        <v>601</v>
      </c>
      <c r="L331" s="7" t="s">
        <v>606</v>
      </c>
      <c r="M331" s="9">
        <v>239900</v>
      </c>
      <c r="N331" s="10">
        <f t="shared" si="33"/>
        <v>0.9</v>
      </c>
      <c r="O331" s="34">
        <f t="shared" si="34"/>
        <v>23989.999999999996</v>
      </c>
      <c r="P331" s="7" t="str">
        <f t="shared" si="35"/>
        <v>PERCENTAGE</v>
      </c>
    </row>
    <row r="332" spans="1:16" x14ac:dyDescent="0.25">
      <c r="A332" s="7" t="str">
        <f t="shared" si="30"/>
        <v>2023 ALL D90</v>
      </c>
      <c r="B332" s="8">
        <f t="shared" si="31"/>
        <v>46099</v>
      </c>
      <c r="C332" s="8">
        <f t="shared" si="32"/>
        <v>46113</v>
      </c>
      <c r="D332" s="7">
        <v>3272</v>
      </c>
      <c r="E332" s="7">
        <v>336</v>
      </c>
      <c r="F332" s="7">
        <v>4</v>
      </c>
      <c r="G332" s="7">
        <v>5</v>
      </c>
      <c r="H332" s="7">
        <v>81676</v>
      </c>
      <c r="I332" s="7" t="s">
        <v>104</v>
      </c>
      <c r="J332" s="7">
        <v>63287272</v>
      </c>
      <c r="K332" s="7" t="s">
        <v>607</v>
      </c>
      <c r="L332" s="7" t="s">
        <v>608</v>
      </c>
      <c r="M332" s="9">
        <v>219900</v>
      </c>
      <c r="N332" s="10">
        <f t="shared" si="33"/>
        <v>0.9</v>
      </c>
      <c r="O332" s="34">
        <f t="shared" si="34"/>
        <v>21989.999999999996</v>
      </c>
      <c r="P332" s="7" t="str">
        <f t="shared" si="35"/>
        <v>PERCENTAGE</v>
      </c>
    </row>
    <row r="333" spans="1:16" x14ac:dyDescent="0.25">
      <c r="A333" s="7" t="str">
        <f t="shared" si="30"/>
        <v>2023 ALL D90</v>
      </c>
      <c r="B333" s="8">
        <f t="shared" si="31"/>
        <v>46099</v>
      </c>
      <c r="C333" s="8">
        <f t="shared" si="32"/>
        <v>46113</v>
      </c>
      <c r="D333" s="7">
        <v>3272</v>
      </c>
      <c r="E333" s="7">
        <v>336</v>
      </c>
      <c r="F333" s="7">
        <v>4</v>
      </c>
      <c r="G333" s="7">
        <v>5</v>
      </c>
      <c r="H333" s="7">
        <v>81676</v>
      </c>
      <c r="I333" s="7" t="s">
        <v>104</v>
      </c>
      <c r="J333" s="7">
        <v>63287290</v>
      </c>
      <c r="K333" s="7" t="s">
        <v>607</v>
      </c>
      <c r="L333" s="7" t="s">
        <v>609</v>
      </c>
      <c r="M333" s="9">
        <v>219900</v>
      </c>
      <c r="N333" s="10">
        <f t="shared" si="33"/>
        <v>0.9</v>
      </c>
      <c r="O333" s="34">
        <f t="shared" si="34"/>
        <v>21989.999999999996</v>
      </c>
      <c r="P333" s="7" t="str">
        <f t="shared" si="35"/>
        <v>PERCENTAGE</v>
      </c>
    </row>
    <row r="334" spans="1:16" x14ac:dyDescent="0.25">
      <c r="A334" s="7" t="str">
        <f t="shared" si="30"/>
        <v>2023 ALL D90</v>
      </c>
      <c r="B334" s="8">
        <f t="shared" si="31"/>
        <v>46099</v>
      </c>
      <c r="C334" s="8">
        <f t="shared" si="32"/>
        <v>46113</v>
      </c>
      <c r="D334" s="7">
        <v>3272</v>
      </c>
      <c r="E334" s="7">
        <v>336</v>
      </c>
      <c r="F334" s="7">
        <v>4</v>
      </c>
      <c r="G334" s="7">
        <v>6</v>
      </c>
      <c r="H334" s="7">
        <v>81574</v>
      </c>
      <c r="I334" s="7" t="s">
        <v>104</v>
      </c>
      <c r="J334" s="7">
        <v>76622045</v>
      </c>
      <c r="K334" s="7" t="s">
        <v>610</v>
      </c>
      <c r="L334" s="7" t="s">
        <v>611</v>
      </c>
      <c r="M334" s="9">
        <v>139900</v>
      </c>
      <c r="N334" s="10">
        <f t="shared" si="33"/>
        <v>0.9</v>
      </c>
      <c r="O334" s="34">
        <f t="shared" si="34"/>
        <v>13989.999999999996</v>
      </c>
      <c r="P334" s="7" t="str">
        <f t="shared" si="35"/>
        <v>PERCENTAGE</v>
      </c>
    </row>
    <row r="335" spans="1:16" x14ac:dyDescent="0.25">
      <c r="A335" s="7" t="str">
        <f t="shared" si="30"/>
        <v>2023 ALL D90</v>
      </c>
      <c r="B335" s="8">
        <f t="shared" si="31"/>
        <v>46099</v>
      </c>
      <c r="C335" s="8">
        <f t="shared" si="32"/>
        <v>46113</v>
      </c>
      <c r="D335" s="7">
        <v>3272</v>
      </c>
      <c r="E335" s="7">
        <v>336</v>
      </c>
      <c r="F335" s="7">
        <v>4</v>
      </c>
      <c r="G335" s="7">
        <v>6</v>
      </c>
      <c r="H335" s="7">
        <v>81574</v>
      </c>
      <c r="I335" s="7" t="s">
        <v>104</v>
      </c>
      <c r="J335" s="7">
        <v>76622054</v>
      </c>
      <c r="K335" s="7" t="s">
        <v>612</v>
      </c>
      <c r="L335" s="7" t="s">
        <v>613</v>
      </c>
      <c r="M335" s="9">
        <v>139900</v>
      </c>
      <c r="N335" s="10">
        <f t="shared" si="33"/>
        <v>0.9</v>
      </c>
      <c r="O335" s="34">
        <f t="shared" si="34"/>
        <v>13989.999999999996</v>
      </c>
      <c r="P335" s="7" t="str">
        <f t="shared" si="35"/>
        <v>PERCENTAGE</v>
      </c>
    </row>
    <row r="336" spans="1:16" x14ac:dyDescent="0.25">
      <c r="A336" s="7" t="str">
        <f t="shared" si="30"/>
        <v>2023 ALL D90</v>
      </c>
      <c r="B336" s="8">
        <f t="shared" si="31"/>
        <v>46099</v>
      </c>
      <c r="C336" s="8">
        <f t="shared" si="32"/>
        <v>46113</v>
      </c>
      <c r="D336" s="7">
        <v>3272</v>
      </c>
      <c r="E336" s="7">
        <v>336</v>
      </c>
      <c r="F336" s="7">
        <v>4</v>
      </c>
      <c r="G336" s="7">
        <v>6</v>
      </c>
      <c r="H336" s="7">
        <v>81574</v>
      </c>
      <c r="I336" s="7" t="s">
        <v>104</v>
      </c>
      <c r="J336" s="7">
        <v>76907390</v>
      </c>
      <c r="K336" s="7" t="s">
        <v>614</v>
      </c>
      <c r="L336" s="7" t="s">
        <v>615</v>
      </c>
      <c r="M336" s="9">
        <v>139900</v>
      </c>
      <c r="N336" s="10">
        <f t="shared" si="33"/>
        <v>0.9</v>
      </c>
      <c r="O336" s="34">
        <f t="shared" si="34"/>
        <v>13989.999999999996</v>
      </c>
      <c r="P336" s="7" t="str">
        <f t="shared" si="35"/>
        <v>PERCENTAGE</v>
      </c>
    </row>
    <row r="337" spans="1:16" x14ac:dyDescent="0.25">
      <c r="A337" s="7" t="str">
        <f t="shared" si="30"/>
        <v>2023 ALL D90</v>
      </c>
      <c r="B337" s="8">
        <f t="shared" si="31"/>
        <v>46099</v>
      </c>
      <c r="C337" s="8">
        <f t="shared" si="32"/>
        <v>46113</v>
      </c>
      <c r="D337" s="7">
        <v>3272</v>
      </c>
      <c r="E337" s="7">
        <v>336</v>
      </c>
      <c r="F337" s="7">
        <v>4</v>
      </c>
      <c r="G337" s="7">
        <v>6</v>
      </c>
      <c r="H337" s="7">
        <v>81574</v>
      </c>
      <c r="I337" s="7" t="s">
        <v>104</v>
      </c>
      <c r="J337" s="7">
        <v>79648772</v>
      </c>
      <c r="K337" s="7" t="s">
        <v>616</v>
      </c>
      <c r="L337" s="7" t="s">
        <v>617</v>
      </c>
      <c r="M337" s="9">
        <v>139900</v>
      </c>
      <c r="N337" s="10">
        <f t="shared" si="33"/>
        <v>0.9</v>
      </c>
      <c r="O337" s="34">
        <f t="shared" si="34"/>
        <v>13989.999999999996</v>
      </c>
      <c r="P337" s="7" t="str">
        <f t="shared" si="35"/>
        <v>PERCENTAGE</v>
      </c>
    </row>
    <row r="338" spans="1:16" x14ac:dyDescent="0.25">
      <c r="A338" s="7" t="str">
        <f t="shared" si="30"/>
        <v>2023 ALL D90</v>
      </c>
      <c r="B338" s="8">
        <f t="shared" si="31"/>
        <v>46099</v>
      </c>
      <c r="C338" s="8">
        <f t="shared" si="32"/>
        <v>46113</v>
      </c>
      <c r="D338" s="7">
        <v>3272</v>
      </c>
      <c r="E338" s="7">
        <v>336</v>
      </c>
      <c r="F338" s="7">
        <v>4</v>
      </c>
      <c r="G338" s="7">
        <v>1</v>
      </c>
      <c r="H338" s="7">
        <v>81379</v>
      </c>
      <c r="I338" s="7" t="s">
        <v>104</v>
      </c>
      <c r="J338" s="7">
        <v>82233070</v>
      </c>
      <c r="K338" s="7" t="s">
        <v>793</v>
      </c>
      <c r="L338" s="7" t="s">
        <v>794</v>
      </c>
      <c r="M338" s="9">
        <v>139900</v>
      </c>
      <c r="N338" s="10">
        <f t="shared" si="33"/>
        <v>0.9</v>
      </c>
      <c r="O338" s="34">
        <f t="shared" si="34"/>
        <v>13989.999999999996</v>
      </c>
      <c r="P338" s="7" t="str">
        <f t="shared" si="35"/>
        <v>PERCENTAGE</v>
      </c>
    </row>
    <row r="339" spans="1:16" x14ac:dyDescent="0.25">
      <c r="A339" s="7" t="str">
        <f t="shared" si="30"/>
        <v>2023 ALL D90</v>
      </c>
      <c r="B339" s="8">
        <f t="shared" si="31"/>
        <v>46099</v>
      </c>
      <c r="C339" s="8">
        <f t="shared" si="32"/>
        <v>46113</v>
      </c>
      <c r="D339" s="7">
        <v>3272</v>
      </c>
      <c r="E339" s="7">
        <v>336</v>
      </c>
      <c r="F339" s="7">
        <v>4</v>
      </c>
      <c r="G339" s="7">
        <v>1</v>
      </c>
      <c r="H339" s="7">
        <v>81379</v>
      </c>
      <c r="I339" s="7" t="s">
        <v>104</v>
      </c>
      <c r="J339" s="7">
        <v>82233089</v>
      </c>
      <c r="K339" s="7" t="s">
        <v>793</v>
      </c>
      <c r="L339" s="7" t="s">
        <v>795</v>
      </c>
      <c r="M339" s="9">
        <v>139900</v>
      </c>
      <c r="N339" s="10">
        <f t="shared" si="33"/>
        <v>0.9</v>
      </c>
      <c r="O339" s="34">
        <f t="shared" si="34"/>
        <v>13989.999999999996</v>
      </c>
      <c r="P339" s="7" t="str">
        <f t="shared" si="35"/>
        <v>PERCENTAGE</v>
      </c>
    </row>
    <row r="340" spans="1:16" x14ac:dyDescent="0.25">
      <c r="A340" s="7" t="str">
        <f t="shared" si="30"/>
        <v>2023 ALL D90</v>
      </c>
      <c r="B340" s="8">
        <f t="shared" si="31"/>
        <v>46099</v>
      </c>
      <c r="C340" s="8">
        <f t="shared" si="32"/>
        <v>46113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104</v>
      </c>
      <c r="J340" s="7">
        <v>82233098</v>
      </c>
      <c r="K340" s="7" t="s">
        <v>793</v>
      </c>
      <c r="L340" s="7" t="s">
        <v>796</v>
      </c>
      <c r="M340" s="9">
        <v>139900</v>
      </c>
      <c r="N340" s="10">
        <f t="shared" si="33"/>
        <v>0.9</v>
      </c>
      <c r="O340" s="34">
        <f t="shared" si="34"/>
        <v>13989.999999999996</v>
      </c>
      <c r="P340" s="7" t="str">
        <f t="shared" si="35"/>
        <v>PERCENTAGE</v>
      </c>
    </row>
    <row r="341" spans="1:16" x14ac:dyDescent="0.25">
      <c r="A341" s="7" t="str">
        <f t="shared" si="30"/>
        <v>2023 ALL D90</v>
      </c>
      <c r="B341" s="8">
        <f t="shared" si="31"/>
        <v>46099</v>
      </c>
      <c r="C341" s="8">
        <f t="shared" si="32"/>
        <v>46113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104</v>
      </c>
      <c r="J341" s="7">
        <v>82233105</v>
      </c>
      <c r="K341" s="7" t="s">
        <v>793</v>
      </c>
      <c r="L341" s="7" t="s">
        <v>797</v>
      </c>
      <c r="M341" s="9">
        <v>139900</v>
      </c>
      <c r="N341" s="10">
        <f t="shared" si="33"/>
        <v>0.9</v>
      </c>
      <c r="O341" s="34">
        <f t="shared" si="34"/>
        <v>13989.999999999996</v>
      </c>
      <c r="P341" s="7" t="str">
        <f t="shared" si="35"/>
        <v>PERCENTAGE</v>
      </c>
    </row>
    <row r="342" spans="1:16" x14ac:dyDescent="0.25">
      <c r="A342" s="7" t="str">
        <f t="shared" si="30"/>
        <v>2023 ALL D90</v>
      </c>
      <c r="B342" s="8">
        <f t="shared" si="31"/>
        <v>46099</v>
      </c>
      <c r="C342" s="8">
        <f t="shared" si="32"/>
        <v>46113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104</v>
      </c>
      <c r="J342" s="7">
        <v>82233114</v>
      </c>
      <c r="K342" s="7" t="s">
        <v>793</v>
      </c>
      <c r="L342" s="7" t="s">
        <v>798</v>
      </c>
      <c r="M342" s="9">
        <v>139900</v>
      </c>
      <c r="N342" s="10">
        <f t="shared" si="33"/>
        <v>0.9</v>
      </c>
      <c r="O342" s="34">
        <f t="shared" si="34"/>
        <v>13989.999999999996</v>
      </c>
      <c r="P342" s="7" t="str">
        <f t="shared" si="35"/>
        <v>PERCENTAGE</v>
      </c>
    </row>
    <row r="343" spans="1:16" x14ac:dyDescent="0.25">
      <c r="A343" s="7" t="str">
        <f t="shared" si="30"/>
        <v>2023 ALL D90</v>
      </c>
      <c r="B343" s="8">
        <f t="shared" si="31"/>
        <v>46099</v>
      </c>
      <c r="C343" s="8">
        <f t="shared" si="32"/>
        <v>46113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104</v>
      </c>
      <c r="J343" s="7">
        <v>82233123</v>
      </c>
      <c r="K343" s="7" t="s">
        <v>799</v>
      </c>
      <c r="L343" s="7" t="s">
        <v>800</v>
      </c>
      <c r="M343" s="9">
        <v>149900</v>
      </c>
      <c r="N343" s="10">
        <f t="shared" si="33"/>
        <v>0.9</v>
      </c>
      <c r="O343" s="34">
        <f t="shared" si="34"/>
        <v>14989.999999999996</v>
      </c>
      <c r="P343" s="7" t="str">
        <f t="shared" si="35"/>
        <v>PERCENTAGE</v>
      </c>
    </row>
    <row r="344" spans="1:16" x14ac:dyDescent="0.25">
      <c r="A344" s="7" t="str">
        <f t="shared" si="30"/>
        <v>2023 ALL D90</v>
      </c>
      <c r="B344" s="8">
        <f t="shared" si="31"/>
        <v>46099</v>
      </c>
      <c r="C344" s="8">
        <f t="shared" si="32"/>
        <v>46113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104</v>
      </c>
      <c r="J344" s="7">
        <v>82233132</v>
      </c>
      <c r="K344" s="7" t="s">
        <v>799</v>
      </c>
      <c r="L344" s="7" t="s">
        <v>801</v>
      </c>
      <c r="M344" s="9">
        <v>149900</v>
      </c>
      <c r="N344" s="10">
        <f t="shared" si="33"/>
        <v>0.9</v>
      </c>
      <c r="O344" s="34">
        <f t="shared" si="34"/>
        <v>14989.999999999996</v>
      </c>
      <c r="P344" s="7" t="str">
        <f t="shared" si="35"/>
        <v>PERCENTAGE</v>
      </c>
    </row>
    <row r="345" spans="1:16" x14ac:dyDescent="0.25">
      <c r="A345" s="7" t="str">
        <f t="shared" si="30"/>
        <v>2023 ALL D90</v>
      </c>
      <c r="B345" s="8">
        <f t="shared" si="31"/>
        <v>46099</v>
      </c>
      <c r="C345" s="8">
        <f t="shared" si="32"/>
        <v>46113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104</v>
      </c>
      <c r="J345" s="7">
        <v>82233141</v>
      </c>
      <c r="K345" s="7" t="s">
        <v>799</v>
      </c>
      <c r="L345" s="7" t="s">
        <v>802</v>
      </c>
      <c r="M345" s="9">
        <v>149900</v>
      </c>
      <c r="N345" s="10">
        <f t="shared" si="33"/>
        <v>0.9</v>
      </c>
      <c r="O345" s="34">
        <f t="shared" si="34"/>
        <v>14989.999999999996</v>
      </c>
      <c r="P345" s="7" t="str">
        <f t="shared" si="35"/>
        <v>PERCENTAGE</v>
      </c>
    </row>
    <row r="346" spans="1:16" x14ac:dyDescent="0.25">
      <c r="A346" s="7" t="str">
        <f t="shared" si="30"/>
        <v>2023 ALL D90</v>
      </c>
      <c r="B346" s="8">
        <f t="shared" si="31"/>
        <v>46099</v>
      </c>
      <c r="C346" s="8">
        <f t="shared" si="32"/>
        <v>46113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104</v>
      </c>
      <c r="J346" s="7">
        <v>82233150</v>
      </c>
      <c r="K346" s="7" t="s">
        <v>799</v>
      </c>
      <c r="L346" s="7" t="s">
        <v>803</v>
      </c>
      <c r="M346" s="9">
        <v>149900</v>
      </c>
      <c r="N346" s="10">
        <f t="shared" si="33"/>
        <v>0.9</v>
      </c>
      <c r="O346" s="34">
        <f t="shared" si="34"/>
        <v>14989.999999999996</v>
      </c>
      <c r="P346" s="7" t="str">
        <f t="shared" si="35"/>
        <v>PERCENTAGE</v>
      </c>
    </row>
    <row r="347" spans="1:16" x14ac:dyDescent="0.25">
      <c r="A347" s="7" t="str">
        <f t="shared" si="30"/>
        <v>2023 ALL D90</v>
      </c>
      <c r="B347" s="8">
        <f t="shared" si="31"/>
        <v>46099</v>
      </c>
      <c r="C347" s="8">
        <f t="shared" si="32"/>
        <v>46113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104</v>
      </c>
      <c r="J347" s="7">
        <v>82233169</v>
      </c>
      <c r="K347" s="7" t="s">
        <v>799</v>
      </c>
      <c r="L347" s="7" t="s">
        <v>804</v>
      </c>
      <c r="M347" s="9">
        <v>149900</v>
      </c>
      <c r="N347" s="10">
        <f t="shared" si="33"/>
        <v>0.9</v>
      </c>
      <c r="O347" s="34">
        <f t="shared" si="34"/>
        <v>14989.999999999996</v>
      </c>
      <c r="P347" s="7" t="str">
        <f t="shared" si="35"/>
        <v>PERCENTAGE</v>
      </c>
    </row>
    <row r="348" spans="1:16" x14ac:dyDescent="0.25">
      <c r="A348" s="7" t="str">
        <f t="shared" si="30"/>
        <v>2023 ALL D90</v>
      </c>
      <c r="B348" s="8">
        <f t="shared" si="31"/>
        <v>46099</v>
      </c>
      <c r="C348" s="8">
        <f t="shared" si="32"/>
        <v>46113</v>
      </c>
      <c r="D348" s="7">
        <v>3272</v>
      </c>
      <c r="E348" s="7">
        <v>336</v>
      </c>
      <c r="F348" s="7">
        <v>4</v>
      </c>
      <c r="G348" s="7">
        <v>1</v>
      </c>
      <c r="H348" s="7">
        <v>81379</v>
      </c>
      <c r="I348" s="7" t="s">
        <v>104</v>
      </c>
      <c r="J348" s="7">
        <v>82232928</v>
      </c>
      <c r="K348" s="7" t="s">
        <v>805</v>
      </c>
      <c r="L348" s="7" t="s">
        <v>806</v>
      </c>
      <c r="M348" s="9">
        <v>149900</v>
      </c>
      <c r="N348" s="10">
        <f t="shared" si="33"/>
        <v>0.9</v>
      </c>
      <c r="O348" s="34">
        <f t="shared" si="34"/>
        <v>14989.999999999996</v>
      </c>
      <c r="P348" s="7" t="str">
        <f t="shared" si="35"/>
        <v>PERCENTAGE</v>
      </c>
    </row>
    <row r="349" spans="1:16" x14ac:dyDescent="0.25">
      <c r="A349" s="7" t="str">
        <f t="shared" si="30"/>
        <v>2023 ALL D90</v>
      </c>
      <c r="B349" s="8">
        <f t="shared" si="31"/>
        <v>46099</v>
      </c>
      <c r="C349" s="8">
        <f t="shared" si="32"/>
        <v>46113</v>
      </c>
      <c r="D349" s="7">
        <v>3272</v>
      </c>
      <c r="E349" s="7">
        <v>336</v>
      </c>
      <c r="F349" s="7">
        <v>4</v>
      </c>
      <c r="G349" s="7">
        <v>1</v>
      </c>
      <c r="H349" s="7">
        <v>81379</v>
      </c>
      <c r="I349" s="7" t="s">
        <v>104</v>
      </c>
      <c r="J349" s="7">
        <v>82232937</v>
      </c>
      <c r="K349" s="7" t="s">
        <v>805</v>
      </c>
      <c r="L349" s="7" t="s">
        <v>807</v>
      </c>
      <c r="M349" s="9">
        <v>149900</v>
      </c>
      <c r="N349" s="10">
        <f t="shared" si="33"/>
        <v>0.9</v>
      </c>
      <c r="O349" s="34">
        <f t="shared" si="34"/>
        <v>14989.999999999996</v>
      </c>
      <c r="P349" s="7" t="str">
        <f t="shared" si="35"/>
        <v>PERCENTAGE</v>
      </c>
    </row>
    <row r="350" spans="1:16" x14ac:dyDescent="0.25">
      <c r="A350" s="7" t="str">
        <f t="shared" si="30"/>
        <v>2023 ALL D90</v>
      </c>
      <c r="B350" s="8">
        <f t="shared" si="31"/>
        <v>46099</v>
      </c>
      <c r="C350" s="8">
        <f t="shared" si="32"/>
        <v>46113</v>
      </c>
      <c r="D350" s="7">
        <v>3272</v>
      </c>
      <c r="E350" s="7">
        <v>336</v>
      </c>
      <c r="F350" s="7">
        <v>4</v>
      </c>
      <c r="G350" s="7">
        <v>1</v>
      </c>
      <c r="H350" s="7">
        <v>81379</v>
      </c>
      <c r="I350" s="7" t="s">
        <v>104</v>
      </c>
      <c r="J350" s="7">
        <v>82232946</v>
      </c>
      <c r="K350" s="7" t="s">
        <v>805</v>
      </c>
      <c r="L350" s="7" t="s">
        <v>808</v>
      </c>
      <c r="M350" s="9">
        <v>149900</v>
      </c>
      <c r="N350" s="10">
        <f t="shared" si="33"/>
        <v>0.9</v>
      </c>
      <c r="O350" s="34">
        <f t="shared" si="34"/>
        <v>14989.999999999996</v>
      </c>
      <c r="P350" s="7" t="str">
        <f t="shared" si="35"/>
        <v>PERCENTAGE</v>
      </c>
    </row>
    <row r="351" spans="1:16" x14ac:dyDescent="0.25">
      <c r="A351" s="7" t="str">
        <f t="shared" si="30"/>
        <v>2023 ALL D90</v>
      </c>
      <c r="B351" s="8">
        <f t="shared" si="31"/>
        <v>46099</v>
      </c>
      <c r="C351" s="8">
        <f t="shared" si="32"/>
        <v>46113</v>
      </c>
      <c r="D351" s="7">
        <v>3272</v>
      </c>
      <c r="E351" s="7">
        <v>336</v>
      </c>
      <c r="F351" s="7">
        <v>4</v>
      </c>
      <c r="G351" s="7">
        <v>1</v>
      </c>
      <c r="H351" s="7">
        <v>81379</v>
      </c>
      <c r="I351" s="7" t="s">
        <v>104</v>
      </c>
      <c r="J351" s="7">
        <v>82232955</v>
      </c>
      <c r="K351" s="7" t="s">
        <v>805</v>
      </c>
      <c r="L351" s="7" t="s">
        <v>809</v>
      </c>
      <c r="M351" s="9">
        <v>149900</v>
      </c>
      <c r="N351" s="10">
        <f t="shared" si="33"/>
        <v>0.9</v>
      </c>
      <c r="O351" s="34">
        <f t="shared" si="34"/>
        <v>14989.999999999996</v>
      </c>
      <c r="P351" s="7" t="str">
        <f t="shared" si="35"/>
        <v>PERCENTAGE</v>
      </c>
    </row>
    <row r="352" spans="1:16" x14ac:dyDescent="0.25">
      <c r="A352" s="7" t="str">
        <f t="shared" si="30"/>
        <v>2023 ALL D90</v>
      </c>
      <c r="B352" s="8">
        <f t="shared" si="31"/>
        <v>46099</v>
      </c>
      <c r="C352" s="8">
        <f t="shared" si="32"/>
        <v>46113</v>
      </c>
      <c r="D352" s="7">
        <v>3272</v>
      </c>
      <c r="E352" s="7">
        <v>336</v>
      </c>
      <c r="F352" s="7">
        <v>4</v>
      </c>
      <c r="G352" s="7">
        <v>1</v>
      </c>
      <c r="H352" s="7">
        <v>81379</v>
      </c>
      <c r="I352" s="7" t="s">
        <v>104</v>
      </c>
      <c r="J352" s="7">
        <v>82232964</v>
      </c>
      <c r="K352" s="7" t="s">
        <v>805</v>
      </c>
      <c r="L352" s="7" t="s">
        <v>810</v>
      </c>
      <c r="M352" s="9">
        <v>149900</v>
      </c>
      <c r="N352" s="10">
        <f t="shared" si="33"/>
        <v>0.9</v>
      </c>
      <c r="O352" s="34">
        <f t="shared" si="34"/>
        <v>14989.999999999996</v>
      </c>
      <c r="P352" s="7" t="str">
        <f t="shared" si="35"/>
        <v>PERCENTAGE</v>
      </c>
    </row>
    <row r="353" spans="1:16" x14ac:dyDescent="0.25">
      <c r="A353" s="7" t="str">
        <f t="shared" si="30"/>
        <v>2023 ALL D90</v>
      </c>
      <c r="B353" s="8">
        <f t="shared" si="31"/>
        <v>46099</v>
      </c>
      <c r="C353" s="8">
        <f t="shared" si="32"/>
        <v>46113</v>
      </c>
      <c r="D353" s="7">
        <v>3272</v>
      </c>
      <c r="E353" s="7">
        <v>336</v>
      </c>
      <c r="F353" s="7">
        <v>4</v>
      </c>
      <c r="G353" s="7">
        <v>1</v>
      </c>
      <c r="H353" s="7">
        <v>81379</v>
      </c>
      <c r="I353" s="7" t="s">
        <v>104</v>
      </c>
      <c r="J353" s="7">
        <v>82232973</v>
      </c>
      <c r="K353" s="7" t="s">
        <v>811</v>
      </c>
      <c r="L353" s="7" t="s">
        <v>812</v>
      </c>
      <c r="M353" s="9">
        <v>149900</v>
      </c>
      <c r="N353" s="10">
        <f t="shared" si="33"/>
        <v>0.9</v>
      </c>
      <c r="O353" s="34">
        <f t="shared" si="34"/>
        <v>14989.999999999996</v>
      </c>
      <c r="P353" s="7" t="str">
        <f t="shared" si="35"/>
        <v>PERCENTAGE</v>
      </c>
    </row>
    <row r="354" spans="1:16" x14ac:dyDescent="0.25">
      <c r="A354" s="7" t="str">
        <f t="shared" si="30"/>
        <v>2023 ALL D90</v>
      </c>
      <c r="B354" s="8">
        <f t="shared" si="31"/>
        <v>46099</v>
      </c>
      <c r="C354" s="8">
        <f t="shared" si="32"/>
        <v>46113</v>
      </c>
      <c r="D354" s="7">
        <v>3272</v>
      </c>
      <c r="E354" s="7">
        <v>336</v>
      </c>
      <c r="F354" s="7">
        <v>4</v>
      </c>
      <c r="G354" s="7">
        <v>1</v>
      </c>
      <c r="H354" s="7">
        <v>81379</v>
      </c>
      <c r="I354" s="7" t="s">
        <v>104</v>
      </c>
      <c r="J354" s="7">
        <v>82232982</v>
      </c>
      <c r="K354" s="7" t="s">
        <v>811</v>
      </c>
      <c r="L354" s="7" t="s">
        <v>813</v>
      </c>
      <c r="M354" s="9">
        <v>149900</v>
      </c>
      <c r="N354" s="10">
        <f t="shared" si="33"/>
        <v>0.9</v>
      </c>
      <c r="O354" s="34">
        <f t="shared" si="34"/>
        <v>14989.999999999996</v>
      </c>
      <c r="P354" s="7" t="str">
        <f t="shared" si="35"/>
        <v>PERCENTAGE</v>
      </c>
    </row>
    <row r="355" spans="1:16" x14ac:dyDescent="0.25">
      <c r="A355" s="7" t="str">
        <f t="shared" si="30"/>
        <v>2023 ALL D90</v>
      </c>
      <c r="B355" s="8">
        <f t="shared" si="31"/>
        <v>46099</v>
      </c>
      <c r="C355" s="8">
        <f t="shared" si="32"/>
        <v>46113</v>
      </c>
      <c r="D355" s="7">
        <v>3272</v>
      </c>
      <c r="E355" s="7">
        <v>336</v>
      </c>
      <c r="F355" s="7">
        <v>4</v>
      </c>
      <c r="G355" s="7">
        <v>1</v>
      </c>
      <c r="H355" s="7">
        <v>81379</v>
      </c>
      <c r="I355" s="7" t="s">
        <v>104</v>
      </c>
      <c r="J355" s="7">
        <v>82232991</v>
      </c>
      <c r="K355" s="7" t="s">
        <v>811</v>
      </c>
      <c r="L355" s="7" t="s">
        <v>814</v>
      </c>
      <c r="M355" s="9">
        <v>149900</v>
      </c>
      <c r="N355" s="10">
        <f t="shared" si="33"/>
        <v>0.9</v>
      </c>
      <c r="O355" s="34">
        <f t="shared" si="34"/>
        <v>14989.999999999996</v>
      </c>
      <c r="P355" s="7" t="str">
        <f t="shared" si="35"/>
        <v>PERCENTAGE</v>
      </c>
    </row>
    <row r="356" spans="1:16" x14ac:dyDescent="0.25">
      <c r="A356" s="7" t="str">
        <f t="shared" si="30"/>
        <v>2023 ALL D90</v>
      </c>
      <c r="B356" s="8">
        <f t="shared" si="31"/>
        <v>46099</v>
      </c>
      <c r="C356" s="8">
        <f t="shared" si="32"/>
        <v>46113</v>
      </c>
      <c r="D356" s="7">
        <v>3272</v>
      </c>
      <c r="E356" s="7">
        <v>336</v>
      </c>
      <c r="F356" s="7">
        <v>4</v>
      </c>
      <c r="G356" s="7">
        <v>1</v>
      </c>
      <c r="H356" s="7">
        <v>81379</v>
      </c>
      <c r="I356" s="7" t="s">
        <v>104</v>
      </c>
      <c r="J356" s="7">
        <v>82233007</v>
      </c>
      <c r="K356" s="7" t="s">
        <v>811</v>
      </c>
      <c r="L356" s="7" t="s">
        <v>815</v>
      </c>
      <c r="M356" s="9">
        <v>149900</v>
      </c>
      <c r="N356" s="10">
        <f t="shared" si="33"/>
        <v>0.9</v>
      </c>
      <c r="O356" s="34">
        <f t="shared" si="34"/>
        <v>14989.999999999996</v>
      </c>
      <c r="P356" s="7" t="str">
        <f t="shared" si="35"/>
        <v>PERCENTAGE</v>
      </c>
    </row>
    <row r="357" spans="1:16" x14ac:dyDescent="0.25">
      <c r="A357" s="7" t="str">
        <f t="shared" si="30"/>
        <v>2023 ALL D90</v>
      </c>
      <c r="B357" s="8">
        <f t="shared" si="31"/>
        <v>46099</v>
      </c>
      <c r="C357" s="8">
        <f t="shared" si="32"/>
        <v>46113</v>
      </c>
      <c r="D357" s="7">
        <v>3272</v>
      </c>
      <c r="E357" s="7">
        <v>336</v>
      </c>
      <c r="F357" s="7">
        <v>4</v>
      </c>
      <c r="G357" s="7">
        <v>1</v>
      </c>
      <c r="H357" s="7">
        <v>81379</v>
      </c>
      <c r="I357" s="7" t="s">
        <v>104</v>
      </c>
      <c r="J357" s="7">
        <v>82233016</v>
      </c>
      <c r="K357" s="7" t="s">
        <v>811</v>
      </c>
      <c r="L357" s="7" t="s">
        <v>816</v>
      </c>
      <c r="M357" s="9">
        <v>149900</v>
      </c>
      <c r="N357" s="10">
        <f t="shared" si="33"/>
        <v>0.9</v>
      </c>
      <c r="O357" s="34">
        <f t="shared" si="34"/>
        <v>14989.999999999996</v>
      </c>
      <c r="P357" s="7" t="str">
        <f t="shared" si="35"/>
        <v>PERCENTAGE</v>
      </c>
    </row>
    <row r="358" spans="1:16" x14ac:dyDescent="0.25">
      <c r="A358" s="7" t="str">
        <f t="shared" si="30"/>
        <v>2023 ALL D90</v>
      </c>
      <c r="B358" s="8">
        <f t="shared" si="31"/>
        <v>46099</v>
      </c>
      <c r="C358" s="8">
        <f t="shared" si="32"/>
        <v>46113</v>
      </c>
      <c r="D358" s="7">
        <v>3272</v>
      </c>
      <c r="E358" s="7">
        <v>336</v>
      </c>
      <c r="F358" s="7">
        <v>4</v>
      </c>
      <c r="G358" s="7">
        <v>1</v>
      </c>
      <c r="H358" s="7">
        <v>81379</v>
      </c>
      <c r="I358" s="7" t="s">
        <v>104</v>
      </c>
      <c r="J358" s="7">
        <v>82233025</v>
      </c>
      <c r="K358" s="7" t="s">
        <v>817</v>
      </c>
      <c r="L358" s="7" t="s">
        <v>818</v>
      </c>
      <c r="M358" s="9">
        <v>139900</v>
      </c>
      <c r="N358" s="10">
        <f t="shared" si="33"/>
        <v>0.9</v>
      </c>
      <c r="O358" s="34">
        <f t="shared" si="34"/>
        <v>13989.999999999996</v>
      </c>
      <c r="P358" s="7" t="str">
        <f t="shared" si="35"/>
        <v>PERCENTAGE</v>
      </c>
    </row>
    <row r="359" spans="1:16" x14ac:dyDescent="0.25">
      <c r="A359" s="7" t="str">
        <f t="shared" si="30"/>
        <v>2023 ALL D90</v>
      </c>
      <c r="B359" s="8">
        <f t="shared" si="31"/>
        <v>46099</v>
      </c>
      <c r="C359" s="8">
        <f t="shared" si="32"/>
        <v>46113</v>
      </c>
      <c r="D359" s="7">
        <v>3272</v>
      </c>
      <c r="E359" s="7">
        <v>336</v>
      </c>
      <c r="F359" s="7">
        <v>4</v>
      </c>
      <c r="G359" s="7">
        <v>1</v>
      </c>
      <c r="H359" s="7">
        <v>81379</v>
      </c>
      <c r="I359" s="7" t="s">
        <v>104</v>
      </c>
      <c r="J359" s="7">
        <v>82233034</v>
      </c>
      <c r="K359" s="7" t="s">
        <v>817</v>
      </c>
      <c r="L359" s="7" t="s">
        <v>819</v>
      </c>
      <c r="M359" s="9">
        <v>139900</v>
      </c>
      <c r="N359" s="10">
        <f t="shared" si="33"/>
        <v>0.9</v>
      </c>
      <c r="O359" s="34">
        <f t="shared" si="34"/>
        <v>13989.999999999996</v>
      </c>
      <c r="P359" s="7" t="str">
        <f t="shared" si="35"/>
        <v>PERCENTAGE</v>
      </c>
    </row>
    <row r="360" spans="1:16" x14ac:dyDescent="0.25">
      <c r="A360" s="7" t="str">
        <f t="shared" si="30"/>
        <v>2023 ALL D90</v>
      </c>
      <c r="B360" s="8">
        <f t="shared" si="31"/>
        <v>46099</v>
      </c>
      <c r="C360" s="8">
        <f t="shared" si="32"/>
        <v>46113</v>
      </c>
      <c r="D360" s="7">
        <v>3272</v>
      </c>
      <c r="E360" s="7">
        <v>336</v>
      </c>
      <c r="F360" s="7">
        <v>4</v>
      </c>
      <c r="G360" s="7">
        <v>1</v>
      </c>
      <c r="H360" s="7">
        <v>81379</v>
      </c>
      <c r="I360" s="7" t="s">
        <v>104</v>
      </c>
      <c r="J360" s="7">
        <v>82233043</v>
      </c>
      <c r="K360" s="7" t="s">
        <v>817</v>
      </c>
      <c r="L360" s="7" t="s">
        <v>820</v>
      </c>
      <c r="M360" s="9">
        <v>139900</v>
      </c>
      <c r="N360" s="10">
        <f t="shared" si="33"/>
        <v>0.9</v>
      </c>
      <c r="O360" s="34">
        <f t="shared" si="34"/>
        <v>13989.999999999996</v>
      </c>
      <c r="P360" s="7" t="str">
        <f t="shared" si="35"/>
        <v>PERCENTAGE</v>
      </c>
    </row>
    <row r="361" spans="1:16" x14ac:dyDescent="0.25">
      <c r="A361" s="7" t="str">
        <f t="shared" si="30"/>
        <v>2023 ALL D90</v>
      </c>
      <c r="B361" s="8">
        <f t="shared" si="31"/>
        <v>46099</v>
      </c>
      <c r="C361" s="8">
        <f t="shared" si="32"/>
        <v>46113</v>
      </c>
      <c r="D361" s="7">
        <v>3272</v>
      </c>
      <c r="E361" s="7">
        <v>336</v>
      </c>
      <c r="F361" s="7">
        <v>4</v>
      </c>
      <c r="G361" s="7">
        <v>1</v>
      </c>
      <c r="H361" s="7">
        <v>81379</v>
      </c>
      <c r="I361" s="7" t="s">
        <v>104</v>
      </c>
      <c r="J361" s="7">
        <v>82233052</v>
      </c>
      <c r="K361" s="7" t="s">
        <v>817</v>
      </c>
      <c r="L361" s="7" t="s">
        <v>821</v>
      </c>
      <c r="M361" s="9">
        <v>139900</v>
      </c>
      <c r="N361" s="10">
        <f t="shared" si="33"/>
        <v>0.9</v>
      </c>
      <c r="O361" s="34">
        <f t="shared" si="34"/>
        <v>13989.999999999996</v>
      </c>
      <c r="P361" s="7" t="str">
        <f t="shared" si="35"/>
        <v>PERCENTAGE</v>
      </c>
    </row>
    <row r="362" spans="1:16" x14ac:dyDescent="0.25">
      <c r="A362" s="7" t="str">
        <f t="shared" si="30"/>
        <v>2023 ALL D90</v>
      </c>
      <c r="B362" s="8">
        <f t="shared" si="31"/>
        <v>46099</v>
      </c>
      <c r="C362" s="8">
        <f t="shared" si="32"/>
        <v>46113</v>
      </c>
      <c r="D362" s="7">
        <v>3272</v>
      </c>
      <c r="E362" s="7">
        <v>336</v>
      </c>
      <c r="F362" s="7">
        <v>4</v>
      </c>
      <c r="G362" s="7">
        <v>1</v>
      </c>
      <c r="H362" s="7">
        <v>81379</v>
      </c>
      <c r="I362" s="7" t="s">
        <v>104</v>
      </c>
      <c r="J362" s="7">
        <v>82233061</v>
      </c>
      <c r="K362" s="7" t="s">
        <v>817</v>
      </c>
      <c r="L362" s="7" t="s">
        <v>822</v>
      </c>
      <c r="M362" s="9">
        <v>139900</v>
      </c>
      <c r="N362" s="10">
        <f t="shared" si="33"/>
        <v>0.9</v>
      </c>
      <c r="O362" s="34">
        <f t="shared" si="34"/>
        <v>13989.999999999996</v>
      </c>
      <c r="P362" s="7" t="str">
        <f t="shared" si="35"/>
        <v>PERCENTAGE</v>
      </c>
    </row>
    <row r="363" spans="1:16" x14ac:dyDescent="0.25">
      <c r="A363" s="7" t="str">
        <f t="shared" si="30"/>
        <v>2023 ALL D90</v>
      </c>
      <c r="B363" s="8">
        <f t="shared" si="31"/>
        <v>46099</v>
      </c>
      <c r="C363" s="8">
        <f t="shared" si="32"/>
        <v>46113</v>
      </c>
      <c r="D363" s="7">
        <v>3272</v>
      </c>
      <c r="E363" s="7">
        <v>336</v>
      </c>
      <c r="F363" s="7">
        <v>4</v>
      </c>
      <c r="G363" s="7">
        <v>1</v>
      </c>
      <c r="H363" s="7">
        <v>81379</v>
      </c>
      <c r="I363" s="7" t="s">
        <v>104</v>
      </c>
      <c r="J363" s="7">
        <v>82233178</v>
      </c>
      <c r="K363" s="7" t="s">
        <v>823</v>
      </c>
      <c r="L363" s="7" t="s">
        <v>824</v>
      </c>
      <c r="M363" s="9">
        <v>149900</v>
      </c>
      <c r="N363" s="10">
        <f t="shared" si="33"/>
        <v>0.9</v>
      </c>
      <c r="O363" s="34">
        <f t="shared" si="34"/>
        <v>14989.999999999996</v>
      </c>
      <c r="P363" s="7" t="str">
        <f t="shared" si="35"/>
        <v>PERCENTAGE</v>
      </c>
    </row>
    <row r="364" spans="1:16" x14ac:dyDescent="0.25">
      <c r="A364" s="7" t="str">
        <f t="shared" si="30"/>
        <v>2023 ALL D90</v>
      </c>
      <c r="B364" s="8">
        <f t="shared" si="31"/>
        <v>46099</v>
      </c>
      <c r="C364" s="8">
        <f t="shared" si="32"/>
        <v>46113</v>
      </c>
      <c r="D364" s="7">
        <v>3272</v>
      </c>
      <c r="E364" s="7">
        <v>336</v>
      </c>
      <c r="F364" s="7">
        <v>4</v>
      </c>
      <c r="G364" s="7">
        <v>1</v>
      </c>
      <c r="H364" s="7">
        <v>81379</v>
      </c>
      <c r="I364" s="7" t="s">
        <v>104</v>
      </c>
      <c r="J364" s="7">
        <v>82233187</v>
      </c>
      <c r="K364" s="7" t="s">
        <v>823</v>
      </c>
      <c r="L364" s="7" t="s">
        <v>828</v>
      </c>
      <c r="M364" s="9">
        <v>149900</v>
      </c>
      <c r="N364" s="10">
        <f t="shared" si="33"/>
        <v>0.9</v>
      </c>
      <c r="O364" s="34">
        <f t="shared" si="34"/>
        <v>14989.999999999996</v>
      </c>
      <c r="P364" s="7" t="str">
        <f t="shared" si="35"/>
        <v>PERCENTAGE</v>
      </c>
    </row>
    <row r="365" spans="1:16" x14ac:dyDescent="0.25">
      <c r="A365" s="7" t="str">
        <f t="shared" si="30"/>
        <v>2023 ALL D90</v>
      </c>
      <c r="B365" s="8">
        <f t="shared" si="31"/>
        <v>46099</v>
      </c>
      <c r="C365" s="8">
        <f t="shared" si="32"/>
        <v>46113</v>
      </c>
      <c r="D365" s="7">
        <v>3272</v>
      </c>
      <c r="E365" s="7">
        <v>336</v>
      </c>
      <c r="F365" s="7">
        <v>4</v>
      </c>
      <c r="G365" s="7">
        <v>1</v>
      </c>
      <c r="H365" s="7">
        <v>81379</v>
      </c>
      <c r="I365" s="7" t="s">
        <v>104</v>
      </c>
      <c r="J365" s="7">
        <v>82233196</v>
      </c>
      <c r="K365" s="7" t="s">
        <v>823</v>
      </c>
      <c r="L365" s="7" t="s">
        <v>825</v>
      </c>
      <c r="M365" s="9">
        <v>149900</v>
      </c>
      <c r="N365" s="10">
        <f t="shared" si="33"/>
        <v>0.9</v>
      </c>
      <c r="O365" s="34">
        <f t="shared" si="34"/>
        <v>14989.999999999996</v>
      </c>
      <c r="P365" s="7" t="str">
        <f t="shared" si="35"/>
        <v>PERCENTAGE</v>
      </c>
    </row>
    <row r="366" spans="1:16" x14ac:dyDescent="0.25">
      <c r="A366" s="7" t="str">
        <f t="shared" si="30"/>
        <v>2023 ALL D90</v>
      </c>
      <c r="B366" s="8">
        <f t="shared" si="31"/>
        <v>46099</v>
      </c>
      <c r="C366" s="8">
        <f t="shared" si="32"/>
        <v>46113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104</v>
      </c>
      <c r="J366" s="7">
        <v>82233203</v>
      </c>
      <c r="K366" s="7" t="s">
        <v>823</v>
      </c>
      <c r="L366" s="7" t="s">
        <v>826</v>
      </c>
      <c r="M366" s="9">
        <v>149900</v>
      </c>
      <c r="N366" s="10">
        <f t="shared" si="33"/>
        <v>0.9</v>
      </c>
      <c r="O366" s="34">
        <f t="shared" si="34"/>
        <v>14989.999999999996</v>
      </c>
      <c r="P366" s="7" t="str">
        <f t="shared" si="35"/>
        <v>PERCENTAGE</v>
      </c>
    </row>
    <row r="367" spans="1:16" x14ac:dyDescent="0.25">
      <c r="A367" s="7" t="str">
        <f t="shared" si="30"/>
        <v>2023 ALL D90</v>
      </c>
      <c r="B367" s="8">
        <f t="shared" si="31"/>
        <v>46099</v>
      </c>
      <c r="C367" s="8">
        <f t="shared" si="32"/>
        <v>46113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104</v>
      </c>
      <c r="J367" s="7">
        <v>82233212</v>
      </c>
      <c r="K367" s="7" t="s">
        <v>823</v>
      </c>
      <c r="L367" s="7" t="s">
        <v>827</v>
      </c>
      <c r="M367" s="9">
        <v>149900</v>
      </c>
      <c r="N367" s="10">
        <f t="shared" si="33"/>
        <v>0.9</v>
      </c>
      <c r="O367" s="34">
        <f t="shared" si="34"/>
        <v>14989.999999999996</v>
      </c>
      <c r="P367" s="7" t="str">
        <f t="shared" si="35"/>
        <v>PERCENTAGE</v>
      </c>
    </row>
    <row r="368" spans="1:16" x14ac:dyDescent="0.25">
      <c r="A368" s="7" t="str">
        <f t="shared" si="30"/>
        <v>2023 ALL D90</v>
      </c>
      <c r="B368" s="8">
        <f t="shared" si="31"/>
        <v>46099</v>
      </c>
      <c r="C368" s="8">
        <f t="shared" si="32"/>
        <v>46113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104</v>
      </c>
      <c r="J368" s="7">
        <v>82233221</v>
      </c>
      <c r="K368" s="7" t="s">
        <v>829</v>
      </c>
      <c r="L368" s="7" t="s">
        <v>830</v>
      </c>
      <c r="M368" s="9">
        <v>149900</v>
      </c>
      <c r="N368" s="10">
        <f t="shared" si="33"/>
        <v>0.9</v>
      </c>
      <c r="O368" s="34">
        <f t="shared" si="34"/>
        <v>14989.999999999996</v>
      </c>
      <c r="P368" s="7" t="str">
        <f t="shared" si="35"/>
        <v>PERCENTAGE</v>
      </c>
    </row>
    <row r="369" spans="1:16" x14ac:dyDescent="0.25">
      <c r="A369" s="7" t="str">
        <f t="shared" si="30"/>
        <v>2023 ALL D90</v>
      </c>
      <c r="B369" s="8">
        <f t="shared" si="31"/>
        <v>46099</v>
      </c>
      <c r="C369" s="8">
        <f t="shared" si="32"/>
        <v>46113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104</v>
      </c>
      <c r="J369" s="7">
        <v>82233230</v>
      </c>
      <c r="K369" s="7" t="s">
        <v>829</v>
      </c>
      <c r="L369" s="7" t="s">
        <v>834</v>
      </c>
      <c r="M369" s="9">
        <v>149900</v>
      </c>
      <c r="N369" s="10">
        <f t="shared" si="33"/>
        <v>0.9</v>
      </c>
      <c r="O369" s="34">
        <f t="shared" si="34"/>
        <v>14989.999999999996</v>
      </c>
      <c r="P369" s="7" t="str">
        <f t="shared" si="35"/>
        <v>PERCENTAGE</v>
      </c>
    </row>
    <row r="370" spans="1:16" x14ac:dyDescent="0.25">
      <c r="A370" s="7" t="str">
        <f t="shared" si="30"/>
        <v>2023 ALL D90</v>
      </c>
      <c r="B370" s="8">
        <f t="shared" si="31"/>
        <v>46099</v>
      </c>
      <c r="C370" s="8">
        <f t="shared" si="32"/>
        <v>46113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104</v>
      </c>
      <c r="J370" s="7">
        <v>82233249</v>
      </c>
      <c r="K370" s="7" t="s">
        <v>829</v>
      </c>
      <c r="L370" s="7" t="s">
        <v>831</v>
      </c>
      <c r="M370" s="9">
        <v>149900</v>
      </c>
      <c r="N370" s="10">
        <f t="shared" si="33"/>
        <v>0.9</v>
      </c>
      <c r="O370" s="34">
        <f t="shared" si="34"/>
        <v>14989.999999999996</v>
      </c>
      <c r="P370" s="7" t="str">
        <f t="shared" si="35"/>
        <v>PERCENTAGE</v>
      </c>
    </row>
    <row r="371" spans="1:16" x14ac:dyDescent="0.25">
      <c r="A371" s="7" t="str">
        <f t="shared" si="30"/>
        <v>2023 ALL D90</v>
      </c>
      <c r="B371" s="8">
        <f t="shared" si="31"/>
        <v>46099</v>
      </c>
      <c r="C371" s="8">
        <f t="shared" si="32"/>
        <v>46113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104</v>
      </c>
      <c r="J371" s="7">
        <v>82233258</v>
      </c>
      <c r="K371" s="7" t="s">
        <v>829</v>
      </c>
      <c r="L371" s="7" t="s">
        <v>832</v>
      </c>
      <c r="M371" s="9">
        <v>149900</v>
      </c>
      <c r="N371" s="10">
        <f t="shared" si="33"/>
        <v>0.9</v>
      </c>
      <c r="O371" s="34">
        <f t="shared" si="34"/>
        <v>14989.999999999996</v>
      </c>
      <c r="P371" s="7" t="str">
        <f t="shared" si="35"/>
        <v>PERCENTAGE</v>
      </c>
    </row>
    <row r="372" spans="1:16" x14ac:dyDescent="0.25">
      <c r="A372" s="7" t="str">
        <f t="shared" si="30"/>
        <v>2023 ALL D90</v>
      </c>
      <c r="B372" s="8">
        <f t="shared" si="31"/>
        <v>46099</v>
      </c>
      <c r="C372" s="8">
        <f t="shared" si="32"/>
        <v>46113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104</v>
      </c>
      <c r="J372" s="7">
        <v>82233267</v>
      </c>
      <c r="K372" s="7" t="s">
        <v>829</v>
      </c>
      <c r="L372" s="7" t="s">
        <v>833</v>
      </c>
      <c r="M372" s="9">
        <v>149900</v>
      </c>
      <c r="N372" s="10">
        <f t="shared" si="33"/>
        <v>0.9</v>
      </c>
      <c r="O372" s="34">
        <f t="shared" si="34"/>
        <v>14989.999999999996</v>
      </c>
      <c r="P372" s="7" t="str">
        <f t="shared" si="35"/>
        <v>PERCENTAGE</v>
      </c>
    </row>
    <row r="373" spans="1:16" x14ac:dyDescent="0.25">
      <c r="A373" s="7" t="str">
        <f t="shared" si="30"/>
        <v>2023 ALL D90</v>
      </c>
      <c r="B373" s="8">
        <f t="shared" si="31"/>
        <v>46099</v>
      </c>
      <c r="C373" s="8">
        <f t="shared" si="32"/>
        <v>46113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104</v>
      </c>
      <c r="J373" s="7">
        <v>88781020</v>
      </c>
      <c r="K373" s="7" t="s">
        <v>835</v>
      </c>
      <c r="L373" s="7" t="s">
        <v>836</v>
      </c>
      <c r="M373" s="9">
        <v>129900</v>
      </c>
      <c r="N373" s="10">
        <f t="shared" si="33"/>
        <v>0.9</v>
      </c>
      <c r="O373" s="34">
        <f t="shared" si="34"/>
        <v>12989.999999999996</v>
      </c>
      <c r="P373" s="7" t="str">
        <f t="shared" si="35"/>
        <v>PERCENTAGE</v>
      </c>
    </row>
    <row r="374" spans="1:16" x14ac:dyDescent="0.25">
      <c r="A374" s="7" t="str">
        <f t="shared" si="30"/>
        <v>2023 ALL D90</v>
      </c>
      <c r="B374" s="8">
        <f t="shared" si="31"/>
        <v>46099</v>
      </c>
      <c r="C374" s="8">
        <f t="shared" si="32"/>
        <v>46113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104</v>
      </c>
      <c r="J374" s="7">
        <v>88781039</v>
      </c>
      <c r="K374" s="7" t="s">
        <v>835</v>
      </c>
      <c r="L374" s="7" t="s">
        <v>837</v>
      </c>
      <c r="M374" s="9">
        <v>129900</v>
      </c>
      <c r="N374" s="10">
        <f t="shared" si="33"/>
        <v>0.9</v>
      </c>
      <c r="O374" s="34">
        <f t="shared" si="34"/>
        <v>12989.999999999996</v>
      </c>
      <c r="P374" s="7" t="str">
        <f t="shared" si="35"/>
        <v>PERCENTAGE</v>
      </c>
    </row>
    <row r="375" spans="1:16" x14ac:dyDescent="0.25">
      <c r="A375" s="7" t="str">
        <f t="shared" si="30"/>
        <v>2023 ALL D90</v>
      </c>
      <c r="B375" s="8">
        <f t="shared" si="31"/>
        <v>46099</v>
      </c>
      <c r="C375" s="8">
        <f t="shared" si="32"/>
        <v>46113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104</v>
      </c>
      <c r="J375" s="7">
        <v>88781048</v>
      </c>
      <c r="K375" s="7" t="s">
        <v>835</v>
      </c>
      <c r="L375" s="7" t="s">
        <v>838</v>
      </c>
      <c r="M375" s="9">
        <v>129900</v>
      </c>
      <c r="N375" s="10">
        <f t="shared" si="33"/>
        <v>0.9</v>
      </c>
      <c r="O375" s="34">
        <f t="shared" si="34"/>
        <v>12989.999999999996</v>
      </c>
      <c r="P375" s="7" t="str">
        <f t="shared" si="35"/>
        <v>PERCENTAGE</v>
      </c>
    </row>
    <row r="376" spans="1:16" x14ac:dyDescent="0.25">
      <c r="A376" s="7" t="str">
        <f t="shared" si="30"/>
        <v>2023 ALL D90</v>
      </c>
      <c r="B376" s="8">
        <f t="shared" si="31"/>
        <v>46099</v>
      </c>
      <c r="C376" s="8">
        <f t="shared" si="32"/>
        <v>46113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104</v>
      </c>
      <c r="J376" s="7">
        <v>88781057</v>
      </c>
      <c r="K376" s="7" t="s">
        <v>835</v>
      </c>
      <c r="L376" s="7" t="s">
        <v>839</v>
      </c>
      <c r="M376" s="9">
        <v>129900</v>
      </c>
      <c r="N376" s="10">
        <f t="shared" si="33"/>
        <v>0.9</v>
      </c>
      <c r="O376" s="34">
        <f t="shared" si="34"/>
        <v>12989.999999999996</v>
      </c>
      <c r="P376" s="7" t="str">
        <f t="shared" si="35"/>
        <v>PERCENTAGE</v>
      </c>
    </row>
    <row r="377" spans="1:16" x14ac:dyDescent="0.25">
      <c r="A377" s="7" t="str">
        <f t="shared" si="30"/>
        <v>2023 ALL D90</v>
      </c>
      <c r="B377" s="8">
        <f t="shared" si="31"/>
        <v>46099</v>
      </c>
      <c r="C377" s="8">
        <f t="shared" si="32"/>
        <v>46113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104</v>
      </c>
      <c r="J377" s="7">
        <v>88781066</v>
      </c>
      <c r="K377" s="7" t="s">
        <v>835</v>
      </c>
      <c r="L377" s="7" t="s">
        <v>840</v>
      </c>
      <c r="M377" s="9">
        <v>129900</v>
      </c>
      <c r="N377" s="10">
        <f t="shared" si="33"/>
        <v>0.9</v>
      </c>
      <c r="O377" s="34">
        <f t="shared" si="34"/>
        <v>12989.999999999996</v>
      </c>
      <c r="P377" s="7" t="str">
        <f t="shared" si="35"/>
        <v>PERCENTAGE</v>
      </c>
    </row>
    <row r="378" spans="1:16" x14ac:dyDescent="0.25">
      <c r="A378" s="7" t="str">
        <f t="shared" si="30"/>
        <v>2023 ALL D90</v>
      </c>
      <c r="B378" s="8">
        <f t="shared" si="31"/>
        <v>46099</v>
      </c>
      <c r="C378" s="8">
        <f t="shared" si="32"/>
        <v>46113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104</v>
      </c>
      <c r="J378" s="7">
        <v>88781075</v>
      </c>
      <c r="K378" s="7" t="s">
        <v>835</v>
      </c>
      <c r="L378" s="7" t="s">
        <v>841</v>
      </c>
      <c r="M378" s="9">
        <v>129900</v>
      </c>
      <c r="N378" s="10">
        <f t="shared" si="33"/>
        <v>0.9</v>
      </c>
      <c r="O378" s="34">
        <f t="shared" si="34"/>
        <v>12989.999999999996</v>
      </c>
      <c r="P378" s="7" t="str">
        <f t="shared" si="35"/>
        <v>PERCENTAGE</v>
      </c>
    </row>
    <row r="379" spans="1:16" x14ac:dyDescent="0.25">
      <c r="A379" s="7" t="str">
        <f t="shared" si="30"/>
        <v>2023 ALL D90</v>
      </c>
      <c r="B379" s="8">
        <f t="shared" si="31"/>
        <v>46099</v>
      </c>
      <c r="C379" s="8">
        <f t="shared" si="32"/>
        <v>46113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104</v>
      </c>
      <c r="J379" s="7">
        <v>88781084</v>
      </c>
      <c r="K379" s="7" t="s">
        <v>835</v>
      </c>
      <c r="L379" s="7" t="s">
        <v>842</v>
      </c>
      <c r="M379" s="9">
        <v>129900</v>
      </c>
      <c r="N379" s="10">
        <f t="shared" si="33"/>
        <v>0.9</v>
      </c>
      <c r="O379" s="34">
        <f t="shared" si="34"/>
        <v>12989.999999999996</v>
      </c>
      <c r="P379" s="7" t="str">
        <f t="shared" si="35"/>
        <v>PERCENTAGE</v>
      </c>
    </row>
    <row r="380" spans="1:16" x14ac:dyDescent="0.25">
      <c r="A380" s="7" t="str">
        <f t="shared" si="30"/>
        <v>2023 ALL D90</v>
      </c>
      <c r="B380" s="8">
        <f t="shared" si="31"/>
        <v>46099</v>
      </c>
      <c r="C380" s="8">
        <f t="shared" si="32"/>
        <v>46113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104</v>
      </c>
      <c r="J380" s="7">
        <v>88781093</v>
      </c>
      <c r="K380" s="7" t="s">
        <v>835</v>
      </c>
      <c r="L380" s="7" t="s">
        <v>843</v>
      </c>
      <c r="M380" s="9">
        <v>129900</v>
      </c>
      <c r="N380" s="10">
        <f t="shared" si="33"/>
        <v>0.9</v>
      </c>
      <c r="O380" s="34">
        <f t="shared" si="34"/>
        <v>12989.999999999996</v>
      </c>
      <c r="P380" s="7" t="str">
        <f t="shared" si="35"/>
        <v>PERCENTAGE</v>
      </c>
    </row>
    <row r="381" spans="1:16" x14ac:dyDescent="0.25">
      <c r="A381" s="7" t="str">
        <f t="shared" si="30"/>
        <v>2023 ALL D90</v>
      </c>
      <c r="B381" s="8">
        <f t="shared" si="31"/>
        <v>46099</v>
      </c>
      <c r="C381" s="8">
        <f t="shared" si="32"/>
        <v>46113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104</v>
      </c>
      <c r="J381" s="7">
        <v>88781100</v>
      </c>
      <c r="K381" s="7" t="s">
        <v>844</v>
      </c>
      <c r="L381" s="7" t="s">
        <v>845</v>
      </c>
      <c r="M381" s="9">
        <v>139900</v>
      </c>
      <c r="N381" s="10">
        <f t="shared" si="33"/>
        <v>0.9</v>
      </c>
      <c r="O381" s="34">
        <f t="shared" si="34"/>
        <v>13989.999999999996</v>
      </c>
      <c r="P381" s="7" t="str">
        <f t="shared" si="35"/>
        <v>PERCENTAGE</v>
      </c>
    </row>
    <row r="382" spans="1:16" x14ac:dyDescent="0.25">
      <c r="A382" s="7" t="str">
        <f t="shared" si="30"/>
        <v>2023 ALL D90</v>
      </c>
      <c r="B382" s="8">
        <f t="shared" si="31"/>
        <v>46099</v>
      </c>
      <c r="C382" s="8">
        <f t="shared" si="32"/>
        <v>46113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104</v>
      </c>
      <c r="J382" s="7">
        <v>88781119</v>
      </c>
      <c r="K382" s="7" t="s">
        <v>844</v>
      </c>
      <c r="L382" s="7" t="s">
        <v>846</v>
      </c>
      <c r="M382" s="9">
        <v>139900</v>
      </c>
      <c r="N382" s="10">
        <f t="shared" si="33"/>
        <v>0.9</v>
      </c>
      <c r="O382" s="34">
        <f t="shared" si="34"/>
        <v>13989.999999999996</v>
      </c>
      <c r="P382" s="7" t="str">
        <f t="shared" si="35"/>
        <v>PERCENTAGE</v>
      </c>
    </row>
    <row r="383" spans="1:16" x14ac:dyDescent="0.25">
      <c r="A383" s="7" t="str">
        <f t="shared" si="30"/>
        <v>2023 ALL D90</v>
      </c>
      <c r="B383" s="8">
        <f t="shared" si="31"/>
        <v>46099</v>
      </c>
      <c r="C383" s="8">
        <f t="shared" si="32"/>
        <v>46113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104</v>
      </c>
      <c r="J383" s="7">
        <v>88781128</v>
      </c>
      <c r="K383" s="7" t="s">
        <v>844</v>
      </c>
      <c r="L383" s="7" t="s">
        <v>847</v>
      </c>
      <c r="M383" s="9">
        <v>139900</v>
      </c>
      <c r="N383" s="10">
        <f t="shared" si="33"/>
        <v>0.9</v>
      </c>
      <c r="O383" s="34">
        <f t="shared" si="34"/>
        <v>13989.999999999996</v>
      </c>
      <c r="P383" s="7" t="str">
        <f t="shared" si="35"/>
        <v>PERCENTAGE</v>
      </c>
    </row>
    <row r="384" spans="1:16" x14ac:dyDescent="0.25">
      <c r="A384" s="7" t="str">
        <f t="shared" si="30"/>
        <v>2023 ALL D90</v>
      </c>
      <c r="B384" s="8">
        <f t="shared" si="31"/>
        <v>46099</v>
      </c>
      <c r="C384" s="8">
        <f t="shared" si="32"/>
        <v>46113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104</v>
      </c>
      <c r="J384" s="7">
        <v>88781137</v>
      </c>
      <c r="K384" s="7" t="s">
        <v>844</v>
      </c>
      <c r="L384" s="7" t="s">
        <v>848</v>
      </c>
      <c r="M384" s="9">
        <v>139900</v>
      </c>
      <c r="N384" s="10">
        <f t="shared" si="33"/>
        <v>0.9</v>
      </c>
      <c r="O384" s="34">
        <f t="shared" si="34"/>
        <v>13989.999999999996</v>
      </c>
      <c r="P384" s="7" t="str">
        <f t="shared" si="35"/>
        <v>PERCENTAGE</v>
      </c>
    </row>
    <row r="385" spans="1:16" x14ac:dyDescent="0.25">
      <c r="A385" s="7" t="str">
        <f t="shared" si="30"/>
        <v>2023 ALL D90</v>
      </c>
      <c r="B385" s="8">
        <f t="shared" si="31"/>
        <v>46099</v>
      </c>
      <c r="C385" s="8">
        <f t="shared" si="32"/>
        <v>46113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104</v>
      </c>
      <c r="J385" s="7">
        <v>88781146</v>
      </c>
      <c r="K385" s="7" t="s">
        <v>844</v>
      </c>
      <c r="L385" s="7" t="s">
        <v>849</v>
      </c>
      <c r="M385" s="9">
        <v>139900</v>
      </c>
      <c r="N385" s="10">
        <f t="shared" si="33"/>
        <v>0.9</v>
      </c>
      <c r="O385" s="34">
        <f t="shared" si="34"/>
        <v>13989.999999999996</v>
      </c>
      <c r="P385" s="7" t="str">
        <f t="shared" si="35"/>
        <v>PERCENTAGE</v>
      </c>
    </row>
    <row r="386" spans="1:16" x14ac:dyDescent="0.25">
      <c r="A386" s="7" t="str">
        <f t="shared" si="30"/>
        <v>2023 ALL D90</v>
      </c>
      <c r="B386" s="8">
        <f t="shared" si="31"/>
        <v>46099</v>
      </c>
      <c r="C386" s="8">
        <f t="shared" si="32"/>
        <v>46113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104</v>
      </c>
      <c r="J386" s="7">
        <v>88781155</v>
      </c>
      <c r="K386" s="7" t="s">
        <v>844</v>
      </c>
      <c r="L386" s="7" t="s">
        <v>850</v>
      </c>
      <c r="M386" s="9">
        <v>139900</v>
      </c>
      <c r="N386" s="10">
        <f t="shared" si="33"/>
        <v>0.9</v>
      </c>
      <c r="O386" s="34">
        <f t="shared" si="34"/>
        <v>13989.999999999996</v>
      </c>
      <c r="P386" s="7" t="str">
        <f t="shared" si="35"/>
        <v>PERCENTAGE</v>
      </c>
    </row>
    <row r="387" spans="1:16" x14ac:dyDescent="0.25">
      <c r="A387" s="7" t="str">
        <f t="shared" ref="A387:A450" si="36">A386</f>
        <v>2023 ALL D90</v>
      </c>
      <c r="B387" s="8">
        <f t="shared" ref="B387:B450" si="37">B386</f>
        <v>46099</v>
      </c>
      <c r="C387" s="8">
        <f t="shared" ref="C387:C450" si="38">C386</f>
        <v>46113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104</v>
      </c>
      <c r="J387" s="7">
        <v>88781164</v>
      </c>
      <c r="K387" s="7" t="s">
        <v>844</v>
      </c>
      <c r="L387" s="7" t="s">
        <v>851</v>
      </c>
      <c r="M387" s="9">
        <v>139900</v>
      </c>
      <c r="N387" s="10">
        <f t="shared" ref="N387:N450" si="39">N386</f>
        <v>0.9</v>
      </c>
      <c r="O387" s="34">
        <f t="shared" ref="O387:O450" si="40">M387*(1-N387)</f>
        <v>13989.999999999996</v>
      </c>
      <c r="P387" s="7" t="str">
        <f t="shared" ref="P387:P450" si="41">P386</f>
        <v>PERCENTAGE</v>
      </c>
    </row>
    <row r="388" spans="1:16" x14ac:dyDescent="0.25">
      <c r="A388" s="7" t="str">
        <f t="shared" si="36"/>
        <v>2023 ALL D90</v>
      </c>
      <c r="B388" s="8">
        <f t="shared" si="37"/>
        <v>46099</v>
      </c>
      <c r="C388" s="8">
        <f t="shared" si="38"/>
        <v>46113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104</v>
      </c>
      <c r="J388" s="7">
        <v>88781173</v>
      </c>
      <c r="K388" s="7" t="s">
        <v>844</v>
      </c>
      <c r="L388" s="7" t="s">
        <v>852</v>
      </c>
      <c r="M388" s="9">
        <v>139900</v>
      </c>
      <c r="N388" s="10">
        <f t="shared" si="39"/>
        <v>0.9</v>
      </c>
      <c r="O388" s="34">
        <f t="shared" si="40"/>
        <v>13989.999999999996</v>
      </c>
      <c r="P388" s="7" t="str">
        <f t="shared" si="41"/>
        <v>PERCENTAGE</v>
      </c>
    </row>
    <row r="389" spans="1:16" x14ac:dyDescent="0.25">
      <c r="A389" s="7" t="str">
        <f t="shared" si="36"/>
        <v>2023 ALL D90</v>
      </c>
      <c r="B389" s="8">
        <f t="shared" si="37"/>
        <v>46099</v>
      </c>
      <c r="C389" s="8">
        <f t="shared" si="38"/>
        <v>46113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104</v>
      </c>
      <c r="J389" s="7">
        <v>88781342</v>
      </c>
      <c r="K389" s="7" t="s">
        <v>853</v>
      </c>
      <c r="L389" s="7" t="s">
        <v>854</v>
      </c>
      <c r="M389" s="9">
        <v>139900</v>
      </c>
      <c r="N389" s="10">
        <f t="shared" si="39"/>
        <v>0.9</v>
      </c>
      <c r="O389" s="34">
        <f t="shared" si="40"/>
        <v>13989.999999999996</v>
      </c>
      <c r="P389" s="7" t="str">
        <f t="shared" si="41"/>
        <v>PERCENTAGE</v>
      </c>
    </row>
    <row r="390" spans="1:16" x14ac:dyDescent="0.25">
      <c r="A390" s="7" t="str">
        <f t="shared" si="36"/>
        <v>2023 ALL D90</v>
      </c>
      <c r="B390" s="8">
        <f t="shared" si="37"/>
        <v>46099</v>
      </c>
      <c r="C390" s="8">
        <f t="shared" si="38"/>
        <v>46113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104</v>
      </c>
      <c r="J390" s="7">
        <v>88781351</v>
      </c>
      <c r="K390" s="7" t="s">
        <v>853</v>
      </c>
      <c r="L390" s="7" t="s">
        <v>855</v>
      </c>
      <c r="M390" s="9">
        <v>139900</v>
      </c>
      <c r="N390" s="10">
        <f t="shared" si="39"/>
        <v>0.9</v>
      </c>
      <c r="O390" s="34">
        <f t="shared" si="40"/>
        <v>13989.999999999996</v>
      </c>
      <c r="P390" s="7" t="str">
        <f t="shared" si="41"/>
        <v>PERCENTAGE</v>
      </c>
    </row>
    <row r="391" spans="1:16" x14ac:dyDescent="0.25">
      <c r="A391" s="7" t="str">
        <f t="shared" si="36"/>
        <v>2023 ALL D90</v>
      </c>
      <c r="B391" s="8">
        <f t="shared" si="37"/>
        <v>46099</v>
      </c>
      <c r="C391" s="8">
        <f t="shared" si="38"/>
        <v>46113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104</v>
      </c>
      <c r="J391" s="7">
        <v>88781360</v>
      </c>
      <c r="K391" s="7" t="s">
        <v>853</v>
      </c>
      <c r="L391" s="7" t="s">
        <v>856</v>
      </c>
      <c r="M391" s="9">
        <v>139900</v>
      </c>
      <c r="N391" s="10">
        <f t="shared" si="39"/>
        <v>0.9</v>
      </c>
      <c r="O391" s="34">
        <f t="shared" si="40"/>
        <v>13989.999999999996</v>
      </c>
      <c r="P391" s="7" t="str">
        <f t="shared" si="41"/>
        <v>PERCENTAGE</v>
      </c>
    </row>
    <row r="392" spans="1:16" x14ac:dyDescent="0.25">
      <c r="A392" s="7" t="str">
        <f t="shared" si="36"/>
        <v>2023 ALL D90</v>
      </c>
      <c r="B392" s="8">
        <f t="shared" si="37"/>
        <v>46099</v>
      </c>
      <c r="C392" s="8">
        <f t="shared" si="38"/>
        <v>46113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104</v>
      </c>
      <c r="J392" s="7">
        <v>88781379</v>
      </c>
      <c r="K392" s="7" t="s">
        <v>853</v>
      </c>
      <c r="L392" s="7" t="s">
        <v>857</v>
      </c>
      <c r="M392" s="9">
        <v>139900</v>
      </c>
      <c r="N392" s="10">
        <f t="shared" si="39"/>
        <v>0.9</v>
      </c>
      <c r="O392" s="34">
        <f t="shared" si="40"/>
        <v>13989.999999999996</v>
      </c>
      <c r="P392" s="7" t="str">
        <f t="shared" si="41"/>
        <v>PERCENTAGE</v>
      </c>
    </row>
    <row r="393" spans="1:16" x14ac:dyDescent="0.25">
      <c r="A393" s="7" t="str">
        <f t="shared" si="36"/>
        <v>2023 ALL D90</v>
      </c>
      <c r="B393" s="8">
        <f t="shared" si="37"/>
        <v>46099</v>
      </c>
      <c r="C393" s="8">
        <f t="shared" si="38"/>
        <v>46113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104</v>
      </c>
      <c r="J393" s="7">
        <v>88781388</v>
      </c>
      <c r="K393" s="7" t="s">
        <v>853</v>
      </c>
      <c r="L393" s="7" t="s">
        <v>858</v>
      </c>
      <c r="M393" s="9">
        <v>139900</v>
      </c>
      <c r="N393" s="10">
        <f t="shared" si="39"/>
        <v>0.9</v>
      </c>
      <c r="O393" s="34">
        <f t="shared" si="40"/>
        <v>13989.999999999996</v>
      </c>
      <c r="P393" s="7" t="str">
        <f t="shared" si="41"/>
        <v>PERCENTAGE</v>
      </c>
    </row>
    <row r="394" spans="1:16" x14ac:dyDescent="0.25">
      <c r="A394" s="7" t="str">
        <f t="shared" si="36"/>
        <v>2023 ALL D90</v>
      </c>
      <c r="B394" s="8">
        <f t="shared" si="37"/>
        <v>46099</v>
      </c>
      <c r="C394" s="8">
        <f t="shared" si="38"/>
        <v>46113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104</v>
      </c>
      <c r="J394" s="7">
        <v>88781397</v>
      </c>
      <c r="K394" s="7" t="s">
        <v>853</v>
      </c>
      <c r="L394" s="7" t="s">
        <v>859</v>
      </c>
      <c r="M394" s="9">
        <v>139900</v>
      </c>
      <c r="N394" s="10">
        <f t="shared" si="39"/>
        <v>0.9</v>
      </c>
      <c r="O394" s="34">
        <f t="shared" si="40"/>
        <v>13989.999999999996</v>
      </c>
      <c r="P394" s="7" t="str">
        <f t="shared" si="41"/>
        <v>PERCENTAGE</v>
      </c>
    </row>
    <row r="395" spans="1:16" x14ac:dyDescent="0.25">
      <c r="A395" s="7" t="str">
        <f t="shared" si="36"/>
        <v>2023 ALL D90</v>
      </c>
      <c r="B395" s="8">
        <f t="shared" si="37"/>
        <v>46099</v>
      </c>
      <c r="C395" s="8">
        <f t="shared" si="38"/>
        <v>46113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104</v>
      </c>
      <c r="J395" s="7">
        <v>88781404</v>
      </c>
      <c r="K395" s="7" t="s">
        <v>853</v>
      </c>
      <c r="L395" s="7" t="s">
        <v>860</v>
      </c>
      <c r="M395" s="9">
        <v>139900</v>
      </c>
      <c r="N395" s="10">
        <f t="shared" si="39"/>
        <v>0.9</v>
      </c>
      <c r="O395" s="34">
        <f t="shared" si="40"/>
        <v>13989.999999999996</v>
      </c>
      <c r="P395" s="7" t="str">
        <f t="shared" si="41"/>
        <v>PERCENTAGE</v>
      </c>
    </row>
    <row r="396" spans="1:16" x14ac:dyDescent="0.25">
      <c r="A396" s="7" t="str">
        <f t="shared" si="36"/>
        <v>2023 ALL D90</v>
      </c>
      <c r="B396" s="8">
        <f t="shared" si="37"/>
        <v>46099</v>
      </c>
      <c r="C396" s="8">
        <f t="shared" si="38"/>
        <v>46113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104</v>
      </c>
      <c r="J396" s="7">
        <v>88781413</v>
      </c>
      <c r="K396" s="7" t="s">
        <v>853</v>
      </c>
      <c r="L396" s="7" t="s">
        <v>861</v>
      </c>
      <c r="M396" s="9">
        <v>139900</v>
      </c>
      <c r="N396" s="10">
        <f t="shared" si="39"/>
        <v>0.9</v>
      </c>
      <c r="O396" s="34">
        <f t="shared" si="40"/>
        <v>13989.999999999996</v>
      </c>
      <c r="P396" s="7" t="str">
        <f t="shared" si="41"/>
        <v>PERCENTAGE</v>
      </c>
    </row>
    <row r="397" spans="1:16" x14ac:dyDescent="0.25">
      <c r="A397" s="7" t="str">
        <f t="shared" si="36"/>
        <v>2023 ALL D90</v>
      </c>
      <c r="B397" s="8">
        <f t="shared" si="37"/>
        <v>46099</v>
      </c>
      <c r="C397" s="8">
        <f t="shared" si="38"/>
        <v>46113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104</v>
      </c>
      <c r="J397" s="7">
        <v>88781502</v>
      </c>
      <c r="K397" s="7" t="s">
        <v>862</v>
      </c>
      <c r="L397" s="7" t="s">
        <v>863</v>
      </c>
      <c r="M397" s="9">
        <v>149900</v>
      </c>
      <c r="N397" s="10">
        <f t="shared" si="39"/>
        <v>0.9</v>
      </c>
      <c r="O397" s="34">
        <f t="shared" si="40"/>
        <v>14989.999999999996</v>
      </c>
      <c r="P397" s="7" t="str">
        <f t="shared" si="41"/>
        <v>PERCENTAGE</v>
      </c>
    </row>
    <row r="398" spans="1:16" x14ac:dyDescent="0.25">
      <c r="A398" s="7" t="str">
        <f t="shared" si="36"/>
        <v>2023 ALL D90</v>
      </c>
      <c r="B398" s="8">
        <f t="shared" si="37"/>
        <v>46099</v>
      </c>
      <c r="C398" s="8">
        <f t="shared" si="38"/>
        <v>46113</v>
      </c>
      <c r="D398" s="7">
        <v>3272</v>
      </c>
      <c r="E398" s="7">
        <v>336</v>
      </c>
      <c r="F398" s="7">
        <v>4</v>
      </c>
      <c r="G398" s="7">
        <v>1</v>
      </c>
      <c r="H398" s="7">
        <v>81379</v>
      </c>
      <c r="I398" s="7" t="s">
        <v>104</v>
      </c>
      <c r="J398" s="7">
        <v>88781511</v>
      </c>
      <c r="K398" s="7" t="s">
        <v>862</v>
      </c>
      <c r="L398" s="7" t="s">
        <v>864</v>
      </c>
      <c r="M398" s="9">
        <v>149900</v>
      </c>
      <c r="N398" s="10">
        <f t="shared" si="39"/>
        <v>0.9</v>
      </c>
      <c r="O398" s="34">
        <f t="shared" si="40"/>
        <v>14989.999999999996</v>
      </c>
      <c r="P398" s="7" t="str">
        <f t="shared" si="41"/>
        <v>PERCENTAGE</v>
      </c>
    </row>
    <row r="399" spans="1:16" x14ac:dyDescent="0.25">
      <c r="A399" s="7" t="str">
        <f t="shared" si="36"/>
        <v>2023 ALL D90</v>
      </c>
      <c r="B399" s="8">
        <f t="shared" si="37"/>
        <v>46099</v>
      </c>
      <c r="C399" s="8">
        <f t="shared" si="38"/>
        <v>46113</v>
      </c>
      <c r="D399" s="7">
        <v>3272</v>
      </c>
      <c r="E399" s="7">
        <v>336</v>
      </c>
      <c r="F399" s="7">
        <v>4</v>
      </c>
      <c r="G399" s="7">
        <v>1</v>
      </c>
      <c r="H399" s="7">
        <v>81379</v>
      </c>
      <c r="I399" s="7" t="s">
        <v>104</v>
      </c>
      <c r="J399" s="7">
        <v>88781520</v>
      </c>
      <c r="K399" s="7" t="s">
        <v>862</v>
      </c>
      <c r="L399" s="7" t="s">
        <v>865</v>
      </c>
      <c r="M399" s="9">
        <v>149900</v>
      </c>
      <c r="N399" s="10">
        <f t="shared" si="39"/>
        <v>0.9</v>
      </c>
      <c r="O399" s="34">
        <f t="shared" si="40"/>
        <v>14989.999999999996</v>
      </c>
      <c r="P399" s="7" t="str">
        <f t="shared" si="41"/>
        <v>PERCENTAGE</v>
      </c>
    </row>
    <row r="400" spans="1:16" x14ac:dyDescent="0.25">
      <c r="A400" s="7" t="str">
        <f t="shared" si="36"/>
        <v>2023 ALL D90</v>
      </c>
      <c r="B400" s="8">
        <f t="shared" si="37"/>
        <v>46099</v>
      </c>
      <c r="C400" s="8">
        <f t="shared" si="38"/>
        <v>46113</v>
      </c>
      <c r="D400" s="7">
        <v>3272</v>
      </c>
      <c r="E400" s="7">
        <v>336</v>
      </c>
      <c r="F400" s="7">
        <v>4</v>
      </c>
      <c r="G400" s="7">
        <v>1</v>
      </c>
      <c r="H400" s="7">
        <v>81379</v>
      </c>
      <c r="I400" s="7" t="s">
        <v>104</v>
      </c>
      <c r="J400" s="7">
        <v>88781539</v>
      </c>
      <c r="K400" s="7" t="s">
        <v>862</v>
      </c>
      <c r="L400" s="7" t="s">
        <v>866</v>
      </c>
      <c r="M400" s="9">
        <v>149900</v>
      </c>
      <c r="N400" s="10">
        <f t="shared" si="39"/>
        <v>0.9</v>
      </c>
      <c r="O400" s="34">
        <f t="shared" si="40"/>
        <v>14989.999999999996</v>
      </c>
      <c r="P400" s="7" t="str">
        <f t="shared" si="41"/>
        <v>PERCENTAGE</v>
      </c>
    </row>
    <row r="401" spans="1:16" x14ac:dyDescent="0.25">
      <c r="A401" s="7" t="str">
        <f t="shared" si="36"/>
        <v>2023 ALL D90</v>
      </c>
      <c r="B401" s="8">
        <f t="shared" si="37"/>
        <v>46099</v>
      </c>
      <c r="C401" s="8">
        <f t="shared" si="38"/>
        <v>46113</v>
      </c>
      <c r="D401" s="7">
        <v>3272</v>
      </c>
      <c r="E401" s="7">
        <v>336</v>
      </c>
      <c r="F401" s="7">
        <v>4</v>
      </c>
      <c r="G401" s="7">
        <v>1</v>
      </c>
      <c r="H401" s="7">
        <v>81379</v>
      </c>
      <c r="I401" s="7" t="s">
        <v>104</v>
      </c>
      <c r="J401" s="7">
        <v>88781548</v>
      </c>
      <c r="K401" s="7" t="s">
        <v>862</v>
      </c>
      <c r="L401" s="7" t="s">
        <v>867</v>
      </c>
      <c r="M401" s="9">
        <v>149900</v>
      </c>
      <c r="N401" s="10">
        <f t="shared" si="39"/>
        <v>0.9</v>
      </c>
      <c r="O401" s="34">
        <f t="shared" si="40"/>
        <v>14989.999999999996</v>
      </c>
      <c r="P401" s="7" t="str">
        <f t="shared" si="41"/>
        <v>PERCENTAGE</v>
      </c>
    </row>
    <row r="402" spans="1:16" x14ac:dyDescent="0.25">
      <c r="A402" s="7" t="str">
        <f t="shared" si="36"/>
        <v>2023 ALL D90</v>
      </c>
      <c r="B402" s="8">
        <f t="shared" si="37"/>
        <v>46099</v>
      </c>
      <c r="C402" s="8">
        <f t="shared" si="38"/>
        <v>46113</v>
      </c>
      <c r="D402" s="7">
        <v>3272</v>
      </c>
      <c r="E402" s="7">
        <v>336</v>
      </c>
      <c r="F402" s="7">
        <v>4</v>
      </c>
      <c r="G402" s="7">
        <v>1</v>
      </c>
      <c r="H402" s="7">
        <v>81379</v>
      </c>
      <c r="I402" s="7" t="s">
        <v>104</v>
      </c>
      <c r="J402" s="7">
        <v>88781557</v>
      </c>
      <c r="K402" s="7" t="s">
        <v>862</v>
      </c>
      <c r="L402" s="7" t="s">
        <v>868</v>
      </c>
      <c r="M402" s="9">
        <v>149900</v>
      </c>
      <c r="N402" s="10">
        <f t="shared" si="39"/>
        <v>0.9</v>
      </c>
      <c r="O402" s="34">
        <f t="shared" si="40"/>
        <v>14989.999999999996</v>
      </c>
      <c r="P402" s="7" t="str">
        <f t="shared" si="41"/>
        <v>PERCENTAGE</v>
      </c>
    </row>
    <row r="403" spans="1:16" x14ac:dyDescent="0.25">
      <c r="A403" s="7" t="str">
        <f t="shared" si="36"/>
        <v>2023 ALL D90</v>
      </c>
      <c r="B403" s="8">
        <f t="shared" si="37"/>
        <v>46099</v>
      </c>
      <c r="C403" s="8">
        <f t="shared" si="38"/>
        <v>46113</v>
      </c>
      <c r="D403" s="7">
        <v>3272</v>
      </c>
      <c r="E403" s="7">
        <v>336</v>
      </c>
      <c r="F403" s="7">
        <v>4</v>
      </c>
      <c r="G403" s="7">
        <v>1</v>
      </c>
      <c r="H403" s="7">
        <v>81379</v>
      </c>
      <c r="I403" s="7" t="s">
        <v>104</v>
      </c>
      <c r="J403" s="7">
        <v>88781566</v>
      </c>
      <c r="K403" s="7" t="s">
        <v>862</v>
      </c>
      <c r="L403" s="7" t="s">
        <v>869</v>
      </c>
      <c r="M403" s="9">
        <v>149900</v>
      </c>
      <c r="N403" s="10">
        <f t="shared" si="39"/>
        <v>0.9</v>
      </c>
      <c r="O403" s="34">
        <f t="shared" si="40"/>
        <v>14989.999999999996</v>
      </c>
      <c r="P403" s="7" t="str">
        <f t="shared" si="41"/>
        <v>PERCENTAGE</v>
      </c>
    </row>
    <row r="404" spans="1:16" x14ac:dyDescent="0.25">
      <c r="A404" s="7" t="str">
        <f t="shared" si="36"/>
        <v>2023 ALL D90</v>
      </c>
      <c r="B404" s="8">
        <f t="shared" si="37"/>
        <v>46099</v>
      </c>
      <c r="C404" s="8">
        <f t="shared" si="38"/>
        <v>46113</v>
      </c>
      <c r="D404" s="7">
        <v>3272</v>
      </c>
      <c r="E404" s="7">
        <v>336</v>
      </c>
      <c r="F404" s="7">
        <v>4</v>
      </c>
      <c r="G404" s="7">
        <v>1</v>
      </c>
      <c r="H404" s="7">
        <v>81379</v>
      </c>
      <c r="I404" s="7" t="s">
        <v>104</v>
      </c>
      <c r="J404" s="7">
        <v>88781575</v>
      </c>
      <c r="K404" s="7" t="s">
        <v>862</v>
      </c>
      <c r="L404" s="7" t="s">
        <v>870</v>
      </c>
      <c r="M404" s="9">
        <v>149900</v>
      </c>
      <c r="N404" s="10">
        <f t="shared" si="39"/>
        <v>0.9</v>
      </c>
      <c r="O404" s="34">
        <f t="shared" si="40"/>
        <v>14989.999999999996</v>
      </c>
      <c r="P404" s="7" t="str">
        <f t="shared" si="41"/>
        <v>PERCENTAGE</v>
      </c>
    </row>
    <row r="405" spans="1:16" x14ac:dyDescent="0.25">
      <c r="A405" s="7" t="str">
        <f t="shared" si="36"/>
        <v>2023 ALL D90</v>
      </c>
      <c r="B405" s="8">
        <f t="shared" si="37"/>
        <v>46099</v>
      </c>
      <c r="C405" s="8">
        <f t="shared" si="38"/>
        <v>46113</v>
      </c>
      <c r="D405" s="7">
        <v>3272</v>
      </c>
      <c r="E405" s="7">
        <v>336</v>
      </c>
      <c r="F405" s="7">
        <v>4</v>
      </c>
      <c r="G405" s="7">
        <v>1</v>
      </c>
      <c r="H405" s="7">
        <v>81379</v>
      </c>
      <c r="I405" s="7" t="s">
        <v>104</v>
      </c>
      <c r="J405" s="7">
        <v>88781182</v>
      </c>
      <c r="K405" s="7" t="s">
        <v>871</v>
      </c>
      <c r="L405" s="7" t="s">
        <v>872</v>
      </c>
      <c r="M405" s="9">
        <v>149900</v>
      </c>
      <c r="N405" s="10">
        <f t="shared" si="39"/>
        <v>0.9</v>
      </c>
      <c r="O405" s="34">
        <f t="shared" si="40"/>
        <v>14989.999999999996</v>
      </c>
      <c r="P405" s="7" t="str">
        <f t="shared" si="41"/>
        <v>PERCENTAGE</v>
      </c>
    </row>
    <row r="406" spans="1:16" x14ac:dyDescent="0.25">
      <c r="A406" s="7" t="str">
        <f t="shared" si="36"/>
        <v>2023 ALL D90</v>
      </c>
      <c r="B406" s="8">
        <f t="shared" si="37"/>
        <v>46099</v>
      </c>
      <c r="C406" s="8">
        <f t="shared" si="38"/>
        <v>46113</v>
      </c>
      <c r="D406" s="7">
        <v>3272</v>
      </c>
      <c r="E406" s="7">
        <v>336</v>
      </c>
      <c r="F406" s="7">
        <v>4</v>
      </c>
      <c r="G406" s="7">
        <v>1</v>
      </c>
      <c r="H406" s="7">
        <v>81379</v>
      </c>
      <c r="I406" s="7" t="s">
        <v>104</v>
      </c>
      <c r="J406" s="7">
        <v>88781191</v>
      </c>
      <c r="K406" s="7" t="s">
        <v>871</v>
      </c>
      <c r="L406" s="7" t="s">
        <v>873</v>
      </c>
      <c r="M406" s="9">
        <v>149900</v>
      </c>
      <c r="N406" s="10">
        <f t="shared" si="39"/>
        <v>0.9</v>
      </c>
      <c r="O406" s="34">
        <f t="shared" si="40"/>
        <v>14989.999999999996</v>
      </c>
      <c r="P406" s="7" t="str">
        <f t="shared" si="41"/>
        <v>PERCENTAGE</v>
      </c>
    </row>
    <row r="407" spans="1:16" x14ac:dyDescent="0.25">
      <c r="A407" s="7" t="str">
        <f t="shared" si="36"/>
        <v>2023 ALL D90</v>
      </c>
      <c r="B407" s="8">
        <f t="shared" si="37"/>
        <v>46099</v>
      </c>
      <c r="C407" s="8">
        <f t="shared" si="38"/>
        <v>46113</v>
      </c>
      <c r="D407" s="7">
        <v>3272</v>
      </c>
      <c r="E407" s="7">
        <v>336</v>
      </c>
      <c r="F407" s="7">
        <v>4</v>
      </c>
      <c r="G407" s="7">
        <v>1</v>
      </c>
      <c r="H407" s="7">
        <v>81379</v>
      </c>
      <c r="I407" s="7" t="s">
        <v>104</v>
      </c>
      <c r="J407" s="7">
        <v>88781208</v>
      </c>
      <c r="K407" s="7" t="s">
        <v>871</v>
      </c>
      <c r="L407" s="7" t="s">
        <v>874</v>
      </c>
      <c r="M407" s="9">
        <v>149900</v>
      </c>
      <c r="N407" s="10">
        <f t="shared" si="39"/>
        <v>0.9</v>
      </c>
      <c r="O407" s="34">
        <f t="shared" si="40"/>
        <v>14989.999999999996</v>
      </c>
      <c r="P407" s="7" t="str">
        <f t="shared" si="41"/>
        <v>PERCENTAGE</v>
      </c>
    </row>
    <row r="408" spans="1:16" x14ac:dyDescent="0.25">
      <c r="A408" s="7" t="str">
        <f t="shared" si="36"/>
        <v>2023 ALL D90</v>
      </c>
      <c r="B408" s="8">
        <f t="shared" si="37"/>
        <v>46099</v>
      </c>
      <c r="C408" s="8">
        <f t="shared" si="38"/>
        <v>46113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104</v>
      </c>
      <c r="J408" s="7">
        <v>88781217</v>
      </c>
      <c r="K408" s="7" t="s">
        <v>871</v>
      </c>
      <c r="L408" s="7" t="s">
        <v>875</v>
      </c>
      <c r="M408" s="9">
        <v>149900</v>
      </c>
      <c r="N408" s="10">
        <f t="shared" si="39"/>
        <v>0.9</v>
      </c>
      <c r="O408" s="34">
        <f t="shared" si="40"/>
        <v>14989.999999999996</v>
      </c>
      <c r="P408" s="7" t="str">
        <f t="shared" si="41"/>
        <v>PERCENTAGE</v>
      </c>
    </row>
    <row r="409" spans="1:16" x14ac:dyDescent="0.25">
      <c r="A409" s="7" t="str">
        <f t="shared" si="36"/>
        <v>2023 ALL D90</v>
      </c>
      <c r="B409" s="8">
        <f t="shared" si="37"/>
        <v>46099</v>
      </c>
      <c r="C409" s="8">
        <f t="shared" si="38"/>
        <v>46113</v>
      </c>
      <c r="D409" s="7">
        <v>3272</v>
      </c>
      <c r="E409" s="7">
        <v>336</v>
      </c>
      <c r="F409" s="7">
        <v>4</v>
      </c>
      <c r="G409" s="7">
        <v>1</v>
      </c>
      <c r="H409" s="7">
        <v>81379</v>
      </c>
      <c r="I409" s="7" t="s">
        <v>104</v>
      </c>
      <c r="J409" s="7">
        <v>88781226</v>
      </c>
      <c r="K409" s="7" t="s">
        <v>871</v>
      </c>
      <c r="L409" s="7" t="s">
        <v>876</v>
      </c>
      <c r="M409" s="9">
        <v>149900</v>
      </c>
      <c r="N409" s="10">
        <f t="shared" si="39"/>
        <v>0.9</v>
      </c>
      <c r="O409" s="34">
        <f t="shared" si="40"/>
        <v>14989.999999999996</v>
      </c>
      <c r="P409" s="7" t="str">
        <f t="shared" si="41"/>
        <v>PERCENTAGE</v>
      </c>
    </row>
    <row r="410" spans="1:16" x14ac:dyDescent="0.25">
      <c r="A410" s="7" t="str">
        <f t="shared" si="36"/>
        <v>2023 ALL D90</v>
      </c>
      <c r="B410" s="8">
        <f t="shared" si="37"/>
        <v>46099</v>
      </c>
      <c r="C410" s="8">
        <f t="shared" si="38"/>
        <v>46113</v>
      </c>
      <c r="D410" s="7">
        <v>3272</v>
      </c>
      <c r="E410" s="7">
        <v>336</v>
      </c>
      <c r="F410" s="7">
        <v>4</v>
      </c>
      <c r="G410" s="7">
        <v>1</v>
      </c>
      <c r="H410" s="7">
        <v>81379</v>
      </c>
      <c r="I410" s="7" t="s">
        <v>104</v>
      </c>
      <c r="J410" s="7">
        <v>88781235</v>
      </c>
      <c r="K410" s="7" t="s">
        <v>871</v>
      </c>
      <c r="L410" s="7" t="s">
        <v>877</v>
      </c>
      <c r="M410" s="9">
        <v>149900</v>
      </c>
      <c r="N410" s="10">
        <f t="shared" si="39"/>
        <v>0.9</v>
      </c>
      <c r="O410" s="34">
        <f t="shared" si="40"/>
        <v>14989.999999999996</v>
      </c>
      <c r="P410" s="7" t="str">
        <f t="shared" si="41"/>
        <v>PERCENTAGE</v>
      </c>
    </row>
    <row r="411" spans="1:16" x14ac:dyDescent="0.25">
      <c r="A411" s="7" t="str">
        <f t="shared" si="36"/>
        <v>2023 ALL D90</v>
      </c>
      <c r="B411" s="8">
        <f t="shared" si="37"/>
        <v>46099</v>
      </c>
      <c r="C411" s="8">
        <f t="shared" si="38"/>
        <v>46113</v>
      </c>
      <c r="D411" s="7">
        <v>3272</v>
      </c>
      <c r="E411" s="7">
        <v>336</v>
      </c>
      <c r="F411" s="7">
        <v>4</v>
      </c>
      <c r="G411" s="7">
        <v>1</v>
      </c>
      <c r="H411" s="7">
        <v>81379</v>
      </c>
      <c r="I411" s="7" t="s">
        <v>104</v>
      </c>
      <c r="J411" s="7">
        <v>88781244</v>
      </c>
      <c r="K411" s="7" t="s">
        <v>871</v>
      </c>
      <c r="L411" s="7" t="s">
        <v>878</v>
      </c>
      <c r="M411" s="9">
        <v>149900</v>
      </c>
      <c r="N411" s="10">
        <f t="shared" si="39"/>
        <v>0.9</v>
      </c>
      <c r="O411" s="34">
        <f t="shared" si="40"/>
        <v>14989.999999999996</v>
      </c>
      <c r="P411" s="7" t="str">
        <f t="shared" si="41"/>
        <v>PERCENTAGE</v>
      </c>
    </row>
    <row r="412" spans="1:16" x14ac:dyDescent="0.25">
      <c r="A412" s="7" t="str">
        <f t="shared" si="36"/>
        <v>2023 ALL D90</v>
      </c>
      <c r="B412" s="8">
        <f t="shared" si="37"/>
        <v>46099</v>
      </c>
      <c r="C412" s="8">
        <f t="shared" si="38"/>
        <v>46113</v>
      </c>
      <c r="D412" s="7">
        <v>3272</v>
      </c>
      <c r="E412" s="7">
        <v>336</v>
      </c>
      <c r="F412" s="7">
        <v>4</v>
      </c>
      <c r="G412" s="7">
        <v>1</v>
      </c>
      <c r="H412" s="7">
        <v>81379</v>
      </c>
      <c r="I412" s="7" t="s">
        <v>104</v>
      </c>
      <c r="J412" s="7">
        <v>88781253</v>
      </c>
      <c r="K412" s="7" t="s">
        <v>871</v>
      </c>
      <c r="L412" s="7" t="s">
        <v>879</v>
      </c>
      <c r="M412" s="9">
        <v>149900</v>
      </c>
      <c r="N412" s="10">
        <f t="shared" si="39"/>
        <v>0.9</v>
      </c>
      <c r="O412" s="34">
        <f t="shared" si="40"/>
        <v>14989.999999999996</v>
      </c>
      <c r="P412" s="7" t="str">
        <f t="shared" si="41"/>
        <v>PERCENTAGE</v>
      </c>
    </row>
    <row r="413" spans="1:16" x14ac:dyDescent="0.25">
      <c r="A413" s="7" t="str">
        <f t="shared" si="36"/>
        <v>2023 ALL D90</v>
      </c>
      <c r="B413" s="8">
        <f t="shared" si="37"/>
        <v>46099</v>
      </c>
      <c r="C413" s="8">
        <f t="shared" si="38"/>
        <v>46113</v>
      </c>
      <c r="D413" s="7">
        <v>3272</v>
      </c>
      <c r="E413" s="7">
        <v>336</v>
      </c>
      <c r="F413" s="7">
        <v>4</v>
      </c>
      <c r="G413" s="7">
        <v>1</v>
      </c>
      <c r="H413" s="7">
        <v>81379</v>
      </c>
      <c r="I413" s="7" t="s">
        <v>104</v>
      </c>
      <c r="J413" s="7">
        <v>88781262</v>
      </c>
      <c r="K413" s="7" t="s">
        <v>880</v>
      </c>
      <c r="L413" s="7" t="s">
        <v>881</v>
      </c>
      <c r="M413" s="9">
        <v>149900</v>
      </c>
      <c r="N413" s="10">
        <f t="shared" si="39"/>
        <v>0.9</v>
      </c>
      <c r="O413" s="34">
        <f t="shared" si="40"/>
        <v>14989.999999999996</v>
      </c>
      <c r="P413" s="7" t="str">
        <f t="shared" si="41"/>
        <v>PERCENTAGE</v>
      </c>
    </row>
    <row r="414" spans="1:16" x14ac:dyDescent="0.25">
      <c r="A414" s="7" t="str">
        <f t="shared" si="36"/>
        <v>2023 ALL D90</v>
      </c>
      <c r="B414" s="8">
        <f t="shared" si="37"/>
        <v>46099</v>
      </c>
      <c r="C414" s="8">
        <f t="shared" si="38"/>
        <v>46113</v>
      </c>
      <c r="D414" s="7">
        <v>3272</v>
      </c>
      <c r="E414" s="7">
        <v>336</v>
      </c>
      <c r="F414" s="7">
        <v>4</v>
      </c>
      <c r="G414" s="7">
        <v>1</v>
      </c>
      <c r="H414" s="7">
        <v>81379</v>
      </c>
      <c r="I414" s="7" t="s">
        <v>104</v>
      </c>
      <c r="J414" s="7">
        <v>88781271</v>
      </c>
      <c r="K414" s="7" t="s">
        <v>880</v>
      </c>
      <c r="L414" s="7" t="s">
        <v>882</v>
      </c>
      <c r="M414" s="9">
        <v>149900</v>
      </c>
      <c r="N414" s="10">
        <f t="shared" si="39"/>
        <v>0.9</v>
      </c>
      <c r="O414" s="34">
        <f t="shared" si="40"/>
        <v>14989.999999999996</v>
      </c>
      <c r="P414" s="7" t="str">
        <f t="shared" si="41"/>
        <v>PERCENTAGE</v>
      </c>
    </row>
    <row r="415" spans="1:16" x14ac:dyDescent="0.25">
      <c r="A415" s="7" t="str">
        <f t="shared" si="36"/>
        <v>2023 ALL D90</v>
      </c>
      <c r="B415" s="8">
        <f t="shared" si="37"/>
        <v>46099</v>
      </c>
      <c r="C415" s="8">
        <f t="shared" si="38"/>
        <v>46113</v>
      </c>
      <c r="D415" s="7">
        <v>3272</v>
      </c>
      <c r="E415" s="7">
        <v>336</v>
      </c>
      <c r="F415" s="7">
        <v>4</v>
      </c>
      <c r="G415" s="7">
        <v>1</v>
      </c>
      <c r="H415" s="7">
        <v>81379</v>
      </c>
      <c r="I415" s="7" t="s">
        <v>104</v>
      </c>
      <c r="J415" s="7">
        <v>88781280</v>
      </c>
      <c r="K415" s="7" t="s">
        <v>880</v>
      </c>
      <c r="L415" s="7" t="s">
        <v>883</v>
      </c>
      <c r="M415" s="9">
        <v>149900</v>
      </c>
      <c r="N415" s="10">
        <f t="shared" si="39"/>
        <v>0.9</v>
      </c>
      <c r="O415" s="34">
        <f t="shared" si="40"/>
        <v>14989.999999999996</v>
      </c>
      <c r="P415" s="7" t="str">
        <f t="shared" si="41"/>
        <v>PERCENTAGE</v>
      </c>
    </row>
    <row r="416" spans="1:16" x14ac:dyDescent="0.25">
      <c r="A416" s="7" t="str">
        <f t="shared" si="36"/>
        <v>2023 ALL D90</v>
      </c>
      <c r="B416" s="8">
        <f t="shared" si="37"/>
        <v>46099</v>
      </c>
      <c r="C416" s="8">
        <f t="shared" si="38"/>
        <v>46113</v>
      </c>
      <c r="D416" s="7">
        <v>3272</v>
      </c>
      <c r="E416" s="7">
        <v>336</v>
      </c>
      <c r="F416" s="7">
        <v>4</v>
      </c>
      <c r="G416" s="7">
        <v>1</v>
      </c>
      <c r="H416" s="7">
        <v>81379</v>
      </c>
      <c r="I416" s="7" t="s">
        <v>104</v>
      </c>
      <c r="J416" s="7">
        <v>88781299</v>
      </c>
      <c r="K416" s="7" t="s">
        <v>880</v>
      </c>
      <c r="L416" s="7" t="s">
        <v>884</v>
      </c>
      <c r="M416" s="9">
        <v>149900</v>
      </c>
      <c r="N416" s="10">
        <f t="shared" si="39"/>
        <v>0.9</v>
      </c>
      <c r="O416" s="34">
        <f t="shared" si="40"/>
        <v>14989.999999999996</v>
      </c>
      <c r="P416" s="7" t="str">
        <f t="shared" si="41"/>
        <v>PERCENTAGE</v>
      </c>
    </row>
    <row r="417" spans="1:16" x14ac:dyDescent="0.25">
      <c r="A417" s="7" t="str">
        <f t="shared" si="36"/>
        <v>2023 ALL D90</v>
      </c>
      <c r="B417" s="8">
        <f t="shared" si="37"/>
        <v>46099</v>
      </c>
      <c r="C417" s="8">
        <f t="shared" si="38"/>
        <v>46113</v>
      </c>
      <c r="D417" s="7">
        <v>3272</v>
      </c>
      <c r="E417" s="7">
        <v>336</v>
      </c>
      <c r="F417" s="7">
        <v>4</v>
      </c>
      <c r="G417" s="7">
        <v>1</v>
      </c>
      <c r="H417" s="7">
        <v>81379</v>
      </c>
      <c r="I417" s="7" t="s">
        <v>104</v>
      </c>
      <c r="J417" s="7">
        <v>88781306</v>
      </c>
      <c r="K417" s="7" t="s">
        <v>880</v>
      </c>
      <c r="L417" s="7" t="s">
        <v>885</v>
      </c>
      <c r="M417" s="9">
        <v>149900</v>
      </c>
      <c r="N417" s="10">
        <f t="shared" si="39"/>
        <v>0.9</v>
      </c>
      <c r="O417" s="34">
        <f t="shared" si="40"/>
        <v>14989.999999999996</v>
      </c>
      <c r="P417" s="7" t="str">
        <f t="shared" si="41"/>
        <v>PERCENTAGE</v>
      </c>
    </row>
    <row r="418" spans="1:16" x14ac:dyDescent="0.25">
      <c r="A418" s="7" t="str">
        <f t="shared" si="36"/>
        <v>2023 ALL D90</v>
      </c>
      <c r="B418" s="8">
        <f t="shared" si="37"/>
        <v>46099</v>
      </c>
      <c r="C418" s="8">
        <f t="shared" si="38"/>
        <v>46113</v>
      </c>
      <c r="D418" s="7">
        <v>3272</v>
      </c>
      <c r="E418" s="7">
        <v>336</v>
      </c>
      <c r="F418" s="7">
        <v>4</v>
      </c>
      <c r="G418" s="7">
        <v>1</v>
      </c>
      <c r="H418" s="7">
        <v>81379</v>
      </c>
      <c r="I418" s="7" t="s">
        <v>104</v>
      </c>
      <c r="J418" s="7">
        <v>88781315</v>
      </c>
      <c r="K418" s="7" t="s">
        <v>880</v>
      </c>
      <c r="L418" s="7" t="s">
        <v>886</v>
      </c>
      <c r="M418" s="9">
        <v>149900</v>
      </c>
      <c r="N418" s="10">
        <f t="shared" si="39"/>
        <v>0.9</v>
      </c>
      <c r="O418" s="34">
        <f t="shared" si="40"/>
        <v>14989.999999999996</v>
      </c>
      <c r="P418" s="7" t="str">
        <f t="shared" si="41"/>
        <v>PERCENTAGE</v>
      </c>
    </row>
    <row r="419" spans="1:16" x14ac:dyDescent="0.25">
      <c r="A419" s="7" t="str">
        <f t="shared" si="36"/>
        <v>2023 ALL D90</v>
      </c>
      <c r="B419" s="8">
        <f t="shared" si="37"/>
        <v>46099</v>
      </c>
      <c r="C419" s="8">
        <f t="shared" si="38"/>
        <v>46113</v>
      </c>
      <c r="D419" s="7">
        <v>3272</v>
      </c>
      <c r="E419" s="7">
        <v>336</v>
      </c>
      <c r="F419" s="7">
        <v>4</v>
      </c>
      <c r="G419" s="7">
        <v>1</v>
      </c>
      <c r="H419" s="7">
        <v>81379</v>
      </c>
      <c r="I419" s="7" t="s">
        <v>104</v>
      </c>
      <c r="J419" s="7">
        <v>88781324</v>
      </c>
      <c r="K419" s="7" t="s">
        <v>880</v>
      </c>
      <c r="L419" s="7" t="s">
        <v>887</v>
      </c>
      <c r="M419" s="9">
        <v>149900</v>
      </c>
      <c r="N419" s="10">
        <f t="shared" si="39"/>
        <v>0.9</v>
      </c>
      <c r="O419" s="34">
        <f t="shared" si="40"/>
        <v>14989.999999999996</v>
      </c>
      <c r="P419" s="7" t="str">
        <f t="shared" si="41"/>
        <v>PERCENTAGE</v>
      </c>
    </row>
    <row r="420" spans="1:16" x14ac:dyDescent="0.25">
      <c r="A420" s="7" t="str">
        <f t="shared" si="36"/>
        <v>2023 ALL D90</v>
      </c>
      <c r="B420" s="8">
        <f t="shared" si="37"/>
        <v>46099</v>
      </c>
      <c r="C420" s="8">
        <f t="shared" si="38"/>
        <v>46113</v>
      </c>
      <c r="D420" s="7">
        <v>3272</v>
      </c>
      <c r="E420" s="7">
        <v>336</v>
      </c>
      <c r="F420" s="7">
        <v>4</v>
      </c>
      <c r="G420" s="7">
        <v>1</v>
      </c>
      <c r="H420" s="7">
        <v>81379</v>
      </c>
      <c r="I420" s="7" t="s">
        <v>104</v>
      </c>
      <c r="J420" s="7">
        <v>88781333</v>
      </c>
      <c r="K420" s="7" t="s">
        <v>880</v>
      </c>
      <c r="L420" s="7" t="s">
        <v>888</v>
      </c>
      <c r="M420" s="9">
        <v>149900</v>
      </c>
      <c r="N420" s="10">
        <f t="shared" si="39"/>
        <v>0.9</v>
      </c>
      <c r="O420" s="34">
        <f t="shared" si="40"/>
        <v>14989.999999999996</v>
      </c>
      <c r="P420" s="7" t="str">
        <f t="shared" si="41"/>
        <v>PERCENTAGE</v>
      </c>
    </row>
    <row r="421" spans="1:16" x14ac:dyDescent="0.25">
      <c r="A421" s="7" t="str">
        <f t="shared" si="36"/>
        <v>2023 ALL D90</v>
      </c>
      <c r="B421" s="8">
        <f t="shared" si="37"/>
        <v>46099</v>
      </c>
      <c r="C421" s="8">
        <f t="shared" si="38"/>
        <v>46113</v>
      </c>
      <c r="D421" s="7">
        <v>3272</v>
      </c>
      <c r="E421" s="7">
        <v>336</v>
      </c>
      <c r="F421" s="7">
        <v>4</v>
      </c>
      <c r="G421" s="7">
        <v>1</v>
      </c>
      <c r="H421" s="7">
        <v>81379</v>
      </c>
      <c r="I421" s="7" t="s">
        <v>104</v>
      </c>
      <c r="J421" s="7">
        <v>88781422</v>
      </c>
      <c r="K421" s="7" t="s">
        <v>889</v>
      </c>
      <c r="L421" s="7" t="s">
        <v>890</v>
      </c>
      <c r="M421" s="9">
        <v>149900</v>
      </c>
      <c r="N421" s="10">
        <f t="shared" si="39"/>
        <v>0.9</v>
      </c>
      <c r="O421" s="34">
        <f t="shared" si="40"/>
        <v>14989.999999999996</v>
      </c>
      <c r="P421" s="7" t="str">
        <f t="shared" si="41"/>
        <v>PERCENTAGE</v>
      </c>
    </row>
    <row r="422" spans="1:16" x14ac:dyDescent="0.25">
      <c r="A422" s="7" t="str">
        <f t="shared" si="36"/>
        <v>2023 ALL D90</v>
      </c>
      <c r="B422" s="8">
        <f t="shared" si="37"/>
        <v>46099</v>
      </c>
      <c r="C422" s="8">
        <f t="shared" si="38"/>
        <v>46113</v>
      </c>
      <c r="D422" s="7">
        <v>3272</v>
      </c>
      <c r="E422" s="7">
        <v>336</v>
      </c>
      <c r="F422" s="7">
        <v>4</v>
      </c>
      <c r="G422" s="7">
        <v>1</v>
      </c>
      <c r="H422" s="7">
        <v>81379</v>
      </c>
      <c r="I422" s="7" t="s">
        <v>104</v>
      </c>
      <c r="J422" s="7">
        <v>88781431</v>
      </c>
      <c r="K422" s="7" t="s">
        <v>889</v>
      </c>
      <c r="L422" s="7" t="s">
        <v>891</v>
      </c>
      <c r="M422" s="9">
        <v>149900</v>
      </c>
      <c r="N422" s="10">
        <f t="shared" si="39"/>
        <v>0.9</v>
      </c>
      <c r="O422" s="34">
        <f t="shared" si="40"/>
        <v>14989.999999999996</v>
      </c>
      <c r="P422" s="7" t="str">
        <f t="shared" si="41"/>
        <v>PERCENTAGE</v>
      </c>
    </row>
    <row r="423" spans="1:16" x14ac:dyDescent="0.25">
      <c r="A423" s="7" t="str">
        <f t="shared" si="36"/>
        <v>2023 ALL D90</v>
      </c>
      <c r="B423" s="8">
        <f t="shared" si="37"/>
        <v>46099</v>
      </c>
      <c r="C423" s="8">
        <f t="shared" si="38"/>
        <v>46113</v>
      </c>
      <c r="D423" s="7">
        <v>3272</v>
      </c>
      <c r="E423" s="7">
        <v>336</v>
      </c>
      <c r="F423" s="7">
        <v>4</v>
      </c>
      <c r="G423" s="7">
        <v>1</v>
      </c>
      <c r="H423" s="7">
        <v>81379</v>
      </c>
      <c r="I423" s="7" t="s">
        <v>104</v>
      </c>
      <c r="J423" s="7">
        <v>88781440</v>
      </c>
      <c r="K423" s="7" t="s">
        <v>889</v>
      </c>
      <c r="L423" s="7" t="s">
        <v>892</v>
      </c>
      <c r="M423" s="9">
        <v>149900</v>
      </c>
      <c r="N423" s="10">
        <f t="shared" si="39"/>
        <v>0.9</v>
      </c>
      <c r="O423" s="34">
        <f t="shared" si="40"/>
        <v>14989.999999999996</v>
      </c>
      <c r="P423" s="7" t="str">
        <f t="shared" si="41"/>
        <v>PERCENTAGE</v>
      </c>
    </row>
    <row r="424" spans="1:16" x14ac:dyDescent="0.25">
      <c r="A424" s="7" t="str">
        <f t="shared" si="36"/>
        <v>2023 ALL D90</v>
      </c>
      <c r="B424" s="8">
        <f t="shared" si="37"/>
        <v>46099</v>
      </c>
      <c r="C424" s="8">
        <f t="shared" si="38"/>
        <v>46113</v>
      </c>
      <c r="D424" s="7">
        <v>3272</v>
      </c>
      <c r="E424" s="7">
        <v>336</v>
      </c>
      <c r="F424" s="7">
        <v>4</v>
      </c>
      <c r="G424" s="7">
        <v>1</v>
      </c>
      <c r="H424" s="7">
        <v>81379</v>
      </c>
      <c r="I424" s="7" t="s">
        <v>104</v>
      </c>
      <c r="J424" s="7">
        <v>88781459</v>
      </c>
      <c r="K424" s="7" t="s">
        <v>889</v>
      </c>
      <c r="L424" s="7" t="s">
        <v>893</v>
      </c>
      <c r="M424" s="9">
        <v>149900</v>
      </c>
      <c r="N424" s="10">
        <f t="shared" si="39"/>
        <v>0.9</v>
      </c>
      <c r="O424" s="34">
        <f t="shared" si="40"/>
        <v>14989.999999999996</v>
      </c>
      <c r="P424" s="7" t="str">
        <f t="shared" si="41"/>
        <v>PERCENTAGE</v>
      </c>
    </row>
    <row r="425" spans="1:16" x14ac:dyDescent="0.25">
      <c r="A425" s="7" t="str">
        <f t="shared" si="36"/>
        <v>2023 ALL D90</v>
      </c>
      <c r="B425" s="8">
        <f t="shared" si="37"/>
        <v>46099</v>
      </c>
      <c r="C425" s="8">
        <f t="shared" si="38"/>
        <v>46113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104</v>
      </c>
      <c r="J425" s="7">
        <v>88781468</v>
      </c>
      <c r="K425" s="7" t="s">
        <v>889</v>
      </c>
      <c r="L425" s="7" t="s">
        <v>894</v>
      </c>
      <c r="M425" s="9">
        <v>149900</v>
      </c>
      <c r="N425" s="10">
        <f t="shared" si="39"/>
        <v>0.9</v>
      </c>
      <c r="O425" s="34">
        <f t="shared" si="40"/>
        <v>14989.999999999996</v>
      </c>
      <c r="P425" s="7" t="str">
        <f t="shared" si="41"/>
        <v>PERCENTAGE</v>
      </c>
    </row>
    <row r="426" spans="1:16" x14ac:dyDescent="0.25">
      <c r="A426" s="7" t="str">
        <f t="shared" si="36"/>
        <v>2023 ALL D90</v>
      </c>
      <c r="B426" s="8">
        <f t="shared" si="37"/>
        <v>46099</v>
      </c>
      <c r="C426" s="8">
        <f t="shared" si="38"/>
        <v>46113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104</v>
      </c>
      <c r="J426" s="7">
        <v>88781477</v>
      </c>
      <c r="K426" s="7" t="s">
        <v>889</v>
      </c>
      <c r="L426" s="7" t="s">
        <v>895</v>
      </c>
      <c r="M426" s="9">
        <v>149900</v>
      </c>
      <c r="N426" s="10">
        <f t="shared" si="39"/>
        <v>0.9</v>
      </c>
      <c r="O426" s="34">
        <f t="shared" si="40"/>
        <v>14989.999999999996</v>
      </c>
      <c r="P426" s="7" t="str">
        <f t="shared" si="41"/>
        <v>PERCENTAGE</v>
      </c>
    </row>
    <row r="427" spans="1:16" x14ac:dyDescent="0.25">
      <c r="A427" s="7" t="str">
        <f t="shared" si="36"/>
        <v>2023 ALL D90</v>
      </c>
      <c r="B427" s="8">
        <f t="shared" si="37"/>
        <v>46099</v>
      </c>
      <c r="C427" s="8">
        <f t="shared" si="38"/>
        <v>46113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104</v>
      </c>
      <c r="J427" s="7">
        <v>88781486</v>
      </c>
      <c r="K427" s="7" t="s">
        <v>889</v>
      </c>
      <c r="L427" s="7" t="s">
        <v>896</v>
      </c>
      <c r="M427" s="9">
        <v>149900</v>
      </c>
      <c r="N427" s="10">
        <f t="shared" si="39"/>
        <v>0.9</v>
      </c>
      <c r="O427" s="34">
        <f t="shared" si="40"/>
        <v>14989.999999999996</v>
      </c>
      <c r="P427" s="7" t="str">
        <f t="shared" si="41"/>
        <v>PERCENTAGE</v>
      </c>
    </row>
    <row r="428" spans="1:16" x14ac:dyDescent="0.25">
      <c r="A428" s="7" t="str">
        <f t="shared" si="36"/>
        <v>2023 ALL D90</v>
      </c>
      <c r="B428" s="8">
        <f t="shared" si="37"/>
        <v>46099</v>
      </c>
      <c r="C428" s="8">
        <f t="shared" si="38"/>
        <v>46113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104</v>
      </c>
      <c r="J428" s="7">
        <v>88781495</v>
      </c>
      <c r="K428" s="7" t="s">
        <v>889</v>
      </c>
      <c r="L428" s="7" t="s">
        <v>897</v>
      </c>
      <c r="M428" s="9">
        <v>149900</v>
      </c>
      <c r="N428" s="10">
        <f t="shared" si="39"/>
        <v>0.9</v>
      </c>
      <c r="O428" s="34">
        <f t="shared" si="40"/>
        <v>14989.999999999996</v>
      </c>
      <c r="P428" s="7" t="str">
        <f t="shared" si="41"/>
        <v>PERCENTAGE</v>
      </c>
    </row>
    <row r="429" spans="1:16" x14ac:dyDescent="0.25">
      <c r="A429" s="7" t="str">
        <f t="shared" si="36"/>
        <v>2023 ALL D90</v>
      </c>
      <c r="B429" s="8">
        <f t="shared" si="37"/>
        <v>46099</v>
      </c>
      <c r="C429" s="8">
        <f t="shared" si="38"/>
        <v>46113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104</v>
      </c>
      <c r="J429" s="7">
        <v>88781744</v>
      </c>
      <c r="K429" s="7" t="s">
        <v>898</v>
      </c>
      <c r="L429" s="7" t="s">
        <v>899</v>
      </c>
      <c r="M429" s="9">
        <v>129900</v>
      </c>
      <c r="N429" s="10">
        <f t="shared" si="39"/>
        <v>0.9</v>
      </c>
      <c r="O429" s="34">
        <f t="shared" si="40"/>
        <v>12989.999999999996</v>
      </c>
      <c r="P429" s="7" t="str">
        <f t="shared" si="41"/>
        <v>PERCENTAGE</v>
      </c>
    </row>
    <row r="430" spans="1:16" x14ac:dyDescent="0.25">
      <c r="A430" s="7" t="str">
        <f t="shared" si="36"/>
        <v>2023 ALL D90</v>
      </c>
      <c r="B430" s="8">
        <f t="shared" si="37"/>
        <v>46099</v>
      </c>
      <c r="C430" s="8">
        <f t="shared" si="38"/>
        <v>46113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104</v>
      </c>
      <c r="J430" s="7">
        <v>88781753</v>
      </c>
      <c r="K430" s="7" t="s">
        <v>898</v>
      </c>
      <c r="L430" s="7" t="s">
        <v>900</v>
      </c>
      <c r="M430" s="9">
        <v>129900</v>
      </c>
      <c r="N430" s="10">
        <f t="shared" si="39"/>
        <v>0.9</v>
      </c>
      <c r="O430" s="34">
        <f t="shared" si="40"/>
        <v>12989.999999999996</v>
      </c>
      <c r="P430" s="7" t="str">
        <f t="shared" si="41"/>
        <v>PERCENTAGE</v>
      </c>
    </row>
    <row r="431" spans="1:16" x14ac:dyDescent="0.25">
      <c r="A431" s="7" t="str">
        <f t="shared" si="36"/>
        <v>2023 ALL D90</v>
      </c>
      <c r="B431" s="8">
        <f t="shared" si="37"/>
        <v>46099</v>
      </c>
      <c r="C431" s="8">
        <f t="shared" si="38"/>
        <v>46113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104</v>
      </c>
      <c r="J431" s="7">
        <v>88781762</v>
      </c>
      <c r="K431" s="7" t="s">
        <v>898</v>
      </c>
      <c r="L431" s="7" t="s">
        <v>901</v>
      </c>
      <c r="M431" s="9">
        <v>129900</v>
      </c>
      <c r="N431" s="10">
        <f t="shared" si="39"/>
        <v>0.9</v>
      </c>
      <c r="O431" s="34">
        <f t="shared" si="40"/>
        <v>12989.999999999996</v>
      </c>
      <c r="P431" s="7" t="str">
        <f t="shared" si="41"/>
        <v>PERCENTAGE</v>
      </c>
    </row>
    <row r="432" spans="1:16" x14ac:dyDescent="0.25">
      <c r="A432" s="7" t="str">
        <f t="shared" si="36"/>
        <v>2023 ALL D90</v>
      </c>
      <c r="B432" s="8">
        <f t="shared" si="37"/>
        <v>46099</v>
      </c>
      <c r="C432" s="8">
        <f t="shared" si="38"/>
        <v>46113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104</v>
      </c>
      <c r="J432" s="7">
        <v>88781771</v>
      </c>
      <c r="K432" s="7" t="s">
        <v>898</v>
      </c>
      <c r="L432" s="7" t="s">
        <v>902</v>
      </c>
      <c r="M432" s="9">
        <v>129900</v>
      </c>
      <c r="N432" s="10">
        <f t="shared" si="39"/>
        <v>0.9</v>
      </c>
      <c r="O432" s="34">
        <f t="shared" si="40"/>
        <v>12989.999999999996</v>
      </c>
      <c r="P432" s="7" t="str">
        <f t="shared" si="41"/>
        <v>PERCENTAGE</v>
      </c>
    </row>
    <row r="433" spans="1:16" x14ac:dyDescent="0.25">
      <c r="A433" s="7" t="str">
        <f t="shared" si="36"/>
        <v>2023 ALL D90</v>
      </c>
      <c r="B433" s="8">
        <f t="shared" si="37"/>
        <v>46099</v>
      </c>
      <c r="C433" s="8">
        <f t="shared" si="38"/>
        <v>46113</v>
      </c>
      <c r="D433" s="7">
        <v>3272</v>
      </c>
      <c r="E433" s="7">
        <v>336</v>
      </c>
      <c r="F433" s="7">
        <v>4</v>
      </c>
      <c r="G433" s="7">
        <v>1</v>
      </c>
      <c r="H433" s="7">
        <v>81379</v>
      </c>
      <c r="I433" s="7" t="s">
        <v>104</v>
      </c>
      <c r="J433" s="7">
        <v>88781780</v>
      </c>
      <c r="K433" s="7" t="s">
        <v>898</v>
      </c>
      <c r="L433" s="7" t="s">
        <v>903</v>
      </c>
      <c r="M433" s="9">
        <v>129900</v>
      </c>
      <c r="N433" s="10">
        <f t="shared" si="39"/>
        <v>0.9</v>
      </c>
      <c r="O433" s="34">
        <f t="shared" si="40"/>
        <v>12989.999999999996</v>
      </c>
      <c r="P433" s="7" t="str">
        <f t="shared" si="41"/>
        <v>PERCENTAGE</v>
      </c>
    </row>
    <row r="434" spans="1:16" x14ac:dyDescent="0.25">
      <c r="A434" s="7" t="str">
        <f t="shared" si="36"/>
        <v>2023 ALL D90</v>
      </c>
      <c r="B434" s="8">
        <f t="shared" si="37"/>
        <v>46099</v>
      </c>
      <c r="C434" s="8">
        <f t="shared" si="38"/>
        <v>46113</v>
      </c>
      <c r="D434" s="7">
        <v>3272</v>
      </c>
      <c r="E434" s="7">
        <v>336</v>
      </c>
      <c r="F434" s="7">
        <v>4</v>
      </c>
      <c r="G434" s="7">
        <v>1</v>
      </c>
      <c r="H434" s="7">
        <v>81379</v>
      </c>
      <c r="I434" s="7" t="s">
        <v>104</v>
      </c>
      <c r="J434" s="7">
        <v>88781799</v>
      </c>
      <c r="K434" s="7" t="s">
        <v>898</v>
      </c>
      <c r="L434" s="7" t="s">
        <v>904</v>
      </c>
      <c r="M434" s="9">
        <v>129900</v>
      </c>
      <c r="N434" s="10">
        <f t="shared" si="39"/>
        <v>0.9</v>
      </c>
      <c r="O434" s="34">
        <f t="shared" si="40"/>
        <v>12989.999999999996</v>
      </c>
      <c r="P434" s="7" t="str">
        <f t="shared" si="41"/>
        <v>PERCENTAGE</v>
      </c>
    </row>
    <row r="435" spans="1:16" x14ac:dyDescent="0.25">
      <c r="A435" s="7" t="str">
        <f t="shared" si="36"/>
        <v>2023 ALL D90</v>
      </c>
      <c r="B435" s="8">
        <f t="shared" si="37"/>
        <v>46099</v>
      </c>
      <c r="C435" s="8">
        <f t="shared" si="38"/>
        <v>46113</v>
      </c>
      <c r="D435" s="7">
        <v>3272</v>
      </c>
      <c r="E435" s="7">
        <v>336</v>
      </c>
      <c r="F435" s="7">
        <v>4</v>
      </c>
      <c r="G435" s="7">
        <v>1</v>
      </c>
      <c r="H435" s="7">
        <v>81379</v>
      </c>
      <c r="I435" s="7" t="s">
        <v>104</v>
      </c>
      <c r="J435" s="7">
        <v>88781806</v>
      </c>
      <c r="K435" s="7" t="s">
        <v>898</v>
      </c>
      <c r="L435" s="7" t="s">
        <v>905</v>
      </c>
      <c r="M435" s="9">
        <v>129900</v>
      </c>
      <c r="N435" s="10">
        <f t="shared" si="39"/>
        <v>0.9</v>
      </c>
      <c r="O435" s="34">
        <f t="shared" si="40"/>
        <v>12989.999999999996</v>
      </c>
      <c r="P435" s="7" t="str">
        <f t="shared" si="41"/>
        <v>PERCENTAGE</v>
      </c>
    </row>
    <row r="436" spans="1:16" x14ac:dyDescent="0.25">
      <c r="A436" s="7" t="str">
        <f t="shared" si="36"/>
        <v>2023 ALL D90</v>
      </c>
      <c r="B436" s="8">
        <f t="shared" si="37"/>
        <v>46099</v>
      </c>
      <c r="C436" s="8">
        <f t="shared" si="38"/>
        <v>46113</v>
      </c>
      <c r="D436" s="7">
        <v>3272</v>
      </c>
      <c r="E436" s="7">
        <v>336</v>
      </c>
      <c r="F436" s="7">
        <v>4</v>
      </c>
      <c r="G436" s="7">
        <v>1</v>
      </c>
      <c r="H436" s="7">
        <v>81379</v>
      </c>
      <c r="I436" s="7" t="s">
        <v>104</v>
      </c>
      <c r="J436" s="7">
        <v>88781815</v>
      </c>
      <c r="K436" s="7" t="s">
        <v>898</v>
      </c>
      <c r="L436" s="7" t="s">
        <v>906</v>
      </c>
      <c r="M436" s="9">
        <v>129900</v>
      </c>
      <c r="N436" s="10">
        <f t="shared" si="39"/>
        <v>0.9</v>
      </c>
      <c r="O436" s="34">
        <f t="shared" si="40"/>
        <v>12989.999999999996</v>
      </c>
      <c r="P436" s="7" t="str">
        <f t="shared" si="41"/>
        <v>PERCENTAGE</v>
      </c>
    </row>
    <row r="437" spans="1:16" x14ac:dyDescent="0.25">
      <c r="A437" s="7" t="str">
        <f t="shared" si="36"/>
        <v>2023 ALL D90</v>
      </c>
      <c r="B437" s="8">
        <f t="shared" si="37"/>
        <v>46099</v>
      </c>
      <c r="C437" s="8">
        <f t="shared" si="38"/>
        <v>46113</v>
      </c>
      <c r="D437" s="7">
        <v>3272</v>
      </c>
      <c r="E437" s="7">
        <v>336</v>
      </c>
      <c r="F437" s="7">
        <v>4</v>
      </c>
      <c r="G437" s="7">
        <v>1</v>
      </c>
      <c r="H437" s="7">
        <v>81379</v>
      </c>
      <c r="I437" s="7" t="s">
        <v>104</v>
      </c>
      <c r="J437" s="7">
        <v>88781824</v>
      </c>
      <c r="K437" s="7" t="s">
        <v>907</v>
      </c>
      <c r="L437" s="7" t="s">
        <v>908</v>
      </c>
      <c r="M437" s="9">
        <v>129900</v>
      </c>
      <c r="N437" s="10">
        <f t="shared" si="39"/>
        <v>0.9</v>
      </c>
      <c r="O437" s="34">
        <f t="shared" si="40"/>
        <v>12989.999999999996</v>
      </c>
      <c r="P437" s="7" t="str">
        <f t="shared" si="41"/>
        <v>PERCENTAGE</v>
      </c>
    </row>
    <row r="438" spans="1:16" x14ac:dyDescent="0.25">
      <c r="A438" s="7" t="str">
        <f t="shared" si="36"/>
        <v>2023 ALL D90</v>
      </c>
      <c r="B438" s="8">
        <f t="shared" si="37"/>
        <v>46099</v>
      </c>
      <c r="C438" s="8">
        <f t="shared" si="38"/>
        <v>46113</v>
      </c>
      <c r="D438" s="7">
        <v>3272</v>
      </c>
      <c r="E438" s="7">
        <v>336</v>
      </c>
      <c r="F438" s="7">
        <v>4</v>
      </c>
      <c r="G438" s="7">
        <v>1</v>
      </c>
      <c r="H438" s="7">
        <v>81379</v>
      </c>
      <c r="I438" s="7" t="s">
        <v>104</v>
      </c>
      <c r="J438" s="7">
        <v>88781833</v>
      </c>
      <c r="K438" s="7" t="s">
        <v>907</v>
      </c>
      <c r="L438" s="7" t="s">
        <v>909</v>
      </c>
      <c r="M438" s="9">
        <v>129900</v>
      </c>
      <c r="N438" s="10">
        <f t="shared" si="39"/>
        <v>0.9</v>
      </c>
      <c r="O438" s="34">
        <f t="shared" si="40"/>
        <v>12989.999999999996</v>
      </c>
      <c r="P438" s="7" t="str">
        <f t="shared" si="41"/>
        <v>PERCENTAGE</v>
      </c>
    </row>
    <row r="439" spans="1:16" x14ac:dyDescent="0.25">
      <c r="A439" s="7" t="str">
        <f t="shared" si="36"/>
        <v>2023 ALL D90</v>
      </c>
      <c r="B439" s="8">
        <f t="shared" si="37"/>
        <v>46099</v>
      </c>
      <c r="C439" s="8">
        <f t="shared" si="38"/>
        <v>46113</v>
      </c>
      <c r="D439" s="7">
        <v>3272</v>
      </c>
      <c r="E439" s="7">
        <v>336</v>
      </c>
      <c r="F439" s="7">
        <v>4</v>
      </c>
      <c r="G439" s="7">
        <v>1</v>
      </c>
      <c r="H439" s="7">
        <v>81379</v>
      </c>
      <c r="I439" s="7" t="s">
        <v>104</v>
      </c>
      <c r="J439" s="7">
        <v>88781842</v>
      </c>
      <c r="K439" s="7" t="s">
        <v>907</v>
      </c>
      <c r="L439" s="7" t="s">
        <v>910</v>
      </c>
      <c r="M439" s="9">
        <v>129900</v>
      </c>
      <c r="N439" s="10">
        <f t="shared" si="39"/>
        <v>0.9</v>
      </c>
      <c r="O439" s="34">
        <f t="shared" si="40"/>
        <v>12989.999999999996</v>
      </c>
      <c r="P439" s="7" t="str">
        <f t="shared" si="41"/>
        <v>PERCENTAGE</v>
      </c>
    </row>
    <row r="440" spans="1:16" x14ac:dyDescent="0.25">
      <c r="A440" s="7" t="str">
        <f t="shared" si="36"/>
        <v>2023 ALL D90</v>
      </c>
      <c r="B440" s="8">
        <f t="shared" si="37"/>
        <v>46099</v>
      </c>
      <c r="C440" s="8">
        <f t="shared" si="38"/>
        <v>46113</v>
      </c>
      <c r="D440" s="7">
        <v>3272</v>
      </c>
      <c r="E440" s="7">
        <v>336</v>
      </c>
      <c r="F440" s="7">
        <v>4</v>
      </c>
      <c r="G440" s="7">
        <v>1</v>
      </c>
      <c r="H440" s="7">
        <v>81379</v>
      </c>
      <c r="I440" s="7" t="s">
        <v>104</v>
      </c>
      <c r="J440" s="7">
        <v>88781851</v>
      </c>
      <c r="K440" s="7" t="s">
        <v>907</v>
      </c>
      <c r="L440" s="7" t="s">
        <v>911</v>
      </c>
      <c r="M440" s="9">
        <v>129900</v>
      </c>
      <c r="N440" s="10">
        <f t="shared" si="39"/>
        <v>0.9</v>
      </c>
      <c r="O440" s="34">
        <f t="shared" si="40"/>
        <v>12989.999999999996</v>
      </c>
      <c r="P440" s="7" t="str">
        <f t="shared" si="41"/>
        <v>PERCENTAGE</v>
      </c>
    </row>
    <row r="441" spans="1:16" x14ac:dyDescent="0.25">
      <c r="A441" s="7" t="str">
        <f t="shared" si="36"/>
        <v>2023 ALL D90</v>
      </c>
      <c r="B441" s="8">
        <f t="shared" si="37"/>
        <v>46099</v>
      </c>
      <c r="C441" s="8">
        <f t="shared" si="38"/>
        <v>46113</v>
      </c>
      <c r="D441" s="7">
        <v>3272</v>
      </c>
      <c r="E441" s="7">
        <v>336</v>
      </c>
      <c r="F441" s="7">
        <v>4</v>
      </c>
      <c r="G441" s="7">
        <v>1</v>
      </c>
      <c r="H441" s="7">
        <v>81379</v>
      </c>
      <c r="I441" s="7" t="s">
        <v>104</v>
      </c>
      <c r="J441" s="7">
        <v>88781860</v>
      </c>
      <c r="K441" s="7" t="s">
        <v>907</v>
      </c>
      <c r="L441" s="7" t="s">
        <v>912</v>
      </c>
      <c r="M441" s="9">
        <v>129900</v>
      </c>
      <c r="N441" s="10">
        <f t="shared" si="39"/>
        <v>0.9</v>
      </c>
      <c r="O441" s="34">
        <f t="shared" si="40"/>
        <v>12989.999999999996</v>
      </c>
      <c r="P441" s="7" t="str">
        <f t="shared" si="41"/>
        <v>PERCENTAGE</v>
      </c>
    </row>
    <row r="442" spans="1:16" x14ac:dyDescent="0.25">
      <c r="A442" s="7" t="str">
        <f t="shared" si="36"/>
        <v>2023 ALL D90</v>
      </c>
      <c r="B442" s="8">
        <f t="shared" si="37"/>
        <v>46099</v>
      </c>
      <c r="C442" s="8">
        <f t="shared" si="38"/>
        <v>46113</v>
      </c>
      <c r="D442" s="7">
        <v>3272</v>
      </c>
      <c r="E442" s="7">
        <v>336</v>
      </c>
      <c r="F442" s="7">
        <v>4</v>
      </c>
      <c r="G442" s="7">
        <v>1</v>
      </c>
      <c r="H442" s="7">
        <v>81379</v>
      </c>
      <c r="I442" s="7" t="s">
        <v>104</v>
      </c>
      <c r="J442" s="7">
        <v>88781879</v>
      </c>
      <c r="K442" s="7" t="s">
        <v>907</v>
      </c>
      <c r="L442" s="7" t="s">
        <v>913</v>
      </c>
      <c r="M442" s="9">
        <v>129900</v>
      </c>
      <c r="N442" s="10">
        <f t="shared" si="39"/>
        <v>0.9</v>
      </c>
      <c r="O442" s="34">
        <f t="shared" si="40"/>
        <v>12989.999999999996</v>
      </c>
      <c r="P442" s="7" t="str">
        <f t="shared" si="41"/>
        <v>PERCENTAGE</v>
      </c>
    </row>
    <row r="443" spans="1:16" x14ac:dyDescent="0.25">
      <c r="A443" s="7" t="str">
        <f t="shared" si="36"/>
        <v>2023 ALL D90</v>
      </c>
      <c r="B443" s="8">
        <f t="shared" si="37"/>
        <v>46099</v>
      </c>
      <c r="C443" s="8">
        <f t="shared" si="38"/>
        <v>46113</v>
      </c>
      <c r="D443" s="7">
        <v>3272</v>
      </c>
      <c r="E443" s="7">
        <v>336</v>
      </c>
      <c r="F443" s="7">
        <v>4</v>
      </c>
      <c r="G443" s="7">
        <v>1</v>
      </c>
      <c r="H443" s="7">
        <v>81379</v>
      </c>
      <c r="I443" s="7" t="s">
        <v>104</v>
      </c>
      <c r="J443" s="7">
        <v>88781888</v>
      </c>
      <c r="K443" s="7" t="s">
        <v>907</v>
      </c>
      <c r="L443" s="7" t="s">
        <v>914</v>
      </c>
      <c r="M443" s="9">
        <v>129900</v>
      </c>
      <c r="N443" s="10">
        <f t="shared" si="39"/>
        <v>0.9</v>
      </c>
      <c r="O443" s="34">
        <f t="shared" si="40"/>
        <v>12989.999999999996</v>
      </c>
      <c r="P443" s="7" t="str">
        <f t="shared" si="41"/>
        <v>PERCENTAGE</v>
      </c>
    </row>
    <row r="444" spans="1:16" x14ac:dyDescent="0.25">
      <c r="A444" s="7" t="str">
        <f t="shared" si="36"/>
        <v>2023 ALL D90</v>
      </c>
      <c r="B444" s="8">
        <f t="shared" si="37"/>
        <v>46099</v>
      </c>
      <c r="C444" s="8">
        <f t="shared" si="38"/>
        <v>46113</v>
      </c>
      <c r="D444" s="7">
        <v>3272</v>
      </c>
      <c r="E444" s="7">
        <v>336</v>
      </c>
      <c r="F444" s="7">
        <v>4</v>
      </c>
      <c r="G444" s="7">
        <v>1</v>
      </c>
      <c r="H444" s="7">
        <v>81379</v>
      </c>
      <c r="I444" s="7" t="s">
        <v>104</v>
      </c>
      <c r="J444" s="7">
        <v>88781897</v>
      </c>
      <c r="K444" s="7" t="s">
        <v>907</v>
      </c>
      <c r="L444" s="7" t="s">
        <v>915</v>
      </c>
      <c r="M444" s="9">
        <v>129900</v>
      </c>
      <c r="N444" s="10">
        <f t="shared" si="39"/>
        <v>0.9</v>
      </c>
      <c r="O444" s="34">
        <f t="shared" si="40"/>
        <v>12989.999999999996</v>
      </c>
      <c r="P444" s="7" t="str">
        <f t="shared" si="41"/>
        <v>PERCENTAGE</v>
      </c>
    </row>
    <row r="445" spans="1:16" x14ac:dyDescent="0.25">
      <c r="A445" s="7" t="str">
        <f t="shared" si="36"/>
        <v>2023 ALL D90</v>
      </c>
      <c r="B445" s="8">
        <f t="shared" si="37"/>
        <v>46099</v>
      </c>
      <c r="C445" s="8">
        <f t="shared" si="38"/>
        <v>46113</v>
      </c>
      <c r="D445" s="7">
        <v>3272</v>
      </c>
      <c r="E445" s="7">
        <v>336</v>
      </c>
      <c r="F445" s="7">
        <v>4</v>
      </c>
      <c r="G445" s="7">
        <v>1</v>
      </c>
      <c r="H445" s="7">
        <v>81379</v>
      </c>
      <c r="I445" s="7" t="s">
        <v>104</v>
      </c>
      <c r="J445" s="7">
        <v>88781904</v>
      </c>
      <c r="K445" s="7" t="s">
        <v>916</v>
      </c>
      <c r="L445" s="7" t="s">
        <v>917</v>
      </c>
      <c r="M445" s="9">
        <v>129900</v>
      </c>
      <c r="N445" s="10">
        <f t="shared" si="39"/>
        <v>0.9</v>
      </c>
      <c r="O445" s="34">
        <f t="shared" si="40"/>
        <v>12989.999999999996</v>
      </c>
      <c r="P445" s="7" t="str">
        <f t="shared" si="41"/>
        <v>PERCENTAGE</v>
      </c>
    </row>
    <row r="446" spans="1:16" x14ac:dyDescent="0.25">
      <c r="A446" s="7" t="str">
        <f t="shared" si="36"/>
        <v>2023 ALL D90</v>
      </c>
      <c r="B446" s="8">
        <f t="shared" si="37"/>
        <v>46099</v>
      </c>
      <c r="C446" s="8">
        <f t="shared" si="38"/>
        <v>46113</v>
      </c>
      <c r="D446" s="7">
        <v>3272</v>
      </c>
      <c r="E446" s="7">
        <v>336</v>
      </c>
      <c r="F446" s="7">
        <v>4</v>
      </c>
      <c r="G446" s="7">
        <v>1</v>
      </c>
      <c r="H446" s="7">
        <v>81379</v>
      </c>
      <c r="I446" s="7" t="s">
        <v>104</v>
      </c>
      <c r="J446" s="7">
        <v>88781913</v>
      </c>
      <c r="K446" s="7" t="s">
        <v>916</v>
      </c>
      <c r="L446" s="7" t="s">
        <v>918</v>
      </c>
      <c r="M446" s="9">
        <v>129900</v>
      </c>
      <c r="N446" s="10">
        <f t="shared" si="39"/>
        <v>0.9</v>
      </c>
      <c r="O446" s="34">
        <f t="shared" si="40"/>
        <v>12989.999999999996</v>
      </c>
      <c r="P446" s="7" t="str">
        <f t="shared" si="41"/>
        <v>PERCENTAGE</v>
      </c>
    </row>
    <row r="447" spans="1:16" x14ac:dyDescent="0.25">
      <c r="A447" s="7" t="str">
        <f t="shared" si="36"/>
        <v>2023 ALL D90</v>
      </c>
      <c r="B447" s="8">
        <f t="shared" si="37"/>
        <v>46099</v>
      </c>
      <c r="C447" s="8">
        <f t="shared" si="38"/>
        <v>46113</v>
      </c>
      <c r="D447" s="7">
        <v>3272</v>
      </c>
      <c r="E447" s="7">
        <v>336</v>
      </c>
      <c r="F447" s="7">
        <v>4</v>
      </c>
      <c r="G447" s="7">
        <v>1</v>
      </c>
      <c r="H447" s="7">
        <v>81379</v>
      </c>
      <c r="I447" s="7" t="s">
        <v>104</v>
      </c>
      <c r="J447" s="7">
        <v>88781922</v>
      </c>
      <c r="K447" s="7" t="s">
        <v>916</v>
      </c>
      <c r="L447" s="7" t="s">
        <v>919</v>
      </c>
      <c r="M447" s="9">
        <v>129900</v>
      </c>
      <c r="N447" s="10">
        <f t="shared" si="39"/>
        <v>0.9</v>
      </c>
      <c r="O447" s="34">
        <f t="shared" si="40"/>
        <v>12989.999999999996</v>
      </c>
      <c r="P447" s="7" t="str">
        <f t="shared" si="41"/>
        <v>PERCENTAGE</v>
      </c>
    </row>
    <row r="448" spans="1:16" x14ac:dyDescent="0.25">
      <c r="A448" s="7" t="str">
        <f t="shared" si="36"/>
        <v>2023 ALL D90</v>
      </c>
      <c r="B448" s="8">
        <f t="shared" si="37"/>
        <v>46099</v>
      </c>
      <c r="C448" s="8">
        <f t="shared" si="38"/>
        <v>46113</v>
      </c>
      <c r="D448" s="7">
        <v>3272</v>
      </c>
      <c r="E448" s="7">
        <v>336</v>
      </c>
      <c r="F448" s="7">
        <v>4</v>
      </c>
      <c r="G448" s="7">
        <v>1</v>
      </c>
      <c r="H448" s="7">
        <v>81379</v>
      </c>
      <c r="I448" s="7" t="s">
        <v>104</v>
      </c>
      <c r="J448" s="7">
        <v>88781931</v>
      </c>
      <c r="K448" s="7" t="s">
        <v>916</v>
      </c>
      <c r="L448" s="7" t="s">
        <v>920</v>
      </c>
      <c r="M448" s="9">
        <v>129900</v>
      </c>
      <c r="N448" s="10">
        <f t="shared" si="39"/>
        <v>0.9</v>
      </c>
      <c r="O448" s="34">
        <f t="shared" si="40"/>
        <v>12989.999999999996</v>
      </c>
      <c r="P448" s="7" t="str">
        <f t="shared" si="41"/>
        <v>PERCENTAGE</v>
      </c>
    </row>
    <row r="449" spans="1:16" x14ac:dyDescent="0.25">
      <c r="A449" s="7" t="str">
        <f t="shared" si="36"/>
        <v>2023 ALL D90</v>
      </c>
      <c r="B449" s="8">
        <f t="shared" si="37"/>
        <v>46099</v>
      </c>
      <c r="C449" s="8">
        <f t="shared" si="38"/>
        <v>46113</v>
      </c>
      <c r="D449" s="7">
        <v>3272</v>
      </c>
      <c r="E449" s="7">
        <v>336</v>
      </c>
      <c r="F449" s="7">
        <v>4</v>
      </c>
      <c r="G449" s="7">
        <v>1</v>
      </c>
      <c r="H449" s="7">
        <v>81379</v>
      </c>
      <c r="I449" s="7" t="s">
        <v>104</v>
      </c>
      <c r="J449" s="7">
        <v>88781940</v>
      </c>
      <c r="K449" s="7" t="s">
        <v>916</v>
      </c>
      <c r="L449" s="7" t="s">
        <v>921</v>
      </c>
      <c r="M449" s="9">
        <v>129900</v>
      </c>
      <c r="N449" s="10">
        <f t="shared" si="39"/>
        <v>0.9</v>
      </c>
      <c r="O449" s="34">
        <f t="shared" si="40"/>
        <v>12989.999999999996</v>
      </c>
      <c r="P449" s="7" t="str">
        <f t="shared" si="41"/>
        <v>PERCENTAGE</v>
      </c>
    </row>
    <row r="450" spans="1:16" x14ac:dyDescent="0.25">
      <c r="A450" s="7" t="str">
        <f t="shared" si="36"/>
        <v>2023 ALL D90</v>
      </c>
      <c r="B450" s="8">
        <f t="shared" si="37"/>
        <v>46099</v>
      </c>
      <c r="C450" s="8">
        <f t="shared" si="38"/>
        <v>46113</v>
      </c>
      <c r="D450" s="7">
        <v>3272</v>
      </c>
      <c r="E450" s="7">
        <v>336</v>
      </c>
      <c r="F450" s="7">
        <v>4</v>
      </c>
      <c r="G450" s="7">
        <v>1</v>
      </c>
      <c r="H450" s="7">
        <v>81379</v>
      </c>
      <c r="I450" s="7" t="s">
        <v>104</v>
      </c>
      <c r="J450" s="7">
        <v>88781959</v>
      </c>
      <c r="K450" s="7" t="s">
        <v>916</v>
      </c>
      <c r="L450" s="7" t="s">
        <v>922</v>
      </c>
      <c r="M450" s="9">
        <v>129900</v>
      </c>
      <c r="N450" s="10">
        <f t="shared" si="39"/>
        <v>0.9</v>
      </c>
      <c r="O450" s="34">
        <f t="shared" si="40"/>
        <v>12989.999999999996</v>
      </c>
      <c r="P450" s="7" t="str">
        <f t="shared" si="41"/>
        <v>PERCENTAGE</v>
      </c>
    </row>
    <row r="451" spans="1:16" x14ac:dyDescent="0.25">
      <c r="A451" s="7" t="str">
        <f t="shared" ref="A451:A514" si="42">A450</f>
        <v>2023 ALL D90</v>
      </c>
      <c r="B451" s="8">
        <f t="shared" ref="B451:B514" si="43">B450</f>
        <v>46099</v>
      </c>
      <c r="C451" s="8">
        <f t="shared" ref="C451:C514" si="44">C450</f>
        <v>46113</v>
      </c>
      <c r="D451" s="7">
        <v>3272</v>
      </c>
      <c r="E451" s="7">
        <v>336</v>
      </c>
      <c r="F451" s="7">
        <v>4</v>
      </c>
      <c r="G451" s="7">
        <v>1</v>
      </c>
      <c r="H451" s="7">
        <v>81379</v>
      </c>
      <c r="I451" s="7" t="s">
        <v>104</v>
      </c>
      <c r="J451" s="7">
        <v>88781968</v>
      </c>
      <c r="K451" s="7" t="s">
        <v>916</v>
      </c>
      <c r="L451" s="7" t="s">
        <v>923</v>
      </c>
      <c r="M451" s="9">
        <v>129900</v>
      </c>
      <c r="N451" s="10">
        <f t="shared" ref="N451:N514" si="45">N450</f>
        <v>0.9</v>
      </c>
      <c r="O451" s="34">
        <f t="shared" ref="O451:O514" si="46">M451*(1-N451)</f>
        <v>12989.999999999996</v>
      </c>
      <c r="P451" s="7" t="str">
        <f t="shared" ref="P451:P514" si="47">P450</f>
        <v>PERCENTAGE</v>
      </c>
    </row>
    <row r="452" spans="1:16" x14ac:dyDescent="0.25">
      <c r="A452" s="7" t="str">
        <f t="shared" si="42"/>
        <v>2023 ALL D90</v>
      </c>
      <c r="B452" s="8">
        <f t="shared" si="43"/>
        <v>46099</v>
      </c>
      <c r="C452" s="8">
        <f t="shared" si="44"/>
        <v>46113</v>
      </c>
      <c r="D452" s="7">
        <v>3272</v>
      </c>
      <c r="E452" s="7">
        <v>336</v>
      </c>
      <c r="F452" s="7">
        <v>4</v>
      </c>
      <c r="G452" s="7">
        <v>1</v>
      </c>
      <c r="H452" s="7">
        <v>81379</v>
      </c>
      <c r="I452" s="7" t="s">
        <v>104</v>
      </c>
      <c r="J452" s="7">
        <v>88781977</v>
      </c>
      <c r="K452" s="7" t="s">
        <v>916</v>
      </c>
      <c r="L452" s="7" t="s">
        <v>924</v>
      </c>
      <c r="M452" s="9">
        <v>129900</v>
      </c>
      <c r="N452" s="10">
        <f t="shared" si="45"/>
        <v>0.9</v>
      </c>
      <c r="O452" s="34">
        <f t="shared" si="46"/>
        <v>12989.999999999996</v>
      </c>
      <c r="P452" s="7" t="str">
        <f t="shared" si="47"/>
        <v>PERCENTAGE</v>
      </c>
    </row>
    <row r="453" spans="1:16" x14ac:dyDescent="0.25">
      <c r="A453" s="7" t="str">
        <f t="shared" si="42"/>
        <v>2023 ALL D90</v>
      </c>
      <c r="B453" s="8">
        <f t="shared" si="43"/>
        <v>46099</v>
      </c>
      <c r="C453" s="8">
        <f t="shared" si="44"/>
        <v>46113</v>
      </c>
      <c r="D453" s="7">
        <v>3272</v>
      </c>
      <c r="E453" s="7">
        <v>336</v>
      </c>
      <c r="F453" s="7">
        <v>4</v>
      </c>
      <c r="G453" s="7">
        <v>1</v>
      </c>
      <c r="H453" s="7">
        <v>81379</v>
      </c>
      <c r="I453" s="7" t="s">
        <v>104</v>
      </c>
      <c r="J453" s="7">
        <v>88781986</v>
      </c>
      <c r="K453" s="7" t="s">
        <v>925</v>
      </c>
      <c r="L453" s="7" t="s">
        <v>926</v>
      </c>
      <c r="M453" s="9">
        <v>139900</v>
      </c>
      <c r="N453" s="10">
        <f t="shared" si="45"/>
        <v>0.9</v>
      </c>
      <c r="O453" s="34">
        <f t="shared" si="46"/>
        <v>13989.999999999996</v>
      </c>
      <c r="P453" s="7" t="str">
        <f t="shared" si="47"/>
        <v>PERCENTAGE</v>
      </c>
    </row>
    <row r="454" spans="1:16" x14ac:dyDescent="0.25">
      <c r="A454" s="7" t="str">
        <f t="shared" si="42"/>
        <v>2023 ALL D90</v>
      </c>
      <c r="B454" s="8">
        <f t="shared" si="43"/>
        <v>46099</v>
      </c>
      <c r="C454" s="8">
        <f t="shared" si="44"/>
        <v>46113</v>
      </c>
      <c r="D454" s="7">
        <v>3272</v>
      </c>
      <c r="E454" s="7">
        <v>336</v>
      </c>
      <c r="F454" s="7">
        <v>4</v>
      </c>
      <c r="G454" s="7">
        <v>1</v>
      </c>
      <c r="H454" s="7">
        <v>81379</v>
      </c>
      <c r="I454" s="7" t="s">
        <v>104</v>
      </c>
      <c r="J454" s="7">
        <v>88781995</v>
      </c>
      <c r="K454" s="7" t="s">
        <v>925</v>
      </c>
      <c r="L454" s="7" t="s">
        <v>927</v>
      </c>
      <c r="M454" s="9">
        <v>139900</v>
      </c>
      <c r="N454" s="10">
        <f t="shared" si="45"/>
        <v>0.9</v>
      </c>
      <c r="O454" s="34">
        <f t="shared" si="46"/>
        <v>13989.999999999996</v>
      </c>
      <c r="P454" s="7" t="str">
        <f t="shared" si="47"/>
        <v>PERCENTAGE</v>
      </c>
    </row>
    <row r="455" spans="1:16" x14ac:dyDescent="0.25">
      <c r="A455" s="7" t="str">
        <f t="shared" si="42"/>
        <v>2023 ALL D90</v>
      </c>
      <c r="B455" s="8">
        <f t="shared" si="43"/>
        <v>46099</v>
      </c>
      <c r="C455" s="8">
        <f t="shared" si="44"/>
        <v>46113</v>
      </c>
      <c r="D455" s="7">
        <v>3272</v>
      </c>
      <c r="E455" s="7">
        <v>336</v>
      </c>
      <c r="F455" s="7">
        <v>4</v>
      </c>
      <c r="G455" s="7">
        <v>1</v>
      </c>
      <c r="H455" s="7">
        <v>81379</v>
      </c>
      <c r="I455" s="7" t="s">
        <v>104</v>
      </c>
      <c r="J455" s="7">
        <v>88782001</v>
      </c>
      <c r="K455" s="7" t="s">
        <v>925</v>
      </c>
      <c r="L455" s="7" t="s">
        <v>928</v>
      </c>
      <c r="M455" s="9">
        <v>139900</v>
      </c>
      <c r="N455" s="10">
        <f t="shared" si="45"/>
        <v>0.9</v>
      </c>
      <c r="O455" s="34">
        <f t="shared" si="46"/>
        <v>13989.999999999996</v>
      </c>
      <c r="P455" s="7" t="str">
        <f t="shared" si="47"/>
        <v>PERCENTAGE</v>
      </c>
    </row>
    <row r="456" spans="1:16" x14ac:dyDescent="0.25">
      <c r="A456" s="7" t="str">
        <f t="shared" si="42"/>
        <v>2023 ALL D90</v>
      </c>
      <c r="B456" s="8">
        <f t="shared" si="43"/>
        <v>46099</v>
      </c>
      <c r="C456" s="8">
        <f t="shared" si="44"/>
        <v>46113</v>
      </c>
      <c r="D456" s="7">
        <v>3272</v>
      </c>
      <c r="E456" s="7">
        <v>336</v>
      </c>
      <c r="F456" s="7">
        <v>4</v>
      </c>
      <c r="G456" s="7">
        <v>1</v>
      </c>
      <c r="H456" s="7">
        <v>81379</v>
      </c>
      <c r="I456" s="7" t="s">
        <v>104</v>
      </c>
      <c r="J456" s="7">
        <v>88782010</v>
      </c>
      <c r="K456" s="7" t="s">
        <v>925</v>
      </c>
      <c r="L456" s="7" t="s">
        <v>929</v>
      </c>
      <c r="M456" s="9">
        <v>139900</v>
      </c>
      <c r="N456" s="10">
        <f t="shared" si="45"/>
        <v>0.9</v>
      </c>
      <c r="O456" s="34">
        <f t="shared" si="46"/>
        <v>13989.999999999996</v>
      </c>
      <c r="P456" s="7" t="str">
        <f t="shared" si="47"/>
        <v>PERCENTAGE</v>
      </c>
    </row>
    <row r="457" spans="1:16" x14ac:dyDescent="0.25">
      <c r="A457" s="7" t="str">
        <f t="shared" si="42"/>
        <v>2023 ALL D90</v>
      </c>
      <c r="B457" s="8">
        <f t="shared" si="43"/>
        <v>46099</v>
      </c>
      <c r="C457" s="8">
        <f t="shared" si="44"/>
        <v>46113</v>
      </c>
      <c r="D457" s="7">
        <v>3272</v>
      </c>
      <c r="E457" s="7">
        <v>336</v>
      </c>
      <c r="F457" s="7">
        <v>4</v>
      </c>
      <c r="G457" s="7">
        <v>1</v>
      </c>
      <c r="H457" s="7">
        <v>81379</v>
      </c>
      <c r="I457" s="7" t="s">
        <v>104</v>
      </c>
      <c r="J457" s="7">
        <v>88782029</v>
      </c>
      <c r="K457" s="7" t="s">
        <v>925</v>
      </c>
      <c r="L457" s="7" t="s">
        <v>930</v>
      </c>
      <c r="M457" s="9">
        <v>139900</v>
      </c>
      <c r="N457" s="10">
        <f t="shared" si="45"/>
        <v>0.9</v>
      </c>
      <c r="O457" s="34">
        <f t="shared" si="46"/>
        <v>13989.999999999996</v>
      </c>
      <c r="P457" s="7" t="str">
        <f t="shared" si="47"/>
        <v>PERCENTAGE</v>
      </c>
    </row>
    <row r="458" spans="1:16" x14ac:dyDescent="0.25">
      <c r="A458" s="7" t="str">
        <f t="shared" si="42"/>
        <v>2023 ALL D90</v>
      </c>
      <c r="B458" s="8">
        <f t="shared" si="43"/>
        <v>46099</v>
      </c>
      <c r="C458" s="8">
        <f t="shared" si="44"/>
        <v>46113</v>
      </c>
      <c r="D458" s="7">
        <v>3272</v>
      </c>
      <c r="E458" s="7">
        <v>336</v>
      </c>
      <c r="F458" s="7">
        <v>4</v>
      </c>
      <c r="G458" s="7">
        <v>1</v>
      </c>
      <c r="H458" s="7">
        <v>81379</v>
      </c>
      <c r="I458" s="7" t="s">
        <v>104</v>
      </c>
      <c r="J458" s="7">
        <v>88782038</v>
      </c>
      <c r="K458" s="7" t="s">
        <v>925</v>
      </c>
      <c r="L458" s="7" t="s">
        <v>931</v>
      </c>
      <c r="M458" s="9">
        <v>139900</v>
      </c>
      <c r="N458" s="10">
        <f t="shared" si="45"/>
        <v>0.9</v>
      </c>
      <c r="O458" s="34">
        <f t="shared" si="46"/>
        <v>13989.999999999996</v>
      </c>
      <c r="P458" s="7" t="str">
        <f t="shared" si="47"/>
        <v>PERCENTAGE</v>
      </c>
    </row>
    <row r="459" spans="1:16" x14ac:dyDescent="0.25">
      <c r="A459" s="7" t="str">
        <f t="shared" si="42"/>
        <v>2023 ALL D90</v>
      </c>
      <c r="B459" s="8">
        <f t="shared" si="43"/>
        <v>46099</v>
      </c>
      <c r="C459" s="8">
        <f t="shared" si="44"/>
        <v>46113</v>
      </c>
      <c r="D459" s="7">
        <v>3272</v>
      </c>
      <c r="E459" s="7">
        <v>336</v>
      </c>
      <c r="F459" s="7">
        <v>4</v>
      </c>
      <c r="G459" s="7">
        <v>1</v>
      </c>
      <c r="H459" s="7">
        <v>81379</v>
      </c>
      <c r="I459" s="7" t="s">
        <v>104</v>
      </c>
      <c r="J459" s="7">
        <v>88782047</v>
      </c>
      <c r="K459" s="7" t="s">
        <v>925</v>
      </c>
      <c r="L459" s="7" t="s">
        <v>932</v>
      </c>
      <c r="M459" s="9">
        <v>139900</v>
      </c>
      <c r="N459" s="10">
        <f t="shared" si="45"/>
        <v>0.9</v>
      </c>
      <c r="O459" s="34">
        <f t="shared" si="46"/>
        <v>13989.999999999996</v>
      </c>
      <c r="P459" s="7" t="str">
        <f t="shared" si="47"/>
        <v>PERCENTAGE</v>
      </c>
    </row>
    <row r="460" spans="1:16" x14ac:dyDescent="0.25">
      <c r="A460" s="7" t="str">
        <f t="shared" si="42"/>
        <v>2023 ALL D90</v>
      </c>
      <c r="B460" s="8">
        <f t="shared" si="43"/>
        <v>46099</v>
      </c>
      <c r="C460" s="8">
        <f t="shared" si="44"/>
        <v>46113</v>
      </c>
      <c r="D460" s="7">
        <v>3272</v>
      </c>
      <c r="E460" s="7">
        <v>336</v>
      </c>
      <c r="F460" s="7">
        <v>4</v>
      </c>
      <c r="G460" s="7">
        <v>1</v>
      </c>
      <c r="H460" s="7">
        <v>81379</v>
      </c>
      <c r="I460" s="7" t="s">
        <v>104</v>
      </c>
      <c r="J460" s="7">
        <v>88782056</v>
      </c>
      <c r="K460" s="7" t="s">
        <v>925</v>
      </c>
      <c r="L460" s="7" t="s">
        <v>933</v>
      </c>
      <c r="M460" s="9">
        <v>139900</v>
      </c>
      <c r="N460" s="10">
        <f t="shared" si="45"/>
        <v>0.9</v>
      </c>
      <c r="O460" s="34">
        <f t="shared" si="46"/>
        <v>13989.999999999996</v>
      </c>
      <c r="P460" s="7" t="str">
        <f t="shared" si="47"/>
        <v>PERCENTAGE</v>
      </c>
    </row>
    <row r="461" spans="1:16" x14ac:dyDescent="0.25">
      <c r="A461" s="7" t="str">
        <f t="shared" si="42"/>
        <v>2023 ALL D90</v>
      </c>
      <c r="B461" s="8">
        <f t="shared" si="43"/>
        <v>46099</v>
      </c>
      <c r="C461" s="8">
        <f t="shared" si="44"/>
        <v>46113</v>
      </c>
      <c r="D461" s="7">
        <v>3272</v>
      </c>
      <c r="E461" s="7">
        <v>336</v>
      </c>
      <c r="F461" s="7">
        <v>4</v>
      </c>
      <c r="G461" s="7">
        <v>1</v>
      </c>
      <c r="H461" s="7">
        <v>81379</v>
      </c>
      <c r="I461" s="7" t="s">
        <v>104</v>
      </c>
      <c r="J461" s="7">
        <v>88782065</v>
      </c>
      <c r="K461" s="7" t="s">
        <v>934</v>
      </c>
      <c r="L461" s="7" t="s">
        <v>935</v>
      </c>
      <c r="M461" s="9">
        <v>139900</v>
      </c>
      <c r="N461" s="10">
        <f t="shared" si="45"/>
        <v>0.9</v>
      </c>
      <c r="O461" s="34">
        <f t="shared" si="46"/>
        <v>13989.999999999996</v>
      </c>
      <c r="P461" s="7" t="str">
        <f t="shared" si="47"/>
        <v>PERCENTAGE</v>
      </c>
    </row>
    <row r="462" spans="1:16" x14ac:dyDescent="0.25">
      <c r="A462" s="7" t="str">
        <f t="shared" si="42"/>
        <v>2023 ALL D90</v>
      </c>
      <c r="B462" s="8">
        <f t="shared" si="43"/>
        <v>46099</v>
      </c>
      <c r="C462" s="8">
        <f t="shared" si="44"/>
        <v>46113</v>
      </c>
      <c r="D462" s="7">
        <v>3272</v>
      </c>
      <c r="E462" s="7">
        <v>336</v>
      </c>
      <c r="F462" s="7">
        <v>4</v>
      </c>
      <c r="G462" s="7">
        <v>1</v>
      </c>
      <c r="H462" s="7">
        <v>81379</v>
      </c>
      <c r="I462" s="7" t="s">
        <v>104</v>
      </c>
      <c r="J462" s="7">
        <v>88782074</v>
      </c>
      <c r="K462" s="7" t="s">
        <v>934</v>
      </c>
      <c r="L462" s="7" t="s">
        <v>936</v>
      </c>
      <c r="M462" s="9">
        <v>139900</v>
      </c>
      <c r="N462" s="10">
        <f t="shared" si="45"/>
        <v>0.9</v>
      </c>
      <c r="O462" s="34">
        <f t="shared" si="46"/>
        <v>13989.999999999996</v>
      </c>
      <c r="P462" s="7" t="str">
        <f t="shared" si="47"/>
        <v>PERCENTAGE</v>
      </c>
    </row>
    <row r="463" spans="1:16" x14ac:dyDescent="0.25">
      <c r="A463" s="7" t="str">
        <f t="shared" si="42"/>
        <v>2023 ALL D90</v>
      </c>
      <c r="B463" s="8">
        <f t="shared" si="43"/>
        <v>46099</v>
      </c>
      <c r="C463" s="8">
        <f t="shared" si="44"/>
        <v>46113</v>
      </c>
      <c r="D463" s="7">
        <v>3272</v>
      </c>
      <c r="E463" s="7">
        <v>336</v>
      </c>
      <c r="F463" s="7">
        <v>4</v>
      </c>
      <c r="G463" s="7">
        <v>1</v>
      </c>
      <c r="H463" s="7">
        <v>81379</v>
      </c>
      <c r="I463" s="7" t="s">
        <v>104</v>
      </c>
      <c r="J463" s="7">
        <v>88782083</v>
      </c>
      <c r="K463" s="7" t="s">
        <v>934</v>
      </c>
      <c r="L463" s="7" t="s">
        <v>937</v>
      </c>
      <c r="M463" s="9">
        <v>139900</v>
      </c>
      <c r="N463" s="10">
        <f t="shared" si="45"/>
        <v>0.9</v>
      </c>
      <c r="O463" s="34">
        <f t="shared" si="46"/>
        <v>13989.999999999996</v>
      </c>
      <c r="P463" s="7" t="str">
        <f t="shared" si="47"/>
        <v>PERCENTAGE</v>
      </c>
    </row>
    <row r="464" spans="1:16" x14ac:dyDescent="0.25">
      <c r="A464" s="7" t="str">
        <f t="shared" si="42"/>
        <v>2023 ALL D90</v>
      </c>
      <c r="B464" s="8">
        <f t="shared" si="43"/>
        <v>46099</v>
      </c>
      <c r="C464" s="8">
        <f t="shared" si="44"/>
        <v>46113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104</v>
      </c>
      <c r="J464" s="7">
        <v>88782092</v>
      </c>
      <c r="K464" s="7" t="s">
        <v>934</v>
      </c>
      <c r="L464" s="7" t="s">
        <v>938</v>
      </c>
      <c r="M464" s="9">
        <v>139900</v>
      </c>
      <c r="N464" s="10">
        <f t="shared" si="45"/>
        <v>0.9</v>
      </c>
      <c r="O464" s="34">
        <f t="shared" si="46"/>
        <v>13989.999999999996</v>
      </c>
      <c r="P464" s="7" t="str">
        <f t="shared" si="47"/>
        <v>PERCENTAGE</v>
      </c>
    </row>
    <row r="465" spans="1:16" x14ac:dyDescent="0.25">
      <c r="A465" s="7" t="str">
        <f t="shared" si="42"/>
        <v>2023 ALL D90</v>
      </c>
      <c r="B465" s="8">
        <f t="shared" si="43"/>
        <v>46099</v>
      </c>
      <c r="C465" s="8">
        <f t="shared" si="44"/>
        <v>46113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104</v>
      </c>
      <c r="J465" s="7">
        <v>88782109</v>
      </c>
      <c r="K465" s="7" t="s">
        <v>934</v>
      </c>
      <c r="L465" s="7" t="s">
        <v>939</v>
      </c>
      <c r="M465" s="9">
        <v>139900</v>
      </c>
      <c r="N465" s="10">
        <f t="shared" si="45"/>
        <v>0.9</v>
      </c>
      <c r="O465" s="34">
        <f t="shared" si="46"/>
        <v>13989.999999999996</v>
      </c>
      <c r="P465" s="7" t="str">
        <f t="shared" si="47"/>
        <v>PERCENTAGE</v>
      </c>
    </row>
    <row r="466" spans="1:16" x14ac:dyDescent="0.25">
      <c r="A466" s="7" t="str">
        <f t="shared" si="42"/>
        <v>2023 ALL D90</v>
      </c>
      <c r="B466" s="8">
        <f t="shared" si="43"/>
        <v>46099</v>
      </c>
      <c r="C466" s="8">
        <f t="shared" si="44"/>
        <v>46113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104</v>
      </c>
      <c r="J466" s="7">
        <v>88782118</v>
      </c>
      <c r="K466" s="7" t="s">
        <v>934</v>
      </c>
      <c r="L466" s="7" t="s">
        <v>940</v>
      </c>
      <c r="M466" s="9">
        <v>139900</v>
      </c>
      <c r="N466" s="10">
        <f t="shared" si="45"/>
        <v>0.9</v>
      </c>
      <c r="O466" s="34">
        <f t="shared" si="46"/>
        <v>13989.999999999996</v>
      </c>
      <c r="P466" s="7" t="str">
        <f t="shared" si="47"/>
        <v>PERCENTAGE</v>
      </c>
    </row>
    <row r="467" spans="1:16" x14ac:dyDescent="0.25">
      <c r="A467" s="7" t="str">
        <f t="shared" si="42"/>
        <v>2023 ALL D90</v>
      </c>
      <c r="B467" s="8">
        <f t="shared" si="43"/>
        <v>46099</v>
      </c>
      <c r="C467" s="8">
        <f t="shared" si="44"/>
        <v>46113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104</v>
      </c>
      <c r="J467" s="7">
        <v>88782127</v>
      </c>
      <c r="K467" s="7" t="s">
        <v>941</v>
      </c>
      <c r="L467" s="7" t="s">
        <v>942</v>
      </c>
      <c r="M467" s="9">
        <v>139900</v>
      </c>
      <c r="N467" s="10">
        <f t="shared" si="45"/>
        <v>0.9</v>
      </c>
      <c r="O467" s="34">
        <f t="shared" si="46"/>
        <v>13989.999999999996</v>
      </c>
      <c r="P467" s="7" t="str">
        <f t="shared" si="47"/>
        <v>PERCENTAGE</v>
      </c>
    </row>
    <row r="468" spans="1:16" x14ac:dyDescent="0.25">
      <c r="A468" s="7" t="str">
        <f t="shared" si="42"/>
        <v>2023 ALL D90</v>
      </c>
      <c r="B468" s="8">
        <f t="shared" si="43"/>
        <v>46099</v>
      </c>
      <c r="C468" s="8">
        <f t="shared" si="44"/>
        <v>46113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104</v>
      </c>
      <c r="J468" s="7">
        <v>88782136</v>
      </c>
      <c r="K468" s="7" t="s">
        <v>941</v>
      </c>
      <c r="L468" s="7" t="s">
        <v>943</v>
      </c>
      <c r="M468" s="9">
        <v>139900</v>
      </c>
      <c r="N468" s="10">
        <f t="shared" si="45"/>
        <v>0.9</v>
      </c>
      <c r="O468" s="34">
        <f t="shared" si="46"/>
        <v>13989.999999999996</v>
      </c>
      <c r="P468" s="7" t="str">
        <f t="shared" si="47"/>
        <v>PERCENTAGE</v>
      </c>
    </row>
    <row r="469" spans="1:16" x14ac:dyDescent="0.25">
      <c r="A469" s="7" t="str">
        <f t="shared" si="42"/>
        <v>2023 ALL D90</v>
      </c>
      <c r="B469" s="8">
        <f t="shared" si="43"/>
        <v>46099</v>
      </c>
      <c r="C469" s="8">
        <f t="shared" si="44"/>
        <v>46113</v>
      </c>
      <c r="D469" s="7">
        <v>3272</v>
      </c>
      <c r="E469" s="7">
        <v>336</v>
      </c>
      <c r="F469" s="7">
        <v>4</v>
      </c>
      <c r="G469" s="7">
        <v>1</v>
      </c>
      <c r="H469" s="7">
        <v>81379</v>
      </c>
      <c r="I469" s="7" t="s">
        <v>104</v>
      </c>
      <c r="J469" s="7">
        <v>88782145</v>
      </c>
      <c r="K469" s="7" t="s">
        <v>941</v>
      </c>
      <c r="L469" s="7" t="s">
        <v>944</v>
      </c>
      <c r="M469" s="9">
        <v>139900</v>
      </c>
      <c r="N469" s="10">
        <f t="shared" si="45"/>
        <v>0.9</v>
      </c>
      <c r="O469" s="34">
        <f t="shared" si="46"/>
        <v>13989.999999999996</v>
      </c>
      <c r="P469" s="7" t="str">
        <f t="shared" si="47"/>
        <v>PERCENTAGE</v>
      </c>
    </row>
    <row r="470" spans="1:16" x14ac:dyDescent="0.25">
      <c r="A470" s="7" t="str">
        <f t="shared" si="42"/>
        <v>2023 ALL D90</v>
      </c>
      <c r="B470" s="8">
        <f t="shared" si="43"/>
        <v>46099</v>
      </c>
      <c r="C470" s="8">
        <f t="shared" si="44"/>
        <v>46113</v>
      </c>
      <c r="D470" s="7">
        <v>3272</v>
      </c>
      <c r="E470" s="7">
        <v>336</v>
      </c>
      <c r="F470" s="7">
        <v>4</v>
      </c>
      <c r="G470" s="7">
        <v>1</v>
      </c>
      <c r="H470" s="7">
        <v>81379</v>
      </c>
      <c r="I470" s="7" t="s">
        <v>104</v>
      </c>
      <c r="J470" s="7">
        <v>88782154</v>
      </c>
      <c r="K470" s="7" t="s">
        <v>941</v>
      </c>
      <c r="L470" s="7" t="s">
        <v>945</v>
      </c>
      <c r="M470" s="9">
        <v>139900</v>
      </c>
      <c r="N470" s="10">
        <f t="shared" si="45"/>
        <v>0.9</v>
      </c>
      <c r="O470" s="34">
        <f t="shared" si="46"/>
        <v>13989.999999999996</v>
      </c>
      <c r="P470" s="7" t="str">
        <f t="shared" si="47"/>
        <v>PERCENTAGE</v>
      </c>
    </row>
    <row r="471" spans="1:16" x14ac:dyDescent="0.25">
      <c r="A471" s="7" t="str">
        <f t="shared" si="42"/>
        <v>2023 ALL D90</v>
      </c>
      <c r="B471" s="8">
        <f t="shared" si="43"/>
        <v>46099</v>
      </c>
      <c r="C471" s="8">
        <f t="shared" si="44"/>
        <v>46113</v>
      </c>
      <c r="D471" s="7">
        <v>3272</v>
      </c>
      <c r="E471" s="7">
        <v>336</v>
      </c>
      <c r="F471" s="7">
        <v>4</v>
      </c>
      <c r="G471" s="7">
        <v>1</v>
      </c>
      <c r="H471" s="7">
        <v>81379</v>
      </c>
      <c r="I471" s="7" t="s">
        <v>104</v>
      </c>
      <c r="J471" s="7">
        <v>88782163</v>
      </c>
      <c r="K471" s="7" t="s">
        <v>941</v>
      </c>
      <c r="L471" s="7" t="s">
        <v>946</v>
      </c>
      <c r="M471" s="9">
        <v>139900</v>
      </c>
      <c r="N471" s="10">
        <f t="shared" si="45"/>
        <v>0.9</v>
      </c>
      <c r="O471" s="34">
        <f t="shared" si="46"/>
        <v>13989.999999999996</v>
      </c>
      <c r="P471" s="7" t="str">
        <f t="shared" si="47"/>
        <v>PERCENTAGE</v>
      </c>
    </row>
    <row r="472" spans="1:16" x14ac:dyDescent="0.25">
      <c r="A472" s="7" t="str">
        <f t="shared" si="42"/>
        <v>2023 ALL D90</v>
      </c>
      <c r="B472" s="8">
        <f t="shared" si="43"/>
        <v>46099</v>
      </c>
      <c r="C472" s="8">
        <f t="shared" si="44"/>
        <v>46113</v>
      </c>
      <c r="D472" s="7">
        <v>3272</v>
      </c>
      <c r="E472" s="7">
        <v>336</v>
      </c>
      <c r="F472" s="7">
        <v>4</v>
      </c>
      <c r="G472" s="7">
        <v>1</v>
      </c>
      <c r="H472" s="7">
        <v>81379</v>
      </c>
      <c r="I472" s="7" t="s">
        <v>104</v>
      </c>
      <c r="J472" s="7">
        <v>88782172</v>
      </c>
      <c r="K472" s="7" t="s">
        <v>941</v>
      </c>
      <c r="L472" s="7" t="s">
        <v>947</v>
      </c>
      <c r="M472" s="9">
        <v>139900</v>
      </c>
      <c r="N472" s="10">
        <f t="shared" si="45"/>
        <v>0.9</v>
      </c>
      <c r="O472" s="34">
        <f t="shared" si="46"/>
        <v>13989.999999999996</v>
      </c>
      <c r="P472" s="7" t="str">
        <f t="shared" si="47"/>
        <v>PERCENTAGE</v>
      </c>
    </row>
    <row r="473" spans="1:16" x14ac:dyDescent="0.25">
      <c r="A473" s="7" t="str">
        <f t="shared" si="42"/>
        <v>2023 ALL D90</v>
      </c>
      <c r="B473" s="8">
        <f t="shared" si="43"/>
        <v>46099</v>
      </c>
      <c r="C473" s="8">
        <f t="shared" si="44"/>
        <v>46113</v>
      </c>
      <c r="D473" s="7">
        <v>3272</v>
      </c>
      <c r="E473" s="7">
        <v>336</v>
      </c>
      <c r="F473" s="7">
        <v>4</v>
      </c>
      <c r="G473" s="7">
        <v>1</v>
      </c>
      <c r="H473" s="7">
        <v>81379</v>
      </c>
      <c r="I473" s="7" t="s">
        <v>104</v>
      </c>
      <c r="J473" s="7">
        <v>88782181</v>
      </c>
      <c r="K473" s="7" t="s">
        <v>948</v>
      </c>
      <c r="L473" s="7" t="s">
        <v>949</v>
      </c>
      <c r="M473" s="9">
        <v>139900</v>
      </c>
      <c r="N473" s="10">
        <f t="shared" si="45"/>
        <v>0.9</v>
      </c>
      <c r="O473" s="34">
        <f t="shared" si="46"/>
        <v>13989.999999999996</v>
      </c>
      <c r="P473" s="7" t="str">
        <f t="shared" si="47"/>
        <v>PERCENTAGE</v>
      </c>
    </row>
    <row r="474" spans="1:16" x14ac:dyDescent="0.25">
      <c r="A474" s="7" t="str">
        <f t="shared" si="42"/>
        <v>2023 ALL D90</v>
      </c>
      <c r="B474" s="8">
        <f t="shared" si="43"/>
        <v>46099</v>
      </c>
      <c r="C474" s="8">
        <f t="shared" si="44"/>
        <v>46113</v>
      </c>
      <c r="D474" s="7">
        <v>3272</v>
      </c>
      <c r="E474" s="7">
        <v>336</v>
      </c>
      <c r="F474" s="7">
        <v>4</v>
      </c>
      <c r="G474" s="7">
        <v>1</v>
      </c>
      <c r="H474" s="7">
        <v>81379</v>
      </c>
      <c r="I474" s="7" t="s">
        <v>104</v>
      </c>
      <c r="J474" s="7">
        <v>88782190</v>
      </c>
      <c r="K474" s="7" t="s">
        <v>948</v>
      </c>
      <c r="L474" s="7" t="s">
        <v>950</v>
      </c>
      <c r="M474" s="9">
        <v>139900</v>
      </c>
      <c r="N474" s="10">
        <f t="shared" si="45"/>
        <v>0.9</v>
      </c>
      <c r="O474" s="34">
        <f t="shared" si="46"/>
        <v>13989.999999999996</v>
      </c>
      <c r="P474" s="7" t="str">
        <f t="shared" si="47"/>
        <v>PERCENTAGE</v>
      </c>
    </row>
    <row r="475" spans="1:16" x14ac:dyDescent="0.25">
      <c r="A475" s="7" t="str">
        <f t="shared" si="42"/>
        <v>2023 ALL D90</v>
      </c>
      <c r="B475" s="8">
        <f t="shared" si="43"/>
        <v>46099</v>
      </c>
      <c r="C475" s="8">
        <f t="shared" si="44"/>
        <v>46113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104</v>
      </c>
      <c r="J475" s="7">
        <v>88782207</v>
      </c>
      <c r="K475" s="7" t="s">
        <v>948</v>
      </c>
      <c r="L475" s="7" t="s">
        <v>951</v>
      </c>
      <c r="M475" s="9">
        <v>139900</v>
      </c>
      <c r="N475" s="10">
        <f t="shared" si="45"/>
        <v>0.9</v>
      </c>
      <c r="O475" s="34">
        <f t="shared" si="46"/>
        <v>13989.999999999996</v>
      </c>
      <c r="P475" s="7" t="str">
        <f t="shared" si="47"/>
        <v>PERCENTAGE</v>
      </c>
    </row>
    <row r="476" spans="1:16" x14ac:dyDescent="0.25">
      <c r="A476" s="7" t="str">
        <f t="shared" si="42"/>
        <v>2023 ALL D90</v>
      </c>
      <c r="B476" s="8">
        <f t="shared" si="43"/>
        <v>46099</v>
      </c>
      <c r="C476" s="8">
        <f t="shared" si="44"/>
        <v>46113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104</v>
      </c>
      <c r="J476" s="7">
        <v>88782216</v>
      </c>
      <c r="K476" s="7" t="s">
        <v>948</v>
      </c>
      <c r="L476" s="7" t="s">
        <v>952</v>
      </c>
      <c r="M476" s="9">
        <v>139900</v>
      </c>
      <c r="N476" s="10">
        <f t="shared" si="45"/>
        <v>0.9</v>
      </c>
      <c r="O476" s="34">
        <f t="shared" si="46"/>
        <v>13989.999999999996</v>
      </c>
      <c r="P476" s="7" t="str">
        <f t="shared" si="47"/>
        <v>PERCENTAGE</v>
      </c>
    </row>
    <row r="477" spans="1:16" x14ac:dyDescent="0.25">
      <c r="A477" s="7" t="str">
        <f t="shared" si="42"/>
        <v>2023 ALL D90</v>
      </c>
      <c r="B477" s="8">
        <f t="shared" si="43"/>
        <v>46099</v>
      </c>
      <c r="C477" s="8">
        <f t="shared" si="44"/>
        <v>46113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104</v>
      </c>
      <c r="J477" s="7">
        <v>88782225</v>
      </c>
      <c r="K477" s="7" t="s">
        <v>948</v>
      </c>
      <c r="L477" s="7" t="s">
        <v>953</v>
      </c>
      <c r="M477" s="9">
        <v>139900</v>
      </c>
      <c r="N477" s="10">
        <f t="shared" si="45"/>
        <v>0.9</v>
      </c>
      <c r="O477" s="34">
        <f t="shared" si="46"/>
        <v>13989.999999999996</v>
      </c>
      <c r="P477" s="7" t="str">
        <f t="shared" si="47"/>
        <v>PERCENTAGE</v>
      </c>
    </row>
    <row r="478" spans="1:16" x14ac:dyDescent="0.25">
      <c r="A478" s="7" t="str">
        <f t="shared" si="42"/>
        <v>2023 ALL D90</v>
      </c>
      <c r="B478" s="8">
        <f t="shared" si="43"/>
        <v>46099</v>
      </c>
      <c r="C478" s="8">
        <f t="shared" si="44"/>
        <v>46113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104</v>
      </c>
      <c r="J478" s="7">
        <v>88782234</v>
      </c>
      <c r="K478" s="7" t="s">
        <v>948</v>
      </c>
      <c r="L478" s="7" t="s">
        <v>954</v>
      </c>
      <c r="M478" s="9">
        <v>139900</v>
      </c>
      <c r="N478" s="10">
        <f t="shared" si="45"/>
        <v>0.9</v>
      </c>
      <c r="O478" s="34">
        <f t="shared" si="46"/>
        <v>13989.999999999996</v>
      </c>
      <c r="P478" s="7" t="str">
        <f t="shared" si="47"/>
        <v>PERCENTAGE</v>
      </c>
    </row>
    <row r="479" spans="1:16" x14ac:dyDescent="0.25">
      <c r="A479" s="7" t="str">
        <f t="shared" si="42"/>
        <v>2023 ALL D90</v>
      </c>
      <c r="B479" s="8">
        <f t="shared" si="43"/>
        <v>46099</v>
      </c>
      <c r="C479" s="8">
        <f t="shared" si="44"/>
        <v>46113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104</v>
      </c>
      <c r="J479" s="7">
        <v>88782243</v>
      </c>
      <c r="K479" s="7" t="s">
        <v>948</v>
      </c>
      <c r="L479" s="7" t="s">
        <v>955</v>
      </c>
      <c r="M479" s="9">
        <v>139900</v>
      </c>
      <c r="N479" s="10">
        <f t="shared" si="45"/>
        <v>0.9</v>
      </c>
      <c r="O479" s="34">
        <f t="shared" si="46"/>
        <v>13989.999999999996</v>
      </c>
      <c r="P479" s="7" t="str">
        <f t="shared" si="47"/>
        <v>PERCENTAGE</v>
      </c>
    </row>
    <row r="480" spans="1:16" x14ac:dyDescent="0.25">
      <c r="A480" s="7" t="str">
        <f t="shared" si="42"/>
        <v>2023 ALL D90</v>
      </c>
      <c r="B480" s="8">
        <f t="shared" si="43"/>
        <v>46099</v>
      </c>
      <c r="C480" s="8">
        <f t="shared" si="44"/>
        <v>46113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104</v>
      </c>
      <c r="J480" s="7">
        <v>88782252</v>
      </c>
      <c r="K480" s="7" t="s">
        <v>948</v>
      </c>
      <c r="L480" s="7" t="s">
        <v>956</v>
      </c>
      <c r="M480" s="9">
        <v>139900</v>
      </c>
      <c r="N480" s="10">
        <f t="shared" si="45"/>
        <v>0.9</v>
      </c>
      <c r="O480" s="34">
        <f t="shared" si="46"/>
        <v>13989.999999999996</v>
      </c>
      <c r="P480" s="7" t="str">
        <f t="shared" si="47"/>
        <v>PERCENTAGE</v>
      </c>
    </row>
    <row r="481" spans="1:16" x14ac:dyDescent="0.25">
      <c r="A481" s="7" t="str">
        <f t="shared" si="42"/>
        <v>2023 ALL D90</v>
      </c>
      <c r="B481" s="8">
        <f t="shared" si="43"/>
        <v>46099</v>
      </c>
      <c r="C481" s="8">
        <f t="shared" si="44"/>
        <v>46113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104</v>
      </c>
      <c r="J481" s="7">
        <v>88782261</v>
      </c>
      <c r="K481" s="7" t="s">
        <v>957</v>
      </c>
      <c r="L481" s="7" t="s">
        <v>958</v>
      </c>
      <c r="M481" s="9">
        <v>139900</v>
      </c>
      <c r="N481" s="10">
        <f t="shared" si="45"/>
        <v>0.9</v>
      </c>
      <c r="O481" s="34">
        <f t="shared" si="46"/>
        <v>13989.999999999996</v>
      </c>
      <c r="P481" s="7" t="str">
        <f t="shared" si="47"/>
        <v>PERCENTAGE</v>
      </c>
    </row>
    <row r="482" spans="1:16" x14ac:dyDescent="0.25">
      <c r="A482" s="7" t="str">
        <f t="shared" si="42"/>
        <v>2023 ALL D90</v>
      </c>
      <c r="B482" s="8">
        <f t="shared" si="43"/>
        <v>46099</v>
      </c>
      <c r="C482" s="8">
        <f t="shared" si="44"/>
        <v>46113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104</v>
      </c>
      <c r="J482" s="7">
        <v>88782270</v>
      </c>
      <c r="K482" s="7" t="s">
        <v>957</v>
      </c>
      <c r="L482" s="7" t="s">
        <v>959</v>
      </c>
      <c r="M482" s="9">
        <v>139900</v>
      </c>
      <c r="N482" s="10">
        <f t="shared" si="45"/>
        <v>0.9</v>
      </c>
      <c r="O482" s="34">
        <f t="shared" si="46"/>
        <v>13989.999999999996</v>
      </c>
      <c r="P482" s="7" t="str">
        <f t="shared" si="47"/>
        <v>PERCENTAGE</v>
      </c>
    </row>
    <row r="483" spans="1:16" x14ac:dyDescent="0.25">
      <c r="A483" s="7" t="str">
        <f t="shared" si="42"/>
        <v>2023 ALL D90</v>
      </c>
      <c r="B483" s="8">
        <f t="shared" si="43"/>
        <v>46099</v>
      </c>
      <c r="C483" s="8">
        <f t="shared" si="44"/>
        <v>46113</v>
      </c>
      <c r="D483" s="7">
        <v>3272</v>
      </c>
      <c r="E483" s="7">
        <v>336</v>
      </c>
      <c r="F483" s="7">
        <v>4</v>
      </c>
      <c r="G483" s="7">
        <v>1</v>
      </c>
      <c r="H483" s="7">
        <v>81379</v>
      </c>
      <c r="I483" s="7" t="s">
        <v>104</v>
      </c>
      <c r="J483" s="7">
        <v>88782289</v>
      </c>
      <c r="K483" s="7" t="s">
        <v>957</v>
      </c>
      <c r="L483" s="7" t="s">
        <v>960</v>
      </c>
      <c r="M483" s="9">
        <v>139900</v>
      </c>
      <c r="N483" s="10">
        <f t="shared" si="45"/>
        <v>0.9</v>
      </c>
      <c r="O483" s="34">
        <f t="shared" si="46"/>
        <v>13989.999999999996</v>
      </c>
      <c r="P483" s="7" t="str">
        <f t="shared" si="47"/>
        <v>PERCENTAGE</v>
      </c>
    </row>
    <row r="484" spans="1:16" x14ac:dyDescent="0.25">
      <c r="A484" s="7" t="str">
        <f t="shared" si="42"/>
        <v>2023 ALL D90</v>
      </c>
      <c r="B484" s="8">
        <f t="shared" si="43"/>
        <v>46099</v>
      </c>
      <c r="C484" s="8">
        <f t="shared" si="44"/>
        <v>46113</v>
      </c>
      <c r="D484" s="7">
        <v>3272</v>
      </c>
      <c r="E484" s="7">
        <v>336</v>
      </c>
      <c r="F484" s="7">
        <v>4</v>
      </c>
      <c r="G484" s="7">
        <v>1</v>
      </c>
      <c r="H484" s="7">
        <v>81379</v>
      </c>
      <c r="I484" s="7" t="s">
        <v>104</v>
      </c>
      <c r="J484" s="7">
        <v>88782298</v>
      </c>
      <c r="K484" s="7" t="s">
        <v>957</v>
      </c>
      <c r="L484" s="7" t="s">
        <v>961</v>
      </c>
      <c r="M484" s="9">
        <v>139900</v>
      </c>
      <c r="N484" s="10">
        <f t="shared" si="45"/>
        <v>0.9</v>
      </c>
      <c r="O484" s="34">
        <f t="shared" si="46"/>
        <v>13989.999999999996</v>
      </c>
      <c r="P484" s="7" t="str">
        <f t="shared" si="47"/>
        <v>PERCENTAGE</v>
      </c>
    </row>
    <row r="485" spans="1:16" x14ac:dyDescent="0.25">
      <c r="A485" s="7" t="str">
        <f t="shared" si="42"/>
        <v>2023 ALL D90</v>
      </c>
      <c r="B485" s="8">
        <f t="shared" si="43"/>
        <v>46099</v>
      </c>
      <c r="C485" s="8">
        <f t="shared" si="44"/>
        <v>46113</v>
      </c>
      <c r="D485" s="7">
        <v>3272</v>
      </c>
      <c r="E485" s="7">
        <v>336</v>
      </c>
      <c r="F485" s="7">
        <v>4</v>
      </c>
      <c r="G485" s="7">
        <v>1</v>
      </c>
      <c r="H485" s="7">
        <v>81379</v>
      </c>
      <c r="I485" s="7" t="s">
        <v>104</v>
      </c>
      <c r="J485" s="7">
        <v>88782305</v>
      </c>
      <c r="K485" s="7" t="s">
        <v>957</v>
      </c>
      <c r="L485" s="7" t="s">
        <v>962</v>
      </c>
      <c r="M485" s="9">
        <v>139900</v>
      </c>
      <c r="N485" s="10">
        <f t="shared" si="45"/>
        <v>0.9</v>
      </c>
      <c r="O485" s="34">
        <f t="shared" si="46"/>
        <v>13989.999999999996</v>
      </c>
      <c r="P485" s="7" t="str">
        <f t="shared" si="47"/>
        <v>PERCENTAGE</v>
      </c>
    </row>
    <row r="486" spans="1:16" x14ac:dyDescent="0.25">
      <c r="A486" s="7" t="str">
        <f t="shared" si="42"/>
        <v>2023 ALL D90</v>
      </c>
      <c r="B486" s="8">
        <f t="shared" si="43"/>
        <v>46099</v>
      </c>
      <c r="C486" s="8">
        <f t="shared" si="44"/>
        <v>46113</v>
      </c>
      <c r="D486" s="7">
        <v>3272</v>
      </c>
      <c r="E486" s="7">
        <v>336</v>
      </c>
      <c r="F486" s="7">
        <v>4</v>
      </c>
      <c r="G486" s="7">
        <v>1</v>
      </c>
      <c r="H486" s="7">
        <v>81379</v>
      </c>
      <c r="I486" s="7" t="s">
        <v>104</v>
      </c>
      <c r="J486" s="7">
        <v>88782314</v>
      </c>
      <c r="K486" s="7" t="s">
        <v>957</v>
      </c>
      <c r="L486" s="7" t="s">
        <v>963</v>
      </c>
      <c r="M486" s="9">
        <v>139900</v>
      </c>
      <c r="N486" s="10">
        <f t="shared" si="45"/>
        <v>0.9</v>
      </c>
      <c r="O486" s="34">
        <f t="shared" si="46"/>
        <v>13989.999999999996</v>
      </c>
      <c r="P486" s="7" t="str">
        <f t="shared" si="47"/>
        <v>PERCENTAGE</v>
      </c>
    </row>
    <row r="487" spans="1:16" x14ac:dyDescent="0.25">
      <c r="A487" s="7" t="str">
        <f t="shared" si="42"/>
        <v>2023 ALL D90</v>
      </c>
      <c r="B487" s="8">
        <f t="shared" si="43"/>
        <v>46099</v>
      </c>
      <c r="C487" s="8">
        <f t="shared" si="44"/>
        <v>46113</v>
      </c>
      <c r="D487" s="7">
        <v>3272</v>
      </c>
      <c r="E487" s="7">
        <v>336</v>
      </c>
      <c r="F487" s="7">
        <v>4</v>
      </c>
      <c r="G487" s="7">
        <v>1</v>
      </c>
      <c r="H487" s="7">
        <v>81379</v>
      </c>
      <c r="I487" s="7" t="s">
        <v>104</v>
      </c>
      <c r="J487" s="7">
        <v>88782323</v>
      </c>
      <c r="K487" s="7" t="s">
        <v>957</v>
      </c>
      <c r="L487" s="7" t="s">
        <v>964</v>
      </c>
      <c r="M487" s="9">
        <v>139900</v>
      </c>
      <c r="N487" s="10">
        <f t="shared" si="45"/>
        <v>0.9</v>
      </c>
      <c r="O487" s="34">
        <f t="shared" si="46"/>
        <v>13989.999999999996</v>
      </c>
      <c r="P487" s="7" t="str">
        <f t="shared" si="47"/>
        <v>PERCENTAGE</v>
      </c>
    </row>
    <row r="488" spans="1:16" x14ac:dyDescent="0.25">
      <c r="A488" s="7" t="str">
        <f t="shared" si="42"/>
        <v>2023 ALL D90</v>
      </c>
      <c r="B488" s="8">
        <f t="shared" si="43"/>
        <v>46099</v>
      </c>
      <c r="C488" s="8">
        <f t="shared" si="44"/>
        <v>46113</v>
      </c>
      <c r="D488" s="7">
        <v>3272</v>
      </c>
      <c r="E488" s="7">
        <v>336</v>
      </c>
      <c r="F488" s="7">
        <v>4</v>
      </c>
      <c r="G488" s="7">
        <v>1</v>
      </c>
      <c r="H488" s="7">
        <v>81379</v>
      </c>
      <c r="I488" s="7" t="s">
        <v>104</v>
      </c>
      <c r="J488" s="7">
        <v>88782332</v>
      </c>
      <c r="K488" s="7" t="s">
        <v>957</v>
      </c>
      <c r="L488" s="7" t="s">
        <v>965</v>
      </c>
      <c r="M488" s="9">
        <v>139900</v>
      </c>
      <c r="N488" s="10">
        <f t="shared" si="45"/>
        <v>0.9</v>
      </c>
      <c r="O488" s="34">
        <f t="shared" si="46"/>
        <v>13989.999999999996</v>
      </c>
      <c r="P488" s="7" t="str">
        <f t="shared" si="47"/>
        <v>PERCENTAGE</v>
      </c>
    </row>
    <row r="489" spans="1:16" x14ac:dyDescent="0.25">
      <c r="A489" s="7" t="str">
        <f t="shared" si="42"/>
        <v>2023 ALL D90</v>
      </c>
      <c r="B489" s="8">
        <f t="shared" si="43"/>
        <v>46099</v>
      </c>
      <c r="C489" s="8">
        <f t="shared" si="44"/>
        <v>46113</v>
      </c>
      <c r="D489" s="7">
        <v>3272</v>
      </c>
      <c r="E489" s="7">
        <v>336</v>
      </c>
      <c r="F489" s="7">
        <v>4</v>
      </c>
      <c r="G489" s="7">
        <v>1</v>
      </c>
      <c r="H489" s="7">
        <v>81379</v>
      </c>
      <c r="I489" s="7" t="s">
        <v>104</v>
      </c>
      <c r="J489" s="7">
        <v>81199039</v>
      </c>
      <c r="K489" s="7" t="s">
        <v>966</v>
      </c>
      <c r="L489" s="7" t="s">
        <v>967</v>
      </c>
      <c r="M489" s="9">
        <v>149900</v>
      </c>
      <c r="N489" s="10">
        <f t="shared" si="45"/>
        <v>0.9</v>
      </c>
      <c r="O489" s="34">
        <f t="shared" si="46"/>
        <v>14989.999999999996</v>
      </c>
      <c r="P489" s="7" t="str">
        <f t="shared" si="47"/>
        <v>PERCENTAGE</v>
      </c>
    </row>
    <row r="490" spans="1:16" x14ac:dyDescent="0.25">
      <c r="A490" s="7" t="str">
        <f t="shared" si="42"/>
        <v>2023 ALL D90</v>
      </c>
      <c r="B490" s="8">
        <f t="shared" si="43"/>
        <v>46099</v>
      </c>
      <c r="C490" s="8">
        <f t="shared" si="44"/>
        <v>46113</v>
      </c>
      <c r="D490" s="7">
        <v>3272</v>
      </c>
      <c r="E490" s="7">
        <v>336</v>
      </c>
      <c r="F490" s="7">
        <v>4</v>
      </c>
      <c r="G490" s="7">
        <v>1</v>
      </c>
      <c r="H490" s="7">
        <v>81379</v>
      </c>
      <c r="I490" s="7" t="s">
        <v>104</v>
      </c>
      <c r="J490" s="7">
        <v>81199048</v>
      </c>
      <c r="K490" s="7" t="s">
        <v>966</v>
      </c>
      <c r="L490" s="7" t="s">
        <v>968</v>
      </c>
      <c r="M490" s="9">
        <v>149900</v>
      </c>
      <c r="N490" s="10">
        <f t="shared" si="45"/>
        <v>0.9</v>
      </c>
      <c r="O490" s="34">
        <f t="shared" si="46"/>
        <v>14989.999999999996</v>
      </c>
      <c r="P490" s="7" t="str">
        <f t="shared" si="47"/>
        <v>PERCENTAGE</v>
      </c>
    </row>
    <row r="491" spans="1:16" x14ac:dyDescent="0.25">
      <c r="A491" s="7" t="str">
        <f t="shared" si="42"/>
        <v>2023 ALL D90</v>
      </c>
      <c r="B491" s="8">
        <f t="shared" si="43"/>
        <v>46099</v>
      </c>
      <c r="C491" s="8">
        <f t="shared" si="44"/>
        <v>46113</v>
      </c>
      <c r="D491" s="7">
        <v>3272</v>
      </c>
      <c r="E491" s="7">
        <v>336</v>
      </c>
      <c r="F491" s="7">
        <v>4</v>
      </c>
      <c r="G491" s="7">
        <v>1</v>
      </c>
      <c r="H491" s="7">
        <v>81379</v>
      </c>
      <c r="I491" s="7" t="s">
        <v>104</v>
      </c>
      <c r="J491" s="7">
        <v>81199057</v>
      </c>
      <c r="K491" s="7" t="s">
        <v>966</v>
      </c>
      <c r="L491" s="7" t="s">
        <v>969</v>
      </c>
      <c r="M491" s="9">
        <v>149900</v>
      </c>
      <c r="N491" s="10">
        <f t="shared" si="45"/>
        <v>0.9</v>
      </c>
      <c r="O491" s="34">
        <f t="shared" si="46"/>
        <v>14989.999999999996</v>
      </c>
      <c r="P491" s="7" t="str">
        <f t="shared" si="47"/>
        <v>PERCENTAGE</v>
      </c>
    </row>
    <row r="492" spans="1:16" x14ac:dyDescent="0.25">
      <c r="A492" s="7" t="str">
        <f t="shared" si="42"/>
        <v>2023 ALL D90</v>
      </c>
      <c r="B492" s="8">
        <f t="shared" si="43"/>
        <v>46099</v>
      </c>
      <c r="C492" s="8">
        <f t="shared" si="44"/>
        <v>46113</v>
      </c>
      <c r="D492" s="7">
        <v>3272</v>
      </c>
      <c r="E492" s="7">
        <v>336</v>
      </c>
      <c r="F492" s="7">
        <v>4</v>
      </c>
      <c r="G492" s="7">
        <v>1</v>
      </c>
      <c r="H492" s="7">
        <v>81379</v>
      </c>
      <c r="I492" s="7" t="s">
        <v>104</v>
      </c>
      <c r="J492" s="7">
        <v>81199066</v>
      </c>
      <c r="K492" s="7" t="s">
        <v>966</v>
      </c>
      <c r="L492" s="7" t="s">
        <v>970</v>
      </c>
      <c r="M492" s="9">
        <v>149900</v>
      </c>
      <c r="N492" s="10">
        <f t="shared" si="45"/>
        <v>0.9</v>
      </c>
      <c r="O492" s="34">
        <f t="shared" si="46"/>
        <v>14989.999999999996</v>
      </c>
      <c r="P492" s="7" t="str">
        <f t="shared" si="47"/>
        <v>PERCENTAGE</v>
      </c>
    </row>
    <row r="493" spans="1:16" x14ac:dyDescent="0.25">
      <c r="A493" s="7" t="str">
        <f t="shared" si="42"/>
        <v>2023 ALL D90</v>
      </c>
      <c r="B493" s="8">
        <f t="shared" si="43"/>
        <v>46099</v>
      </c>
      <c r="C493" s="8">
        <f t="shared" si="44"/>
        <v>46113</v>
      </c>
      <c r="D493" s="7">
        <v>3272</v>
      </c>
      <c r="E493" s="7">
        <v>336</v>
      </c>
      <c r="F493" s="7">
        <v>4</v>
      </c>
      <c r="G493" s="7">
        <v>1</v>
      </c>
      <c r="H493" s="7">
        <v>81379</v>
      </c>
      <c r="I493" s="7" t="s">
        <v>104</v>
      </c>
      <c r="J493" s="7">
        <v>81199075</v>
      </c>
      <c r="K493" s="7" t="s">
        <v>966</v>
      </c>
      <c r="L493" s="7" t="s">
        <v>971</v>
      </c>
      <c r="M493" s="9">
        <v>149900</v>
      </c>
      <c r="N493" s="10">
        <f t="shared" si="45"/>
        <v>0.9</v>
      </c>
      <c r="O493" s="34">
        <f t="shared" si="46"/>
        <v>14989.999999999996</v>
      </c>
      <c r="P493" s="7" t="str">
        <f t="shared" si="47"/>
        <v>PERCENTAGE</v>
      </c>
    </row>
    <row r="494" spans="1:16" x14ac:dyDescent="0.25">
      <c r="A494" s="7" t="str">
        <f t="shared" si="42"/>
        <v>2023 ALL D90</v>
      </c>
      <c r="B494" s="8">
        <f t="shared" si="43"/>
        <v>46099</v>
      </c>
      <c r="C494" s="8">
        <f t="shared" si="44"/>
        <v>46113</v>
      </c>
      <c r="D494" s="7">
        <v>3272</v>
      </c>
      <c r="E494" s="7">
        <v>336</v>
      </c>
      <c r="F494" s="7">
        <v>4</v>
      </c>
      <c r="G494" s="7">
        <v>1</v>
      </c>
      <c r="H494" s="7">
        <v>81379</v>
      </c>
      <c r="I494" s="7" t="s">
        <v>104</v>
      </c>
      <c r="J494" s="7">
        <v>83469467</v>
      </c>
      <c r="K494" s="7" t="s">
        <v>972</v>
      </c>
      <c r="L494" s="7" t="s">
        <v>973</v>
      </c>
      <c r="M494" s="9">
        <v>149900</v>
      </c>
      <c r="N494" s="10">
        <f t="shared" si="45"/>
        <v>0.9</v>
      </c>
      <c r="O494" s="34">
        <f t="shared" si="46"/>
        <v>14989.999999999996</v>
      </c>
      <c r="P494" s="7" t="str">
        <f t="shared" si="47"/>
        <v>PERCENTAGE</v>
      </c>
    </row>
    <row r="495" spans="1:16" x14ac:dyDescent="0.25">
      <c r="A495" s="7" t="str">
        <f t="shared" si="42"/>
        <v>2023 ALL D90</v>
      </c>
      <c r="B495" s="8">
        <f t="shared" si="43"/>
        <v>46099</v>
      </c>
      <c r="C495" s="8">
        <f t="shared" si="44"/>
        <v>46113</v>
      </c>
      <c r="D495" s="7">
        <v>3272</v>
      </c>
      <c r="E495" s="7">
        <v>336</v>
      </c>
      <c r="F495" s="7">
        <v>4</v>
      </c>
      <c r="G495" s="7">
        <v>1</v>
      </c>
      <c r="H495" s="7">
        <v>81379</v>
      </c>
      <c r="I495" s="7" t="s">
        <v>104</v>
      </c>
      <c r="J495" s="7">
        <v>83469476</v>
      </c>
      <c r="K495" s="7" t="s">
        <v>972</v>
      </c>
      <c r="L495" s="7" t="s">
        <v>974</v>
      </c>
      <c r="M495" s="9">
        <v>149900</v>
      </c>
      <c r="N495" s="10">
        <f t="shared" si="45"/>
        <v>0.9</v>
      </c>
      <c r="O495" s="34">
        <f t="shared" si="46"/>
        <v>14989.999999999996</v>
      </c>
      <c r="P495" s="7" t="str">
        <f t="shared" si="47"/>
        <v>PERCENTAGE</v>
      </c>
    </row>
    <row r="496" spans="1:16" x14ac:dyDescent="0.25">
      <c r="A496" s="7" t="str">
        <f t="shared" si="42"/>
        <v>2023 ALL D90</v>
      </c>
      <c r="B496" s="8">
        <f t="shared" si="43"/>
        <v>46099</v>
      </c>
      <c r="C496" s="8">
        <f t="shared" si="44"/>
        <v>46113</v>
      </c>
      <c r="D496" s="7">
        <v>3272</v>
      </c>
      <c r="E496" s="7">
        <v>336</v>
      </c>
      <c r="F496" s="7">
        <v>4</v>
      </c>
      <c r="G496" s="7">
        <v>1</v>
      </c>
      <c r="H496" s="7">
        <v>81379</v>
      </c>
      <c r="I496" s="7" t="s">
        <v>104</v>
      </c>
      <c r="J496" s="7">
        <v>83469485</v>
      </c>
      <c r="K496" s="7" t="s">
        <v>972</v>
      </c>
      <c r="L496" s="7" t="s">
        <v>975</v>
      </c>
      <c r="M496" s="9">
        <v>149900</v>
      </c>
      <c r="N496" s="10">
        <f t="shared" si="45"/>
        <v>0.9</v>
      </c>
      <c r="O496" s="34">
        <f t="shared" si="46"/>
        <v>14989.999999999996</v>
      </c>
      <c r="P496" s="7" t="str">
        <f t="shared" si="47"/>
        <v>PERCENTAGE</v>
      </c>
    </row>
    <row r="497" spans="1:16" x14ac:dyDescent="0.25">
      <c r="A497" s="7" t="str">
        <f t="shared" si="42"/>
        <v>2023 ALL D90</v>
      </c>
      <c r="B497" s="8">
        <f t="shared" si="43"/>
        <v>46099</v>
      </c>
      <c r="C497" s="8">
        <f t="shared" si="44"/>
        <v>46113</v>
      </c>
      <c r="D497" s="7">
        <v>3272</v>
      </c>
      <c r="E497" s="7">
        <v>336</v>
      </c>
      <c r="F497" s="7">
        <v>4</v>
      </c>
      <c r="G497" s="7">
        <v>1</v>
      </c>
      <c r="H497" s="7">
        <v>81379</v>
      </c>
      <c r="I497" s="7" t="s">
        <v>104</v>
      </c>
      <c r="J497" s="7">
        <v>83469494</v>
      </c>
      <c r="K497" s="7" t="s">
        <v>972</v>
      </c>
      <c r="L497" s="7" t="s">
        <v>976</v>
      </c>
      <c r="M497" s="9">
        <v>149900</v>
      </c>
      <c r="N497" s="10">
        <f t="shared" si="45"/>
        <v>0.9</v>
      </c>
      <c r="O497" s="34">
        <f t="shared" si="46"/>
        <v>14989.999999999996</v>
      </c>
      <c r="P497" s="7" t="str">
        <f t="shared" si="47"/>
        <v>PERCENTAGE</v>
      </c>
    </row>
    <row r="498" spans="1:16" x14ac:dyDescent="0.25">
      <c r="A498" s="7" t="str">
        <f t="shared" si="42"/>
        <v>2023 ALL D90</v>
      </c>
      <c r="B498" s="8">
        <f t="shared" si="43"/>
        <v>46099</v>
      </c>
      <c r="C498" s="8">
        <f t="shared" si="44"/>
        <v>46113</v>
      </c>
      <c r="D498" s="7">
        <v>3272</v>
      </c>
      <c r="E498" s="7">
        <v>336</v>
      </c>
      <c r="F498" s="7">
        <v>4</v>
      </c>
      <c r="G498" s="7">
        <v>1</v>
      </c>
      <c r="H498" s="7">
        <v>81379</v>
      </c>
      <c r="I498" s="7" t="s">
        <v>104</v>
      </c>
      <c r="J498" s="7">
        <v>83469501</v>
      </c>
      <c r="K498" s="7" t="s">
        <v>972</v>
      </c>
      <c r="L498" s="7" t="s">
        <v>977</v>
      </c>
      <c r="M498" s="9">
        <v>149900</v>
      </c>
      <c r="N498" s="10">
        <f t="shared" si="45"/>
        <v>0.9</v>
      </c>
      <c r="O498" s="34">
        <f t="shared" si="46"/>
        <v>14989.999999999996</v>
      </c>
      <c r="P498" s="7" t="str">
        <f t="shared" si="47"/>
        <v>PERCENTAGE</v>
      </c>
    </row>
    <row r="499" spans="1:16" x14ac:dyDescent="0.25">
      <c r="A499" s="7" t="str">
        <f t="shared" si="42"/>
        <v>2023 ALL D90</v>
      </c>
      <c r="B499" s="8">
        <f t="shared" si="43"/>
        <v>46099</v>
      </c>
      <c r="C499" s="8">
        <f t="shared" si="44"/>
        <v>46113</v>
      </c>
      <c r="D499" s="7">
        <v>3272</v>
      </c>
      <c r="E499" s="7">
        <v>336</v>
      </c>
      <c r="F499" s="7">
        <v>4</v>
      </c>
      <c r="G499" s="7">
        <v>1</v>
      </c>
      <c r="H499" s="7">
        <v>81379</v>
      </c>
      <c r="I499" s="7" t="s">
        <v>104</v>
      </c>
      <c r="J499" s="7">
        <v>83469510</v>
      </c>
      <c r="K499" s="7" t="s">
        <v>978</v>
      </c>
      <c r="L499" s="7" t="s">
        <v>979</v>
      </c>
      <c r="M499" s="9">
        <v>139900</v>
      </c>
      <c r="N499" s="10">
        <f t="shared" si="45"/>
        <v>0.9</v>
      </c>
      <c r="O499" s="34">
        <f t="shared" si="46"/>
        <v>13989.999999999996</v>
      </c>
      <c r="P499" s="7" t="str">
        <f t="shared" si="47"/>
        <v>PERCENTAGE</v>
      </c>
    </row>
    <row r="500" spans="1:16" x14ac:dyDescent="0.25">
      <c r="A500" s="7" t="str">
        <f t="shared" si="42"/>
        <v>2023 ALL D90</v>
      </c>
      <c r="B500" s="8">
        <f t="shared" si="43"/>
        <v>46099</v>
      </c>
      <c r="C500" s="8">
        <f t="shared" si="44"/>
        <v>46113</v>
      </c>
      <c r="D500" s="7">
        <v>3272</v>
      </c>
      <c r="E500" s="7">
        <v>336</v>
      </c>
      <c r="F500" s="7">
        <v>4</v>
      </c>
      <c r="G500" s="7">
        <v>1</v>
      </c>
      <c r="H500" s="7">
        <v>81379</v>
      </c>
      <c r="I500" s="7" t="s">
        <v>104</v>
      </c>
      <c r="J500" s="7">
        <v>83469529</v>
      </c>
      <c r="K500" s="7" t="s">
        <v>978</v>
      </c>
      <c r="L500" s="7" t="s">
        <v>980</v>
      </c>
      <c r="M500" s="9">
        <v>139900</v>
      </c>
      <c r="N500" s="10">
        <f t="shared" si="45"/>
        <v>0.9</v>
      </c>
      <c r="O500" s="34">
        <f t="shared" si="46"/>
        <v>13989.999999999996</v>
      </c>
      <c r="P500" s="7" t="str">
        <f t="shared" si="47"/>
        <v>PERCENTAGE</v>
      </c>
    </row>
    <row r="501" spans="1:16" x14ac:dyDescent="0.25">
      <c r="A501" s="7" t="str">
        <f t="shared" si="42"/>
        <v>2023 ALL D90</v>
      </c>
      <c r="B501" s="8">
        <f t="shared" si="43"/>
        <v>46099</v>
      </c>
      <c r="C501" s="8">
        <f t="shared" si="44"/>
        <v>46113</v>
      </c>
      <c r="D501" s="7">
        <v>3272</v>
      </c>
      <c r="E501" s="7">
        <v>336</v>
      </c>
      <c r="F501" s="7">
        <v>4</v>
      </c>
      <c r="G501" s="7">
        <v>1</v>
      </c>
      <c r="H501" s="7">
        <v>81379</v>
      </c>
      <c r="I501" s="7" t="s">
        <v>104</v>
      </c>
      <c r="J501" s="7">
        <v>83469538</v>
      </c>
      <c r="K501" s="7" t="s">
        <v>978</v>
      </c>
      <c r="L501" s="7" t="s">
        <v>981</v>
      </c>
      <c r="M501" s="9">
        <v>139900</v>
      </c>
      <c r="N501" s="10">
        <f t="shared" si="45"/>
        <v>0.9</v>
      </c>
      <c r="O501" s="34">
        <f t="shared" si="46"/>
        <v>13989.999999999996</v>
      </c>
      <c r="P501" s="7" t="str">
        <f t="shared" si="47"/>
        <v>PERCENTAGE</v>
      </c>
    </row>
    <row r="502" spans="1:16" x14ac:dyDescent="0.25">
      <c r="A502" s="7" t="str">
        <f t="shared" si="42"/>
        <v>2023 ALL D90</v>
      </c>
      <c r="B502" s="8">
        <f t="shared" si="43"/>
        <v>46099</v>
      </c>
      <c r="C502" s="8">
        <f t="shared" si="44"/>
        <v>46113</v>
      </c>
      <c r="D502" s="7">
        <v>3272</v>
      </c>
      <c r="E502" s="7">
        <v>336</v>
      </c>
      <c r="F502" s="7">
        <v>4</v>
      </c>
      <c r="G502" s="7">
        <v>1</v>
      </c>
      <c r="H502" s="7">
        <v>81379</v>
      </c>
      <c r="I502" s="7" t="s">
        <v>104</v>
      </c>
      <c r="J502" s="7">
        <v>83469547</v>
      </c>
      <c r="K502" s="7" t="s">
        <v>978</v>
      </c>
      <c r="L502" s="7" t="s">
        <v>982</v>
      </c>
      <c r="M502" s="9">
        <v>139900</v>
      </c>
      <c r="N502" s="10">
        <f t="shared" si="45"/>
        <v>0.9</v>
      </c>
      <c r="O502" s="34">
        <f t="shared" si="46"/>
        <v>13989.999999999996</v>
      </c>
      <c r="P502" s="7" t="str">
        <f t="shared" si="47"/>
        <v>PERCENTAGE</v>
      </c>
    </row>
    <row r="503" spans="1:16" x14ac:dyDescent="0.25">
      <c r="A503" s="7" t="str">
        <f t="shared" si="42"/>
        <v>2023 ALL D90</v>
      </c>
      <c r="B503" s="8">
        <f t="shared" si="43"/>
        <v>46099</v>
      </c>
      <c r="C503" s="8">
        <f t="shared" si="44"/>
        <v>46113</v>
      </c>
      <c r="D503" s="7">
        <v>3272</v>
      </c>
      <c r="E503" s="7">
        <v>336</v>
      </c>
      <c r="F503" s="7">
        <v>4</v>
      </c>
      <c r="G503" s="7">
        <v>1</v>
      </c>
      <c r="H503" s="7">
        <v>81379</v>
      </c>
      <c r="I503" s="7" t="s">
        <v>104</v>
      </c>
      <c r="J503" s="7">
        <v>83469556</v>
      </c>
      <c r="K503" s="7" t="s">
        <v>978</v>
      </c>
      <c r="L503" s="7" t="s">
        <v>983</v>
      </c>
      <c r="M503" s="9">
        <v>139900</v>
      </c>
      <c r="N503" s="10">
        <f t="shared" si="45"/>
        <v>0.9</v>
      </c>
      <c r="O503" s="34">
        <f t="shared" si="46"/>
        <v>13989.999999999996</v>
      </c>
      <c r="P503" s="7" t="str">
        <f t="shared" si="47"/>
        <v>PERCENTAGE</v>
      </c>
    </row>
    <row r="504" spans="1:16" x14ac:dyDescent="0.25">
      <c r="A504" s="7" t="str">
        <f t="shared" si="42"/>
        <v>2023 ALL D90</v>
      </c>
      <c r="B504" s="8">
        <f t="shared" si="43"/>
        <v>46099</v>
      </c>
      <c r="C504" s="8">
        <f t="shared" si="44"/>
        <v>46113</v>
      </c>
      <c r="D504" s="7">
        <v>3272</v>
      </c>
      <c r="E504" s="7">
        <v>336</v>
      </c>
      <c r="F504" s="7">
        <v>4</v>
      </c>
      <c r="G504" s="7">
        <v>1</v>
      </c>
      <c r="H504" s="7">
        <v>81379</v>
      </c>
      <c r="I504" s="7" t="s">
        <v>104</v>
      </c>
      <c r="J504" s="7">
        <v>83469565</v>
      </c>
      <c r="K504" s="7" t="s">
        <v>984</v>
      </c>
      <c r="L504" s="7" t="s">
        <v>985</v>
      </c>
      <c r="M504" s="9">
        <v>139900</v>
      </c>
      <c r="N504" s="10">
        <f t="shared" si="45"/>
        <v>0.9</v>
      </c>
      <c r="O504" s="34">
        <f t="shared" si="46"/>
        <v>13989.999999999996</v>
      </c>
      <c r="P504" s="7" t="str">
        <f t="shared" si="47"/>
        <v>PERCENTAGE</v>
      </c>
    </row>
    <row r="505" spans="1:16" x14ac:dyDescent="0.25">
      <c r="A505" s="7" t="str">
        <f t="shared" si="42"/>
        <v>2023 ALL D90</v>
      </c>
      <c r="B505" s="8">
        <f t="shared" si="43"/>
        <v>46099</v>
      </c>
      <c r="C505" s="8">
        <f t="shared" si="44"/>
        <v>46113</v>
      </c>
      <c r="D505" s="7">
        <v>3272</v>
      </c>
      <c r="E505" s="7">
        <v>336</v>
      </c>
      <c r="F505" s="7">
        <v>4</v>
      </c>
      <c r="G505" s="7">
        <v>1</v>
      </c>
      <c r="H505" s="7">
        <v>81379</v>
      </c>
      <c r="I505" s="7" t="s">
        <v>104</v>
      </c>
      <c r="J505" s="7">
        <v>83469574</v>
      </c>
      <c r="K505" s="7" t="s">
        <v>984</v>
      </c>
      <c r="L505" s="7" t="s">
        <v>986</v>
      </c>
      <c r="M505" s="9">
        <v>139900</v>
      </c>
      <c r="N505" s="10">
        <f t="shared" si="45"/>
        <v>0.9</v>
      </c>
      <c r="O505" s="34">
        <f t="shared" si="46"/>
        <v>13989.999999999996</v>
      </c>
      <c r="P505" s="7" t="str">
        <f t="shared" si="47"/>
        <v>PERCENTAGE</v>
      </c>
    </row>
    <row r="506" spans="1:16" x14ac:dyDescent="0.25">
      <c r="A506" s="7" t="str">
        <f t="shared" si="42"/>
        <v>2023 ALL D90</v>
      </c>
      <c r="B506" s="8">
        <f t="shared" si="43"/>
        <v>46099</v>
      </c>
      <c r="C506" s="8">
        <f t="shared" si="44"/>
        <v>46113</v>
      </c>
      <c r="D506" s="7">
        <v>3272</v>
      </c>
      <c r="E506" s="7">
        <v>336</v>
      </c>
      <c r="F506" s="7">
        <v>4</v>
      </c>
      <c r="G506" s="7">
        <v>1</v>
      </c>
      <c r="H506" s="7">
        <v>81379</v>
      </c>
      <c r="I506" s="7" t="s">
        <v>104</v>
      </c>
      <c r="J506" s="7">
        <v>83469583</v>
      </c>
      <c r="K506" s="7" t="s">
        <v>984</v>
      </c>
      <c r="L506" s="7" t="s">
        <v>987</v>
      </c>
      <c r="M506" s="9">
        <v>139900</v>
      </c>
      <c r="N506" s="10">
        <f t="shared" si="45"/>
        <v>0.9</v>
      </c>
      <c r="O506" s="34">
        <f t="shared" si="46"/>
        <v>13989.999999999996</v>
      </c>
      <c r="P506" s="7" t="str">
        <f t="shared" si="47"/>
        <v>PERCENTAGE</v>
      </c>
    </row>
    <row r="507" spans="1:16" x14ac:dyDescent="0.25">
      <c r="A507" s="7" t="str">
        <f t="shared" si="42"/>
        <v>2023 ALL D90</v>
      </c>
      <c r="B507" s="8">
        <f t="shared" si="43"/>
        <v>46099</v>
      </c>
      <c r="C507" s="8">
        <f t="shared" si="44"/>
        <v>46113</v>
      </c>
      <c r="D507" s="7">
        <v>3272</v>
      </c>
      <c r="E507" s="7">
        <v>336</v>
      </c>
      <c r="F507" s="7">
        <v>4</v>
      </c>
      <c r="G507" s="7">
        <v>1</v>
      </c>
      <c r="H507" s="7">
        <v>81379</v>
      </c>
      <c r="I507" s="7" t="s">
        <v>104</v>
      </c>
      <c r="J507" s="7">
        <v>83469592</v>
      </c>
      <c r="K507" s="7" t="s">
        <v>984</v>
      </c>
      <c r="L507" s="7" t="s">
        <v>988</v>
      </c>
      <c r="M507" s="9">
        <v>139900</v>
      </c>
      <c r="N507" s="10">
        <f t="shared" si="45"/>
        <v>0.9</v>
      </c>
      <c r="O507" s="34">
        <f t="shared" si="46"/>
        <v>13989.999999999996</v>
      </c>
      <c r="P507" s="7" t="str">
        <f t="shared" si="47"/>
        <v>PERCENTAGE</v>
      </c>
    </row>
    <row r="508" spans="1:16" x14ac:dyDescent="0.25">
      <c r="A508" s="7" t="str">
        <f t="shared" si="42"/>
        <v>2023 ALL D90</v>
      </c>
      <c r="B508" s="8">
        <f t="shared" si="43"/>
        <v>46099</v>
      </c>
      <c r="C508" s="8">
        <f t="shared" si="44"/>
        <v>46113</v>
      </c>
      <c r="D508" s="7">
        <v>3272</v>
      </c>
      <c r="E508" s="7">
        <v>336</v>
      </c>
      <c r="F508" s="7">
        <v>4</v>
      </c>
      <c r="G508" s="7">
        <v>1</v>
      </c>
      <c r="H508" s="7">
        <v>81379</v>
      </c>
      <c r="I508" s="7" t="s">
        <v>104</v>
      </c>
      <c r="J508" s="7">
        <v>83469609</v>
      </c>
      <c r="K508" s="7" t="s">
        <v>984</v>
      </c>
      <c r="L508" s="7" t="s">
        <v>989</v>
      </c>
      <c r="M508" s="9">
        <v>139900</v>
      </c>
      <c r="N508" s="10">
        <f t="shared" si="45"/>
        <v>0.9</v>
      </c>
      <c r="O508" s="34">
        <f t="shared" si="46"/>
        <v>13989.999999999996</v>
      </c>
      <c r="P508" s="7" t="str">
        <f t="shared" si="47"/>
        <v>PERCENTAGE</v>
      </c>
    </row>
    <row r="509" spans="1:16" x14ac:dyDescent="0.25">
      <c r="A509" s="7" t="str">
        <f t="shared" si="42"/>
        <v>2023 ALL D90</v>
      </c>
      <c r="B509" s="8">
        <f t="shared" si="43"/>
        <v>46099</v>
      </c>
      <c r="C509" s="8">
        <f t="shared" si="44"/>
        <v>46113</v>
      </c>
      <c r="D509" s="7">
        <v>3272</v>
      </c>
      <c r="E509" s="7">
        <v>336</v>
      </c>
      <c r="F509" s="7">
        <v>4</v>
      </c>
      <c r="G509" s="7">
        <v>1</v>
      </c>
      <c r="H509" s="7">
        <v>81379</v>
      </c>
      <c r="I509" s="7" t="s">
        <v>104</v>
      </c>
      <c r="J509" s="7">
        <v>13989885</v>
      </c>
      <c r="K509" s="7" t="s">
        <v>990</v>
      </c>
      <c r="L509" s="7" t="s">
        <v>991</v>
      </c>
      <c r="M509" s="9">
        <v>149900</v>
      </c>
      <c r="N509" s="10">
        <f t="shared" si="45"/>
        <v>0.9</v>
      </c>
      <c r="O509" s="34">
        <f t="shared" si="46"/>
        <v>14989.999999999996</v>
      </c>
      <c r="P509" s="7" t="str">
        <f t="shared" si="47"/>
        <v>PERCENTAGE</v>
      </c>
    </row>
    <row r="510" spans="1:16" x14ac:dyDescent="0.25">
      <c r="A510" s="7" t="str">
        <f t="shared" si="42"/>
        <v>2023 ALL D90</v>
      </c>
      <c r="B510" s="8">
        <f t="shared" si="43"/>
        <v>46099</v>
      </c>
      <c r="C510" s="8">
        <f t="shared" si="44"/>
        <v>46113</v>
      </c>
      <c r="D510" s="7">
        <v>3272</v>
      </c>
      <c r="E510" s="7">
        <v>336</v>
      </c>
      <c r="F510" s="7">
        <v>4</v>
      </c>
      <c r="G510" s="7">
        <v>1</v>
      </c>
      <c r="H510" s="7">
        <v>81379</v>
      </c>
      <c r="I510" s="7" t="s">
        <v>104</v>
      </c>
      <c r="J510" s="7">
        <v>13989894</v>
      </c>
      <c r="K510" s="7" t="s">
        <v>990</v>
      </c>
      <c r="L510" s="7" t="s">
        <v>992</v>
      </c>
      <c r="M510" s="9">
        <v>149900</v>
      </c>
      <c r="N510" s="10">
        <f t="shared" si="45"/>
        <v>0.9</v>
      </c>
      <c r="O510" s="34">
        <f t="shared" si="46"/>
        <v>14989.999999999996</v>
      </c>
      <c r="P510" s="7" t="str">
        <f t="shared" si="47"/>
        <v>PERCENTAGE</v>
      </c>
    </row>
    <row r="511" spans="1:16" x14ac:dyDescent="0.25">
      <c r="A511" s="7" t="str">
        <f t="shared" si="42"/>
        <v>2023 ALL D90</v>
      </c>
      <c r="B511" s="8">
        <f t="shared" si="43"/>
        <v>46099</v>
      </c>
      <c r="C511" s="8">
        <f t="shared" si="44"/>
        <v>46113</v>
      </c>
      <c r="D511" s="7">
        <v>3272</v>
      </c>
      <c r="E511" s="7">
        <v>336</v>
      </c>
      <c r="F511" s="7">
        <v>4</v>
      </c>
      <c r="G511" s="7">
        <v>1</v>
      </c>
      <c r="H511" s="7">
        <v>81379</v>
      </c>
      <c r="I511" s="7" t="s">
        <v>104</v>
      </c>
      <c r="J511" s="7">
        <v>13989901</v>
      </c>
      <c r="K511" s="7" t="s">
        <v>990</v>
      </c>
      <c r="L511" s="7" t="s">
        <v>993</v>
      </c>
      <c r="M511" s="9">
        <v>149900</v>
      </c>
      <c r="N511" s="10">
        <f t="shared" si="45"/>
        <v>0.9</v>
      </c>
      <c r="O511" s="34">
        <f t="shared" si="46"/>
        <v>14989.999999999996</v>
      </c>
      <c r="P511" s="7" t="str">
        <f t="shared" si="47"/>
        <v>PERCENTAGE</v>
      </c>
    </row>
    <row r="512" spans="1:16" x14ac:dyDescent="0.25">
      <c r="A512" s="7" t="str">
        <f t="shared" si="42"/>
        <v>2023 ALL D90</v>
      </c>
      <c r="B512" s="8">
        <f t="shared" si="43"/>
        <v>46099</v>
      </c>
      <c r="C512" s="8">
        <f t="shared" si="44"/>
        <v>46113</v>
      </c>
      <c r="D512" s="7">
        <v>3272</v>
      </c>
      <c r="E512" s="7">
        <v>336</v>
      </c>
      <c r="F512" s="7">
        <v>4</v>
      </c>
      <c r="G512" s="7">
        <v>1</v>
      </c>
      <c r="H512" s="7">
        <v>81379</v>
      </c>
      <c r="I512" s="7" t="s">
        <v>104</v>
      </c>
      <c r="J512" s="7">
        <v>13989910</v>
      </c>
      <c r="K512" s="7" t="s">
        <v>990</v>
      </c>
      <c r="L512" s="7" t="s">
        <v>994</v>
      </c>
      <c r="M512" s="9">
        <v>149900</v>
      </c>
      <c r="N512" s="10">
        <f t="shared" si="45"/>
        <v>0.9</v>
      </c>
      <c r="O512" s="34">
        <f t="shared" si="46"/>
        <v>14989.999999999996</v>
      </c>
      <c r="P512" s="7" t="str">
        <f t="shared" si="47"/>
        <v>PERCENTAGE</v>
      </c>
    </row>
    <row r="513" spans="1:16" x14ac:dyDescent="0.25">
      <c r="A513" s="7" t="str">
        <f t="shared" si="42"/>
        <v>2023 ALL D90</v>
      </c>
      <c r="B513" s="8">
        <f t="shared" si="43"/>
        <v>46099</v>
      </c>
      <c r="C513" s="8">
        <f t="shared" si="44"/>
        <v>46113</v>
      </c>
      <c r="D513" s="7">
        <v>3272</v>
      </c>
      <c r="E513" s="7">
        <v>336</v>
      </c>
      <c r="F513" s="7">
        <v>4</v>
      </c>
      <c r="G513" s="7">
        <v>1</v>
      </c>
      <c r="H513" s="7">
        <v>81379</v>
      </c>
      <c r="I513" s="7" t="s">
        <v>104</v>
      </c>
      <c r="J513" s="7">
        <v>13989929</v>
      </c>
      <c r="K513" s="7" t="s">
        <v>990</v>
      </c>
      <c r="L513" s="7" t="s">
        <v>995</v>
      </c>
      <c r="M513" s="9">
        <v>149900</v>
      </c>
      <c r="N513" s="10">
        <f t="shared" si="45"/>
        <v>0.9</v>
      </c>
      <c r="O513" s="34">
        <f t="shared" si="46"/>
        <v>14989.999999999996</v>
      </c>
      <c r="P513" s="7" t="str">
        <f t="shared" si="47"/>
        <v>PERCENTAGE</v>
      </c>
    </row>
    <row r="514" spans="1:16" x14ac:dyDescent="0.25">
      <c r="A514" s="7" t="str">
        <f t="shared" si="42"/>
        <v>2023 ALL D90</v>
      </c>
      <c r="B514" s="8">
        <f t="shared" si="43"/>
        <v>46099</v>
      </c>
      <c r="C514" s="8">
        <f t="shared" si="44"/>
        <v>46113</v>
      </c>
      <c r="D514" s="7">
        <v>3272</v>
      </c>
      <c r="E514" s="7">
        <v>336</v>
      </c>
      <c r="F514" s="7">
        <v>4</v>
      </c>
      <c r="G514" s="7">
        <v>1</v>
      </c>
      <c r="H514" s="7">
        <v>81379</v>
      </c>
      <c r="I514" s="7" t="s">
        <v>104</v>
      </c>
      <c r="J514" s="7">
        <v>13989938</v>
      </c>
      <c r="K514" s="7" t="s">
        <v>996</v>
      </c>
      <c r="L514" s="7" t="s">
        <v>997</v>
      </c>
      <c r="M514" s="9">
        <v>149900</v>
      </c>
      <c r="N514" s="10">
        <f t="shared" si="45"/>
        <v>0.9</v>
      </c>
      <c r="O514" s="34">
        <f t="shared" si="46"/>
        <v>14989.999999999996</v>
      </c>
      <c r="P514" s="7" t="str">
        <f t="shared" si="47"/>
        <v>PERCENTAGE</v>
      </c>
    </row>
    <row r="515" spans="1:16" x14ac:dyDescent="0.25">
      <c r="A515" s="7" t="str">
        <f t="shared" ref="A515:A578" si="48">A514</f>
        <v>2023 ALL D90</v>
      </c>
      <c r="B515" s="8">
        <f t="shared" ref="B515:B578" si="49">B514</f>
        <v>46099</v>
      </c>
      <c r="C515" s="8">
        <f t="shared" ref="C515:C578" si="50">C514</f>
        <v>46113</v>
      </c>
      <c r="D515" s="7">
        <v>3272</v>
      </c>
      <c r="E515" s="7">
        <v>336</v>
      </c>
      <c r="F515" s="7">
        <v>4</v>
      </c>
      <c r="G515" s="7">
        <v>1</v>
      </c>
      <c r="H515" s="7">
        <v>81379</v>
      </c>
      <c r="I515" s="7" t="s">
        <v>104</v>
      </c>
      <c r="J515" s="7">
        <v>13989947</v>
      </c>
      <c r="K515" s="7" t="s">
        <v>996</v>
      </c>
      <c r="L515" s="7" t="s">
        <v>998</v>
      </c>
      <c r="M515" s="9">
        <v>149900</v>
      </c>
      <c r="N515" s="10">
        <f t="shared" ref="N515:N578" si="51">N514</f>
        <v>0.9</v>
      </c>
      <c r="O515" s="34">
        <f t="shared" ref="O515:O578" si="52">M515*(1-N515)</f>
        <v>14989.999999999996</v>
      </c>
      <c r="P515" s="7" t="str">
        <f t="shared" ref="P515:P578" si="53">P514</f>
        <v>PERCENTAGE</v>
      </c>
    </row>
    <row r="516" spans="1:16" x14ac:dyDescent="0.25">
      <c r="A516" s="7" t="str">
        <f t="shared" si="48"/>
        <v>2023 ALL D90</v>
      </c>
      <c r="B516" s="8">
        <f t="shared" si="49"/>
        <v>46099</v>
      </c>
      <c r="C516" s="8">
        <f t="shared" si="50"/>
        <v>46113</v>
      </c>
      <c r="D516" s="7">
        <v>3272</v>
      </c>
      <c r="E516" s="7">
        <v>336</v>
      </c>
      <c r="F516" s="7">
        <v>4</v>
      </c>
      <c r="G516" s="7">
        <v>1</v>
      </c>
      <c r="H516" s="7">
        <v>81379</v>
      </c>
      <c r="I516" s="7" t="s">
        <v>104</v>
      </c>
      <c r="J516" s="7">
        <v>13989956</v>
      </c>
      <c r="K516" s="7" t="s">
        <v>996</v>
      </c>
      <c r="L516" s="7" t="s">
        <v>999</v>
      </c>
      <c r="M516" s="9">
        <v>149900</v>
      </c>
      <c r="N516" s="10">
        <f t="shared" si="51"/>
        <v>0.9</v>
      </c>
      <c r="O516" s="34">
        <f t="shared" si="52"/>
        <v>14989.999999999996</v>
      </c>
      <c r="P516" s="7" t="str">
        <f t="shared" si="53"/>
        <v>PERCENTAGE</v>
      </c>
    </row>
    <row r="517" spans="1:16" x14ac:dyDescent="0.25">
      <c r="A517" s="7" t="str">
        <f t="shared" si="48"/>
        <v>2023 ALL D90</v>
      </c>
      <c r="B517" s="8">
        <f t="shared" si="49"/>
        <v>46099</v>
      </c>
      <c r="C517" s="8">
        <f t="shared" si="50"/>
        <v>46113</v>
      </c>
      <c r="D517" s="7">
        <v>3272</v>
      </c>
      <c r="E517" s="7">
        <v>336</v>
      </c>
      <c r="F517" s="7">
        <v>4</v>
      </c>
      <c r="G517" s="7">
        <v>1</v>
      </c>
      <c r="H517" s="7">
        <v>81379</v>
      </c>
      <c r="I517" s="7" t="s">
        <v>104</v>
      </c>
      <c r="J517" s="7">
        <v>13989965</v>
      </c>
      <c r="K517" s="7" t="s">
        <v>996</v>
      </c>
      <c r="L517" s="7" t="s">
        <v>1000</v>
      </c>
      <c r="M517" s="9">
        <v>149900</v>
      </c>
      <c r="N517" s="10">
        <f t="shared" si="51"/>
        <v>0.9</v>
      </c>
      <c r="O517" s="34">
        <f t="shared" si="52"/>
        <v>14989.999999999996</v>
      </c>
      <c r="P517" s="7" t="str">
        <f t="shared" si="53"/>
        <v>PERCENTAGE</v>
      </c>
    </row>
    <row r="518" spans="1:16" x14ac:dyDescent="0.25">
      <c r="A518" s="7" t="str">
        <f t="shared" si="48"/>
        <v>2023 ALL D90</v>
      </c>
      <c r="B518" s="8">
        <f t="shared" si="49"/>
        <v>46099</v>
      </c>
      <c r="C518" s="8">
        <f t="shared" si="50"/>
        <v>46113</v>
      </c>
      <c r="D518" s="7">
        <v>3272</v>
      </c>
      <c r="E518" s="7">
        <v>336</v>
      </c>
      <c r="F518" s="7">
        <v>4</v>
      </c>
      <c r="G518" s="7">
        <v>1</v>
      </c>
      <c r="H518" s="7">
        <v>81379</v>
      </c>
      <c r="I518" s="7" t="s">
        <v>104</v>
      </c>
      <c r="J518" s="7">
        <v>13989974</v>
      </c>
      <c r="K518" s="7" t="s">
        <v>996</v>
      </c>
      <c r="L518" s="7" t="s">
        <v>1001</v>
      </c>
      <c r="M518" s="9">
        <v>149900</v>
      </c>
      <c r="N518" s="10">
        <f t="shared" si="51"/>
        <v>0.9</v>
      </c>
      <c r="O518" s="34">
        <f t="shared" si="52"/>
        <v>14989.999999999996</v>
      </c>
      <c r="P518" s="7" t="str">
        <f t="shared" si="53"/>
        <v>PERCENTAGE</v>
      </c>
    </row>
    <row r="519" spans="1:16" x14ac:dyDescent="0.25">
      <c r="A519" s="7" t="str">
        <f t="shared" si="48"/>
        <v>2023 ALL D90</v>
      </c>
      <c r="B519" s="8">
        <f t="shared" si="49"/>
        <v>46099</v>
      </c>
      <c r="C519" s="8">
        <f t="shared" si="50"/>
        <v>46113</v>
      </c>
      <c r="D519" s="7">
        <v>3272</v>
      </c>
      <c r="E519" s="7">
        <v>336</v>
      </c>
      <c r="F519" s="7">
        <v>4</v>
      </c>
      <c r="G519" s="7">
        <v>1</v>
      </c>
      <c r="H519" s="7">
        <v>81379</v>
      </c>
      <c r="I519" s="7" t="s">
        <v>104</v>
      </c>
      <c r="J519" s="7">
        <v>11615559</v>
      </c>
      <c r="K519" s="7" t="s">
        <v>1002</v>
      </c>
      <c r="L519" s="7" t="s">
        <v>1003</v>
      </c>
      <c r="M519" s="9">
        <v>149900</v>
      </c>
      <c r="N519" s="10">
        <f t="shared" si="51"/>
        <v>0.9</v>
      </c>
      <c r="O519" s="34">
        <f t="shared" si="52"/>
        <v>14989.999999999996</v>
      </c>
      <c r="P519" s="7" t="str">
        <f t="shared" si="53"/>
        <v>PERCENTAGE</v>
      </c>
    </row>
    <row r="520" spans="1:16" x14ac:dyDescent="0.25">
      <c r="A520" s="7" t="str">
        <f t="shared" si="48"/>
        <v>2023 ALL D90</v>
      </c>
      <c r="B520" s="8">
        <f t="shared" si="49"/>
        <v>46099</v>
      </c>
      <c r="C520" s="8">
        <f t="shared" si="50"/>
        <v>46113</v>
      </c>
      <c r="D520" s="7">
        <v>3272</v>
      </c>
      <c r="E520" s="7">
        <v>336</v>
      </c>
      <c r="F520" s="7">
        <v>4</v>
      </c>
      <c r="G520" s="7">
        <v>1</v>
      </c>
      <c r="H520" s="7">
        <v>81379</v>
      </c>
      <c r="I520" s="7" t="s">
        <v>104</v>
      </c>
      <c r="J520" s="7">
        <v>11615568</v>
      </c>
      <c r="K520" s="7" t="s">
        <v>1002</v>
      </c>
      <c r="L520" s="7" t="s">
        <v>1004</v>
      </c>
      <c r="M520" s="9">
        <v>149900</v>
      </c>
      <c r="N520" s="10">
        <f t="shared" si="51"/>
        <v>0.9</v>
      </c>
      <c r="O520" s="34">
        <f t="shared" si="52"/>
        <v>14989.999999999996</v>
      </c>
      <c r="P520" s="7" t="str">
        <f t="shared" si="53"/>
        <v>PERCENTAGE</v>
      </c>
    </row>
    <row r="521" spans="1:16" x14ac:dyDescent="0.25">
      <c r="A521" s="7" t="str">
        <f t="shared" si="48"/>
        <v>2023 ALL D90</v>
      </c>
      <c r="B521" s="8">
        <f t="shared" si="49"/>
        <v>46099</v>
      </c>
      <c r="C521" s="8">
        <f t="shared" si="50"/>
        <v>46113</v>
      </c>
      <c r="D521" s="7">
        <v>3272</v>
      </c>
      <c r="E521" s="7">
        <v>336</v>
      </c>
      <c r="F521" s="7">
        <v>4</v>
      </c>
      <c r="G521" s="7">
        <v>1</v>
      </c>
      <c r="H521" s="7">
        <v>81379</v>
      </c>
      <c r="I521" s="7" t="s">
        <v>104</v>
      </c>
      <c r="J521" s="7">
        <v>11615577</v>
      </c>
      <c r="K521" s="7" t="s">
        <v>1002</v>
      </c>
      <c r="L521" s="7" t="s">
        <v>1005</v>
      </c>
      <c r="M521" s="9">
        <v>149900</v>
      </c>
      <c r="N521" s="10">
        <f t="shared" si="51"/>
        <v>0.9</v>
      </c>
      <c r="O521" s="34">
        <f t="shared" si="52"/>
        <v>14989.999999999996</v>
      </c>
      <c r="P521" s="7" t="str">
        <f t="shared" si="53"/>
        <v>PERCENTAGE</v>
      </c>
    </row>
    <row r="522" spans="1:16" x14ac:dyDescent="0.25">
      <c r="A522" s="7" t="str">
        <f t="shared" si="48"/>
        <v>2023 ALL D90</v>
      </c>
      <c r="B522" s="8">
        <f t="shared" si="49"/>
        <v>46099</v>
      </c>
      <c r="C522" s="8">
        <f t="shared" si="50"/>
        <v>46113</v>
      </c>
      <c r="D522" s="7">
        <v>3272</v>
      </c>
      <c r="E522" s="7">
        <v>336</v>
      </c>
      <c r="F522" s="7">
        <v>4</v>
      </c>
      <c r="G522" s="7">
        <v>1</v>
      </c>
      <c r="H522" s="7">
        <v>81379</v>
      </c>
      <c r="I522" s="7" t="s">
        <v>104</v>
      </c>
      <c r="J522" s="7">
        <v>11615586</v>
      </c>
      <c r="K522" s="7" t="s">
        <v>1002</v>
      </c>
      <c r="L522" s="7" t="s">
        <v>1006</v>
      </c>
      <c r="M522" s="9">
        <v>149900</v>
      </c>
      <c r="N522" s="10">
        <f t="shared" si="51"/>
        <v>0.9</v>
      </c>
      <c r="O522" s="34">
        <f t="shared" si="52"/>
        <v>14989.999999999996</v>
      </c>
      <c r="P522" s="7" t="str">
        <f t="shared" si="53"/>
        <v>PERCENTAGE</v>
      </c>
    </row>
    <row r="523" spans="1:16" x14ac:dyDescent="0.25">
      <c r="A523" s="7" t="str">
        <f t="shared" si="48"/>
        <v>2023 ALL D90</v>
      </c>
      <c r="B523" s="8">
        <f t="shared" si="49"/>
        <v>46099</v>
      </c>
      <c r="C523" s="8">
        <f t="shared" si="50"/>
        <v>46113</v>
      </c>
      <c r="D523" s="7">
        <v>3272</v>
      </c>
      <c r="E523" s="7">
        <v>336</v>
      </c>
      <c r="F523" s="7">
        <v>4</v>
      </c>
      <c r="G523" s="7">
        <v>1</v>
      </c>
      <c r="H523" s="7">
        <v>81379</v>
      </c>
      <c r="I523" s="7" t="s">
        <v>104</v>
      </c>
      <c r="J523" s="7">
        <v>11615595</v>
      </c>
      <c r="K523" s="7" t="s">
        <v>1002</v>
      </c>
      <c r="L523" s="7" t="s">
        <v>1007</v>
      </c>
      <c r="M523" s="9">
        <v>149900</v>
      </c>
      <c r="N523" s="10">
        <f t="shared" si="51"/>
        <v>0.9</v>
      </c>
      <c r="O523" s="34">
        <f t="shared" si="52"/>
        <v>14989.999999999996</v>
      </c>
      <c r="P523" s="7" t="str">
        <f t="shared" si="53"/>
        <v>PERCENTAGE</v>
      </c>
    </row>
    <row r="524" spans="1:16" x14ac:dyDescent="0.25">
      <c r="A524" s="7" t="str">
        <f t="shared" si="48"/>
        <v>2023 ALL D90</v>
      </c>
      <c r="B524" s="8">
        <f t="shared" si="49"/>
        <v>46099</v>
      </c>
      <c r="C524" s="8">
        <f t="shared" si="50"/>
        <v>46113</v>
      </c>
      <c r="D524" s="7">
        <v>3272</v>
      </c>
      <c r="E524" s="7">
        <v>336</v>
      </c>
      <c r="F524" s="7">
        <v>4</v>
      </c>
      <c r="G524" s="7">
        <v>1</v>
      </c>
      <c r="H524" s="7">
        <v>81379</v>
      </c>
      <c r="I524" s="7" t="s">
        <v>104</v>
      </c>
      <c r="J524" s="7">
        <v>82233525</v>
      </c>
      <c r="K524" s="7" t="s">
        <v>1008</v>
      </c>
      <c r="L524" s="7" t="s">
        <v>1009</v>
      </c>
      <c r="M524" s="9">
        <v>139900</v>
      </c>
      <c r="N524" s="10">
        <f t="shared" si="51"/>
        <v>0.9</v>
      </c>
      <c r="O524" s="34">
        <f t="shared" si="52"/>
        <v>13989.999999999996</v>
      </c>
      <c r="P524" s="7" t="str">
        <f t="shared" si="53"/>
        <v>PERCENTAGE</v>
      </c>
    </row>
    <row r="525" spans="1:16" x14ac:dyDescent="0.25">
      <c r="A525" s="7" t="str">
        <f t="shared" si="48"/>
        <v>2023 ALL D90</v>
      </c>
      <c r="B525" s="8">
        <f t="shared" si="49"/>
        <v>46099</v>
      </c>
      <c r="C525" s="8">
        <f t="shared" si="50"/>
        <v>46113</v>
      </c>
      <c r="D525" s="7">
        <v>3272</v>
      </c>
      <c r="E525" s="7">
        <v>336</v>
      </c>
      <c r="F525" s="7">
        <v>4</v>
      </c>
      <c r="G525" s="7">
        <v>1</v>
      </c>
      <c r="H525" s="7">
        <v>81379</v>
      </c>
      <c r="I525" s="7" t="s">
        <v>104</v>
      </c>
      <c r="J525" s="7">
        <v>82233534</v>
      </c>
      <c r="K525" s="7" t="s">
        <v>1008</v>
      </c>
      <c r="L525" s="7" t="s">
        <v>1010</v>
      </c>
      <c r="M525" s="9">
        <v>139900</v>
      </c>
      <c r="N525" s="10">
        <f t="shared" si="51"/>
        <v>0.9</v>
      </c>
      <c r="O525" s="34">
        <f t="shared" si="52"/>
        <v>13989.999999999996</v>
      </c>
      <c r="P525" s="7" t="str">
        <f t="shared" si="53"/>
        <v>PERCENTAGE</v>
      </c>
    </row>
    <row r="526" spans="1:16" x14ac:dyDescent="0.25">
      <c r="A526" s="7" t="str">
        <f t="shared" si="48"/>
        <v>2023 ALL D90</v>
      </c>
      <c r="B526" s="8">
        <f t="shared" si="49"/>
        <v>46099</v>
      </c>
      <c r="C526" s="8">
        <f t="shared" si="50"/>
        <v>46113</v>
      </c>
      <c r="D526" s="7">
        <v>3272</v>
      </c>
      <c r="E526" s="7">
        <v>336</v>
      </c>
      <c r="F526" s="7">
        <v>4</v>
      </c>
      <c r="G526" s="7">
        <v>1</v>
      </c>
      <c r="H526" s="7">
        <v>81379</v>
      </c>
      <c r="I526" s="7" t="s">
        <v>104</v>
      </c>
      <c r="J526" s="7">
        <v>82233543</v>
      </c>
      <c r="K526" s="7" t="s">
        <v>1008</v>
      </c>
      <c r="L526" s="7" t="s">
        <v>1011</v>
      </c>
      <c r="M526" s="9">
        <v>139900</v>
      </c>
      <c r="N526" s="10">
        <f t="shared" si="51"/>
        <v>0.9</v>
      </c>
      <c r="O526" s="34">
        <f t="shared" si="52"/>
        <v>13989.999999999996</v>
      </c>
      <c r="P526" s="7" t="str">
        <f t="shared" si="53"/>
        <v>PERCENTAGE</v>
      </c>
    </row>
    <row r="527" spans="1:16" x14ac:dyDescent="0.25">
      <c r="A527" s="7" t="str">
        <f t="shared" si="48"/>
        <v>2023 ALL D90</v>
      </c>
      <c r="B527" s="8">
        <f t="shared" si="49"/>
        <v>46099</v>
      </c>
      <c r="C527" s="8">
        <f t="shared" si="50"/>
        <v>46113</v>
      </c>
      <c r="D527" s="7">
        <v>3272</v>
      </c>
      <c r="E527" s="7">
        <v>336</v>
      </c>
      <c r="F527" s="7">
        <v>4</v>
      </c>
      <c r="G527" s="7">
        <v>1</v>
      </c>
      <c r="H527" s="7">
        <v>81379</v>
      </c>
      <c r="I527" s="7" t="s">
        <v>104</v>
      </c>
      <c r="J527" s="7">
        <v>82233552</v>
      </c>
      <c r="K527" s="7" t="s">
        <v>1008</v>
      </c>
      <c r="L527" s="7" t="s">
        <v>1012</v>
      </c>
      <c r="M527" s="9">
        <v>139900</v>
      </c>
      <c r="N527" s="10">
        <f t="shared" si="51"/>
        <v>0.9</v>
      </c>
      <c r="O527" s="34">
        <f t="shared" si="52"/>
        <v>13989.999999999996</v>
      </c>
      <c r="P527" s="7" t="str">
        <f t="shared" si="53"/>
        <v>PERCENTAGE</v>
      </c>
    </row>
    <row r="528" spans="1:16" x14ac:dyDescent="0.25">
      <c r="A528" s="7" t="str">
        <f t="shared" si="48"/>
        <v>2023 ALL D90</v>
      </c>
      <c r="B528" s="8">
        <f t="shared" si="49"/>
        <v>46099</v>
      </c>
      <c r="C528" s="8">
        <f t="shared" si="50"/>
        <v>46113</v>
      </c>
      <c r="D528" s="7">
        <v>3272</v>
      </c>
      <c r="E528" s="7">
        <v>336</v>
      </c>
      <c r="F528" s="7">
        <v>4</v>
      </c>
      <c r="G528" s="7">
        <v>1</v>
      </c>
      <c r="H528" s="7">
        <v>81379</v>
      </c>
      <c r="I528" s="7" t="s">
        <v>104</v>
      </c>
      <c r="J528" s="7">
        <v>82233561</v>
      </c>
      <c r="K528" s="7" t="s">
        <v>1008</v>
      </c>
      <c r="L528" s="7" t="s">
        <v>1013</v>
      </c>
      <c r="M528" s="9">
        <v>139900</v>
      </c>
      <c r="N528" s="10">
        <f t="shared" si="51"/>
        <v>0.9</v>
      </c>
      <c r="O528" s="34">
        <f t="shared" si="52"/>
        <v>13989.999999999996</v>
      </c>
      <c r="P528" s="7" t="str">
        <f t="shared" si="53"/>
        <v>PERCENTAGE</v>
      </c>
    </row>
    <row r="529" spans="1:16" x14ac:dyDescent="0.25">
      <c r="A529" s="7" t="str">
        <f t="shared" si="48"/>
        <v>2023 ALL D90</v>
      </c>
      <c r="B529" s="8">
        <f t="shared" si="49"/>
        <v>46099</v>
      </c>
      <c r="C529" s="8">
        <f t="shared" si="50"/>
        <v>46113</v>
      </c>
      <c r="D529" s="7">
        <v>3272</v>
      </c>
      <c r="E529" s="7">
        <v>336</v>
      </c>
      <c r="F529" s="7">
        <v>4</v>
      </c>
      <c r="G529" s="7">
        <v>3</v>
      </c>
      <c r="H529" s="7">
        <v>81379</v>
      </c>
      <c r="I529" s="7" t="s">
        <v>104</v>
      </c>
      <c r="J529" s="7">
        <v>82233276</v>
      </c>
      <c r="K529" s="7" t="s">
        <v>1014</v>
      </c>
      <c r="L529" s="7" t="s">
        <v>1015</v>
      </c>
      <c r="M529" s="9">
        <v>239900</v>
      </c>
      <c r="N529" s="10">
        <f t="shared" si="51"/>
        <v>0.9</v>
      </c>
      <c r="O529" s="34">
        <f t="shared" si="52"/>
        <v>23989.999999999996</v>
      </c>
      <c r="P529" s="7" t="str">
        <f t="shared" si="53"/>
        <v>PERCENTAGE</v>
      </c>
    </row>
    <row r="530" spans="1:16" x14ac:dyDescent="0.25">
      <c r="A530" s="7" t="str">
        <f t="shared" si="48"/>
        <v>2023 ALL D90</v>
      </c>
      <c r="B530" s="8">
        <f t="shared" si="49"/>
        <v>46099</v>
      </c>
      <c r="C530" s="8">
        <f t="shared" si="50"/>
        <v>46113</v>
      </c>
      <c r="D530" s="7">
        <v>3272</v>
      </c>
      <c r="E530" s="7">
        <v>336</v>
      </c>
      <c r="F530" s="7">
        <v>4</v>
      </c>
      <c r="G530" s="7">
        <v>3</v>
      </c>
      <c r="H530" s="7">
        <v>81379</v>
      </c>
      <c r="I530" s="7" t="s">
        <v>104</v>
      </c>
      <c r="J530" s="7">
        <v>82233285</v>
      </c>
      <c r="K530" s="7" t="s">
        <v>1014</v>
      </c>
      <c r="L530" s="7" t="s">
        <v>1016</v>
      </c>
      <c r="M530" s="9">
        <v>239900</v>
      </c>
      <c r="N530" s="10">
        <f t="shared" si="51"/>
        <v>0.9</v>
      </c>
      <c r="O530" s="34">
        <f t="shared" si="52"/>
        <v>23989.999999999996</v>
      </c>
      <c r="P530" s="7" t="str">
        <f t="shared" si="53"/>
        <v>PERCENTAGE</v>
      </c>
    </row>
    <row r="531" spans="1:16" x14ac:dyDescent="0.25">
      <c r="A531" s="7" t="str">
        <f t="shared" si="48"/>
        <v>2023 ALL D90</v>
      </c>
      <c r="B531" s="8">
        <f t="shared" si="49"/>
        <v>46099</v>
      </c>
      <c r="C531" s="8">
        <f t="shared" si="50"/>
        <v>46113</v>
      </c>
      <c r="D531" s="7">
        <v>3272</v>
      </c>
      <c r="E531" s="7">
        <v>336</v>
      </c>
      <c r="F531" s="7">
        <v>4</v>
      </c>
      <c r="G531" s="7">
        <v>3</v>
      </c>
      <c r="H531" s="7">
        <v>81379</v>
      </c>
      <c r="I531" s="7" t="s">
        <v>104</v>
      </c>
      <c r="J531" s="7">
        <v>82233294</v>
      </c>
      <c r="K531" s="7" t="s">
        <v>1014</v>
      </c>
      <c r="L531" s="7" t="s">
        <v>1017</v>
      </c>
      <c r="M531" s="9">
        <v>239900</v>
      </c>
      <c r="N531" s="10">
        <f t="shared" si="51"/>
        <v>0.9</v>
      </c>
      <c r="O531" s="34">
        <f t="shared" si="52"/>
        <v>23989.999999999996</v>
      </c>
      <c r="P531" s="7" t="str">
        <f t="shared" si="53"/>
        <v>PERCENTAGE</v>
      </c>
    </row>
    <row r="532" spans="1:16" x14ac:dyDescent="0.25">
      <c r="A532" s="7" t="str">
        <f t="shared" si="48"/>
        <v>2023 ALL D90</v>
      </c>
      <c r="B532" s="8">
        <f t="shared" si="49"/>
        <v>46099</v>
      </c>
      <c r="C532" s="8">
        <f t="shared" si="50"/>
        <v>46113</v>
      </c>
      <c r="D532" s="7">
        <v>3272</v>
      </c>
      <c r="E532" s="7">
        <v>336</v>
      </c>
      <c r="F532" s="7">
        <v>4</v>
      </c>
      <c r="G532" s="7">
        <v>3</v>
      </c>
      <c r="H532" s="7">
        <v>81379</v>
      </c>
      <c r="I532" s="7" t="s">
        <v>104</v>
      </c>
      <c r="J532" s="7">
        <v>82233301</v>
      </c>
      <c r="K532" s="7" t="s">
        <v>1014</v>
      </c>
      <c r="L532" s="7" t="s">
        <v>1018</v>
      </c>
      <c r="M532" s="9">
        <v>239900</v>
      </c>
      <c r="N532" s="10">
        <f t="shared" si="51"/>
        <v>0.9</v>
      </c>
      <c r="O532" s="34">
        <f t="shared" si="52"/>
        <v>23989.999999999996</v>
      </c>
      <c r="P532" s="7" t="str">
        <f t="shared" si="53"/>
        <v>PERCENTAGE</v>
      </c>
    </row>
    <row r="533" spans="1:16" x14ac:dyDescent="0.25">
      <c r="A533" s="7" t="str">
        <f t="shared" si="48"/>
        <v>2023 ALL D90</v>
      </c>
      <c r="B533" s="8">
        <f t="shared" si="49"/>
        <v>46099</v>
      </c>
      <c r="C533" s="8">
        <f t="shared" si="50"/>
        <v>46113</v>
      </c>
      <c r="D533" s="7">
        <v>3272</v>
      </c>
      <c r="E533" s="7">
        <v>336</v>
      </c>
      <c r="F533" s="7">
        <v>4</v>
      </c>
      <c r="G533" s="7">
        <v>3</v>
      </c>
      <c r="H533" s="7">
        <v>81379</v>
      </c>
      <c r="I533" s="7" t="s">
        <v>104</v>
      </c>
      <c r="J533" s="7">
        <v>82233310</v>
      </c>
      <c r="K533" s="7" t="s">
        <v>1014</v>
      </c>
      <c r="L533" s="7" t="s">
        <v>1019</v>
      </c>
      <c r="M533" s="9">
        <v>239900</v>
      </c>
      <c r="N533" s="10">
        <f t="shared" si="51"/>
        <v>0.9</v>
      </c>
      <c r="O533" s="34">
        <f t="shared" si="52"/>
        <v>23989.999999999996</v>
      </c>
      <c r="P533" s="7" t="str">
        <f t="shared" si="53"/>
        <v>PERCENTAGE</v>
      </c>
    </row>
    <row r="534" spans="1:16" x14ac:dyDescent="0.25">
      <c r="A534" s="7" t="str">
        <f t="shared" si="48"/>
        <v>2023 ALL D90</v>
      </c>
      <c r="B534" s="8">
        <f t="shared" si="49"/>
        <v>46099</v>
      </c>
      <c r="C534" s="8">
        <f t="shared" si="50"/>
        <v>46113</v>
      </c>
      <c r="D534" s="7">
        <v>3272</v>
      </c>
      <c r="E534" s="7">
        <v>336</v>
      </c>
      <c r="F534" s="7">
        <v>4</v>
      </c>
      <c r="G534" s="7">
        <v>3</v>
      </c>
      <c r="H534" s="7">
        <v>81379</v>
      </c>
      <c r="I534" s="7" t="s">
        <v>104</v>
      </c>
      <c r="J534" s="7">
        <v>82233329</v>
      </c>
      <c r="K534" s="7" t="s">
        <v>1020</v>
      </c>
      <c r="L534" s="7" t="s">
        <v>1021</v>
      </c>
      <c r="M534" s="9">
        <v>239900</v>
      </c>
      <c r="N534" s="10">
        <f t="shared" si="51"/>
        <v>0.9</v>
      </c>
      <c r="O534" s="34">
        <f t="shared" si="52"/>
        <v>23989.999999999996</v>
      </c>
      <c r="P534" s="7" t="str">
        <f t="shared" si="53"/>
        <v>PERCENTAGE</v>
      </c>
    </row>
    <row r="535" spans="1:16" x14ac:dyDescent="0.25">
      <c r="A535" s="7" t="str">
        <f t="shared" si="48"/>
        <v>2023 ALL D90</v>
      </c>
      <c r="B535" s="8">
        <f t="shared" si="49"/>
        <v>46099</v>
      </c>
      <c r="C535" s="8">
        <f t="shared" si="50"/>
        <v>46113</v>
      </c>
      <c r="D535" s="7">
        <v>3272</v>
      </c>
      <c r="E535" s="7">
        <v>336</v>
      </c>
      <c r="F535" s="7">
        <v>4</v>
      </c>
      <c r="G535" s="7">
        <v>3</v>
      </c>
      <c r="H535" s="7">
        <v>81379</v>
      </c>
      <c r="I535" s="7" t="s">
        <v>104</v>
      </c>
      <c r="J535" s="7">
        <v>82233338</v>
      </c>
      <c r="K535" s="7" t="s">
        <v>1020</v>
      </c>
      <c r="L535" s="7" t="s">
        <v>1022</v>
      </c>
      <c r="M535" s="9">
        <v>239900</v>
      </c>
      <c r="N535" s="10">
        <f t="shared" si="51"/>
        <v>0.9</v>
      </c>
      <c r="O535" s="34">
        <f t="shared" si="52"/>
        <v>23989.999999999996</v>
      </c>
      <c r="P535" s="7" t="str">
        <f t="shared" si="53"/>
        <v>PERCENTAGE</v>
      </c>
    </row>
    <row r="536" spans="1:16" x14ac:dyDescent="0.25">
      <c r="A536" s="7" t="str">
        <f t="shared" si="48"/>
        <v>2023 ALL D90</v>
      </c>
      <c r="B536" s="8">
        <f t="shared" si="49"/>
        <v>46099</v>
      </c>
      <c r="C536" s="8">
        <f t="shared" si="50"/>
        <v>46113</v>
      </c>
      <c r="D536" s="7">
        <v>3272</v>
      </c>
      <c r="E536" s="7">
        <v>336</v>
      </c>
      <c r="F536" s="7">
        <v>4</v>
      </c>
      <c r="G536" s="7">
        <v>3</v>
      </c>
      <c r="H536" s="7">
        <v>81379</v>
      </c>
      <c r="I536" s="7" t="s">
        <v>104</v>
      </c>
      <c r="J536" s="7">
        <v>82233347</v>
      </c>
      <c r="K536" s="7" t="s">
        <v>1020</v>
      </c>
      <c r="L536" s="7" t="s">
        <v>1023</v>
      </c>
      <c r="M536" s="9">
        <v>239900</v>
      </c>
      <c r="N536" s="10">
        <f t="shared" si="51"/>
        <v>0.9</v>
      </c>
      <c r="O536" s="34">
        <f t="shared" si="52"/>
        <v>23989.999999999996</v>
      </c>
      <c r="P536" s="7" t="str">
        <f t="shared" si="53"/>
        <v>PERCENTAGE</v>
      </c>
    </row>
    <row r="537" spans="1:16" x14ac:dyDescent="0.25">
      <c r="A537" s="7" t="str">
        <f t="shared" si="48"/>
        <v>2023 ALL D90</v>
      </c>
      <c r="B537" s="8">
        <f t="shared" si="49"/>
        <v>46099</v>
      </c>
      <c r="C537" s="8">
        <f t="shared" si="50"/>
        <v>46113</v>
      </c>
      <c r="D537" s="7">
        <v>3272</v>
      </c>
      <c r="E537" s="7">
        <v>336</v>
      </c>
      <c r="F537" s="7">
        <v>4</v>
      </c>
      <c r="G537" s="7">
        <v>3</v>
      </c>
      <c r="H537" s="7">
        <v>81379</v>
      </c>
      <c r="I537" s="7" t="s">
        <v>104</v>
      </c>
      <c r="J537" s="7">
        <v>82233356</v>
      </c>
      <c r="K537" s="7" t="s">
        <v>1020</v>
      </c>
      <c r="L537" s="7" t="s">
        <v>1024</v>
      </c>
      <c r="M537" s="9">
        <v>239900</v>
      </c>
      <c r="N537" s="10">
        <f t="shared" si="51"/>
        <v>0.9</v>
      </c>
      <c r="O537" s="34">
        <f t="shared" si="52"/>
        <v>23989.999999999996</v>
      </c>
      <c r="P537" s="7" t="str">
        <f t="shared" si="53"/>
        <v>PERCENTAGE</v>
      </c>
    </row>
    <row r="538" spans="1:16" x14ac:dyDescent="0.25">
      <c r="A538" s="7" t="str">
        <f t="shared" si="48"/>
        <v>2023 ALL D90</v>
      </c>
      <c r="B538" s="8">
        <f t="shared" si="49"/>
        <v>46099</v>
      </c>
      <c r="C538" s="8">
        <f t="shared" si="50"/>
        <v>46113</v>
      </c>
      <c r="D538" s="7">
        <v>3272</v>
      </c>
      <c r="E538" s="7">
        <v>336</v>
      </c>
      <c r="F538" s="7">
        <v>4</v>
      </c>
      <c r="G538" s="7">
        <v>3</v>
      </c>
      <c r="H538" s="7">
        <v>81379</v>
      </c>
      <c r="I538" s="7" t="s">
        <v>104</v>
      </c>
      <c r="J538" s="7">
        <v>82233365</v>
      </c>
      <c r="K538" s="7" t="s">
        <v>1020</v>
      </c>
      <c r="L538" s="7" t="s">
        <v>1025</v>
      </c>
      <c r="M538" s="9">
        <v>239900</v>
      </c>
      <c r="N538" s="10">
        <f t="shared" si="51"/>
        <v>0.9</v>
      </c>
      <c r="O538" s="34">
        <f t="shared" si="52"/>
        <v>23989.999999999996</v>
      </c>
      <c r="P538" s="7" t="str">
        <f t="shared" si="53"/>
        <v>PERCENTAGE</v>
      </c>
    </row>
    <row r="539" spans="1:16" x14ac:dyDescent="0.25">
      <c r="A539" s="7" t="str">
        <f t="shared" si="48"/>
        <v>2023 ALL D90</v>
      </c>
      <c r="B539" s="8">
        <f t="shared" si="49"/>
        <v>46099</v>
      </c>
      <c r="C539" s="8">
        <f t="shared" si="50"/>
        <v>46113</v>
      </c>
      <c r="D539" s="7">
        <v>3272</v>
      </c>
      <c r="E539" s="7">
        <v>336</v>
      </c>
      <c r="F539" s="7">
        <v>4</v>
      </c>
      <c r="G539" s="7">
        <v>3</v>
      </c>
      <c r="H539" s="7">
        <v>81379</v>
      </c>
      <c r="I539" s="7" t="s">
        <v>104</v>
      </c>
      <c r="J539" s="7">
        <v>88781584</v>
      </c>
      <c r="K539" s="7" t="s">
        <v>649</v>
      </c>
      <c r="L539" s="7" t="s">
        <v>650</v>
      </c>
      <c r="M539" s="9">
        <v>239900</v>
      </c>
      <c r="N539" s="10">
        <f t="shared" si="51"/>
        <v>0.9</v>
      </c>
      <c r="O539" s="34">
        <f t="shared" si="52"/>
        <v>23989.999999999996</v>
      </c>
      <c r="P539" s="7" t="str">
        <f t="shared" si="53"/>
        <v>PERCENTAGE</v>
      </c>
    </row>
    <row r="540" spans="1:16" x14ac:dyDescent="0.25">
      <c r="A540" s="7" t="str">
        <f t="shared" si="48"/>
        <v>2023 ALL D90</v>
      </c>
      <c r="B540" s="8">
        <f t="shared" si="49"/>
        <v>46099</v>
      </c>
      <c r="C540" s="8">
        <f t="shared" si="50"/>
        <v>46113</v>
      </c>
      <c r="D540" s="7">
        <v>3272</v>
      </c>
      <c r="E540" s="7">
        <v>336</v>
      </c>
      <c r="F540" s="7">
        <v>4</v>
      </c>
      <c r="G540" s="7">
        <v>3</v>
      </c>
      <c r="H540" s="7">
        <v>81379</v>
      </c>
      <c r="I540" s="7" t="s">
        <v>104</v>
      </c>
      <c r="J540" s="7">
        <v>88781593</v>
      </c>
      <c r="K540" s="7" t="s">
        <v>649</v>
      </c>
      <c r="L540" s="7" t="s">
        <v>651</v>
      </c>
      <c r="M540" s="9">
        <v>239900</v>
      </c>
      <c r="N540" s="10">
        <f t="shared" si="51"/>
        <v>0.9</v>
      </c>
      <c r="O540" s="34">
        <f t="shared" si="52"/>
        <v>23989.999999999996</v>
      </c>
      <c r="P540" s="7" t="str">
        <f t="shared" si="53"/>
        <v>PERCENTAGE</v>
      </c>
    </row>
    <row r="541" spans="1:16" x14ac:dyDescent="0.25">
      <c r="A541" s="7" t="str">
        <f t="shared" si="48"/>
        <v>2023 ALL D90</v>
      </c>
      <c r="B541" s="8">
        <f t="shared" si="49"/>
        <v>46099</v>
      </c>
      <c r="C541" s="8">
        <f t="shared" si="50"/>
        <v>46113</v>
      </c>
      <c r="D541" s="7">
        <v>3272</v>
      </c>
      <c r="E541" s="7">
        <v>336</v>
      </c>
      <c r="F541" s="7">
        <v>4</v>
      </c>
      <c r="G541" s="7">
        <v>3</v>
      </c>
      <c r="H541" s="7">
        <v>81379</v>
      </c>
      <c r="I541" s="7" t="s">
        <v>104</v>
      </c>
      <c r="J541" s="7">
        <v>88781600</v>
      </c>
      <c r="K541" s="7" t="s">
        <v>649</v>
      </c>
      <c r="L541" s="7" t="s">
        <v>652</v>
      </c>
      <c r="M541" s="9">
        <v>239900</v>
      </c>
      <c r="N541" s="10">
        <f t="shared" si="51"/>
        <v>0.9</v>
      </c>
      <c r="O541" s="34">
        <f t="shared" si="52"/>
        <v>23989.999999999996</v>
      </c>
      <c r="P541" s="7" t="str">
        <f t="shared" si="53"/>
        <v>PERCENTAGE</v>
      </c>
    </row>
    <row r="542" spans="1:16" x14ac:dyDescent="0.25">
      <c r="A542" s="7" t="str">
        <f t="shared" si="48"/>
        <v>2023 ALL D90</v>
      </c>
      <c r="B542" s="8">
        <f t="shared" si="49"/>
        <v>46099</v>
      </c>
      <c r="C542" s="8">
        <f t="shared" si="50"/>
        <v>46113</v>
      </c>
      <c r="D542" s="7">
        <v>3272</v>
      </c>
      <c r="E542" s="7">
        <v>336</v>
      </c>
      <c r="F542" s="7">
        <v>4</v>
      </c>
      <c r="G542" s="7">
        <v>3</v>
      </c>
      <c r="H542" s="7">
        <v>81379</v>
      </c>
      <c r="I542" s="7" t="s">
        <v>104</v>
      </c>
      <c r="J542" s="7">
        <v>88781619</v>
      </c>
      <c r="K542" s="7" t="s">
        <v>649</v>
      </c>
      <c r="L542" s="7" t="s">
        <v>653</v>
      </c>
      <c r="M542" s="9">
        <v>239900</v>
      </c>
      <c r="N542" s="10">
        <f t="shared" si="51"/>
        <v>0.9</v>
      </c>
      <c r="O542" s="34">
        <f t="shared" si="52"/>
        <v>23989.999999999996</v>
      </c>
      <c r="P542" s="7" t="str">
        <f t="shared" si="53"/>
        <v>PERCENTAGE</v>
      </c>
    </row>
    <row r="543" spans="1:16" x14ac:dyDescent="0.25">
      <c r="A543" s="7" t="str">
        <f t="shared" si="48"/>
        <v>2023 ALL D90</v>
      </c>
      <c r="B543" s="8">
        <f t="shared" si="49"/>
        <v>46099</v>
      </c>
      <c r="C543" s="8">
        <f t="shared" si="50"/>
        <v>46113</v>
      </c>
      <c r="D543" s="7">
        <v>3272</v>
      </c>
      <c r="E543" s="7">
        <v>336</v>
      </c>
      <c r="F543" s="7">
        <v>4</v>
      </c>
      <c r="G543" s="7">
        <v>3</v>
      </c>
      <c r="H543" s="7">
        <v>81379</v>
      </c>
      <c r="I543" s="7" t="s">
        <v>104</v>
      </c>
      <c r="J543" s="7">
        <v>88781628</v>
      </c>
      <c r="K543" s="7" t="s">
        <v>649</v>
      </c>
      <c r="L543" s="7" t="s">
        <v>654</v>
      </c>
      <c r="M543" s="9">
        <v>239900</v>
      </c>
      <c r="N543" s="10">
        <f t="shared" si="51"/>
        <v>0.9</v>
      </c>
      <c r="O543" s="34">
        <f t="shared" si="52"/>
        <v>23989.999999999996</v>
      </c>
      <c r="P543" s="7" t="str">
        <f t="shared" si="53"/>
        <v>PERCENTAGE</v>
      </c>
    </row>
    <row r="544" spans="1:16" x14ac:dyDescent="0.25">
      <c r="A544" s="7" t="str">
        <f t="shared" si="48"/>
        <v>2023 ALL D90</v>
      </c>
      <c r="B544" s="8">
        <f t="shared" si="49"/>
        <v>46099</v>
      </c>
      <c r="C544" s="8">
        <f t="shared" si="50"/>
        <v>46113</v>
      </c>
      <c r="D544" s="7">
        <v>3272</v>
      </c>
      <c r="E544" s="7">
        <v>336</v>
      </c>
      <c r="F544" s="7">
        <v>4</v>
      </c>
      <c r="G544" s="7">
        <v>3</v>
      </c>
      <c r="H544" s="7">
        <v>81379</v>
      </c>
      <c r="I544" s="7" t="s">
        <v>104</v>
      </c>
      <c r="J544" s="7">
        <v>88781637</v>
      </c>
      <c r="K544" s="7" t="s">
        <v>649</v>
      </c>
      <c r="L544" s="7" t="s">
        <v>655</v>
      </c>
      <c r="M544" s="9">
        <v>239900</v>
      </c>
      <c r="N544" s="10">
        <f t="shared" si="51"/>
        <v>0.9</v>
      </c>
      <c r="O544" s="34">
        <f t="shared" si="52"/>
        <v>23989.999999999996</v>
      </c>
      <c r="P544" s="7" t="str">
        <f t="shared" si="53"/>
        <v>PERCENTAGE</v>
      </c>
    </row>
    <row r="545" spans="1:16" x14ac:dyDescent="0.25">
      <c r="A545" s="7" t="str">
        <f t="shared" si="48"/>
        <v>2023 ALL D90</v>
      </c>
      <c r="B545" s="8">
        <f t="shared" si="49"/>
        <v>46099</v>
      </c>
      <c r="C545" s="8">
        <f t="shared" si="50"/>
        <v>46113</v>
      </c>
      <c r="D545" s="7">
        <v>3272</v>
      </c>
      <c r="E545" s="7">
        <v>336</v>
      </c>
      <c r="F545" s="7">
        <v>4</v>
      </c>
      <c r="G545" s="7">
        <v>3</v>
      </c>
      <c r="H545" s="7">
        <v>81379</v>
      </c>
      <c r="I545" s="7" t="s">
        <v>104</v>
      </c>
      <c r="J545" s="7">
        <v>88781646</v>
      </c>
      <c r="K545" s="7" t="s">
        <v>649</v>
      </c>
      <c r="L545" s="7" t="s">
        <v>656</v>
      </c>
      <c r="M545" s="9">
        <v>239900</v>
      </c>
      <c r="N545" s="10">
        <f t="shared" si="51"/>
        <v>0.9</v>
      </c>
      <c r="O545" s="34">
        <f t="shared" si="52"/>
        <v>23989.999999999996</v>
      </c>
      <c r="P545" s="7" t="str">
        <f t="shared" si="53"/>
        <v>PERCENTAGE</v>
      </c>
    </row>
    <row r="546" spans="1:16" x14ac:dyDescent="0.25">
      <c r="A546" s="7" t="str">
        <f t="shared" si="48"/>
        <v>2023 ALL D90</v>
      </c>
      <c r="B546" s="8">
        <f t="shared" si="49"/>
        <v>46099</v>
      </c>
      <c r="C546" s="8">
        <f t="shared" si="50"/>
        <v>46113</v>
      </c>
      <c r="D546" s="7">
        <v>3272</v>
      </c>
      <c r="E546" s="7">
        <v>336</v>
      </c>
      <c r="F546" s="7">
        <v>4</v>
      </c>
      <c r="G546" s="7">
        <v>3</v>
      </c>
      <c r="H546" s="7">
        <v>81379</v>
      </c>
      <c r="I546" s="7" t="s">
        <v>104</v>
      </c>
      <c r="J546" s="7">
        <v>88781655</v>
      </c>
      <c r="K546" s="7" t="s">
        <v>649</v>
      </c>
      <c r="L546" s="7" t="s">
        <v>657</v>
      </c>
      <c r="M546" s="9">
        <v>239900</v>
      </c>
      <c r="N546" s="10">
        <f t="shared" si="51"/>
        <v>0.9</v>
      </c>
      <c r="O546" s="34">
        <f t="shared" si="52"/>
        <v>23989.999999999996</v>
      </c>
      <c r="P546" s="7" t="str">
        <f t="shared" si="53"/>
        <v>PERCENTAGE</v>
      </c>
    </row>
    <row r="547" spans="1:16" x14ac:dyDescent="0.25">
      <c r="A547" s="7" t="str">
        <f t="shared" si="48"/>
        <v>2023 ALL D90</v>
      </c>
      <c r="B547" s="8">
        <f t="shared" si="49"/>
        <v>46099</v>
      </c>
      <c r="C547" s="8">
        <f t="shared" si="50"/>
        <v>46113</v>
      </c>
      <c r="D547" s="7">
        <v>3272</v>
      </c>
      <c r="E547" s="7">
        <v>336</v>
      </c>
      <c r="F547" s="7">
        <v>4</v>
      </c>
      <c r="G547" s="7">
        <v>3</v>
      </c>
      <c r="H547" s="7">
        <v>81379</v>
      </c>
      <c r="I547" s="7" t="s">
        <v>104</v>
      </c>
      <c r="J547" s="7">
        <v>81199137</v>
      </c>
      <c r="K547" s="7" t="s">
        <v>1026</v>
      </c>
      <c r="L547" s="7" t="s">
        <v>1027</v>
      </c>
      <c r="M547" s="9">
        <v>229900</v>
      </c>
      <c r="N547" s="10">
        <f t="shared" si="51"/>
        <v>0.9</v>
      </c>
      <c r="O547" s="34">
        <f t="shared" si="52"/>
        <v>22989.999999999996</v>
      </c>
      <c r="P547" s="7" t="str">
        <f t="shared" si="53"/>
        <v>PERCENTAGE</v>
      </c>
    </row>
    <row r="548" spans="1:16" x14ac:dyDescent="0.25">
      <c r="A548" s="7" t="str">
        <f t="shared" si="48"/>
        <v>2023 ALL D90</v>
      </c>
      <c r="B548" s="8">
        <f t="shared" si="49"/>
        <v>46099</v>
      </c>
      <c r="C548" s="8">
        <f t="shared" si="50"/>
        <v>46113</v>
      </c>
      <c r="D548" s="7">
        <v>3272</v>
      </c>
      <c r="E548" s="7">
        <v>336</v>
      </c>
      <c r="F548" s="7">
        <v>4</v>
      </c>
      <c r="G548" s="7">
        <v>3</v>
      </c>
      <c r="H548" s="7">
        <v>81379</v>
      </c>
      <c r="I548" s="7" t="s">
        <v>104</v>
      </c>
      <c r="J548" s="7">
        <v>81199146</v>
      </c>
      <c r="K548" s="7" t="s">
        <v>1026</v>
      </c>
      <c r="L548" s="7" t="s">
        <v>1028</v>
      </c>
      <c r="M548" s="9">
        <v>229900</v>
      </c>
      <c r="N548" s="10">
        <f t="shared" si="51"/>
        <v>0.9</v>
      </c>
      <c r="O548" s="34">
        <f t="shared" si="52"/>
        <v>22989.999999999996</v>
      </c>
      <c r="P548" s="7" t="str">
        <f t="shared" si="53"/>
        <v>PERCENTAGE</v>
      </c>
    </row>
    <row r="549" spans="1:16" x14ac:dyDescent="0.25">
      <c r="A549" s="7" t="str">
        <f t="shared" si="48"/>
        <v>2023 ALL D90</v>
      </c>
      <c r="B549" s="8">
        <f t="shared" si="49"/>
        <v>46099</v>
      </c>
      <c r="C549" s="8">
        <f t="shared" si="50"/>
        <v>46113</v>
      </c>
      <c r="D549" s="7">
        <v>3272</v>
      </c>
      <c r="E549" s="7">
        <v>336</v>
      </c>
      <c r="F549" s="7">
        <v>4</v>
      </c>
      <c r="G549" s="7">
        <v>3</v>
      </c>
      <c r="H549" s="7">
        <v>81379</v>
      </c>
      <c r="I549" s="7" t="s">
        <v>104</v>
      </c>
      <c r="J549" s="7">
        <v>81199155</v>
      </c>
      <c r="K549" s="7" t="s">
        <v>1026</v>
      </c>
      <c r="L549" s="7" t="s">
        <v>1029</v>
      </c>
      <c r="M549" s="9">
        <v>229900</v>
      </c>
      <c r="N549" s="10">
        <f t="shared" si="51"/>
        <v>0.9</v>
      </c>
      <c r="O549" s="34">
        <f t="shared" si="52"/>
        <v>22989.999999999996</v>
      </c>
      <c r="P549" s="7" t="str">
        <f t="shared" si="53"/>
        <v>PERCENTAGE</v>
      </c>
    </row>
    <row r="550" spans="1:16" x14ac:dyDescent="0.25">
      <c r="A550" s="7" t="str">
        <f t="shared" si="48"/>
        <v>2023 ALL D90</v>
      </c>
      <c r="B550" s="8">
        <f t="shared" si="49"/>
        <v>46099</v>
      </c>
      <c r="C550" s="8">
        <f t="shared" si="50"/>
        <v>46113</v>
      </c>
      <c r="D550" s="7">
        <v>3272</v>
      </c>
      <c r="E550" s="7">
        <v>336</v>
      </c>
      <c r="F550" s="7">
        <v>4</v>
      </c>
      <c r="G550" s="7">
        <v>3</v>
      </c>
      <c r="H550" s="7">
        <v>81379</v>
      </c>
      <c r="I550" s="7" t="s">
        <v>104</v>
      </c>
      <c r="J550" s="7">
        <v>81199164</v>
      </c>
      <c r="K550" s="7" t="s">
        <v>1026</v>
      </c>
      <c r="L550" s="7" t="s">
        <v>1030</v>
      </c>
      <c r="M550" s="9">
        <v>229900</v>
      </c>
      <c r="N550" s="10">
        <f t="shared" si="51"/>
        <v>0.9</v>
      </c>
      <c r="O550" s="34">
        <f t="shared" si="52"/>
        <v>22989.999999999996</v>
      </c>
      <c r="P550" s="7" t="str">
        <f t="shared" si="53"/>
        <v>PERCENTAGE</v>
      </c>
    </row>
    <row r="551" spans="1:16" x14ac:dyDescent="0.25">
      <c r="A551" s="7" t="str">
        <f t="shared" si="48"/>
        <v>2023 ALL D90</v>
      </c>
      <c r="B551" s="8">
        <f t="shared" si="49"/>
        <v>46099</v>
      </c>
      <c r="C551" s="8">
        <f t="shared" si="50"/>
        <v>46113</v>
      </c>
      <c r="D551" s="7">
        <v>3272</v>
      </c>
      <c r="E551" s="7">
        <v>336</v>
      </c>
      <c r="F551" s="7">
        <v>4</v>
      </c>
      <c r="G551" s="7">
        <v>3</v>
      </c>
      <c r="H551" s="7">
        <v>81379</v>
      </c>
      <c r="I551" s="7" t="s">
        <v>104</v>
      </c>
      <c r="J551" s="7">
        <v>81199173</v>
      </c>
      <c r="K551" s="7" t="s">
        <v>1026</v>
      </c>
      <c r="L551" s="7" t="s">
        <v>1031</v>
      </c>
      <c r="M551" s="9">
        <v>229900</v>
      </c>
      <c r="N551" s="10">
        <f t="shared" si="51"/>
        <v>0.9</v>
      </c>
      <c r="O551" s="34">
        <f t="shared" si="52"/>
        <v>22989.999999999996</v>
      </c>
      <c r="P551" s="7" t="str">
        <f t="shared" si="53"/>
        <v>PERCENTAGE</v>
      </c>
    </row>
    <row r="552" spans="1:16" x14ac:dyDescent="0.25">
      <c r="A552" s="7" t="str">
        <f t="shared" si="48"/>
        <v>2023 ALL D90</v>
      </c>
      <c r="B552" s="8">
        <f t="shared" si="49"/>
        <v>46099</v>
      </c>
      <c r="C552" s="8">
        <f t="shared" si="50"/>
        <v>46113</v>
      </c>
      <c r="D552" s="7">
        <v>3272</v>
      </c>
      <c r="E552" s="7">
        <v>336</v>
      </c>
      <c r="F552" s="7">
        <v>4</v>
      </c>
      <c r="G552" s="7">
        <v>3</v>
      </c>
      <c r="H552" s="7">
        <v>81379</v>
      </c>
      <c r="I552" s="7" t="s">
        <v>104</v>
      </c>
      <c r="J552" s="7">
        <v>11615602</v>
      </c>
      <c r="K552" s="7" t="s">
        <v>658</v>
      </c>
      <c r="L552" s="7" t="s">
        <v>659</v>
      </c>
      <c r="M552" s="9">
        <v>239900</v>
      </c>
      <c r="N552" s="10">
        <f t="shared" si="51"/>
        <v>0.9</v>
      </c>
      <c r="O552" s="34">
        <f t="shared" si="52"/>
        <v>23989.999999999996</v>
      </c>
      <c r="P552" s="7" t="str">
        <f t="shared" si="53"/>
        <v>PERCENTAGE</v>
      </c>
    </row>
    <row r="553" spans="1:16" x14ac:dyDescent="0.25">
      <c r="A553" s="7" t="str">
        <f t="shared" si="48"/>
        <v>2023 ALL D90</v>
      </c>
      <c r="B553" s="8">
        <f t="shared" si="49"/>
        <v>46099</v>
      </c>
      <c r="C553" s="8">
        <f t="shared" si="50"/>
        <v>46113</v>
      </c>
      <c r="D553" s="7">
        <v>3272</v>
      </c>
      <c r="E553" s="7">
        <v>336</v>
      </c>
      <c r="F553" s="7">
        <v>4</v>
      </c>
      <c r="G553" s="7">
        <v>3</v>
      </c>
      <c r="H553" s="7">
        <v>81379</v>
      </c>
      <c r="I553" s="7" t="s">
        <v>104</v>
      </c>
      <c r="J553" s="7">
        <v>11615611</v>
      </c>
      <c r="K553" s="7" t="s">
        <v>658</v>
      </c>
      <c r="L553" s="7" t="s">
        <v>660</v>
      </c>
      <c r="M553" s="9">
        <v>239900</v>
      </c>
      <c r="N553" s="10">
        <f t="shared" si="51"/>
        <v>0.9</v>
      </c>
      <c r="O553" s="34">
        <f t="shared" si="52"/>
        <v>23989.999999999996</v>
      </c>
      <c r="P553" s="7" t="str">
        <f t="shared" si="53"/>
        <v>PERCENTAGE</v>
      </c>
    </row>
    <row r="554" spans="1:16" x14ac:dyDescent="0.25">
      <c r="A554" s="7" t="str">
        <f t="shared" si="48"/>
        <v>2023 ALL D90</v>
      </c>
      <c r="B554" s="8">
        <f t="shared" si="49"/>
        <v>46099</v>
      </c>
      <c r="C554" s="8">
        <f t="shared" si="50"/>
        <v>46113</v>
      </c>
      <c r="D554" s="7">
        <v>3272</v>
      </c>
      <c r="E554" s="7">
        <v>336</v>
      </c>
      <c r="F554" s="7">
        <v>4</v>
      </c>
      <c r="G554" s="7">
        <v>3</v>
      </c>
      <c r="H554" s="7">
        <v>81379</v>
      </c>
      <c r="I554" s="7" t="s">
        <v>104</v>
      </c>
      <c r="J554" s="7">
        <v>11615620</v>
      </c>
      <c r="K554" s="7" t="s">
        <v>658</v>
      </c>
      <c r="L554" s="7" t="s">
        <v>661</v>
      </c>
      <c r="M554" s="9">
        <v>239900</v>
      </c>
      <c r="N554" s="10">
        <f t="shared" si="51"/>
        <v>0.9</v>
      </c>
      <c r="O554" s="34">
        <f t="shared" si="52"/>
        <v>23989.999999999996</v>
      </c>
      <c r="P554" s="7" t="str">
        <f t="shared" si="53"/>
        <v>PERCENTAGE</v>
      </c>
    </row>
    <row r="555" spans="1:16" x14ac:dyDescent="0.25">
      <c r="A555" s="7" t="str">
        <f t="shared" si="48"/>
        <v>2023 ALL D90</v>
      </c>
      <c r="B555" s="8">
        <f t="shared" si="49"/>
        <v>46099</v>
      </c>
      <c r="C555" s="8">
        <f t="shared" si="50"/>
        <v>46113</v>
      </c>
      <c r="D555" s="7">
        <v>3272</v>
      </c>
      <c r="E555" s="7">
        <v>336</v>
      </c>
      <c r="F555" s="7">
        <v>4</v>
      </c>
      <c r="G555" s="7">
        <v>3</v>
      </c>
      <c r="H555" s="7">
        <v>81379</v>
      </c>
      <c r="I555" s="7" t="s">
        <v>104</v>
      </c>
      <c r="J555" s="7">
        <v>11615639</v>
      </c>
      <c r="K555" s="7" t="s">
        <v>658</v>
      </c>
      <c r="L555" s="7" t="s">
        <v>662</v>
      </c>
      <c r="M555" s="9">
        <v>239900</v>
      </c>
      <c r="N555" s="10">
        <f t="shared" si="51"/>
        <v>0.9</v>
      </c>
      <c r="O555" s="34">
        <f t="shared" si="52"/>
        <v>23989.999999999996</v>
      </c>
      <c r="P555" s="7" t="str">
        <f t="shared" si="53"/>
        <v>PERCENTAGE</v>
      </c>
    </row>
    <row r="556" spans="1:16" x14ac:dyDescent="0.25">
      <c r="A556" s="7" t="str">
        <f t="shared" si="48"/>
        <v>2023 ALL D90</v>
      </c>
      <c r="B556" s="8">
        <f t="shared" si="49"/>
        <v>46099</v>
      </c>
      <c r="C556" s="8">
        <f t="shared" si="50"/>
        <v>46113</v>
      </c>
      <c r="D556" s="7">
        <v>3272</v>
      </c>
      <c r="E556" s="7">
        <v>336</v>
      </c>
      <c r="F556" s="7">
        <v>4</v>
      </c>
      <c r="G556" s="7">
        <v>3</v>
      </c>
      <c r="H556" s="7">
        <v>81379</v>
      </c>
      <c r="I556" s="7" t="s">
        <v>104</v>
      </c>
      <c r="J556" s="7">
        <v>11615648</v>
      </c>
      <c r="K556" s="7" t="s">
        <v>658</v>
      </c>
      <c r="L556" s="7" t="s">
        <v>663</v>
      </c>
      <c r="M556" s="9">
        <v>239900</v>
      </c>
      <c r="N556" s="10">
        <f t="shared" si="51"/>
        <v>0.9</v>
      </c>
      <c r="O556" s="34">
        <f t="shared" si="52"/>
        <v>23989.999999999996</v>
      </c>
      <c r="P556" s="7" t="str">
        <f t="shared" si="53"/>
        <v>PERCENTAGE</v>
      </c>
    </row>
    <row r="557" spans="1:16" x14ac:dyDescent="0.25">
      <c r="A557" s="7" t="str">
        <f t="shared" si="48"/>
        <v>2023 ALL D90</v>
      </c>
      <c r="B557" s="8">
        <f t="shared" si="49"/>
        <v>46099</v>
      </c>
      <c r="C557" s="8">
        <f t="shared" si="50"/>
        <v>46113</v>
      </c>
      <c r="D557" s="7">
        <v>3272</v>
      </c>
      <c r="E557" s="7">
        <v>336</v>
      </c>
      <c r="F557" s="7">
        <v>4</v>
      </c>
      <c r="G557" s="7">
        <v>4</v>
      </c>
      <c r="H557" s="7">
        <v>81379</v>
      </c>
      <c r="I557" s="7" t="s">
        <v>104</v>
      </c>
      <c r="J557" s="7">
        <v>88781664</v>
      </c>
      <c r="K557" s="7" t="s">
        <v>664</v>
      </c>
      <c r="L557" s="7" t="s">
        <v>665</v>
      </c>
      <c r="M557" s="9">
        <v>159900</v>
      </c>
      <c r="N557" s="10">
        <f t="shared" si="51"/>
        <v>0.9</v>
      </c>
      <c r="O557" s="34">
        <f t="shared" si="52"/>
        <v>15989.999999999996</v>
      </c>
      <c r="P557" s="7" t="str">
        <f t="shared" si="53"/>
        <v>PERCENTAGE</v>
      </c>
    </row>
    <row r="558" spans="1:16" x14ac:dyDescent="0.25">
      <c r="A558" s="7" t="str">
        <f t="shared" si="48"/>
        <v>2023 ALL D90</v>
      </c>
      <c r="B558" s="8">
        <f t="shared" si="49"/>
        <v>46099</v>
      </c>
      <c r="C558" s="8">
        <f t="shared" si="50"/>
        <v>46113</v>
      </c>
      <c r="D558" s="7">
        <v>3272</v>
      </c>
      <c r="E558" s="7">
        <v>336</v>
      </c>
      <c r="F558" s="7">
        <v>4</v>
      </c>
      <c r="G558" s="7">
        <v>4</v>
      </c>
      <c r="H558" s="7">
        <v>81379</v>
      </c>
      <c r="I558" s="7" t="s">
        <v>104</v>
      </c>
      <c r="J558" s="7">
        <v>88781673</v>
      </c>
      <c r="K558" s="7" t="s">
        <v>664</v>
      </c>
      <c r="L558" s="7" t="s">
        <v>666</v>
      </c>
      <c r="M558" s="9">
        <v>159900</v>
      </c>
      <c r="N558" s="10">
        <f t="shared" si="51"/>
        <v>0.9</v>
      </c>
      <c r="O558" s="34">
        <f t="shared" si="52"/>
        <v>15989.999999999996</v>
      </c>
      <c r="P558" s="7" t="str">
        <f t="shared" si="53"/>
        <v>PERCENTAGE</v>
      </c>
    </row>
    <row r="559" spans="1:16" x14ac:dyDescent="0.25">
      <c r="A559" s="7" t="str">
        <f t="shared" si="48"/>
        <v>2023 ALL D90</v>
      </c>
      <c r="B559" s="8">
        <f t="shared" si="49"/>
        <v>46099</v>
      </c>
      <c r="C559" s="8">
        <f t="shared" si="50"/>
        <v>46113</v>
      </c>
      <c r="D559" s="7">
        <v>3272</v>
      </c>
      <c r="E559" s="7">
        <v>336</v>
      </c>
      <c r="F559" s="7">
        <v>4</v>
      </c>
      <c r="G559" s="7">
        <v>4</v>
      </c>
      <c r="H559" s="7">
        <v>81379</v>
      </c>
      <c r="I559" s="7" t="s">
        <v>104</v>
      </c>
      <c r="J559" s="7">
        <v>88781682</v>
      </c>
      <c r="K559" s="7" t="s">
        <v>664</v>
      </c>
      <c r="L559" s="7" t="s">
        <v>667</v>
      </c>
      <c r="M559" s="9">
        <v>159900</v>
      </c>
      <c r="N559" s="10">
        <f t="shared" si="51"/>
        <v>0.9</v>
      </c>
      <c r="O559" s="34">
        <f t="shared" si="52"/>
        <v>15989.999999999996</v>
      </c>
      <c r="P559" s="7" t="str">
        <f t="shared" si="53"/>
        <v>PERCENTAGE</v>
      </c>
    </row>
    <row r="560" spans="1:16" x14ac:dyDescent="0.25">
      <c r="A560" s="7" t="str">
        <f t="shared" si="48"/>
        <v>2023 ALL D90</v>
      </c>
      <c r="B560" s="8">
        <f t="shared" si="49"/>
        <v>46099</v>
      </c>
      <c r="C560" s="8">
        <f t="shared" si="50"/>
        <v>46113</v>
      </c>
      <c r="D560" s="7">
        <v>3272</v>
      </c>
      <c r="E560" s="7">
        <v>336</v>
      </c>
      <c r="F560" s="7">
        <v>4</v>
      </c>
      <c r="G560" s="7">
        <v>4</v>
      </c>
      <c r="H560" s="7">
        <v>81379</v>
      </c>
      <c r="I560" s="7" t="s">
        <v>104</v>
      </c>
      <c r="J560" s="7">
        <v>88781691</v>
      </c>
      <c r="K560" s="7" t="s">
        <v>664</v>
      </c>
      <c r="L560" s="7" t="s">
        <v>668</v>
      </c>
      <c r="M560" s="9">
        <v>159900</v>
      </c>
      <c r="N560" s="10">
        <f t="shared" si="51"/>
        <v>0.9</v>
      </c>
      <c r="O560" s="34">
        <f t="shared" si="52"/>
        <v>15989.999999999996</v>
      </c>
      <c r="P560" s="7" t="str">
        <f t="shared" si="53"/>
        <v>PERCENTAGE</v>
      </c>
    </row>
    <row r="561" spans="1:16" x14ac:dyDescent="0.25">
      <c r="A561" s="7" t="str">
        <f t="shared" si="48"/>
        <v>2023 ALL D90</v>
      </c>
      <c r="B561" s="8">
        <f t="shared" si="49"/>
        <v>46099</v>
      </c>
      <c r="C561" s="8">
        <f t="shared" si="50"/>
        <v>46113</v>
      </c>
      <c r="D561" s="7">
        <v>3272</v>
      </c>
      <c r="E561" s="7">
        <v>336</v>
      </c>
      <c r="F561" s="7">
        <v>4</v>
      </c>
      <c r="G561" s="7">
        <v>4</v>
      </c>
      <c r="H561" s="7">
        <v>81379</v>
      </c>
      <c r="I561" s="7" t="s">
        <v>104</v>
      </c>
      <c r="J561" s="7">
        <v>88781708</v>
      </c>
      <c r="K561" s="7" t="s">
        <v>664</v>
      </c>
      <c r="L561" s="7" t="s">
        <v>669</v>
      </c>
      <c r="M561" s="9">
        <v>159900</v>
      </c>
      <c r="N561" s="10">
        <f t="shared" si="51"/>
        <v>0.9</v>
      </c>
      <c r="O561" s="34">
        <f t="shared" si="52"/>
        <v>15989.999999999996</v>
      </c>
      <c r="P561" s="7" t="str">
        <f t="shared" si="53"/>
        <v>PERCENTAGE</v>
      </c>
    </row>
    <row r="562" spans="1:16" x14ac:dyDescent="0.25">
      <c r="A562" s="7" t="str">
        <f t="shared" si="48"/>
        <v>2023 ALL D90</v>
      </c>
      <c r="B562" s="8">
        <f t="shared" si="49"/>
        <v>46099</v>
      </c>
      <c r="C562" s="8">
        <f t="shared" si="50"/>
        <v>46113</v>
      </c>
      <c r="D562" s="7">
        <v>3272</v>
      </c>
      <c r="E562" s="7">
        <v>336</v>
      </c>
      <c r="F562" s="7">
        <v>4</v>
      </c>
      <c r="G562" s="7">
        <v>4</v>
      </c>
      <c r="H562" s="7">
        <v>81379</v>
      </c>
      <c r="I562" s="7" t="s">
        <v>104</v>
      </c>
      <c r="J562" s="7">
        <v>88781717</v>
      </c>
      <c r="K562" s="7" t="s">
        <v>664</v>
      </c>
      <c r="L562" s="7" t="s">
        <v>670</v>
      </c>
      <c r="M562" s="9">
        <v>159900</v>
      </c>
      <c r="N562" s="10">
        <f t="shared" si="51"/>
        <v>0.9</v>
      </c>
      <c r="O562" s="34">
        <f t="shared" si="52"/>
        <v>15989.999999999996</v>
      </c>
      <c r="P562" s="7" t="str">
        <f t="shared" si="53"/>
        <v>PERCENTAGE</v>
      </c>
    </row>
    <row r="563" spans="1:16" x14ac:dyDescent="0.25">
      <c r="A563" s="7" t="str">
        <f t="shared" si="48"/>
        <v>2023 ALL D90</v>
      </c>
      <c r="B563" s="8">
        <f t="shared" si="49"/>
        <v>46099</v>
      </c>
      <c r="C563" s="8">
        <f t="shared" si="50"/>
        <v>46113</v>
      </c>
      <c r="D563" s="7">
        <v>3272</v>
      </c>
      <c r="E563" s="7">
        <v>336</v>
      </c>
      <c r="F563" s="7">
        <v>4</v>
      </c>
      <c r="G563" s="7">
        <v>4</v>
      </c>
      <c r="H563" s="7">
        <v>81379</v>
      </c>
      <c r="I563" s="7" t="s">
        <v>104</v>
      </c>
      <c r="J563" s="7">
        <v>88781726</v>
      </c>
      <c r="K563" s="7" t="s">
        <v>664</v>
      </c>
      <c r="L563" s="7" t="s">
        <v>671</v>
      </c>
      <c r="M563" s="9">
        <v>159900</v>
      </c>
      <c r="N563" s="10">
        <f t="shared" si="51"/>
        <v>0.9</v>
      </c>
      <c r="O563" s="34">
        <f t="shared" si="52"/>
        <v>15989.999999999996</v>
      </c>
      <c r="P563" s="7" t="str">
        <f t="shared" si="53"/>
        <v>PERCENTAGE</v>
      </c>
    </row>
    <row r="564" spans="1:16" x14ac:dyDescent="0.25">
      <c r="A564" s="7" t="str">
        <f t="shared" si="48"/>
        <v>2023 ALL D90</v>
      </c>
      <c r="B564" s="8">
        <f t="shared" si="49"/>
        <v>46099</v>
      </c>
      <c r="C564" s="8">
        <f t="shared" si="50"/>
        <v>46113</v>
      </c>
      <c r="D564" s="7">
        <v>3272</v>
      </c>
      <c r="E564" s="7">
        <v>336</v>
      </c>
      <c r="F564" s="7">
        <v>4</v>
      </c>
      <c r="G564" s="7">
        <v>4</v>
      </c>
      <c r="H564" s="7">
        <v>81379</v>
      </c>
      <c r="I564" s="7" t="s">
        <v>104</v>
      </c>
      <c r="J564" s="7">
        <v>88781735</v>
      </c>
      <c r="K564" s="7" t="s">
        <v>664</v>
      </c>
      <c r="L564" s="7" t="s">
        <v>672</v>
      </c>
      <c r="M564" s="9">
        <v>159900</v>
      </c>
      <c r="N564" s="10">
        <f t="shared" si="51"/>
        <v>0.9</v>
      </c>
      <c r="O564" s="34">
        <f t="shared" si="52"/>
        <v>15989.999999999996</v>
      </c>
      <c r="P564" s="7" t="str">
        <f t="shared" si="53"/>
        <v>PERCENTAGE</v>
      </c>
    </row>
    <row r="565" spans="1:16" x14ac:dyDescent="0.25">
      <c r="A565" s="7" t="str">
        <f t="shared" si="48"/>
        <v>2023 ALL D90</v>
      </c>
      <c r="B565" s="8">
        <f t="shared" si="49"/>
        <v>46099</v>
      </c>
      <c r="C565" s="8">
        <f t="shared" si="50"/>
        <v>46113</v>
      </c>
      <c r="D565" s="7">
        <v>3272</v>
      </c>
      <c r="E565" s="7">
        <v>336</v>
      </c>
      <c r="F565" s="7">
        <v>4</v>
      </c>
      <c r="G565" s="7">
        <v>4</v>
      </c>
      <c r="H565" s="7">
        <v>81379</v>
      </c>
      <c r="I565" s="7" t="s">
        <v>104</v>
      </c>
      <c r="J565" s="7">
        <v>81199084</v>
      </c>
      <c r="K565" s="7" t="s">
        <v>673</v>
      </c>
      <c r="L565" s="7" t="s">
        <v>674</v>
      </c>
      <c r="M565" s="9">
        <v>159900</v>
      </c>
      <c r="N565" s="10">
        <f t="shared" si="51"/>
        <v>0.9</v>
      </c>
      <c r="O565" s="34">
        <f t="shared" si="52"/>
        <v>15989.999999999996</v>
      </c>
      <c r="P565" s="7" t="str">
        <f t="shared" si="53"/>
        <v>PERCENTAGE</v>
      </c>
    </row>
    <row r="566" spans="1:16" x14ac:dyDescent="0.25">
      <c r="A566" s="7" t="str">
        <f t="shared" si="48"/>
        <v>2023 ALL D90</v>
      </c>
      <c r="B566" s="8">
        <f t="shared" si="49"/>
        <v>46099</v>
      </c>
      <c r="C566" s="8">
        <f t="shared" si="50"/>
        <v>46113</v>
      </c>
      <c r="D566" s="7">
        <v>3272</v>
      </c>
      <c r="E566" s="7">
        <v>336</v>
      </c>
      <c r="F566" s="7">
        <v>4</v>
      </c>
      <c r="G566" s="7">
        <v>4</v>
      </c>
      <c r="H566" s="7">
        <v>81379</v>
      </c>
      <c r="I566" s="7" t="s">
        <v>104</v>
      </c>
      <c r="J566" s="7">
        <v>81199093</v>
      </c>
      <c r="K566" s="7" t="s">
        <v>673</v>
      </c>
      <c r="L566" s="7" t="s">
        <v>675</v>
      </c>
      <c r="M566" s="9">
        <v>159900</v>
      </c>
      <c r="N566" s="10">
        <f t="shared" si="51"/>
        <v>0.9</v>
      </c>
      <c r="O566" s="34">
        <f t="shared" si="52"/>
        <v>15989.999999999996</v>
      </c>
      <c r="P566" s="7" t="str">
        <f t="shared" si="53"/>
        <v>PERCENTAGE</v>
      </c>
    </row>
    <row r="567" spans="1:16" x14ac:dyDescent="0.25">
      <c r="A567" s="7" t="str">
        <f t="shared" si="48"/>
        <v>2023 ALL D90</v>
      </c>
      <c r="B567" s="8">
        <f t="shared" si="49"/>
        <v>46099</v>
      </c>
      <c r="C567" s="8">
        <f t="shared" si="50"/>
        <v>46113</v>
      </c>
      <c r="D567" s="7">
        <v>3272</v>
      </c>
      <c r="E567" s="7">
        <v>336</v>
      </c>
      <c r="F567" s="7">
        <v>4</v>
      </c>
      <c r="G567" s="7">
        <v>4</v>
      </c>
      <c r="H567" s="7">
        <v>81379</v>
      </c>
      <c r="I567" s="7" t="s">
        <v>104</v>
      </c>
      <c r="J567" s="7">
        <v>81199100</v>
      </c>
      <c r="K567" s="7" t="s">
        <v>673</v>
      </c>
      <c r="L567" s="7" t="s">
        <v>676</v>
      </c>
      <c r="M567" s="9">
        <v>159900</v>
      </c>
      <c r="N567" s="10">
        <f t="shared" si="51"/>
        <v>0.9</v>
      </c>
      <c r="O567" s="34">
        <f t="shared" si="52"/>
        <v>15989.999999999996</v>
      </c>
      <c r="P567" s="7" t="str">
        <f t="shared" si="53"/>
        <v>PERCENTAGE</v>
      </c>
    </row>
    <row r="568" spans="1:16" x14ac:dyDescent="0.25">
      <c r="A568" s="7" t="str">
        <f t="shared" si="48"/>
        <v>2023 ALL D90</v>
      </c>
      <c r="B568" s="8">
        <f t="shared" si="49"/>
        <v>46099</v>
      </c>
      <c r="C568" s="8">
        <f t="shared" si="50"/>
        <v>46113</v>
      </c>
      <c r="D568" s="7">
        <v>3272</v>
      </c>
      <c r="E568" s="7">
        <v>336</v>
      </c>
      <c r="F568" s="7">
        <v>4</v>
      </c>
      <c r="G568" s="7">
        <v>4</v>
      </c>
      <c r="H568" s="7">
        <v>81379</v>
      </c>
      <c r="I568" s="7" t="s">
        <v>104</v>
      </c>
      <c r="J568" s="7">
        <v>81199119</v>
      </c>
      <c r="K568" s="7" t="s">
        <v>673</v>
      </c>
      <c r="L568" s="7" t="s">
        <v>677</v>
      </c>
      <c r="M568" s="9">
        <v>159900</v>
      </c>
      <c r="N568" s="10">
        <f t="shared" si="51"/>
        <v>0.9</v>
      </c>
      <c r="O568" s="34">
        <f t="shared" si="52"/>
        <v>15989.999999999996</v>
      </c>
      <c r="P568" s="7" t="str">
        <f t="shared" si="53"/>
        <v>PERCENTAGE</v>
      </c>
    </row>
    <row r="569" spans="1:16" x14ac:dyDescent="0.25">
      <c r="A569" s="7" t="str">
        <f t="shared" si="48"/>
        <v>2023 ALL D90</v>
      </c>
      <c r="B569" s="8">
        <f t="shared" si="49"/>
        <v>46099</v>
      </c>
      <c r="C569" s="8">
        <f t="shared" si="50"/>
        <v>46113</v>
      </c>
      <c r="D569" s="7">
        <v>3272</v>
      </c>
      <c r="E569" s="7">
        <v>336</v>
      </c>
      <c r="F569" s="7">
        <v>4</v>
      </c>
      <c r="G569" s="7">
        <v>4</v>
      </c>
      <c r="H569" s="7">
        <v>81379</v>
      </c>
      <c r="I569" s="7" t="s">
        <v>104</v>
      </c>
      <c r="J569" s="7">
        <v>81199128</v>
      </c>
      <c r="K569" s="7" t="s">
        <v>673</v>
      </c>
      <c r="L569" s="7" t="s">
        <v>678</v>
      </c>
      <c r="M569" s="9">
        <v>159900</v>
      </c>
      <c r="N569" s="10">
        <f t="shared" si="51"/>
        <v>0.9</v>
      </c>
      <c r="O569" s="34">
        <f t="shared" si="52"/>
        <v>15989.999999999996</v>
      </c>
      <c r="P569" s="7" t="str">
        <f t="shared" si="53"/>
        <v>PERCENTAGE</v>
      </c>
    </row>
    <row r="570" spans="1:16" x14ac:dyDescent="0.25">
      <c r="A570" s="7" t="str">
        <f t="shared" si="48"/>
        <v>2023 ALL D90</v>
      </c>
      <c r="B570" s="8">
        <f t="shared" si="49"/>
        <v>46099</v>
      </c>
      <c r="C570" s="8">
        <f t="shared" si="50"/>
        <v>46113</v>
      </c>
      <c r="D570" s="7">
        <v>3272</v>
      </c>
      <c r="E570" s="7">
        <v>336</v>
      </c>
      <c r="F570" s="7">
        <v>4</v>
      </c>
      <c r="G570" s="7">
        <v>5</v>
      </c>
      <c r="H570" s="7">
        <v>81379</v>
      </c>
      <c r="I570" s="7" t="s">
        <v>104</v>
      </c>
      <c r="J570" s="7">
        <v>82233374</v>
      </c>
      <c r="K570" s="7" t="s">
        <v>679</v>
      </c>
      <c r="L570" s="7" t="s">
        <v>680</v>
      </c>
      <c r="M570" s="9">
        <v>239900</v>
      </c>
      <c r="N570" s="10">
        <f t="shared" si="51"/>
        <v>0.9</v>
      </c>
      <c r="O570" s="34">
        <f t="shared" si="52"/>
        <v>23989.999999999996</v>
      </c>
      <c r="P570" s="7" t="str">
        <f t="shared" si="53"/>
        <v>PERCENTAGE</v>
      </c>
    </row>
    <row r="571" spans="1:16" x14ac:dyDescent="0.25">
      <c r="A571" s="7" t="str">
        <f t="shared" si="48"/>
        <v>2023 ALL D90</v>
      </c>
      <c r="B571" s="8">
        <f t="shared" si="49"/>
        <v>46099</v>
      </c>
      <c r="C571" s="8">
        <f t="shared" si="50"/>
        <v>46113</v>
      </c>
      <c r="D571" s="7">
        <v>3272</v>
      </c>
      <c r="E571" s="7">
        <v>336</v>
      </c>
      <c r="F571" s="7">
        <v>4</v>
      </c>
      <c r="G571" s="7">
        <v>5</v>
      </c>
      <c r="H571" s="7">
        <v>81379</v>
      </c>
      <c r="I571" s="7" t="s">
        <v>104</v>
      </c>
      <c r="J571" s="7">
        <v>82233383</v>
      </c>
      <c r="K571" s="7" t="s">
        <v>679</v>
      </c>
      <c r="L571" s="7" t="s">
        <v>681</v>
      </c>
      <c r="M571" s="9">
        <v>239900</v>
      </c>
      <c r="N571" s="10">
        <f t="shared" si="51"/>
        <v>0.9</v>
      </c>
      <c r="O571" s="34">
        <f t="shared" si="52"/>
        <v>23989.999999999996</v>
      </c>
      <c r="P571" s="7" t="str">
        <f t="shared" si="53"/>
        <v>PERCENTAGE</v>
      </c>
    </row>
    <row r="572" spans="1:16" x14ac:dyDescent="0.25">
      <c r="A572" s="7" t="str">
        <f t="shared" si="48"/>
        <v>2023 ALL D90</v>
      </c>
      <c r="B572" s="8">
        <f t="shared" si="49"/>
        <v>46099</v>
      </c>
      <c r="C572" s="8">
        <f t="shared" si="50"/>
        <v>46113</v>
      </c>
      <c r="D572" s="7">
        <v>3272</v>
      </c>
      <c r="E572" s="7">
        <v>336</v>
      </c>
      <c r="F572" s="7">
        <v>4</v>
      </c>
      <c r="G572" s="7">
        <v>5</v>
      </c>
      <c r="H572" s="7">
        <v>81379</v>
      </c>
      <c r="I572" s="7" t="s">
        <v>104</v>
      </c>
      <c r="J572" s="7">
        <v>82233392</v>
      </c>
      <c r="K572" s="7" t="s">
        <v>679</v>
      </c>
      <c r="L572" s="7" t="s">
        <v>682</v>
      </c>
      <c r="M572" s="9">
        <v>239900</v>
      </c>
      <c r="N572" s="10">
        <f t="shared" si="51"/>
        <v>0.9</v>
      </c>
      <c r="O572" s="34">
        <f t="shared" si="52"/>
        <v>23989.999999999996</v>
      </c>
      <c r="P572" s="7" t="str">
        <f t="shared" si="53"/>
        <v>PERCENTAGE</v>
      </c>
    </row>
    <row r="573" spans="1:16" x14ac:dyDescent="0.25">
      <c r="A573" s="7" t="str">
        <f t="shared" si="48"/>
        <v>2023 ALL D90</v>
      </c>
      <c r="B573" s="8">
        <f t="shared" si="49"/>
        <v>46099</v>
      </c>
      <c r="C573" s="8">
        <f t="shared" si="50"/>
        <v>46113</v>
      </c>
      <c r="D573" s="7">
        <v>3272</v>
      </c>
      <c r="E573" s="7">
        <v>336</v>
      </c>
      <c r="F573" s="7">
        <v>4</v>
      </c>
      <c r="G573" s="7">
        <v>5</v>
      </c>
      <c r="H573" s="7">
        <v>81379</v>
      </c>
      <c r="I573" s="7" t="s">
        <v>104</v>
      </c>
      <c r="J573" s="7">
        <v>82233409</v>
      </c>
      <c r="K573" s="7" t="s">
        <v>679</v>
      </c>
      <c r="L573" s="7" t="s">
        <v>683</v>
      </c>
      <c r="M573" s="9">
        <v>239900</v>
      </c>
      <c r="N573" s="10">
        <f t="shared" si="51"/>
        <v>0.9</v>
      </c>
      <c r="O573" s="34">
        <f t="shared" si="52"/>
        <v>23989.999999999996</v>
      </c>
      <c r="P573" s="7" t="str">
        <f t="shared" si="53"/>
        <v>PERCENTAGE</v>
      </c>
    </row>
    <row r="574" spans="1:16" x14ac:dyDescent="0.25">
      <c r="A574" s="7" t="str">
        <f t="shared" si="48"/>
        <v>2023 ALL D90</v>
      </c>
      <c r="B574" s="8">
        <f t="shared" si="49"/>
        <v>46099</v>
      </c>
      <c r="C574" s="8">
        <f t="shared" si="50"/>
        <v>46113</v>
      </c>
      <c r="D574" s="7">
        <v>3272</v>
      </c>
      <c r="E574" s="7">
        <v>336</v>
      </c>
      <c r="F574" s="7">
        <v>4</v>
      </c>
      <c r="G574" s="7">
        <v>5</v>
      </c>
      <c r="H574" s="7">
        <v>81379</v>
      </c>
      <c r="I574" s="7" t="s">
        <v>104</v>
      </c>
      <c r="J574" s="7">
        <v>82233418</v>
      </c>
      <c r="K574" s="7" t="s">
        <v>679</v>
      </c>
      <c r="L574" s="7" t="s">
        <v>684</v>
      </c>
      <c r="M574" s="9">
        <v>239900</v>
      </c>
      <c r="N574" s="10">
        <f t="shared" si="51"/>
        <v>0.9</v>
      </c>
      <c r="O574" s="34">
        <f t="shared" si="52"/>
        <v>23989.999999999996</v>
      </c>
      <c r="P574" s="7" t="str">
        <f t="shared" si="53"/>
        <v>PERCENTAGE</v>
      </c>
    </row>
    <row r="575" spans="1:16" x14ac:dyDescent="0.25">
      <c r="A575" s="7" t="str">
        <f t="shared" si="48"/>
        <v>2023 ALL D90</v>
      </c>
      <c r="B575" s="8">
        <f t="shared" si="49"/>
        <v>46099</v>
      </c>
      <c r="C575" s="8">
        <f t="shared" si="50"/>
        <v>46113</v>
      </c>
      <c r="D575" s="7">
        <v>3272</v>
      </c>
      <c r="E575" s="7">
        <v>336</v>
      </c>
      <c r="F575" s="7">
        <v>4</v>
      </c>
      <c r="G575" s="7">
        <v>5</v>
      </c>
      <c r="H575" s="7">
        <v>81379</v>
      </c>
      <c r="I575" s="7" t="s">
        <v>104</v>
      </c>
      <c r="J575" s="7">
        <v>88782341</v>
      </c>
      <c r="K575" s="7" t="s">
        <v>1032</v>
      </c>
      <c r="L575" s="7" t="s">
        <v>1033</v>
      </c>
      <c r="M575" s="9">
        <v>229900</v>
      </c>
      <c r="N575" s="10">
        <f t="shared" si="51"/>
        <v>0.9</v>
      </c>
      <c r="O575" s="34">
        <f t="shared" si="52"/>
        <v>22989.999999999996</v>
      </c>
      <c r="P575" s="7" t="str">
        <f t="shared" si="53"/>
        <v>PERCENTAGE</v>
      </c>
    </row>
    <row r="576" spans="1:16" x14ac:dyDescent="0.25">
      <c r="A576" s="7" t="str">
        <f t="shared" si="48"/>
        <v>2023 ALL D90</v>
      </c>
      <c r="B576" s="8">
        <f t="shared" si="49"/>
        <v>46099</v>
      </c>
      <c r="C576" s="8">
        <f t="shared" si="50"/>
        <v>46113</v>
      </c>
      <c r="D576" s="7">
        <v>3272</v>
      </c>
      <c r="E576" s="7">
        <v>336</v>
      </c>
      <c r="F576" s="7">
        <v>4</v>
      </c>
      <c r="G576" s="7">
        <v>5</v>
      </c>
      <c r="H576" s="7">
        <v>81379</v>
      </c>
      <c r="I576" s="7" t="s">
        <v>104</v>
      </c>
      <c r="J576" s="7">
        <v>88782350</v>
      </c>
      <c r="K576" s="7" t="s">
        <v>1032</v>
      </c>
      <c r="L576" s="7" t="s">
        <v>1034</v>
      </c>
      <c r="M576" s="9">
        <v>229900</v>
      </c>
      <c r="N576" s="10">
        <f t="shared" si="51"/>
        <v>0.9</v>
      </c>
      <c r="O576" s="34">
        <f t="shared" si="52"/>
        <v>22989.999999999996</v>
      </c>
      <c r="P576" s="7" t="str">
        <f t="shared" si="53"/>
        <v>PERCENTAGE</v>
      </c>
    </row>
    <row r="577" spans="1:16" x14ac:dyDescent="0.25">
      <c r="A577" s="7" t="str">
        <f t="shared" si="48"/>
        <v>2023 ALL D90</v>
      </c>
      <c r="B577" s="8">
        <f t="shared" si="49"/>
        <v>46099</v>
      </c>
      <c r="C577" s="8">
        <f t="shared" si="50"/>
        <v>46113</v>
      </c>
      <c r="D577" s="7">
        <v>3272</v>
      </c>
      <c r="E577" s="7">
        <v>336</v>
      </c>
      <c r="F577" s="7">
        <v>4</v>
      </c>
      <c r="G577" s="7">
        <v>5</v>
      </c>
      <c r="H577" s="7">
        <v>81379</v>
      </c>
      <c r="I577" s="7" t="s">
        <v>104</v>
      </c>
      <c r="J577" s="7">
        <v>88782369</v>
      </c>
      <c r="K577" s="7" t="s">
        <v>1032</v>
      </c>
      <c r="L577" s="7" t="s">
        <v>1035</v>
      </c>
      <c r="M577" s="9">
        <v>229900</v>
      </c>
      <c r="N577" s="10">
        <f t="shared" si="51"/>
        <v>0.9</v>
      </c>
      <c r="O577" s="34">
        <f t="shared" si="52"/>
        <v>22989.999999999996</v>
      </c>
      <c r="P577" s="7" t="str">
        <f t="shared" si="53"/>
        <v>PERCENTAGE</v>
      </c>
    </row>
    <row r="578" spans="1:16" x14ac:dyDescent="0.25">
      <c r="A578" s="7" t="str">
        <f t="shared" si="48"/>
        <v>2023 ALL D90</v>
      </c>
      <c r="B578" s="8">
        <f t="shared" si="49"/>
        <v>46099</v>
      </c>
      <c r="C578" s="8">
        <f t="shared" si="50"/>
        <v>46113</v>
      </c>
      <c r="D578" s="7">
        <v>3272</v>
      </c>
      <c r="E578" s="7">
        <v>336</v>
      </c>
      <c r="F578" s="7">
        <v>4</v>
      </c>
      <c r="G578" s="7">
        <v>5</v>
      </c>
      <c r="H578" s="7">
        <v>81379</v>
      </c>
      <c r="I578" s="7" t="s">
        <v>104</v>
      </c>
      <c r="J578" s="7">
        <v>88782378</v>
      </c>
      <c r="K578" s="7" t="s">
        <v>1032</v>
      </c>
      <c r="L578" s="7" t="s">
        <v>1036</v>
      </c>
      <c r="M578" s="9">
        <v>229900</v>
      </c>
      <c r="N578" s="10">
        <f t="shared" si="51"/>
        <v>0.9</v>
      </c>
      <c r="O578" s="34">
        <f t="shared" si="52"/>
        <v>22989.999999999996</v>
      </c>
      <c r="P578" s="7" t="str">
        <f t="shared" si="53"/>
        <v>PERCENTAGE</v>
      </c>
    </row>
    <row r="579" spans="1:16" x14ac:dyDescent="0.25">
      <c r="A579" s="7" t="str">
        <f t="shared" ref="A579:A590" si="54">A578</f>
        <v>2023 ALL D90</v>
      </c>
      <c r="B579" s="8">
        <f t="shared" ref="B579:B590" si="55">B578</f>
        <v>46099</v>
      </c>
      <c r="C579" s="8">
        <f t="shared" ref="C579:C590" si="56">C578</f>
        <v>46113</v>
      </c>
      <c r="D579" s="7">
        <v>3272</v>
      </c>
      <c r="E579" s="7">
        <v>336</v>
      </c>
      <c r="F579" s="7">
        <v>4</v>
      </c>
      <c r="G579" s="7">
        <v>5</v>
      </c>
      <c r="H579" s="7">
        <v>81379</v>
      </c>
      <c r="I579" s="7" t="s">
        <v>104</v>
      </c>
      <c r="J579" s="7">
        <v>88782387</v>
      </c>
      <c r="K579" s="7" t="s">
        <v>1032</v>
      </c>
      <c r="L579" s="7" t="s">
        <v>1037</v>
      </c>
      <c r="M579" s="9">
        <v>229900</v>
      </c>
      <c r="N579" s="10">
        <f t="shared" ref="N579:N590" si="57">N578</f>
        <v>0.9</v>
      </c>
      <c r="O579" s="34">
        <f t="shared" ref="O579:O590" si="58">M579*(1-N579)</f>
        <v>22989.999999999996</v>
      </c>
      <c r="P579" s="7" t="str">
        <f t="shared" ref="P579:P590" si="59">P578</f>
        <v>PERCENTAGE</v>
      </c>
    </row>
    <row r="580" spans="1:16" x14ac:dyDescent="0.25">
      <c r="A580" s="7" t="str">
        <f t="shared" si="54"/>
        <v>2023 ALL D90</v>
      </c>
      <c r="B580" s="8">
        <f t="shared" si="55"/>
        <v>46099</v>
      </c>
      <c r="C580" s="8">
        <f t="shared" si="56"/>
        <v>46113</v>
      </c>
      <c r="D580" s="7">
        <v>3272</v>
      </c>
      <c r="E580" s="7">
        <v>336</v>
      </c>
      <c r="F580" s="7">
        <v>4</v>
      </c>
      <c r="G580" s="7">
        <v>5</v>
      </c>
      <c r="H580" s="7">
        <v>81379</v>
      </c>
      <c r="I580" s="7" t="s">
        <v>104</v>
      </c>
      <c r="J580" s="7">
        <v>88782396</v>
      </c>
      <c r="K580" s="7" t="s">
        <v>1032</v>
      </c>
      <c r="L580" s="7" t="s">
        <v>1038</v>
      </c>
      <c r="M580" s="9">
        <v>229900</v>
      </c>
      <c r="N580" s="10">
        <f t="shared" si="57"/>
        <v>0.9</v>
      </c>
      <c r="O580" s="34">
        <f t="shared" si="58"/>
        <v>22989.999999999996</v>
      </c>
      <c r="P580" s="7" t="str">
        <f t="shared" si="59"/>
        <v>PERCENTAGE</v>
      </c>
    </row>
    <row r="581" spans="1:16" x14ac:dyDescent="0.25">
      <c r="A581" s="7" t="str">
        <f t="shared" si="54"/>
        <v>2023 ALL D90</v>
      </c>
      <c r="B581" s="8">
        <f t="shared" si="55"/>
        <v>46099</v>
      </c>
      <c r="C581" s="8">
        <f t="shared" si="56"/>
        <v>46113</v>
      </c>
      <c r="D581" s="7">
        <v>3272</v>
      </c>
      <c r="E581" s="7">
        <v>336</v>
      </c>
      <c r="F581" s="7">
        <v>4</v>
      </c>
      <c r="G581" s="7">
        <v>5</v>
      </c>
      <c r="H581" s="7">
        <v>81379</v>
      </c>
      <c r="I581" s="7" t="s">
        <v>104</v>
      </c>
      <c r="J581" s="7">
        <v>88782403</v>
      </c>
      <c r="K581" s="7" t="s">
        <v>1032</v>
      </c>
      <c r="L581" s="7" t="s">
        <v>1039</v>
      </c>
      <c r="M581" s="9">
        <v>229900</v>
      </c>
      <c r="N581" s="10">
        <f t="shared" si="57"/>
        <v>0.9</v>
      </c>
      <c r="O581" s="34">
        <f t="shared" si="58"/>
        <v>22989.999999999996</v>
      </c>
      <c r="P581" s="7" t="str">
        <f t="shared" si="59"/>
        <v>PERCENTAGE</v>
      </c>
    </row>
    <row r="582" spans="1:16" x14ac:dyDescent="0.25">
      <c r="A582" s="7" t="str">
        <f t="shared" si="54"/>
        <v>2023 ALL D90</v>
      </c>
      <c r="B582" s="8">
        <f t="shared" si="55"/>
        <v>46099</v>
      </c>
      <c r="C582" s="8">
        <f t="shared" si="56"/>
        <v>46113</v>
      </c>
      <c r="D582" s="7">
        <v>3272</v>
      </c>
      <c r="E582" s="7">
        <v>336</v>
      </c>
      <c r="F582" s="7">
        <v>4</v>
      </c>
      <c r="G582" s="7">
        <v>5</v>
      </c>
      <c r="H582" s="7">
        <v>81379</v>
      </c>
      <c r="I582" s="7" t="s">
        <v>104</v>
      </c>
      <c r="J582" s="7">
        <v>88782412</v>
      </c>
      <c r="K582" s="7" t="s">
        <v>1032</v>
      </c>
      <c r="L582" s="7" t="s">
        <v>1040</v>
      </c>
      <c r="M582" s="9">
        <v>229900</v>
      </c>
      <c r="N582" s="10">
        <f t="shared" si="57"/>
        <v>0.9</v>
      </c>
      <c r="O582" s="34">
        <f t="shared" si="58"/>
        <v>22989.999999999996</v>
      </c>
      <c r="P582" s="7" t="str">
        <f t="shared" si="59"/>
        <v>PERCENTAGE</v>
      </c>
    </row>
    <row r="583" spans="1:16" x14ac:dyDescent="0.25">
      <c r="A583" s="7" t="str">
        <f t="shared" si="54"/>
        <v>2023 ALL D90</v>
      </c>
      <c r="B583" s="8">
        <f t="shared" si="55"/>
        <v>46099</v>
      </c>
      <c r="C583" s="8">
        <f t="shared" si="56"/>
        <v>46113</v>
      </c>
      <c r="D583" s="7">
        <v>3272</v>
      </c>
      <c r="E583" s="7">
        <v>336</v>
      </c>
      <c r="F583" s="7">
        <v>4</v>
      </c>
      <c r="G583" s="7">
        <v>5</v>
      </c>
      <c r="H583" s="7">
        <v>81379</v>
      </c>
      <c r="I583" s="7" t="s">
        <v>104</v>
      </c>
      <c r="J583" s="7">
        <v>81199182</v>
      </c>
      <c r="K583" s="7" t="s">
        <v>1041</v>
      </c>
      <c r="L583" s="7" t="s">
        <v>1042</v>
      </c>
      <c r="M583" s="9">
        <v>229900</v>
      </c>
      <c r="N583" s="10">
        <f t="shared" si="57"/>
        <v>0.9</v>
      </c>
      <c r="O583" s="34">
        <f t="shared" si="58"/>
        <v>22989.999999999996</v>
      </c>
      <c r="P583" s="7" t="str">
        <f t="shared" si="59"/>
        <v>PERCENTAGE</v>
      </c>
    </row>
    <row r="584" spans="1:16" x14ac:dyDescent="0.25">
      <c r="A584" s="7" t="str">
        <f t="shared" si="54"/>
        <v>2023 ALL D90</v>
      </c>
      <c r="B584" s="8">
        <f t="shared" si="55"/>
        <v>46099</v>
      </c>
      <c r="C584" s="8">
        <f t="shared" si="56"/>
        <v>46113</v>
      </c>
      <c r="D584" s="7">
        <v>3272</v>
      </c>
      <c r="E584" s="7">
        <v>336</v>
      </c>
      <c r="F584" s="7">
        <v>4</v>
      </c>
      <c r="G584" s="7">
        <v>5</v>
      </c>
      <c r="H584" s="7">
        <v>81379</v>
      </c>
      <c r="I584" s="7" t="s">
        <v>104</v>
      </c>
      <c r="J584" s="7">
        <v>81199191</v>
      </c>
      <c r="K584" s="7" t="s">
        <v>1041</v>
      </c>
      <c r="L584" s="7" t="s">
        <v>1043</v>
      </c>
      <c r="M584" s="9">
        <v>229900</v>
      </c>
      <c r="N584" s="10">
        <f t="shared" si="57"/>
        <v>0.9</v>
      </c>
      <c r="O584" s="34">
        <f t="shared" si="58"/>
        <v>22989.999999999996</v>
      </c>
      <c r="P584" s="7" t="str">
        <f t="shared" si="59"/>
        <v>PERCENTAGE</v>
      </c>
    </row>
    <row r="585" spans="1:16" x14ac:dyDescent="0.25">
      <c r="A585" s="7" t="str">
        <f t="shared" si="54"/>
        <v>2023 ALL D90</v>
      </c>
      <c r="B585" s="8">
        <f t="shared" si="55"/>
        <v>46099</v>
      </c>
      <c r="C585" s="8">
        <f t="shared" si="56"/>
        <v>46113</v>
      </c>
      <c r="D585" s="7">
        <v>3272</v>
      </c>
      <c r="E585" s="7">
        <v>336</v>
      </c>
      <c r="F585" s="7">
        <v>4</v>
      </c>
      <c r="G585" s="7">
        <v>5</v>
      </c>
      <c r="H585" s="7">
        <v>81379</v>
      </c>
      <c r="I585" s="7" t="s">
        <v>104</v>
      </c>
      <c r="J585" s="7">
        <v>81199208</v>
      </c>
      <c r="K585" s="7" t="s">
        <v>1041</v>
      </c>
      <c r="L585" s="7" t="s">
        <v>1044</v>
      </c>
      <c r="M585" s="9">
        <v>229900</v>
      </c>
      <c r="N585" s="10">
        <f t="shared" si="57"/>
        <v>0.9</v>
      </c>
      <c r="O585" s="34">
        <f t="shared" si="58"/>
        <v>22989.999999999996</v>
      </c>
      <c r="P585" s="7" t="str">
        <f t="shared" si="59"/>
        <v>PERCENTAGE</v>
      </c>
    </row>
    <row r="586" spans="1:16" x14ac:dyDescent="0.25">
      <c r="A586" s="7" t="str">
        <f t="shared" si="54"/>
        <v>2023 ALL D90</v>
      </c>
      <c r="B586" s="8">
        <f t="shared" si="55"/>
        <v>46099</v>
      </c>
      <c r="C586" s="8">
        <f t="shared" si="56"/>
        <v>46113</v>
      </c>
      <c r="D586" s="7">
        <v>3272</v>
      </c>
      <c r="E586" s="7">
        <v>336</v>
      </c>
      <c r="F586" s="7">
        <v>4</v>
      </c>
      <c r="G586" s="7">
        <v>5</v>
      </c>
      <c r="H586" s="7">
        <v>81379</v>
      </c>
      <c r="I586" s="7" t="s">
        <v>104</v>
      </c>
      <c r="J586" s="7">
        <v>81199217</v>
      </c>
      <c r="K586" s="7" t="s">
        <v>1041</v>
      </c>
      <c r="L586" s="7" t="s">
        <v>1045</v>
      </c>
      <c r="M586" s="9">
        <v>229900</v>
      </c>
      <c r="N586" s="10">
        <f t="shared" si="57"/>
        <v>0.9</v>
      </c>
      <c r="O586" s="34">
        <f t="shared" si="58"/>
        <v>22989.999999999996</v>
      </c>
      <c r="P586" s="7" t="str">
        <f t="shared" si="59"/>
        <v>PERCENTAGE</v>
      </c>
    </row>
    <row r="587" spans="1:16" x14ac:dyDescent="0.25">
      <c r="A587" s="7" t="str">
        <f t="shared" si="54"/>
        <v>2023 ALL D90</v>
      </c>
      <c r="B587" s="8">
        <f t="shared" si="55"/>
        <v>46099</v>
      </c>
      <c r="C587" s="8">
        <f t="shared" si="56"/>
        <v>46113</v>
      </c>
      <c r="D587" s="7">
        <v>3272</v>
      </c>
      <c r="E587" s="7">
        <v>336</v>
      </c>
      <c r="F587" s="7">
        <v>4</v>
      </c>
      <c r="G587" s="7">
        <v>5</v>
      </c>
      <c r="H587" s="7">
        <v>81379</v>
      </c>
      <c r="I587" s="7" t="s">
        <v>104</v>
      </c>
      <c r="J587" s="7">
        <v>81199226</v>
      </c>
      <c r="K587" s="7" t="s">
        <v>1041</v>
      </c>
      <c r="L587" s="7" t="s">
        <v>1046</v>
      </c>
      <c r="M587" s="9">
        <v>229900</v>
      </c>
      <c r="N587" s="10">
        <f t="shared" si="57"/>
        <v>0.9</v>
      </c>
      <c r="O587" s="34">
        <f t="shared" si="58"/>
        <v>22989.999999999996</v>
      </c>
      <c r="P587" s="7" t="str">
        <f t="shared" si="59"/>
        <v>PERCENTAGE</v>
      </c>
    </row>
    <row r="588" spans="1:16" x14ac:dyDescent="0.25">
      <c r="A588" s="7" t="str">
        <f t="shared" si="54"/>
        <v>2023 ALL D90</v>
      </c>
      <c r="B588" s="8">
        <f t="shared" si="55"/>
        <v>46099</v>
      </c>
      <c r="C588" s="8">
        <f t="shared" si="56"/>
        <v>46113</v>
      </c>
      <c r="D588" s="7">
        <v>3272</v>
      </c>
      <c r="E588" s="7">
        <v>336</v>
      </c>
      <c r="F588" s="7">
        <v>4</v>
      </c>
      <c r="G588" s="7">
        <v>6</v>
      </c>
      <c r="H588" s="7">
        <v>81221</v>
      </c>
      <c r="I588" s="7" t="s">
        <v>104</v>
      </c>
      <c r="J588" s="7">
        <v>73076454</v>
      </c>
      <c r="K588" s="7" t="s">
        <v>685</v>
      </c>
      <c r="L588" s="7" t="s">
        <v>686</v>
      </c>
      <c r="M588" s="9">
        <v>139900</v>
      </c>
      <c r="N588" s="10">
        <f t="shared" si="57"/>
        <v>0.9</v>
      </c>
      <c r="O588" s="34">
        <f t="shared" si="58"/>
        <v>13989.999999999996</v>
      </c>
      <c r="P588" s="7" t="str">
        <f t="shared" si="59"/>
        <v>PERCENTAGE</v>
      </c>
    </row>
    <row r="589" spans="1:16" x14ac:dyDescent="0.25">
      <c r="A589" s="7" t="str">
        <f t="shared" si="54"/>
        <v>2023 ALL D90</v>
      </c>
      <c r="B589" s="8">
        <f t="shared" si="55"/>
        <v>46099</v>
      </c>
      <c r="C589" s="8">
        <f t="shared" si="56"/>
        <v>46113</v>
      </c>
      <c r="D589" s="7">
        <v>3272</v>
      </c>
      <c r="E589" s="7">
        <v>336</v>
      </c>
      <c r="F589" s="7">
        <v>4</v>
      </c>
      <c r="G589" s="7">
        <v>6</v>
      </c>
      <c r="H589" s="7">
        <v>81574</v>
      </c>
      <c r="I589" s="7" t="s">
        <v>104</v>
      </c>
      <c r="J589" s="7">
        <v>76622036</v>
      </c>
      <c r="K589" s="7" t="s">
        <v>1047</v>
      </c>
      <c r="L589" s="7" t="s">
        <v>1048</v>
      </c>
      <c r="M589" s="9">
        <v>139900</v>
      </c>
      <c r="N589" s="10">
        <f t="shared" si="57"/>
        <v>0.9</v>
      </c>
      <c r="O589" s="34">
        <f t="shared" si="58"/>
        <v>13989.999999999996</v>
      </c>
      <c r="P589" s="7" t="str">
        <f t="shared" si="59"/>
        <v>PERCENTAGE</v>
      </c>
    </row>
    <row r="590" spans="1:16" x14ac:dyDescent="0.25">
      <c r="A590" s="7" t="str">
        <f t="shared" si="54"/>
        <v>2023 ALL D90</v>
      </c>
      <c r="B590" s="8">
        <f t="shared" si="55"/>
        <v>46099</v>
      </c>
      <c r="C590" s="8">
        <f t="shared" si="56"/>
        <v>46113</v>
      </c>
      <c r="D590" s="7">
        <v>3272</v>
      </c>
      <c r="E590" s="7">
        <v>336</v>
      </c>
      <c r="F590" s="7">
        <v>4</v>
      </c>
      <c r="G590" s="7">
        <v>6</v>
      </c>
      <c r="H590" s="7">
        <v>81574</v>
      </c>
      <c r="I590" s="7" t="s">
        <v>104</v>
      </c>
      <c r="J590" s="7">
        <v>79299542</v>
      </c>
      <c r="K590" s="7" t="s">
        <v>687</v>
      </c>
      <c r="L590" s="7" t="s">
        <v>688</v>
      </c>
      <c r="M590" s="9">
        <v>139900</v>
      </c>
      <c r="N590" s="10">
        <f t="shared" si="57"/>
        <v>0.9</v>
      </c>
      <c r="O590" s="34">
        <f t="shared" si="58"/>
        <v>13989.999999999996</v>
      </c>
      <c r="P590" s="7" t="str">
        <f t="shared" si="59"/>
        <v>PERCENTAGE</v>
      </c>
    </row>
    <row r="591" spans="1:16" customFormat="1" x14ac:dyDescent="0.25">
      <c r="A591" s="7" t="str">
        <f t="shared" ref="A591:A622" si="60">A590</f>
        <v>2023 ALL D90</v>
      </c>
      <c r="B591" s="8">
        <f>'2019 ALL D95'!B2</f>
        <v>46099</v>
      </c>
      <c r="C591" s="8">
        <f>'2019 ALL D95'!C2</f>
        <v>46113</v>
      </c>
      <c r="D591" s="7">
        <v>3272</v>
      </c>
      <c r="E591" s="7">
        <v>336</v>
      </c>
      <c r="F591" s="7">
        <v>4</v>
      </c>
      <c r="G591" s="7">
        <v>1</v>
      </c>
      <c r="H591" s="7">
        <v>81379</v>
      </c>
      <c r="I591" s="7" t="s">
        <v>104</v>
      </c>
      <c r="J591" s="7">
        <v>83493145</v>
      </c>
      <c r="K591" s="7" t="s">
        <v>689</v>
      </c>
      <c r="L591" s="7" t="s">
        <v>690</v>
      </c>
      <c r="M591" s="9">
        <v>99900</v>
      </c>
      <c r="N591" s="10">
        <v>0.9</v>
      </c>
      <c r="O591" s="9">
        <f t="shared" ref="O591:O622" si="61">M591*(1-N591)</f>
        <v>9989.9999999999982</v>
      </c>
      <c r="P591" s="7" t="s">
        <v>16</v>
      </c>
    </row>
    <row r="592" spans="1:16" customFormat="1" x14ac:dyDescent="0.25">
      <c r="A592" s="33" t="str">
        <f t="shared" si="60"/>
        <v>2023 ALL D90</v>
      </c>
      <c r="B592" s="8">
        <f t="shared" ref="B592:B623" si="62">B591</f>
        <v>46099</v>
      </c>
      <c r="C592" s="8">
        <f t="shared" ref="C592:C623" si="63">C591</f>
        <v>46113</v>
      </c>
      <c r="D592" s="7">
        <v>3272</v>
      </c>
      <c r="E592" s="7">
        <v>336</v>
      </c>
      <c r="F592" s="7">
        <v>4</v>
      </c>
      <c r="G592" s="7">
        <v>1</v>
      </c>
      <c r="H592" s="7">
        <v>81379</v>
      </c>
      <c r="I592" s="7" t="s">
        <v>104</v>
      </c>
      <c r="J592" s="7">
        <v>83493154</v>
      </c>
      <c r="K592" s="7" t="s">
        <v>689</v>
      </c>
      <c r="L592" s="7" t="s">
        <v>691</v>
      </c>
      <c r="M592" s="9">
        <v>99900</v>
      </c>
      <c r="N592" s="10">
        <v>0.9</v>
      </c>
      <c r="O592" s="9">
        <f t="shared" si="61"/>
        <v>9989.9999999999982</v>
      </c>
      <c r="P592" s="7" t="s">
        <v>16</v>
      </c>
    </row>
    <row r="593" spans="1:16" customFormat="1" x14ac:dyDescent="0.25">
      <c r="A593" s="33" t="str">
        <f t="shared" si="60"/>
        <v>2023 ALL D90</v>
      </c>
      <c r="B593" s="8">
        <f t="shared" si="62"/>
        <v>46099</v>
      </c>
      <c r="C593" s="8">
        <f t="shared" si="63"/>
        <v>46113</v>
      </c>
      <c r="D593" s="7">
        <v>3272</v>
      </c>
      <c r="E593" s="7">
        <v>336</v>
      </c>
      <c r="F593" s="7">
        <v>4</v>
      </c>
      <c r="G593" s="7">
        <v>1</v>
      </c>
      <c r="H593" s="7">
        <v>81379</v>
      </c>
      <c r="I593" s="7" t="s">
        <v>104</v>
      </c>
      <c r="J593" s="7">
        <v>83493163</v>
      </c>
      <c r="K593" s="7" t="s">
        <v>689</v>
      </c>
      <c r="L593" s="7" t="s">
        <v>692</v>
      </c>
      <c r="M593" s="9">
        <v>99900</v>
      </c>
      <c r="N593" s="10">
        <v>0.9</v>
      </c>
      <c r="O593" s="9">
        <f t="shared" si="61"/>
        <v>9989.9999999999982</v>
      </c>
      <c r="P593" s="7" t="s">
        <v>16</v>
      </c>
    </row>
    <row r="594" spans="1:16" customFormat="1" x14ac:dyDescent="0.25">
      <c r="A594" s="33" t="str">
        <f t="shared" si="60"/>
        <v>2023 ALL D90</v>
      </c>
      <c r="B594" s="8">
        <f t="shared" si="62"/>
        <v>46099</v>
      </c>
      <c r="C594" s="8">
        <f t="shared" si="63"/>
        <v>46113</v>
      </c>
      <c r="D594" s="7">
        <v>3272</v>
      </c>
      <c r="E594" s="7">
        <v>336</v>
      </c>
      <c r="F594" s="7">
        <v>4</v>
      </c>
      <c r="G594" s="7">
        <v>1</v>
      </c>
      <c r="H594" s="7">
        <v>81379</v>
      </c>
      <c r="I594" s="7" t="s">
        <v>104</v>
      </c>
      <c r="J594" s="7">
        <v>83493172</v>
      </c>
      <c r="K594" s="7" t="s">
        <v>689</v>
      </c>
      <c r="L594" s="7" t="s">
        <v>693</v>
      </c>
      <c r="M594" s="9">
        <v>99900</v>
      </c>
      <c r="N594" s="10">
        <v>0.9</v>
      </c>
      <c r="O594" s="9">
        <f t="shared" si="61"/>
        <v>9989.9999999999982</v>
      </c>
      <c r="P594" s="7" t="s">
        <v>16</v>
      </c>
    </row>
    <row r="595" spans="1:16" customFormat="1" x14ac:dyDescent="0.25">
      <c r="A595" s="33" t="str">
        <f t="shared" si="60"/>
        <v>2023 ALL D90</v>
      </c>
      <c r="B595" s="8">
        <f t="shared" si="62"/>
        <v>46099</v>
      </c>
      <c r="C595" s="8">
        <f t="shared" si="63"/>
        <v>46113</v>
      </c>
      <c r="D595" s="7">
        <v>3272</v>
      </c>
      <c r="E595" s="7">
        <v>336</v>
      </c>
      <c r="F595" s="7">
        <v>4</v>
      </c>
      <c r="G595" s="7">
        <v>1</v>
      </c>
      <c r="H595" s="7">
        <v>81379</v>
      </c>
      <c r="I595" s="7" t="s">
        <v>104</v>
      </c>
      <c r="J595" s="7">
        <v>83493181</v>
      </c>
      <c r="K595" s="7" t="s">
        <v>689</v>
      </c>
      <c r="L595" s="7" t="s">
        <v>694</v>
      </c>
      <c r="M595" s="9">
        <v>99900</v>
      </c>
      <c r="N595" s="10">
        <v>0.9</v>
      </c>
      <c r="O595" s="9">
        <f t="shared" si="61"/>
        <v>9989.9999999999982</v>
      </c>
      <c r="P595" s="7" t="s">
        <v>16</v>
      </c>
    </row>
    <row r="596" spans="1:16" customFormat="1" x14ac:dyDescent="0.25">
      <c r="A596" s="33" t="str">
        <f t="shared" si="60"/>
        <v>2023 ALL D90</v>
      </c>
      <c r="B596" s="8">
        <f t="shared" si="62"/>
        <v>46099</v>
      </c>
      <c r="C596" s="8">
        <f t="shared" si="63"/>
        <v>46113</v>
      </c>
      <c r="D596" s="7">
        <v>3272</v>
      </c>
      <c r="E596" s="7">
        <v>336</v>
      </c>
      <c r="F596" s="7">
        <v>4</v>
      </c>
      <c r="G596" s="7">
        <v>1</v>
      </c>
      <c r="H596" s="7">
        <v>81379</v>
      </c>
      <c r="I596" s="7" t="s">
        <v>104</v>
      </c>
      <c r="J596" s="7">
        <v>83493190</v>
      </c>
      <c r="K596" s="7" t="s">
        <v>689</v>
      </c>
      <c r="L596" s="7" t="s">
        <v>695</v>
      </c>
      <c r="M596" s="9">
        <v>99900</v>
      </c>
      <c r="N596" s="10">
        <v>0.9</v>
      </c>
      <c r="O596" s="9">
        <f t="shared" si="61"/>
        <v>9989.9999999999982</v>
      </c>
      <c r="P596" s="7" t="s">
        <v>16</v>
      </c>
    </row>
    <row r="597" spans="1:16" customFormat="1" x14ac:dyDescent="0.25">
      <c r="A597" s="33" t="str">
        <f t="shared" si="60"/>
        <v>2023 ALL D90</v>
      </c>
      <c r="B597" s="8">
        <f t="shared" si="62"/>
        <v>46099</v>
      </c>
      <c r="C597" s="8">
        <f t="shared" si="63"/>
        <v>46113</v>
      </c>
      <c r="D597" s="7">
        <v>3272</v>
      </c>
      <c r="E597" s="7">
        <v>336</v>
      </c>
      <c r="F597" s="7">
        <v>4</v>
      </c>
      <c r="G597" s="7">
        <v>1</v>
      </c>
      <c r="H597" s="7">
        <v>81379</v>
      </c>
      <c r="I597" s="7" t="s">
        <v>104</v>
      </c>
      <c r="J597" s="7">
        <v>83493207</v>
      </c>
      <c r="K597" s="7" t="s">
        <v>689</v>
      </c>
      <c r="L597" s="7" t="s">
        <v>696</v>
      </c>
      <c r="M597" s="9">
        <v>99900</v>
      </c>
      <c r="N597" s="10">
        <v>0.9</v>
      </c>
      <c r="O597" s="9">
        <f t="shared" si="61"/>
        <v>9989.9999999999982</v>
      </c>
      <c r="P597" s="7" t="s">
        <v>16</v>
      </c>
    </row>
    <row r="598" spans="1:16" customFormat="1" x14ac:dyDescent="0.25">
      <c r="A598" s="33" t="str">
        <f t="shared" si="60"/>
        <v>2023 ALL D90</v>
      </c>
      <c r="B598" s="8">
        <f t="shared" si="62"/>
        <v>46099</v>
      </c>
      <c r="C598" s="8">
        <f t="shared" si="63"/>
        <v>46113</v>
      </c>
      <c r="D598" s="7">
        <v>3272</v>
      </c>
      <c r="E598" s="7">
        <v>336</v>
      </c>
      <c r="F598" s="7">
        <v>4</v>
      </c>
      <c r="G598" s="7">
        <v>1</v>
      </c>
      <c r="H598" s="7">
        <v>81379</v>
      </c>
      <c r="I598" s="7" t="s">
        <v>104</v>
      </c>
      <c r="J598" s="7">
        <v>83493216</v>
      </c>
      <c r="K598" s="7" t="s">
        <v>689</v>
      </c>
      <c r="L598" s="7" t="s">
        <v>697</v>
      </c>
      <c r="M598" s="9">
        <v>99900</v>
      </c>
      <c r="N598" s="10">
        <v>0.9</v>
      </c>
      <c r="O598" s="9">
        <f t="shared" si="61"/>
        <v>9989.9999999999982</v>
      </c>
      <c r="P598" s="7" t="s">
        <v>16</v>
      </c>
    </row>
    <row r="599" spans="1:16" customFormat="1" x14ac:dyDescent="0.25">
      <c r="A599" s="33" t="str">
        <f t="shared" si="60"/>
        <v>2023 ALL D90</v>
      </c>
      <c r="B599" s="8">
        <f t="shared" si="62"/>
        <v>46099</v>
      </c>
      <c r="C599" s="8">
        <f t="shared" si="63"/>
        <v>46113</v>
      </c>
      <c r="D599" s="7">
        <v>3272</v>
      </c>
      <c r="E599" s="7">
        <v>336</v>
      </c>
      <c r="F599" s="7">
        <v>4</v>
      </c>
      <c r="G599" s="7">
        <v>1</v>
      </c>
      <c r="H599" s="7">
        <v>81379</v>
      </c>
      <c r="I599" s="7" t="s">
        <v>104</v>
      </c>
      <c r="J599" s="7">
        <v>83493225</v>
      </c>
      <c r="K599" s="7" t="s">
        <v>698</v>
      </c>
      <c r="L599" s="7" t="s">
        <v>699</v>
      </c>
      <c r="M599" s="9">
        <v>99900</v>
      </c>
      <c r="N599" s="10">
        <v>0.9</v>
      </c>
      <c r="O599" s="9">
        <f t="shared" si="61"/>
        <v>9989.9999999999982</v>
      </c>
      <c r="P599" s="7" t="s">
        <v>16</v>
      </c>
    </row>
    <row r="600" spans="1:16" customFormat="1" x14ac:dyDescent="0.25">
      <c r="A600" s="33" t="str">
        <f t="shared" si="60"/>
        <v>2023 ALL D90</v>
      </c>
      <c r="B600" s="8">
        <f t="shared" si="62"/>
        <v>46099</v>
      </c>
      <c r="C600" s="8">
        <f t="shared" si="63"/>
        <v>46113</v>
      </c>
      <c r="D600" s="7">
        <v>3272</v>
      </c>
      <c r="E600" s="7">
        <v>336</v>
      </c>
      <c r="F600" s="7">
        <v>4</v>
      </c>
      <c r="G600" s="7">
        <v>1</v>
      </c>
      <c r="H600" s="7">
        <v>81379</v>
      </c>
      <c r="I600" s="7" t="s">
        <v>104</v>
      </c>
      <c r="J600" s="7">
        <v>83493234</v>
      </c>
      <c r="K600" s="7" t="s">
        <v>698</v>
      </c>
      <c r="L600" s="7" t="s">
        <v>700</v>
      </c>
      <c r="M600" s="9">
        <v>99900</v>
      </c>
      <c r="N600" s="10">
        <v>0.9</v>
      </c>
      <c r="O600" s="9">
        <f t="shared" si="61"/>
        <v>9989.9999999999982</v>
      </c>
      <c r="P600" s="7" t="s">
        <v>16</v>
      </c>
    </row>
    <row r="601" spans="1:16" customFormat="1" x14ac:dyDescent="0.25">
      <c r="A601" s="33" t="str">
        <f t="shared" si="60"/>
        <v>2023 ALL D90</v>
      </c>
      <c r="B601" s="8">
        <f t="shared" si="62"/>
        <v>46099</v>
      </c>
      <c r="C601" s="8">
        <f t="shared" si="63"/>
        <v>46113</v>
      </c>
      <c r="D601" s="7">
        <v>3272</v>
      </c>
      <c r="E601" s="7">
        <v>336</v>
      </c>
      <c r="F601" s="7">
        <v>4</v>
      </c>
      <c r="G601" s="7">
        <v>1</v>
      </c>
      <c r="H601" s="7">
        <v>81379</v>
      </c>
      <c r="I601" s="7" t="s">
        <v>104</v>
      </c>
      <c r="J601" s="7">
        <v>83493243</v>
      </c>
      <c r="K601" s="7" t="s">
        <v>698</v>
      </c>
      <c r="L601" s="7" t="s">
        <v>701</v>
      </c>
      <c r="M601" s="9">
        <v>99900</v>
      </c>
      <c r="N601" s="10">
        <v>0.9</v>
      </c>
      <c r="O601" s="9">
        <f t="shared" si="61"/>
        <v>9989.9999999999982</v>
      </c>
      <c r="P601" s="7" t="s">
        <v>16</v>
      </c>
    </row>
    <row r="602" spans="1:16" customFormat="1" x14ac:dyDescent="0.25">
      <c r="A602" s="33" t="str">
        <f t="shared" si="60"/>
        <v>2023 ALL D90</v>
      </c>
      <c r="B602" s="8">
        <f t="shared" si="62"/>
        <v>46099</v>
      </c>
      <c r="C602" s="8">
        <f t="shared" si="63"/>
        <v>46113</v>
      </c>
      <c r="D602" s="7">
        <v>3272</v>
      </c>
      <c r="E602" s="7">
        <v>336</v>
      </c>
      <c r="F602" s="7">
        <v>4</v>
      </c>
      <c r="G602" s="7">
        <v>1</v>
      </c>
      <c r="H602" s="7">
        <v>81379</v>
      </c>
      <c r="I602" s="7" t="s">
        <v>104</v>
      </c>
      <c r="J602" s="7">
        <v>83493252</v>
      </c>
      <c r="K602" s="7" t="s">
        <v>698</v>
      </c>
      <c r="L602" s="7" t="s">
        <v>702</v>
      </c>
      <c r="M602" s="9">
        <v>99900</v>
      </c>
      <c r="N602" s="10">
        <v>0.9</v>
      </c>
      <c r="O602" s="9">
        <f t="shared" si="61"/>
        <v>9989.9999999999982</v>
      </c>
      <c r="P602" s="7" t="s">
        <v>16</v>
      </c>
    </row>
    <row r="603" spans="1:16" customFormat="1" x14ac:dyDescent="0.25">
      <c r="A603" s="33" t="str">
        <f t="shared" si="60"/>
        <v>2023 ALL D90</v>
      </c>
      <c r="B603" s="8">
        <f t="shared" si="62"/>
        <v>46099</v>
      </c>
      <c r="C603" s="8">
        <f t="shared" si="63"/>
        <v>46113</v>
      </c>
      <c r="D603" s="7">
        <v>3272</v>
      </c>
      <c r="E603" s="7">
        <v>336</v>
      </c>
      <c r="F603" s="7">
        <v>4</v>
      </c>
      <c r="G603" s="7">
        <v>1</v>
      </c>
      <c r="H603" s="7">
        <v>81379</v>
      </c>
      <c r="I603" s="7" t="s">
        <v>104</v>
      </c>
      <c r="J603" s="7">
        <v>83493261</v>
      </c>
      <c r="K603" s="7" t="s">
        <v>698</v>
      </c>
      <c r="L603" s="7" t="s">
        <v>703</v>
      </c>
      <c r="M603" s="9">
        <v>99900</v>
      </c>
      <c r="N603" s="10">
        <v>0.9</v>
      </c>
      <c r="O603" s="9">
        <f t="shared" si="61"/>
        <v>9989.9999999999982</v>
      </c>
      <c r="P603" s="7" t="s">
        <v>16</v>
      </c>
    </row>
    <row r="604" spans="1:16" customFormat="1" x14ac:dyDescent="0.25">
      <c r="A604" s="33" t="str">
        <f t="shared" si="60"/>
        <v>2023 ALL D90</v>
      </c>
      <c r="B604" s="8">
        <f t="shared" si="62"/>
        <v>46099</v>
      </c>
      <c r="C604" s="8">
        <f t="shared" si="63"/>
        <v>46113</v>
      </c>
      <c r="D604" s="7">
        <v>3272</v>
      </c>
      <c r="E604" s="7">
        <v>336</v>
      </c>
      <c r="F604" s="7">
        <v>4</v>
      </c>
      <c r="G604" s="7">
        <v>1</v>
      </c>
      <c r="H604" s="7">
        <v>81379</v>
      </c>
      <c r="I604" s="7" t="s">
        <v>104</v>
      </c>
      <c r="J604" s="7">
        <v>83493270</v>
      </c>
      <c r="K604" s="7" t="s">
        <v>698</v>
      </c>
      <c r="L604" s="7" t="s">
        <v>704</v>
      </c>
      <c r="M604" s="9">
        <v>99900</v>
      </c>
      <c r="N604" s="10">
        <v>0.9</v>
      </c>
      <c r="O604" s="9">
        <f t="shared" si="61"/>
        <v>9989.9999999999982</v>
      </c>
      <c r="P604" s="7" t="s">
        <v>16</v>
      </c>
    </row>
    <row r="605" spans="1:16" customFormat="1" x14ac:dyDescent="0.25">
      <c r="A605" s="33" t="str">
        <f t="shared" si="60"/>
        <v>2023 ALL D90</v>
      </c>
      <c r="B605" s="8">
        <f t="shared" si="62"/>
        <v>46099</v>
      </c>
      <c r="C605" s="8">
        <f t="shared" si="63"/>
        <v>46113</v>
      </c>
      <c r="D605" s="7">
        <v>3272</v>
      </c>
      <c r="E605" s="7">
        <v>336</v>
      </c>
      <c r="F605" s="7">
        <v>4</v>
      </c>
      <c r="G605" s="7">
        <v>1</v>
      </c>
      <c r="H605" s="7">
        <v>81379</v>
      </c>
      <c r="I605" s="7" t="s">
        <v>104</v>
      </c>
      <c r="J605" s="7">
        <v>83493289</v>
      </c>
      <c r="K605" s="7" t="s">
        <v>698</v>
      </c>
      <c r="L605" s="7" t="s">
        <v>705</v>
      </c>
      <c r="M605" s="9">
        <v>99900</v>
      </c>
      <c r="N605" s="10">
        <v>0.9</v>
      </c>
      <c r="O605" s="9">
        <f t="shared" si="61"/>
        <v>9989.9999999999982</v>
      </c>
      <c r="P605" s="7" t="s">
        <v>16</v>
      </c>
    </row>
    <row r="606" spans="1:16" customFormat="1" x14ac:dyDescent="0.25">
      <c r="A606" s="33" t="str">
        <f t="shared" si="60"/>
        <v>2023 ALL D90</v>
      </c>
      <c r="B606" s="8">
        <f t="shared" si="62"/>
        <v>46099</v>
      </c>
      <c r="C606" s="8">
        <f t="shared" si="63"/>
        <v>46113</v>
      </c>
      <c r="D606" s="7">
        <v>3272</v>
      </c>
      <c r="E606" s="7">
        <v>336</v>
      </c>
      <c r="F606" s="7">
        <v>4</v>
      </c>
      <c r="G606" s="7">
        <v>1</v>
      </c>
      <c r="H606" s="7">
        <v>81379</v>
      </c>
      <c r="I606" s="7" t="s">
        <v>104</v>
      </c>
      <c r="J606" s="7">
        <v>83493298</v>
      </c>
      <c r="K606" s="7" t="s">
        <v>698</v>
      </c>
      <c r="L606" s="7" t="s">
        <v>706</v>
      </c>
      <c r="M606" s="9">
        <v>99900</v>
      </c>
      <c r="N606" s="10">
        <v>0.9</v>
      </c>
      <c r="O606" s="9">
        <f t="shared" si="61"/>
        <v>9989.9999999999982</v>
      </c>
      <c r="P606" s="7" t="s">
        <v>16</v>
      </c>
    </row>
    <row r="607" spans="1:16" customFormat="1" x14ac:dyDescent="0.25">
      <c r="A607" s="33" t="str">
        <f t="shared" si="60"/>
        <v>2023 ALL D90</v>
      </c>
      <c r="B607" s="8">
        <f t="shared" si="62"/>
        <v>46099</v>
      </c>
      <c r="C607" s="8">
        <f t="shared" si="63"/>
        <v>46113</v>
      </c>
      <c r="D607" s="7">
        <v>3272</v>
      </c>
      <c r="E607" s="7">
        <v>336</v>
      </c>
      <c r="F607" s="7">
        <v>4</v>
      </c>
      <c r="G607" s="7">
        <v>1</v>
      </c>
      <c r="H607" s="7">
        <v>81379</v>
      </c>
      <c r="I607" s="7" t="s">
        <v>104</v>
      </c>
      <c r="J607" s="7">
        <v>83493305</v>
      </c>
      <c r="K607" s="7" t="s">
        <v>707</v>
      </c>
      <c r="L607" s="7" t="s">
        <v>708</v>
      </c>
      <c r="M607" s="9">
        <v>99900</v>
      </c>
      <c r="N607" s="10">
        <v>0.9</v>
      </c>
      <c r="O607" s="9">
        <f t="shared" si="61"/>
        <v>9989.9999999999982</v>
      </c>
      <c r="P607" s="7" t="s">
        <v>16</v>
      </c>
    </row>
    <row r="608" spans="1:16" customFormat="1" x14ac:dyDescent="0.25">
      <c r="A608" s="33" t="str">
        <f t="shared" si="60"/>
        <v>2023 ALL D90</v>
      </c>
      <c r="B608" s="8">
        <f t="shared" si="62"/>
        <v>46099</v>
      </c>
      <c r="C608" s="8">
        <f t="shared" si="63"/>
        <v>46113</v>
      </c>
      <c r="D608" s="7">
        <v>3272</v>
      </c>
      <c r="E608" s="7">
        <v>336</v>
      </c>
      <c r="F608" s="7">
        <v>4</v>
      </c>
      <c r="G608" s="7">
        <v>1</v>
      </c>
      <c r="H608" s="7">
        <v>81379</v>
      </c>
      <c r="I608" s="7" t="s">
        <v>104</v>
      </c>
      <c r="J608" s="7">
        <v>83493314</v>
      </c>
      <c r="K608" s="7" t="s">
        <v>707</v>
      </c>
      <c r="L608" s="7" t="s">
        <v>709</v>
      </c>
      <c r="M608" s="9">
        <v>99900</v>
      </c>
      <c r="N608" s="10">
        <v>0.9</v>
      </c>
      <c r="O608" s="9">
        <f t="shared" si="61"/>
        <v>9989.9999999999982</v>
      </c>
      <c r="P608" s="7" t="s">
        <v>16</v>
      </c>
    </row>
    <row r="609" spans="1:16" customFormat="1" x14ac:dyDescent="0.25">
      <c r="A609" s="33" t="str">
        <f t="shared" si="60"/>
        <v>2023 ALL D90</v>
      </c>
      <c r="B609" s="8">
        <f t="shared" si="62"/>
        <v>46099</v>
      </c>
      <c r="C609" s="8">
        <f t="shared" si="63"/>
        <v>46113</v>
      </c>
      <c r="D609" s="7">
        <v>3272</v>
      </c>
      <c r="E609" s="7">
        <v>336</v>
      </c>
      <c r="F609" s="7">
        <v>4</v>
      </c>
      <c r="G609" s="7">
        <v>1</v>
      </c>
      <c r="H609" s="7">
        <v>81379</v>
      </c>
      <c r="I609" s="7" t="s">
        <v>104</v>
      </c>
      <c r="J609" s="7">
        <v>83493323</v>
      </c>
      <c r="K609" s="7" t="s">
        <v>707</v>
      </c>
      <c r="L609" s="7" t="s">
        <v>710</v>
      </c>
      <c r="M609" s="9">
        <v>99900</v>
      </c>
      <c r="N609" s="10">
        <v>0.9</v>
      </c>
      <c r="O609" s="9">
        <f t="shared" si="61"/>
        <v>9989.9999999999982</v>
      </c>
      <c r="P609" s="7" t="s">
        <v>16</v>
      </c>
    </row>
    <row r="610" spans="1:16" customFormat="1" x14ac:dyDescent="0.25">
      <c r="A610" s="33" t="str">
        <f t="shared" si="60"/>
        <v>2023 ALL D90</v>
      </c>
      <c r="B610" s="8">
        <f t="shared" si="62"/>
        <v>46099</v>
      </c>
      <c r="C610" s="8">
        <f t="shared" si="63"/>
        <v>46113</v>
      </c>
      <c r="D610" s="7">
        <v>3272</v>
      </c>
      <c r="E610" s="7">
        <v>336</v>
      </c>
      <c r="F610" s="7">
        <v>4</v>
      </c>
      <c r="G610" s="7">
        <v>1</v>
      </c>
      <c r="H610" s="7">
        <v>81379</v>
      </c>
      <c r="I610" s="7" t="s">
        <v>104</v>
      </c>
      <c r="J610" s="7">
        <v>83493332</v>
      </c>
      <c r="K610" s="7" t="s">
        <v>707</v>
      </c>
      <c r="L610" s="7" t="s">
        <v>711</v>
      </c>
      <c r="M610" s="9">
        <v>99900</v>
      </c>
      <c r="N610" s="10">
        <v>0.9</v>
      </c>
      <c r="O610" s="9">
        <f t="shared" si="61"/>
        <v>9989.9999999999982</v>
      </c>
      <c r="P610" s="7" t="s">
        <v>16</v>
      </c>
    </row>
    <row r="611" spans="1:16" customFormat="1" x14ac:dyDescent="0.25">
      <c r="A611" s="33" t="str">
        <f t="shared" si="60"/>
        <v>2023 ALL D90</v>
      </c>
      <c r="B611" s="8">
        <f t="shared" si="62"/>
        <v>46099</v>
      </c>
      <c r="C611" s="8">
        <f t="shared" si="63"/>
        <v>46113</v>
      </c>
      <c r="D611" s="7">
        <v>3272</v>
      </c>
      <c r="E611" s="7">
        <v>336</v>
      </c>
      <c r="F611" s="7">
        <v>4</v>
      </c>
      <c r="G611" s="7">
        <v>1</v>
      </c>
      <c r="H611" s="7">
        <v>81379</v>
      </c>
      <c r="I611" s="7" t="s">
        <v>104</v>
      </c>
      <c r="J611" s="7">
        <v>83493341</v>
      </c>
      <c r="K611" s="7" t="s">
        <v>707</v>
      </c>
      <c r="L611" s="7" t="s">
        <v>712</v>
      </c>
      <c r="M611" s="9">
        <v>99900</v>
      </c>
      <c r="N611" s="10">
        <v>0.9</v>
      </c>
      <c r="O611" s="9">
        <f t="shared" si="61"/>
        <v>9989.9999999999982</v>
      </c>
      <c r="P611" s="7" t="s">
        <v>16</v>
      </c>
    </row>
    <row r="612" spans="1:16" customFormat="1" x14ac:dyDescent="0.25">
      <c r="A612" s="33" t="str">
        <f t="shared" si="60"/>
        <v>2023 ALL D90</v>
      </c>
      <c r="B612" s="8">
        <f t="shared" si="62"/>
        <v>46099</v>
      </c>
      <c r="C612" s="8">
        <f t="shared" si="63"/>
        <v>46113</v>
      </c>
      <c r="D612" s="7">
        <v>3272</v>
      </c>
      <c r="E612" s="7">
        <v>336</v>
      </c>
      <c r="F612" s="7">
        <v>4</v>
      </c>
      <c r="G612" s="7">
        <v>1</v>
      </c>
      <c r="H612" s="7">
        <v>81379</v>
      </c>
      <c r="I612" s="7" t="s">
        <v>104</v>
      </c>
      <c r="J612" s="7">
        <v>83493350</v>
      </c>
      <c r="K612" s="7" t="s">
        <v>707</v>
      </c>
      <c r="L612" s="7" t="s">
        <v>713</v>
      </c>
      <c r="M612" s="9">
        <v>99900</v>
      </c>
      <c r="N612" s="10">
        <v>0.9</v>
      </c>
      <c r="O612" s="9">
        <f t="shared" si="61"/>
        <v>9989.9999999999982</v>
      </c>
      <c r="P612" s="7" t="s">
        <v>16</v>
      </c>
    </row>
    <row r="613" spans="1:16" customFormat="1" x14ac:dyDescent="0.25">
      <c r="A613" s="33" t="str">
        <f t="shared" si="60"/>
        <v>2023 ALL D90</v>
      </c>
      <c r="B613" s="8">
        <f t="shared" si="62"/>
        <v>46099</v>
      </c>
      <c r="C613" s="8">
        <f t="shared" si="63"/>
        <v>46113</v>
      </c>
      <c r="D613" s="7">
        <v>3272</v>
      </c>
      <c r="E613" s="7">
        <v>336</v>
      </c>
      <c r="F613" s="7">
        <v>4</v>
      </c>
      <c r="G613" s="7">
        <v>1</v>
      </c>
      <c r="H613" s="7">
        <v>81379</v>
      </c>
      <c r="I613" s="7" t="s">
        <v>104</v>
      </c>
      <c r="J613" s="7">
        <v>83493369</v>
      </c>
      <c r="K613" s="7" t="s">
        <v>707</v>
      </c>
      <c r="L613" s="7" t="s">
        <v>714</v>
      </c>
      <c r="M613" s="9">
        <v>99900</v>
      </c>
      <c r="N613" s="10">
        <v>0.9</v>
      </c>
      <c r="O613" s="9">
        <f t="shared" si="61"/>
        <v>9989.9999999999982</v>
      </c>
      <c r="P613" s="7" t="s">
        <v>16</v>
      </c>
    </row>
    <row r="614" spans="1:16" customFormat="1" x14ac:dyDescent="0.25">
      <c r="A614" s="33" t="str">
        <f t="shared" si="60"/>
        <v>2023 ALL D90</v>
      </c>
      <c r="B614" s="8">
        <f t="shared" si="62"/>
        <v>46099</v>
      </c>
      <c r="C614" s="8">
        <f t="shared" si="63"/>
        <v>46113</v>
      </c>
      <c r="D614" s="7">
        <v>3272</v>
      </c>
      <c r="E614" s="7">
        <v>336</v>
      </c>
      <c r="F614" s="7">
        <v>4</v>
      </c>
      <c r="G614" s="7">
        <v>1</v>
      </c>
      <c r="H614" s="7">
        <v>81379</v>
      </c>
      <c r="I614" s="7" t="s">
        <v>104</v>
      </c>
      <c r="J614" s="7">
        <v>83493378</v>
      </c>
      <c r="K614" s="7" t="s">
        <v>707</v>
      </c>
      <c r="L614" s="7" t="s">
        <v>715</v>
      </c>
      <c r="M614" s="9">
        <v>99900</v>
      </c>
      <c r="N614" s="10">
        <v>0.9</v>
      </c>
      <c r="O614" s="9">
        <f t="shared" si="61"/>
        <v>9989.9999999999982</v>
      </c>
      <c r="P614" s="7" t="s">
        <v>16</v>
      </c>
    </row>
    <row r="615" spans="1:16" customFormat="1" x14ac:dyDescent="0.25">
      <c r="A615" s="33" t="str">
        <f t="shared" si="60"/>
        <v>2023 ALL D90</v>
      </c>
      <c r="B615" s="8">
        <f t="shared" si="62"/>
        <v>46099</v>
      </c>
      <c r="C615" s="8">
        <f t="shared" si="63"/>
        <v>46113</v>
      </c>
      <c r="D615" s="7">
        <v>3272</v>
      </c>
      <c r="E615" s="7">
        <v>336</v>
      </c>
      <c r="F615" s="7">
        <v>4</v>
      </c>
      <c r="G615" s="7">
        <v>1</v>
      </c>
      <c r="H615" s="7">
        <v>81379</v>
      </c>
      <c r="I615" s="7" t="s">
        <v>104</v>
      </c>
      <c r="J615" s="7">
        <v>83493387</v>
      </c>
      <c r="K615" s="7" t="s">
        <v>716</v>
      </c>
      <c r="L615" s="7" t="s">
        <v>717</v>
      </c>
      <c r="M615" s="9">
        <v>99900</v>
      </c>
      <c r="N615" s="10">
        <v>0.9</v>
      </c>
      <c r="O615" s="9">
        <f t="shared" si="61"/>
        <v>9989.9999999999982</v>
      </c>
      <c r="P615" s="7" t="s">
        <v>16</v>
      </c>
    </row>
    <row r="616" spans="1:16" customFormat="1" x14ac:dyDescent="0.25">
      <c r="A616" s="33" t="str">
        <f t="shared" si="60"/>
        <v>2023 ALL D90</v>
      </c>
      <c r="B616" s="8">
        <f t="shared" si="62"/>
        <v>46099</v>
      </c>
      <c r="C616" s="8">
        <f t="shared" si="63"/>
        <v>46113</v>
      </c>
      <c r="D616" s="7">
        <v>3272</v>
      </c>
      <c r="E616" s="7">
        <v>336</v>
      </c>
      <c r="F616" s="7">
        <v>4</v>
      </c>
      <c r="G616" s="7">
        <v>1</v>
      </c>
      <c r="H616" s="7">
        <v>81379</v>
      </c>
      <c r="I616" s="7" t="s">
        <v>104</v>
      </c>
      <c r="J616" s="7">
        <v>83493396</v>
      </c>
      <c r="K616" s="7" t="s">
        <v>716</v>
      </c>
      <c r="L616" s="7" t="s">
        <v>718</v>
      </c>
      <c r="M616" s="9">
        <v>99900</v>
      </c>
      <c r="N616" s="10">
        <v>0.9</v>
      </c>
      <c r="O616" s="9">
        <f t="shared" si="61"/>
        <v>9989.9999999999982</v>
      </c>
      <c r="P616" s="7" t="s">
        <v>16</v>
      </c>
    </row>
    <row r="617" spans="1:16" customFormat="1" x14ac:dyDescent="0.25">
      <c r="A617" s="33" t="str">
        <f t="shared" si="60"/>
        <v>2023 ALL D90</v>
      </c>
      <c r="B617" s="8">
        <f t="shared" si="62"/>
        <v>46099</v>
      </c>
      <c r="C617" s="8">
        <f t="shared" si="63"/>
        <v>46113</v>
      </c>
      <c r="D617" s="7">
        <v>3272</v>
      </c>
      <c r="E617" s="7">
        <v>336</v>
      </c>
      <c r="F617" s="7">
        <v>4</v>
      </c>
      <c r="G617" s="7">
        <v>1</v>
      </c>
      <c r="H617" s="7">
        <v>81379</v>
      </c>
      <c r="I617" s="7" t="s">
        <v>104</v>
      </c>
      <c r="J617" s="7">
        <v>83493403</v>
      </c>
      <c r="K617" s="7" t="s">
        <v>716</v>
      </c>
      <c r="L617" s="7" t="s">
        <v>719</v>
      </c>
      <c r="M617" s="9">
        <v>99900</v>
      </c>
      <c r="N617" s="10">
        <v>0.9</v>
      </c>
      <c r="O617" s="9">
        <f t="shared" si="61"/>
        <v>9989.9999999999982</v>
      </c>
      <c r="P617" s="7" t="s">
        <v>16</v>
      </c>
    </row>
    <row r="618" spans="1:16" customFormat="1" x14ac:dyDescent="0.25">
      <c r="A618" s="33" t="str">
        <f t="shared" si="60"/>
        <v>2023 ALL D90</v>
      </c>
      <c r="B618" s="8">
        <f t="shared" si="62"/>
        <v>46099</v>
      </c>
      <c r="C618" s="8">
        <f t="shared" si="63"/>
        <v>46113</v>
      </c>
      <c r="D618" s="7">
        <v>3272</v>
      </c>
      <c r="E618" s="7">
        <v>336</v>
      </c>
      <c r="F618" s="7">
        <v>4</v>
      </c>
      <c r="G618" s="7">
        <v>1</v>
      </c>
      <c r="H618" s="7">
        <v>81379</v>
      </c>
      <c r="I618" s="7" t="s">
        <v>104</v>
      </c>
      <c r="J618" s="7">
        <v>83493412</v>
      </c>
      <c r="K618" s="7" t="s">
        <v>716</v>
      </c>
      <c r="L618" s="7" t="s">
        <v>720</v>
      </c>
      <c r="M618" s="9">
        <v>99900</v>
      </c>
      <c r="N618" s="10">
        <v>0.9</v>
      </c>
      <c r="O618" s="9">
        <f t="shared" si="61"/>
        <v>9989.9999999999982</v>
      </c>
      <c r="P618" s="7" t="s">
        <v>16</v>
      </c>
    </row>
    <row r="619" spans="1:16" customFormat="1" x14ac:dyDescent="0.25">
      <c r="A619" s="33" t="str">
        <f t="shared" si="60"/>
        <v>2023 ALL D90</v>
      </c>
      <c r="B619" s="8">
        <f t="shared" si="62"/>
        <v>46099</v>
      </c>
      <c r="C619" s="8">
        <f t="shared" si="63"/>
        <v>46113</v>
      </c>
      <c r="D619" s="7">
        <v>3272</v>
      </c>
      <c r="E619" s="7">
        <v>336</v>
      </c>
      <c r="F619" s="7">
        <v>4</v>
      </c>
      <c r="G619" s="7">
        <v>1</v>
      </c>
      <c r="H619" s="7">
        <v>81379</v>
      </c>
      <c r="I619" s="7" t="s">
        <v>104</v>
      </c>
      <c r="J619" s="7">
        <v>83493421</v>
      </c>
      <c r="K619" s="7" t="s">
        <v>716</v>
      </c>
      <c r="L619" s="7" t="s">
        <v>721</v>
      </c>
      <c r="M619" s="9">
        <v>99900</v>
      </c>
      <c r="N619" s="10">
        <v>0.9</v>
      </c>
      <c r="O619" s="9">
        <f t="shared" si="61"/>
        <v>9989.9999999999982</v>
      </c>
      <c r="P619" s="7" t="s">
        <v>16</v>
      </c>
    </row>
    <row r="620" spans="1:16" customFormat="1" x14ac:dyDescent="0.25">
      <c r="A620" s="33" t="str">
        <f t="shared" si="60"/>
        <v>2023 ALL D90</v>
      </c>
      <c r="B620" s="8">
        <f t="shared" si="62"/>
        <v>46099</v>
      </c>
      <c r="C620" s="8">
        <f t="shared" si="63"/>
        <v>46113</v>
      </c>
      <c r="D620" s="7">
        <v>3272</v>
      </c>
      <c r="E620" s="7">
        <v>336</v>
      </c>
      <c r="F620" s="7">
        <v>4</v>
      </c>
      <c r="G620" s="7">
        <v>1</v>
      </c>
      <c r="H620" s="7">
        <v>81379</v>
      </c>
      <c r="I620" s="7" t="s">
        <v>104</v>
      </c>
      <c r="J620" s="7">
        <v>83493430</v>
      </c>
      <c r="K620" s="7" t="s">
        <v>716</v>
      </c>
      <c r="L620" s="7" t="s">
        <v>722</v>
      </c>
      <c r="M620" s="9">
        <v>99900</v>
      </c>
      <c r="N620" s="10">
        <v>0.9</v>
      </c>
      <c r="O620" s="9">
        <f t="shared" si="61"/>
        <v>9989.9999999999982</v>
      </c>
      <c r="P620" s="7" t="s">
        <v>16</v>
      </c>
    </row>
    <row r="621" spans="1:16" customFormat="1" x14ac:dyDescent="0.25">
      <c r="A621" s="33" t="str">
        <f t="shared" si="60"/>
        <v>2023 ALL D90</v>
      </c>
      <c r="B621" s="8">
        <f t="shared" si="62"/>
        <v>46099</v>
      </c>
      <c r="C621" s="8">
        <f t="shared" si="63"/>
        <v>46113</v>
      </c>
      <c r="D621" s="7">
        <v>3272</v>
      </c>
      <c r="E621" s="7">
        <v>336</v>
      </c>
      <c r="F621" s="7">
        <v>4</v>
      </c>
      <c r="G621" s="7">
        <v>1</v>
      </c>
      <c r="H621" s="7">
        <v>81379</v>
      </c>
      <c r="I621" s="7" t="s">
        <v>104</v>
      </c>
      <c r="J621" s="7">
        <v>83493449</v>
      </c>
      <c r="K621" s="7" t="s">
        <v>716</v>
      </c>
      <c r="L621" s="7" t="s">
        <v>723</v>
      </c>
      <c r="M621" s="9">
        <v>99900</v>
      </c>
      <c r="N621" s="10">
        <v>0.9</v>
      </c>
      <c r="O621" s="9">
        <f t="shared" si="61"/>
        <v>9989.9999999999982</v>
      </c>
      <c r="P621" s="7" t="s">
        <v>16</v>
      </c>
    </row>
    <row r="622" spans="1:16" customFormat="1" x14ac:dyDescent="0.25">
      <c r="A622" s="33" t="str">
        <f t="shared" si="60"/>
        <v>2023 ALL D90</v>
      </c>
      <c r="B622" s="8">
        <f t="shared" si="62"/>
        <v>46099</v>
      </c>
      <c r="C622" s="8">
        <f t="shared" si="63"/>
        <v>46113</v>
      </c>
      <c r="D622" s="7">
        <v>3272</v>
      </c>
      <c r="E622" s="7">
        <v>336</v>
      </c>
      <c r="F622" s="7">
        <v>4</v>
      </c>
      <c r="G622" s="7">
        <v>1</v>
      </c>
      <c r="H622" s="7">
        <v>81379</v>
      </c>
      <c r="I622" s="7" t="s">
        <v>104</v>
      </c>
      <c r="J622" s="7">
        <v>83493458</v>
      </c>
      <c r="K622" s="7" t="s">
        <v>716</v>
      </c>
      <c r="L622" s="7" t="s">
        <v>724</v>
      </c>
      <c r="M622" s="9">
        <v>99900</v>
      </c>
      <c r="N622" s="10">
        <v>0.9</v>
      </c>
      <c r="O622" s="9">
        <f t="shared" si="61"/>
        <v>9989.9999999999982</v>
      </c>
      <c r="P622" s="7" t="s">
        <v>16</v>
      </c>
    </row>
    <row r="623" spans="1:16" customFormat="1" x14ac:dyDescent="0.25">
      <c r="A623" s="33" t="str">
        <f t="shared" ref="A623:A654" si="64">A622</f>
        <v>2023 ALL D90</v>
      </c>
      <c r="B623" s="8">
        <f t="shared" si="62"/>
        <v>46099</v>
      </c>
      <c r="C623" s="8">
        <f t="shared" si="63"/>
        <v>46113</v>
      </c>
      <c r="D623" s="7">
        <v>3272</v>
      </c>
      <c r="E623" s="7">
        <v>336</v>
      </c>
      <c r="F623" s="7">
        <v>4</v>
      </c>
      <c r="G623" s="7">
        <v>1</v>
      </c>
      <c r="H623" s="7">
        <v>81379</v>
      </c>
      <c r="I623" s="7" t="s">
        <v>104</v>
      </c>
      <c r="J623" s="7">
        <v>83493467</v>
      </c>
      <c r="K623" s="7" t="s">
        <v>725</v>
      </c>
      <c r="L623" s="7" t="s">
        <v>726</v>
      </c>
      <c r="M623" s="9">
        <v>99900</v>
      </c>
      <c r="N623" s="10">
        <v>0.9</v>
      </c>
      <c r="O623" s="9">
        <f t="shared" ref="O623:O654" si="65">M623*(1-N623)</f>
        <v>9989.9999999999982</v>
      </c>
      <c r="P623" s="7" t="s">
        <v>16</v>
      </c>
    </row>
    <row r="624" spans="1:16" customFormat="1" x14ac:dyDescent="0.25">
      <c r="A624" s="33" t="str">
        <f t="shared" si="64"/>
        <v>2023 ALL D90</v>
      </c>
      <c r="B624" s="8">
        <f t="shared" ref="B624:B655" si="66">B623</f>
        <v>46099</v>
      </c>
      <c r="C624" s="8">
        <f t="shared" ref="C624:C655" si="67">C623</f>
        <v>46113</v>
      </c>
      <c r="D624" s="7">
        <v>3272</v>
      </c>
      <c r="E624" s="7">
        <v>336</v>
      </c>
      <c r="F624" s="7">
        <v>4</v>
      </c>
      <c r="G624" s="7">
        <v>1</v>
      </c>
      <c r="H624" s="7">
        <v>81379</v>
      </c>
      <c r="I624" s="7" t="s">
        <v>104</v>
      </c>
      <c r="J624" s="7">
        <v>83493476</v>
      </c>
      <c r="K624" s="7" t="s">
        <v>725</v>
      </c>
      <c r="L624" s="7" t="s">
        <v>727</v>
      </c>
      <c r="M624" s="9">
        <v>99900</v>
      </c>
      <c r="N624" s="10">
        <v>0.9</v>
      </c>
      <c r="O624" s="9">
        <f t="shared" si="65"/>
        <v>9989.9999999999982</v>
      </c>
      <c r="P624" s="7" t="s">
        <v>16</v>
      </c>
    </row>
    <row r="625" spans="1:16" customFormat="1" x14ac:dyDescent="0.25">
      <c r="A625" s="33" t="str">
        <f t="shared" si="64"/>
        <v>2023 ALL D90</v>
      </c>
      <c r="B625" s="8">
        <f t="shared" si="66"/>
        <v>46099</v>
      </c>
      <c r="C625" s="8">
        <f t="shared" si="67"/>
        <v>46113</v>
      </c>
      <c r="D625" s="7">
        <v>3272</v>
      </c>
      <c r="E625" s="7">
        <v>336</v>
      </c>
      <c r="F625" s="7">
        <v>4</v>
      </c>
      <c r="G625" s="7">
        <v>1</v>
      </c>
      <c r="H625" s="7">
        <v>81379</v>
      </c>
      <c r="I625" s="7" t="s">
        <v>104</v>
      </c>
      <c r="J625" s="7">
        <v>83493485</v>
      </c>
      <c r="K625" s="7" t="s">
        <v>725</v>
      </c>
      <c r="L625" s="7" t="s">
        <v>728</v>
      </c>
      <c r="M625" s="9">
        <v>99900</v>
      </c>
      <c r="N625" s="10">
        <v>0.9</v>
      </c>
      <c r="O625" s="9">
        <f t="shared" si="65"/>
        <v>9989.9999999999982</v>
      </c>
      <c r="P625" s="7" t="s">
        <v>16</v>
      </c>
    </row>
    <row r="626" spans="1:16" customFormat="1" x14ac:dyDescent="0.25">
      <c r="A626" s="33" t="str">
        <f t="shared" si="64"/>
        <v>2023 ALL D90</v>
      </c>
      <c r="B626" s="8">
        <f t="shared" si="66"/>
        <v>46099</v>
      </c>
      <c r="C626" s="8">
        <f t="shared" si="67"/>
        <v>46113</v>
      </c>
      <c r="D626" s="7">
        <v>3272</v>
      </c>
      <c r="E626" s="7">
        <v>336</v>
      </c>
      <c r="F626" s="7">
        <v>4</v>
      </c>
      <c r="G626" s="7">
        <v>1</v>
      </c>
      <c r="H626" s="7">
        <v>81379</v>
      </c>
      <c r="I626" s="7" t="s">
        <v>104</v>
      </c>
      <c r="J626" s="7">
        <v>83493494</v>
      </c>
      <c r="K626" s="7" t="s">
        <v>725</v>
      </c>
      <c r="L626" s="7" t="s">
        <v>729</v>
      </c>
      <c r="M626" s="9">
        <v>99900</v>
      </c>
      <c r="N626" s="10">
        <v>0.9</v>
      </c>
      <c r="O626" s="9">
        <f t="shared" si="65"/>
        <v>9989.9999999999982</v>
      </c>
      <c r="P626" s="7" t="s">
        <v>16</v>
      </c>
    </row>
    <row r="627" spans="1:16" customFormat="1" x14ac:dyDescent="0.25">
      <c r="A627" s="33" t="str">
        <f t="shared" si="64"/>
        <v>2023 ALL D90</v>
      </c>
      <c r="B627" s="8">
        <f t="shared" si="66"/>
        <v>46099</v>
      </c>
      <c r="C627" s="8">
        <f t="shared" si="67"/>
        <v>46113</v>
      </c>
      <c r="D627" s="7">
        <v>3272</v>
      </c>
      <c r="E627" s="7">
        <v>336</v>
      </c>
      <c r="F627" s="7">
        <v>4</v>
      </c>
      <c r="G627" s="7">
        <v>1</v>
      </c>
      <c r="H627" s="7">
        <v>81379</v>
      </c>
      <c r="I627" s="7" t="s">
        <v>104</v>
      </c>
      <c r="J627" s="7">
        <v>83493501</v>
      </c>
      <c r="K627" s="7" t="s">
        <v>725</v>
      </c>
      <c r="L627" s="7" t="s">
        <v>730</v>
      </c>
      <c r="M627" s="9">
        <v>99900</v>
      </c>
      <c r="N627" s="10">
        <v>0.9</v>
      </c>
      <c r="O627" s="9">
        <f t="shared" si="65"/>
        <v>9989.9999999999982</v>
      </c>
      <c r="P627" s="7" t="s">
        <v>16</v>
      </c>
    </row>
    <row r="628" spans="1:16" customFormat="1" x14ac:dyDescent="0.25">
      <c r="A628" s="33" t="str">
        <f t="shared" si="64"/>
        <v>2023 ALL D90</v>
      </c>
      <c r="B628" s="8">
        <f t="shared" si="66"/>
        <v>46099</v>
      </c>
      <c r="C628" s="8">
        <f t="shared" si="67"/>
        <v>46113</v>
      </c>
      <c r="D628" s="7">
        <v>3272</v>
      </c>
      <c r="E628" s="7">
        <v>336</v>
      </c>
      <c r="F628" s="7">
        <v>4</v>
      </c>
      <c r="G628" s="7">
        <v>1</v>
      </c>
      <c r="H628" s="7">
        <v>81379</v>
      </c>
      <c r="I628" s="7" t="s">
        <v>104</v>
      </c>
      <c r="J628" s="7">
        <v>83493510</v>
      </c>
      <c r="K628" s="7" t="s">
        <v>725</v>
      </c>
      <c r="L628" s="7" t="s">
        <v>731</v>
      </c>
      <c r="M628" s="9">
        <v>99900</v>
      </c>
      <c r="N628" s="10">
        <v>0.9</v>
      </c>
      <c r="O628" s="9">
        <f t="shared" si="65"/>
        <v>9989.9999999999982</v>
      </c>
      <c r="P628" s="7" t="s">
        <v>16</v>
      </c>
    </row>
    <row r="629" spans="1:16" customFormat="1" x14ac:dyDescent="0.25">
      <c r="A629" s="33" t="str">
        <f t="shared" si="64"/>
        <v>2023 ALL D90</v>
      </c>
      <c r="B629" s="8">
        <f t="shared" si="66"/>
        <v>46099</v>
      </c>
      <c r="C629" s="8">
        <f t="shared" si="67"/>
        <v>46113</v>
      </c>
      <c r="D629" s="7">
        <v>3272</v>
      </c>
      <c r="E629" s="7">
        <v>336</v>
      </c>
      <c r="F629" s="7">
        <v>4</v>
      </c>
      <c r="G629" s="7">
        <v>1</v>
      </c>
      <c r="H629" s="7">
        <v>81379</v>
      </c>
      <c r="I629" s="7" t="s">
        <v>104</v>
      </c>
      <c r="J629" s="7">
        <v>83493529</v>
      </c>
      <c r="K629" s="7" t="s">
        <v>725</v>
      </c>
      <c r="L629" s="7" t="s">
        <v>732</v>
      </c>
      <c r="M629" s="9">
        <v>99900</v>
      </c>
      <c r="N629" s="10">
        <v>0.9</v>
      </c>
      <c r="O629" s="9">
        <f t="shared" si="65"/>
        <v>9989.9999999999982</v>
      </c>
      <c r="P629" s="7" t="s">
        <v>16</v>
      </c>
    </row>
    <row r="630" spans="1:16" customFormat="1" x14ac:dyDescent="0.25">
      <c r="A630" s="33" t="str">
        <f t="shared" si="64"/>
        <v>2023 ALL D90</v>
      </c>
      <c r="B630" s="8">
        <f t="shared" si="66"/>
        <v>46099</v>
      </c>
      <c r="C630" s="8">
        <f t="shared" si="67"/>
        <v>46113</v>
      </c>
      <c r="D630" s="7">
        <v>3272</v>
      </c>
      <c r="E630" s="7">
        <v>336</v>
      </c>
      <c r="F630" s="7">
        <v>4</v>
      </c>
      <c r="G630" s="7">
        <v>1</v>
      </c>
      <c r="H630" s="7">
        <v>81379</v>
      </c>
      <c r="I630" s="7" t="s">
        <v>104</v>
      </c>
      <c r="J630" s="7">
        <v>83493538</v>
      </c>
      <c r="K630" s="7" t="s">
        <v>725</v>
      </c>
      <c r="L630" s="7" t="s">
        <v>733</v>
      </c>
      <c r="M630" s="9">
        <v>99900</v>
      </c>
      <c r="N630" s="10">
        <v>0.9</v>
      </c>
      <c r="O630" s="9">
        <f t="shared" si="65"/>
        <v>9989.9999999999982</v>
      </c>
      <c r="P630" s="7" t="s">
        <v>16</v>
      </c>
    </row>
    <row r="631" spans="1:16" customFormat="1" x14ac:dyDescent="0.25">
      <c r="A631" s="33" t="str">
        <f t="shared" si="64"/>
        <v>2023 ALL D90</v>
      </c>
      <c r="B631" s="8">
        <f t="shared" si="66"/>
        <v>46099</v>
      </c>
      <c r="C631" s="8">
        <f t="shared" si="67"/>
        <v>46113</v>
      </c>
      <c r="D631" s="7">
        <v>3272</v>
      </c>
      <c r="E631" s="7">
        <v>336</v>
      </c>
      <c r="F631" s="7">
        <v>4</v>
      </c>
      <c r="G631" s="7">
        <v>1</v>
      </c>
      <c r="H631" s="7">
        <v>81379</v>
      </c>
      <c r="I631" s="7" t="s">
        <v>104</v>
      </c>
      <c r="J631" s="7">
        <v>83493547</v>
      </c>
      <c r="K631" s="7" t="s">
        <v>734</v>
      </c>
      <c r="L631" s="7" t="s">
        <v>735</v>
      </c>
      <c r="M631" s="9">
        <v>119900</v>
      </c>
      <c r="N631" s="10">
        <v>0.9</v>
      </c>
      <c r="O631" s="9">
        <f t="shared" si="65"/>
        <v>11989.999999999998</v>
      </c>
      <c r="P631" s="7" t="s">
        <v>16</v>
      </c>
    </row>
    <row r="632" spans="1:16" customFormat="1" x14ac:dyDescent="0.25">
      <c r="A632" s="33" t="str">
        <f t="shared" si="64"/>
        <v>2023 ALL D90</v>
      </c>
      <c r="B632" s="8">
        <f t="shared" si="66"/>
        <v>46099</v>
      </c>
      <c r="C632" s="8">
        <f t="shared" si="67"/>
        <v>46113</v>
      </c>
      <c r="D632" s="7">
        <v>3272</v>
      </c>
      <c r="E632" s="7">
        <v>336</v>
      </c>
      <c r="F632" s="7">
        <v>4</v>
      </c>
      <c r="G632" s="7">
        <v>1</v>
      </c>
      <c r="H632" s="7">
        <v>81379</v>
      </c>
      <c r="I632" s="7" t="s">
        <v>104</v>
      </c>
      <c r="J632" s="7">
        <v>83493556</v>
      </c>
      <c r="K632" s="7" t="s">
        <v>734</v>
      </c>
      <c r="L632" s="7" t="s">
        <v>736</v>
      </c>
      <c r="M632" s="9">
        <v>119900</v>
      </c>
      <c r="N632" s="10">
        <v>0.9</v>
      </c>
      <c r="O632" s="9">
        <f t="shared" si="65"/>
        <v>11989.999999999998</v>
      </c>
      <c r="P632" s="7" t="s">
        <v>16</v>
      </c>
    </row>
    <row r="633" spans="1:16" customFormat="1" x14ac:dyDescent="0.25">
      <c r="A633" s="33" t="str">
        <f t="shared" si="64"/>
        <v>2023 ALL D90</v>
      </c>
      <c r="B633" s="8">
        <f t="shared" si="66"/>
        <v>46099</v>
      </c>
      <c r="C633" s="8">
        <f t="shared" si="67"/>
        <v>46113</v>
      </c>
      <c r="D633" s="7">
        <v>3272</v>
      </c>
      <c r="E633" s="7">
        <v>336</v>
      </c>
      <c r="F633" s="7">
        <v>4</v>
      </c>
      <c r="G633" s="7">
        <v>1</v>
      </c>
      <c r="H633" s="7">
        <v>81379</v>
      </c>
      <c r="I633" s="7" t="s">
        <v>104</v>
      </c>
      <c r="J633" s="7">
        <v>83493565</v>
      </c>
      <c r="K633" s="7" t="s">
        <v>734</v>
      </c>
      <c r="L633" s="7" t="s">
        <v>737</v>
      </c>
      <c r="M633" s="9">
        <v>119900</v>
      </c>
      <c r="N633" s="10">
        <v>0.9</v>
      </c>
      <c r="O633" s="9">
        <f t="shared" si="65"/>
        <v>11989.999999999998</v>
      </c>
      <c r="P633" s="7" t="s">
        <v>16</v>
      </c>
    </row>
    <row r="634" spans="1:16" customFormat="1" x14ac:dyDescent="0.25">
      <c r="A634" s="33" t="str">
        <f t="shared" si="64"/>
        <v>2023 ALL D90</v>
      </c>
      <c r="B634" s="8">
        <f t="shared" si="66"/>
        <v>46099</v>
      </c>
      <c r="C634" s="8">
        <f t="shared" si="67"/>
        <v>46113</v>
      </c>
      <c r="D634" s="7">
        <v>3272</v>
      </c>
      <c r="E634" s="7">
        <v>336</v>
      </c>
      <c r="F634" s="7">
        <v>4</v>
      </c>
      <c r="G634" s="7">
        <v>1</v>
      </c>
      <c r="H634" s="7">
        <v>81379</v>
      </c>
      <c r="I634" s="7" t="s">
        <v>104</v>
      </c>
      <c r="J634" s="7">
        <v>83493574</v>
      </c>
      <c r="K634" s="7" t="s">
        <v>734</v>
      </c>
      <c r="L634" s="7" t="s">
        <v>738</v>
      </c>
      <c r="M634" s="9">
        <v>119900</v>
      </c>
      <c r="N634" s="10">
        <v>0.9</v>
      </c>
      <c r="O634" s="9">
        <f t="shared" si="65"/>
        <v>11989.999999999998</v>
      </c>
      <c r="P634" s="7" t="s">
        <v>16</v>
      </c>
    </row>
    <row r="635" spans="1:16" customFormat="1" x14ac:dyDescent="0.25">
      <c r="A635" s="33" t="str">
        <f t="shared" si="64"/>
        <v>2023 ALL D90</v>
      </c>
      <c r="B635" s="8">
        <f t="shared" si="66"/>
        <v>46099</v>
      </c>
      <c r="C635" s="8">
        <f t="shared" si="67"/>
        <v>46113</v>
      </c>
      <c r="D635" s="7">
        <v>3272</v>
      </c>
      <c r="E635" s="7">
        <v>336</v>
      </c>
      <c r="F635" s="7">
        <v>4</v>
      </c>
      <c r="G635" s="7">
        <v>1</v>
      </c>
      <c r="H635" s="7">
        <v>81379</v>
      </c>
      <c r="I635" s="7" t="s">
        <v>104</v>
      </c>
      <c r="J635" s="7">
        <v>83493583</v>
      </c>
      <c r="K635" s="7" t="s">
        <v>734</v>
      </c>
      <c r="L635" s="7" t="s">
        <v>739</v>
      </c>
      <c r="M635" s="9">
        <v>119900</v>
      </c>
      <c r="N635" s="10">
        <v>0.9</v>
      </c>
      <c r="O635" s="9">
        <f t="shared" si="65"/>
        <v>11989.999999999998</v>
      </c>
      <c r="P635" s="7" t="s">
        <v>16</v>
      </c>
    </row>
    <row r="636" spans="1:16" customFormat="1" x14ac:dyDescent="0.25">
      <c r="A636" s="33" t="str">
        <f t="shared" si="64"/>
        <v>2023 ALL D90</v>
      </c>
      <c r="B636" s="8">
        <f t="shared" si="66"/>
        <v>46099</v>
      </c>
      <c r="C636" s="8">
        <f t="shared" si="67"/>
        <v>46113</v>
      </c>
      <c r="D636" s="7">
        <v>3272</v>
      </c>
      <c r="E636" s="7">
        <v>336</v>
      </c>
      <c r="F636" s="7">
        <v>4</v>
      </c>
      <c r="G636" s="7">
        <v>1</v>
      </c>
      <c r="H636" s="7">
        <v>81379</v>
      </c>
      <c r="I636" s="7" t="s">
        <v>104</v>
      </c>
      <c r="J636" s="7">
        <v>83493592</v>
      </c>
      <c r="K636" s="7" t="s">
        <v>734</v>
      </c>
      <c r="L636" s="7" t="s">
        <v>740</v>
      </c>
      <c r="M636" s="9">
        <v>119900</v>
      </c>
      <c r="N636" s="10">
        <v>0.9</v>
      </c>
      <c r="O636" s="9">
        <f t="shared" si="65"/>
        <v>11989.999999999998</v>
      </c>
      <c r="P636" s="7" t="s">
        <v>16</v>
      </c>
    </row>
    <row r="637" spans="1:16" customFormat="1" x14ac:dyDescent="0.25">
      <c r="A637" s="33" t="str">
        <f t="shared" si="64"/>
        <v>2023 ALL D90</v>
      </c>
      <c r="B637" s="8">
        <f t="shared" si="66"/>
        <v>46099</v>
      </c>
      <c r="C637" s="8">
        <f t="shared" si="67"/>
        <v>46113</v>
      </c>
      <c r="D637" s="7">
        <v>3272</v>
      </c>
      <c r="E637" s="7">
        <v>336</v>
      </c>
      <c r="F637" s="7">
        <v>4</v>
      </c>
      <c r="G637" s="7">
        <v>1</v>
      </c>
      <c r="H637" s="7">
        <v>81379</v>
      </c>
      <c r="I637" s="7" t="s">
        <v>104</v>
      </c>
      <c r="J637" s="7">
        <v>83493609</v>
      </c>
      <c r="K637" s="7" t="s">
        <v>734</v>
      </c>
      <c r="L637" s="7" t="s">
        <v>741</v>
      </c>
      <c r="M637" s="9">
        <v>119900</v>
      </c>
      <c r="N637" s="10">
        <v>0.9</v>
      </c>
      <c r="O637" s="9">
        <f t="shared" si="65"/>
        <v>11989.999999999998</v>
      </c>
      <c r="P637" s="7" t="s">
        <v>16</v>
      </c>
    </row>
    <row r="638" spans="1:16" customFormat="1" x14ac:dyDescent="0.25">
      <c r="A638" s="33" t="str">
        <f t="shared" si="64"/>
        <v>2023 ALL D90</v>
      </c>
      <c r="B638" s="8">
        <f t="shared" si="66"/>
        <v>46099</v>
      </c>
      <c r="C638" s="8">
        <f t="shared" si="67"/>
        <v>46113</v>
      </c>
      <c r="D638" s="7">
        <v>3272</v>
      </c>
      <c r="E638" s="7">
        <v>336</v>
      </c>
      <c r="F638" s="7">
        <v>4</v>
      </c>
      <c r="G638" s="7">
        <v>1</v>
      </c>
      <c r="H638" s="7">
        <v>81379</v>
      </c>
      <c r="I638" s="7" t="s">
        <v>104</v>
      </c>
      <c r="J638" s="7">
        <v>83493618</v>
      </c>
      <c r="K638" s="7" t="s">
        <v>734</v>
      </c>
      <c r="L638" s="7" t="s">
        <v>742</v>
      </c>
      <c r="M638" s="9">
        <v>119900</v>
      </c>
      <c r="N638" s="10">
        <v>0.9</v>
      </c>
      <c r="O638" s="9">
        <f t="shared" si="65"/>
        <v>11989.999999999998</v>
      </c>
      <c r="P638" s="7" t="s">
        <v>16</v>
      </c>
    </row>
    <row r="639" spans="1:16" customFormat="1" x14ac:dyDescent="0.25">
      <c r="A639" s="33" t="str">
        <f t="shared" si="64"/>
        <v>2023 ALL D90</v>
      </c>
      <c r="B639" s="8">
        <f t="shared" si="66"/>
        <v>46099</v>
      </c>
      <c r="C639" s="8">
        <f t="shared" si="67"/>
        <v>46113</v>
      </c>
      <c r="D639" s="7">
        <v>3272</v>
      </c>
      <c r="E639" s="7">
        <v>336</v>
      </c>
      <c r="F639" s="7">
        <v>4</v>
      </c>
      <c r="G639" s="7">
        <v>1</v>
      </c>
      <c r="H639" s="7">
        <v>81379</v>
      </c>
      <c r="I639" s="7" t="s">
        <v>104</v>
      </c>
      <c r="J639" s="7">
        <v>83493627</v>
      </c>
      <c r="K639" s="7" t="s">
        <v>743</v>
      </c>
      <c r="L639" s="7" t="s">
        <v>744</v>
      </c>
      <c r="M639" s="9">
        <v>119900</v>
      </c>
      <c r="N639" s="10">
        <v>0.9</v>
      </c>
      <c r="O639" s="9">
        <f t="shared" si="65"/>
        <v>11989.999999999998</v>
      </c>
      <c r="P639" s="7" t="s">
        <v>16</v>
      </c>
    </row>
    <row r="640" spans="1:16" customFormat="1" x14ac:dyDescent="0.25">
      <c r="A640" s="33" t="str">
        <f t="shared" si="64"/>
        <v>2023 ALL D90</v>
      </c>
      <c r="B640" s="8">
        <f t="shared" si="66"/>
        <v>46099</v>
      </c>
      <c r="C640" s="8">
        <f t="shared" si="67"/>
        <v>46113</v>
      </c>
      <c r="D640" s="7">
        <v>3272</v>
      </c>
      <c r="E640" s="7">
        <v>336</v>
      </c>
      <c r="F640" s="7">
        <v>4</v>
      </c>
      <c r="G640" s="7">
        <v>1</v>
      </c>
      <c r="H640" s="7">
        <v>81379</v>
      </c>
      <c r="I640" s="7" t="s">
        <v>104</v>
      </c>
      <c r="J640" s="7">
        <v>83493636</v>
      </c>
      <c r="K640" s="7" t="s">
        <v>743</v>
      </c>
      <c r="L640" s="7" t="s">
        <v>745</v>
      </c>
      <c r="M640" s="9">
        <v>119900</v>
      </c>
      <c r="N640" s="10">
        <v>0.9</v>
      </c>
      <c r="O640" s="9">
        <f t="shared" si="65"/>
        <v>11989.999999999998</v>
      </c>
      <c r="P640" s="7" t="s">
        <v>16</v>
      </c>
    </row>
    <row r="641" spans="1:16" customFormat="1" x14ac:dyDescent="0.25">
      <c r="A641" s="33" t="str">
        <f t="shared" si="64"/>
        <v>2023 ALL D90</v>
      </c>
      <c r="B641" s="8">
        <f t="shared" si="66"/>
        <v>46099</v>
      </c>
      <c r="C641" s="8">
        <f t="shared" si="67"/>
        <v>46113</v>
      </c>
      <c r="D641" s="7">
        <v>3272</v>
      </c>
      <c r="E641" s="7">
        <v>336</v>
      </c>
      <c r="F641" s="7">
        <v>4</v>
      </c>
      <c r="G641" s="7">
        <v>1</v>
      </c>
      <c r="H641" s="7">
        <v>81379</v>
      </c>
      <c r="I641" s="7" t="s">
        <v>104</v>
      </c>
      <c r="J641" s="7">
        <v>83493645</v>
      </c>
      <c r="K641" s="7" t="s">
        <v>743</v>
      </c>
      <c r="L641" s="7" t="s">
        <v>746</v>
      </c>
      <c r="M641" s="9">
        <v>119900</v>
      </c>
      <c r="N641" s="10">
        <v>0.9</v>
      </c>
      <c r="O641" s="9">
        <f t="shared" si="65"/>
        <v>11989.999999999998</v>
      </c>
      <c r="P641" s="7" t="s">
        <v>16</v>
      </c>
    </row>
    <row r="642" spans="1:16" customFormat="1" x14ac:dyDescent="0.25">
      <c r="A642" s="33" t="str">
        <f t="shared" si="64"/>
        <v>2023 ALL D90</v>
      </c>
      <c r="B642" s="8">
        <f t="shared" si="66"/>
        <v>46099</v>
      </c>
      <c r="C642" s="8">
        <f t="shared" si="67"/>
        <v>46113</v>
      </c>
      <c r="D642" s="7">
        <v>3272</v>
      </c>
      <c r="E642" s="7">
        <v>336</v>
      </c>
      <c r="F642" s="7">
        <v>4</v>
      </c>
      <c r="G642" s="7">
        <v>1</v>
      </c>
      <c r="H642" s="7">
        <v>81379</v>
      </c>
      <c r="I642" s="7" t="s">
        <v>104</v>
      </c>
      <c r="J642" s="7">
        <v>83493654</v>
      </c>
      <c r="K642" s="7" t="s">
        <v>743</v>
      </c>
      <c r="L642" s="7" t="s">
        <v>747</v>
      </c>
      <c r="M642" s="9">
        <v>119900</v>
      </c>
      <c r="N642" s="10">
        <v>0.9</v>
      </c>
      <c r="O642" s="9">
        <f t="shared" si="65"/>
        <v>11989.999999999998</v>
      </c>
      <c r="P642" s="7" t="s">
        <v>16</v>
      </c>
    </row>
    <row r="643" spans="1:16" customFormat="1" x14ac:dyDescent="0.25">
      <c r="A643" s="33" t="str">
        <f t="shared" si="64"/>
        <v>2023 ALL D90</v>
      </c>
      <c r="B643" s="8">
        <f t="shared" si="66"/>
        <v>46099</v>
      </c>
      <c r="C643" s="8">
        <f t="shared" si="67"/>
        <v>46113</v>
      </c>
      <c r="D643" s="7">
        <v>3272</v>
      </c>
      <c r="E643" s="7">
        <v>336</v>
      </c>
      <c r="F643" s="7">
        <v>4</v>
      </c>
      <c r="G643" s="7">
        <v>1</v>
      </c>
      <c r="H643" s="7">
        <v>81379</v>
      </c>
      <c r="I643" s="7" t="s">
        <v>104</v>
      </c>
      <c r="J643" s="7">
        <v>83493663</v>
      </c>
      <c r="K643" s="7" t="s">
        <v>743</v>
      </c>
      <c r="L643" s="7" t="s">
        <v>748</v>
      </c>
      <c r="M643" s="9">
        <v>119900</v>
      </c>
      <c r="N643" s="10">
        <v>0.9</v>
      </c>
      <c r="O643" s="9">
        <f t="shared" si="65"/>
        <v>11989.999999999998</v>
      </c>
      <c r="P643" s="7" t="s">
        <v>16</v>
      </c>
    </row>
    <row r="644" spans="1:16" customFormat="1" x14ac:dyDescent="0.25">
      <c r="A644" s="33" t="str">
        <f t="shared" si="64"/>
        <v>2023 ALL D90</v>
      </c>
      <c r="B644" s="8">
        <f t="shared" si="66"/>
        <v>46099</v>
      </c>
      <c r="C644" s="8">
        <f t="shared" si="67"/>
        <v>46113</v>
      </c>
      <c r="D644" s="7">
        <v>3272</v>
      </c>
      <c r="E644" s="7">
        <v>336</v>
      </c>
      <c r="F644" s="7">
        <v>4</v>
      </c>
      <c r="G644" s="7">
        <v>1</v>
      </c>
      <c r="H644" s="7">
        <v>81379</v>
      </c>
      <c r="I644" s="7" t="s">
        <v>104</v>
      </c>
      <c r="J644" s="7">
        <v>83493672</v>
      </c>
      <c r="K644" s="7" t="s">
        <v>743</v>
      </c>
      <c r="L644" s="7" t="s">
        <v>749</v>
      </c>
      <c r="M644" s="9">
        <v>119900</v>
      </c>
      <c r="N644" s="10">
        <v>0.9</v>
      </c>
      <c r="O644" s="9">
        <f t="shared" si="65"/>
        <v>11989.999999999998</v>
      </c>
      <c r="P644" s="7" t="s">
        <v>16</v>
      </c>
    </row>
    <row r="645" spans="1:16" customFormat="1" x14ac:dyDescent="0.25">
      <c r="A645" s="33" t="str">
        <f t="shared" si="64"/>
        <v>2023 ALL D90</v>
      </c>
      <c r="B645" s="8">
        <f t="shared" si="66"/>
        <v>46099</v>
      </c>
      <c r="C645" s="8">
        <f t="shared" si="67"/>
        <v>46113</v>
      </c>
      <c r="D645" s="7">
        <v>3272</v>
      </c>
      <c r="E645" s="7">
        <v>336</v>
      </c>
      <c r="F645" s="7">
        <v>4</v>
      </c>
      <c r="G645" s="7">
        <v>1</v>
      </c>
      <c r="H645" s="7">
        <v>81379</v>
      </c>
      <c r="I645" s="7" t="s">
        <v>104</v>
      </c>
      <c r="J645" s="7">
        <v>83493681</v>
      </c>
      <c r="K645" s="7" t="s">
        <v>743</v>
      </c>
      <c r="L645" s="7" t="s">
        <v>750</v>
      </c>
      <c r="M645" s="9">
        <v>119900</v>
      </c>
      <c r="N645" s="10">
        <v>0.9</v>
      </c>
      <c r="O645" s="9">
        <f t="shared" si="65"/>
        <v>11989.999999999998</v>
      </c>
      <c r="P645" s="7" t="s">
        <v>16</v>
      </c>
    </row>
    <row r="646" spans="1:16" customFormat="1" x14ac:dyDescent="0.25">
      <c r="A646" s="33" t="str">
        <f t="shared" si="64"/>
        <v>2023 ALL D90</v>
      </c>
      <c r="B646" s="8">
        <f t="shared" si="66"/>
        <v>46099</v>
      </c>
      <c r="C646" s="8">
        <f t="shared" si="67"/>
        <v>46113</v>
      </c>
      <c r="D646" s="7">
        <v>3272</v>
      </c>
      <c r="E646" s="7">
        <v>336</v>
      </c>
      <c r="F646" s="7">
        <v>4</v>
      </c>
      <c r="G646" s="7">
        <v>1</v>
      </c>
      <c r="H646" s="7">
        <v>81379</v>
      </c>
      <c r="I646" s="7" t="s">
        <v>104</v>
      </c>
      <c r="J646" s="7">
        <v>83493690</v>
      </c>
      <c r="K646" s="7" t="s">
        <v>743</v>
      </c>
      <c r="L646" s="7" t="s">
        <v>751</v>
      </c>
      <c r="M646" s="9">
        <v>119900</v>
      </c>
      <c r="N646" s="10">
        <v>0.9</v>
      </c>
      <c r="O646" s="9">
        <f t="shared" si="65"/>
        <v>11989.999999999998</v>
      </c>
      <c r="P646" s="7" t="s">
        <v>16</v>
      </c>
    </row>
    <row r="647" spans="1:16" customFormat="1" x14ac:dyDescent="0.25">
      <c r="A647" s="33" t="str">
        <f t="shared" si="64"/>
        <v>2023 ALL D90</v>
      </c>
      <c r="B647" s="8">
        <f t="shared" si="66"/>
        <v>46099</v>
      </c>
      <c r="C647" s="8">
        <f t="shared" si="67"/>
        <v>46113</v>
      </c>
      <c r="D647" s="7">
        <v>3272</v>
      </c>
      <c r="E647" s="7">
        <v>336</v>
      </c>
      <c r="F647" s="7">
        <v>4</v>
      </c>
      <c r="G647" s="7">
        <v>1</v>
      </c>
      <c r="H647" s="7">
        <v>81676</v>
      </c>
      <c r="I647" s="7" t="s">
        <v>104</v>
      </c>
      <c r="J647" s="7">
        <v>83493707</v>
      </c>
      <c r="K647" s="7" t="s">
        <v>752</v>
      </c>
      <c r="L647" s="7" t="s">
        <v>753</v>
      </c>
      <c r="M647" s="9">
        <v>99900</v>
      </c>
      <c r="N647" s="10">
        <v>0.9</v>
      </c>
      <c r="O647" s="9">
        <f t="shared" si="65"/>
        <v>9989.9999999999982</v>
      </c>
      <c r="P647" s="7" t="s">
        <v>16</v>
      </c>
    </row>
    <row r="648" spans="1:16" customFormat="1" x14ac:dyDescent="0.25">
      <c r="A648" s="33" t="str">
        <f t="shared" si="64"/>
        <v>2023 ALL D90</v>
      </c>
      <c r="B648" s="8">
        <f t="shared" si="66"/>
        <v>46099</v>
      </c>
      <c r="C648" s="8">
        <f t="shared" si="67"/>
        <v>46113</v>
      </c>
      <c r="D648" s="7">
        <v>3272</v>
      </c>
      <c r="E648" s="7">
        <v>336</v>
      </c>
      <c r="F648" s="7">
        <v>4</v>
      </c>
      <c r="G648" s="7">
        <v>1</v>
      </c>
      <c r="H648" s="7">
        <v>81676</v>
      </c>
      <c r="I648" s="7" t="s">
        <v>104</v>
      </c>
      <c r="J648" s="7">
        <v>83493716</v>
      </c>
      <c r="K648" s="7" t="s">
        <v>752</v>
      </c>
      <c r="L648" s="7" t="s">
        <v>754</v>
      </c>
      <c r="M648" s="9">
        <v>99900</v>
      </c>
      <c r="N648" s="10">
        <v>0.9</v>
      </c>
      <c r="O648" s="9">
        <f t="shared" si="65"/>
        <v>9989.9999999999982</v>
      </c>
      <c r="P648" s="7" t="s">
        <v>16</v>
      </c>
    </row>
    <row r="649" spans="1:16" customFormat="1" x14ac:dyDescent="0.25">
      <c r="A649" s="33" t="str">
        <f t="shared" si="64"/>
        <v>2023 ALL D90</v>
      </c>
      <c r="B649" s="8">
        <f t="shared" si="66"/>
        <v>46099</v>
      </c>
      <c r="C649" s="8">
        <f t="shared" si="67"/>
        <v>46113</v>
      </c>
      <c r="D649" s="7">
        <v>3272</v>
      </c>
      <c r="E649" s="7">
        <v>336</v>
      </c>
      <c r="F649" s="7">
        <v>4</v>
      </c>
      <c r="G649" s="7">
        <v>1</v>
      </c>
      <c r="H649" s="7">
        <v>81676</v>
      </c>
      <c r="I649" s="7" t="s">
        <v>104</v>
      </c>
      <c r="J649" s="7">
        <v>83493725</v>
      </c>
      <c r="K649" s="7" t="s">
        <v>752</v>
      </c>
      <c r="L649" s="7" t="s">
        <v>755</v>
      </c>
      <c r="M649" s="9">
        <v>99900</v>
      </c>
      <c r="N649" s="10">
        <v>0.9</v>
      </c>
      <c r="O649" s="9">
        <f t="shared" si="65"/>
        <v>9989.9999999999982</v>
      </c>
      <c r="P649" s="7" t="s">
        <v>16</v>
      </c>
    </row>
    <row r="650" spans="1:16" customFormat="1" x14ac:dyDescent="0.25">
      <c r="A650" s="33" t="str">
        <f t="shared" si="64"/>
        <v>2023 ALL D90</v>
      </c>
      <c r="B650" s="8">
        <f t="shared" si="66"/>
        <v>46099</v>
      </c>
      <c r="C650" s="8">
        <f t="shared" si="67"/>
        <v>46113</v>
      </c>
      <c r="D650" s="7">
        <v>3272</v>
      </c>
      <c r="E650" s="7">
        <v>336</v>
      </c>
      <c r="F650" s="7">
        <v>4</v>
      </c>
      <c r="G650" s="7">
        <v>1</v>
      </c>
      <c r="H650" s="7">
        <v>81676</v>
      </c>
      <c r="I650" s="7" t="s">
        <v>104</v>
      </c>
      <c r="J650" s="7">
        <v>83493734</v>
      </c>
      <c r="K650" s="7" t="s">
        <v>752</v>
      </c>
      <c r="L650" s="7" t="s">
        <v>756</v>
      </c>
      <c r="M650" s="9">
        <v>99900</v>
      </c>
      <c r="N650" s="10">
        <v>0.9</v>
      </c>
      <c r="O650" s="9">
        <f t="shared" si="65"/>
        <v>9989.9999999999982</v>
      </c>
      <c r="P650" s="7" t="s">
        <v>16</v>
      </c>
    </row>
    <row r="651" spans="1:16" customFormat="1" x14ac:dyDescent="0.25">
      <c r="A651" s="33" t="str">
        <f t="shared" si="64"/>
        <v>2023 ALL D90</v>
      </c>
      <c r="B651" s="8">
        <f t="shared" si="66"/>
        <v>46099</v>
      </c>
      <c r="C651" s="8">
        <f t="shared" si="67"/>
        <v>46113</v>
      </c>
      <c r="D651" s="7">
        <v>3272</v>
      </c>
      <c r="E651" s="7">
        <v>336</v>
      </c>
      <c r="F651" s="7">
        <v>4</v>
      </c>
      <c r="G651" s="7">
        <v>1</v>
      </c>
      <c r="H651" s="7">
        <v>81676</v>
      </c>
      <c r="I651" s="7" t="s">
        <v>104</v>
      </c>
      <c r="J651" s="7">
        <v>83493743</v>
      </c>
      <c r="K651" s="7" t="s">
        <v>752</v>
      </c>
      <c r="L651" s="7" t="s">
        <v>757</v>
      </c>
      <c r="M651" s="9">
        <v>99900</v>
      </c>
      <c r="N651" s="10">
        <v>0.9</v>
      </c>
      <c r="O651" s="9">
        <f t="shared" si="65"/>
        <v>9989.9999999999982</v>
      </c>
      <c r="P651" s="7" t="s">
        <v>16</v>
      </c>
    </row>
    <row r="652" spans="1:16" customFormat="1" x14ac:dyDescent="0.25">
      <c r="A652" s="33" t="str">
        <f t="shared" si="64"/>
        <v>2023 ALL D90</v>
      </c>
      <c r="B652" s="8">
        <f t="shared" si="66"/>
        <v>46099</v>
      </c>
      <c r="C652" s="8">
        <f t="shared" si="67"/>
        <v>46113</v>
      </c>
      <c r="D652" s="7">
        <v>3272</v>
      </c>
      <c r="E652" s="7">
        <v>336</v>
      </c>
      <c r="F652" s="7">
        <v>4</v>
      </c>
      <c r="G652" s="7">
        <v>1</v>
      </c>
      <c r="H652" s="7">
        <v>81676</v>
      </c>
      <c r="I652" s="7" t="s">
        <v>104</v>
      </c>
      <c r="J652" s="7">
        <v>83493752</v>
      </c>
      <c r="K652" s="7" t="s">
        <v>752</v>
      </c>
      <c r="L652" s="7" t="s">
        <v>758</v>
      </c>
      <c r="M652" s="9">
        <v>99900</v>
      </c>
      <c r="N652" s="10">
        <v>0.9</v>
      </c>
      <c r="O652" s="9">
        <f t="shared" si="65"/>
        <v>9989.9999999999982</v>
      </c>
      <c r="P652" s="7" t="s">
        <v>16</v>
      </c>
    </row>
    <row r="653" spans="1:16" customFormat="1" x14ac:dyDescent="0.25">
      <c r="A653" s="33" t="str">
        <f t="shared" si="64"/>
        <v>2023 ALL D90</v>
      </c>
      <c r="B653" s="8">
        <f t="shared" si="66"/>
        <v>46099</v>
      </c>
      <c r="C653" s="8">
        <f t="shared" si="67"/>
        <v>46113</v>
      </c>
      <c r="D653" s="7">
        <v>3272</v>
      </c>
      <c r="E653" s="7">
        <v>336</v>
      </c>
      <c r="F653" s="7">
        <v>4</v>
      </c>
      <c r="G653" s="7">
        <v>1</v>
      </c>
      <c r="H653" s="7">
        <v>81676</v>
      </c>
      <c r="I653" s="7" t="s">
        <v>104</v>
      </c>
      <c r="J653" s="7">
        <v>83493761</v>
      </c>
      <c r="K653" s="7" t="s">
        <v>759</v>
      </c>
      <c r="L653" s="7" t="s">
        <v>760</v>
      </c>
      <c r="M653" s="9">
        <v>99900</v>
      </c>
      <c r="N653" s="10">
        <v>0.9</v>
      </c>
      <c r="O653" s="9">
        <f t="shared" si="65"/>
        <v>9989.9999999999982</v>
      </c>
      <c r="P653" s="7" t="s">
        <v>16</v>
      </c>
    </row>
    <row r="654" spans="1:16" customFormat="1" x14ac:dyDescent="0.25">
      <c r="A654" s="33" t="str">
        <f t="shared" si="64"/>
        <v>2023 ALL D90</v>
      </c>
      <c r="B654" s="8">
        <f t="shared" si="66"/>
        <v>46099</v>
      </c>
      <c r="C654" s="8">
        <f t="shared" si="67"/>
        <v>46113</v>
      </c>
      <c r="D654" s="7">
        <v>3272</v>
      </c>
      <c r="E654" s="7">
        <v>336</v>
      </c>
      <c r="F654" s="7">
        <v>4</v>
      </c>
      <c r="G654" s="7">
        <v>1</v>
      </c>
      <c r="H654" s="7">
        <v>81676</v>
      </c>
      <c r="I654" s="7" t="s">
        <v>104</v>
      </c>
      <c r="J654" s="7">
        <v>83493770</v>
      </c>
      <c r="K654" s="7" t="s">
        <v>759</v>
      </c>
      <c r="L654" s="7" t="s">
        <v>761</v>
      </c>
      <c r="M654" s="9">
        <v>99900</v>
      </c>
      <c r="N654" s="10">
        <v>0.9</v>
      </c>
      <c r="O654" s="9">
        <f t="shared" si="65"/>
        <v>9989.9999999999982</v>
      </c>
      <c r="P654" s="7" t="s">
        <v>16</v>
      </c>
    </row>
    <row r="655" spans="1:16" customFormat="1" x14ac:dyDescent="0.25">
      <c r="A655" s="33" t="str">
        <f t="shared" ref="A655:A682" si="68">A654</f>
        <v>2023 ALL D90</v>
      </c>
      <c r="B655" s="8">
        <f t="shared" si="66"/>
        <v>46099</v>
      </c>
      <c r="C655" s="8">
        <f t="shared" si="67"/>
        <v>46113</v>
      </c>
      <c r="D655" s="7">
        <v>3272</v>
      </c>
      <c r="E655" s="7">
        <v>336</v>
      </c>
      <c r="F655" s="7">
        <v>4</v>
      </c>
      <c r="G655" s="7">
        <v>1</v>
      </c>
      <c r="H655" s="7">
        <v>81676</v>
      </c>
      <c r="I655" s="7" t="s">
        <v>104</v>
      </c>
      <c r="J655" s="7">
        <v>83493789</v>
      </c>
      <c r="K655" s="7" t="s">
        <v>759</v>
      </c>
      <c r="L655" s="7" t="s">
        <v>762</v>
      </c>
      <c r="M655" s="9">
        <v>99900</v>
      </c>
      <c r="N655" s="10">
        <v>0.9</v>
      </c>
      <c r="O655" s="9">
        <f t="shared" ref="O655:O682" si="69">M655*(1-N655)</f>
        <v>9989.9999999999982</v>
      </c>
      <c r="P655" s="7" t="s">
        <v>16</v>
      </c>
    </row>
    <row r="656" spans="1:16" customFormat="1" x14ac:dyDescent="0.25">
      <c r="A656" s="33" t="str">
        <f t="shared" si="68"/>
        <v>2023 ALL D90</v>
      </c>
      <c r="B656" s="8">
        <f t="shared" ref="B656:B682" si="70">B655</f>
        <v>46099</v>
      </c>
      <c r="C656" s="8">
        <f t="shared" ref="C656:C682" si="71">C655</f>
        <v>46113</v>
      </c>
      <c r="D656" s="7">
        <v>3272</v>
      </c>
      <c r="E656" s="7">
        <v>336</v>
      </c>
      <c r="F656" s="7">
        <v>4</v>
      </c>
      <c r="G656" s="7">
        <v>1</v>
      </c>
      <c r="H656" s="7">
        <v>81676</v>
      </c>
      <c r="I656" s="7" t="s">
        <v>104</v>
      </c>
      <c r="J656" s="7">
        <v>83493798</v>
      </c>
      <c r="K656" s="7" t="s">
        <v>759</v>
      </c>
      <c r="L656" s="7" t="s">
        <v>763</v>
      </c>
      <c r="M656" s="9">
        <v>99900</v>
      </c>
      <c r="N656" s="10">
        <v>0.9</v>
      </c>
      <c r="O656" s="9">
        <f t="shared" si="69"/>
        <v>9989.9999999999982</v>
      </c>
      <c r="P656" s="7" t="s">
        <v>16</v>
      </c>
    </row>
    <row r="657" spans="1:16" customFormat="1" x14ac:dyDescent="0.25">
      <c r="A657" s="33" t="str">
        <f t="shared" si="68"/>
        <v>2023 ALL D90</v>
      </c>
      <c r="B657" s="8">
        <f t="shared" si="70"/>
        <v>46099</v>
      </c>
      <c r="C657" s="8">
        <f t="shared" si="71"/>
        <v>46113</v>
      </c>
      <c r="D657" s="7">
        <v>3272</v>
      </c>
      <c r="E657" s="7">
        <v>336</v>
      </c>
      <c r="F657" s="7">
        <v>4</v>
      </c>
      <c r="G657" s="7">
        <v>1</v>
      </c>
      <c r="H657" s="7">
        <v>81676</v>
      </c>
      <c r="I657" s="7" t="s">
        <v>104</v>
      </c>
      <c r="J657" s="7">
        <v>83493805</v>
      </c>
      <c r="K657" s="7" t="s">
        <v>759</v>
      </c>
      <c r="L657" s="7" t="s">
        <v>764</v>
      </c>
      <c r="M657" s="9">
        <v>99900</v>
      </c>
      <c r="N657" s="10">
        <v>0.9</v>
      </c>
      <c r="O657" s="9">
        <f t="shared" si="69"/>
        <v>9989.9999999999982</v>
      </c>
      <c r="P657" s="7" t="s">
        <v>16</v>
      </c>
    </row>
    <row r="658" spans="1:16" customFormat="1" x14ac:dyDescent="0.25">
      <c r="A658" s="33" t="str">
        <f t="shared" si="68"/>
        <v>2023 ALL D90</v>
      </c>
      <c r="B658" s="8">
        <f t="shared" si="70"/>
        <v>46099</v>
      </c>
      <c r="C658" s="8">
        <f t="shared" si="71"/>
        <v>46113</v>
      </c>
      <c r="D658" s="7">
        <v>3272</v>
      </c>
      <c r="E658" s="7">
        <v>336</v>
      </c>
      <c r="F658" s="7">
        <v>4</v>
      </c>
      <c r="G658" s="7">
        <v>1</v>
      </c>
      <c r="H658" s="7">
        <v>81676</v>
      </c>
      <c r="I658" s="7" t="s">
        <v>104</v>
      </c>
      <c r="J658" s="7">
        <v>83493814</v>
      </c>
      <c r="K658" s="7" t="s">
        <v>759</v>
      </c>
      <c r="L658" s="7" t="s">
        <v>765</v>
      </c>
      <c r="M658" s="9">
        <v>99900</v>
      </c>
      <c r="N658" s="10">
        <v>0.9</v>
      </c>
      <c r="O658" s="9">
        <f t="shared" si="69"/>
        <v>9989.9999999999982</v>
      </c>
      <c r="P658" s="7" t="s">
        <v>16</v>
      </c>
    </row>
    <row r="659" spans="1:16" customFormat="1" x14ac:dyDescent="0.25">
      <c r="A659" s="33" t="str">
        <f t="shared" si="68"/>
        <v>2023 ALL D90</v>
      </c>
      <c r="B659" s="8">
        <f t="shared" si="70"/>
        <v>46099</v>
      </c>
      <c r="C659" s="8">
        <f t="shared" si="71"/>
        <v>46113</v>
      </c>
      <c r="D659" s="7">
        <v>3272</v>
      </c>
      <c r="E659" s="7">
        <v>336</v>
      </c>
      <c r="F659" s="7">
        <v>4</v>
      </c>
      <c r="G659" s="7">
        <v>1</v>
      </c>
      <c r="H659" s="7">
        <v>81676</v>
      </c>
      <c r="I659" s="7" t="s">
        <v>104</v>
      </c>
      <c r="J659" s="7">
        <v>83493823</v>
      </c>
      <c r="K659" s="7" t="s">
        <v>759</v>
      </c>
      <c r="L659" s="7" t="s">
        <v>766</v>
      </c>
      <c r="M659" s="9">
        <v>99900</v>
      </c>
      <c r="N659" s="10">
        <v>0.9</v>
      </c>
      <c r="O659" s="9">
        <f t="shared" si="69"/>
        <v>9989.9999999999982</v>
      </c>
      <c r="P659" s="7" t="s">
        <v>16</v>
      </c>
    </row>
    <row r="660" spans="1:16" customFormat="1" x14ac:dyDescent="0.25">
      <c r="A660" s="33" t="str">
        <f t="shared" si="68"/>
        <v>2023 ALL D90</v>
      </c>
      <c r="B660" s="8">
        <f t="shared" si="70"/>
        <v>46099</v>
      </c>
      <c r="C660" s="8">
        <f t="shared" si="71"/>
        <v>46113</v>
      </c>
      <c r="D660" s="7">
        <v>3272</v>
      </c>
      <c r="E660" s="7">
        <v>336</v>
      </c>
      <c r="F660" s="7">
        <v>4</v>
      </c>
      <c r="G660" s="7">
        <v>1</v>
      </c>
      <c r="H660" s="7">
        <v>81676</v>
      </c>
      <c r="I660" s="7" t="s">
        <v>104</v>
      </c>
      <c r="J660" s="7">
        <v>83493832</v>
      </c>
      <c r="K660" s="7" t="s">
        <v>759</v>
      </c>
      <c r="L660" s="7" t="s">
        <v>767</v>
      </c>
      <c r="M660" s="9">
        <v>99900</v>
      </c>
      <c r="N660" s="10">
        <v>0.9</v>
      </c>
      <c r="O660" s="9">
        <f t="shared" si="69"/>
        <v>9989.9999999999982</v>
      </c>
      <c r="P660" s="7" t="s">
        <v>16</v>
      </c>
    </row>
    <row r="661" spans="1:16" customFormat="1" x14ac:dyDescent="0.25">
      <c r="A661" s="33" t="str">
        <f t="shared" si="68"/>
        <v>2023 ALL D90</v>
      </c>
      <c r="B661" s="8">
        <f t="shared" si="70"/>
        <v>46099</v>
      </c>
      <c r="C661" s="8">
        <f t="shared" si="71"/>
        <v>46113</v>
      </c>
      <c r="D661" s="7">
        <v>3272</v>
      </c>
      <c r="E661" s="7">
        <v>336</v>
      </c>
      <c r="F661" s="7">
        <v>4</v>
      </c>
      <c r="G661" s="7">
        <v>1</v>
      </c>
      <c r="H661" s="7">
        <v>81676</v>
      </c>
      <c r="I661" s="7" t="s">
        <v>104</v>
      </c>
      <c r="J661" s="7">
        <v>83493841</v>
      </c>
      <c r="K661" s="7" t="s">
        <v>768</v>
      </c>
      <c r="L661" s="7" t="s">
        <v>769</v>
      </c>
      <c r="M661" s="9">
        <v>99900</v>
      </c>
      <c r="N661" s="10">
        <v>0.9</v>
      </c>
      <c r="O661" s="9">
        <f t="shared" si="69"/>
        <v>9989.9999999999982</v>
      </c>
      <c r="P661" s="7" t="s">
        <v>16</v>
      </c>
    </row>
    <row r="662" spans="1:16" customFormat="1" x14ac:dyDescent="0.25">
      <c r="A662" s="33" t="str">
        <f t="shared" si="68"/>
        <v>2023 ALL D90</v>
      </c>
      <c r="B662" s="8">
        <f t="shared" si="70"/>
        <v>46099</v>
      </c>
      <c r="C662" s="8">
        <f t="shared" si="71"/>
        <v>46113</v>
      </c>
      <c r="D662" s="7">
        <v>3272</v>
      </c>
      <c r="E662" s="7">
        <v>336</v>
      </c>
      <c r="F662" s="7">
        <v>4</v>
      </c>
      <c r="G662" s="7">
        <v>1</v>
      </c>
      <c r="H662" s="7">
        <v>81676</v>
      </c>
      <c r="I662" s="7" t="s">
        <v>104</v>
      </c>
      <c r="J662" s="7">
        <v>83493850</v>
      </c>
      <c r="K662" s="7" t="s">
        <v>768</v>
      </c>
      <c r="L662" s="7" t="s">
        <v>770</v>
      </c>
      <c r="M662" s="9">
        <v>99900</v>
      </c>
      <c r="N662" s="10">
        <v>0.9</v>
      </c>
      <c r="O662" s="9">
        <f t="shared" si="69"/>
        <v>9989.9999999999982</v>
      </c>
      <c r="P662" s="7" t="s">
        <v>16</v>
      </c>
    </row>
    <row r="663" spans="1:16" customFormat="1" x14ac:dyDescent="0.25">
      <c r="A663" s="33" t="str">
        <f t="shared" si="68"/>
        <v>2023 ALL D90</v>
      </c>
      <c r="B663" s="8">
        <f t="shared" si="70"/>
        <v>46099</v>
      </c>
      <c r="C663" s="8">
        <f t="shared" si="71"/>
        <v>46113</v>
      </c>
      <c r="D663" s="7">
        <v>3272</v>
      </c>
      <c r="E663" s="7">
        <v>336</v>
      </c>
      <c r="F663" s="7">
        <v>4</v>
      </c>
      <c r="G663" s="7">
        <v>1</v>
      </c>
      <c r="H663" s="7">
        <v>81676</v>
      </c>
      <c r="I663" s="7" t="s">
        <v>104</v>
      </c>
      <c r="J663" s="7">
        <v>83493869</v>
      </c>
      <c r="K663" s="7" t="s">
        <v>768</v>
      </c>
      <c r="L663" s="7" t="s">
        <v>771</v>
      </c>
      <c r="M663" s="9">
        <v>99900</v>
      </c>
      <c r="N663" s="10">
        <v>0.9</v>
      </c>
      <c r="O663" s="9">
        <f t="shared" si="69"/>
        <v>9989.9999999999982</v>
      </c>
      <c r="P663" s="7" t="s">
        <v>16</v>
      </c>
    </row>
    <row r="664" spans="1:16" customFormat="1" x14ac:dyDescent="0.25">
      <c r="A664" s="33" t="str">
        <f t="shared" si="68"/>
        <v>2023 ALL D90</v>
      </c>
      <c r="B664" s="8">
        <f t="shared" si="70"/>
        <v>46099</v>
      </c>
      <c r="C664" s="8">
        <f t="shared" si="71"/>
        <v>46113</v>
      </c>
      <c r="D664" s="7">
        <v>3272</v>
      </c>
      <c r="E664" s="7">
        <v>336</v>
      </c>
      <c r="F664" s="7">
        <v>4</v>
      </c>
      <c r="G664" s="7">
        <v>1</v>
      </c>
      <c r="H664" s="7">
        <v>81676</v>
      </c>
      <c r="I664" s="7" t="s">
        <v>104</v>
      </c>
      <c r="J664" s="7">
        <v>83493878</v>
      </c>
      <c r="K664" s="7" t="s">
        <v>768</v>
      </c>
      <c r="L664" s="7" t="s">
        <v>772</v>
      </c>
      <c r="M664" s="9">
        <v>99900</v>
      </c>
      <c r="N664" s="10">
        <v>0.9</v>
      </c>
      <c r="O664" s="9">
        <f t="shared" si="69"/>
        <v>9989.9999999999982</v>
      </c>
      <c r="P664" s="7" t="s">
        <v>16</v>
      </c>
    </row>
    <row r="665" spans="1:16" customFormat="1" x14ac:dyDescent="0.25">
      <c r="A665" s="33" t="str">
        <f t="shared" si="68"/>
        <v>2023 ALL D90</v>
      </c>
      <c r="B665" s="8">
        <f t="shared" si="70"/>
        <v>46099</v>
      </c>
      <c r="C665" s="8">
        <f t="shared" si="71"/>
        <v>46113</v>
      </c>
      <c r="D665" s="7">
        <v>3272</v>
      </c>
      <c r="E665" s="7">
        <v>336</v>
      </c>
      <c r="F665" s="7">
        <v>4</v>
      </c>
      <c r="G665" s="7">
        <v>1</v>
      </c>
      <c r="H665" s="7">
        <v>81676</v>
      </c>
      <c r="I665" s="7" t="s">
        <v>104</v>
      </c>
      <c r="J665" s="7">
        <v>83493887</v>
      </c>
      <c r="K665" s="7" t="s">
        <v>768</v>
      </c>
      <c r="L665" s="7" t="s">
        <v>773</v>
      </c>
      <c r="M665" s="9">
        <v>99900</v>
      </c>
      <c r="N665" s="10">
        <v>0.9</v>
      </c>
      <c r="O665" s="9">
        <f t="shared" si="69"/>
        <v>9989.9999999999982</v>
      </c>
      <c r="P665" s="7" t="s">
        <v>16</v>
      </c>
    </row>
    <row r="666" spans="1:16" customFormat="1" x14ac:dyDescent="0.25">
      <c r="A666" s="33" t="str">
        <f t="shared" si="68"/>
        <v>2023 ALL D90</v>
      </c>
      <c r="B666" s="8">
        <f t="shared" si="70"/>
        <v>46099</v>
      </c>
      <c r="C666" s="8">
        <f t="shared" si="71"/>
        <v>46113</v>
      </c>
      <c r="D666" s="7">
        <v>3272</v>
      </c>
      <c r="E666" s="7">
        <v>336</v>
      </c>
      <c r="F666" s="7">
        <v>4</v>
      </c>
      <c r="G666" s="7">
        <v>1</v>
      </c>
      <c r="H666" s="7">
        <v>81676</v>
      </c>
      <c r="I666" s="7" t="s">
        <v>104</v>
      </c>
      <c r="J666" s="7">
        <v>83493896</v>
      </c>
      <c r="K666" s="7" t="s">
        <v>768</v>
      </c>
      <c r="L666" s="7" t="s">
        <v>774</v>
      </c>
      <c r="M666" s="9">
        <v>99900</v>
      </c>
      <c r="N666" s="10">
        <v>0.9</v>
      </c>
      <c r="O666" s="9">
        <f t="shared" si="69"/>
        <v>9989.9999999999982</v>
      </c>
      <c r="P666" s="7" t="s">
        <v>16</v>
      </c>
    </row>
    <row r="667" spans="1:16" customFormat="1" x14ac:dyDescent="0.25">
      <c r="A667" s="33" t="str">
        <f t="shared" si="68"/>
        <v>2023 ALL D90</v>
      </c>
      <c r="B667" s="8">
        <f t="shared" si="70"/>
        <v>46099</v>
      </c>
      <c r="C667" s="8">
        <f t="shared" si="71"/>
        <v>46113</v>
      </c>
      <c r="D667" s="7">
        <v>3272</v>
      </c>
      <c r="E667" s="7">
        <v>336</v>
      </c>
      <c r="F667" s="7">
        <v>4</v>
      </c>
      <c r="G667" s="7">
        <v>1</v>
      </c>
      <c r="H667" s="7">
        <v>81676</v>
      </c>
      <c r="I667" s="7" t="s">
        <v>104</v>
      </c>
      <c r="J667" s="7">
        <v>83493903</v>
      </c>
      <c r="K667" s="7" t="s">
        <v>775</v>
      </c>
      <c r="L667" s="7" t="s">
        <v>776</v>
      </c>
      <c r="M667" s="9">
        <v>119900</v>
      </c>
      <c r="N667" s="10">
        <v>0.9</v>
      </c>
      <c r="O667" s="9">
        <f t="shared" si="69"/>
        <v>11989.999999999998</v>
      </c>
      <c r="P667" s="7" t="s">
        <v>16</v>
      </c>
    </row>
    <row r="668" spans="1:16" customFormat="1" x14ac:dyDescent="0.25">
      <c r="A668" s="33" t="str">
        <f t="shared" si="68"/>
        <v>2023 ALL D90</v>
      </c>
      <c r="B668" s="8">
        <f t="shared" si="70"/>
        <v>46099</v>
      </c>
      <c r="C668" s="8">
        <f t="shared" si="71"/>
        <v>46113</v>
      </c>
      <c r="D668" s="7">
        <v>3272</v>
      </c>
      <c r="E668" s="7">
        <v>336</v>
      </c>
      <c r="F668" s="7">
        <v>4</v>
      </c>
      <c r="G668" s="7">
        <v>1</v>
      </c>
      <c r="H668" s="7">
        <v>81676</v>
      </c>
      <c r="I668" s="7" t="s">
        <v>104</v>
      </c>
      <c r="J668" s="7">
        <v>83493912</v>
      </c>
      <c r="K668" s="7" t="s">
        <v>775</v>
      </c>
      <c r="L668" s="7" t="s">
        <v>777</v>
      </c>
      <c r="M668" s="9">
        <v>119900</v>
      </c>
      <c r="N668" s="10">
        <v>0.9</v>
      </c>
      <c r="O668" s="9">
        <f t="shared" si="69"/>
        <v>11989.999999999998</v>
      </c>
      <c r="P668" s="7" t="s">
        <v>16</v>
      </c>
    </row>
    <row r="669" spans="1:16" customFormat="1" x14ac:dyDescent="0.25">
      <c r="A669" s="33" t="str">
        <f t="shared" si="68"/>
        <v>2023 ALL D90</v>
      </c>
      <c r="B669" s="8">
        <f t="shared" si="70"/>
        <v>46099</v>
      </c>
      <c r="C669" s="8">
        <f t="shared" si="71"/>
        <v>46113</v>
      </c>
      <c r="D669" s="7">
        <v>3272</v>
      </c>
      <c r="E669" s="7">
        <v>336</v>
      </c>
      <c r="F669" s="7">
        <v>4</v>
      </c>
      <c r="G669" s="7">
        <v>1</v>
      </c>
      <c r="H669" s="7">
        <v>81676</v>
      </c>
      <c r="I669" s="7" t="s">
        <v>104</v>
      </c>
      <c r="J669" s="7">
        <v>83493921</v>
      </c>
      <c r="K669" s="7" t="s">
        <v>775</v>
      </c>
      <c r="L669" s="7" t="s">
        <v>778</v>
      </c>
      <c r="M669" s="9">
        <v>119900</v>
      </c>
      <c r="N669" s="10">
        <v>0.9</v>
      </c>
      <c r="O669" s="9">
        <f t="shared" si="69"/>
        <v>11989.999999999998</v>
      </c>
      <c r="P669" s="7" t="s">
        <v>16</v>
      </c>
    </row>
    <row r="670" spans="1:16" customFormat="1" x14ac:dyDescent="0.25">
      <c r="A670" s="33" t="str">
        <f t="shared" si="68"/>
        <v>2023 ALL D90</v>
      </c>
      <c r="B670" s="8">
        <f t="shared" si="70"/>
        <v>46099</v>
      </c>
      <c r="C670" s="8">
        <f t="shared" si="71"/>
        <v>46113</v>
      </c>
      <c r="D670" s="7">
        <v>3272</v>
      </c>
      <c r="E670" s="7">
        <v>336</v>
      </c>
      <c r="F670" s="7">
        <v>4</v>
      </c>
      <c r="G670" s="7">
        <v>1</v>
      </c>
      <c r="H670" s="7">
        <v>81676</v>
      </c>
      <c r="I670" s="7" t="s">
        <v>104</v>
      </c>
      <c r="J670" s="7">
        <v>83493930</v>
      </c>
      <c r="K670" s="7" t="s">
        <v>775</v>
      </c>
      <c r="L670" s="7" t="s">
        <v>779</v>
      </c>
      <c r="M670" s="9">
        <v>119900</v>
      </c>
      <c r="N670" s="10">
        <v>0.9</v>
      </c>
      <c r="O670" s="9">
        <f t="shared" si="69"/>
        <v>11989.999999999998</v>
      </c>
      <c r="P670" s="7" t="s">
        <v>16</v>
      </c>
    </row>
    <row r="671" spans="1:16" customFormat="1" x14ac:dyDescent="0.25">
      <c r="A671" s="33" t="str">
        <f t="shared" si="68"/>
        <v>2023 ALL D90</v>
      </c>
      <c r="B671" s="8">
        <f t="shared" si="70"/>
        <v>46099</v>
      </c>
      <c r="C671" s="8">
        <f t="shared" si="71"/>
        <v>46113</v>
      </c>
      <c r="D671" s="7">
        <v>3272</v>
      </c>
      <c r="E671" s="7">
        <v>336</v>
      </c>
      <c r="F671" s="7">
        <v>4</v>
      </c>
      <c r="G671" s="7">
        <v>1</v>
      </c>
      <c r="H671" s="7">
        <v>81676</v>
      </c>
      <c r="I671" s="7" t="s">
        <v>104</v>
      </c>
      <c r="J671" s="7">
        <v>83493949</v>
      </c>
      <c r="K671" s="7" t="s">
        <v>775</v>
      </c>
      <c r="L671" s="7" t="s">
        <v>780</v>
      </c>
      <c r="M671" s="9">
        <v>119900</v>
      </c>
      <c r="N671" s="10">
        <v>0.9</v>
      </c>
      <c r="O671" s="9">
        <f t="shared" si="69"/>
        <v>11989.999999999998</v>
      </c>
      <c r="P671" s="7" t="s">
        <v>16</v>
      </c>
    </row>
    <row r="672" spans="1:16" customFormat="1" x14ac:dyDescent="0.25">
      <c r="A672" s="33" t="str">
        <f t="shared" si="68"/>
        <v>2023 ALL D90</v>
      </c>
      <c r="B672" s="8">
        <f t="shared" si="70"/>
        <v>46099</v>
      </c>
      <c r="C672" s="8">
        <f t="shared" si="71"/>
        <v>46113</v>
      </c>
      <c r="D672" s="7">
        <v>3272</v>
      </c>
      <c r="E672" s="7">
        <v>336</v>
      </c>
      <c r="F672" s="7">
        <v>4</v>
      </c>
      <c r="G672" s="7">
        <v>1</v>
      </c>
      <c r="H672" s="7">
        <v>81676</v>
      </c>
      <c r="I672" s="7" t="s">
        <v>104</v>
      </c>
      <c r="J672" s="7">
        <v>83493958</v>
      </c>
      <c r="K672" s="7" t="s">
        <v>775</v>
      </c>
      <c r="L672" s="7" t="s">
        <v>781</v>
      </c>
      <c r="M672" s="9">
        <v>119900</v>
      </c>
      <c r="N672" s="10">
        <v>0.9</v>
      </c>
      <c r="O672" s="9">
        <f t="shared" si="69"/>
        <v>11989.999999999998</v>
      </c>
      <c r="P672" s="7" t="s">
        <v>16</v>
      </c>
    </row>
    <row r="673" spans="1:16" customFormat="1" x14ac:dyDescent="0.25">
      <c r="A673" s="33" t="str">
        <f t="shared" si="68"/>
        <v>2023 ALL D90</v>
      </c>
      <c r="B673" s="8">
        <f t="shared" si="70"/>
        <v>46099</v>
      </c>
      <c r="C673" s="8">
        <f t="shared" si="71"/>
        <v>46113</v>
      </c>
      <c r="D673" s="7">
        <v>3272</v>
      </c>
      <c r="E673" s="7">
        <v>336</v>
      </c>
      <c r="F673" s="7">
        <v>4</v>
      </c>
      <c r="G673" s="7">
        <v>1</v>
      </c>
      <c r="H673" s="7">
        <v>81676</v>
      </c>
      <c r="I673" s="7" t="s">
        <v>104</v>
      </c>
      <c r="J673" s="7">
        <v>83493967</v>
      </c>
      <c r="K673" s="7" t="s">
        <v>775</v>
      </c>
      <c r="L673" s="7" t="s">
        <v>782</v>
      </c>
      <c r="M673" s="9">
        <v>119900</v>
      </c>
      <c r="N673" s="10">
        <v>0.9</v>
      </c>
      <c r="O673" s="9">
        <f t="shared" si="69"/>
        <v>11989.999999999998</v>
      </c>
      <c r="P673" s="7" t="s">
        <v>16</v>
      </c>
    </row>
    <row r="674" spans="1:16" customFormat="1" x14ac:dyDescent="0.25">
      <c r="A674" s="33" t="str">
        <f t="shared" si="68"/>
        <v>2023 ALL D90</v>
      </c>
      <c r="B674" s="8">
        <f t="shared" si="70"/>
        <v>46099</v>
      </c>
      <c r="C674" s="8">
        <f t="shared" si="71"/>
        <v>46113</v>
      </c>
      <c r="D674" s="7">
        <v>3272</v>
      </c>
      <c r="E674" s="7">
        <v>336</v>
      </c>
      <c r="F674" s="7">
        <v>4</v>
      </c>
      <c r="G674" s="7">
        <v>1</v>
      </c>
      <c r="H674" s="7">
        <v>81676</v>
      </c>
      <c r="I674" s="7" t="s">
        <v>104</v>
      </c>
      <c r="J674" s="7">
        <v>83493976</v>
      </c>
      <c r="K674" s="7" t="s">
        <v>775</v>
      </c>
      <c r="L674" s="7" t="s">
        <v>783</v>
      </c>
      <c r="M674" s="9">
        <v>119900</v>
      </c>
      <c r="N674" s="10">
        <v>0.9</v>
      </c>
      <c r="O674" s="9">
        <f t="shared" si="69"/>
        <v>11989.999999999998</v>
      </c>
      <c r="P674" s="7" t="s">
        <v>16</v>
      </c>
    </row>
    <row r="675" spans="1:16" customFormat="1" x14ac:dyDescent="0.25">
      <c r="A675" s="33" t="str">
        <f t="shared" si="68"/>
        <v>2023 ALL D90</v>
      </c>
      <c r="B675" s="8">
        <f t="shared" si="70"/>
        <v>46099</v>
      </c>
      <c r="C675" s="8">
        <f t="shared" si="71"/>
        <v>46113</v>
      </c>
      <c r="D675" s="7">
        <v>3272</v>
      </c>
      <c r="E675" s="7">
        <v>336</v>
      </c>
      <c r="F675" s="7">
        <v>4</v>
      </c>
      <c r="G675" s="7">
        <v>1</v>
      </c>
      <c r="H675" s="7">
        <v>81676</v>
      </c>
      <c r="I675" s="7" t="s">
        <v>104</v>
      </c>
      <c r="J675" s="7">
        <v>83493985</v>
      </c>
      <c r="K675" s="7" t="s">
        <v>784</v>
      </c>
      <c r="L675" s="7" t="s">
        <v>785</v>
      </c>
      <c r="M675" s="9">
        <v>119900</v>
      </c>
      <c r="N675" s="10">
        <v>0.9</v>
      </c>
      <c r="O675" s="9">
        <f t="shared" si="69"/>
        <v>11989.999999999998</v>
      </c>
      <c r="P675" s="7" t="s">
        <v>16</v>
      </c>
    </row>
    <row r="676" spans="1:16" customFormat="1" x14ac:dyDescent="0.25">
      <c r="A676" s="33" t="str">
        <f t="shared" si="68"/>
        <v>2023 ALL D90</v>
      </c>
      <c r="B676" s="8">
        <f t="shared" si="70"/>
        <v>46099</v>
      </c>
      <c r="C676" s="8">
        <f t="shared" si="71"/>
        <v>46113</v>
      </c>
      <c r="D676" s="7">
        <v>3272</v>
      </c>
      <c r="E676" s="7">
        <v>336</v>
      </c>
      <c r="F676" s="7">
        <v>4</v>
      </c>
      <c r="G676" s="7">
        <v>1</v>
      </c>
      <c r="H676" s="7">
        <v>81676</v>
      </c>
      <c r="I676" s="7" t="s">
        <v>104</v>
      </c>
      <c r="J676" s="7">
        <v>83493994</v>
      </c>
      <c r="K676" s="7" t="s">
        <v>784</v>
      </c>
      <c r="L676" s="7" t="s">
        <v>786</v>
      </c>
      <c r="M676" s="9">
        <v>119900</v>
      </c>
      <c r="N676" s="10">
        <v>0.9</v>
      </c>
      <c r="O676" s="9">
        <f t="shared" si="69"/>
        <v>11989.999999999998</v>
      </c>
      <c r="P676" s="7" t="s">
        <v>16</v>
      </c>
    </row>
    <row r="677" spans="1:16" customFormat="1" x14ac:dyDescent="0.25">
      <c r="A677" s="33" t="str">
        <f t="shared" si="68"/>
        <v>2023 ALL D90</v>
      </c>
      <c r="B677" s="8">
        <f t="shared" si="70"/>
        <v>46099</v>
      </c>
      <c r="C677" s="8">
        <f t="shared" si="71"/>
        <v>46113</v>
      </c>
      <c r="D677" s="7">
        <v>3272</v>
      </c>
      <c r="E677" s="7">
        <v>336</v>
      </c>
      <c r="F677" s="7">
        <v>4</v>
      </c>
      <c r="G677" s="7">
        <v>1</v>
      </c>
      <c r="H677" s="7">
        <v>81676</v>
      </c>
      <c r="I677" s="7" t="s">
        <v>104</v>
      </c>
      <c r="J677" s="7">
        <v>83494000</v>
      </c>
      <c r="K677" s="7" t="s">
        <v>784</v>
      </c>
      <c r="L677" s="7" t="s">
        <v>787</v>
      </c>
      <c r="M677" s="9">
        <v>119900</v>
      </c>
      <c r="N677" s="10">
        <v>0.9</v>
      </c>
      <c r="O677" s="9">
        <f t="shared" si="69"/>
        <v>11989.999999999998</v>
      </c>
      <c r="P677" s="7" t="s">
        <v>16</v>
      </c>
    </row>
    <row r="678" spans="1:16" customFormat="1" x14ac:dyDescent="0.25">
      <c r="A678" s="33" t="str">
        <f t="shared" si="68"/>
        <v>2023 ALL D90</v>
      </c>
      <c r="B678" s="8">
        <f t="shared" si="70"/>
        <v>46099</v>
      </c>
      <c r="C678" s="8">
        <f t="shared" si="71"/>
        <v>46113</v>
      </c>
      <c r="D678" s="7">
        <v>3272</v>
      </c>
      <c r="E678" s="7">
        <v>336</v>
      </c>
      <c r="F678" s="7">
        <v>4</v>
      </c>
      <c r="G678" s="7">
        <v>1</v>
      </c>
      <c r="H678" s="7">
        <v>81676</v>
      </c>
      <c r="I678" s="7" t="s">
        <v>104</v>
      </c>
      <c r="J678" s="7">
        <v>83494019</v>
      </c>
      <c r="K678" s="7" t="s">
        <v>784</v>
      </c>
      <c r="L678" s="7" t="s">
        <v>788</v>
      </c>
      <c r="M678" s="9">
        <v>119900</v>
      </c>
      <c r="N678" s="10">
        <v>0.9</v>
      </c>
      <c r="O678" s="9">
        <f t="shared" si="69"/>
        <v>11989.999999999998</v>
      </c>
      <c r="P678" s="7" t="s">
        <v>16</v>
      </c>
    </row>
    <row r="679" spans="1:16" customFormat="1" x14ac:dyDescent="0.25">
      <c r="A679" s="33" t="str">
        <f t="shared" si="68"/>
        <v>2023 ALL D90</v>
      </c>
      <c r="B679" s="8">
        <f t="shared" si="70"/>
        <v>46099</v>
      </c>
      <c r="C679" s="8">
        <f t="shared" si="71"/>
        <v>46113</v>
      </c>
      <c r="D679" s="7">
        <v>3272</v>
      </c>
      <c r="E679" s="7">
        <v>336</v>
      </c>
      <c r="F679" s="7">
        <v>4</v>
      </c>
      <c r="G679" s="7">
        <v>1</v>
      </c>
      <c r="H679" s="7">
        <v>81676</v>
      </c>
      <c r="I679" s="7" t="s">
        <v>104</v>
      </c>
      <c r="J679" s="7">
        <v>83494028</v>
      </c>
      <c r="K679" s="7" t="s">
        <v>784</v>
      </c>
      <c r="L679" s="7" t="s">
        <v>789</v>
      </c>
      <c r="M679" s="9">
        <v>119900</v>
      </c>
      <c r="N679" s="10">
        <v>0.9</v>
      </c>
      <c r="O679" s="9">
        <f t="shared" si="69"/>
        <v>11989.999999999998</v>
      </c>
      <c r="P679" s="7" t="s">
        <v>16</v>
      </c>
    </row>
    <row r="680" spans="1:16" customFormat="1" x14ac:dyDescent="0.25">
      <c r="A680" s="33" t="str">
        <f t="shared" si="68"/>
        <v>2023 ALL D90</v>
      </c>
      <c r="B680" s="8">
        <f t="shared" si="70"/>
        <v>46099</v>
      </c>
      <c r="C680" s="8">
        <f t="shared" si="71"/>
        <v>46113</v>
      </c>
      <c r="D680" s="7">
        <v>3272</v>
      </c>
      <c r="E680" s="7">
        <v>336</v>
      </c>
      <c r="F680" s="7">
        <v>4</v>
      </c>
      <c r="G680" s="7">
        <v>1</v>
      </c>
      <c r="H680" s="7">
        <v>81676</v>
      </c>
      <c r="I680" s="7" t="s">
        <v>104</v>
      </c>
      <c r="J680" s="7">
        <v>83494037</v>
      </c>
      <c r="K680" s="7" t="s">
        <v>784</v>
      </c>
      <c r="L680" s="7" t="s">
        <v>790</v>
      </c>
      <c r="M680" s="9">
        <v>119900</v>
      </c>
      <c r="N680" s="10">
        <v>0.9</v>
      </c>
      <c r="O680" s="9">
        <f t="shared" si="69"/>
        <v>11989.999999999998</v>
      </c>
      <c r="P680" s="7" t="s">
        <v>16</v>
      </c>
    </row>
    <row r="681" spans="1:16" customFormat="1" x14ac:dyDescent="0.25">
      <c r="A681" s="33" t="str">
        <f t="shared" si="68"/>
        <v>2023 ALL D90</v>
      </c>
      <c r="B681" s="8">
        <f t="shared" si="70"/>
        <v>46099</v>
      </c>
      <c r="C681" s="8">
        <f t="shared" si="71"/>
        <v>46113</v>
      </c>
      <c r="D681" s="7">
        <v>3272</v>
      </c>
      <c r="E681" s="7">
        <v>336</v>
      </c>
      <c r="F681" s="7">
        <v>4</v>
      </c>
      <c r="G681" s="7">
        <v>1</v>
      </c>
      <c r="H681" s="7">
        <v>81676</v>
      </c>
      <c r="I681" s="7" t="s">
        <v>104</v>
      </c>
      <c r="J681" s="7">
        <v>83494046</v>
      </c>
      <c r="K681" s="7" t="s">
        <v>784</v>
      </c>
      <c r="L681" s="7" t="s">
        <v>791</v>
      </c>
      <c r="M681" s="9">
        <v>119900</v>
      </c>
      <c r="N681" s="10">
        <v>0.9</v>
      </c>
      <c r="O681" s="9">
        <f t="shared" si="69"/>
        <v>11989.999999999998</v>
      </c>
      <c r="P681" s="7" t="s">
        <v>16</v>
      </c>
    </row>
    <row r="682" spans="1:16" customFormat="1" x14ac:dyDescent="0.25">
      <c r="A682" s="33" t="str">
        <f t="shared" si="68"/>
        <v>2023 ALL D90</v>
      </c>
      <c r="B682" s="8">
        <f t="shared" si="70"/>
        <v>46099</v>
      </c>
      <c r="C682" s="8">
        <f t="shared" si="71"/>
        <v>46113</v>
      </c>
      <c r="D682" s="7">
        <v>3272</v>
      </c>
      <c r="E682" s="7">
        <v>336</v>
      </c>
      <c r="F682" s="7">
        <v>4</v>
      </c>
      <c r="G682" s="7">
        <v>1</v>
      </c>
      <c r="H682" s="7">
        <v>81676</v>
      </c>
      <c r="I682" s="7" t="s">
        <v>104</v>
      </c>
      <c r="J682" s="7">
        <v>83494055</v>
      </c>
      <c r="K682" s="7" t="s">
        <v>784</v>
      </c>
      <c r="L682" s="7" t="s">
        <v>792</v>
      </c>
      <c r="M682" s="9">
        <v>119900</v>
      </c>
      <c r="N682" s="10">
        <v>0.9</v>
      </c>
      <c r="O682" s="9">
        <f t="shared" si="69"/>
        <v>11989.999999999998</v>
      </c>
      <c r="P682" s="7" t="s">
        <v>16</v>
      </c>
    </row>
  </sheetData>
  <autoFilter ref="A1:P337" xr:uid="{00000000-0009-0000-0000-000004000000}"/>
  <conditionalFormatting sqref="J338:J590">
    <cfRule type="duplicateValues" dxfId="7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1E66-4DEB-4DE1-BE6F-1B5447C1EC5D}">
  <dimension ref="A1:P466"/>
  <sheetViews>
    <sheetView workbookViewId="0">
      <selection activeCell="I10" sqref="I10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3" t="s">
        <v>4239</v>
      </c>
      <c r="B2" s="8">
        <f>'2019 ALL D95'!B2</f>
        <v>46099</v>
      </c>
      <c r="C2" s="8">
        <f>'2019 ALL D95'!C2</f>
        <v>46113</v>
      </c>
      <c r="D2" s="33">
        <v>3272</v>
      </c>
      <c r="E2" s="33">
        <v>336</v>
      </c>
      <c r="F2" s="33">
        <v>4</v>
      </c>
      <c r="G2" s="33">
        <v>1</v>
      </c>
      <c r="H2" s="33">
        <v>81379</v>
      </c>
      <c r="I2" s="33" t="s">
        <v>104</v>
      </c>
      <c r="J2" s="33">
        <v>13990284</v>
      </c>
      <c r="K2" s="33" t="s">
        <v>1497</v>
      </c>
      <c r="L2" s="33" t="s">
        <v>1498</v>
      </c>
      <c r="M2" s="34">
        <v>149900</v>
      </c>
      <c r="N2" s="37">
        <v>0.7</v>
      </c>
      <c r="O2" s="34">
        <f t="shared" ref="O2:O65" si="0">M2-((70*M2))/100</f>
        <v>44970</v>
      </c>
      <c r="P2" s="33" t="s">
        <v>16</v>
      </c>
    </row>
    <row r="3" spans="1:16" s="6" customFormat="1" x14ac:dyDescent="0.25">
      <c r="A3" s="33" t="str">
        <f t="shared" ref="A3:A66" si="1">A2</f>
        <v>2024 JAN-JUN D70</v>
      </c>
      <c r="B3" s="8">
        <f t="shared" ref="B3:B66" si="2">B2</f>
        <v>46099</v>
      </c>
      <c r="C3" s="8">
        <f t="shared" ref="C3:C66" si="3">C2</f>
        <v>46113</v>
      </c>
      <c r="D3" s="33">
        <v>3272</v>
      </c>
      <c r="E3" s="33">
        <v>336</v>
      </c>
      <c r="F3" s="33">
        <v>4</v>
      </c>
      <c r="G3" s="33">
        <v>1</v>
      </c>
      <c r="H3" s="33">
        <v>81379</v>
      </c>
      <c r="I3" s="33" t="s">
        <v>104</v>
      </c>
      <c r="J3" s="33">
        <v>13990293</v>
      </c>
      <c r="K3" s="33" t="s">
        <v>1497</v>
      </c>
      <c r="L3" s="33" t="s">
        <v>1499</v>
      </c>
      <c r="M3" s="34">
        <v>149900</v>
      </c>
      <c r="N3" s="37">
        <f t="shared" ref="N3:N66" si="4">N2</f>
        <v>0.7</v>
      </c>
      <c r="O3" s="34">
        <f t="shared" si="0"/>
        <v>44970</v>
      </c>
      <c r="P3" s="34" t="str">
        <f t="shared" ref="P3:P66" si="5">P2</f>
        <v>PERCENTAGE</v>
      </c>
    </row>
    <row r="4" spans="1:16" s="6" customFormat="1" x14ac:dyDescent="0.25">
      <c r="A4" s="33" t="str">
        <f t="shared" si="1"/>
        <v>2024 JAN-JUN D70</v>
      </c>
      <c r="B4" s="8">
        <f t="shared" si="2"/>
        <v>46099</v>
      </c>
      <c r="C4" s="8">
        <f t="shared" si="3"/>
        <v>46113</v>
      </c>
      <c r="D4" s="33">
        <v>3272</v>
      </c>
      <c r="E4" s="33">
        <v>336</v>
      </c>
      <c r="F4" s="33">
        <v>4</v>
      </c>
      <c r="G4" s="33">
        <v>1</v>
      </c>
      <c r="H4" s="33">
        <v>81379</v>
      </c>
      <c r="I4" s="33" t="s">
        <v>104</v>
      </c>
      <c r="J4" s="33">
        <v>13990300</v>
      </c>
      <c r="K4" s="33" t="s">
        <v>1497</v>
      </c>
      <c r="L4" s="33" t="s">
        <v>1500</v>
      </c>
      <c r="M4" s="34">
        <v>149900</v>
      </c>
      <c r="N4" s="37">
        <f t="shared" si="4"/>
        <v>0.7</v>
      </c>
      <c r="O4" s="34">
        <f t="shared" si="0"/>
        <v>44970</v>
      </c>
      <c r="P4" s="34" t="str">
        <f t="shared" si="5"/>
        <v>PERCENTAGE</v>
      </c>
    </row>
    <row r="5" spans="1:16" s="6" customFormat="1" x14ac:dyDescent="0.25">
      <c r="A5" s="33" t="str">
        <f t="shared" si="1"/>
        <v>2024 JAN-JUN D70</v>
      </c>
      <c r="B5" s="8">
        <f t="shared" si="2"/>
        <v>46099</v>
      </c>
      <c r="C5" s="8">
        <f t="shared" si="3"/>
        <v>46113</v>
      </c>
      <c r="D5" s="33">
        <v>3272</v>
      </c>
      <c r="E5" s="33">
        <v>336</v>
      </c>
      <c r="F5" s="33">
        <v>4</v>
      </c>
      <c r="G5" s="33">
        <v>1</v>
      </c>
      <c r="H5" s="33">
        <v>81379</v>
      </c>
      <c r="I5" s="33" t="s">
        <v>104</v>
      </c>
      <c r="J5" s="33">
        <v>13990319</v>
      </c>
      <c r="K5" s="33" t="s">
        <v>1497</v>
      </c>
      <c r="L5" s="33" t="s">
        <v>1501</v>
      </c>
      <c r="M5" s="34">
        <v>149900</v>
      </c>
      <c r="N5" s="37">
        <f t="shared" si="4"/>
        <v>0.7</v>
      </c>
      <c r="O5" s="34">
        <f t="shared" si="0"/>
        <v>44970</v>
      </c>
      <c r="P5" s="34" t="str">
        <f t="shared" si="5"/>
        <v>PERCENTAGE</v>
      </c>
    </row>
    <row r="6" spans="1:16" s="6" customFormat="1" x14ac:dyDescent="0.25">
      <c r="A6" s="33" t="str">
        <f t="shared" si="1"/>
        <v>2024 JAN-JUN D70</v>
      </c>
      <c r="B6" s="8">
        <f t="shared" si="2"/>
        <v>46099</v>
      </c>
      <c r="C6" s="8">
        <f t="shared" si="3"/>
        <v>46113</v>
      </c>
      <c r="D6" s="33">
        <v>3272</v>
      </c>
      <c r="E6" s="33">
        <v>336</v>
      </c>
      <c r="F6" s="33">
        <v>4</v>
      </c>
      <c r="G6" s="33">
        <v>1</v>
      </c>
      <c r="H6" s="33">
        <v>81379</v>
      </c>
      <c r="I6" s="33" t="s">
        <v>104</v>
      </c>
      <c r="J6" s="33">
        <v>13990328</v>
      </c>
      <c r="K6" s="33" t="s">
        <v>1497</v>
      </c>
      <c r="L6" s="33" t="s">
        <v>1502</v>
      </c>
      <c r="M6" s="34">
        <v>149900</v>
      </c>
      <c r="N6" s="37">
        <f t="shared" si="4"/>
        <v>0.7</v>
      </c>
      <c r="O6" s="34">
        <f t="shared" si="0"/>
        <v>44970</v>
      </c>
      <c r="P6" s="34" t="str">
        <f t="shared" si="5"/>
        <v>PERCENTAGE</v>
      </c>
    </row>
    <row r="7" spans="1:16" s="6" customFormat="1" x14ac:dyDescent="0.25">
      <c r="A7" s="33" t="str">
        <f t="shared" si="1"/>
        <v>2024 JAN-JUN D70</v>
      </c>
      <c r="B7" s="8">
        <f t="shared" si="2"/>
        <v>46099</v>
      </c>
      <c r="C7" s="8">
        <f t="shared" si="3"/>
        <v>46113</v>
      </c>
      <c r="D7" s="33">
        <v>3272</v>
      </c>
      <c r="E7" s="33">
        <v>336</v>
      </c>
      <c r="F7" s="33">
        <v>4</v>
      </c>
      <c r="G7" s="33">
        <v>1</v>
      </c>
      <c r="H7" s="33">
        <v>81379</v>
      </c>
      <c r="I7" s="33" t="s">
        <v>104</v>
      </c>
      <c r="J7" s="33">
        <v>13990337</v>
      </c>
      <c r="K7" s="33" t="s">
        <v>1503</v>
      </c>
      <c r="L7" s="33" t="s">
        <v>1504</v>
      </c>
      <c r="M7" s="34">
        <v>139900</v>
      </c>
      <c r="N7" s="37">
        <f t="shared" si="4"/>
        <v>0.7</v>
      </c>
      <c r="O7" s="34">
        <f t="shared" si="0"/>
        <v>41970</v>
      </c>
      <c r="P7" s="34" t="str">
        <f t="shared" si="5"/>
        <v>PERCENTAGE</v>
      </c>
    </row>
    <row r="8" spans="1:16" s="6" customFormat="1" x14ac:dyDescent="0.25">
      <c r="A8" s="33" t="str">
        <f t="shared" si="1"/>
        <v>2024 JAN-JUN D70</v>
      </c>
      <c r="B8" s="8">
        <f t="shared" si="2"/>
        <v>46099</v>
      </c>
      <c r="C8" s="8">
        <f t="shared" si="3"/>
        <v>46113</v>
      </c>
      <c r="D8" s="33">
        <v>3272</v>
      </c>
      <c r="E8" s="33">
        <v>336</v>
      </c>
      <c r="F8" s="33">
        <v>4</v>
      </c>
      <c r="G8" s="33">
        <v>1</v>
      </c>
      <c r="H8" s="33">
        <v>81379</v>
      </c>
      <c r="I8" s="33" t="s">
        <v>104</v>
      </c>
      <c r="J8" s="33">
        <v>13990346</v>
      </c>
      <c r="K8" s="33" t="s">
        <v>1503</v>
      </c>
      <c r="L8" s="33" t="s">
        <v>1505</v>
      </c>
      <c r="M8" s="34">
        <v>139900</v>
      </c>
      <c r="N8" s="37">
        <f t="shared" si="4"/>
        <v>0.7</v>
      </c>
      <c r="O8" s="34">
        <f t="shared" si="0"/>
        <v>41970</v>
      </c>
      <c r="P8" s="34" t="str">
        <f t="shared" si="5"/>
        <v>PERCENTAGE</v>
      </c>
    </row>
    <row r="9" spans="1:16" s="6" customFormat="1" x14ac:dyDescent="0.25">
      <c r="A9" s="33" t="str">
        <f t="shared" si="1"/>
        <v>2024 JAN-JUN D70</v>
      </c>
      <c r="B9" s="8">
        <f t="shared" si="2"/>
        <v>46099</v>
      </c>
      <c r="C9" s="8">
        <f t="shared" si="3"/>
        <v>46113</v>
      </c>
      <c r="D9" s="33">
        <v>3272</v>
      </c>
      <c r="E9" s="33">
        <v>336</v>
      </c>
      <c r="F9" s="33">
        <v>4</v>
      </c>
      <c r="G9" s="33">
        <v>1</v>
      </c>
      <c r="H9" s="33">
        <v>81379</v>
      </c>
      <c r="I9" s="33" t="s">
        <v>104</v>
      </c>
      <c r="J9" s="33">
        <v>13990355</v>
      </c>
      <c r="K9" s="33" t="s">
        <v>1503</v>
      </c>
      <c r="L9" s="33" t="s">
        <v>1506</v>
      </c>
      <c r="M9" s="34">
        <v>139900</v>
      </c>
      <c r="N9" s="37">
        <f t="shared" si="4"/>
        <v>0.7</v>
      </c>
      <c r="O9" s="34">
        <f t="shared" si="0"/>
        <v>41970</v>
      </c>
      <c r="P9" s="34" t="str">
        <f t="shared" si="5"/>
        <v>PERCENTAGE</v>
      </c>
    </row>
    <row r="10" spans="1:16" s="6" customFormat="1" x14ac:dyDescent="0.25">
      <c r="A10" s="33" t="str">
        <f t="shared" si="1"/>
        <v>2024 JAN-JUN D70</v>
      </c>
      <c r="B10" s="8">
        <f t="shared" si="2"/>
        <v>46099</v>
      </c>
      <c r="C10" s="8">
        <f t="shared" si="3"/>
        <v>46113</v>
      </c>
      <c r="D10" s="33">
        <v>3272</v>
      </c>
      <c r="E10" s="33">
        <v>336</v>
      </c>
      <c r="F10" s="33">
        <v>4</v>
      </c>
      <c r="G10" s="33">
        <v>1</v>
      </c>
      <c r="H10" s="33">
        <v>81379</v>
      </c>
      <c r="I10" s="33" t="s">
        <v>104</v>
      </c>
      <c r="J10" s="33">
        <v>13990364</v>
      </c>
      <c r="K10" s="33" t="s">
        <v>1503</v>
      </c>
      <c r="L10" s="33" t="s">
        <v>1507</v>
      </c>
      <c r="M10" s="34">
        <v>139900</v>
      </c>
      <c r="N10" s="37">
        <f t="shared" si="4"/>
        <v>0.7</v>
      </c>
      <c r="O10" s="34">
        <f t="shared" si="0"/>
        <v>41970</v>
      </c>
      <c r="P10" s="34" t="str">
        <f t="shared" si="5"/>
        <v>PERCENTAGE</v>
      </c>
    </row>
    <row r="11" spans="1:16" s="6" customFormat="1" x14ac:dyDescent="0.25">
      <c r="A11" s="33" t="str">
        <f t="shared" si="1"/>
        <v>2024 JAN-JUN D70</v>
      </c>
      <c r="B11" s="8">
        <f t="shared" si="2"/>
        <v>46099</v>
      </c>
      <c r="C11" s="8">
        <f t="shared" si="3"/>
        <v>46113</v>
      </c>
      <c r="D11" s="33">
        <v>3272</v>
      </c>
      <c r="E11" s="33">
        <v>336</v>
      </c>
      <c r="F11" s="33">
        <v>4</v>
      </c>
      <c r="G11" s="33">
        <v>1</v>
      </c>
      <c r="H11" s="33">
        <v>81379</v>
      </c>
      <c r="I11" s="33" t="s">
        <v>104</v>
      </c>
      <c r="J11" s="33">
        <v>13990373</v>
      </c>
      <c r="K11" s="33" t="s">
        <v>1503</v>
      </c>
      <c r="L11" s="33" t="s">
        <v>1508</v>
      </c>
      <c r="M11" s="34">
        <v>139900</v>
      </c>
      <c r="N11" s="37">
        <f t="shared" si="4"/>
        <v>0.7</v>
      </c>
      <c r="O11" s="34">
        <f t="shared" si="0"/>
        <v>41970</v>
      </c>
      <c r="P11" s="34" t="str">
        <f t="shared" si="5"/>
        <v>PERCENTAGE</v>
      </c>
    </row>
    <row r="12" spans="1:16" s="6" customFormat="1" x14ac:dyDescent="0.25">
      <c r="A12" s="33" t="str">
        <f t="shared" si="1"/>
        <v>2024 JAN-JUN D70</v>
      </c>
      <c r="B12" s="8">
        <f t="shared" si="2"/>
        <v>46099</v>
      </c>
      <c r="C12" s="8">
        <f t="shared" si="3"/>
        <v>46113</v>
      </c>
      <c r="D12" s="33">
        <v>3272</v>
      </c>
      <c r="E12" s="33">
        <v>336</v>
      </c>
      <c r="F12" s="33">
        <v>4</v>
      </c>
      <c r="G12" s="33">
        <v>1</v>
      </c>
      <c r="H12" s="33">
        <v>81379</v>
      </c>
      <c r="I12" s="33" t="s">
        <v>104</v>
      </c>
      <c r="J12" s="33">
        <v>13990382</v>
      </c>
      <c r="K12" s="33" t="s">
        <v>1509</v>
      </c>
      <c r="L12" s="33" t="s">
        <v>1510</v>
      </c>
      <c r="M12" s="34">
        <v>149900</v>
      </c>
      <c r="N12" s="37">
        <f t="shared" si="4"/>
        <v>0.7</v>
      </c>
      <c r="O12" s="34">
        <f t="shared" si="0"/>
        <v>44970</v>
      </c>
      <c r="P12" s="34" t="str">
        <f t="shared" si="5"/>
        <v>PERCENTAGE</v>
      </c>
    </row>
    <row r="13" spans="1:16" s="6" customFormat="1" x14ac:dyDescent="0.25">
      <c r="A13" s="33" t="str">
        <f t="shared" si="1"/>
        <v>2024 JAN-JUN D70</v>
      </c>
      <c r="B13" s="8">
        <f t="shared" si="2"/>
        <v>46099</v>
      </c>
      <c r="C13" s="8">
        <f t="shared" si="3"/>
        <v>46113</v>
      </c>
      <c r="D13" s="33">
        <v>3272</v>
      </c>
      <c r="E13" s="33">
        <v>336</v>
      </c>
      <c r="F13" s="33">
        <v>4</v>
      </c>
      <c r="G13" s="33">
        <v>1</v>
      </c>
      <c r="H13" s="33">
        <v>81379</v>
      </c>
      <c r="I13" s="33" t="s">
        <v>104</v>
      </c>
      <c r="J13" s="33">
        <v>13990391</v>
      </c>
      <c r="K13" s="33" t="s">
        <v>1509</v>
      </c>
      <c r="L13" s="33" t="s">
        <v>1511</v>
      </c>
      <c r="M13" s="34">
        <v>149900</v>
      </c>
      <c r="N13" s="37">
        <f t="shared" si="4"/>
        <v>0.7</v>
      </c>
      <c r="O13" s="34">
        <f t="shared" si="0"/>
        <v>44970</v>
      </c>
      <c r="P13" s="34" t="str">
        <f t="shared" si="5"/>
        <v>PERCENTAGE</v>
      </c>
    </row>
    <row r="14" spans="1:16" s="6" customFormat="1" x14ac:dyDescent="0.25">
      <c r="A14" s="33" t="str">
        <f t="shared" si="1"/>
        <v>2024 JAN-JUN D70</v>
      </c>
      <c r="B14" s="8">
        <f t="shared" si="2"/>
        <v>46099</v>
      </c>
      <c r="C14" s="8">
        <f t="shared" si="3"/>
        <v>46113</v>
      </c>
      <c r="D14" s="33">
        <v>3272</v>
      </c>
      <c r="E14" s="33">
        <v>336</v>
      </c>
      <c r="F14" s="33">
        <v>4</v>
      </c>
      <c r="G14" s="33">
        <v>1</v>
      </c>
      <c r="H14" s="33">
        <v>81379</v>
      </c>
      <c r="I14" s="33" t="s">
        <v>104</v>
      </c>
      <c r="J14" s="33">
        <v>13990408</v>
      </c>
      <c r="K14" s="33" t="s">
        <v>1509</v>
      </c>
      <c r="L14" s="33" t="s">
        <v>1512</v>
      </c>
      <c r="M14" s="34">
        <v>149900</v>
      </c>
      <c r="N14" s="37">
        <f t="shared" si="4"/>
        <v>0.7</v>
      </c>
      <c r="O14" s="34">
        <f t="shared" si="0"/>
        <v>44970</v>
      </c>
      <c r="P14" s="34" t="str">
        <f t="shared" si="5"/>
        <v>PERCENTAGE</v>
      </c>
    </row>
    <row r="15" spans="1:16" s="6" customFormat="1" x14ac:dyDescent="0.25">
      <c r="A15" s="33" t="str">
        <f t="shared" si="1"/>
        <v>2024 JAN-JUN D70</v>
      </c>
      <c r="B15" s="8">
        <f t="shared" si="2"/>
        <v>46099</v>
      </c>
      <c r="C15" s="8">
        <f t="shared" si="3"/>
        <v>46113</v>
      </c>
      <c r="D15" s="33">
        <v>3272</v>
      </c>
      <c r="E15" s="33">
        <v>336</v>
      </c>
      <c r="F15" s="33">
        <v>4</v>
      </c>
      <c r="G15" s="33">
        <v>1</v>
      </c>
      <c r="H15" s="33">
        <v>81379</v>
      </c>
      <c r="I15" s="33" t="s">
        <v>104</v>
      </c>
      <c r="J15" s="33">
        <v>13990417</v>
      </c>
      <c r="K15" s="33" t="s">
        <v>1509</v>
      </c>
      <c r="L15" s="33" t="s">
        <v>1513</v>
      </c>
      <c r="M15" s="34">
        <v>149900</v>
      </c>
      <c r="N15" s="37">
        <f t="shared" si="4"/>
        <v>0.7</v>
      </c>
      <c r="O15" s="34">
        <f t="shared" si="0"/>
        <v>44970</v>
      </c>
      <c r="P15" s="34" t="str">
        <f t="shared" si="5"/>
        <v>PERCENTAGE</v>
      </c>
    </row>
    <row r="16" spans="1:16" s="6" customFormat="1" x14ac:dyDescent="0.25">
      <c r="A16" s="33" t="str">
        <f t="shared" si="1"/>
        <v>2024 JAN-JUN D70</v>
      </c>
      <c r="B16" s="8">
        <f t="shared" si="2"/>
        <v>46099</v>
      </c>
      <c r="C16" s="8">
        <f t="shared" si="3"/>
        <v>46113</v>
      </c>
      <c r="D16" s="33">
        <v>3272</v>
      </c>
      <c r="E16" s="33">
        <v>336</v>
      </c>
      <c r="F16" s="33">
        <v>4</v>
      </c>
      <c r="G16" s="33">
        <v>1</v>
      </c>
      <c r="H16" s="33">
        <v>81379</v>
      </c>
      <c r="I16" s="33" t="s">
        <v>104</v>
      </c>
      <c r="J16" s="33">
        <v>13990426</v>
      </c>
      <c r="K16" s="33" t="s">
        <v>1509</v>
      </c>
      <c r="L16" s="33" t="s">
        <v>1514</v>
      </c>
      <c r="M16" s="34">
        <v>149900</v>
      </c>
      <c r="N16" s="37">
        <f t="shared" si="4"/>
        <v>0.7</v>
      </c>
      <c r="O16" s="34">
        <f t="shared" si="0"/>
        <v>44970</v>
      </c>
      <c r="P16" s="34" t="str">
        <f t="shared" si="5"/>
        <v>PERCENTAGE</v>
      </c>
    </row>
    <row r="17" spans="1:16" s="6" customFormat="1" x14ac:dyDescent="0.25">
      <c r="A17" s="33" t="str">
        <f t="shared" si="1"/>
        <v>2024 JAN-JUN D70</v>
      </c>
      <c r="B17" s="8">
        <f t="shared" si="2"/>
        <v>46099</v>
      </c>
      <c r="C17" s="8">
        <f t="shared" si="3"/>
        <v>46113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13990480</v>
      </c>
      <c r="K17" s="33" t="s">
        <v>1515</v>
      </c>
      <c r="L17" s="33" t="s">
        <v>1516</v>
      </c>
      <c r="M17" s="34">
        <v>149900</v>
      </c>
      <c r="N17" s="37">
        <f t="shared" si="4"/>
        <v>0.7</v>
      </c>
      <c r="O17" s="34">
        <f t="shared" si="0"/>
        <v>44970</v>
      </c>
      <c r="P17" s="34" t="str">
        <f t="shared" si="5"/>
        <v>PERCENTAGE</v>
      </c>
    </row>
    <row r="18" spans="1:16" s="6" customFormat="1" x14ac:dyDescent="0.25">
      <c r="A18" s="33" t="str">
        <f t="shared" si="1"/>
        <v>2024 JAN-JUN D70</v>
      </c>
      <c r="B18" s="8">
        <f t="shared" si="2"/>
        <v>46099</v>
      </c>
      <c r="C18" s="8">
        <f t="shared" si="3"/>
        <v>46113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13990499</v>
      </c>
      <c r="K18" s="33" t="s">
        <v>1515</v>
      </c>
      <c r="L18" s="33" t="s">
        <v>1517</v>
      </c>
      <c r="M18" s="34">
        <v>149900</v>
      </c>
      <c r="N18" s="37">
        <f t="shared" si="4"/>
        <v>0.7</v>
      </c>
      <c r="O18" s="34">
        <f t="shared" si="0"/>
        <v>44970</v>
      </c>
      <c r="P18" s="34" t="str">
        <f t="shared" si="5"/>
        <v>PERCENTAGE</v>
      </c>
    </row>
    <row r="19" spans="1:16" s="6" customFormat="1" x14ac:dyDescent="0.25">
      <c r="A19" s="33" t="str">
        <f t="shared" si="1"/>
        <v>2024 JAN-JUN D70</v>
      </c>
      <c r="B19" s="8">
        <f t="shared" si="2"/>
        <v>46099</v>
      </c>
      <c r="C19" s="8">
        <f t="shared" si="3"/>
        <v>46113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13990506</v>
      </c>
      <c r="K19" s="33" t="s">
        <v>1515</v>
      </c>
      <c r="L19" s="33" t="s">
        <v>1518</v>
      </c>
      <c r="M19" s="34">
        <v>149900</v>
      </c>
      <c r="N19" s="37">
        <f t="shared" si="4"/>
        <v>0.7</v>
      </c>
      <c r="O19" s="34">
        <f t="shared" si="0"/>
        <v>44970</v>
      </c>
      <c r="P19" s="34" t="str">
        <f t="shared" si="5"/>
        <v>PERCENTAGE</v>
      </c>
    </row>
    <row r="20" spans="1:16" s="6" customFormat="1" x14ac:dyDescent="0.25">
      <c r="A20" s="33" t="str">
        <f t="shared" si="1"/>
        <v>2024 JAN-JUN D70</v>
      </c>
      <c r="B20" s="8">
        <f t="shared" si="2"/>
        <v>46099</v>
      </c>
      <c r="C20" s="8">
        <f t="shared" si="3"/>
        <v>46113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13990515</v>
      </c>
      <c r="K20" s="33" t="s">
        <v>1515</v>
      </c>
      <c r="L20" s="33" t="s">
        <v>1519</v>
      </c>
      <c r="M20" s="34">
        <v>149900</v>
      </c>
      <c r="N20" s="37">
        <f t="shared" si="4"/>
        <v>0.7</v>
      </c>
      <c r="O20" s="34">
        <f t="shared" si="0"/>
        <v>44970</v>
      </c>
      <c r="P20" s="34" t="str">
        <f t="shared" si="5"/>
        <v>PERCENTAGE</v>
      </c>
    </row>
    <row r="21" spans="1:16" s="6" customFormat="1" x14ac:dyDescent="0.25">
      <c r="A21" s="33" t="str">
        <f t="shared" si="1"/>
        <v>2024 JAN-JUN D70</v>
      </c>
      <c r="B21" s="8">
        <f t="shared" si="2"/>
        <v>46099</v>
      </c>
      <c r="C21" s="8">
        <f t="shared" si="3"/>
        <v>46113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13990524</v>
      </c>
      <c r="K21" s="33" t="s">
        <v>1515</v>
      </c>
      <c r="L21" s="33" t="s">
        <v>1520</v>
      </c>
      <c r="M21" s="34">
        <v>149900</v>
      </c>
      <c r="N21" s="37">
        <f t="shared" si="4"/>
        <v>0.7</v>
      </c>
      <c r="O21" s="34">
        <f t="shared" si="0"/>
        <v>44970</v>
      </c>
      <c r="P21" s="34" t="str">
        <f t="shared" si="5"/>
        <v>PERCENTAGE</v>
      </c>
    </row>
    <row r="22" spans="1:16" s="6" customFormat="1" x14ac:dyDescent="0.25">
      <c r="A22" s="33" t="str">
        <f t="shared" si="1"/>
        <v>2024 JAN-JUN D70</v>
      </c>
      <c r="B22" s="8">
        <f t="shared" si="2"/>
        <v>46099</v>
      </c>
      <c r="C22" s="8">
        <f t="shared" si="3"/>
        <v>46113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13990533</v>
      </c>
      <c r="K22" s="33" t="s">
        <v>1521</v>
      </c>
      <c r="L22" s="33" t="s">
        <v>1522</v>
      </c>
      <c r="M22" s="34">
        <v>149900</v>
      </c>
      <c r="N22" s="37">
        <f t="shared" si="4"/>
        <v>0.7</v>
      </c>
      <c r="O22" s="34">
        <f t="shared" si="0"/>
        <v>44970</v>
      </c>
      <c r="P22" s="34" t="str">
        <f t="shared" si="5"/>
        <v>PERCENTAGE</v>
      </c>
    </row>
    <row r="23" spans="1:16" s="6" customFormat="1" x14ac:dyDescent="0.25">
      <c r="A23" s="33" t="str">
        <f t="shared" si="1"/>
        <v>2024 JAN-JUN D70</v>
      </c>
      <c r="B23" s="8">
        <f t="shared" si="2"/>
        <v>46099</v>
      </c>
      <c r="C23" s="8">
        <f t="shared" si="3"/>
        <v>46113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13990542</v>
      </c>
      <c r="K23" s="33" t="s">
        <v>1521</v>
      </c>
      <c r="L23" s="33" t="s">
        <v>1523</v>
      </c>
      <c r="M23" s="34">
        <v>149900</v>
      </c>
      <c r="N23" s="37">
        <f t="shared" si="4"/>
        <v>0.7</v>
      </c>
      <c r="O23" s="34">
        <f t="shared" si="0"/>
        <v>44970</v>
      </c>
      <c r="P23" s="34" t="str">
        <f t="shared" si="5"/>
        <v>PERCENTAGE</v>
      </c>
    </row>
    <row r="24" spans="1:16" s="6" customFormat="1" x14ac:dyDescent="0.25">
      <c r="A24" s="33" t="str">
        <f t="shared" si="1"/>
        <v>2024 JAN-JUN D70</v>
      </c>
      <c r="B24" s="8">
        <f t="shared" si="2"/>
        <v>46099</v>
      </c>
      <c r="C24" s="8">
        <f t="shared" si="3"/>
        <v>46113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13990551</v>
      </c>
      <c r="K24" s="33" t="s">
        <v>1521</v>
      </c>
      <c r="L24" s="33" t="s">
        <v>1524</v>
      </c>
      <c r="M24" s="34">
        <v>149900</v>
      </c>
      <c r="N24" s="37">
        <f t="shared" si="4"/>
        <v>0.7</v>
      </c>
      <c r="O24" s="34">
        <f t="shared" si="0"/>
        <v>44970</v>
      </c>
      <c r="P24" s="34" t="str">
        <f t="shared" si="5"/>
        <v>PERCENTAGE</v>
      </c>
    </row>
    <row r="25" spans="1:16" s="6" customFormat="1" x14ac:dyDescent="0.25">
      <c r="A25" s="33" t="str">
        <f t="shared" si="1"/>
        <v>2024 JAN-JUN D70</v>
      </c>
      <c r="B25" s="8">
        <f t="shared" si="2"/>
        <v>46099</v>
      </c>
      <c r="C25" s="8">
        <f t="shared" si="3"/>
        <v>46113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13990560</v>
      </c>
      <c r="K25" s="33" t="s">
        <v>1521</v>
      </c>
      <c r="L25" s="33" t="s">
        <v>1525</v>
      </c>
      <c r="M25" s="34">
        <v>149900</v>
      </c>
      <c r="N25" s="37">
        <f t="shared" si="4"/>
        <v>0.7</v>
      </c>
      <c r="O25" s="34">
        <f t="shared" si="0"/>
        <v>44970</v>
      </c>
      <c r="P25" s="34" t="str">
        <f t="shared" si="5"/>
        <v>PERCENTAGE</v>
      </c>
    </row>
    <row r="26" spans="1:16" s="6" customFormat="1" x14ac:dyDescent="0.25">
      <c r="A26" s="33" t="str">
        <f t="shared" si="1"/>
        <v>2024 JAN-JUN D70</v>
      </c>
      <c r="B26" s="8">
        <f t="shared" si="2"/>
        <v>46099</v>
      </c>
      <c r="C26" s="8">
        <f t="shared" si="3"/>
        <v>46113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13990579</v>
      </c>
      <c r="K26" s="33" t="s">
        <v>1521</v>
      </c>
      <c r="L26" s="33" t="s">
        <v>1526</v>
      </c>
      <c r="M26" s="34">
        <v>149900</v>
      </c>
      <c r="N26" s="37">
        <f t="shared" si="4"/>
        <v>0.7</v>
      </c>
      <c r="O26" s="34">
        <f t="shared" si="0"/>
        <v>44970</v>
      </c>
      <c r="P26" s="34" t="str">
        <f t="shared" si="5"/>
        <v>PERCENTAGE</v>
      </c>
    </row>
    <row r="27" spans="1:16" s="6" customFormat="1" x14ac:dyDescent="0.25">
      <c r="A27" s="33" t="str">
        <f t="shared" si="1"/>
        <v>2024 JAN-JUN D70</v>
      </c>
      <c r="B27" s="8">
        <f t="shared" si="2"/>
        <v>46099</v>
      </c>
      <c r="C27" s="8">
        <f t="shared" si="3"/>
        <v>46113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13990588</v>
      </c>
      <c r="K27" s="33" t="s">
        <v>1527</v>
      </c>
      <c r="L27" s="33" t="s">
        <v>1528</v>
      </c>
      <c r="M27" s="34">
        <v>139900</v>
      </c>
      <c r="N27" s="37">
        <f t="shared" si="4"/>
        <v>0.7</v>
      </c>
      <c r="O27" s="34">
        <f t="shared" si="0"/>
        <v>41970</v>
      </c>
      <c r="P27" s="34" t="str">
        <f t="shared" si="5"/>
        <v>PERCENTAGE</v>
      </c>
    </row>
    <row r="28" spans="1:16" s="6" customFormat="1" x14ac:dyDescent="0.25">
      <c r="A28" s="33" t="str">
        <f t="shared" si="1"/>
        <v>2024 JAN-JUN D70</v>
      </c>
      <c r="B28" s="8">
        <f t="shared" si="2"/>
        <v>46099</v>
      </c>
      <c r="C28" s="8">
        <f t="shared" si="3"/>
        <v>46113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13990597</v>
      </c>
      <c r="K28" s="33" t="s">
        <v>1527</v>
      </c>
      <c r="L28" s="33" t="s">
        <v>1529</v>
      </c>
      <c r="M28" s="34">
        <v>139900</v>
      </c>
      <c r="N28" s="37">
        <f t="shared" si="4"/>
        <v>0.7</v>
      </c>
      <c r="O28" s="34">
        <f t="shared" si="0"/>
        <v>41970</v>
      </c>
      <c r="P28" s="34" t="str">
        <f t="shared" si="5"/>
        <v>PERCENTAGE</v>
      </c>
    </row>
    <row r="29" spans="1:16" s="6" customFormat="1" x14ac:dyDescent="0.25">
      <c r="A29" s="33" t="str">
        <f t="shared" si="1"/>
        <v>2024 JAN-JUN D70</v>
      </c>
      <c r="B29" s="8">
        <f t="shared" si="2"/>
        <v>46099</v>
      </c>
      <c r="C29" s="8">
        <f t="shared" si="3"/>
        <v>46113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13990604</v>
      </c>
      <c r="K29" s="33" t="s">
        <v>1527</v>
      </c>
      <c r="L29" s="33" t="s">
        <v>1530</v>
      </c>
      <c r="M29" s="34">
        <v>139900</v>
      </c>
      <c r="N29" s="37">
        <f t="shared" si="4"/>
        <v>0.7</v>
      </c>
      <c r="O29" s="34">
        <f t="shared" si="0"/>
        <v>41970</v>
      </c>
      <c r="P29" s="34" t="str">
        <f t="shared" si="5"/>
        <v>PERCENTAGE</v>
      </c>
    </row>
    <row r="30" spans="1:16" s="6" customFormat="1" x14ac:dyDescent="0.25">
      <c r="A30" s="33" t="str">
        <f t="shared" si="1"/>
        <v>2024 JAN-JUN D70</v>
      </c>
      <c r="B30" s="8">
        <f t="shared" si="2"/>
        <v>46099</v>
      </c>
      <c r="C30" s="8">
        <f t="shared" si="3"/>
        <v>46113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13990613</v>
      </c>
      <c r="K30" s="33" t="s">
        <v>1527</v>
      </c>
      <c r="L30" s="33" t="s">
        <v>1531</v>
      </c>
      <c r="M30" s="34">
        <v>139900</v>
      </c>
      <c r="N30" s="37">
        <f t="shared" si="4"/>
        <v>0.7</v>
      </c>
      <c r="O30" s="34">
        <f t="shared" si="0"/>
        <v>41970</v>
      </c>
      <c r="P30" s="34" t="str">
        <f t="shared" si="5"/>
        <v>PERCENTAGE</v>
      </c>
    </row>
    <row r="31" spans="1:16" s="6" customFormat="1" x14ac:dyDescent="0.25">
      <c r="A31" s="33" t="str">
        <f t="shared" si="1"/>
        <v>2024 JAN-JUN D70</v>
      </c>
      <c r="B31" s="8">
        <f t="shared" si="2"/>
        <v>46099</v>
      </c>
      <c r="C31" s="8">
        <f t="shared" si="3"/>
        <v>46113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13990622</v>
      </c>
      <c r="K31" s="33" t="s">
        <v>1527</v>
      </c>
      <c r="L31" s="33" t="s">
        <v>1532</v>
      </c>
      <c r="M31" s="34">
        <v>139900</v>
      </c>
      <c r="N31" s="37">
        <f t="shared" si="4"/>
        <v>0.7</v>
      </c>
      <c r="O31" s="34">
        <f t="shared" si="0"/>
        <v>41970</v>
      </c>
      <c r="P31" s="34" t="str">
        <f t="shared" si="5"/>
        <v>PERCENTAGE</v>
      </c>
    </row>
    <row r="32" spans="1:16" s="6" customFormat="1" x14ac:dyDescent="0.25">
      <c r="A32" s="33" t="str">
        <f t="shared" si="1"/>
        <v>2024 JAN-JUN D70</v>
      </c>
      <c r="B32" s="8">
        <f t="shared" si="2"/>
        <v>46099</v>
      </c>
      <c r="C32" s="8">
        <f t="shared" si="3"/>
        <v>46113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13990631</v>
      </c>
      <c r="K32" s="33" t="s">
        <v>1533</v>
      </c>
      <c r="L32" s="33" t="s">
        <v>1534</v>
      </c>
      <c r="M32" s="34">
        <v>149900</v>
      </c>
      <c r="N32" s="37">
        <f t="shared" si="4"/>
        <v>0.7</v>
      </c>
      <c r="O32" s="34">
        <f t="shared" si="0"/>
        <v>44970</v>
      </c>
      <c r="P32" s="34" t="str">
        <f t="shared" si="5"/>
        <v>PERCENTAGE</v>
      </c>
    </row>
    <row r="33" spans="1:16" s="6" customFormat="1" x14ac:dyDescent="0.25">
      <c r="A33" s="33" t="str">
        <f t="shared" si="1"/>
        <v>2024 JAN-JUN D70</v>
      </c>
      <c r="B33" s="8">
        <f t="shared" si="2"/>
        <v>46099</v>
      </c>
      <c r="C33" s="8">
        <f t="shared" si="3"/>
        <v>46113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13990640</v>
      </c>
      <c r="K33" s="33" t="s">
        <v>1533</v>
      </c>
      <c r="L33" s="33" t="s">
        <v>1535</v>
      </c>
      <c r="M33" s="34">
        <v>149900</v>
      </c>
      <c r="N33" s="37">
        <f t="shared" si="4"/>
        <v>0.7</v>
      </c>
      <c r="O33" s="34">
        <f t="shared" si="0"/>
        <v>44970</v>
      </c>
      <c r="P33" s="34" t="str">
        <f t="shared" si="5"/>
        <v>PERCENTAGE</v>
      </c>
    </row>
    <row r="34" spans="1:16" s="6" customFormat="1" x14ac:dyDescent="0.25">
      <c r="A34" s="33" t="str">
        <f t="shared" si="1"/>
        <v>2024 JAN-JUN D70</v>
      </c>
      <c r="B34" s="8">
        <f t="shared" si="2"/>
        <v>46099</v>
      </c>
      <c r="C34" s="8">
        <f t="shared" si="3"/>
        <v>46113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13990659</v>
      </c>
      <c r="K34" s="33" t="s">
        <v>1533</v>
      </c>
      <c r="L34" s="33" t="s">
        <v>1536</v>
      </c>
      <c r="M34" s="34">
        <v>149900</v>
      </c>
      <c r="N34" s="37">
        <f t="shared" si="4"/>
        <v>0.7</v>
      </c>
      <c r="O34" s="34">
        <f t="shared" si="0"/>
        <v>44970</v>
      </c>
      <c r="P34" s="34" t="str">
        <f t="shared" si="5"/>
        <v>PERCENTAGE</v>
      </c>
    </row>
    <row r="35" spans="1:16" s="6" customFormat="1" x14ac:dyDescent="0.25">
      <c r="A35" s="33" t="str">
        <f t="shared" si="1"/>
        <v>2024 JAN-JUN D70</v>
      </c>
      <c r="B35" s="8">
        <f t="shared" si="2"/>
        <v>46099</v>
      </c>
      <c r="C35" s="8">
        <f t="shared" si="3"/>
        <v>46113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13990668</v>
      </c>
      <c r="K35" s="33" t="s">
        <v>1533</v>
      </c>
      <c r="L35" s="33" t="s">
        <v>1537</v>
      </c>
      <c r="M35" s="34">
        <v>149900</v>
      </c>
      <c r="N35" s="37">
        <f t="shared" si="4"/>
        <v>0.7</v>
      </c>
      <c r="O35" s="34">
        <f t="shared" si="0"/>
        <v>44970</v>
      </c>
      <c r="P35" s="34" t="str">
        <f t="shared" si="5"/>
        <v>PERCENTAGE</v>
      </c>
    </row>
    <row r="36" spans="1:16" s="6" customFormat="1" x14ac:dyDescent="0.25">
      <c r="A36" s="33" t="str">
        <f t="shared" si="1"/>
        <v>2024 JAN-JUN D70</v>
      </c>
      <c r="B36" s="8">
        <f t="shared" si="2"/>
        <v>46099</v>
      </c>
      <c r="C36" s="8">
        <f t="shared" si="3"/>
        <v>46113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13990677</v>
      </c>
      <c r="K36" s="33" t="s">
        <v>1533</v>
      </c>
      <c r="L36" s="33" t="s">
        <v>1538</v>
      </c>
      <c r="M36" s="34">
        <v>149900</v>
      </c>
      <c r="N36" s="37">
        <f t="shared" si="4"/>
        <v>0.7</v>
      </c>
      <c r="O36" s="34">
        <f t="shared" si="0"/>
        <v>44970</v>
      </c>
      <c r="P36" s="34" t="str">
        <f t="shared" si="5"/>
        <v>PERCENTAGE</v>
      </c>
    </row>
    <row r="37" spans="1:16" s="6" customFormat="1" x14ac:dyDescent="0.25">
      <c r="A37" s="33" t="str">
        <f t="shared" si="1"/>
        <v>2024 JAN-JUN D70</v>
      </c>
      <c r="B37" s="8">
        <f t="shared" si="2"/>
        <v>46099</v>
      </c>
      <c r="C37" s="8">
        <f t="shared" si="3"/>
        <v>46113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13989983</v>
      </c>
      <c r="K37" s="33" t="s">
        <v>1641</v>
      </c>
      <c r="L37" s="33" t="s">
        <v>1642</v>
      </c>
      <c r="M37" s="34">
        <v>139900</v>
      </c>
      <c r="N37" s="37">
        <f t="shared" si="4"/>
        <v>0.7</v>
      </c>
      <c r="O37" s="34">
        <f t="shared" si="0"/>
        <v>41970</v>
      </c>
      <c r="P37" s="34" t="str">
        <f t="shared" si="5"/>
        <v>PERCENTAGE</v>
      </c>
    </row>
    <row r="38" spans="1:16" s="6" customFormat="1" x14ac:dyDescent="0.25">
      <c r="A38" s="33" t="str">
        <f t="shared" si="1"/>
        <v>2024 JAN-JUN D70</v>
      </c>
      <c r="B38" s="8">
        <f t="shared" si="2"/>
        <v>46099</v>
      </c>
      <c r="C38" s="8">
        <f t="shared" si="3"/>
        <v>46113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13989992</v>
      </c>
      <c r="K38" s="33" t="s">
        <v>1641</v>
      </c>
      <c r="L38" s="33" t="s">
        <v>1643</v>
      </c>
      <c r="M38" s="34">
        <v>139900</v>
      </c>
      <c r="N38" s="37">
        <f t="shared" si="4"/>
        <v>0.7</v>
      </c>
      <c r="O38" s="34">
        <f t="shared" si="0"/>
        <v>41970</v>
      </c>
      <c r="P38" s="34" t="str">
        <f t="shared" si="5"/>
        <v>PERCENTAGE</v>
      </c>
    </row>
    <row r="39" spans="1:16" s="6" customFormat="1" x14ac:dyDescent="0.25">
      <c r="A39" s="33" t="str">
        <f t="shared" si="1"/>
        <v>2024 JAN-JUN D70</v>
      </c>
      <c r="B39" s="8">
        <f t="shared" si="2"/>
        <v>46099</v>
      </c>
      <c r="C39" s="8">
        <f t="shared" si="3"/>
        <v>46113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13990006</v>
      </c>
      <c r="K39" s="33" t="s">
        <v>1641</v>
      </c>
      <c r="L39" s="33" t="s">
        <v>1644</v>
      </c>
      <c r="M39" s="34">
        <v>139900</v>
      </c>
      <c r="N39" s="37">
        <f t="shared" si="4"/>
        <v>0.7</v>
      </c>
      <c r="O39" s="34">
        <f t="shared" si="0"/>
        <v>41970</v>
      </c>
      <c r="P39" s="34" t="str">
        <f t="shared" si="5"/>
        <v>PERCENTAGE</v>
      </c>
    </row>
    <row r="40" spans="1:16" s="6" customFormat="1" x14ac:dyDescent="0.25">
      <c r="A40" s="33" t="str">
        <f t="shared" si="1"/>
        <v>2024 JAN-JUN D70</v>
      </c>
      <c r="B40" s="8">
        <f t="shared" si="2"/>
        <v>46099</v>
      </c>
      <c r="C40" s="8">
        <f t="shared" si="3"/>
        <v>46113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13990015</v>
      </c>
      <c r="K40" s="33" t="s">
        <v>1641</v>
      </c>
      <c r="L40" s="33" t="s">
        <v>1645</v>
      </c>
      <c r="M40" s="34">
        <v>139900</v>
      </c>
      <c r="N40" s="37">
        <f t="shared" si="4"/>
        <v>0.7</v>
      </c>
      <c r="O40" s="34">
        <f t="shared" si="0"/>
        <v>41970</v>
      </c>
      <c r="P40" s="34" t="str">
        <f t="shared" si="5"/>
        <v>PERCENTAGE</v>
      </c>
    </row>
    <row r="41" spans="1:16" s="6" customFormat="1" x14ac:dyDescent="0.25">
      <c r="A41" s="33" t="str">
        <f t="shared" si="1"/>
        <v>2024 JAN-JUN D70</v>
      </c>
      <c r="B41" s="8">
        <f t="shared" si="2"/>
        <v>46099</v>
      </c>
      <c r="C41" s="8">
        <f t="shared" si="3"/>
        <v>46113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13990024</v>
      </c>
      <c r="K41" s="33" t="s">
        <v>1641</v>
      </c>
      <c r="L41" s="33" t="s">
        <v>1646</v>
      </c>
      <c r="M41" s="34">
        <v>139900</v>
      </c>
      <c r="N41" s="37">
        <f t="shared" si="4"/>
        <v>0.7</v>
      </c>
      <c r="O41" s="34">
        <f t="shared" si="0"/>
        <v>41970</v>
      </c>
      <c r="P41" s="34" t="str">
        <f t="shared" si="5"/>
        <v>PERCENTAGE</v>
      </c>
    </row>
    <row r="42" spans="1:16" s="6" customFormat="1" x14ac:dyDescent="0.25">
      <c r="A42" s="33" t="str">
        <f t="shared" si="1"/>
        <v>2024 JAN-JUN D70</v>
      </c>
      <c r="B42" s="8">
        <f t="shared" si="2"/>
        <v>46099</v>
      </c>
      <c r="C42" s="8">
        <f t="shared" si="3"/>
        <v>46113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13990033</v>
      </c>
      <c r="K42" s="33" t="s">
        <v>1647</v>
      </c>
      <c r="L42" s="33" t="s">
        <v>1648</v>
      </c>
      <c r="M42" s="34">
        <v>139900</v>
      </c>
      <c r="N42" s="37">
        <f t="shared" si="4"/>
        <v>0.7</v>
      </c>
      <c r="O42" s="34">
        <f t="shared" si="0"/>
        <v>41970</v>
      </c>
      <c r="P42" s="34" t="str">
        <f t="shared" si="5"/>
        <v>PERCENTAGE</v>
      </c>
    </row>
    <row r="43" spans="1:16" s="6" customFormat="1" x14ac:dyDescent="0.25">
      <c r="A43" s="33" t="str">
        <f t="shared" si="1"/>
        <v>2024 JAN-JUN D70</v>
      </c>
      <c r="B43" s="8">
        <f t="shared" si="2"/>
        <v>46099</v>
      </c>
      <c r="C43" s="8">
        <f t="shared" si="3"/>
        <v>46113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13990042</v>
      </c>
      <c r="K43" s="33" t="s">
        <v>1647</v>
      </c>
      <c r="L43" s="33" t="s">
        <v>1649</v>
      </c>
      <c r="M43" s="34">
        <v>139900</v>
      </c>
      <c r="N43" s="37">
        <f t="shared" si="4"/>
        <v>0.7</v>
      </c>
      <c r="O43" s="34">
        <f t="shared" si="0"/>
        <v>41970</v>
      </c>
      <c r="P43" s="34" t="str">
        <f t="shared" si="5"/>
        <v>PERCENTAGE</v>
      </c>
    </row>
    <row r="44" spans="1:16" s="6" customFormat="1" x14ac:dyDescent="0.25">
      <c r="A44" s="33" t="str">
        <f t="shared" si="1"/>
        <v>2024 JAN-JUN D70</v>
      </c>
      <c r="B44" s="8">
        <f t="shared" si="2"/>
        <v>46099</v>
      </c>
      <c r="C44" s="8">
        <f t="shared" si="3"/>
        <v>46113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13990051</v>
      </c>
      <c r="K44" s="33" t="s">
        <v>1647</v>
      </c>
      <c r="L44" s="33" t="s">
        <v>1650</v>
      </c>
      <c r="M44" s="34">
        <v>139900</v>
      </c>
      <c r="N44" s="37">
        <f t="shared" si="4"/>
        <v>0.7</v>
      </c>
      <c r="O44" s="34">
        <f t="shared" si="0"/>
        <v>41970</v>
      </c>
      <c r="P44" s="34" t="str">
        <f t="shared" si="5"/>
        <v>PERCENTAGE</v>
      </c>
    </row>
    <row r="45" spans="1:16" s="6" customFormat="1" x14ac:dyDescent="0.25">
      <c r="A45" s="33" t="str">
        <f t="shared" si="1"/>
        <v>2024 JAN-JUN D70</v>
      </c>
      <c r="B45" s="8">
        <f t="shared" si="2"/>
        <v>46099</v>
      </c>
      <c r="C45" s="8">
        <f t="shared" si="3"/>
        <v>46113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13990060</v>
      </c>
      <c r="K45" s="33" t="s">
        <v>1647</v>
      </c>
      <c r="L45" s="33" t="s">
        <v>1651</v>
      </c>
      <c r="M45" s="34">
        <v>139900</v>
      </c>
      <c r="N45" s="37">
        <f t="shared" si="4"/>
        <v>0.7</v>
      </c>
      <c r="O45" s="34">
        <f t="shared" si="0"/>
        <v>41970</v>
      </c>
      <c r="P45" s="34" t="str">
        <f t="shared" si="5"/>
        <v>PERCENTAGE</v>
      </c>
    </row>
    <row r="46" spans="1:16" s="6" customFormat="1" x14ac:dyDescent="0.25">
      <c r="A46" s="33" t="str">
        <f t="shared" si="1"/>
        <v>2024 JAN-JUN D70</v>
      </c>
      <c r="B46" s="8">
        <f t="shared" si="2"/>
        <v>46099</v>
      </c>
      <c r="C46" s="8">
        <f t="shared" si="3"/>
        <v>46113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13990079</v>
      </c>
      <c r="K46" s="33" t="s">
        <v>1647</v>
      </c>
      <c r="L46" s="33" t="s">
        <v>1652</v>
      </c>
      <c r="M46" s="34">
        <v>139900</v>
      </c>
      <c r="N46" s="37">
        <f t="shared" si="4"/>
        <v>0.7</v>
      </c>
      <c r="O46" s="34">
        <f t="shared" si="0"/>
        <v>41970</v>
      </c>
      <c r="P46" s="34" t="str">
        <f t="shared" si="5"/>
        <v>PERCENTAGE</v>
      </c>
    </row>
    <row r="47" spans="1:16" s="6" customFormat="1" x14ac:dyDescent="0.25">
      <c r="A47" s="33" t="str">
        <f t="shared" si="1"/>
        <v>2024 JAN-JUN D70</v>
      </c>
      <c r="B47" s="8">
        <f t="shared" si="2"/>
        <v>46099</v>
      </c>
      <c r="C47" s="8">
        <f t="shared" si="3"/>
        <v>46113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13990088</v>
      </c>
      <c r="K47" s="33" t="s">
        <v>1653</v>
      </c>
      <c r="L47" s="33" t="s">
        <v>1654</v>
      </c>
      <c r="M47" s="34">
        <v>149900</v>
      </c>
      <c r="N47" s="37">
        <f t="shared" si="4"/>
        <v>0.7</v>
      </c>
      <c r="O47" s="34">
        <f t="shared" si="0"/>
        <v>44970</v>
      </c>
      <c r="P47" s="34" t="str">
        <f t="shared" si="5"/>
        <v>PERCENTAGE</v>
      </c>
    </row>
    <row r="48" spans="1:16" s="6" customFormat="1" x14ac:dyDescent="0.25">
      <c r="A48" s="33" t="str">
        <f t="shared" si="1"/>
        <v>2024 JAN-JUN D70</v>
      </c>
      <c r="B48" s="8">
        <f t="shared" si="2"/>
        <v>46099</v>
      </c>
      <c r="C48" s="8">
        <f t="shared" si="3"/>
        <v>46113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13990097</v>
      </c>
      <c r="K48" s="33" t="s">
        <v>1653</v>
      </c>
      <c r="L48" s="33" t="s">
        <v>1655</v>
      </c>
      <c r="M48" s="34">
        <v>149900</v>
      </c>
      <c r="N48" s="37">
        <f t="shared" si="4"/>
        <v>0.7</v>
      </c>
      <c r="O48" s="34">
        <f t="shared" si="0"/>
        <v>44970</v>
      </c>
      <c r="P48" s="34" t="str">
        <f t="shared" si="5"/>
        <v>PERCENTAGE</v>
      </c>
    </row>
    <row r="49" spans="1:16" s="6" customFormat="1" x14ac:dyDescent="0.25">
      <c r="A49" s="33" t="str">
        <f t="shared" si="1"/>
        <v>2024 JAN-JUN D70</v>
      </c>
      <c r="B49" s="8">
        <f t="shared" si="2"/>
        <v>46099</v>
      </c>
      <c r="C49" s="8">
        <f t="shared" si="3"/>
        <v>46113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13990104</v>
      </c>
      <c r="K49" s="33" t="s">
        <v>1653</v>
      </c>
      <c r="L49" s="33" t="s">
        <v>1656</v>
      </c>
      <c r="M49" s="34">
        <v>149900</v>
      </c>
      <c r="N49" s="37">
        <f t="shared" si="4"/>
        <v>0.7</v>
      </c>
      <c r="O49" s="34">
        <f t="shared" si="0"/>
        <v>44970</v>
      </c>
      <c r="P49" s="34" t="str">
        <f t="shared" si="5"/>
        <v>PERCENTAGE</v>
      </c>
    </row>
    <row r="50" spans="1:16" s="6" customFormat="1" x14ac:dyDescent="0.25">
      <c r="A50" s="33" t="str">
        <f t="shared" si="1"/>
        <v>2024 JAN-JUN D70</v>
      </c>
      <c r="B50" s="8">
        <f t="shared" si="2"/>
        <v>46099</v>
      </c>
      <c r="C50" s="8">
        <f t="shared" si="3"/>
        <v>46113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13990113</v>
      </c>
      <c r="K50" s="33" t="s">
        <v>1653</v>
      </c>
      <c r="L50" s="33" t="s">
        <v>1657</v>
      </c>
      <c r="M50" s="34">
        <v>149900</v>
      </c>
      <c r="N50" s="37">
        <f t="shared" si="4"/>
        <v>0.7</v>
      </c>
      <c r="O50" s="34">
        <f t="shared" si="0"/>
        <v>44970</v>
      </c>
      <c r="P50" s="34" t="str">
        <f t="shared" si="5"/>
        <v>PERCENTAGE</v>
      </c>
    </row>
    <row r="51" spans="1:16" s="6" customFormat="1" x14ac:dyDescent="0.25">
      <c r="A51" s="33" t="str">
        <f t="shared" si="1"/>
        <v>2024 JAN-JUN D70</v>
      </c>
      <c r="B51" s="8">
        <f t="shared" si="2"/>
        <v>46099</v>
      </c>
      <c r="C51" s="8">
        <f t="shared" si="3"/>
        <v>46113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13990122</v>
      </c>
      <c r="K51" s="33" t="s">
        <v>1653</v>
      </c>
      <c r="L51" s="33" t="s">
        <v>1658</v>
      </c>
      <c r="M51" s="34">
        <v>149900</v>
      </c>
      <c r="N51" s="37">
        <f t="shared" si="4"/>
        <v>0.7</v>
      </c>
      <c r="O51" s="34">
        <f t="shared" si="0"/>
        <v>44970</v>
      </c>
      <c r="P51" s="34" t="str">
        <f t="shared" si="5"/>
        <v>PERCENTAGE</v>
      </c>
    </row>
    <row r="52" spans="1:16" s="6" customFormat="1" x14ac:dyDescent="0.25">
      <c r="A52" s="33" t="str">
        <f t="shared" si="1"/>
        <v>2024 JAN-JUN D70</v>
      </c>
      <c r="B52" s="8">
        <f t="shared" si="2"/>
        <v>46099</v>
      </c>
      <c r="C52" s="8">
        <f t="shared" si="3"/>
        <v>46113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13990131</v>
      </c>
      <c r="K52" s="33" t="s">
        <v>1659</v>
      </c>
      <c r="L52" s="33" t="s">
        <v>1660</v>
      </c>
      <c r="M52" s="34">
        <v>149900</v>
      </c>
      <c r="N52" s="37">
        <f t="shared" si="4"/>
        <v>0.7</v>
      </c>
      <c r="O52" s="34">
        <f t="shared" si="0"/>
        <v>44970</v>
      </c>
      <c r="P52" s="34" t="str">
        <f t="shared" si="5"/>
        <v>PERCENTAGE</v>
      </c>
    </row>
    <row r="53" spans="1:16" s="6" customFormat="1" x14ac:dyDescent="0.25">
      <c r="A53" s="33" t="str">
        <f t="shared" si="1"/>
        <v>2024 JAN-JUN D70</v>
      </c>
      <c r="B53" s="8">
        <f t="shared" si="2"/>
        <v>46099</v>
      </c>
      <c r="C53" s="8">
        <f t="shared" si="3"/>
        <v>46113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13990140</v>
      </c>
      <c r="K53" s="33" t="s">
        <v>1659</v>
      </c>
      <c r="L53" s="33" t="s">
        <v>1661</v>
      </c>
      <c r="M53" s="34">
        <v>149900</v>
      </c>
      <c r="N53" s="37">
        <f t="shared" si="4"/>
        <v>0.7</v>
      </c>
      <c r="O53" s="34">
        <f t="shared" si="0"/>
        <v>44970</v>
      </c>
      <c r="P53" s="34" t="str">
        <f t="shared" si="5"/>
        <v>PERCENTAGE</v>
      </c>
    </row>
    <row r="54" spans="1:16" s="6" customFormat="1" x14ac:dyDescent="0.25">
      <c r="A54" s="33" t="str">
        <f t="shared" si="1"/>
        <v>2024 JAN-JUN D70</v>
      </c>
      <c r="B54" s="8">
        <f t="shared" si="2"/>
        <v>46099</v>
      </c>
      <c r="C54" s="8">
        <f t="shared" si="3"/>
        <v>46113</v>
      </c>
      <c r="D54" s="33">
        <v>3272</v>
      </c>
      <c r="E54" s="33">
        <v>336</v>
      </c>
      <c r="F54" s="33">
        <v>4</v>
      </c>
      <c r="G54" s="33">
        <v>1</v>
      </c>
      <c r="H54" s="33">
        <v>81379</v>
      </c>
      <c r="I54" s="33" t="s">
        <v>104</v>
      </c>
      <c r="J54" s="33">
        <v>13990159</v>
      </c>
      <c r="K54" s="33" t="s">
        <v>1659</v>
      </c>
      <c r="L54" s="33" t="s">
        <v>1662</v>
      </c>
      <c r="M54" s="34">
        <v>149900</v>
      </c>
      <c r="N54" s="37">
        <f t="shared" si="4"/>
        <v>0.7</v>
      </c>
      <c r="O54" s="34">
        <f t="shared" si="0"/>
        <v>44970</v>
      </c>
      <c r="P54" s="34" t="str">
        <f t="shared" si="5"/>
        <v>PERCENTAGE</v>
      </c>
    </row>
    <row r="55" spans="1:16" s="6" customFormat="1" x14ac:dyDescent="0.25">
      <c r="A55" s="33" t="str">
        <f t="shared" si="1"/>
        <v>2024 JAN-JUN D70</v>
      </c>
      <c r="B55" s="8">
        <f t="shared" si="2"/>
        <v>46099</v>
      </c>
      <c r="C55" s="8">
        <f t="shared" si="3"/>
        <v>46113</v>
      </c>
      <c r="D55" s="33">
        <v>3272</v>
      </c>
      <c r="E55" s="33">
        <v>336</v>
      </c>
      <c r="F55" s="33">
        <v>4</v>
      </c>
      <c r="G55" s="33">
        <v>1</v>
      </c>
      <c r="H55" s="33">
        <v>81379</v>
      </c>
      <c r="I55" s="33" t="s">
        <v>104</v>
      </c>
      <c r="J55" s="33">
        <v>13990168</v>
      </c>
      <c r="K55" s="33" t="s">
        <v>1659</v>
      </c>
      <c r="L55" s="33" t="s">
        <v>1663</v>
      </c>
      <c r="M55" s="34">
        <v>149900</v>
      </c>
      <c r="N55" s="37">
        <f t="shared" si="4"/>
        <v>0.7</v>
      </c>
      <c r="O55" s="34">
        <f t="shared" si="0"/>
        <v>44970</v>
      </c>
      <c r="P55" s="34" t="str">
        <f t="shared" si="5"/>
        <v>PERCENTAGE</v>
      </c>
    </row>
    <row r="56" spans="1:16" s="6" customFormat="1" x14ac:dyDescent="0.25">
      <c r="A56" s="33" t="str">
        <f t="shared" si="1"/>
        <v>2024 JAN-JUN D70</v>
      </c>
      <c r="B56" s="8">
        <f t="shared" si="2"/>
        <v>46099</v>
      </c>
      <c r="C56" s="8">
        <f t="shared" si="3"/>
        <v>46113</v>
      </c>
      <c r="D56" s="33">
        <v>3272</v>
      </c>
      <c r="E56" s="33">
        <v>336</v>
      </c>
      <c r="F56" s="33">
        <v>4</v>
      </c>
      <c r="G56" s="33">
        <v>1</v>
      </c>
      <c r="H56" s="33">
        <v>81379</v>
      </c>
      <c r="I56" s="33" t="s">
        <v>104</v>
      </c>
      <c r="J56" s="33">
        <v>13990177</v>
      </c>
      <c r="K56" s="33" t="s">
        <v>1659</v>
      </c>
      <c r="L56" s="33" t="s">
        <v>1664</v>
      </c>
      <c r="M56" s="34">
        <v>149900</v>
      </c>
      <c r="N56" s="37">
        <f t="shared" si="4"/>
        <v>0.7</v>
      </c>
      <c r="O56" s="34">
        <f t="shared" si="0"/>
        <v>44970</v>
      </c>
      <c r="P56" s="34" t="str">
        <f t="shared" si="5"/>
        <v>PERCENTAGE</v>
      </c>
    </row>
    <row r="57" spans="1:16" s="6" customFormat="1" x14ac:dyDescent="0.25">
      <c r="A57" s="33" t="str">
        <f t="shared" si="1"/>
        <v>2024 JAN-JUN D70</v>
      </c>
      <c r="B57" s="8">
        <f t="shared" si="2"/>
        <v>46099</v>
      </c>
      <c r="C57" s="8">
        <f t="shared" si="3"/>
        <v>46113</v>
      </c>
      <c r="D57" s="33">
        <v>3272</v>
      </c>
      <c r="E57" s="33">
        <v>336</v>
      </c>
      <c r="F57" s="33">
        <v>4</v>
      </c>
      <c r="G57" s="33">
        <v>1</v>
      </c>
      <c r="H57" s="33">
        <v>81379</v>
      </c>
      <c r="I57" s="33" t="s">
        <v>104</v>
      </c>
      <c r="J57" s="33">
        <v>13990186</v>
      </c>
      <c r="K57" s="33" t="s">
        <v>1665</v>
      </c>
      <c r="L57" s="33" t="s">
        <v>1666</v>
      </c>
      <c r="M57" s="34">
        <v>139900</v>
      </c>
      <c r="N57" s="37">
        <f t="shared" si="4"/>
        <v>0.7</v>
      </c>
      <c r="O57" s="34">
        <f t="shared" si="0"/>
        <v>41970</v>
      </c>
      <c r="P57" s="34" t="str">
        <f t="shared" si="5"/>
        <v>PERCENTAGE</v>
      </c>
    </row>
    <row r="58" spans="1:16" s="6" customFormat="1" x14ac:dyDescent="0.25">
      <c r="A58" s="33" t="str">
        <f t="shared" si="1"/>
        <v>2024 JAN-JUN D70</v>
      </c>
      <c r="B58" s="8">
        <f t="shared" si="2"/>
        <v>46099</v>
      </c>
      <c r="C58" s="8">
        <f t="shared" si="3"/>
        <v>46113</v>
      </c>
      <c r="D58" s="33">
        <v>3272</v>
      </c>
      <c r="E58" s="33">
        <v>336</v>
      </c>
      <c r="F58" s="33">
        <v>4</v>
      </c>
      <c r="G58" s="33">
        <v>1</v>
      </c>
      <c r="H58" s="33">
        <v>81379</v>
      </c>
      <c r="I58" s="33" t="s">
        <v>104</v>
      </c>
      <c r="J58" s="33">
        <v>13990195</v>
      </c>
      <c r="K58" s="33" t="s">
        <v>1665</v>
      </c>
      <c r="L58" s="33" t="s">
        <v>1667</v>
      </c>
      <c r="M58" s="34">
        <v>139900</v>
      </c>
      <c r="N58" s="37">
        <f t="shared" si="4"/>
        <v>0.7</v>
      </c>
      <c r="O58" s="34">
        <f t="shared" si="0"/>
        <v>41970</v>
      </c>
      <c r="P58" s="34" t="str">
        <f t="shared" si="5"/>
        <v>PERCENTAGE</v>
      </c>
    </row>
    <row r="59" spans="1:16" s="6" customFormat="1" x14ac:dyDescent="0.25">
      <c r="A59" s="33" t="str">
        <f t="shared" si="1"/>
        <v>2024 JAN-JUN D70</v>
      </c>
      <c r="B59" s="8">
        <f t="shared" si="2"/>
        <v>46099</v>
      </c>
      <c r="C59" s="8">
        <f t="shared" si="3"/>
        <v>46113</v>
      </c>
      <c r="D59" s="33">
        <v>3272</v>
      </c>
      <c r="E59" s="33">
        <v>336</v>
      </c>
      <c r="F59" s="33">
        <v>4</v>
      </c>
      <c r="G59" s="33">
        <v>1</v>
      </c>
      <c r="H59" s="33">
        <v>81379</v>
      </c>
      <c r="I59" s="33" t="s">
        <v>104</v>
      </c>
      <c r="J59" s="33">
        <v>13990202</v>
      </c>
      <c r="K59" s="33" t="s">
        <v>1665</v>
      </c>
      <c r="L59" s="33" t="s">
        <v>1668</v>
      </c>
      <c r="M59" s="34">
        <v>139900</v>
      </c>
      <c r="N59" s="37">
        <f t="shared" si="4"/>
        <v>0.7</v>
      </c>
      <c r="O59" s="34">
        <f t="shared" si="0"/>
        <v>41970</v>
      </c>
      <c r="P59" s="34" t="str">
        <f t="shared" si="5"/>
        <v>PERCENTAGE</v>
      </c>
    </row>
    <row r="60" spans="1:16" s="6" customFormat="1" x14ac:dyDescent="0.25">
      <c r="A60" s="33" t="str">
        <f t="shared" si="1"/>
        <v>2024 JAN-JUN D70</v>
      </c>
      <c r="B60" s="8">
        <f t="shared" si="2"/>
        <v>46099</v>
      </c>
      <c r="C60" s="8">
        <f t="shared" si="3"/>
        <v>46113</v>
      </c>
      <c r="D60" s="33">
        <v>3272</v>
      </c>
      <c r="E60" s="33">
        <v>336</v>
      </c>
      <c r="F60" s="33">
        <v>4</v>
      </c>
      <c r="G60" s="33">
        <v>1</v>
      </c>
      <c r="H60" s="33">
        <v>81379</v>
      </c>
      <c r="I60" s="33" t="s">
        <v>104</v>
      </c>
      <c r="J60" s="33">
        <v>13990211</v>
      </c>
      <c r="K60" s="33" t="s">
        <v>1665</v>
      </c>
      <c r="L60" s="33" t="s">
        <v>1669</v>
      </c>
      <c r="M60" s="34">
        <v>139900</v>
      </c>
      <c r="N60" s="37">
        <f t="shared" si="4"/>
        <v>0.7</v>
      </c>
      <c r="O60" s="34">
        <f t="shared" si="0"/>
        <v>41970</v>
      </c>
      <c r="P60" s="34" t="str">
        <f t="shared" si="5"/>
        <v>PERCENTAGE</v>
      </c>
    </row>
    <row r="61" spans="1:16" s="6" customFormat="1" x14ac:dyDescent="0.25">
      <c r="A61" s="33" t="str">
        <f t="shared" si="1"/>
        <v>2024 JAN-JUN D70</v>
      </c>
      <c r="B61" s="8">
        <f t="shared" si="2"/>
        <v>46099</v>
      </c>
      <c r="C61" s="8">
        <f t="shared" si="3"/>
        <v>46113</v>
      </c>
      <c r="D61" s="33">
        <v>3272</v>
      </c>
      <c r="E61" s="33">
        <v>336</v>
      </c>
      <c r="F61" s="33">
        <v>4</v>
      </c>
      <c r="G61" s="33">
        <v>1</v>
      </c>
      <c r="H61" s="33">
        <v>81379</v>
      </c>
      <c r="I61" s="33" t="s">
        <v>104</v>
      </c>
      <c r="J61" s="33">
        <v>13990220</v>
      </c>
      <c r="K61" s="33" t="s">
        <v>1665</v>
      </c>
      <c r="L61" s="33" t="s">
        <v>1670</v>
      </c>
      <c r="M61" s="34">
        <v>139900</v>
      </c>
      <c r="N61" s="37">
        <f t="shared" si="4"/>
        <v>0.7</v>
      </c>
      <c r="O61" s="34">
        <f t="shared" si="0"/>
        <v>41970</v>
      </c>
      <c r="P61" s="34" t="str">
        <f t="shared" si="5"/>
        <v>PERCENTAGE</v>
      </c>
    </row>
    <row r="62" spans="1:16" s="6" customFormat="1" x14ac:dyDescent="0.25">
      <c r="A62" s="33" t="str">
        <f t="shared" si="1"/>
        <v>2024 JAN-JUN D70</v>
      </c>
      <c r="B62" s="8">
        <f t="shared" si="2"/>
        <v>46099</v>
      </c>
      <c r="C62" s="8">
        <f t="shared" si="3"/>
        <v>46113</v>
      </c>
      <c r="D62" s="33">
        <v>3272</v>
      </c>
      <c r="E62" s="33">
        <v>336</v>
      </c>
      <c r="F62" s="33">
        <v>4</v>
      </c>
      <c r="G62" s="33">
        <v>1</v>
      </c>
      <c r="H62" s="33">
        <v>81379</v>
      </c>
      <c r="I62" s="33" t="s">
        <v>104</v>
      </c>
      <c r="J62" s="33">
        <v>15501843</v>
      </c>
      <c r="K62" s="33" t="s">
        <v>1707</v>
      </c>
      <c r="L62" s="33" t="s">
        <v>1708</v>
      </c>
      <c r="M62" s="34">
        <v>139900</v>
      </c>
      <c r="N62" s="37">
        <f t="shared" si="4"/>
        <v>0.7</v>
      </c>
      <c r="O62" s="34">
        <f t="shared" si="0"/>
        <v>41970</v>
      </c>
      <c r="P62" s="34" t="str">
        <f t="shared" si="5"/>
        <v>PERCENTAGE</v>
      </c>
    </row>
    <row r="63" spans="1:16" s="6" customFormat="1" x14ac:dyDescent="0.25">
      <c r="A63" s="33" t="str">
        <f t="shared" si="1"/>
        <v>2024 JAN-JUN D70</v>
      </c>
      <c r="B63" s="8">
        <f t="shared" si="2"/>
        <v>46099</v>
      </c>
      <c r="C63" s="8">
        <f t="shared" si="3"/>
        <v>46113</v>
      </c>
      <c r="D63" s="33">
        <v>3272</v>
      </c>
      <c r="E63" s="33">
        <v>336</v>
      </c>
      <c r="F63" s="33">
        <v>4</v>
      </c>
      <c r="G63" s="33">
        <v>1</v>
      </c>
      <c r="H63" s="33">
        <v>81379</v>
      </c>
      <c r="I63" s="33" t="s">
        <v>104</v>
      </c>
      <c r="J63" s="33">
        <v>15501852</v>
      </c>
      <c r="K63" s="33" t="s">
        <v>1707</v>
      </c>
      <c r="L63" s="33" t="s">
        <v>1709</v>
      </c>
      <c r="M63" s="34">
        <v>139900</v>
      </c>
      <c r="N63" s="37">
        <f t="shared" si="4"/>
        <v>0.7</v>
      </c>
      <c r="O63" s="34">
        <f t="shared" si="0"/>
        <v>41970</v>
      </c>
      <c r="P63" s="34" t="str">
        <f t="shared" si="5"/>
        <v>PERCENTAGE</v>
      </c>
    </row>
    <row r="64" spans="1:16" s="6" customFormat="1" x14ac:dyDescent="0.25">
      <c r="A64" s="33" t="str">
        <f t="shared" si="1"/>
        <v>2024 JAN-JUN D70</v>
      </c>
      <c r="B64" s="8">
        <f t="shared" si="2"/>
        <v>46099</v>
      </c>
      <c r="C64" s="8">
        <f t="shared" si="3"/>
        <v>46113</v>
      </c>
      <c r="D64" s="33">
        <v>3272</v>
      </c>
      <c r="E64" s="33">
        <v>336</v>
      </c>
      <c r="F64" s="33">
        <v>4</v>
      </c>
      <c r="G64" s="33">
        <v>1</v>
      </c>
      <c r="H64" s="33">
        <v>81379</v>
      </c>
      <c r="I64" s="33" t="s">
        <v>104</v>
      </c>
      <c r="J64" s="33">
        <v>15501861</v>
      </c>
      <c r="K64" s="33" t="s">
        <v>1707</v>
      </c>
      <c r="L64" s="33" t="s">
        <v>1710</v>
      </c>
      <c r="M64" s="34">
        <v>139900</v>
      </c>
      <c r="N64" s="37">
        <f t="shared" si="4"/>
        <v>0.7</v>
      </c>
      <c r="O64" s="34">
        <f t="shared" si="0"/>
        <v>41970</v>
      </c>
      <c r="P64" s="34" t="str">
        <f t="shared" si="5"/>
        <v>PERCENTAGE</v>
      </c>
    </row>
    <row r="65" spans="1:16" s="6" customFormat="1" x14ac:dyDescent="0.25">
      <c r="A65" s="33" t="str">
        <f t="shared" si="1"/>
        <v>2024 JAN-JUN D70</v>
      </c>
      <c r="B65" s="8">
        <f t="shared" si="2"/>
        <v>46099</v>
      </c>
      <c r="C65" s="8">
        <f t="shared" si="3"/>
        <v>46113</v>
      </c>
      <c r="D65" s="33">
        <v>3272</v>
      </c>
      <c r="E65" s="33">
        <v>336</v>
      </c>
      <c r="F65" s="33">
        <v>4</v>
      </c>
      <c r="G65" s="33">
        <v>1</v>
      </c>
      <c r="H65" s="33">
        <v>81379</v>
      </c>
      <c r="I65" s="33" t="s">
        <v>104</v>
      </c>
      <c r="J65" s="33">
        <v>15501870</v>
      </c>
      <c r="K65" s="33" t="s">
        <v>1707</v>
      </c>
      <c r="L65" s="33" t="s">
        <v>1711</v>
      </c>
      <c r="M65" s="34">
        <v>139900</v>
      </c>
      <c r="N65" s="37">
        <f t="shared" si="4"/>
        <v>0.7</v>
      </c>
      <c r="O65" s="34">
        <f t="shared" si="0"/>
        <v>41970</v>
      </c>
      <c r="P65" s="34" t="str">
        <f t="shared" si="5"/>
        <v>PERCENTAGE</v>
      </c>
    </row>
    <row r="66" spans="1:16" s="6" customFormat="1" x14ac:dyDescent="0.25">
      <c r="A66" s="33" t="str">
        <f t="shared" si="1"/>
        <v>2024 JAN-JUN D70</v>
      </c>
      <c r="B66" s="8">
        <f t="shared" si="2"/>
        <v>46099</v>
      </c>
      <c r="C66" s="8">
        <f t="shared" si="3"/>
        <v>46113</v>
      </c>
      <c r="D66" s="33">
        <v>3272</v>
      </c>
      <c r="E66" s="33">
        <v>336</v>
      </c>
      <c r="F66" s="33">
        <v>4</v>
      </c>
      <c r="G66" s="33">
        <v>1</v>
      </c>
      <c r="H66" s="33">
        <v>81379</v>
      </c>
      <c r="I66" s="33" t="s">
        <v>104</v>
      </c>
      <c r="J66" s="33">
        <v>15501889</v>
      </c>
      <c r="K66" s="33" t="s">
        <v>1707</v>
      </c>
      <c r="L66" s="33" t="s">
        <v>1712</v>
      </c>
      <c r="M66" s="34">
        <v>139900</v>
      </c>
      <c r="N66" s="37">
        <f t="shared" si="4"/>
        <v>0.7</v>
      </c>
      <c r="O66" s="34">
        <f t="shared" ref="O66:O129" si="6">M66-((70*M66))/100</f>
        <v>41970</v>
      </c>
      <c r="P66" s="34" t="str">
        <f t="shared" si="5"/>
        <v>PERCENTAGE</v>
      </c>
    </row>
    <row r="67" spans="1:16" s="6" customFormat="1" x14ac:dyDescent="0.25">
      <c r="A67" s="33" t="str">
        <f t="shared" ref="A67:A130" si="7">A66</f>
        <v>2024 JAN-JUN D70</v>
      </c>
      <c r="B67" s="8">
        <f t="shared" ref="B67:B130" si="8">B66</f>
        <v>46099</v>
      </c>
      <c r="C67" s="8">
        <f t="shared" ref="C67:C130" si="9">C66</f>
        <v>46113</v>
      </c>
      <c r="D67" s="33">
        <v>3272</v>
      </c>
      <c r="E67" s="33">
        <v>336</v>
      </c>
      <c r="F67" s="33">
        <v>4</v>
      </c>
      <c r="G67" s="33">
        <v>1</v>
      </c>
      <c r="H67" s="33">
        <v>81379</v>
      </c>
      <c r="I67" s="33" t="s">
        <v>104</v>
      </c>
      <c r="J67" s="33">
        <v>15501996</v>
      </c>
      <c r="K67" s="33" t="s">
        <v>1719</v>
      </c>
      <c r="L67" s="33" t="s">
        <v>1720</v>
      </c>
      <c r="M67" s="34">
        <v>139900</v>
      </c>
      <c r="N67" s="37">
        <f t="shared" ref="N67:N130" si="10">N66</f>
        <v>0.7</v>
      </c>
      <c r="O67" s="34">
        <f t="shared" si="6"/>
        <v>41970</v>
      </c>
      <c r="P67" s="34" t="str">
        <f t="shared" ref="P67:P130" si="11">P66</f>
        <v>PERCENTAGE</v>
      </c>
    </row>
    <row r="68" spans="1:16" s="6" customFormat="1" x14ac:dyDescent="0.25">
      <c r="A68" s="33" t="str">
        <f t="shared" si="7"/>
        <v>2024 JAN-JUN D70</v>
      </c>
      <c r="B68" s="8">
        <f t="shared" si="8"/>
        <v>46099</v>
      </c>
      <c r="C68" s="8">
        <f t="shared" si="9"/>
        <v>46113</v>
      </c>
      <c r="D68" s="33">
        <v>3272</v>
      </c>
      <c r="E68" s="33">
        <v>336</v>
      </c>
      <c r="F68" s="33">
        <v>4</v>
      </c>
      <c r="G68" s="33">
        <v>1</v>
      </c>
      <c r="H68" s="33">
        <v>81379</v>
      </c>
      <c r="I68" s="33" t="s">
        <v>104</v>
      </c>
      <c r="J68" s="33">
        <v>15502002</v>
      </c>
      <c r="K68" s="33" t="s">
        <v>1719</v>
      </c>
      <c r="L68" s="33" t="s">
        <v>1721</v>
      </c>
      <c r="M68" s="34">
        <v>139900</v>
      </c>
      <c r="N68" s="37">
        <f t="shared" si="10"/>
        <v>0.7</v>
      </c>
      <c r="O68" s="34">
        <f t="shared" si="6"/>
        <v>41970</v>
      </c>
      <c r="P68" s="34" t="str">
        <f t="shared" si="11"/>
        <v>PERCENTAGE</v>
      </c>
    </row>
    <row r="69" spans="1:16" s="6" customFormat="1" x14ac:dyDescent="0.25">
      <c r="A69" s="33" t="str">
        <f t="shared" si="7"/>
        <v>2024 JAN-JUN D70</v>
      </c>
      <c r="B69" s="8">
        <f t="shared" si="8"/>
        <v>46099</v>
      </c>
      <c r="C69" s="8">
        <f t="shared" si="9"/>
        <v>46113</v>
      </c>
      <c r="D69" s="33">
        <v>3272</v>
      </c>
      <c r="E69" s="33">
        <v>336</v>
      </c>
      <c r="F69" s="33">
        <v>4</v>
      </c>
      <c r="G69" s="33">
        <v>1</v>
      </c>
      <c r="H69" s="33">
        <v>81379</v>
      </c>
      <c r="I69" s="33" t="s">
        <v>104</v>
      </c>
      <c r="J69" s="33">
        <v>15502011</v>
      </c>
      <c r="K69" s="33" t="s">
        <v>1719</v>
      </c>
      <c r="L69" s="33" t="s">
        <v>1722</v>
      </c>
      <c r="M69" s="34">
        <v>139900</v>
      </c>
      <c r="N69" s="37">
        <f t="shared" si="10"/>
        <v>0.7</v>
      </c>
      <c r="O69" s="34">
        <f t="shared" si="6"/>
        <v>41970</v>
      </c>
      <c r="P69" s="34" t="str">
        <f t="shared" si="11"/>
        <v>PERCENTAGE</v>
      </c>
    </row>
    <row r="70" spans="1:16" s="6" customFormat="1" x14ac:dyDescent="0.25">
      <c r="A70" s="33" t="str">
        <f t="shared" si="7"/>
        <v>2024 JAN-JUN D70</v>
      </c>
      <c r="B70" s="8">
        <f t="shared" si="8"/>
        <v>46099</v>
      </c>
      <c r="C70" s="8">
        <f t="shared" si="9"/>
        <v>46113</v>
      </c>
      <c r="D70" s="33">
        <v>3272</v>
      </c>
      <c r="E70" s="33">
        <v>336</v>
      </c>
      <c r="F70" s="33">
        <v>4</v>
      </c>
      <c r="G70" s="33">
        <v>1</v>
      </c>
      <c r="H70" s="33">
        <v>81379</v>
      </c>
      <c r="I70" s="33" t="s">
        <v>104</v>
      </c>
      <c r="J70" s="33">
        <v>15502020</v>
      </c>
      <c r="K70" s="33" t="s">
        <v>1719</v>
      </c>
      <c r="L70" s="33" t="s">
        <v>1723</v>
      </c>
      <c r="M70" s="34">
        <v>139900</v>
      </c>
      <c r="N70" s="37">
        <f t="shared" si="10"/>
        <v>0.7</v>
      </c>
      <c r="O70" s="34">
        <f t="shared" si="6"/>
        <v>41970</v>
      </c>
      <c r="P70" s="34" t="str">
        <f t="shared" si="11"/>
        <v>PERCENTAGE</v>
      </c>
    </row>
    <row r="71" spans="1:16" s="6" customFormat="1" x14ac:dyDescent="0.25">
      <c r="A71" s="33" t="str">
        <f t="shared" si="7"/>
        <v>2024 JAN-JUN D70</v>
      </c>
      <c r="B71" s="8">
        <f t="shared" si="8"/>
        <v>46099</v>
      </c>
      <c r="C71" s="8">
        <f t="shared" si="9"/>
        <v>46113</v>
      </c>
      <c r="D71" s="33">
        <v>3272</v>
      </c>
      <c r="E71" s="33">
        <v>336</v>
      </c>
      <c r="F71" s="33">
        <v>4</v>
      </c>
      <c r="G71" s="33">
        <v>1</v>
      </c>
      <c r="H71" s="33">
        <v>81379</v>
      </c>
      <c r="I71" s="33" t="s">
        <v>104</v>
      </c>
      <c r="J71" s="33">
        <v>15502039</v>
      </c>
      <c r="K71" s="33" t="s">
        <v>1719</v>
      </c>
      <c r="L71" s="33" t="s">
        <v>1724</v>
      </c>
      <c r="M71" s="34">
        <v>139900</v>
      </c>
      <c r="N71" s="37">
        <f t="shared" si="10"/>
        <v>0.7</v>
      </c>
      <c r="O71" s="34">
        <f t="shared" si="6"/>
        <v>41970</v>
      </c>
      <c r="P71" s="34" t="str">
        <f t="shared" si="11"/>
        <v>PERCENTAGE</v>
      </c>
    </row>
    <row r="72" spans="1:16" s="6" customFormat="1" x14ac:dyDescent="0.25">
      <c r="A72" s="33" t="str">
        <f t="shared" si="7"/>
        <v>2024 JAN-JUN D70</v>
      </c>
      <c r="B72" s="8">
        <f t="shared" si="8"/>
        <v>46099</v>
      </c>
      <c r="C72" s="8">
        <f t="shared" si="9"/>
        <v>46113</v>
      </c>
      <c r="D72" s="33">
        <v>3272</v>
      </c>
      <c r="E72" s="33">
        <v>336</v>
      </c>
      <c r="F72" s="33">
        <v>4</v>
      </c>
      <c r="G72" s="33">
        <v>1</v>
      </c>
      <c r="H72" s="33">
        <v>81379</v>
      </c>
      <c r="I72" s="33" t="s">
        <v>104</v>
      </c>
      <c r="J72" s="33">
        <v>15501647</v>
      </c>
      <c r="K72" s="33" t="s">
        <v>1701</v>
      </c>
      <c r="L72" s="33" t="s">
        <v>1702</v>
      </c>
      <c r="M72" s="34">
        <v>149900</v>
      </c>
      <c r="N72" s="37">
        <f t="shared" si="10"/>
        <v>0.7</v>
      </c>
      <c r="O72" s="34">
        <f t="shared" si="6"/>
        <v>44970</v>
      </c>
      <c r="P72" s="34" t="str">
        <f t="shared" si="11"/>
        <v>PERCENTAGE</v>
      </c>
    </row>
    <row r="73" spans="1:16" s="6" customFormat="1" x14ac:dyDescent="0.25">
      <c r="A73" s="33" t="str">
        <f t="shared" si="7"/>
        <v>2024 JAN-JUN D70</v>
      </c>
      <c r="B73" s="8">
        <f t="shared" si="8"/>
        <v>46099</v>
      </c>
      <c r="C73" s="8">
        <f t="shared" si="9"/>
        <v>46113</v>
      </c>
      <c r="D73" s="33">
        <v>3272</v>
      </c>
      <c r="E73" s="33">
        <v>336</v>
      </c>
      <c r="F73" s="33">
        <v>4</v>
      </c>
      <c r="G73" s="33">
        <v>1</v>
      </c>
      <c r="H73" s="33">
        <v>81379</v>
      </c>
      <c r="I73" s="33" t="s">
        <v>104</v>
      </c>
      <c r="J73" s="33">
        <v>15501656</v>
      </c>
      <c r="K73" s="33" t="s">
        <v>1701</v>
      </c>
      <c r="L73" s="33" t="s">
        <v>1703</v>
      </c>
      <c r="M73" s="34">
        <v>149900</v>
      </c>
      <c r="N73" s="37">
        <f t="shared" si="10"/>
        <v>0.7</v>
      </c>
      <c r="O73" s="34">
        <f t="shared" si="6"/>
        <v>44970</v>
      </c>
      <c r="P73" s="34" t="str">
        <f t="shared" si="11"/>
        <v>PERCENTAGE</v>
      </c>
    </row>
    <row r="74" spans="1:16" s="6" customFormat="1" x14ac:dyDescent="0.25">
      <c r="A74" s="33" t="str">
        <f t="shared" si="7"/>
        <v>2024 JAN-JUN D70</v>
      </c>
      <c r="B74" s="8">
        <f t="shared" si="8"/>
        <v>46099</v>
      </c>
      <c r="C74" s="8">
        <f t="shared" si="9"/>
        <v>46113</v>
      </c>
      <c r="D74" s="33">
        <v>3272</v>
      </c>
      <c r="E74" s="33">
        <v>336</v>
      </c>
      <c r="F74" s="33">
        <v>4</v>
      </c>
      <c r="G74" s="33">
        <v>1</v>
      </c>
      <c r="H74" s="33">
        <v>81379</v>
      </c>
      <c r="I74" s="33" t="s">
        <v>104</v>
      </c>
      <c r="J74" s="33">
        <v>15501665</v>
      </c>
      <c r="K74" s="33" t="s">
        <v>1701</v>
      </c>
      <c r="L74" s="33" t="s">
        <v>1704</v>
      </c>
      <c r="M74" s="34">
        <v>149900</v>
      </c>
      <c r="N74" s="37">
        <f t="shared" si="10"/>
        <v>0.7</v>
      </c>
      <c r="O74" s="34">
        <f t="shared" si="6"/>
        <v>44970</v>
      </c>
      <c r="P74" s="34" t="str">
        <f t="shared" si="11"/>
        <v>PERCENTAGE</v>
      </c>
    </row>
    <row r="75" spans="1:16" s="6" customFormat="1" x14ac:dyDescent="0.25">
      <c r="A75" s="33" t="str">
        <f t="shared" si="7"/>
        <v>2024 JAN-JUN D70</v>
      </c>
      <c r="B75" s="8">
        <f t="shared" si="8"/>
        <v>46099</v>
      </c>
      <c r="C75" s="8">
        <f t="shared" si="9"/>
        <v>46113</v>
      </c>
      <c r="D75" s="33">
        <v>3272</v>
      </c>
      <c r="E75" s="33">
        <v>336</v>
      </c>
      <c r="F75" s="33">
        <v>4</v>
      </c>
      <c r="G75" s="33">
        <v>1</v>
      </c>
      <c r="H75" s="33">
        <v>81379</v>
      </c>
      <c r="I75" s="33" t="s">
        <v>104</v>
      </c>
      <c r="J75" s="33">
        <v>15501674</v>
      </c>
      <c r="K75" s="33" t="s">
        <v>1701</v>
      </c>
      <c r="L75" s="33" t="s">
        <v>1705</v>
      </c>
      <c r="M75" s="34">
        <v>149900</v>
      </c>
      <c r="N75" s="37">
        <f t="shared" si="10"/>
        <v>0.7</v>
      </c>
      <c r="O75" s="34">
        <f t="shared" si="6"/>
        <v>44970</v>
      </c>
      <c r="P75" s="34" t="str">
        <f t="shared" si="11"/>
        <v>PERCENTAGE</v>
      </c>
    </row>
    <row r="76" spans="1:16" s="6" customFormat="1" x14ac:dyDescent="0.25">
      <c r="A76" s="33" t="str">
        <f t="shared" si="7"/>
        <v>2024 JAN-JUN D70</v>
      </c>
      <c r="B76" s="8">
        <f t="shared" si="8"/>
        <v>46099</v>
      </c>
      <c r="C76" s="8">
        <f t="shared" si="9"/>
        <v>46113</v>
      </c>
      <c r="D76" s="33">
        <v>3272</v>
      </c>
      <c r="E76" s="33">
        <v>336</v>
      </c>
      <c r="F76" s="33">
        <v>4</v>
      </c>
      <c r="G76" s="33">
        <v>1</v>
      </c>
      <c r="H76" s="33">
        <v>81379</v>
      </c>
      <c r="I76" s="33" t="s">
        <v>104</v>
      </c>
      <c r="J76" s="33">
        <v>15501683</v>
      </c>
      <c r="K76" s="33" t="s">
        <v>1701</v>
      </c>
      <c r="L76" s="33" t="s">
        <v>1706</v>
      </c>
      <c r="M76" s="34">
        <v>149900</v>
      </c>
      <c r="N76" s="37">
        <f t="shared" si="10"/>
        <v>0.7</v>
      </c>
      <c r="O76" s="34">
        <f t="shared" si="6"/>
        <v>44970</v>
      </c>
      <c r="P76" s="34" t="str">
        <f t="shared" si="11"/>
        <v>PERCENTAGE</v>
      </c>
    </row>
    <row r="77" spans="1:16" s="6" customFormat="1" x14ac:dyDescent="0.25">
      <c r="A77" s="33" t="str">
        <f t="shared" si="7"/>
        <v>2024 JAN-JUN D70</v>
      </c>
      <c r="B77" s="8">
        <f t="shared" si="8"/>
        <v>46099</v>
      </c>
      <c r="C77" s="8">
        <f t="shared" si="9"/>
        <v>46113</v>
      </c>
      <c r="D77" s="33">
        <v>3272</v>
      </c>
      <c r="E77" s="33">
        <v>336</v>
      </c>
      <c r="F77" s="33">
        <v>4</v>
      </c>
      <c r="G77" s="33">
        <v>1</v>
      </c>
      <c r="H77" s="33">
        <v>81379</v>
      </c>
      <c r="I77" s="33" t="s">
        <v>104</v>
      </c>
      <c r="J77" s="33">
        <v>15501898</v>
      </c>
      <c r="K77" s="33" t="s">
        <v>1713</v>
      </c>
      <c r="L77" s="33" t="s">
        <v>1714</v>
      </c>
      <c r="M77" s="34">
        <v>149900</v>
      </c>
      <c r="N77" s="37">
        <f t="shared" si="10"/>
        <v>0.7</v>
      </c>
      <c r="O77" s="34">
        <f t="shared" si="6"/>
        <v>44970</v>
      </c>
      <c r="P77" s="34" t="str">
        <f t="shared" si="11"/>
        <v>PERCENTAGE</v>
      </c>
    </row>
    <row r="78" spans="1:16" s="6" customFormat="1" x14ac:dyDescent="0.25">
      <c r="A78" s="33" t="str">
        <f t="shared" si="7"/>
        <v>2024 JAN-JUN D70</v>
      </c>
      <c r="B78" s="8">
        <f t="shared" si="8"/>
        <v>46099</v>
      </c>
      <c r="C78" s="8">
        <f t="shared" si="9"/>
        <v>46113</v>
      </c>
      <c r="D78" s="33">
        <v>3272</v>
      </c>
      <c r="E78" s="33">
        <v>336</v>
      </c>
      <c r="F78" s="33">
        <v>4</v>
      </c>
      <c r="G78" s="33">
        <v>1</v>
      </c>
      <c r="H78" s="33">
        <v>81379</v>
      </c>
      <c r="I78" s="33" t="s">
        <v>104</v>
      </c>
      <c r="J78" s="33">
        <v>15501905</v>
      </c>
      <c r="K78" s="33" t="s">
        <v>1713</v>
      </c>
      <c r="L78" s="33" t="s">
        <v>1715</v>
      </c>
      <c r="M78" s="34">
        <v>149900</v>
      </c>
      <c r="N78" s="37">
        <f t="shared" si="10"/>
        <v>0.7</v>
      </c>
      <c r="O78" s="34">
        <f t="shared" si="6"/>
        <v>44970</v>
      </c>
      <c r="P78" s="34" t="str">
        <f t="shared" si="11"/>
        <v>PERCENTAGE</v>
      </c>
    </row>
    <row r="79" spans="1:16" s="6" customFormat="1" x14ac:dyDescent="0.25">
      <c r="A79" s="33" t="str">
        <f t="shared" si="7"/>
        <v>2024 JAN-JUN D70</v>
      </c>
      <c r="B79" s="8">
        <f t="shared" si="8"/>
        <v>46099</v>
      </c>
      <c r="C79" s="8">
        <f t="shared" si="9"/>
        <v>46113</v>
      </c>
      <c r="D79" s="33">
        <v>3272</v>
      </c>
      <c r="E79" s="33">
        <v>336</v>
      </c>
      <c r="F79" s="33">
        <v>4</v>
      </c>
      <c r="G79" s="33">
        <v>1</v>
      </c>
      <c r="H79" s="33">
        <v>81379</v>
      </c>
      <c r="I79" s="33" t="s">
        <v>104</v>
      </c>
      <c r="J79" s="33">
        <v>15501914</v>
      </c>
      <c r="K79" s="33" t="s">
        <v>1713</v>
      </c>
      <c r="L79" s="33" t="s">
        <v>1716</v>
      </c>
      <c r="M79" s="34">
        <v>149900</v>
      </c>
      <c r="N79" s="37">
        <f t="shared" si="10"/>
        <v>0.7</v>
      </c>
      <c r="O79" s="34">
        <f t="shared" si="6"/>
        <v>44970</v>
      </c>
      <c r="P79" s="34" t="str">
        <f t="shared" si="11"/>
        <v>PERCENTAGE</v>
      </c>
    </row>
    <row r="80" spans="1:16" s="6" customFormat="1" x14ac:dyDescent="0.25">
      <c r="A80" s="33" t="str">
        <f t="shared" si="7"/>
        <v>2024 JAN-JUN D70</v>
      </c>
      <c r="B80" s="8">
        <f t="shared" si="8"/>
        <v>46099</v>
      </c>
      <c r="C80" s="8">
        <f t="shared" si="9"/>
        <v>46113</v>
      </c>
      <c r="D80" s="33">
        <v>3272</v>
      </c>
      <c r="E80" s="33">
        <v>336</v>
      </c>
      <c r="F80" s="33">
        <v>4</v>
      </c>
      <c r="G80" s="33">
        <v>1</v>
      </c>
      <c r="H80" s="33">
        <v>81379</v>
      </c>
      <c r="I80" s="33" t="s">
        <v>104</v>
      </c>
      <c r="J80" s="33">
        <v>15501923</v>
      </c>
      <c r="K80" s="33" t="s">
        <v>1713</v>
      </c>
      <c r="L80" s="33" t="s">
        <v>1717</v>
      </c>
      <c r="M80" s="34">
        <v>149900</v>
      </c>
      <c r="N80" s="37">
        <f t="shared" si="10"/>
        <v>0.7</v>
      </c>
      <c r="O80" s="34">
        <f t="shared" si="6"/>
        <v>44970</v>
      </c>
      <c r="P80" s="34" t="str">
        <f t="shared" si="11"/>
        <v>PERCENTAGE</v>
      </c>
    </row>
    <row r="81" spans="1:16" s="6" customFormat="1" x14ac:dyDescent="0.25">
      <c r="A81" s="33" t="str">
        <f t="shared" si="7"/>
        <v>2024 JAN-JUN D70</v>
      </c>
      <c r="B81" s="8">
        <f t="shared" si="8"/>
        <v>46099</v>
      </c>
      <c r="C81" s="8">
        <f t="shared" si="9"/>
        <v>46113</v>
      </c>
      <c r="D81" s="33">
        <v>3272</v>
      </c>
      <c r="E81" s="33">
        <v>336</v>
      </c>
      <c r="F81" s="33">
        <v>4</v>
      </c>
      <c r="G81" s="33">
        <v>1</v>
      </c>
      <c r="H81" s="33">
        <v>81379</v>
      </c>
      <c r="I81" s="33" t="s">
        <v>104</v>
      </c>
      <c r="J81" s="33">
        <v>15501932</v>
      </c>
      <c r="K81" s="33" t="s">
        <v>1713</v>
      </c>
      <c r="L81" s="33" t="s">
        <v>1718</v>
      </c>
      <c r="M81" s="34">
        <v>149900</v>
      </c>
      <c r="N81" s="37">
        <f t="shared" si="10"/>
        <v>0.7</v>
      </c>
      <c r="O81" s="34">
        <f t="shared" si="6"/>
        <v>44970</v>
      </c>
      <c r="P81" s="34" t="str">
        <f t="shared" si="11"/>
        <v>PERCENTAGE</v>
      </c>
    </row>
    <row r="82" spans="1:16" s="6" customFormat="1" x14ac:dyDescent="0.25">
      <c r="A82" s="33" t="str">
        <f t="shared" si="7"/>
        <v>2024 JAN-JUN D70</v>
      </c>
      <c r="B82" s="8">
        <f t="shared" si="8"/>
        <v>46099</v>
      </c>
      <c r="C82" s="8">
        <f t="shared" si="9"/>
        <v>46113</v>
      </c>
      <c r="D82" s="33">
        <v>3272</v>
      </c>
      <c r="E82" s="33">
        <v>336</v>
      </c>
      <c r="F82" s="33">
        <v>4</v>
      </c>
      <c r="G82" s="33">
        <v>1</v>
      </c>
      <c r="H82" s="33">
        <v>81379</v>
      </c>
      <c r="I82" s="33" t="s">
        <v>104</v>
      </c>
      <c r="J82" s="33">
        <v>15502048</v>
      </c>
      <c r="K82" s="33" t="s">
        <v>1725</v>
      </c>
      <c r="L82" s="33" t="s">
        <v>1726</v>
      </c>
      <c r="M82" s="34">
        <v>149900</v>
      </c>
      <c r="N82" s="37">
        <f t="shared" si="10"/>
        <v>0.7</v>
      </c>
      <c r="O82" s="34">
        <f t="shared" si="6"/>
        <v>44970</v>
      </c>
      <c r="P82" s="34" t="str">
        <f t="shared" si="11"/>
        <v>PERCENTAGE</v>
      </c>
    </row>
    <row r="83" spans="1:16" s="6" customFormat="1" x14ac:dyDescent="0.25">
      <c r="A83" s="33" t="str">
        <f t="shared" si="7"/>
        <v>2024 JAN-JUN D70</v>
      </c>
      <c r="B83" s="8">
        <f t="shared" si="8"/>
        <v>46099</v>
      </c>
      <c r="C83" s="8">
        <f t="shared" si="9"/>
        <v>46113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15502057</v>
      </c>
      <c r="K83" s="33" t="s">
        <v>1725</v>
      </c>
      <c r="L83" s="33" t="s">
        <v>1727</v>
      </c>
      <c r="M83" s="34">
        <v>149900</v>
      </c>
      <c r="N83" s="37">
        <f t="shared" si="10"/>
        <v>0.7</v>
      </c>
      <c r="O83" s="34">
        <f t="shared" si="6"/>
        <v>44970</v>
      </c>
      <c r="P83" s="34" t="str">
        <f t="shared" si="11"/>
        <v>PERCENTAGE</v>
      </c>
    </row>
    <row r="84" spans="1:16" s="6" customFormat="1" x14ac:dyDescent="0.25">
      <c r="A84" s="33" t="str">
        <f t="shared" si="7"/>
        <v>2024 JAN-JUN D70</v>
      </c>
      <c r="B84" s="8">
        <f t="shared" si="8"/>
        <v>46099</v>
      </c>
      <c r="C84" s="8">
        <f t="shared" si="9"/>
        <v>46113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15502066</v>
      </c>
      <c r="K84" s="33" t="s">
        <v>1725</v>
      </c>
      <c r="L84" s="33" t="s">
        <v>1728</v>
      </c>
      <c r="M84" s="34">
        <v>149900</v>
      </c>
      <c r="N84" s="37">
        <f t="shared" si="10"/>
        <v>0.7</v>
      </c>
      <c r="O84" s="34">
        <f t="shared" si="6"/>
        <v>44970</v>
      </c>
      <c r="P84" s="34" t="str">
        <f t="shared" si="11"/>
        <v>PERCENTAGE</v>
      </c>
    </row>
    <row r="85" spans="1:16" s="6" customFormat="1" x14ac:dyDescent="0.25">
      <c r="A85" s="33" t="str">
        <f t="shared" si="7"/>
        <v>2024 JAN-JUN D70</v>
      </c>
      <c r="B85" s="8">
        <f t="shared" si="8"/>
        <v>46099</v>
      </c>
      <c r="C85" s="8">
        <f t="shared" si="9"/>
        <v>46113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15502075</v>
      </c>
      <c r="K85" s="33" t="s">
        <v>1725</v>
      </c>
      <c r="L85" s="33" t="s">
        <v>1729</v>
      </c>
      <c r="M85" s="34">
        <v>149900</v>
      </c>
      <c r="N85" s="37">
        <f t="shared" si="10"/>
        <v>0.7</v>
      </c>
      <c r="O85" s="34">
        <f t="shared" si="6"/>
        <v>44970</v>
      </c>
      <c r="P85" s="34" t="str">
        <f t="shared" si="11"/>
        <v>PERCENTAGE</v>
      </c>
    </row>
    <row r="86" spans="1:16" s="6" customFormat="1" x14ac:dyDescent="0.25">
      <c r="A86" s="33" t="str">
        <f t="shared" si="7"/>
        <v>2024 JAN-JUN D70</v>
      </c>
      <c r="B86" s="8">
        <f t="shared" si="8"/>
        <v>46099</v>
      </c>
      <c r="C86" s="8">
        <f t="shared" si="9"/>
        <v>46113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15502084</v>
      </c>
      <c r="K86" s="33" t="s">
        <v>1725</v>
      </c>
      <c r="L86" s="33" t="s">
        <v>1730</v>
      </c>
      <c r="M86" s="34">
        <v>149900</v>
      </c>
      <c r="N86" s="37">
        <f t="shared" si="10"/>
        <v>0.7</v>
      </c>
      <c r="O86" s="34">
        <f t="shared" si="6"/>
        <v>44970</v>
      </c>
      <c r="P86" s="34" t="str">
        <f t="shared" si="11"/>
        <v>PERCENTAGE</v>
      </c>
    </row>
    <row r="87" spans="1:16" s="6" customFormat="1" x14ac:dyDescent="0.25">
      <c r="A87" s="33" t="str">
        <f t="shared" si="7"/>
        <v>2024 JAN-JUN D70</v>
      </c>
      <c r="B87" s="8">
        <f t="shared" si="8"/>
        <v>46099</v>
      </c>
      <c r="C87" s="8">
        <f t="shared" si="9"/>
        <v>46113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15502191</v>
      </c>
      <c r="K87" s="33" t="s">
        <v>1731</v>
      </c>
      <c r="L87" s="33" t="s">
        <v>1732</v>
      </c>
      <c r="M87" s="34">
        <v>149900</v>
      </c>
      <c r="N87" s="37">
        <f t="shared" si="10"/>
        <v>0.7</v>
      </c>
      <c r="O87" s="34">
        <f t="shared" si="6"/>
        <v>44970</v>
      </c>
      <c r="P87" s="34" t="str">
        <f t="shared" si="11"/>
        <v>PERCENTAGE</v>
      </c>
    </row>
    <row r="88" spans="1:16" s="6" customFormat="1" x14ac:dyDescent="0.25">
      <c r="A88" s="33" t="str">
        <f t="shared" si="7"/>
        <v>2024 JAN-JUN D70</v>
      </c>
      <c r="B88" s="8">
        <f t="shared" si="8"/>
        <v>46099</v>
      </c>
      <c r="C88" s="8">
        <f t="shared" si="9"/>
        <v>46113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15502208</v>
      </c>
      <c r="K88" s="33" t="s">
        <v>1731</v>
      </c>
      <c r="L88" s="33" t="s">
        <v>1733</v>
      </c>
      <c r="M88" s="34">
        <v>149900</v>
      </c>
      <c r="N88" s="37">
        <f t="shared" si="10"/>
        <v>0.7</v>
      </c>
      <c r="O88" s="34">
        <f t="shared" si="6"/>
        <v>44970</v>
      </c>
      <c r="P88" s="34" t="str">
        <f t="shared" si="11"/>
        <v>PERCENTAGE</v>
      </c>
    </row>
    <row r="89" spans="1:16" s="6" customFormat="1" x14ac:dyDescent="0.25">
      <c r="A89" s="33" t="str">
        <f t="shared" si="7"/>
        <v>2024 JAN-JUN D70</v>
      </c>
      <c r="B89" s="8">
        <f t="shared" si="8"/>
        <v>46099</v>
      </c>
      <c r="C89" s="8">
        <f t="shared" si="9"/>
        <v>46113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15502217</v>
      </c>
      <c r="K89" s="33" t="s">
        <v>1731</v>
      </c>
      <c r="L89" s="33" t="s">
        <v>1734</v>
      </c>
      <c r="M89" s="34">
        <v>149900</v>
      </c>
      <c r="N89" s="37">
        <f t="shared" si="10"/>
        <v>0.7</v>
      </c>
      <c r="O89" s="34">
        <f t="shared" si="6"/>
        <v>44970</v>
      </c>
      <c r="P89" s="34" t="str">
        <f t="shared" si="11"/>
        <v>PERCENTAGE</v>
      </c>
    </row>
    <row r="90" spans="1:16" s="6" customFormat="1" x14ac:dyDescent="0.25">
      <c r="A90" s="33" t="str">
        <f t="shared" si="7"/>
        <v>2024 JAN-JUN D70</v>
      </c>
      <c r="B90" s="8">
        <f t="shared" si="8"/>
        <v>46099</v>
      </c>
      <c r="C90" s="8">
        <f t="shared" si="9"/>
        <v>46113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15502226</v>
      </c>
      <c r="K90" s="33" t="s">
        <v>1731</v>
      </c>
      <c r="L90" s="33" t="s">
        <v>1735</v>
      </c>
      <c r="M90" s="34">
        <v>149900</v>
      </c>
      <c r="N90" s="37">
        <f t="shared" si="10"/>
        <v>0.7</v>
      </c>
      <c r="O90" s="34">
        <f t="shared" si="6"/>
        <v>44970</v>
      </c>
      <c r="P90" s="34" t="str">
        <f t="shared" si="11"/>
        <v>PERCENTAGE</v>
      </c>
    </row>
    <row r="91" spans="1:16" s="6" customFormat="1" x14ac:dyDescent="0.25">
      <c r="A91" s="33" t="str">
        <f t="shared" si="7"/>
        <v>2024 JAN-JUN D70</v>
      </c>
      <c r="B91" s="8">
        <f t="shared" si="8"/>
        <v>46099</v>
      </c>
      <c r="C91" s="8">
        <f t="shared" si="9"/>
        <v>46113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15502235</v>
      </c>
      <c r="K91" s="33" t="s">
        <v>1731</v>
      </c>
      <c r="L91" s="33" t="s">
        <v>1736</v>
      </c>
      <c r="M91" s="34">
        <v>149900</v>
      </c>
      <c r="N91" s="37">
        <f t="shared" si="10"/>
        <v>0.7</v>
      </c>
      <c r="O91" s="34">
        <f t="shared" si="6"/>
        <v>44970</v>
      </c>
      <c r="P91" s="34" t="str">
        <f t="shared" si="11"/>
        <v>PERCENTAGE</v>
      </c>
    </row>
    <row r="92" spans="1:16" s="6" customFormat="1" x14ac:dyDescent="0.25">
      <c r="A92" s="33" t="str">
        <f t="shared" si="7"/>
        <v>2024 JAN-JUN D70</v>
      </c>
      <c r="B92" s="8">
        <f t="shared" si="8"/>
        <v>46099</v>
      </c>
      <c r="C92" s="8">
        <f t="shared" si="9"/>
        <v>46113</v>
      </c>
      <c r="D92" s="33">
        <v>3272</v>
      </c>
      <c r="E92" s="33">
        <v>336</v>
      </c>
      <c r="F92" s="33">
        <v>4</v>
      </c>
      <c r="G92" s="33">
        <v>3</v>
      </c>
      <c r="H92" s="33">
        <v>81379</v>
      </c>
      <c r="I92" s="33" t="s">
        <v>104</v>
      </c>
      <c r="J92" s="33">
        <v>15501692</v>
      </c>
      <c r="K92" s="33" t="s">
        <v>1767</v>
      </c>
      <c r="L92" s="33" t="s">
        <v>1768</v>
      </c>
      <c r="M92" s="34">
        <v>239900</v>
      </c>
      <c r="N92" s="37">
        <f t="shared" si="10"/>
        <v>0.7</v>
      </c>
      <c r="O92" s="34">
        <f t="shared" si="6"/>
        <v>71970</v>
      </c>
      <c r="P92" s="34" t="str">
        <f t="shared" si="11"/>
        <v>PERCENTAGE</v>
      </c>
    </row>
    <row r="93" spans="1:16" s="6" customFormat="1" x14ac:dyDescent="0.25">
      <c r="A93" s="33" t="str">
        <f t="shared" si="7"/>
        <v>2024 JAN-JUN D70</v>
      </c>
      <c r="B93" s="8">
        <f t="shared" si="8"/>
        <v>46099</v>
      </c>
      <c r="C93" s="8">
        <f t="shared" si="9"/>
        <v>46113</v>
      </c>
      <c r="D93" s="33">
        <v>3272</v>
      </c>
      <c r="E93" s="33">
        <v>336</v>
      </c>
      <c r="F93" s="33">
        <v>4</v>
      </c>
      <c r="G93" s="33">
        <v>3</v>
      </c>
      <c r="H93" s="33">
        <v>81379</v>
      </c>
      <c r="I93" s="33" t="s">
        <v>104</v>
      </c>
      <c r="J93" s="33">
        <v>15501709</v>
      </c>
      <c r="K93" s="33" t="s">
        <v>1767</v>
      </c>
      <c r="L93" s="33" t="s">
        <v>1769</v>
      </c>
      <c r="M93" s="34">
        <v>239900</v>
      </c>
      <c r="N93" s="37">
        <f t="shared" si="10"/>
        <v>0.7</v>
      </c>
      <c r="O93" s="34">
        <f t="shared" si="6"/>
        <v>71970</v>
      </c>
      <c r="P93" s="34" t="str">
        <f t="shared" si="11"/>
        <v>PERCENTAGE</v>
      </c>
    </row>
    <row r="94" spans="1:16" s="6" customFormat="1" x14ac:dyDescent="0.25">
      <c r="A94" s="33" t="str">
        <f t="shared" si="7"/>
        <v>2024 JAN-JUN D70</v>
      </c>
      <c r="B94" s="8">
        <f t="shared" si="8"/>
        <v>46099</v>
      </c>
      <c r="C94" s="8">
        <f t="shared" si="9"/>
        <v>46113</v>
      </c>
      <c r="D94" s="33">
        <v>3272</v>
      </c>
      <c r="E94" s="33">
        <v>336</v>
      </c>
      <c r="F94" s="33">
        <v>4</v>
      </c>
      <c r="G94" s="33">
        <v>3</v>
      </c>
      <c r="H94" s="33">
        <v>81379</v>
      </c>
      <c r="I94" s="33" t="s">
        <v>104</v>
      </c>
      <c r="J94" s="33">
        <v>15501718</v>
      </c>
      <c r="K94" s="33" t="s">
        <v>1767</v>
      </c>
      <c r="L94" s="33" t="s">
        <v>1770</v>
      </c>
      <c r="M94" s="34">
        <v>239900</v>
      </c>
      <c r="N94" s="37">
        <f t="shared" si="10"/>
        <v>0.7</v>
      </c>
      <c r="O94" s="34">
        <f t="shared" si="6"/>
        <v>71970</v>
      </c>
      <c r="P94" s="34" t="str">
        <f t="shared" si="11"/>
        <v>PERCENTAGE</v>
      </c>
    </row>
    <row r="95" spans="1:16" s="6" customFormat="1" x14ac:dyDescent="0.25">
      <c r="A95" s="33" t="str">
        <f t="shared" si="7"/>
        <v>2024 JAN-JUN D70</v>
      </c>
      <c r="B95" s="8">
        <f t="shared" si="8"/>
        <v>46099</v>
      </c>
      <c r="C95" s="8">
        <f t="shared" si="9"/>
        <v>46113</v>
      </c>
      <c r="D95" s="33">
        <v>3272</v>
      </c>
      <c r="E95" s="33">
        <v>336</v>
      </c>
      <c r="F95" s="33">
        <v>4</v>
      </c>
      <c r="G95" s="33">
        <v>3</v>
      </c>
      <c r="H95" s="33">
        <v>81379</v>
      </c>
      <c r="I95" s="33" t="s">
        <v>104</v>
      </c>
      <c r="J95" s="33">
        <v>15501727</v>
      </c>
      <c r="K95" s="33" t="s">
        <v>1767</v>
      </c>
      <c r="L95" s="33" t="s">
        <v>1771</v>
      </c>
      <c r="M95" s="34">
        <v>239900</v>
      </c>
      <c r="N95" s="37">
        <f t="shared" si="10"/>
        <v>0.7</v>
      </c>
      <c r="O95" s="34">
        <f t="shared" si="6"/>
        <v>71970</v>
      </c>
      <c r="P95" s="34" t="str">
        <f t="shared" si="11"/>
        <v>PERCENTAGE</v>
      </c>
    </row>
    <row r="96" spans="1:16" s="6" customFormat="1" x14ac:dyDescent="0.25">
      <c r="A96" s="33" t="str">
        <f t="shared" si="7"/>
        <v>2024 JAN-JUN D70</v>
      </c>
      <c r="B96" s="8">
        <f t="shared" si="8"/>
        <v>46099</v>
      </c>
      <c r="C96" s="8">
        <f t="shared" si="9"/>
        <v>46113</v>
      </c>
      <c r="D96" s="33">
        <v>3272</v>
      </c>
      <c r="E96" s="33">
        <v>336</v>
      </c>
      <c r="F96" s="33">
        <v>4</v>
      </c>
      <c r="G96" s="33">
        <v>3</v>
      </c>
      <c r="H96" s="33">
        <v>81379</v>
      </c>
      <c r="I96" s="33" t="s">
        <v>104</v>
      </c>
      <c r="J96" s="33">
        <v>15501736</v>
      </c>
      <c r="K96" s="33" t="s">
        <v>1767</v>
      </c>
      <c r="L96" s="33" t="s">
        <v>1772</v>
      </c>
      <c r="M96" s="34">
        <v>239900</v>
      </c>
      <c r="N96" s="37">
        <f t="shared" si="10"/>
        <v>0.7</v>
      </c>
      <c r="O96" s="34">
        <f t="shared" si="6"/>
        <v>71970</v>
      </c>
      <c r="P96" s="34" t="str">
        <f t="shared" si="11"/>
        <v>PERCENTAGE</v>
      </c>
    </row>
    <row r="97" spans="1:16" s="6" customFormat="1" x14ac:dyDescent="0.25">
      <c r="A97" s="33" t="str">
        <f t="shared" si="7"/>
        <v>2024 JAN-JUN D70</v>
      </c>
      <c r="B97" s="8">
        <f t="shared" si="8"/>
        <v>46099</v>
      </c>
      <c r="C97" s="8">
        <f t="shared" si="9"/>
        <v>46113</v>
      </c>
      <c r="D97" s="33">
        <v>3272</v>
      </c>
      <c r="E97" s="33">
        <v>336</v>
      </c>
      <c r="F97" s="33">
        <v>4</v>
      </c>
      <c r="G97" s="33">
        <v>4</v>
      </c>
      <c r="H97" s="33">
        <v>81379</v>
      </c>
      <c r="I97" s="33" t="s">
        <v>104</v>
      </c>
      <c r="J97" s="33">
        <v>15501745</v>
      </c>
      <c r="K97" s="33" t="s">
        <v>1773</v>
      </c>
      <c r="L97" s="33" t="s">
        <v>1774</v>
      </c>
      <c r="M97" s="34">
        <v>159900</v>
      </c>
      <c r="N97" s="37">
        <f t="shared" si="10"/>
        <v>0.7</v>
      </c>
      <c r="O97" s="34">
        <f t="shared" si="6"/>
        <v>47970</v>
      </c>
      <c r="P97" s="34" t="str">
        <f t="shared" si="11"/>
        <v>PERCENTAGE</v>
      </c>
    </row>
    <row r="98" spans="1:16" s="6" customFormat="1" x14ac:dyDescent="0.25">
      <c r="A98" s="33" t="str">
        <f t="shared" si="7"/>
        <v>2024 JAN-JUN D70</v>
      </c>
      <c r="B98" s="8">
        <f t="shared" si="8"/>
        <v>46099</v>
      </c>
      <c r="C98" s="8">
        <f t="shared" si="9"/>
        <v>46113</v>
      </c>
      <c r="D98" s="33">
        <v>3272</v>
      </c>
      <c r="E98" s="33">
        <v>336</v>
      </c>
      <c r="F98" s="33">
        <v>4</v>
      </c>
      <c r="G98" s="33">
        <v>4</v>
      </c>
      <c r="H98" s="33">
        <v>81379</v>
      </c>
      <c r="I98" s="33" t="s">
        <v>104</v>
      </c>
      <c r="J98" s="33">
        <v>15501754</v>
      </c>
      <c r="K98" s="33" t="s">
        <v>1773</v>
      </c>
      <c r="L98" s="33" t="s">
        <v>1775</v>
      </c>
      <c r="M98" s="34">
        <v>159900</v>
      </c>
      <c r="N98" s="37">
        <f t="shared" si="10"/>
        <v>0.7</v>
      </c>
      <c r="O98" s="34">
        <f t="shared" si="6"/>
        <v>47970</v>
      </c>
      <c r="P98" s="34" t="str">
        <f t="shared" si="11"/>
        <v>PERCENTAGE</v>
      </c>
    </row>
    <row r="99" spans="1:16" s="6" customFormat="1" x14ac:dyDescent="0.25">
      <c r="A99" s="33" t="str">
        <f t="shared" si="7"/>
        <v>2024 JAN-JUN D70</v>
      </c>
      <c r="B99" s="8">
        <f t="shared" si="8"/>
        <v>46099</v>
      </c>
      <c r="C99" s="8">
        <f t="shared" si="9"/>
        <v>46113</v>
      </c>
      <c r="D99" s="33">
        <v>3272</v>
      </c>
      <c r="E99" s="33">
        <v>336</v>
      </c>
      <c r="F99" s="33">
        <v>4</v>
      </c>
      <c r="G99" s="33">
        <v>4</v>
      </c>
      <c r="H99" s="33">
        <v>81379</v>
      </c>
      <c r="I99" s="33" t="s">
        <v>104</v>
      </c>
      <c r="J99" s="33">
        <v>15501763</v>
      </c>
      <c r="K99" s="33" t="s">
        <v>1773</v>
      </c>
      <c r="L99" s="33" t="s">
        <v>1776</v>
      </c>
      <c r="M99" s="34">
        <v>159900</v>
      </c>
      <c r="N99" s="37">
        <f t="shared" si="10"/>
        <v>0.7</v>
      </c>
      <c r="O99" s="34">
        <f t="shared" si="6"/>
        <v>47970</v>
      </c>
      <c r="P99" s="34" t="str">
        <f t="shared" si="11"/>
        <v>PERCENTAGE</v>
      </c>
    </row>
    <row r="100" spans="1:16" s="6" customFormat="1" x14ac:dyDescent="0.25">
      <c r="A100" s="33" t="str">
        <f t="shared" si="7"/>
        <v>2024 JAN-JUN D70</v>
      </c>
      <c r="B100" s="8">
        <f t="shared" si="8"/>
        <v>46099</v>
      </c>
      <c r="C100" s="8">
        <f t="shared" si="9"/>
        <v>46113</v>
      </c>
      <c r="D100" s="33">
        <v>3272</v>
      </c>
      <c r="E100" s="33">
        <v>336</v>
      </c>
      <c r="F100" s="33">
        <v>4</v>
      </c>
      <c r="G100" s="33">
        <v>4</v>
      </c>
      <c r="H100" s="33">
        <v>81379</v>
      </c>
      <c r="I100" s="33" t="s">
        <v>104</v>
      </c>
      <c r="J100" s="33">
        <v>15501772</v>
      </c>
      <c r="K100" s="33" t="s">
        <v>1773</v>
      </c>
      <c r="L100" s="33" t="s">
        <v>1777</v>
      </c>
      <c r="M100" s="34">
        <v>159900</v>
      </c>
      <c r="N100" s="37">
        <f t="shared" si="10"/>
        <v>0.7</v>
      </c>
      <c r="O100" s="34">
        <f t="shared" si="6"/>
        <v>47970</v>
      </c>
      <c r="P100" s="34" t="str">
        <f t="shared" si="11"/>
        <v>PERCENTAGE</v>
      </c>
    </row>
    <row r="101" spans="1:16" s="6" customFormat="1" x14ac:dyDescent="0.25">
      <c r="A101" s="33" t="str">
        <f t="shared" si="7"/>
        <v>2024 JAN-JUN D70</v>
      </c>
      <c r="B101" s="8">
        <f t="shared" si="8"/>
        <v>46099</v>
      </c>
      <c r="C101" s="8">
        <f t="shared" si="9"/>
        <v>46113</v>
      </c>
      <c r="D101" s="33">
        <v>3272</v>
      </c>
      <c r="E101" s="33">
        <v>336</v>
      </c>
      <c r="F101" s="33">
        <v>4</v>
      </c>
      <c r="G101" s="33">
        <v>4</v>
      </c>
      <c r="H101" s="33">
        <v>81379</v>
      </c>
      <c r="I101" s="33" t="s">
        <v>104</v>
      </c>
      <c r="J101" s="33">
        <v>15501781</v>
      </c>
      <c r="K101" s="33" t="s">
        <v>1773</v>
      </c>
      <c r="L101" s="33" t="s">
        <v>1778</v>
      </c>
      <c r="M101" s="34">
        <v>159900</v>
      </c>
      <c r="N101" s="37">
        <f t="shared" si="10"/>
        <v>0.7</v>
      </c>
      <c r="O101" s="34">
        <f t="shared" si="6"/>
        <v>47970</v>
      </c>
      <c r="P101" s="34" t="str">
        <f t="shared" si="11"/>
        <v>PERCENTAGE</v>
      </c>
    </row>
    <row r="102" spans="1:16" s="6" customFormat="1" x14ac:dyDescent="0.25">
      <c r="A102" s="33" t="str">
        <f t="shared" si="7"/>
        <v>2024 JAN-JUN D70</v>
      </c>
      <c r="B102" s="8">
        <f t="shared" si="8"/>
        <v>46099</v>
      </c>
      <c r="C102" s="8">
        <f t="shared" si="9"/>
        <v>46113</v>
      </c>
      <c r="D102" s="33">
        <v>3272</v>
      </c>
      <c r="E102" s="33">
        <v>336</v>
      </c>
      <c r="F102" s="33">
        <v>4</v>
      </c>
      <c r="G102" s="33">
        <v>5</v>
      </c>
      <c r="H102" s="33">
        <v>81379</v>
      </c>
      <c r="I102" s="33" t="s">
        <v>104</v>
      </c>
      <c r="J102" s="33">
        <v>16034696</v>
      </c>
      <c r="K102" s="33" t="s">
        <v>1779</v>
      </c>
      <c r="L102" s="33" t="s">
        <v>1780</v>
      </c>
      <c r="M102" s="34">
        <v>229900</v>
      </c>
      <c r="N102" s="37">
        <f t="shared" si="10"/>
        <v>0.7</v>
      </c>
      <c r="O102" s="34">
        <f t="shared" si="6"/>
        <v>68970</v>
      </c>
      <c r="P102" s="34" t="str">
        <f t="shared" si="11"/>
        <v>PERCENTAGE</v>
      </c>
    </row>
    <row r="103" spans="1:16" s="6" customFormat="1" x14ac:dyDescent="0.25">
      <c r="A103" s="33" t="str">
        <f t="shared" si="7"/>
        <v>2024 JAN-JUN D70</v>
      </c>
      <c r="B103" s="8">
        <f t="shared" si="8"/>
        <v>46099</v>
      </c>
      <c r="C103" s="8">
        <f t="shared" si="9"/>
        <v>46113</v>
      </c>
      <c r="D103" s="33">
        <v>3272</v>
      </c>
      <c r="E103" s="33">
        <v>336</v>
      </c>
      <c r="F103" s="33">
        <v>4</v>
      </c>
      <c r="G103" s="33">
        <v>5</v>
      </c>
      <c r="H103" s="33">
        <v>81379</v>
      </c>
      <c r="I103" s="33" t="s">
        <v>104</v>
      </c>
      <c r="J103" s="33">
        <v>16034703</v>
      </c>
      <c r="K103" s="33" t="s">
        <v>1779</v>
      </c>
      <c r="L103" s="33" t="s">
        <v>1781</v>
      </c>
      <c r="M103" s="34">
        <v>229900</v>
      </c>
      <c r="N103" s="37">
        <f t="shared" si="10"/>
        <v>0.7</v>
      </c>
      <c r="O103" s="34">
        <f t="shared" si="6"/>
        <v>68970</v>
      </c>
      <c r="P103" s="34" t="str">
        <f t="shared" si="11"/>
        <v>PERCENTAGE</v>
      </c>
    </row>
    <row r="104" spans="1:16" s="6" customFormat="1" x14ac:dyDescent="0.25">
      <c r="A104" s="33" t="str">
        <f t="shared" si="7"/>
        <v>2024 JAN-JUN D70</v>
      </c>
      <c r="B104" s="8">
        <f t="shared" si="8"/>
        <v>46099</v>
      </c>
      <c r="C104" s="8">
        <f t="shared" si="9"/>
        <v>46113</v>
      </c>
      <c r="D104" s="33">
        <v>3272</v>
      </c>
      <c r="E104" s="33">
        <v>336</v>
      </c>
      <c r="F104" s="33">
        <v>4</v>
      </c>
      <c r="G104" s="33">
        <v>5</v>
      </c>
      <c r="H104" s="33">
        <v>81379</v>
      </c>
      <c r="I104" s="33" t="s">
        <v>104</v>
      </c>
      <c r="J104" s="33">
        <v>16034712</v>
      </c>
      <c r="K104" s="33" t="s">
        <v>1779</v>
      </c>
      <c r="L104" s="33" t="s">
        <v>1782</v>
      </c>
      <c r="M104" s="34">
        <v>229900</v>
      </c>
      <c r="N104" s="37">
        <f t="shared" si="10"/>
        <v>0.7</v>
      </c>
      <c r="O104" s="34">
        <f t="shared" si="6"/>
        <v>68970</v>
      </c>
      <c r="P104" s="34" t="str">
        <f t="shared" si="11"/>
        <v>PERCENTAGE</v>
      </c>
    </row>
    <row r="105" spans="1:16" s="6" customFormat="1" x14ac:dyDescent="0.25">
      <c r="A105" s="33" t="str">
        <f t="shared" si="7"/>
        <v>2024 JAN-JUN D70</v>
      </c>
      <c r="B105" s="8">
        <f t="shared" si="8"/>
        <v>46099</v>
      </c>
      <c r="C105" s="8">
        <f t="shared" si="9"/>
        <v>46113</v>
      </c>
      <c r="D105" s="33">
        <v>3272</v>
      </c>
      <c r="E105" s="33">
        <v>336</v>
      </c>
      <c r="F105" s="33">
        <v>4</v>
      </c>
      <c r="G105" s="33">
        <v>5</v>
      </c>
      <c r="H105" s="33">
        <v>81379</v>
      </c>
      <c r="I105" s="33" t="s">
        <v>104</v>
      </c>
      <c r="J105" s="33">
        <v>16034721</v>
      </c>
      <c r="K105" s="33" t="s">
        <v>1779</v>
      </c>
      <c r="L105" s="33" t="s">
        <v>1783</v>
      </c>
      <c r="M105" s="34">
        <v>229900</v>
      </c>
      <c r="N105" s="37">
        <f t="shared" si="10"/>
        <v>0.7</v>
      </c>
      <c r="O105" s="34">
        <f t="shared" si="6"/>
        <v>68970</v>
      </c>
      <c r="P105" s="34" t="str">
        <f t="shared" si="11"/>
        <v>PERCENTAGE</v>
      </c>
    </row>
    <row r="106" spans="1:16" s="6" customFormat="1" x14ac:dyDescent="0.25">
      <c r="A106" s="33" t="str">
        <f t="shared" si="7"/>
        <v>2024 JAN-JUN D70</v>
      </c>
      <c r="B106" s="8">
        <f t="shared" si="8"/>
        <v>46099</v>
      </c>
      <c r="C106" s="8">
        <f t="shared" si="9"/>
        <v>46113</v>
      </c>
      <c r="D106" s="33">
        <v>3272</v>
      </c>
      <c r="E106" s="33">
        <v>336</v>
      </c>
      <c r="F106" s="33">
        <v>4</v>
      </c>
      <c r="G106" s="33">
        <v>5</v>
      </c>
      <c r="H106" s="33">
        <v>81379</v>
      </c>
      <c r="I106" s="33" t="s">
        <v>104</v>
      </c>
      <c r="J106" s="33">
        <v>16034730</v>
      </c>
      <c r="K106" s="33" t="s">
        <v>1779</v>
      </c>
      <c r="L106" s="33" t="s">
        <v>1784</v>
      </c>
      <c r="M106" s="34">
        <v>229900</v>
      </c>
      <c r="N106" s="37">
        <f t="shared" si="10"/>
        <v>0.7</v>
      </c>
      <c r="O106" s="34">
        <f t="shared" si="6"/>
        <v>68970</v>
      </c>
      <c r="P106" s="34" t="str">
        <f t="shared" si="11"/>
        <v>PERCENTAGE</v>
      </c>
    </row>
    <row r="107" spans="1:16" s="6" customFormat="1" x14ac:dyDescent="0.25">
      <c r="A107" s="33" t="str">
        <f t="shared" si="7"/>
        <v>2024 JAN-JUN D70</v>
      </c>
      <c r="B107" s="8">
        <f t="shared" si="8"/>
        <v>46099</v>
      </c>
      <c r="C107" s="8">
        <f t="shared" si="9"/>
        <v>46113</v>
      </c>
      <c r="D107" s="33">
        <v>3272</v>
      </c>
      <c r="E107" s="33">
        <v>336</v>
      </c>
      <c r="F107" s="33">
        <v>4</v>
      </c>
      <c r="G107" s="33">
        <v>1</v>
      </c>
      <c r="H107" s="33">
        <v>81676</v>
      </c>
      <c r="I107" s="33" t="s">
        <v>104</v>
      </c>
      <c r="J107" s="33">
        <v>15499124</v>
      </c>
      <c r="K107" s="33" t="s">
        <v>1539</v>
      </c>
      <c r="L107" s="33" t="s">
        <v>1540</v>
      </c>
      <c r="M107" s="34">
        <v>129900</v>
      </c>
      <c r="N107" s="37">
        <f t="shared" si="10"/>
        <v>0.7</v>
      </c>
      <c r="O107" s="34">
        <f t="shared" si="6"/>
        <v>38970</v>
      </c>
      <c r="P107" s="34" t="str">
        <f t="shared" si="11"/>
        <v>PERCENTAGE</v>
      </c>
    </row>
    <row r="108" spans="1:16" s="6" customFormat="1" x14ac:dyDescent="0.25">
      <c r="A108" s="33" t="str">
        <f t="shared" si="7"/>
        <v>2024 JAN-JUN D70</v>
      </c>
      <c r="B108" s="8">
        <f t="shared" si="8"/>
        <v>46099</v>
      </c>
      <c r="C108" s="8">
        <f t="shared" si="9"/>
        <v>46113</v>
      </c>
      <c r="D108" s="33">
        <v>3272</v>
      </c>
      <c r="E108" s="33">
        <v>336</v>
      </c>
      <c r="F108" s="33">
        <v>4</v>
      </c>
      <c r="G108" s="33">
        <v>1</v>
      </c>
      <c r="H108" s="33">
        <v>81676</v>
      </c>
      <c r="I108" s="33" t="s">
        <v>104</v>
      </c>
      <c r="J108" s="33">
        <v>15499133</v>
      </c>
      <c r="K108" s="33" t="s">
        <v>1539</v>
      </c>
      <c r="L108" s="33" t="s">
        <v>1541</v>
      </c>
      <c r="M108" s="34">
        <v>129900</v>
      </c>
      <c r="N108" s="37">
        <f t="shared" si="10"/>
        <v>0.7</v>
      </c>
      <c r="O108" s="34">
        <f t="shared" si="6"/>
        <v>38970</v>
      </c>
      <c r="P108" s="34" t="str">
        <f t="shared" si="11"/>
        <v>PERCENTAGE</v>
      </c>
    </row>
    <row r="109" spans="1:16" s="6" customFormat="1" x14ac:dyDescent="0.25">
      <c r="A109" s="33" t="str">
        <f t="shared" si="7"/>
        <v>2024 JAN-JUN D70</v>
      </c>
      <c r="B109" s="8">
        <f t="shared" si="8"/>
        <v>46099</v>
      </c>
      <c r="C109" s="8">
        <f t="shared" si="9"/>
        <v>46113</v>
      </c>
      <c r="D109" s="33">
        <v>3272</v>
      </c>
      <c r="E109" s="33">
        <v>336</v>
      </c>
      <c r="F109" s="33">
        <v>4</v>
      </c>
      <c r="G109" s="33">
        <v>1</v>
      </c>
      <c r="H109" s="33">
        <v>81676</v>
      </c>
      <c r="I109" s="33" t="s">
        <v>104</v>
      </c>
      <c r="J109" s="33">
        <v>15499142</v>
      </c>
      <c r="K109" s="33" t="s">
        <v>1539</v>
      </c>
      <c r="L109" s="33" t="s">
        <v>1542</v>
      </c>
      <c r="M109" s="34">
        <v>129900</v>
      </c>
      <c r="N109" s="37">
        <f t="shared" si="10"/>
        <v>0.7</v>
      </c>
      <c r="O109" s="34">
        <f t="shared" si="6"/>
        <v>38970</v>
      </c>
      <c r="P109" s="34" t="str">
        <f t="shared" si="11"/>
        <v>PERCENTAGE</v>
      </c>
    </row>
    <row r="110" spans="1:16" s="6" customFormat="1" x14ac:dyDescent="0.25">
      <c r="A110" s="33" t="str">
        <f t="shared" si="7"/>
        <v>2024 JAN-JUN D70</v>
      </c>
      <c r="B110" s="8">
        <f t="shared" si="8"/>
        <v>46099</v>
      </c>
      <c r="C110" s="8">
        <f t="shared" si="9"/>
        <v>46113</v>
      </c>
      <c r="D110" s="33">
        <v>3272</v>
      </c>
      <c r="E110" s="33">
        <v>336</v>
      </c>
      <c r="F110" s="33">
        <v>4</v>
      </c>
      <c r="G110" s="33">
        <v>1</v>
      </c>
      <c r="H110" s="33">
        <v>81676</v>
      </c>
      <c r="I110" s="33" t="s">
        <v>104</v>
      </c>
      <c r="J110" s="33">
        <v>15499151</v>
      </c>
      <c r="K110" s="33" t="s">
        <v>1539</v>
      </c>
      <c r="L110" s="33" t="s">
        <v>1543</v>
      </c>
      <c r="M110" s="34">
        <v>129900</v>
      </c>
      <c r="N110" s="37">
        <f t="shared" si="10"/>
        <v>0.7</v>
      </c>
      <c r="O110" s="34">
        <f t="shared" si="6"/>
        <v>38970</v>
      </c>
      <c r="P110" s="34" t="str">
        <f t="shared" si="11"/>
        <v>PERCENTAGE</v>
      </c>
    </row>
    <row r="111" spans="1:16" s="6" customFormat="1" x14ac:dyDescent="0.25">
      <c r="A111" s="33" t="str">
        <f t="shared" si="7"/>
        <v>2024 JAN-JUN D70</v>
      </c>
      <c r="B111" s="8">
        <f t="shared" si="8"/>
        <v>46099</v>
      </c>
      <c r="C111" s="8">
        <f t="shared" si="9"/>
        <v>46113</v>
      </c>
      <c r="D111" s="33">
        <v>3272</v>
      </c>
      <c r="E111" s="33">
        <v>336</v>
      </c>
      <c r="F111" s="33">
        <v>4</v>
      </c>
      <c r="G111" s="33">
        <v>1</v>
      </c>
      <c r="H111" s="33">
        <v>81676</v>
      </c>
      <c r="I111" s="33" t="s">
        <v>104</v>
      </c>
      <c r="J111" s="33">
        <v>15499160</v>
      </c>
      <c r="K111" s="33" t="s">
        <v>1539</v>
      </c>
      <c r="L111" s="33" t="s">
        <v>1544</v>
      </c>
      <c r="M111" s="34">
        <v>129900</v>
      </c>
      <c r="N111" s="37">
        <f t="shared" si="10"/>
        <v>0.7</v>
      </c>
      <c r="O111" s="34">
        <f t="shared" si="6"/>
        <v>38970</v>
      </c>
      <c r="P111" s="34" t="str">
        <f t="shared" si="11"/>
        <v>PERCENTAGE</v>
      </c>
    </row>
    <row r="112" spans="1:16" s="6" customFormat="1" x14ac:dyDescent="0.25">
      <c r="A112" s="33" t="str">
        <f t="shared" si="7"/>
        <v>2024 JAN-JUN D70</v>
      </c>
      <c r="B112" s="8">
        <f t="shared" si="8"/>
        <v>46099</v>
      </c>
      <c r="C112" s="8">
        <f t="shared" si="9"/>
        <v>46113</v>
      </c>
      <c r="D112" s="33">
        <v>3272</v>
      </c>
      <c r="E112" s="33">
        <v>336</v>
      </c>
      <c r="F112" s="33">
        <v>4</v>
      </c>
      <c r="G112" s="33">
        <v>1</v>
      </c>
      <c r="H112" s="33">
        <v>81379</v>
      </c>
      <c r="I112" s="33" t="s">
        <v>104</v>
      </c>
      <c r="J112" s="33">
        <v>15499820</v>
      </c>
      <c r="K112" s="33" t="s">
        <v>1545</v>
      </c>
      <c r="L112" s="33" t="s">
        <v>1546</v>
      </c>
      <c r="M112" s="34">
        <v>149900</v>
      </c>
      <c r="N112" s="37">
        <f t="shared" si="10"/>
        <v>0.7</v>
      </c>
      <c r="O112" s="34">
        <f t="shared" si="6"/>
        <v>44970</v>
      </c>
      <c r="P112" s="34" t="str">
        <f t="shared" si="11"/>
        <v>PERCENTAGE</v>
      </c>
    </row>
    <row r="113" spans="1:16" s="6" customFormat="1" x14ac:dyDescent="0.25">
      <c r="A113" s="33" t="str">
        <f t="shared" si="7"/>
        <v>2024 JAN-JUN D70</v>
      </c>
      <c r="B113" s="8">
        <f t="shared" si="8"/>
        <v>46099</v>
      </c>
      <c r="C113" s="8">
        <f t="shared" si="9"/>
        <v>46113</v>
      </c>
      <c r="D113" s="33">
        <v>3272</v>
      </c>
      <c r="E113" s="33">
        <v>336</v>
      </c>
      <c r="F113" s="33">
        <v>4</v>
      </c>
      <c r="G113" s="33">
        <v>1</v>
      </c>
      <c r="H113" s="33">
        <v>81379</v>
      </c>
      <c r="I113" s="33" t="s">
        <v>104</v>
      </c>
      <c r="J113" s="33">
        <v>15499839</v>
      </c>
      <c r="K113" s="33" t="s">
        <v>1545</v>
      </c>
      <c r="L113" s="33" t="s">
        <v>1547</v>
      </c>
      <c r="M113" s="34">
        <v>149900</v>
      </c>
      <c r="N113" s="37">
        <f t="shared" si="10"/>
        <v>0.7</v>
      </c>
      <c r="O113" s="34">
        <f t="shared" si="6"/>
        <v>44970</v>
      </c>
      <c r="P113" s="34" t="str">
        <f t="shared" si="11"/>
        <v>PERCENTAGE</v>
      </c>
    </row>
    <row r="114" spans="1:16" s="6" customFormat="1" x14ac:dyDescent="0.25">
      <c r="A114" s="33" t="str">
        <f t="shared" si="7"/>
        <v>2024 JAN-JUN D70</v>
      </c>
      <c r="B114" s="8">
        <f t="shared" si="8"/>
        <v>46099</v>
      </c>
      <c r="C114" s="8">
        <f t="shared" si="9"/>
        <v>46113</v>
      </c>
      <c r="D114" s="33">
        <v>3272</v>
      </c>
      <c r="E114" s="33">
        <v>336</v>
      </c>
      <c r="F114" s="33">
        <v>4</v>
      </c>
      <c r="G114" s="33">
        <v>1</v>
      </c>
      <c r="H114" s="33">
        <v>81379</v>
      </c>
      <c r="I114" s="33" t="s">
        <v>104</v>
      </c>
      <c r="J114" s="33">
        <v>15499848</v>
      </c>
      <c r="K114" s="33" t="s">
        <v>1545</v>
      </c>
      <c r="L114" s="33" t="s">
        <v>1548</v>
      </c>
      <c r="M114" s="34">
        <v>149900</v>
      </c>
      <c r="N114" s="37">
        <f t="shared" si="10"/>
        <v>0.7</v>
      </c>
      <c r="O114" s="34">
        <f t="shared" si="6"/>
        <v>44970</v>
      </c>
      <c r="P114" s="34" t="str">
        <f t="shared" si="11"/>
        <v>PERCENTAGE</v>
      </c>
    </row>
    <row r="115" spans="1:16" s="6" customFormat="1" x14ac:dyDescent="0.25">
      <c r="A115" s="33" t="str">
        <f t="shared" si="7"/>
        <v>2024 JAN-JUN D70</v>
      </c>
      <c r="B115" s="8">
        <f t="shared" si="8"/>
        <v>46099</v>
      </c>
      <c r="C115" s="8">
        <f t="shared" si="9"/>
        <v>46113</v>
      </c>
      <c r="D115" s="33">
        <v>3272</v>
      </c>
      <c r="E115" s="33">
        <v>336</v>
      </c>
      <c r="F115" s="33">
        <v>4</v>
      </c>
      <c r="G115" s="33">
        <v>1</v>
      </c>
      <c r="H115" s="33">
        <v>81379</v>
      </c>
      <c r="I115" s="33" t="s">
        <v>104</v>
      </c>
      <c r="J115" s="33">
        <v>15499857</v>
      </c>
      <c r="K115" s="33" t="s">
        <v>1545</v>
      </c>
      <c r="L115" s="33" t="s">
        <v>1549</v>
      </c>
      <c r="M115" s="34">
        <v>149900</v>
      </c>
      <c r="N115" s="37">
        <f t="shared" si="10"/>
        <v>0.7</v>
      </c>
      <c r="O115" s="34">
        <f t="shared" si="6"/>
        <v>44970</v>
      </c>
      <c r="P115" s="34" t="str">
        <f t="shared" si="11"/>
        <v>PERCENTAGE</v>
      </c>
    </row>
    <row r="116" spans="1:16" s="6" customFormat="1" x14ac:dyDescent="0.25">
      <c r="A116" s="33" t="str">
        <f t="shared" si="7"/>
        <v>2024 JAN-JUN D70</v>
      </c>
      <c r="B116" s="8">
        <f t="shared" si="8"/>
        <v>46099</v>
      </c>
      <c r="C116" s="8">
        <f t="shared" si="9"/>
        <v>46113</v>
      </c>
      <c r="D116" s="33">
        <v>3272</v>
      </c>
      <c r="E116" s="33">
        <v>336</v>
      </c>
      <c r="F116" s="33">
        <v>4</v>
      </c>
      <c r="G116" s="33">
        <v>1</v>
      </c>
      <c r="H116" s="33">
        <v>81379</v>
      </c>
      <c r="I116" s="33" t="s">
        <v>104</v>
      </c>
      <c r="J116" s="33">
        <v>15499866</v>
      </c>
      <c r="K116" s="33" t="s">
        <v>1545</v>
      </c>
      <c r="L116" s="33" t="s">
        <v>1550</v>
      </c>
      <c r="M116" s="34">
        <v>149900</v>
      </c>
      <c r="N116" s="37">
        <f t="shared" si="10"/>
        <v>0.7</v>
      </c>
      <c r="O116" s="34">
        <f t="shared" si="6"/>
        <v>44970</v>
      </c>
      <c r="P116" s="34" t="str">
        <f t="shared" si="11"/>
        <v>PERCENTAGE</v>
      </c>
    </row>
    <row r="117" spans="1:16" s="6" customFormat="1" x14ac:dyDescent="0.25">
      <c r="A117" s="33" t="str">
        <f t="shared" si="7"/>
        <v>2024 JAN-JUN D70</v>
      </c>
      <c r="B117" s="8">
        <f t="shared" si="8"/>
        <v>46099</v>
      </c>
      <c r="C117" s="8">
        <f t="shared" si="9"/>
        <v>46113</v>
      </c>
      <c r="D117" s="33">
        <v>3272</v>
      </c>
      <c r="E117" s="33">
        <v>336</v>
      </c>
      <c r="F117" s="33">
        <v>4</v>
      </c>
      <c r="G117" s="33">
        <v>1</v>
      </c>
      <c r="H117" s="33">
        <v>81379</v>
      </c>
      <c r="I117" s="33" t="s">
        <v>104</v>
      </c>
      <c r="J117" s="33">
        <v>15499875</v>
      </c>
      <c r="K117" s="33" t="s">
        <v>1551</v>
      </c>
      <c r="L117" s="33" t="s">
        <v>1552</v>
      </c>
      <c r="M117" s="34">
        <v>149900</v>
      </c>
      <c r="N117" s="37">
        <f t="shared" si="10"/>
        <v>0.7</v>
      </c>
      <c r="O117" s="34">
        <f t="shared" si="6"/>
        <v>44970</v>
      </c>
      <c r="P117" s="34" t="str">
        <f t="shared" si="11"/>
        <v>PERCENTAGE</v>
      </c>
    </row>
    <row r="118" spans="1:16" s="6" customFormat="1" x14ac:dyDescent="0.25">
      <c r="A118" s="33" t="str">
        <f t="shared" si="7"/>
        <v>2024 JAN-JUN D70</v>
      </c>
      <c r="B118" s="8">
        <f t="shared" si="8"/>
        <v>46099</v>
      </c>
      <c r="C118" s="8">
        <f t="shared" si="9"/>
        <v>46113</v>
      </c>
      <c r="D118" s="33">
        <v>3272</v>
      </c>
      <c r="E118" s="33">
        <v>336</v>
      </c>
      <c r="F118" s="33">
        <v>4</v>
      </c>
      <c r="G118" s="33">
        <v>1</v>
      </c>
      <c r="H118" s="33">
        <v>81379</v>
      </c>
      <c r="I118" s="33" t="s">
        <v>104</v>
      </c>
      <c r="J118" s="33">
        <v>15499884</v>
      </c>
      <c r="K118" s="33" t="s">
        <v>1551</v>
      </c>
      <c r="L118" s="33" t="s">
        <v>1553</v>
      </c>
      <c r="M118" s="34">
        <v>149900</v>
      </c>
      <c r="N118" s="37">
        <f t="shared" si="10"/>
        <v>0.7</v>
      </c>
      <c r="O118" s="34">
        <f t="shared" si="6"/>
        <v>44970</v>
      </c>
      <c r="P118" s="34" t="str">
        <f t="shared" si="11"/>
        <v>PERCENTAGE</v>
      </c>
    </row>
    <row r="119" spans="1:16" s="6" customFormat="1" x14ac:dyDescent="0.25">
      <c r="A119" s="33" t="str">
        <f t="shared" si="7"/>
        <v>2024 JAN-JUN D70</v>
      </c>
      <c r="B119" s="8">
        <f t="shared" si="8"/>
        <v>46099</v>
      </c>
      <c r="C119" s="8">
        <f t="shared" si="9"/>
        <v>46113</v>
      </c>
      <c r="D119" s="33">
        <v>3272</v>
      </c>
      <c r="E119" s="33">
        <v>336</v>
      </c>
      <c r="F119" s="33">
        <v>4</v>
      </c>
      <c r="G119" s="33">
        <v>1</v>
      </c>
      <c r="H119" s="33">
        <v>81379</v>
      </c>
      <c r="I119" s="33" t="s">
        <v>104</v>
      </c>
      <c r="J119" s="33">
        <v>15499893</v>
      </c>
      <c r="K119" s="33" t="s">
        <v>1551</v>
      </c>
      <c r="L119" s="33" t="s">
        <v>1554</v>
      </c>
      <c r="M119" s="34">
        <v>149900</v>
      </c>
      <c r="N119" s="37">
        <f t="shared" si="10"/>
        <v>0.7</v>
      </c>
      <c r="O119" s="34">
        <f t="shared" si="6"/>
        <v>44970</v>
      </c>
      <c r="P119" s="34" t="str">
        <f t="shared" si="11"/>
        <v>PERCENTAGE</v>
      </c>
    </row>
    <row r="120" spans="1:16" s="6" customFormat="1" x14ac:dyDescent="0.25">
      <c r="A120" s="33" t="str">
        <f t="shared" si="7"/>
        <v>2024 JAN-JUN D70</v>
      </c>
      <c r="B120" s="8">
        <f t="shared" si="8"/>
        <v>46099</v>
      </c>
      <c r="C120" s="8">
        <f t="shared" si="9"/>
        <v>46113</v>
      </c>
      <c r="D120" s="33">
        <v>3272</v>
      </c>
      <c r="E120" s="33">
        <v>336</v>
      </c>
      <c r="F120" s="33">
        <v>4</v>
      </c>
      <c r="G120" s="33">
        <v>1</v>
      </c>
      <c r="H120" s="33">
        <v>81379</v>
      </c>
      <c r="I120" s="33" t="s">
        <v>104</v>
      </c>
      <c r="J120" s="33">
        <v>15499900</v>
      </c>
      <c r="K120" s="33" t="s">
        <v>1551</v>
      </c>
      <c r="L120" s="33" t="s">
        <v>1555</v>
      </c>
      <c r="M120" s="34">
        <v>149900</v>
      </c>
      <c r="N120" s="37">
        <f t="shared" si="10"/>
        <v>0.7</v>
      </c>
      <c r="O120" s="34">
        <f t="shared" si="6"/>
        <v>44970</v>
      </c>
      <c r="P120" s="34" t="str">
        <f t="shared" si="11"/>
        <v>PERCENTAGE</v>
      </c>
    </row>
    <row r="121" spans="1:16" s="6" customFormat="1" x14ac:dyDescent="0.25">
      <c r="A121" s="33" t="str">
        <f t="shared" si="7"/>
        <v>2024 JAN-JUN D70</v>
      </c>
      <c r="B121" s="8">
        <f t="shared" si="8"/>
        <v>46099</v>
      </c>
      <c r="C121" s="8">
        <f t="shared" si="9"/>
        <v>46113</v>
      </c>
      <c r="D121" s="33">
        <v>3272</v>
      </c>
      <c r="E121" s="33">
        <v>336</v>
      </c>
      <c r="F121" s="33">
        <v>4</v>
      </c>
      <c r="G121" s="33">
        <v>1</v>
      </c>
      <c r="H121" s="33">
        <v>81379</v>
      </c>
      <c r="I121" s="33" t="s">
        <v>104</v>
      </c>
      <c r="J121" s="33">
        <v>15499919</v>
      </c>
      <c r="K121" s="33" t="s">
        <v>1551</v>
      </c>
      <c r="L121" s="33" t="s">
        <v>1556</v>
      </c>
      <c r="M121" s="34">
        <v>149900</v>
      </c>
      <c r="N121" s="37">
        <f t="shared" si="10"/>
        <v>0.7</v>
      </c>
      <c r="O121" s="34">
        <f t="shared" si="6"/>
        <v>44970</v>
      </c>
      <c r="P121" s="34" t="str">
        <f t="shared" si="11"/>
        <v>PERCENTAGE</v>
      </c>
    </row>
    <row r="122" spans="1:16" s="6" customFormat="1" x14ac:dyDescent="0.25">
      <c r="A122" s="33" t="str">
        <f t="shared" si="7"/>
        <v>2024 JAN-JUN D70</v>
      </c>
      <c r="B122" s="8">
        <f t="shared" si="8"/>
        <v>46099</v>
      </c>
      <c r="C122" s="8">
        <f t="shared" si="9"/>
        <v>46113</v>
      </c>
      <c r="D122" s="33">
        <v>3272</v>
      </c>
      <c r="E122" s="33">
        <v>336</v>
      </c>
      <c r="F122" s="33">
        <v>4</v>
      </c>
      <c r="G122" s="33">
        <v>1</v>
      </c>
      <c r="H122" s="33">
        <v>81379</v>
      </c>
      <c r="I122" s="33" t="s">
        <v>104</v>
      </c>
      <c r="J122" s="33">
        <v>15499928</v>
      </c>
      <c r="K122" s="33" t="s">
        <v>1557</v>
      </c>
      <c r="L122" s="33" t="s">
        <v>1558</v>
      </c>
      <c r="M122" s="34">
        <v>149900</v>
      </c>
      <c r="N122" s="37">
        <f t="shared" si="10"/>
        <v>0.7</v>
      </c>
      <c r="O122" s="34">
        <f t="shared" si="6"/>
        <v>44970</v>
      </c>
      <c r="P122" s="34" t="str">
        <f t="shared" si="11"/>
        <v>PERCENTAGE</v>
      </c>
    </row>
    <row r="123" spans="1:16" s="6" customFormat="1" x14ac:dyDescent="0.25">
      <c r="A123" s="33" t="str">
        <f t="shared" si="7"/>
        <v>2024 JAN-JUN D70</v>
      </c>
      <c r="B123" s="8">
        <f t="shared" si="8"/>
        <v>46099</v>
      </c>
      <c r="C123" s="8">
        <f t="shared" si="9"/>
        <v>46113</v>
      </c>
      <c r="D123" s="33">
        <v>3272</v>
      </c>
      <c r="E123" s="33">
        <v>336</v>
      </c>
      <c r="F123" s="33">
        <v>4</v>
      </c>
      <c r="G123" s="33">
        <v>1</v>
      </c>
      <c r="H123" s="33">
        <v>81379</v>
      </c>
      <c r="I123" s="33" t="s">
        <v>104</v>
      </c>
      <c r="J123" s="33">
        <v>15499937</v>
      </c>
      <c r="K123" s="33" t="s">
        <v>1557</v>
      </c>
      <c r="L123" s="33" t="s">
        <v>1559</v>
      </c>
      <c r="M123" s="34">
        <v>149900</v>
      </c>
      <c r="N123" s="37">
        <f t="shared" si="10"/>
        <v>0.7</v>
      </c>
      <c r="O123" s="34">
        <f t="shared" si="6"/>
        <v>44970</v>
      </c>
      <c r="P123" s="34" t="str">
        <f t="shared" si="11"/>
        <v>PERCENTAGE</v>
      </c>
    </row>
    <row r="124" spans="1:16" s="6" customFormat="1" x14ac:dyDescent="0.25">
      <c r="A124" s="33" t="str">
        <f t="shared" si="7"/>
        <v>2024 JAN-JUN D70</v>
      </c>
      <c r="B124" s="8">
        <f t="shared" si="8"/>
        <v>46099</v>
      </c>
      <c r="C124" s="8">
        <f t="shared" si="9"/>
        <v>46113</v>
      </c>
      <c r="D124" s="33">
        <v>3272</v>
      </c>
      <c r="E124" s="33">
        <v>336</v>
      </c>
      <c r="F124" s="33">
        <v>4</v>
      </c>
      <c r="G124" s="33">
        <v>1</v>
      </c>
      <c r="H124" s="33">
        <v>81379</v>
      </c>
      <c r="I124" s="33" t="s">
        <v>104</v>
      </c>
      <c r="J124" s="33">
        <v>15499946</v>
      </c>
      <c r="K124" s="33" t="s">
        <v>1557</v>
      </c>
      <c r="L124" s="33" t="s">
        <v>1560</v>
      </c>
      <c r="M124" s="34">
        <v>149900</v>
      </c>
      <c r="N124" s="37">
        <f t="shared" si="10"/>
        <v>0.7</v>
      </c>
      <c r="O124" s="34">
        <f t="shared" si="6"/>
        <v>44970</v>
      </c>
      <c r="P124" s="34" t="str">
        <f t="shared" si="11"/>
        <v>PERCENTAGE</v>
      </c>
    </row>
    <row r="125" spans="1:16" s="6" customFormat="1" x14ac:dyDescent="0.25">
      <c r="A125" s="33" t="str">
        <f t="shared" si="7"/>
        <v>2024 JAN-JUN D70</v>
      </c>
      <c r="B125" s="8">
        <f t="shared" si="8"/>
        <v>46099</v>
      </c>
      <c r="C125" s="8">
        <f t="shared" si="9"/>
        <v>46113</v>
      </c>
      <c r="D125" s="33">
        <v>3272</v>
      </c>
      <c r="E125" s="33">
        <v>336</v>
      </c>
      <c r="F125" s="33">
        <v>4</v>
      </c>
      <c r="G125" s="33">
        <v>1</v>
      </c>
      <c r="H125" s="33">
        <v>81379</v>
      </c>
      <c r="I125" s="33" t="s">
        <v>104</v>
      </c>
      <c r="J125" s="33">
        <v>15499955</v>
      </c>
      <c r="K125" s="33" t="s">
        <v>1557</v>
      </c>
      <c r="L125" s="33" t="s">
        <v>1561</v>
      </c>
      <c r="M125" s="34">
        <v>149900</v>
      </c>
      <c r="N125" s="37">
        <f t="shared" si="10"/>
        <v>0.7</v>
      </c>
      <c r="O125" s="34">
        <f t="shared" si="6"/>
        <v>44970</v>
      </c>
      <c r="P125" s="34" t="str">
        <f t="shared" si="11"/>
        <v>PERCENTAGE</v>
      </c>
    </row>
    <row r="126" spans="1:16" s="6" customFormat="1" x14ac:dyDescent="0.25">
      <c r="A126" s="33" t="str">
        <f t="shared" si="7"/>
        <v>2024 JAN-JUN D70</v>
      </c>
      <c r="B126" s="8">
        <f t="shared" si="8"/>
        <v>46099</v>
      </c>
      <c r="C126" s="8">
        <f t="shared" si="9"/>
        <v>46113</v>
      </c>
      <c r="D126" s="33">
        <v>3272</v>
      </c>
      <c r="E126" s="33">
        <v>336</v>
      </c>
      <c r="F126" s="33">
        <v>4</v>
      </c>
      <c r="G126" s="33">
        <v>1</v>
      </c>
      <c r="H126" s="33">
        <v>81379</v>
      </c>
      <c r="I126" s="33" t="s">
        <v>104</v>
      </c>
      <c r="J126" s="33">
        <v>15499964</v>
      </c>
      <c r="K126" s="33" t="s">
        <v>1557</v>
      </c>
      <c r="L126" s="33" t="s">
        <v>1562</v>
      </c>
      <c r="M126" s="34">
        <v>149900</v>
      </c>
      <c r="N126" s="37">
        <f t="shared" si="10"/>
        <v>0.7</v>
      </c>
      <c r="O126" s="34">
        <f t="shared" si="6"/>
        <v>44970</v>
      </c>
      <c r="P126" s="34" t="str">
        <f t="shared" si="11"/>
        <v>PERCENTAGE</v>
      </c>
    </row>
    <row r="127" spans="1:16" s="6" customFormat="1" x14ac:dyDescent="0.25">
      <c r="A127" s="33" t="str">
        <f t="shared" si="7"/>
        <v>2024 JAN-JUN D70</v>
      </c>
      <c r="B127" s="8">
        <f t="shared" si="8"/>
        <v>46099</v>
      </c>
      <c r="C127" s="8">
        <f t="shared" si="9"/>
        <v>46113</v>
      </c>
      <c r="D127" s="33">
        <v>3272</v>
      </c>
      <c r="E127" s="33">
        <v>336</v>
      </c>
      <c r="F127" s="33">
        <v>4</v>
      </c>
      <c r="G127" s="33">
        <v>1</v>
      </c>
      <c r="H127" s="33">
        <v>81379</v>
      </c>
      <c r="I127" s="33" t="s">
        <v>104</v>
      </c>
      <c r="J127" s="33">
        <v>15499973</v>
      </c>
      <c r="K127" s="33" t="s">
        <v>1563</v>
      </c>
      <c r="L127" s="33" t="s">
        <v>1564</v>
      </c>
      <c r="M127" s="34">
        <v>149900</v>
      </c>
      <c r="N127" s="37">
        <f t="shared" si="10"/>
        <v>0.7</v>
      </c>
      <c r="O127" s="34">
        <f t="shared" si="6"/>
        <v>44970</v>
      </c>
      <c r="P127" s="34" t="str">
        <f t="shared" si="11"/>
        <v>PERCENTAGE</v>
      </c>
    </row>
    <row r="128" spans="1:16" s="6" customFormat="1" x14ac:dyDescent="0.25">
      <c r="A128" s="33" t="str">
        <f t="shared" si="7"/>
        <v>2024 JAN-JUN D70</v>
      </c>
      <c r="B128" s="8">
        <f t="shared" si="8"/>
        <v>46099</v>
      </c>
      <c r="C128" s="8">
        <f t="shared" si="9"/>
        <v>46113</v>
      </c>
      <c r="D128" s="33">
        <v>3272</v>
      </c>
      <c r="E128" s="33">
        <v>336</v>
      </c>
      <c r="F128" s="33">
        <v>4</v>
      </c>
      <c r="G128" s="33">
        <v>1</v>
      </c>
      <c r="H128" s="33">
        <v>81379</v>
      </c>
      <c r="I128" s="33" t="s">
        <v>104</v>
      </c>
      <c r="J128" s="33">
        <v>15499982</v>
      </c>
      <c r="K128" s="33" t="s">
        <v>1563</v>
      </c>
      <c r="L128" s="33" t="s">
        <v>1565</v>
      </c>
      <c r="M128" s="34">
        <v>149900</v>
      </c>
      <c r="N128" s="37">
        <f t="shared" si="10"/>
        <v>0.7</v>
      </c>
      <c r="O128" s="34">
        <f t="shared" si="6"/>
        <v>44970</v>
      </c>
      <c r="P128" s="34" t="str">
        <f t="shared" si="11"/>
        <v>PERCENTAGE</v>
      </c>
    </row>
    <row r="129" spans="1:16" s="6" customFormat="1" x14ac:dyDescent="0.25">
      <c r="A129" s="33" t="str">
        <f t="shared" si="7"/>
        <v>2024 JAN-JUN D70</v>
      </c>
      <c r="B129" s="8">
        <f t="shared" si="8"/>
        <v>46099</v>
      </c>
      <c r="C129" s="8">
        <f t="shared" si="9"/>
        <v>46113</v>
      </c>
      <c r="D129" s="33">
        <v>3272</v>
      </c>
      <c r="E129" s="33">
        <v>336</v>
      </c>
      <c r="F129" s="33">
        <v>4</v>
      </c>
      <c r="G129" s="33">
        <v>1</v>
      </c>
      <c r="H129" s="33">
        <v>81379</v>
      </c>
      <c r="I129" s="33" t="s">
        <v>104</v>
      </c>
      <c r="J129" s="33">
        <v>15499991</v>
      </c>
      <c r="K129" s="33" t="s">
        <v>1563</v>
      </c>
      <c r="L129" s="33" t="s">
        <v>1566</v>
      </c>
      <c r="M129" s="34">
        <v>149900</v>
      </c>
      <c r="N129" s="37">
        <f t="shared" si="10"/>
        <v>0.7</v>
      </c>
      <c r="O129" s="34">
        <f t="shared" si="6"/>
        <v>44970</v>
      </c>
      <c r="P129" s="34" t="str">
        <f t="shared" si="11"/>
        <v>PERCENTAGE</v>
      </c>
    </row>
    <row r="130" spans="1:16" s="6" customFormat="1" x14ac:dyDescent="0.25">
      <c r="A130" s="33" t="str">
        <f t="shared" si="7"/>
        <v>2024 JAN-JUN D70</v>
      </c>
      <c r="B130" s="8">
        <f t="shared" si="8"/>
        <v>46099</v>
      </c>
      <c r="C130" s="8">
        <f t="shared" si="9"/>
        <v>46113</v>
      </c>
      <c r="D130" s="33">
        <v>3272</v>
      </c>
      <c r="E130" s="33">
        <v>336</v>
      </c>
      <c r="F130" s="33">
        <v>4</v>
      </c>
      <c r="G130" s="33">
        <v>1</v>
      </c>
      <c r="H130" s="33">
        <v>81379</v>
      </c>
      <c r="I130" s="33" t="s">
        <v>104</v>
      </c>
      <c r="J130" s="33">
        <v>15500004</v>
      </c>
      <c r="K130" s="33" t="s">
        <v>1563</v>
      </c>
      <c r="L130" s="33" t="s">
        <v>1567</v>
      </c>
      <c r="M130" s="34">
        <v>149900</v>
      </c>
      <c r="N130" s="37">
        <f t="shared" si="10"/>
        <v>0.7</v>
      </c>
      <c r="O130" s="34">
        <f t="shared" ref="O130:O193" si="12">M130-((70*M130))/100</f>
        <v>44970</v>
      </c>
      <c r="P130" s="34" t="str">
        <f t="shared" si="11"/>
        <v>PERCENTAGE</v>
      </c>
    </row>
    <row r="131" spans="1:16" s="6" customFormat="1" x14ac:dyDescent="0.25">
      <c r="A131" s="33" t="str">
        <f t="shared" ref="A131:A194" si="13">A130</f>
        <v>2024 JAN-JUN D70</v>
      </c>
      <c r="B131" s="8">
        <f t="shared" ref="B131:B194" si="14">B130</f>
        <v>46099</v>
      </c>
      <c r="C131" s="8">
        <f t="shared" ref="C131:C194" si="15">C130</f>
        <v>46113</v>
      </c>
      <c r="D131" s="33">
        <v>3272</v>
      </c>
      <c r="E131" s="33">
        <v>336</v>
      </c>
      <c r="F131" s="33">
        <v>4</v>
      </c>
      <c r="G131" s="33">
        <v>1</v>
      </c>
      <c r="H131" s="33">
        <v>81379</v>
      </c>
      <c r="I131" s="33" t="s">
        <v>104</v>
      </c>
      <c r="J131" s="33">
        <v>15500013</v>
      </c>
      <c r="K131" s="33" t="s">
        <v>1563</v>
      </c>
      <c r="L131" s="33" t="s">
        <v>1568</v>
      </c>
      <c r="M131" s="34">
        <v>149900</v>
      </c>
      <c r="N131" s="37">
        <f t="shared" ref="N131:N194" si="16">N130</f>
        <v>0.7</v>
      </c>
      <c r="O131" s="34">
        <f t="shared" si="12"/>
        <v>44970</v>
      </c>
      <c r="P131" s="34" t="str">
        <f t="shared" ref="P131:P194" si="17">P130</f>
        <v>PERCENTAGE</v>
      </c>
    </row>
    <row r="132" spans="1:16" s="6" customFormat="1" x14ac:dyDescent="0.25">
      <c r="A132" s="33" t="str">
        <f t="shared" si="13"/>
        <v>2024 JAN-JUN D70</v>
      </c>
      <c r="B132" s="8">
        <f t="shared" si="14"/>
        <v>46099</v>
      </c>
      <c r="C132" s="8">
        <f t="shared" si="15"/>
        <v>46113</v>
      </c>
      <c r="D132" s="33">
        <v>3272</v>
      </c>
      <c r="E132" s="33">
        <v>336</v>
      </c>
      <c r="F132" s="33">
        <v>4</v>
      </c>
      <c r="G132" s="33">
        <v>1</v>
      </c>
      <c r="H132" s="33">
        <v>81379</v>
      </c>
      <c r="I132" s="33" t="s">
        <v>104</v>
      </c>
      <c r="J132" s="33">
        <v>15500022</v>
      </c>
      <c r="K132" s="33" t="s">
        <v>1569</v>
      </c>
      <c r="L132" s="33" t="s">
        <v>1570</v>
      </c>
      <c r="M132" s="34">
        <v>149900</v>
      </c>
      <c r="N132" s="37">
        <f t="shared" si="16"/>
        <v>0.7</v>
      </c>
      <c r="O132" s="34">
        <f t="shared" si="12"/>
        <v>44970</v>
      </c>
      <c r="P132" s="34" t="str">
        <f t="shared" si="17"/>
        <v>PERCENTAGE</v>
      </c>
    </row>
    <row r="133" spans="1:16" s="6" customFormat="1" x14ac:dyDescent="0.25">
      <c r="A133" s="33" t="str">
        <f t="shared" si="13"/>
        <v>2024 JAN-JUN D70</v>
      </c>
      <c r="B133" s="8">
        <f t="shared" si="14"/>
        <v>46099</v>
      </c>
      <c r="C133" s="8">
        <f t="shared" si="15"/>
        <v>46113</v>
      </c>
      <c r="D133" s="33">
        <v>3272</v>
      </c>
      <c r="E133" s="33">
        <v>336</v>
      </c>
      <c r="F133" s="33">
        <v>4</v>
      </c>
      <c r="G133" s="33">
        <v>1</v>
      </c>
      <c r="H133" s="33">
        <v>81379</v>
      </c>
      <c r="I133" s="33" t="s">
        <v>104</v>
      </c>
      <c r="J133" s="33">
        <v>15500031</v>
      </c>
      <c r="K133" s="33" t="s">
        <v>1569</v>
      </c>
      <c r="L133" s="33" t="s">
        <v>1571</v>
      </c>
      <c r="M133" s="34">
        <v>149900</v>
      </c>
      <c r="N133" s="37">
        <f t="shared" si="16"/>
        <v>0.7</v>
      </c>
      <c r="O133" s="34">
        <f t="shared" si="12"/>
        <v>44970</v>
      </c>
      <c r="P133" s="34" t="str">
        <f t="shared" si="17"/>
        <v>PERCENTAGE</v>
      </c>
    </row>
    <row r="134" spans="1:16" s="6" customFormat="1" x14ac:dyDescent="0.25">
      <c r="A134" s="33" t="str">
        <f t="shared" si="13"/>
        <v>2024 JAN-JUN D70</v>
      </c>
      <c r="B134" s="8">
        <f t="shared" si="14"/>
        <v>46099</v>
      </c>
      <c r="C134" s="8">
        <f t="shared" si="15"/>
        <v>46113</v>
      </c>
      <c r="D134" s="33">
        <v>3272</v>
      </c>
      <c r="E134" s="33">
        <v>336</v>
      </c>
      <c r="F134" s="33">
        <v>4</v>
      </c>
      <c r="G134" s="33">
        <v>1</v>
      </c>
      <c r="H134" s="33">
        <v>81379</v>
      </c>
      <c r="I134" s="33" t="s">
        <v>104</v>
      </c>
      <c r="J134" s="33">
        <v>15500040</v>
      </c>
      <c r="K134" s="33" t="s">
        <v>1569</v>
      </c>
      <c r="L134" s="33" t="s">
        <v>1572</v>
      </c>
      <c r="M134" s="34">
        <v>149900</v>
      </c>
      <c r="N134" s="37">
        <f t="shared" si="16"/>
        <v>0.7</v>
      </c>
      <c r="O134" s="34">
        <f t="shared" si="12"/>
        <v>44970</v>
      </c>
      <c r="P134" s="34" t="str">
        <f t="shared" si="17"/>
        <v>PERCENTAGE</v>
      </c>
    </row>
    <row r="135" spans="1:16" s="6" customFormat="1" x14ac:dyDescent="0.25">
      <c r="A135" s="33" t="str">
        <f t="shared" si="13"/>
        <v>2024 JAN-JUN D70</v>
      </c>
      <c r="B135" s="8">
        <f t="shared" si="14"/>
        <v>46099</v>
      </c>
      <c r="C135" s="8">
        <f t="shared" si="15"/>
        <v>46113</v>
      </c>
      <c r="D135" s="33">
        <v>3272</v>
      </c>
      <c r="E135" s="33">
        <v>336</v>
      </c>
      <c r="F135" s="33">
        <v>4</v>
      </c>
      <c r="G135" s="33">
        <v>1</v>
      </c>
      <c r="H135" s="33">
        <v>81379</v>
      </c>
      <c r="I135" s="33" t="s">
        <v>104</v>
      </c>
      <c r="J135" s="33">
        <v>15500059</v>
      </c>
      <c r="K135" s="33" t="s">
        <v>1569</v>
      </c>
      <c r="L135" s="33" t="s">
        <v>1573</v>
      </c>
      <c r="M135" s="34">
        <v>149900</v>
      </c>
      <c r="N135" s="37">
        <f t="shared" si="16"/>
        <v>0.7</v>
      </c>
      <c r="O135" s="34">
        <f t="shared" si="12"/>
        <v>44970</v>
      </c>
      <c r="P135" s="34" t="str">
        <f t="shared" si="17"/>
        <v>PERCENTAGE</v>
      </c>
    </row>
    <row r="136" spans="1:16" s="6" customFormat="1" x14ac:dyDescent="0.25">
      <c r="A136" s="33" t="str">
        <f t="shared" si="13"/>
        <v>2024 JAN-JUN D70</v>
      </c>
      <c r="B136" s="8">
        <f t="shared" si="14"/>
        <v>46099</v>
      </c>
      <c r="C136" s="8">
        <f t="shared" si="15"/>
        <v>46113</v>
      </c>
      <c r="D136" s="33">
        <v>3272</v>
      </c>
      <c r="E136" s="33">
        <v>336</v>
      </c>
      <c r="F136" s="33">
        <v>4</v>
      </c>
      <c r="G136" s="33">
        <v>1</v>
      </c>
      <c r="H136" s="33">
        <v>81379</v>
      </c>
      <c r="I136" s="33" t="s">
        <v>104</v>
      </c>
      <c r="J136" s="33">
        <v>15500068</v>
      </c>
      <c r="K136" s="33" t="s">
        <v>1569</v>
      </c>
      <c r="L136" s="33" t="s">
        <v>1574</v>
      </c>
      <c r="M136" s="34">
        <v>149900</v>
      </c>
      <c r="N136" s="37">
        <f t="shared" si="16"/>
        <v>0.7</v>
      </c>
      <c r="O136" s="34">
        <f t="shared" si="12"/>
        <v>44970</v>
      </c>
      <c r="P136" s="34" t="str">
        <f t="shared" si="17"/>
        <v>PERCENTAGE</v>
      </c>
    </row>
    <row r="137" spans="1:16" s="6" customFormat="1" x14ac:dyDescent="0.25">
      <c r="A137" s="33" t="str">
        <f t="shared" si="13"/>
        <v>2024 JAN-JUN D70</v>
      </c>
      <c r="B137" s="8">
        <f t="shared" si="14"/>
        <v>46099</v>
      </c>
      <c r="C137" s="8">
        <f t="shared" si="15"/>
        <v>46113</v>
      </c>
      <c r="D137" s="33">
        <v>3272</v>
      </c>
      <c r="E137" s="33">
        <v>336</v>
      </c>
      <c r="F137" s="33">
        <v>4</v>
      </c>
      <c r="G137" s="33">
        <v>1</v>
      </c>
      <c r="H137" s="33">
        <v>81379</v>
      </c>
      <c r="I137" s="33" t="s">
        <v>104</v>
      </c>
      <c r="J137" s="33">
        <v>15500077</v>
      </c>
      <c r="K137" s="33" t="s">
        <v>1575</v>
      </c>
      <c r="L137" s="33" t="s">
        <v>1576</v>
      </c>
      <c r="M137" s="34">
        <v>149900</v>
      </c>
      <c r="N137" s="37">
        <f t="shared" si="16"/>
        <v>0.7</v>
      </c>
      <c r="O137" s="34">
        <f t="shared" si="12"/>
        <v>44970</v>
      </c>
      <c r="P137" s="34" t="str">
        <f t="shared" si="17"/>
        <v>PERCENTAGE</v>
      </c>
    </row>
    <row r="138" spans="1:16" s="6" customFormat="1" x14ac:dyDescent="0.25">
      <c r="A138" s="33" t="str">
        <f t="shared" si="13"/>
        <v>2024 JAN-JUN D70</v>
      </c>
      <c r="B138" s="8">
        <f t="shared" si="14"/>
        <v>46099</v>
      </c>
      <c r="C138" s="8">
        <f t="shared" si="15"/>
        <v>46113</v>
      </c>
      <c r="D138" s="33">
        <v>3272</v>
      </c>
      <c r="E138" s="33">
        <v>336</v>
      </c>
      <c r="F138" s="33">
        <v>4</v>
      </c>
      <c r="G138" s="33">
        <v>1</v>
      </c>
      <c r="H138" s="33">
        <v>81379</v>
      </c>
      <c r="I138" s="33" t="s">
        <v>104</v>
      </c>
      <c r="J138" s="33">
        <v>15500086</v>
      </c>
      <c r="K138" s="33" t="s">
        <v>1575</v>
      </c>
      <c r="L138" s="33" t="s">
        <v>1577</v>
      </c>
      <c r="M138" s="34">
        <v>149900</v>
      </c>
      <c r="N138" s="37">
        <f t="shared" si="16"/>
        <v>0.7</v>
      </c>
      <c r="O138" s="34">
        <f t="shared" si="12"/>
        <v>44970</v>
      </c>
      <c r="P138" s="34" t="str">
        <f t="shared" si="17"/>
        <v>PERCENTAGE</v>
      </c>
    </row>
    <row r="139" spans="1:16" s="6" customFormat="1" x14ac:dyDescent="0.25">
      <c r="A139" s="33" t="str">
        <f t="shared" si="13"/>
        <v>2024 JAN-JUN D70</v>
      </c>
      <c r="B139" s="8">
        <f t="shared" si="14"/>
        <v>46099</v>
      </c>
      <c r="C139" s="8">
        <f t="shared" si="15"/>
        <v>46113</v>
      </c>
      <c r="D139" s="33">
        <v>3272</v>
      </c>
      <c r="E139" s="33">
        <v>336</v>
      </c>
      <c r="F139" s="33">
        <v>4</v>
      </c>
      <c r="G139" s="33">
        <v>1</v>
      </c>
      <c r="H139" s="33">
        <v>81379</v>
      </c>
      <c r="I139" s="33" t="s">
        <v>104</v>
      </c>
      <c r="J139" s="33">
        <v>15500095</v>
      </c>
      <c r="K139" s="33" t="s">
        <v>1575</v>
      </c>
      <c r="L139" s="33" t="s">
        <v>1578</v>
      </c>
      <c r="M139" s="34">
        <v>149900</v>
      </c>
      <c r="N139" s="37">
        <f t="shared" si="16"/>
        <v>0.7</v>
      </c>
      <c r="O139" s="34">
        <f t="shared" si="12"/>
        <v>44970</v>
      </c>
      <c r="P139" s="34" t="str">
        <f t="shared" si="17"/>
        <v>PERCENTAGE</v>
      </c>
    </row>
    <row r="140" spans="1:16" s="6" customFormat="1" x14ac:dyDescent="0.25">
      <c r="A140" s="33" t="str">
        <f t="shared" si="13"/>
        <v>2024 JAN-JUN D70</v>
      </c>
      <c r="B140" s="8">
        <f t="shared" si="14"/>
        <v>46099</v>
      </c>
      <c r="C140" s="8">
        <f t="shared" si="15"/>
        <v>46113</v>
      </c>
      <c r="D140" s="33">
        <v>3272</v>
      </c>
      <c r="E140" s="33">
        <v>336</v>
      </c>
      <c r="F140" s="33">
        <v>4</v>
      </c>
      <c r="G140" s="33">
        <v>1</v>
      </c>
      <c r="H140" s="33">
        <v>81379</v>
      </c>
      <c r="I140" s="33" t="s">
        <v>104</v>
      </c>
      <c r="J140" s="33">
        <v>15500102</v>
      </c>
      <c r="K140" s="33" t="s">
        <v>1575</v>
      </c>
      <c r="L140" s="33" t="s">
        <v>1579</v>
      </c>
      <c r="M140" s="34">
        <v>149900</v>
      </c>
      <c r="N140" s="37">
        <f t="shared" si="16"/>
        <v>0.7</v>
      </c>
      <c r="O140" s="34">
        <f t="shared" si="12"/>
        <v>44970</v>
      </c>
      <c r="P140" s="34" t="str">
        <f t="shared" si="17"/>
        <v>PERCENTAGE</v>
      </c>
    </row>
    <row r="141" spans="1:16" s="6" customFormat="1" x14ac:dyDescent="0.25">
      <c r="A141" s="33" t="str">
        <f t="shared" si="13"/>
        <v>2024 JAN-JUN D70</v>
      </c>
      <c r="B141" s="8">
        <f t="shared" si="14"/>
        <v>46099</v>
      </c>
      <c r="C141" s="8">
        <f t="shared" si="15"/>
        <v>46113</v>
      </c>
      <c r="D141" s="33">
        <v>3272</v>
      </c>
      <c r="E141" s="33">
        <v>336</v>
      </c>
      <c r="F141" s="33">
        <v>4</v>
      </c>
      <c r="G141" s="33">
        <v>1</v>
      </c>
      <c r="H141" s="33">
        <v>81379</v>
      </c>
      <c r="I141" s="33" t="s">
        <v>104</v>
      </c>
      <c r="J141" s="33">
        <v>15500111</v>
      </c>
      <c r="K141" s="33" t="s">
        <v>1575</v>
      </c>
      <c r="L141" s="33" t="s">
        <v>1580</v>
      </c>
      <c r="M141" s="34">
        <v>149900</v>
      </c>
      <c r="N141" s="37">
        <f t="shared" si="16"/>
        <v>0.7</v>
      </c>
      <c r="O141" s="34">
        <f t="shared" si="12"/>
        <v>44970</v>
      </c>
      <c r="P141" s="34" t="str">
        <f t="shared" si="17"/>
        <v>PERCENTAGE</v>
      </c>
    </row>
    <row r="142" spans="1:16" s="6" customFormat="1" x14ac:dyDescent="0.25">
      <c r="A142" s="33" t="str">
        <f t="shared" si="13"/>
        <v>2024 JAN-JUN D70</v>
      </c>
      <c r="B142" s="8">
        <f t="shared" si="14"/>
        <v>46099</v>
      </c>
      <c r="C142" s="8">
        <f t="shared" si="15"/>
        <v>46113</v>
      </c>
      <c r="D142" s="33">
        <v>3272</v>
      </c>
      <c r="E142" s="33">
        <v>336</v>
      </c>
      <c r="F142" s="33">
        <v>4</v>
      </c>
      <c r="G142" s="33">
        <v>1</v>
      </c>
      <c r="H142" s="33">
        <v>81676</v>
      </c>
      <c r="I142" s="33" t="s">
        <v>104</v>
      </c>
      <c r="J142" s="33">
        <v>15499071</v>
      </c>
      <c r="K142" s="33" t="s">
        <v>1593</v>
      </c>
      <c r="L142" s="33" t="s">
        <v>1594</v>
      </c>
      <c r="M142" s="34">
        <v>129900</v>
      </c>
      <c r="N142" s="37">
        <f t="shared" si="16"/>
        <v>0.7</v>
      </c>
      <c r="O142" s="34">
        <f t="shared" si="12"/>
        <v>38970</v>
      </c>
      <c r="P142" s="34" t="str">
        <f t="shared" si="17"/>
        <v>PERCENTAGE</v>
      </c>
    </row>
    <row r="143" spans="1:16" s="6" customFormat="1" x14ac:dyDescent="0.25">
      <c r="A143" s="33" t="str">
        <f t="shared" si="13"/>
        <v>2024 JAN-JUN D70</v>
      </c>
      <c r="B143" s="8">
        <f t="shared" si="14"/>
        <v>46099</v>
      </c>
      <c r="C143" s="8">
        <f t="shared" si="15"/>
        <v>46113</v>
      </c>
      <c r="D143" s="33">
        <v>3272</v>
      </c>
      <c r="E143" s="33">
        <v>336</v>
      </c>
      <c r="F143" s="33">
        <v>4</v>
      </c>
      <c r="G143" s="33">
        <v>1</v>
      </c>
      <c r="H143" s="33">
        <v>81676</v>
      </c>
      <c r="I143" s="33" t="s">
        <v>104</v>
      </c>
      <c r="J143" s="33">
        <v>15499080</v>
      </c>
      <c r="K143" s="33" t="s">
        <v>1593</v>
      </c>
      <c r="L143" s="33" t="s">
        <v>1595</v>
      </c>
      <c r="M143" s="34">
        <v>129900</v>
      </c>
      <c r="N143" s="37">
        <f t="shared" si="16"/>
        <v>0.7</v>
      </c>
      <c r="O143" s="34">
        <f t="shared" si="12"/>
        <v>38970</v>
      </c>
      <c r="P143" s="34" t="str">
        <f t="shared" si="17"/>
        <v>PERCENTAGE</v>
      </c>
    </row>
    <row r="144" spans="1:16" s="6" customFormat="1" x14ac:dyDescent="0.25">
      <c r="A144" s="33" t="str">
        <f t="shared" si="13"/>
        <v>2024 JAN-JUN D70</v>
      </c>
      <c r="B144" s="8">
        <f t="shared" si="14"/>
        <v>46099</v>
      </c>
      <c r="C144" s="8">
        <f t="shared" si="15"/>
        <v>46113</v>
      </c>
      <c r="D144" s="33">
        <v>3272</v>
      </c>
      <c r="E144" s="33">
        <v>336</v>
      </c>
      <c r="F144" s="33">
        <v>4</v>
      </c>
      <c r="G144" s="33">
        <v>1</v>
      </c>
      <c r="H144" s="33">
        <v>81676</v>
      </c>
      <c r="I144" s="33" t="s">
        <v>104</v>
      </c>
      <c r="J144" s="33">
        <v>15499099</v>
      </c>
      <c r="K144" s="33" t="s">
        <v>1593</v>
      </c>
      <c r="L144" s="33" t="s">
        <v>1596</v>
      </c>
      <c r="M144" s="34">
        <v>129900</v>
      </c>
      <c r="N144" s="37">
        <f t="shared" si="16"/>
        <v>0.7</v>
      </c>
      <c r="O144" s="34">
        <f t="shared" si="12"/>
        <v>38970</v>
      </c>
      <c r="P144" s="34" t="str">
        <f t="shared" si="17"/>
        <v>PERCENTAGE</v>
      </c>
    </row>
    <row r="145" spans="1:16" s="6" customFormat="1" x14ac:dyDescent="0.25">
      <c r="A145" s="33" t="str">
        <f t="shared" si="13"/>
        <v>2024 JAN-JUN D70</v>
      </c>
      <c r="B145" s="8">
        <f t="shared" si="14"/>
        <v>46099</v>
      </c>
      <c r="C145" s="8">
        <f t="shared" si="15"/>
        <v>46113</v>
      </c>
      <c r="D145" s="33">
        <v>3272</v>
      </c>
      <c r="E145" s="33">
        <v>336</v>
      </c>
      <c r="F145" s="33">
        <v>4</v>
      </c>
      <c r="G145" s="33">
        <v>1</v>
      </c>
      <c r="H145" s="33">
        <v>81676</v>
      </c>
      <c r="I145" s="33" t="s">
        <v>104</v>
      </c>
      <c r="J145" s="33">
        <v>15499106</v>
      </c>
      <c r="K145" s="33" t="s">
        <v>1593</v>
      </c>
      <c r="L145" s="33" t="s">
        <v>1597</v>
      </c>
      <c r="M145" s="34">
        <v>129900</v>
      </c>
      <c r="N145" s="37">
        <f t="shared" si="16"/>
        <v>0.7</v>
      </c>
      <c r="O145" s="34">
        <f t="shared" si="12"/>
        <v>38970</v>
      </c>
      <c r="P145" s="34" t="str">
        <f t="shared" si="17"/>
        <v>PERCENTAGE</v>
      </c>
    </row>
    <row r="146" spans="1:16" s="6" customFormat="1" x14ac:dyDescent="0.25">
      <c r="A146" s="33" t="str">
        <f t="shared" si="13"/>
        <v>2024 JAN-JUN D70</v>
      </c>
      <c r="B146" s="8">
        <f t="shared" si="14"/>
        <v>46099</v>
      </c>
      <c r="C146" s="8">
        <f t="shared" si="15"/>
        <v>46113</v>
      </c>
      <c r="D146" s="33">
        <v>3272</v>
      </c>
      <c r="E146" s="33">
        <v>336</v>
      </c>
      <c r="F146" s="33">
        <v>4</v>
      </c>
      <c r="G146" s="33">
        <v>1</v>
      </c>
      <c r="H146" s="33">
        <v>81676</v>
      </c>
      <c r="I146" s="33" t="s">
        <v>104</v>
      </c>
      <c r="J146" s="33">
        <v>15499115</v>
      </c>
      <c r="K146" s="33" t="s">
        <v>1593</v>
      </c>
      <c r="L146" s="33" t="s">
        <v>1598</v>
      </c>
      <c r="M146" s="34">
        <v>129900</v>
      </c>
      <c r="N146" s="37">
        <f t="shared" si="16"/>
        <v>0.7</v>
      </c>
      <c r="O146" s="34">
        <f t="shared" si="12"/>
        <v>38970</v>
      </c>
      <c r="P146" s="34" t="str">
        <f t="shared" si="17"/>
        <v>PERCENTAGE</v>
      </c>
    </row>
    <row r="147" spans="1:16" s="6" customFormat="1" x14ac:dyDescent="0.25">
      <c r="A147" s="33" t="str">
        <f t="shared" si="13"/>
        <v>2024 JAN-JUN D70</v>
      </c>
      <c r="B147" s="8">
        <f t="shared" si="14"/>
        <v>46099</v>
      </c>
      <c r="C147" s="8">
        <f t="shared" si="15"/>
        <v>46113</v>
      </c>
      <c r="D147" s="33">
        <v>3272</v>
      </c>
      <c r="E147" s="33">
        <v>336</v>
      </c>
      <c r="F147" s="33">
        <v>4</v>
      </c>
      <c r="G147" s="33">
        <v>1</v>
      </c>
      <c r="H147" s="33">
        <v>81676</v>
      </c>
      <c r="I147" s="33" t="s">
        <v>104</v>
      </c>
      <c r="J147" s="33">
        <v>15499277</v>
      </c>
      <c r="K147" s="33" t="s">
        <v>1611</v>
      </c>
      <c r="L147" s="33" t="s">
        <v>1612</v>
      </c>
      <c r="M147" s="34">
        <v>149900</v>
      </c>
      <c r="N147" s="37">
        <f t="shared" si="16"/>
        <v>0.7</v>
      </c>
      <c r="O147" s="34">
        <f t="shared" si="12"/>
        <v>44970</v>
      </c>
      <c r="P147" s="34" t="str">
        <f t="shared" si="17"/>
        <v>PERCENTAGE</v>
      </c>
    </row>
    <row r="148" spans="1:16" s="6" customFormat="1" x14ac:dyDescent="0.25">
      <c r="A148" s="33" t="str">
        <f t="shared" si="13"/>
        <v>2024 JAN-JUN D70</v>
      </c>
      <c r="B148" s="8">
        <f t="shared" si="14"/>
        <v>46099</v>
      </c>
      <c r="C148" s="8">
        <f t="shared" si="15"/>
        <v>46113</v>
      </c>
      <c r="D148" s="33">
        <v>3272</v>
      </c>
      <c r="E148" s="33">
        <v>336</v>
      </c>
      <c r="F148" s="33">
        <v>4</v>
      </c>
      <c r="G148" s="33">
        <v>1</v>
      </c>
      <c r="H148" s="33">
        <v>81676</v>
      </c>
      <c r="I148" s="33" t="s">
        <v>104</v>
      </c>
      <c r="J148" s="33">
        <v>15499286</v>
      </c>
      <c r="K148" s="33" t="s">
        <v>1611</v>
      </c>
      <c r="L148" s="33" t="s">
        <v>1613</v>
      </c>
      <c r="M148" s="34">
        <v>149900</v>
      </c>
      <c r="N148" s="37">
        <f t="shared" si="16"/>
        <v>0.7</v>
      </c>
      <c r="O148" s="34">
        <f t="shared" si="12"/>
        <v>44970</v>
      </c>
      <c r="P148" s="34" t="str">
        <f t="shared" si="17"/>
        <v>PERCENTAGE</v>
      </c>
    </row>
    <row r="149" spans="1:16" s="6" customFormat="1" x14ac:dyDescent="0.25">
      <c r="A149" s="33" t="str">
        <f t="shared" si="13"/>
        <v>2024 JAN-JUN D70</v>
      </c>
      <c r="B149" s="8">
        <f t="shared" si="14"/>
        <v>46099</v>
      </c>
      <c r="C149" s="8">
        <f t="shared" si="15"/>
        <v>46113</v>
      </c>
      <c r="D149" s="33">
        <v>3272</v>
      </c>
      <c r="E149" s="33">
        <v>336</v>
      </c>
      <c r="F149" s="33">
        <v>4</v>
      </c>
      <c r="G149" s="33">
        <v>1</v>
      </c>
      <c r="H149" s="33">
        <v>81676</v>
      </c>
      <c r="I149" s="33" t="s">
        <v>104</v>
      </c>
      <c r="J149" s="33">
        <v>15499295</v>
      </c>
      <c r="K149" s="33" t="s">
        <v>1611</v>
      </c>
      <c r="L149" s="33" t="s">
        <v>1614</v>
      </c>
      <c r="M149" s="34">
        <v>149900</v>
      </c>
      <c r="N149" s="37">
        <f t="shared" si="16"/>
        <v>0.7</v>
      </c>
      <c r="O149" s="34">
        <f t="shared" si="12"/>
        <v>44970</v>
      </c>
      <c r="P149" s="34" t="str">
        <f t="shared" si="17"/>
        <v>PERCENTAGE</v>
      </c>
    </row>
    <row r="150" spans="1:16" s="6" customFormat="1" x14ac:dyDescent="0.25">
      <c r="A150" s="33" t="str">
        <f t="shared" si="13"/>
        <v>2024 JAN-JUN D70</v>
      </c>
      <c r="B150" s="8">
        <f t="shared" si="14"/>
        <v>46099</v>
      </c>
      <c r="C150" s="8">
        <f t="shared" si="15"/>
        <v>46113</v>
      </c>
      <c r="D150" s="33">
        <v>3272</v>
      </c>
      <c r="E150" s="33">
        <v>336</v>
      </c>
      <c r="F150" s="33">
        <v>4</v>
      </c>
      <c r="G150" s="33">
        <v>1</v>
      </c>
      <c r="H150" s="33">
        <v>81676</v>
      </c>
      <c r="I150" s="33" t="s">
        <v>104</v>
      </c>
      <c r="J150" s="33">
        <v>15499302</v>
      </c>
      <c r="K150" s="33" t="s">
        <v>1611</v>
      </c>
      <c r="L150" s="33" t="s">
        <v>1615</v>
      </c>
      <c r="M150" s="34">
        <v>149900</v>
      </c>
      <c r="N150" s="37">
        <f t="shared" si="16"/>
        <v>0.7</v>
      </c>
      <c r="O150" s="34">
        <f t="shared" si="12"/>
        <v>44970</v>
      </c>
      <c r="P150" s="34" t="str">
        <f t="shared" si="17"/>
        <v>PERCENTAGE</v>
      </c>
    </row>
    <row r="151" spans="1:16" s="6" customFormat="1" x14ac:dyDescent="0.25">
      <c r="A151" s="33" t="str">
        <f t="shared" si="13"/>
        <v>2024 JAN-JUN D70</v>
      </c>
      <c r="B151" s="8">
        <f t="shared" si="14"/>
        <v>46099</v>
      </c>
      <c r="C151" s="8">
        <f t="shared" si="15"/>
        <v>46113</v>
      </c>
      <c r="D151" s="33">
        <v>3272</v>
      </c>
      <c r="E151" s="33">
        <v>336</v>
      </c>
      <c r="F151" s="33">
        <v>4</v>
      </c>
      <c r="G151" s="33">
        <v>1</v>
      </c>
      <c r="H151" s="33">
        <v>81676</v>
      </c>
      <c r="I151" s="33" t="s">
        <v>104</v>
      </c>
      <c r="J151" s="33">
        <v>15499311</v>
      </c>
      <c r="K151" s="33" t="s">
        <v>1611</v>
      </c>
      <c r="L151" s="33" t="s">
        <v>1616</v>
      </c>
      <c r="M151" s="34">
        <v>149900</v>
      </c>
      <c r="N151" s="37">
        <f t="shared" si="16"/>
        <v>0.7</v>
      </c>
      <c r="O151" s="34">
        <f t="shared" si="12"/>
        <v>44970</v>
      </c>
      <c r="P151" s="34" t="str">
        <f t="shared" si="17"/>
        <v>PERCENTAGE</v>
      </c>
    </row>
    <row r="152" spans="1:16" s="6" customFormat="1" x14ac:dyDescent="0.25">
      <c r="A152" s="33" t="str">
        <f t="shared" si="13"/>
        <v>2024 JAN-JUN D70</v>
      </c>
      <c r="B152" s="8">
        <f t="shared" si="14"/>
        <v>46099</v>
      </c>
      <c r="C152" s="8">
        <f t="shared" si="15"/>
        <v>46113</v>
      </c>
      <c r="D152" s="33">
        <v>3272</v>
      </c>
      <c r="E152" s="33">
        <v>336</v>
      </c>
      <c r="F152" s="33">
        <v>4</v>
      </c>
      <c r="G152" s="33">
        <v>1</v>
      </c>
      <c r="H152" s="33">
        <v>81676</v>
      </c>
      <c r="I152" s="33" t="s">
        <v>104</v>
      </c>
      <c r="J152" s="33">
        <v>15499320</v>
      </c>
      <c r="K152" s="33" t="s">
        <v>1617</v>
      </c>
      <c r="L152" s="33" t="s">
        <v>1618</v>
      </c>
      <c r="M152" s="34">
        <v>129900</v>
      </c>
      <c r="N152" s="37">
        <f t="shared" si="16"/>
        <v>0.7</v>
      </c>
      <c r="O152" s="34">
        <f t="shared" si="12"/>
        <v>38970</v>
      </c>
      <c r="P152" s="34" t="str">
        <f t="shared" si="17"/>
        <v>PERCENTAGE</v>
      </c>
    </row>
    <row r="153" spans="1:16" s="6" customFormat="1" x14ac:dyDescent="0.25">
      <c r="A153" s="33" t="str">
        <f t="shared" si="13"/>
        <v>2024 JAN-JUN D70</v>
      </c>
      <c r="B153" s="8">
        <f t="shared" si="14"/>
        <v>46099</v>
      </c>
      <c r="C153" s="8">
        <f t="shared" si="15"/>
        <v>46113</v>
      </c>
      <c r="D153" s="33">
        <v>3272</v>
      </c>
      <c r="E153" s="33">
        <v>336</v>
      </c>
      <c r="F153" s="33">
        <v>4</v>
      </c>
      <c r="G153" s="33">
        <v>1</v>
      </c>
      <c r="H153" s="33">
        <v>81676</v>
      </c>
      <c r="I153" s="33" t="s">
        <v>104</v>
      </c>
      <c r="J153" s="33">
        <v>15499339</v>
      </c>
      <c r="K153" s="33" t="s">
        <v>1617</v>
      </c>
      <c r="L153" s="33" t="s">
        <v>1619</v>
      </c>
      <c r="M153" s="34">
        <v>129900</v>
      </c>
      <c r="N153" s="37">
        <f t="shared" si="16"/>
        <v>0.7</v>
      </c>
      <c r="O153" s="34">
        <f t="shared" si="12"/>
        <v>38970</v>
      </c>
      <c r="P153" s="34" t="str">
        <f t="shared" si="17"/>
        <v>PERCENTAGE</v>
      </c>
    </row>
    <row r="154" spans="1:16" s="6" customFormat="1" x14ac:dyDescent="0.25">
      <c r="A154" s="33" t="str">
        <f t="shared" si="13"/>
        <v>2024 JAN-JUN D70</v>
      </c>
      <c r="B154" s="8">
        <f t="shared" si="14"/>
        <v>46099</v>
      </c>
      <c r="C154" s="8">
        <f t="shared" si="15"/>
        <v>46113</v>
      </c>
      <c r="D154" s="33">
        <v>3272</v>
      </c>
      <c r="E154" s="33">
        <v>336</v>
      </c>
      <c r="F154" s="33">
        <v>4</v>
      </c>
      <c r="G154" s="33">
        <v>1</v>
      </c>
      <c r="H154" s="33">
        <v>81676</v>
      </c>
      <c r="I154" s="33" t="s">
        <v>104</v>
      </c>
      <c r="J154" s="33">
        <v>15499348</v>
      </c>
      <c r="K154" s="33" t="s">
        <v>1617</v>
      </c>
      <c r="L154" s="33" t="s">
        <v>1620</v>
      </c>
      <c r="M154" s="34">
        <v>129900</v>
      </c>
      <c r="N154" s="37">
        <f t="shared" si="16"/>
        <v>0.7</v>
      </c>
      <c r="O154" s="34">
        <f t="shared" si="12"/>
        <v>38970</v>
      </c>
      <c r="P154" s="34" t="str">
        <f t="shared" si="17"/>
        <v>PERCENTAGE</v>
      </c>
    </row>
    <row r="155" spans="1:16" s="6" customFormat="1" x14ac:dyDescent="0.25">
      <c r="A155" s="33" t="str">
        <f t="shared" si="13"/>
        <v>2024 JAN-JUN D70</v>
      </c>
      <c r="B155" s="8">
        <f t="shared" si="14"/>
        <v>46099</v>
      </c>
      <c r="C155" s="8">
        <f t="shared" si="15"/>
        <v>46113</v>
      </c>
      <c r="D155" s="33">
        <v>3272</v>
      </c>
      <c r="E155" s="33">
        <v>336</v>
      </c>
      <c r="F155" s="33">
        <v>4</v>
      </c>
      <c r="G155" s="33">
        <v>1</v>
      </c>
      <c r="H155" s="33">
        <v>81676</v>
      </c>
      <c r="I155" s="33" t="s">
        <v>104</v>
      </c>
      <c r="J155" s="33">
        <v>15499357</v>
      </c>
      <c r="K155" s="33" t="s">
        <v>1617</v>
      </c>
      <c r="L155" s="33" t="s">
        <v>1621</v>
      </c>
      <c r="M155" s="34">
        <v>129900</v>
      </c>
      <c r="N155" s="37">
        <f t="shared" si="16"/>
        <v>0.7</v>
      </c>
      <c r="O155" s="34">
        <f t="shared" si="12"/>
        <v>38970</v>
      </c>
      <c r="P155" s="34" t="str">
        <f t="shared" si="17"/>
        <v>PERCENTAGE</v>
      </c>
    </row>
    <row r="156" spans="1:16" s="6" customFormat="1" x14ac:dyDescent="0.25">
      <c r="A156" s="33" t="str">
        <f t="shared" si="13"/>
        <v>2024 JAN-JUN D70</v>
      </c>
      <c r="B156" s="8">
        <f t="shared" si="14"/>
        <v>46099</v>
      </c>
      <c r="C156" s="8">
        <f t="shared" si="15"/>
        <v>46113</v>
      </c>
      <c r="D156" s="33">
        <v>3272</v>
      </c>
      <c r="E156" s="33">
        <v>336</v>
      </c>
      <c r="F156" s="33">
        <v>4</v>
      </c>
      <c r="G156" s="33">
        <v>1</v>
      </c>
      <c r="H156" s="33">
        <v>81676</v>
      </c>
      <c r="I156" s="33" t="s">
        <v>104</v>
      </c>
      <c r="J156" s="33">
        <v>15499366</v>
      </c>
      <c r="K156" s="33" t="s">
        <v>1617</v>
      </c>
      <c r="L156" s="33" t="s">
        <v>1622</v>
      </c>
      <c r="M156" s="34">
        <v>129900</v>
      </c>
      <c r="N156" s="37">
        <f t="shared" si="16"/>
        <v>0.7</v>
      </c>
      <c r="O156" s="34">
        <f t="shared" si="12"/>
        <v>38970</v>
      </c>
      <c r="P156" s="34" t="str">
        <f t="shared" si="17"/>
        <v>PERCENTAGE</v>
      </c>
    </row>
    <row r="157" spans="1:16" s="6" customFormat="1" x14ac:dyDescent="0.25">
      <c r="A157" s="33" t="str">
        <f t="shared" si="13"/>
        <v>2024 JAN-JUN D70</v>
      </c>
      <c r="B157" s="8">
        <f t="shared" si="14"/>
        <v>46099</v>
      </c>
      <c r="C157" s="8">
        <f t="shared" si="15"/>
        <v>46113</v>
      </c>
      <c r="D157" s="33">
        <v>3272</v>
      </c>
      <c r="E157" s="33">
        <v>336</v>
      </c>
      <c r="F157" s="33">
        <v>4</v>
      </c>
      <c r="G157" s="33">
        <v>1</v>
      </c>
      <c r="H157" s="33">
        <v>81379</v>
      </c>
      <c r="I157" s="33" t="s">
        <v>104</v>
      </c>
      <c r="J157" s="33">
        <v>15498723</v>
      </c>
      <c r="K157" s="33" t="s">
        <v>1671</v>
      </c>
      <c r="L157" s="33" t="s">
        <v>1672</v>
      </c>
      <c r="M157" s="34">
        <v>149900</v>
      </c>
      <c r="N157" s="37">
        <f t="shared" si="16"/>
        <v>0.7</v>
      </c>
      <c r="O157" s="34">
        <f t="shared" si="12"/>
        <v>44970</v>
      </c>
      <c r="P157" s="34" t="str">
        <f t="shared" si="17"/>
        <v>PERCENTAGE</v>
      </c>
    </row>
    <row r="158" spans="1:16" s="6" customFormat="1" x14ac:dyDescent="0.25">
      <c r="A158" s="33" t="str">
        <f t="shared" si="13"/>
        <v>2024 JAN-JUN D70</v>
      </c>
      <c r="B158" s="8">
        <f t="shared" si="14"/>
        <v>46099</v>
      </c>
      <c r="C158" s="8">
        <f t="shared" si="15"/>
        <v>46113</v>
      </c>
      <c r="D158" s="33">
        <v>3272</v>
      </c>
      <c r="E158" s="33">
        <v>336</v>
      </c>
      <c r="F158" s="33">
        <v>4</v>
      </c>
      <c r="G158" s="33">
        <v>1</v>
      </c>
      <c r="H158" s="33">
        <v>81379</v>
      </c>
      <c r="I158" s="33" t="s">
        <v>104</v>
      </c>
      <c r="J158" s="33">
        <v>15498732</v>
      </c>
      <c r="K158" s="33" t="s">
        <v>1671</v>
      </c>
      <c r="L158" s="33" t="s">
        <v>1673</v>
      </c>
      <c r="M158" s="34">
        <v>149900</v>
      </c>
      <c r="N158" s="37">
        <f t="shared" si="16"/>
        <v>0.7</v>
      </c>
      <c r="O158" s="34">
        <f t="shared" si="12"/>
        <v>44970</v>
      </c>
      <c r="P158" s="34" t="str">
        <f t="shared" si="17"/>
        <v>PERCENTAGE</v>
      </c>
    </row>
    <row r="159" spans="1:16" s="6" customFormat="1" x14ac:dyDescent="0.25">
      <c r="A159" s="33" t="str">
        <f t="shared" si="13"/>
        <v>2024 JAN-JUN D70</v>
      </c>
      <c r="B159" s="8">
        <f t="shared" si="14"/>
        <v>46099</v>
      </c>
      <c r="C159" s="8">
        <f t="shared" si="15"/>
        <v>46113</v>
      </c>
      <c r="D159" s="33">
        <v>3272</v>
      </c>
      <c r="E159" s="33">
        <v>336</v>
      </c>
      <c r="F159" s="33">
        <v>4</v>
      </c>
      <c r="G159" s="33">
        <v>1</v>
      </c>
      <c r="H159" s="33">
        <v>81379</v>
      </c>
      <c r="I159" s="33" t="s">
        <v>104</v>
      </c>
      <c r="J159" s="33">
        <v>15498741</v>
      </c>
      <c r="K159" s="33" t="s">
        <v>1671</v>
      </c>
      <c r="L159" s="33" t="s">
        <v>1674</v>
      </c>
      <c r="M159" s="34">
        <v>149900</v>
      </c>
      <c r="N159" s="37">
        <f t="shared" si="16"/>
        <v>0.7</v>
      </c>
      <c r="O159" s="34">
        <f t="shared" si="12"/>
        <v>44970</v>
      </c>
      <c r="P159" s="34" t="str">
        <f t="shared" si="17"/>
        <v>PERCENTAGE</v>
      </c>
    </row>
    <row r="160" spans="1:16" s="6" customFormat="1" x14ac:dyDescent="0.25">
      <c r="A160" s="33" t="str">
        <f t="shared" si="13"/>
        <v>2024 JAN-JUN D70</v>
      </c>
      <c r="B160" s="8">
        <f t="shared" si="14"/>
        <v>46099</v>
      </c>
      <c r="C160" s="8">
        <f t="shared" si="15"/>
        <v>46113</v>
      </c>
      <c r="D160" s="33">
        <v>3272</v>
      </c>
      <c r="E160" s="33">
        <v>336</v>
      </c>
      <c r="F160" s="33">
        <v>4</v>
      </c>
      <c r="G160" s="33">
        <v>1</v>
      </c>
      <c r="H160" s="33">
        <v>81379</v>
      </c>
      <c r="I160" s="33" t="s">
        <v>104</v>
      </c>
      <c r="J160" s="33">
        <v>15498750</v>
      </c>
      <c r="K160" s="33" t="s">
        <v>1671</v>
      </c>
      <c r="L160" s="33" t="s">
        <v>1675</v>
      </c>
      <c r="M160" s="34">
        <v>149900</v>
      </c>
      <c r="N160" s="37">
        <f t="shared" si="16"/>
        <v>0.7</v>
      </c>
      <c r="O160" s="34">
        <f t="shared" si="12"/>
        <v>44970</v>
      </c>
      <c r="P160" s="34" t="str">
        <f t="shared" si="17"/>
        <v>PERCENTAGE</v>
      </c>
    </row>
    <row r="161" spans="1:16" s="6" customFormat="1" x14ac:dyDescent="0.25">
      <c r="A161" s="33" t="str">
        <f t="shared" si="13"/>
        <v>2024 JAN-JUN D70</v>
      </c>
      <c r="B161" s="8">
        <f t="shared" si="14"/>
        <v>46099</v>
      </c>
      <c r="C161" s="8">
        <f t="shared" si="15"/>
        <v>46113</v>
      </c>
      <c r="D161" s="33">
        <v>3272</v>
      </c>
      <c r="E161" s="33">
        <v>336</v>
      </c>
      <c r="F161" s="33">
        <v>4</v>
      </c>
      <c r="G161" s="33">
        <v>1</v>
      </c>
      <c r="H161" s="33">
        <v>81379</v>
      </c>
      <c r="I161" s="33" t="s">
        <v>104</v>
      </c>
      <c r="J161" s="33">
        <v>15498769</v>
      </c>
      <c r="K161" s="33" t="s">
        <v>1671</v>
      </c>
      <c r="L161" s="33" t="s">
        <v>1676</v>
      </c>
      <c r="M161" s="34">
        <v>149900</v>
      </c>
      <c r="N161" s="37">
        <f t="shared" si="16"/>
        <v>0.7</v>
      </c>
      <c r="O161" s="34">
        <f t="shared" si="12"/>
        <v>44970</v>
      </c>
      <c r="P161" s="34" t="str">
        <f t="shared" si="17"/>
        <v>PERCENTAGE</v>
      </c>
    </row>
    <row r="162" spans="1:16" s="6" customFormat="1" x14ac:dyDescent="0.25">
      <c r="A162" s="33" t="str">
        <f t="shared" si="13"/>
        <v>2024 JAN-JUN D70</v>
      </c>
      <c r="B162" s="8">
        <f t="shared" si="14"/>
        <v>46099</v>
      </c>
      <c r="C162" s="8">
        <f t="shared" si="15"/>
        <v>46113</v>
      </c>
      <c r="D162" s="33">
        <v>3272</v>
      </c>
      <c r="E162" s="33">
        <v>336</v>
      </c>
      <c r="F162" s="33">
        <v>4</v>
      </c>
      <c r="G162" s="33">
        <v>1</v>
      </c>
      <c r="H162" s="33">
        <v>81379</v>
      </c>
      <c r="I162" s="33" t="s">
        <v>104</v>
      </c>
      <c r="J162" s="33">
        <v>15498778</v>
      </c>
      <c r="K162" s="33" t="s">
        <v>1677</v>
      </c>
      <c r="L162" s="33" t="s">
        <v>1678</v>
      </c>
      <c r="M162" s="34">
        <v>149900</v>
      </c>
      <c r="N162" s="37">
        <f t="shared" si="16"/>
        <v>0.7</v>
      </c>
      <c r="O162" s="34">
        <f t="shared" si="12"/>
        <v>44970</v>
      </c>
      <c r="P162" s="34" t="str">
        <f t="shared" si="17"/>
        <v>PERCENTAGE</v>
      </c>
    </row>
    <row r="163" spans="1:16" s="6" customFormat="1" x14ac:dyDescent="0.25">
      <c r="A163" s="33" t="str">
        <f t="shared" si="13"/>
        <v>2024 JAN-JUN D70</v>
      </c>
      <c r="B163" s="8">
        <f t="shared" si="14"/>
        <v>46099</v>
      </c>
      <c r="C163" s="8">
        <f t="shared" si="15"/>
        <v>46113</v>
      </c>
      <c r="D163" s="33">
        <v>3272</v>
      </c>
      <c r="E163" s="33">
        <v>336</v>
      </c>
      <c r="F163" s="33">
        <v>4</v>
      </c>
      <c r="G163" s="33">
        <v>1</v>
      </c>
      <c r="H163" s="33">
        <v>81379</v>
      </c>
      <c r="I163" s="33" t="s">
        <v>104</v>
      </c>
      <c r="J163" s="33">
        <v>15498787</v>
      </c>
      <c r="K163" s="33" t="s">
        <v>1677</v>
      </c>
      <c r="L163" s="33" t="s">
        <v>1679</v>
      </c>
      <c r="M163" s="34">
        <v>149900</v>
      </c>
      <c r="N163" s="37">
        <f t="shared" si="16"/>
        <v>0.7</v>
      </c>
      <c r="O163" s="34">
        <f t="shared" si="12"/>
        <v>44970</v>
      </c>
      <c r="P163" s="34" t="str">
        <f t="shared" si="17"/>
        <v>PERCENTAGE</v>
      </c>
    </row>
    <row r="164" spans="1:16" s="6" customFormat="1" x14ac:dyDescent="0.25">
      <c r="A164" s="33" t="str">
        <f t="shared" si="13"/>
        <v>2024 JAN-JUN D70</v>
      </c>
      <c r="B164" s="8">
        <f t="shared" si="14"/>
        <v>46099</v>
      </c>
      <c r="C164" s="8">
        <f t="shared" si="15"/>
        <v>46113</v>
      </c>
      <c r="D164" s="33">
        <v>3272</v>
      </c>
      <c r="E164" s="33">
        <v>336</v>
      </c>
      <c r="F164" s="33">
        <v>4</v>
      </c>
      <c r="G164" s="33">
        <v>1</v>
      </c>
      <c r="H164" s="33">
        <v>81379</v>
      </c>
      <c r="I164" s="33" t="s">
        <v>104</v>
      </c>
      <c r="J164" s="33">
        <v>15498796</v>
      </c>
      <c r="K164" s="33" t="s">
        <v>1677</v>
      </c>
      <c r="L164" s="33" t="s">
        <v>1680</v>
      </c>
      <c r="M164" s="34">
        <v>149900</v>
      </c>
      <c r="N164" s="37">
        <f t="shared" si="16"/>
        <v>0.7</v>
      </c>
      <c r="O164" s="34">
        <f t="shared" si="12"/>
        <v>44970</v>
      </c>
      <c r="P164" s="34" t="str">
        <f t="shared" si="17"/>
        <v>PERCENTAGE</v>
      </c>
    </row>
    <row r="165" spans="1:16" s="6" customFormat="1" x14ac:dyDescent="0.25">
      <c r="A165" s="33" t="str">
        <f t="shared" si="13"/>
        <v>2024 JAN-JUN D70</v>
      </c>
      <c r="B165" s="8">
        <f t="shared" si="14"/>
        <v>46099</v>
      </c>
      <c r="C165" s="8">
        <f t="shared" si="15"/>
        <v>46113</v>
      </c>
      <c r="D165" s="33">
        <v>3272</v>
      </c>
      <c r="E165" s="33">
        <v>336</v>
      </c>
      <c r="F165" s="33">
        <v>4</v>
      </c>
      <c r="G165" s="33">
        <v>1</v>
      </c>
      <c r="H165" s="33">
        <v>81379</v>
      </c>
      <c r="I165" s="33" t="s">
        <v>104</v>
      </c>
      <c r="J165" s="33">
        <v>15498803</v>
      </c>
      <c r="K165" s="33" t="s">
        <v>1677</v>
      </c>
      <c r="L165" s="33" t="s">
        <v>1681</v>
      </c>
      <c r="M165" s="34">
        <v>149900</v>
      </c>
      <c r="N165" s="37">
        <f t="shared" si="16"/>
        <v>0.7</v>
      </c>
      <c r="O165" s="34">
        <f t="shared" si="12"/>
        <v>44970</v>
      </c>
      <c r="P165" s="34" t="str">
        <f t="shared" si="17"/>
        <v>PERCENTAGE</v>
      </c>
    </row>
    <row r="166" spans="1:16" s="6" customFormat="1" x14ac:dyDescent="0.25">
      <c r="A166" s="33" t="str">
        <f t="shared" si="13"/>
        <v>2024 JAN-JUN D70</v>
      </c>
      <c r="B166" s="8">
        <f t="shared" si="14"/>
        <v>46099</v>
      </c>
      <c r="C166" s="8">
        <f t="shared" si="15"/>
        <v>46113</v>
      </c>
      <c r="D166" s="33">
        <v>3272</v>
      </c>
      <c r="E166" s="33">
        <v>336</v>
      </c>
      <c r="F166" s="33">
        <v>4</v>
      </c>
      <c r="G166" s="33">
        <v>1</v>
      </c>
      <c r="H166" s="33">
        <v>81379</v>
      </c>
      <c r="I166" s="33" t="s">
        <v>104</v>
      </c>
      <c r="J166" s="33">
        <v>15498812</v>
      </c>
      <c r="K166" s="33" t="s">
        <v>1677</v>
      </c>
      <c r="L166" s="33" t="s">
        <v>1682</v>
      </c>
      <c r="M166" s="34">
        <v>149900</v>
      </c>
      <c r="N166" s="37">
        <f t="shared" si="16"/>
        <v>0.7</v>
      </c>
      <c r="O166" s="34">
        <f t="shared" si="12"/>
        <v>44970</v>
      </c>
      <c r="P166" s="34" t="str">
        <f t="shared" si="17"/>
        <v>PERCENTAGE</v>
      </c>
    </row>
    <row r="167" spans="1:16" s="6" customFormat="1" x14ac:dyDescent="0.25">
      <c r="A167" s="33" t="str">
        <f t="shared" si="13"/>
        <v>2024 JAN-JUN D70</v>
      </c>
      <c r="B167" s="8">
        <f t="shared" si="14"/>
        <v>46099</v>
      </c>
      <c r="C167" s="8">
        <f t="shared" si="15"/>
        <v>46113</v>
      </c>
      <c r="D167" s="33">
        <v>3272</v>
      </c>
      <c r="E167" s="33">
        <v>336</v>
      </c>
      <c r="F167" s="33">
        <v>4</v>
      </c>
      <c r="G167" s="33">
        <v>3</v>
      </c>
      <c r="H167" s="33">
        <v>81379</v>
      </c>
      <c r="I167" s="33" t="s">
        <v>104</v>
      </c>
      <c r="J167" s="33">
        <v>15500120</v>
      </c>
      <c r="K167" s="33" t="s">
        <v>1785</v>
      </c>
      <c r="L167" s="33" t="s">
        <v>1786</v>
      </c>
      <c r="M167" s="34">
        <v>239900</v>
      </c>
      <c r="N167" s="37">
        <f t="shared" si="16"/>
        <v>0.7</v>
      </c>
      <c r="O167" s="34">
        <f t="shared" si="12"/>
        <v>71970</v>
      </c>
      <c r="P167" s="34" t="str">
        <f t="shared" si="17"/>
        <v>PERCENTAGE</v>
      </c>
    </row>
    <row r="168" spans="1:16" s="6" customFormat="1" x14ac:dyDescent="0.25">
      <c r="A168" s="33" t="str">
        <f t="shared" si="13"/>
        <v>2024 JAN-JUN D70</v>
      </c>
      <c r="B168" s="8">
        <f t="shared" si="14"/>
        <v>46099</v>
      </c>
      <c r="C168" s="8">
        <f t="shared" si="15"/>
        <v>46113</v>
      </c>
      <c r="D168" s="33">
        <v>3272</v>
      </c>
      <c r="E168" s="33">
        <v>336</v>
      </c>
      <c r="F168" s="33">
        <v>4</v>
      </c>
      <c r="G168" s="33">
        <v>3</v>
      </c>
      <c r="H168" s="33">
        <v>81379</v>
      </c>
      <c r="I168" s="33" t="s">
        <v>104</v>
      </c>
      <c r="J168" s="33">
        <v>15500139</v>
      </c>
      <c r="K168" s="33" t="s">
        <v>1785</v>
      </c>
      <c r="L168" s="33" t="s">
        <v>1787</v>
      </c>
      <c r="M168" s="34">
        <v>239900</v>
      </c>
      <c r="N168" s="37">
        <f t="shared" si="16"/>
        <v>0.7</v>
      </c>
      <c r="O168" s="34">
        <f t="shared" si="12"/>
        <v>71970</v>
      </c>
      <c r="P168" s="34" t="str">
        <f t="shared" si="17"/>
        <v>PERCENTAGE</v>
      </c>
    </row>
    <row r="169" spans="1:16" s="6" customFormat="1" x14ac:dyDescent="0.25">
      <c r="A169" s="33" t="str">
        <f t="shared" si="13"/>
        <v>2024 JAN-JUN D70</v>
      </c>
      <c r="B169" s="8">
        <f t="shared" si="14"/>
        <v>46099</v>
      </c>
      <c r="C169" s="8">
        <f t="shared" si="15"/>
        <v>46113</v>
      </c>
      <c r="D169" s="33">
        <v>3272</v>
      </c>
      <c r="E169" s="33">
        <v>336</v>
      </c>
      <c r="F169" s="33">
        <v>4</v>
      </c>
      <c r="G169" s="33">
        <v>3</v>
      </c>
      <c r="H169" s="33">
        <v>81379</v>
      </c>
      <c r="I169" s="33" t="s">
        <v>104</v>
      </c>
      <c r="J169" s="33">
        <v>15500148</v>
      </c>
      <c r="K169" s="33" t="s">
        <v>1785</v>
      </c>
      <c r="L169" s="33" t="s">
        <v>1902</v>
      </c>
      <c r="M169" s="34">
        <v>239900</v>
      </c>
      <c r="N169" s="37">
        <f t="shared" si="16"/>
        <v>0.7</v>
      </c>
      <c r="O169" s="34">
        <f t="shared" si="12"/>
        <v>71970</v>
      </c>
      <c r="P169" s="34" t="str">
        <f t="shared" si="17"/>
        <v>PERCENTAGE</v>
      </c>
    </row>
    <row r="170" spans="1:16" s="6" customFormat="1" x14ac:dyDescent="0.25">
      <c r="A170" s="33" t="str">
        <f t="shared" si="13"/>
        <v>2024 JAN-JUN D70</v>
      </c>
      <c r="B170" s="8">
        <f t="shared" si="14"/>
        <v>46099</v>
      </c>
      <c r="C170" s="8">
        <f t="shared" si="15"/>
        <v>46113</v>
      </c>
      <c r="D170" s="33">
        <v>3272</v>
      </c>
      <c r="E170" s="33">
        <v>336</v>
      </c>
      <c r="F170" s="33">
        <v>4</v>
      </c>
      <c r="G170" s="33">
        <v>3</v>
      </c>
      <c r="H170" s="33">
        <v>81379</v>
      </c>
      <c r="I170" s="33" t="s">
        <v>104</v>
      </c>
      <c r="J170" s="33">
        <v>15500157</v>
      </c>
      <c r="K170" s="33" t="s">
        <v>1785</v>
      </c>
      <c r="L170" s="33" t="s">
        <v>1788</v>
      </c>
      <c r="M170" s="34">
        <v>239900</v>
      </c>
      <c r="N170" s="37">
        <f t="shared" si="16"/>
        <v>0.7</v>
      </c>
      <c r="O170" s="34">
        <f t="shared" si="12"/>
        <v>71970</v>
      </c>
      <c r="P170" s="34" t="str">
        <f t="shared" si="17"/>
        <v>PERCENTAGE</v>
      </c>
    </row>
    <row r="171" spans="1:16" s="6" customFormat="1" x14ac:dyDescent="0.25">
      <c r="A171" s="33" t="str">
        <f t="shared" si="13"/>
        <v>2024 JAN-JUN D70</v>
      </c>
      <c r="B171" s="8">
        <f t="shared" si="14"/>
        <v>46099</v>
      </c>
      <c r="C171" s="8">
        <f t="shared" si="15"/>
        <v>46113</v>
      </c>
      <c r="D171" s="33">
        <v>3272</v>
      </c>
      <c r="E171" s="33">
        <v>336</v>
      </c>
      <c r="F171" s="33">
        <v>4</v>
      </c>
      <c r="G171" s="33">
        <v>3</v>
      </c>
      <c r="H171" s="33">
        <v>81379</v>
      </c>
      <c r="I171" s="33" t="s">
        <v>104</v>
      </c>
      <c r="J171" s="33">
        <v>15500166</v>
      </c>
      <c r="K171" s="33" t="s">
        <v>1785</v>
      </c>
      <c r="L171" s="33" t="s">
        <v>1789</v>
      </c>
      <c r="M171" s="34">
        <v>239900</v>
      </c>
      <c r="N171" s="37">
        <f t="shared" si="16"/>
        <v>0.7</v>
      </c>
      <c r="O171" s="34">
        <f t="shared" si="12"/>
        <v>71970</v>
      </c>
      <c r="P171" s="34" t="str">
        <f t="shared" si="17"/>
        <v>PERCENTAGE</v>
      </c>
    </row>
    <row r="172" spans="1:16" s="6" customFormat="1" x14ac:dyDescent="0.25">
      <c r="A172" s="33" t="str">
        <f t="shared" si="13"/>
        <v>2024 JAN-JUN D70</v>
      </c>
      <c r="B172" s="8">
        <f t="shared" si="14"/>
        <v>46099</v>
      </c>
      <c r="C172" s="8">
        <f t="shared" si="15"/>
        <v>46113</v>
      </c>
      <c r="D172" s="33">
        <v>3272</v>
      </c>
      <c r="E172" s="33">
        <v>336</v>
      </c>
      <c r="F172" s="33">
        <v>4</v>
      </c>
      <c r="G172" s="33">
        <v>3</v>
      </c>
      <c r="H172" s="33">
        <v>81379</v>
      </c>
      <c r="I172" s="33" t="s">
        <v>104</v>
      </c>
      <c r="J172" s="33">
        <v>15498821</v>
      </c>
      <c r="K172" s="33" t="s">
        <v>1790</v>
      </c>
      <c r="L172" s="33" t="s">
        <v>1791</v>
      </c>
      <c r="M172" s="34">
        <v>239900</v>
      </c>
      <c r="N172" s="37">
        <f t="shared" si="16"/>
        <v>0.7</v>
      </c>
      <c r="O172" s="34">
        <f t="shared" si="12"/>
        <v>71970</v>
      </c>
      <c r="P172" s="34" t="str">
        <f t="shared" si="17"/>
        <v>PERCENTAGE</v>
      </c>
    </row>
    <row r="173" spans="1:16" s="6" customFormat="1" x14ac:dyDescent="0.25">
      <c r="A173" s="33" t="str">
        <f t="shared" si="13"/>
        <v>2024 JAN-JUN D70</v>
      </c>
      <c r="B173" s="8">
        <f t="shared" si="14"/>
        <v>46099</v>
      </c>
      <c r="C173" s="8">
        <f t="shared" si="15"/>
        <v>46113</v>
      </c>
      <c r="D173" s="33">
        <v>3272</v>
      </c>
      <c r="E173" s="33">
        <v>336</v>
      </c>
      <c r="F173" s="33">
        <v>4</v>
      </c>
      <c r="G173" s="33">
        <v>3</v>
      </c>
      <c r="H173" s="33">
        <v>81379</v>
      </c>
      <c r="I173" s="33" t="s">
        <v>104</v>
      </c>
      <c r="J173" s="33">
        <v>15498830</v>
      </c>
      <c r="K173" s="33" t="s">
        <v>1790</v>
      </c>
      <c r="L173" s="33" t="s">
        <v>1792</v>
      </c>
      <c r="M173" s="34">
        <v>239900</v>
      </c>
      <c r="N173" s="37">
        <f t="shared" si="16"/>
        <v>0.7</v>
      </c>
      <c r="O173" s="34">
        <f t="shared" si="12"/>
        <v>71970</v>
      </c>
      <c r="P173" s="34" t="str">
        <f t="shared" si="17"/>
        <v>PERCENTAGE</v>
      </c>
    </row>
    <row r="174" spans="1:16" s="6" customFormat="1" x14ac:dyDescent="0.25">
      <c r="A174" s="33" t="str">
        <f t="shared" si="13"/>
        <v>2024 JAN-JUN D70</v>
      </c>
      <c r="B174" s="8">
        <f t="shared" si="14"/>
        <v>46099</v>
      </c>
      <c r="C174" s="8">
        <f t="shared" si="15"/>
        <v>46113</v>
      </c>
      <c r="D174" s="33">
        <v>3272</v>
      </c>
      <c r="E174" s="33">
        <v>336</v>
      </c>
      <c r="F174" s="33">
        <v>4</v>
      </c>
      <c r="G174" s="33">
        <v>3</v>
      </c>
      <c r="H174" s="33">
        <v>81379</v>
      </c>
      <c r="I174" s="33" t="s">
        <v>104</v>
      </c>
      <c r="J174" s="33">
        <v>15498858</v>
      </c>
      <c r="K174" s="33" t="s">
        <v>1790</v>
      </c>
      <c r="L174" s="33" t="s">
        <v>1793</v>
      </c>
      <c r="M174" s="34">
        <v>239900</v>
      </c>
      <c r="N174" s="37">
        <f t="shared" si="16"/>
        <v>0.7</v>
      </c>
      <c r="O174" s="34">
        <f t="shared" si="12"/>
        <v>71970</v>
      </c>
      <c r="P174" s="34" t="str">
        <f t="shared" si="17"/>
        <v>PERCENTAGE</v>
      </c>
    </row>
    <row r="175" spans="1:16" s="6" customFormat="1" x14ac:dyDescent="0.25">
      <c r="A175" s="33" t="str">
        <f t="shared" si="13"/>
        <v>2024 JAN-JUN D70</v>
      </c>
      <c r="B175" s="8">
        <f t="shared" si="14"/>
        <v>46099</v>
      </c>
      <c r="C175" s="8">
        <f t="shared" si="15"/>
        <v>46113</v>
      </c>
      <c r="D175" s="33">
        <v>3272</v>
      </c>
      <c r="E175" s="33">
        <v>336</v>
      </c>
      <c r="F175" s="33">
        <v>4</v>
      </c>
      <c r="G175" s="33">
        <v>3</v>
      </c>
      <c r="H175" s="33">
        <v>81379</v>
      </c>
      <c r="I175" s="33" t="s">
        <v>104</v>
      </c>
      <c r="J175" s="33">
        <v>15498867</v>
      </c>
      <c r="K175" s="33" t="s">
        <v>1790</v>
      </c>
      <c r="L175" s="33" t="s">
        <v>1794</v>
      </c>
      <c r="M175" s="34">
        <v>239900</v>
      </c>
      <c r="N175" s="37">
        <f t="shared" si="16"/>
        <v>0.7</v>
      </c>
      <c r="O175" s="34">
        <f t="shared" si="12"/>
        <v>71970</v>
      </c>
      <c r="P175" s="34" t="str">
        <f t="shared" si="17"/>
        <v>PERCENTAGE</v>
      </c>
    </row>
    <row r="176" spans="1:16" s="6" customFormat="1" x14ac:dyDescent="0.25">
      <c r="A176" s="33" t="str">
        <f t="shared" si="13"/>
        <v>2024 JAN-JUN D70</v>
      </c>
      <c r="B176" s="8">
        <f t="shared" si="14"/>
        <v>46099</v>
      </c>
      <c r="C176" s="8">
        <f t="shared" si="15"/>
        <v>46113</v>
      </c>
      <c r="D176" s="33">
        <v>3272</v>
      </c>
      <c r="E176" s="33">
        <v>336</v>
      </c>
      <c r="F176" s="33">
        <v>4</v>
      </c>
      <c r="G176" s="33">
        <v>4</v>
      </c>
      <c r="H176" s="33">
        <v>81379</v>
      </c>
      <c r="I176" s="33" t="s">
        <v>104</v>
      </c>
      <c r="J176" s="33">
        <v>15500228</v>
      </c>
      <c r="K176" s="33" t="s">
        <v>1795</v>
      </c>
      <c r="L176" s="33" t="s">
        <v>1796</v>
      </c>
      <c r="M176" s="34">
        <v>159900</v>
      </c>
      <c r="N176" s="37">
        <f t="shared" si="16"/>
        <v>0.7</v>
      </c>
      <c r="O176" s="34">
        <f t="shared" si="12"/>
        <v>47970</v>
      </c>
      <c r="P176" s="34" t="str">
        <f t="shared" si="17"/>
        <v>PERCENTAGE</v>
      </c>
    </row>
    <row r="177" spans="1:16" s="6" customFormat="1" x14ac:dyDescent="0.25">
      <c r="A177" s="33" t="str">
        <f t="shared" si="13"/>
        <v>2024 JAN-JUN D70</v>
      </c>
      <c r="B177" s="8">
        <f t="shared" si="14"/>
        <v>46099</v>
      </c>
      <c r="C177" s="8">
        <f t="shared" si="15"/>
        <v>46113</v>
      </c>
      <c r="D177" s="33">
        <v>3272</v>
      </c>
      <c r="E177" s="33">
        <v>336</v>
      </c>
      <c r="F177" s="33">
        <v>4</v>
      </c>
      <c r="G177" s="33">
        <v>4</v>
      </c>
      <c r="H177" s="33">
        <v>81379</v>
      </c>
      <c r="I177" s="33" t="s">
        <v>104</v>
      </c>
      <c r="J177" s="33">
        <v>15500237</v>
      </c>
      <c r="K177" s="33" t="s">
        <v>1795</v>
      </c>
      <c r="L177" s="33" t="s">
        <v>1797</v>
      </c>
      <c r="M177" s="34">
        <v>159900</v>
      </c>
      <c r="N177" s="37">
        <f t="shared" si="16"/>
        <v>0.7</v>
      </c>
      <c r="O177" s="34">
        <f t="shared" si="12"/>
        <v>47970</v>
      </c>
      <c r="P177" s="34" t="str">
        <f t="shared" si="17"/>
        <v>PERCENTAGE</v>
      </c>
    </row>
    <row r="178" spans="1:16" s="6" customFormat="1" x14ac:dyDescent="0.25">
      <c r="A178" s="33" t="str">
        <f t="shared" si="13"/>
        <v>2024 JAN-JUN D70</v>
      </c>
      <c r="B178" s="8">
        <f t="shared" si="14"/>
        <v>46099</v>
      </c>
      <c r="C178" s="8">
        <f t="shared" si="15"/>
        <v>46113</v>
      </c>
      <c r="D178" s="33">
        <v>3272</v>
      </c>
      <c r="E178" s="33">
        <v>336</v>
      </c>
      <c r="F178" s="33">
        <v>4</v>
      </c>
      <c r="G178" s="33">
        <v>4</v>
      </c>
      <c r="H178" s="33">
        <v>81379</v>
      </c>
      <c r="I178" s="33" t="s">
        <v>104</v>
      </c>
      <c r="J178" s="33">
        <v>15500246</v>
      </c>
      <c r="K178" s="33" t="s">
        <v>1795</v>
      </c>
      <c r="L178" s="33" t="s">
        <v>1903</v>
      </c>
      <c r="M178" s="34">
        <v>159900</v>
      </c>
      <c r="N178" s="37">
        <f t="shared" si="16"/>
        <v>0.7</v>
      </c>
      <c r="O178" s="34">
        <f t="shared" si="12"/>
        <v>47970</v>
      </c>
      <c r="P178" s="34" t="str">
        <f t="shared" si="17"/>
        <v>PERCENTAGE</v>
      </c>
    </row>
    <row r="179" spans="1:16" s="6" customFormat="1" x14ac:dyDescent="0.25">
      <c r="A179" s="33" t="str">
        <f t="shared" si="13"/>
        <v>2024 JAN-JUN D70</v>
      </c>
      <c r="B179" s="8">
        <f t="shared" si="14"/>
        <v>46099</v>
      </c>
      <c r="C179" s="8">
        <f t="shared" si="15"/>
        <v>46113</v>
      </c>
      <c r="D179" s="33">
        <v>3272</v>
      </c>
      <c r="E179" s="33">
        <v>336</v>
      </c>
      <c r="F179" s="33">
        <v>4</v>
      </c>
      <c r="G179" s="33">
        <v>4</v>
      </c>
      <c r="H179" s="33">
        <v>81379</v>
      </c>
      <c r="I179" s="33" t="s">
        <v>104</v>
      </c>
      <c r="J179" s="33">
        <v>15500255</v>
      </c>
      <c r="K179" s="33" t="s">
        <v>1795</v>
      </c>
      <c r="L179" s="33" t="s">
        <v>1798</v>
      </c>
      <c r="M179" s="34">
        <v>159900</v>
      </c>
      <c r="N179" s="37">
        <f t="shared" si="16"/>
        <v>0.7</v>
      </c>
      <c r="O179" s="34">
        <f t="shared" si="12"/>
        <v>47970</v>
      </c>
      <c r="P179" s="34" t="str">
        <f t="shared" si="17"/>
        <v>PERCENTAGE</v>
      </c>
    </row>
    <row r="180" spans="1:16" s="6" customFormat="1" x14ac:dyDescent="0.25">
      <c r="A180" s="33" t="str">
        <f t="shared" si="13"/>
        <v>2024 JAN-JUN D70</v>
      </c>
      <c r="B180" s="8">
        <f t="shared" si="14"/>
        <v>46099</v>
      </c>
      <c r="C180" s="8">
        <f t="shared" si="15"/>
        <v>46113</v>
      </c>
      <c r="D180" s="33">
        <v>3272</v>
      </c>
      <c r="E180" s="33">
        <v>336</v>
      </c>
      <c r="F180" s="33">
        <v>4</v>
      </c>
      <c r="G180" s="33">
        <v>4</v>
      </c>
      <c r="H180" s="33">
        <v>81379</v>
      </c>
      <c r="I180" s="33" t="s">
        <v>104</v>
      </c>
      <c r="J180" s="33">
        <v>15500264</v>
      </c>
      <c r="K180" s="33" t="s">
        <v>1795</v>
      </c>
      <c r="L180" s="33" t="s">
        <v>1799</v>
      </c>
      <c r="M180" s="34">
        <v>159900</v>
      </c>
      <c r="N180" s="37">
        <f t="shared" si="16"/>
        <v>0.7</v>
      </c>
      <c r="O180" s="34">
        <f t="shared" si="12"/>
        <v>47970</v>
      </c>
      <c r="P180" s="34" t="str">
        <f t="shared" si="17"/>
        <v>PERCENTAGE</v>
      </c>
    </row>
    <row r="181" spans="1:16" s="6" customFormat="1" x14ac:dyDescent="0.25">
      <c r="A181" s="33" t="str">
        <f t="shared" si="13"/>
        <v>2024 JAN-JUN D70</v>
      </c>
      <c r="B181" s="8">
        <f t="shared" si="14"/>
        <v>46099</v>
      </c>
      <c r="C181" s="8">
        <f t="shared" si="15"/>
        <v>46113</v>
      </c>
      <c r="D181" s="33">
        <v>3272</v>
      </c>
      <c r="E181" s="33">
        <v>336</v>
      </c>
      <c r="F181" s="33">
        <v>4</v>
      </c>
      <c r="G181" s="33">
        <v>4</v>
      </c>
      <c r="H181" s="33">
        <v>81379</v>
      </c>
      <c r="I181" s="33" t="s">
        <v>104</v>
      </c>
      <c r="J181" s="33">
        <v>15498929</v>
      </c>
      <c r="K181" s="33" t="s">
        <v>1800</v>
      </c>
      <c r="L181" s="33" t="s">
        <v>1801</v>
      </c>
      <c r="M181" s="34">
        <v>159900</v>
      </c>
      <c r="N181" s="37">
        <f t="shared" si="16"/>
        <v>0.7</v>
      </c>
      <c r="O181" s="34">
        <f t="shared" si="12"/>
        <v>47970</v>
      </c>
      <c r="P181" s="34" t="str">
        <f t="shared" si="17"/>
        <v>PERCENTAGE</v>
      </c>
    </row>
    <row r="182" spans="1:16" s="6" customFormat="1" x14ac:dyDescent="0.25">
      <c r="A182" s="33" t="str">
        <f t="shared" si="13"/>
        <v>2024 JAN-JUN D70</v>
      </c>
      <c r="B182" s="8">
        <f t="shared" si="14"/>
        <v>46099</v>
      </c>
      <c r="C182" s="8">
        <f t="shared" si="15"/>
        <v>46113</v>
      </c>
      <c r="D182" s="33">
        <v>3272</v>
      </c>
      <c r="E182" s="33">
        <v>336</v>
      </c>
      <c r="F182" s="33">
        <v>4</v>
      </c>
      <c r="G182" s="33">
        <v>4</v>
      </c>
      <c r="H182" s="33">
        <v>81379</v>
      </c>
      <c r="I182" s="33" t="s">
        <v>104</v>
      </c>
      <c r="J182" s="33">
        <v>15498938</v>
      </c>
      <c r="K182" s="33" t="s">
        <v>1800</v>
      </c>
      <c r="L182" s="33" t="s">
        <v>1802</v>
      </c>
      <c r="M182" s="34">
        <v>159900</v>
      </c>
      <c r="N182" s="37">
        <f t="shared" si="16"/>
        <v>0.7</v>
      </c>
      <c r="O182" s="34">
        <f t="shared" si="12"/>
        <v>47970</v>
      </c>
      <c r="P182" s="34" t="str">
        <f t="shared" si="17"/>
        <v>PERCENTAGE</v>
      </c>
    </row>
    <row r="183" spans="1:16" s="6" customFormat="1" x14ac:dyDescent="0.25">
      <c r="A183" s="33" t="str">
        <f t="shared" si="13"/>
        <v>2024 JAN-JUN D70</v>
      </c>
      <c r="B183" s="8">
        <f t="shared" si="14"/>
        <v>46099</v>
      </c>
      <c r="C183" s="8">
        <f t="shared" si="15"/>
        <v>46113</v>
      </c>
      <c r="D183" s="33">
        <v>3272</v>
      </c>
      <c r="E183" s="33">
        <v>336</v>
      </c>
      <c r="F183" s="33">
        <v>4</v>
      </c>
      <c r="G183" s="33">
        <v>4</v>
      </c>
      <c r="H183" s="33">
        <v>81379</v>
      </c>
      <c r="I183" s="33" t="s">
        <v>104</v>
      </c>
      <c r="J183" s="33">
        <v>15498947</v>
      </c>
      <c r="K183" s="33" t="s">
        <v>1800</v>
      </c>
      <c r="L183" s="33" t="s">
        <v>1910</v>
      </c>
      <c r="M183" s="34">
        <v>159900</v>
      </c>
      <c r="N183" s="37">
        <f t="shared" si="16"/>
        <v>0.7</v>
      </c>
      <c r="O183" s="34">
        <f t="shared" si="12"/>
        <v>47970</v>
      </c>
      <c r="P183" s="34" t="str">
        <f t="shared" si="17"/>
        <v>PERCENTAGE</v>
      </c>
    </row>
    <row r="184" spans="1:16" s="6" customFormat="1" x14ac:dyDescent="0.25">
      <c r="A184" s="33" t="str">
        <f t="shared" si="13"/>
        <v>2024 JAN-JUN D70</v>
      </c>
      <c r="B184" s="8">
        <f t="shared" si="14"/>
        <v>46099</v>
      </c>
      <c r="C184" s="8">
        <f t="shared" si="15"/>
        <v>46113</v>
      </c>
      <c r="D184" s="33">
        <v>3272</v>
      </c>
      <c r="E184" s="33">
        <v>336</v>
      </c>
      <c r="F184" s="33">
        <v>4</v>
      </c>
      <c r="G184" s="33">
        <v>4</v>
      </c>
      <c r="H184" s="33">
        <v>81379</v>
      </c>
      <c r="I184" s="33" t="s">
        <v>104</v>
      </c>
      <c r="J184" s="33">
        <v>15498956</v>
      </c>
      <c r="K184" s="33" t="s">
        <v>1800</v>
      </c>
      <c r="L184" s="33" t="s">
        <v>1803</v>
      </c>
      <c r="M184" s="34">
        <v>159900</v>
      </c>
      <c r="N184" s="37">
        <f t="shared" si="16"/>
        <v>0.7</v>
      </c>
      <c r="O184" s="34">
        <f t="shared" si="12"/>
        <v>47970</v>
      </c>
      <c r="P184" s="34" t="str">
        <f t="shared" si="17"/>
        <v>PERCENTAGE</v>
      </c>
    </row>
    <row r="185" spans="1:16" s="6" customFormat="1" x14ac:dyDescent="0.25">
      <c r="A185" s="33" t="str">
        <f t="shared" si="13"/>
        <v>2024 JAN-JUN D70</v>
      </c>
      <c r="B185" s="8">
        <f t="shared" si="14"/>
        <v>46099</v>
      </c>
      <c r="C185" s="8">
        <f t="shared" si="15"/>
        <v>46113</v>
      </c>
      <c r="D185" s="33">
        <v>3272</v>
      </c>
      <c r="E185" s="33">
        <v>336</v>
      </c>
      <c r="F185" s="33">
        <v>4</v>
      </c>
      <c r="G185" s="33">
        <v>4</v>
      </c>
      <c r="H185" s="33">
        <v>81379</v>
      </c>
      <c r="I185" s="33" t="s">
        <v>104</v>
      </c>
      <c r="J185" s="33">
        <v>15498965</v>
      </c>
      <c r="K185" s="33" t="s">
        <v>1800</v>
      </c>
      <c r="L185" s="33" t="s">
        <v>1804</v>
      </c>
      <c r="M185" s="34">
        <v>159900</v>
      </c>
      <c r="N185" s="37">
        <f t="shared" si="16"/>
        <v>0.7</v>
      </c>
      <c r="O185" s="34">
        <f t="shared" si="12"/>
        <v>47970</v>
      </c>
      <c r="P185" s="34" t="str">
        <f t="shared" si="17"/>
        <v>PERCENTAGE</v>
      </c>
    </row>
    <row r="186" spans="1:16" s="6" customFormat="1" x14ac:dyDescent="0.25">
      <c r="A186" s="33" t="str">
        <f t="shared" si="13"/>
        <v>2024 JAN-JUN D70</v>
      </c>
      <c r="B186" s="8">
        <f t="shared" si="14"/>
        <v>46099</v>
      </c>
      <c r="C186" s="8">
        <f t="shared" si="15"/>
        <v>46113</v>
      </c>
      <c r="D186" s="33">
        <v>3272</v>
      </c>
      <c r="E186" s="33">
        <v>336</v>
      </c>
      <c r="F186" s="33">
        <v>4</v>
      </c>
      <c r="G186" s="33">
        <v>5</v>
      </c>
      <c r="H186" s="33">
        <v>81379</v>
      </c>
      <c r="I186" s="33" t="s">
        <v>104</v>
      </c>
      <c r="J186" s="33">
        <v>15500175</v>
      </c>
      <c r="K186" s="33" t="s">
        <v>1805</v>
      </c>
      <c r="L186" s="33" t="s">
        <v>1806</v>
      </c>
      <c r="M186" s="34">
        <v>239900</v>
      </c>
      <c r="N186" s="37">
        <f t="shared" si="16"/>
        <v>0.7</v>
      </c>
      <c r="O186" s="34">
        <f t="shared" si="12"/>
        <v>71970</v>
      </c>
      <c r="P186" s="34" t="str">
        <f t="shared" si="17"/>
        <v>PERCENTAGE</v>
      </c>
    </row>
    <row r="187" spans="1:16" s="6" customFormat="1" x14ac:dyDescent="0.25">
      <c r="A187" s="33" t="str">
        <f t="shared" si="13"/>
        <v>2024 JAN-JUN D70</v>
      </c>
      <c r="B187" s="8">
        <f t="shared" si="14"/>
        <v>46099</v>
      </c>
      <c r="C187" s="8">
        <f t="shared" si="15"/>
        <v>46113</v>
      </c>
      <c r="D187" s="33">
        <v>3272</v>
      </c>
      <c r="E187" s="33">
        <v>336</v>
      </c>
      <c r="F187" s="33">
        <v>4</v>
      </c>
      <c r="G187" s="33">
        <v>5</v>
      </c>
      <c r="H187" s="33">
        <v>81379</v>
      </c>
      <c r="I187" s="33" t="s">
        <v>104</v>
      </c>
      <c r="J187" s="33">
        <v>15500184</v>
      </c>
      <c r="K187" s="33" t="s">
        <v>1805</v>
      </c>
      <c r="L187" s="33" t="s">
        <v>1807</v>
      </c>
      <c r="M187" s="34">
        <v>239900</v>
      </c>
      <c r="N187" s="37">
        <f t="shared" si="16"/>
        <v>0.7</v>
      </c>
      <c r="O187" s="34">
        <f t="shared" si="12"/>
        <v>71970</v>
      </c>
      <c r="P187" s="34" t="str">
        <f t="shared" si="17"/>
        <v>PERCENTAGE</v>
      </c>
    </row>
    <row r="188" spans="1:16" s="6" customFormat="1" x14ac:dyDescent="0.25">
      <c r="A188" s="33" t="str">
        <f t="shared" si="13"/>
        <v>2024 JAN-JUN D70</v>
      </c>
      <c r="B188" s="8">
        <f t="shared" si="14"/>
        <v>46099</v>
      </c>
      <c r="C188" s="8">
        <f t="shared" si="15"/>
        <v>46113</v>
      </c>
      <c r="D188" s="33">
        <v>3272</v>
      </c>
      <c r="E188" s="33">
        <v>336</v>
      </c>
      <c r="F188" s="33">
        <v>4</v>
      </c>
      <c r="G188" s="33">
        <v>5</v>
      </c>
      <c r="H188" s="33">
        <v>81379</v>
      </c>
      <c r="I188" s="33" t="s">
        <v>104</v>
      </c>
      <c r="J188" s="33">
        <v>15500193</v>
      </c>
      <c r="K188" s="33" t="s">
        <v>1805</v>
      </c>
      <c r="L188" s="33" t="s">
        <v>1911</v>
      </c>
      <c r="M188" s="34">
        <v>239900</v>
      </c>
      <c r="N188" s="37">
        <f t="shared" si="16"/>
        <v>0.7</v>
      </c>
      <c r="O188" s="34">
        <f t="shared" si="12"/>
        <v>71970</v>
      </c>
      <c r="P188" s="34" t="str">
        <f t="shared" si="17"/>
        <v>PERCENTAGE</v>
      </c>
    </row>
    <row r="189" spans="1:16" s="6" customFormat="1" x14ac:dyDescent="0.25">
      <c r="A189" s="33" t="str">
        <f t="shared" si="13"/>
        <v>2024 JAN-JUN D70</v>
      </c>
      <c r="B189" s="8">
        <f t="shared" si="14"/>
        <v>46099</v>
      </c>
      <c r="C189" s="8">
        <f t="shared" si="15"/>
        <v>46113</v>
      </c>
      <c r="D189" s="33">
        <v>3272</v>
      </c>
      <c r="E189" s="33">
        <v>336</v>
      </c>
      <c r="F189" s="33">
        <v>4</v>
      </c>
      <c r="G189" s="33">
        <v>5</v>
      </c>
      <c r="H189" s="33">
        <v>81379</v>
      </c>
      <c r="I189" s="33" t="s">
        <v>104</v>
      </c>
      <c r="J189" s="33">
        <v>15500200</v>
      </c>
      <c r="K189" s="33" t="s">
        <v>1805</v>
      </c>
      <c r="L189" s="33" t="s">
        <v>1808</v>
      </c>
      <c r="M189" s="34">
        <v>239900</v>
      </c>
      <c r="N189" s="37">
        <f t="shared" si="16"/>
        <v>0.7</v>
      </c>
      <c r="O189" s="34">
        <f t="shared" si="12"/>
        <v>71970</v>
      </c>
      <c r="P189" s="34" t="str">
        <f t="shared" si="17"/>
        <v>PERCENTAGE</v>
      </c>
    </row>
    <row r="190" spans="1:16" s="6" customFormat="1" x14ac:dyDescent="0.25">
      <c r="A190" s="33" t="str">
        <f t="shared" si="13"/>
        <v>2024 JAN-JUN D70</v>
      </c>
      <c r="B190" s="8">
        <f t="shared" si="14"/>
        <v>46099</v>
      </c>
      <c r="C190" s="8">
        <f t="shared" si="15"/>
        <v>46113</v>
      </c>
      <c r="D190" s="33">
        <v>3272</v>
      </c>
      <c r="E190" s="33">
        <v>336</v>
      </c>
      <c r="F190" s="33">
        <v>4</v>
      </c>
      <c r="G190" s="33">
        <v>5</v>
      </c>
      <c r="H190" s="33">
        <v>81379</v>
      </c>
      <c r="I190" s="33" t="s">
        <v>104</v>
      </c>
      <c r="J190" s="33">
        <v>15500219</v>
      </c>
      <c r="K190" s="33" t="s">
        <v>1805</v>
      </c>
      <c r="L190" s="33" t="s">
        <v>1809</v>
      </c>
      <c r="M190" s="34">
        <v>239900</v>
      </c>
      <c r="N190" s="37">
        <f t="shared" si="16"/>
        <v>0.7</v>
      </c>
      <c r="O190" s="34">
        <f t="shared" si="12"/>
        <v>71970</v>
      </c>
      <c r="P190" s="34" t="str">
        <f t="shared" si="17"/>
        <v>PERCENTAGE</v>
      </c>
    </row>
    <row r="191" spans="1:16" s="6" customFormat="1" x14ac:dyDescent="0.25">
      <c r="A191" s="33" t="str">
        <f t="shared" si="13"/>
        <v>2024 JAN-JUN D70</v>
      </c>
      <c r="B191" s="8">
        <f t="shared" si="14"/>
        <v>46099</v>
      </c>
      <c r="C191" s="8">
        <f t="shared" si="15"/>
        <v>46113</v>
      </c>
      <c r="D191" s="33">
        <v>3272</v>
      </c>
      <c r="E191" s="33">
        <v>336</v>
      </c>
      <c r="F191" s="33">
        <v>4</v>
      </c>
      <c r="G191" s="33">
        <v>5</v>
      </c>
      <c r="H191" s="33">
        <v>81379</v>
      </c>
      <c r="I191" s="33" t="s">
        <v>104</v>
      </c>
      <c r="J191" s="33">
        <v>15498876</v>
      </c>
      <c r="K191" s="33" t="s">
        <v>1810</v>
      </c>
      <c r="L191" s="33" t="s">
        <v>1811</v>
      </c>
      <c r="M191" s="34">
        <v>239900</v>
      </c>
      <c r="N191" s="37">
        <f t="shared" si="16"/>
        <v>0.7</v>
      </c>
      <c r="O191" s="34">
        <f t="shared" si="12"/>
        <v>71970</v>
      </c>
      <c r="P191" s="34" t="str">
        <f t="shared" si="17"/>
        <v>PERCENTAGE</v>
      </c>
    </row>
    <row r="192" spans="1:16" s="6" customFormat="1" x14ac:dyDescent="0.25">
      <c r="A192" s="33" t="str">
        <f t="shared" si="13"/>
        <v>2024 JAN-JUN D70</v>
      </c>
      <c r="B192" s="8">
        <f t="shared" si="14"/>
        <v>46099</v>
      </c>
      <c r="C192" s="8">
        <f t="shared" si="15"/>
        <v>46113</v>
      </c>
      <c r="D192" s="33">
        <v>3272</v>
      </c>
      <c r="E192" s="33">
        <v>336</v>
      </c>
      <c r="F192" s="33">
        <v>4</v>
      </c>
      <c r="G192" s="33">
        <v>5</v>
      </c>
      <c r="H192" s="33">
        <v>81379</v>
      </c>
      <c r="I192" s="33" t="s">
        <v>104</v>
      </c>
      <c r="J192" s="33">
        <v>15498885</v>
      </c>
      <c r="K192" s="33" t="s">
        <v>1810</v>
      </c>
      <c r="L192" s="33" t="s">
        <v>1812</v>
      </c>
      <c r="M192" s="34">
        <v>239900</v>
      </c>
      <c r="N192" s="37">
        <f t="shared" si="16"/>
        <v>0.7</v>
      </c>
      <c r="O192" s="34">
        <f t="shared" si="12"/>
        <v>71970</v>
      </c>
      <c r="P192" s="34" t="str">
        <f t="shared" si="17"/>
        <v>PERCENTAGE</v>
      </c>
    </row>
    <row r="193" spans="1:16" s="6" customFormat="1" x14ac:dyDescent="0.25">
      <c r="A193" s="33" t="str">
        <f t="shared" si="13"/>
        <v>2024 JAN-JUN D70</v>
      </c>
      <c r="B193" s="8">
        <f t="shared" si="14"/>
        <v>46099</v>
      </c>
      <c r="C193" s="8">
        <f t="shared" si="15"/>
        <v>46113</v>
      </c>
      <c r="D193" s="33">
        <v>3272</v>
      </c>
      <c r="E193" s="33">
        <v>336</v>
      </c>
      <c r="F193" s="33">
        <v>4</v>
      </c>
      <c r="G193" s="33">
        <v>5</v>
      </c>
      <c r="H193" s="33">
        <v>81379</v>
      </c>
      <c r="I193" s="33" t="s">
        <v>104</v>
      </c>
      <c r="J193" s="33">
        <v>15498894</v>
      </c>
      <c r="K193" s="33" t="s">
        <v>1810</v>
      </c>
      <c r="L193" s="33" t="s">
        <v>1912</v>
      </c>
      <c r="M193" s="34">
        <v>239900</v>
      </c>
      <c r="N193" s="37">
        <f t="shared" si="16"/>
        <v>0.7</v>
      </c>
      <c r="O193" s="34">
        <f t="shared" si="12"/>
        <v>71970</v>
      </c>
      <c r="P193" s="34" t="str">
        <f t="shared" si="17"/>
        <v>PERCENTAGE</v>
      </c>
    </row>
    <row r="194" spans="1:16" s="6" customFormat="1" x14ac:dyDescent="0.25">
      <c r="A194" s="33" t="str">
        <f t="shared" si="13"/>
        <v>2024 JAN-JUN D70</v>
      </c>
      <c r="B194" s="8">
        <f t="shared" si="14"/>
        <v>46099</v>
      </c>
      <c r="C194" s="8">
        <f t="shared" si="15"/>
        <v>46113</v>
      </c>
      <c r="D194" s="33">
        <v>3272</v>
      </c>
      <c r="E194" s="33">
        <v>336</v>
      </c>
      <c r="F194" s="33">
        <v>4</v>
      </c>
      <c r="G194" s="33">
        <v>5</v>
      </c>
      <c r="H194" s="33">
        <v>81379</v>
      </c>
      <c r="I194" s="33" t="s">
        <v>104</v>
      </c>
      <c r="J194" s="33">
        <v>15498901</v>
      </c>
      <c r="K194" s="33" t="s">
        <v>1810</v>
      </c>
      <c r="L194" s="33" t="s">
        <v>1813</v>
      </c>
      <c r="M194" s="34">
        <v>239900</v>
      </c>
      <c r="N194" s="37">
        <f t="shared" si="16"/>
        <v>0.7</v>
      </c>
      <c r="O194" s="34">
        <f t="shared" ref="O194:O257" si="18">M194-((70*M194))/100</f>
        <v>71970</v>
      </c>
      <c r="P194" s="34" t="str">
        <f t="shared" si="17"/>
        <v>PERCENTAGE</v>
      </c>
    </row>
    <row r="195" spans="1:16" s="6" customFormat="1" x14ac:dyDescent="0.25">
      <c r="A195" s="33" t="str">
        <f t="shared" ref="A195:A233" si="19">A194</f>
        <v>2024 JAN-JUN D70</v>
      </c>
      <c r="B195" s="8">
        <f t="shared" ref="B195:B233" si="20">B194</f>
        <v>46099</v>
      </c>
      <c r="C195" s="8">
        <f t="shared" ref="C195:C233" si="21">C194</f>
        <v>46113</v>
      </c>
      <c r="D195" s="33">
        <v>3272</v>
      </c>
      <c r="E195" s="33">
        <v>336</v>
      </c>
      <c r="F195" s="33">
        <v>4</v>
      </c>
      <c r="G195" s="33">
        <v>5</v>
      </c>
      <c r="H195" s="33">
        <v>81379</v>
      </c>
      <c r="I195" s="33" t="s">
        <v>104</v>
      </c>
      <c r="J195" s="33">
        <v>15498910</v>
      </c>
      <c r="K195" s="33" t="s">
        <v>1810</v>
      </c>
      <c r="L195" s="33" t="s">
        <v>1814</v>
      </c>
      <c r="M195" s="34">
        <v>239900</v>
      </c>
      <c r="N195" s="37">
        <f t="shared" ref="N195:N258" si="22">N194</f>
        <v>0.7</v>
      </c>
      <c r="O195" s="34">
        <f t="shared" si="18"/>
        <v>71970</v>
      </c>
      <c r="P195" s="34" t="str">
        <f t="shared" ref="P195:P233" si="23">P194</f>
        <v>PERCENTAGE</v>
      </c>
    </row>
    <row r="196" spans="1:16" s="6" customFormat="1" x14ac:dyDescent="0.25">
      <c r="A196" s="33" t="str">
        <f t="shared" si="19"/>
        <v>2024 JAN-JUN D70</v>
      </c>
      <c r="B196" s="8">
        <f t="shared" si="20"/>
        <v>46099</v>
      </c>
      <c r="C196" s="8">
        <f t="shared" si="21"/>
        <v>46113</v>
      </c>
      <c r="D196" s="33">
        <v>3272</v>
      </c>
      <c r="E196" s="33">
        <v>336</v>
      </c>
      <c r="F196" s="33">
        <v>4</v>
      </c>
      <c r="G196" s="33">
        <v>1</v>
      </c>
      <c r="H196" s="33">
        <v>81379</v>
      </c>
      <c r="I196" s="33" t="s">
        <v>104</v>
      </c>
      <c r="J196" s="33">
        <v>15499473</v>
      </c>
      <c r="K196" s="33" t="s">
        <v>1623</v>
      </c>
      <c r="L196" s="33" t="s">
        <v>1624</v>
      </c>
      <c r="M196" s="34">
        <v>139900</v>
      </c>
      <c r="N196" s="37">
        <f t="shared" si="22"/>
        <v>0.7</v>
      </c>
      <c r="O196" s="34">
        <f t="shared" si="18"/>
        <v>41970</v>
      </c>
      <c r="P196" s="34" t="str">
        <f t="shared" si="23"/>
        <v>PERCENTAGE</v>
      </c>
    </row>
    <row r="197" spans="1:16" s="6" customFormat="1" x14ac:dyDescent="0.25">
      <c r="A197" s="33" t="str">
        <f t="shared" si="19"/>
        <v>2024 JAN-JUN D70</v>
      </c>
      <c r="B197" s="8">
        <f t="shared" si="20"/>
        <v>46099</v>
      </c>
      <c r="C197" s="8">
        <f t="shared" si="21"/>
        <v>46113</v>
      </c>
      <c r="D197" s="33">
        <v>3272</v>
      </c>
      <c r="E197" s="33">
        <v>336</v>
      </c>
      <c r="F197" s="33">
        <v>4</v>
      </c>
      <c r="G197" s="33">
        <v>1</v>
      </c>
      <c r="H197" s="33">
        <v>81379</v>
      </c>
      <c r="I197" s="33" t="s">
        <v>104</v>
      </c>
      <c r="J197" s="33">
        <v>15499482</v>
      </c>
      <c r="K197" s="33" t="s">
        <v>1623</v>
      </c>
      <c r="L197" s="33" t="s">
        <v>1625</v>
      </c>
      <c r="M197" s="34">
        <v>139900</v>
      </c>
      <c r="N197" s="37">
        <f t="shared" si="22"/>
        <v>0.7</v>
      </c>
      <c r="O197" s="34">
        <f t="shared" si="18"/>
        <v>41970</v>
      </c>
      <c r="P197" s="34" t="str">
        <f t="shared" si="23"/>
        <v>PERCENTAGE</v>
      </c>
    </row>
    <row r="198" spans="1:16" s="6" customFormat="1" x14ac:dyDescent="0.25">
      <c r="A198" s="33" t="str">
        <f t="shared" si="19"/>
        <v>2024 JAN-JUN D70</v>
      </c>
      <c r="B198" s="8">
        <f t="shared" si="20"/>
        <v>46099</v>
      </c>
      <c r="C198" s="8">
        <f t="shared" si="21"/>
        <v>46113</v>
      </c>
      <c r="D198" s="33">
        <v>3272</v>
      </c>
      <c r="E198" s="33">
        <v>336</v>
      </c>
      <c r="F198" s="33">
        <v>4</v>
      </c>
      <c r="G198" s="33">
        <v>1</v>
      </c>
      <c r="H198" s="33">
        <v>81379</v>
      </c>
      <c r="I198" s="33" t="s">
        <v>104</v>
      </c>
      <c r="J198" s="33">
        <v>15499491</v>
      </c>
      <c r="K198" s="33" t="s">
        <v>1623</v>
      </c>
      <c r="L198" s="33" t="s">
        <v>1626</v>
      </c>
      <c r="M198" s="34">
        <v>139900</v>
      </c>
      <c r="N198" s="37">
        <f t="shared" si="22"/>
        <v>0.7</v>
      </c>
      <c r="O198" s="34">
        <f t="shared" si="18"/>
        <v>41970</v>
      </c>
      <c r="P198" s="34" t="str">
        <f t="shared" si="23"/>
        <v>PERCENTAGE</v>
      </c>
    </row>
    <row r="199" spans="1:16" s="6" customFormat="1" x14ac:dyDescent="0.25">
      <c r="A199" s="33" t="str">
        <f t="shared" si="19"/>
        <v>2024 JAN-JUN D70</v>
      </c>
      <c r="B199" s="8">
        <f t="shared" si="20"/>
        <v>46099</v>
      </c>
      <c r="C199" s="8">
        <f t="shared" si="21"/>
        <v>46113</v>
      </c>
      <c r="D199" s="33">
        <v>3272</v>
      </c>
      <c r="E199" s="33">
        <v>336</v>
      </c>
      <c r="F199" s="33">
        <v>4</v>
      </c>
      <c r="G199" s="33">
        <v>1</v>
      </c>
      <c r="H199" s="33">
        <v>81379</v>
      </c>
      <c r="I199" s="33" t="s">
        <v>104</v>
      </c>
      <c r="J199" s="33">
        <v>15499508</v>
      </c>
      <c r="K199" s="33" t="s">
        <v>1623</v>
      </c>
      <c r="L199" s="33" t="s">
        <v>1627</v>
      </c>
      <c r="M199" s="34">
        <v>139900</v>
      </c>
      <c r="N199" s="37">
        <f t="shared" si="22"/>
        <v>0.7</v>
      </c>
      <c r="O199" s="34">
        <f t="shared" si="18"/>
        <v>41970</v>
      </c>
      <c r="P199" s="34" t="str">
        <f t="shared" si="23"/>
        <v>PERCENTAGE</v>
      </c>
    </row>
    <row r="200" spans="1:16" s="6" customFormat="1" x14ac:dyDescent="0.25">
      <c r="A200" s="33" t="str">
        <f t="shared" si="19"/>
        <v>2024 JAN-JUN D70</v>
      </c>
      <c r="B200" s="8">
        <f t="shared" si="20"/>
        <v>46099</v>
      </c>
      <c r="C200" s="8">
        <f t="shared" si="21"/>
        <v>46113</v>
      </c>
      <c r="D200" s="33">
        <v>3272</v>
      </c>
      <c r="E200" s="33">
        <v>336</v>
      </c>
      <c r="F200" s="33">
        <v>4</v>
      </c>
      <c r="G200" s="33">
        <v>1</v>
      </c>
      <c r="H200" s="33">
        <v>81379</v>
      </c>
      <c r="I200" s="33" t="s">
        <v>104</v>
      </c>
      <c r="J200" s="33">
        <v>15499517</v>
      </c>
      <c r="K200" s="33" t="s">
        <v>1623</v>
      </c>
      <c r="L200" s="33" t="s">
        <v>1628</v>
      </c>
      <c r="M200" s="34">
        <v>139900</v>
      </c>
      <c r="N200" s="37">
        <f t="shared" si="22"/>
        <v>0.7</v>
      </c>
      <c r="O200" s="34">
        <f t="shared" si="18"/>
        <v>41970</v>
      </c>
      <c r="P200" s="34" t="str">
        <f t="shared" si="23"/>
        <v>PERCENTAGE</v>
      </c>
    </row>
    <row r="201" spans="1:16" s="6" customFormat="1" x14ac:dyDescent="0.25">
      <c r="A201" s="33" t="str">
        <f t="shared" si="19"/>
        <v>2024 JAN-JUN D70</v>
      </c>
      <c r="B201" s="8">
        <f t="shared" si="20"/>
        <v>46099</v>
      </c>
      <c r="C201" s="8">
        <f t="shared" si="21"/>
        <v>46113</v>
      </c>
      <c r="D201" s="33">
        <v>3272</v>
      </c>
      <c r="E201" s="33">
        <v>336</v>
      </c>
      <c r="F201" s="33">
        <v>4</v>
      </c>
      <c r="G201" s="33">
        <v>1</v>
      </c>
      <c r="H201" s="33">
        <v>81379</v>
      </c>
      <c r="I201" s="33" t="s">
        <v>104</v>
      </c>
      <c r="J201" s="33">
        <v>15499526</v>
      </c>
      <c r="K201" s="33" t="s">
        <v>1629</v>
      </c>
      <c r="L201" s="33" t="s">
        <v>1630</v>
      </c>
      <c r="M201" s="34">
        <v>139900</v>
      </c>
      <c r="N201" s="37">
        <f t="shared" si="22"/>
        <v>0.7</v>
      </c>
      <c r="O201" s="34">
        <f t="shared" si="18"/>
        <v>41970</v>
      </c>
      <c r="P201" s="34" t="str">
        <f t="shared" si="23"/>
        <v>PERCENTAGE</v>
      </c>
    </row>
    <row r="202" spans="1:16" s="6" customFormat="1" x14ac:dyDescent="0.25">
      <c r="A202" s="33" t="str">
        <f t="shared" si="19"/>
        <v>2024 JAN-JUN D70</v>
      </c>
      <c r="B202" s="8">
        <f t="shared" si="20"/>
        <v>46099</v>
      </c>
      <c r="C202" s="8">
        <f t="shared" si="21"/>
        <v>46113</v>
      </c>
      <c r="D202" s="33">
        <v>3272</v>
      </c>
      <c r="E202" s="33">
        <v>336</v>
      </c>
      <c r="F202" s="33">
        <v>4</v>
      </c>
      <c r="G202" s="33">
        <v>1</v>
      </c>
      <c r="H202" s="33">
        <v>81379</v>
      </c>
      <c r="I202" s="33" t="s">
        <v>104</v>
      </c>
      <c r="J202" s="33">
        <v>15499535</v>
      </c>
      <c r="K202" s="33" t="s">
        <v>1629</v>
      </c>
      <c r="L202" s="33" t="s">
        <v>1631</v>
      </c>
      <c r="M202" s="34">
        <v>139900</v>
      </c>
      <c r="N202" s="37">
        <f t="shared" si="22"/>
        <v>0.7</v>
      </c>
      <c r="O202" s="34">
        <f t="shared" si="18"/>
        <v>41970</v>
      </c>
      <c r="P202" s="34" t="str">
        <f t="shared" si="23"/>
        <v>PERCENTAGE</v>
      </c>
    </row>
    <row r="203" spans="1:16" s="6" customFormat="1" x14ac:dyDescent="0.25">
      <c r="A203" s="33" t="str">
        <f t="shared" si="19"/>
        <v>2024 JAN-JUN D70</v>
      </c>
      <c r="B203" s="8">
        <f t="shared" si="20"/>
        <v>46099</v>
      </c>
      <c r="C203" s="8">
        <f t="shared" si="21"/>
        <v>46113</v>
      </c>
      <c r="D203" s="33">
        <v>3272</v>
      </c>
      <c r="E203" s="33">
        <v>336</v>
      </c>
      <c r="F203" s="33">
        <v>4</v>
      </c>
      <c r="G203" s="33">
        <v>1</v>
      </c>
      <c r="H203" s="33">
        <v>81379</v>
      </c>
      <c r="I203" s="33" t="s">
        <v>104</v>
      </c>
      <c r="J203" s="33">
        <v>15499544</v>
      </c>
      <c r="K203" s="33" t="s">
        <v>1629</v>
      </c>
      <c r="L203" s="33" t="s">
        <v>1632</v>
      </c>
      <c r="M203" s="34">
        <v>139900</v>
      </c>
      <c r="N203" s="37">
        <f t="shared" si="22"/>
        <v>0.7</v>
      </c>
      <c r="O203" s="34">
        <f t="shared" si="18"/>
        <v>41970</v>
      </c>
      <c r="P203" s="34" t="str">
        <f t="shared" si="23"/>
        <v>PERCENTAGE</v>
      </c>
    </row>
    <row r="204" spans="1:16" s="6" customFormat="1" x14ac:dyDescent="0.25">
      <c r="A204" s="33" t="str">
        <f t="shared" si="19"/>
        <v>2024 JAN-JUN D70</v>
      </c>
      <c r="B204" s="8">
        <f t="shared" si="20"/>
        <v>46099</v>
      </c>
      <c r="C204" s="8">
        <f t="shared" si="21"/>
        <v>46113</v>
      </c>
      <c r="D204" s="33">
        <v>3272</v>
      </c>
      <c r="E204" s="33">
        <v>336</v>
      </c>
      <c r="F204" s="33">
        <v>4</v>
      </c>
      <c r="G204" s="33">
        <v>1</v>
      </c>
      <c r="H204" s="33">
        <v>81379</v>
      </c>
      <c r="I204" s="33" t="s">
        <v>104</v>
      </c>
      <c r="J204" s="33">
        <v>15499553</v>
      </c>
      <c r="K204" s="33" t="s">
        <v>1629</v>
      </c>
      <c r="L204" s="33" t="s">
        <v>1633</v>
      </c>
      <c r="M204" s="34">
        <v>139900</v>
      </c>
      <c r="N204" s="37">
        <f t="shared" si="22"/>
        <v>0.7</v>
      </c>
      <c r="O204" s="34">
        <f t="shared" si="18"/>
        <v>41970</v>
      </c>
      <c r="P204" s="34" t="str">
        <f t="shared" si="23"/>
        <v>PERCENTAGE</v>
      </c>
    </row>
    <row r="205" spans="1:16" s="6" customFormat="1" x14ac:dyDescent="0.25">
      <c r="A205" s="33" t="str">
        <f t="shared" si="19"/>
        <v>2024 JAN-JUN D70</v>
      </c>
      <c r="B205" s="8">
        <f t="shared" si="20"/>
        <v>46099</v>
      </c>
      <c r="C205" s="8">
        <f t="shared" si="21"/>
        <v>46113</v>
      </c>
      <c r="D205" s="33">
        <v>3272</v>
      </c>
      <c r="E205" s="33">
        <v>336</v>
      </c>
      <c r="F205" s="33">
        <v>4</v>
      </c>
      <c r="G205" s="33">
        <v>1</v>
      </c>
      <c r="H205" s="33">
        <v>81379</v>
      </c>
      <c r="I205" s="33" t="s">
        <v>104</v>
      </c>
      <c r="J205" s="33">
        <v>15499562</v>
      </c>
      <c r="K205" s="33" t="s">
        <v>1629</v>
      </c>
      <c r="L205" s="33" t="s">
        <v>1634</v>
      </c>
      <c r="M205" s="34">
        <v>139900</v>
      </c>
      <c r="N205" s="37">
        <f t="shared" si="22"/>
        <v>0.7</v>
      </c>
      <c r="O205" s="34">
        <f t="shared" si="18"/>
        <v>41970</v>
      </c>
      <c r="P205" s="34" t="str">
        <f t="shared" si="23"/>
        <v>PERCENTAGE</v>
      </c>
    </row>
    <row r="206" spans="1:16" s="6" customFormat="1" x14ac:dyDescent="0.25">
      <c r="A206" s="33" t="str">
        <f t="shared" si="19"/>
        <v>2024 JAN-JUN D70</v>
      </c>
      <c r="B206" s="8">
        <f t="shared" si="20"/>
        <v>46099</v>
      </c>
      <c r="C206" s="8">
        <f t="shared" si="21"/>
        <v>46113</v>
      </c>
      <c r="D206" s="33">
        <v>3272</v>
      </c>
      <c r="E206" s="33">
        <v>336</v>
      </c>
      <c r="F206" s="33">
        <v>4</v>
      </c>
      <c r="G206" s="33">
        <v>1</v>
      </c>
      <c r="H206" s="33">
        <v>81676</v>
      </c>
      <c r="I206" s="33" t="s">
        <v>104</v>
      </c>
      <c r="J206" s="33">
        <v>15499026</v>
      </c>
      <c r="K206" s="33" t="s">
        <v>1695</v>
      </c>
      <c r="L206" s="33" t="s">
        <v>1696</v>
      </c>
      <c r="M206" s="34">
        <v>139900</v>
      </c>
      <c r="N206" s="37">
        <f t="shared" si="22"/>
        <v>0.7</v>
      </c>
      <c r="O206" s="34">
        <f t="shared" si="18"/>
        <v>41970</v>
      </c>
      <c r="P206" s="34" t="str">
        <f t="shared" si="23"/>
        <v>PERCENTAGE</v>
      </c>
    </row>
    <row r="207" spans="1:16" s="6" customFormat="1" x14ac:dyDescent="0.25">
      <c r="A207" s="33" t="str">
        <f t="shared" si="19"/>
        <v>2024 JAN-JUN D70</v>
      </c>
      <c r="B207" s="8">
        <f t="shared" si="20"/>
        <v>46099</v>
      </c>
      <c r="C207" s="8">
        <f t="shared" si="21"/>
        <v>46113</v>
      </c>
      <c r="D207" s="33">
        <v>3272</v>
      </c>
      <c r="E207" s="33">
        <v>336</v>
      </c>
      <c r="F207" s="33">
        <v>4</v>
      </c>
      <c r="G207" s="33">
        <v>1</v>
      </c>
      <c r="H207" s="33">
        <v>81676</v>
      </c>
      <c r="I207" s="33" t="s">
        <v>104</v>
      </c>
      <c r="J207" s="33">
        <v>15499035</v>
      </c>
      <c r="K207" s="33" t="s">
        <v>1695</v>
      </c>
      <c r="L207" s="33" t="s">
        <v>1697</v>
      </c>
      <c r="M207" s="34">
        <v>139900</v>
      </c>
      <c r="N207" s="37">
        <f t="shared" si="22"/>
        <v>0.7</v>
      </c>
      <c r="O207" s="34">
        <f t="shared" si="18"/>
        <v>41970</v>
      </c>
      <c r="P207" s="34" t="str">
        <f t="shared" si="23"/>
        <v>PERCENTAGE</v>
      </c>
    </row>
    <row r="208" spans="1:16" s="6" customFormat="1" x14ac:dyDescent="0.25">
      <c r="A208" s="33" t="str">
        <f t="shared" si="19"/>
        <v>2024 JAN-JUN D70</v>
      </c>
      <c r="B208" s="8">
        <f t="shared" si="20"/>
        <v>46099</v>
      </c>
      <c r="C208" s="8">
        <f t="shared" si="21"/>
        <v>46113</v>
      </c>
      <c r="D208" s="33">
        <v>3272</v>
      </c>
      <c r="E208" s="33">
        <v>336</v>
      </c>
      <c r="F208" s="33">
        <v>4</v>
      </c>
      <c r="G208" s="33">
        <v>1</v>
      </c>
      <c r="H208" s="33">
        <v>81676</v>
      </c>
      <c r="I208" s="33" t="s">
        <v>104</v>
      </c>
      <c r="J208" s="33">
        <v>15499044</v>
      </c>
      <c r="K208" s="33" t="s">
        <v>1695</v>
      </c>
      <c r="L208" s="33" t="s">
        <v>1698</v>
      </c>
      <c r="M208" s="34">
        <v>139900</v>
      </c>
      <c r="N208" s="37">
        <f t="shared" si="22"/>
        <v>0.7</v>
      </c>
      <c r="O208" s="34">
        <f t="shared" si="18"/>
        <v>41970</v>
      </c>
      <c r="P208" s="34" t="str">
        <f t="shared" si="23"/>
        <v>PERCENTAGE</v>
      </c>
    </row>
    <row r="209" spans="1:16" s="6" customFormat="1" x14ac:dyDescent="0.25">
      <c r="A209" s="33" t="str">
        <f t="shared" si="19"/>
        <v>2024 JAN-JUN D70</v>
      </c>
      <c r="B209" s="8">
        <f t="shared" si="20"/>
        <v>46099</v>
      </c>
      <c r="C209" s="8">
        <f t="shared" si="21"/>
        <v>46113</v>
      </c>
      <c r="D209" s="33">
        <v>3272</v>
      </c>
      <c r="E209" s="33">
        <v>336</v>
      </c>
      <c r="F209" s="33">
        <v>4</v>
      </c>
      <c r="G209" s="33">
        <v>1</v>
      </c>
      <c r="H209" s="33">
        <v>81676</v>
      </c>
      <c r="I209" s="33" t="s">
        <v>104</v>
      </c>
      <c r="J209" s="33">
        <v>15499053</v>
      </c>
      <c r="K209" s="33" t="s">
        <v>1695</v>
      </c>
      <c r="L209" s="33" t="s">
        <v>1699</v>
      </c>
      <c r="M209" s="34">
        <v>139900</v>
      </c>
      <c r="N209" s="37">
        <f t="shared" si="22"/>
        <v>0.7</v>
      </c>
      <c r="O209" s="34">
        <f t="shared" si="18"/>
        <v>41970</v>
      </c>
      <c r="P209" s="34" t="str">
        <f t="shared" si="23"/>
        <v>PERCENTAGE</v>
      </c>
    </row>
    <row r="210" spans="1:16" s="6" customFormat="1" x14ac:dyDescent="0.25">
      <c r="A210" s="33" t="str">
        <f t="shared" si="19"/>
        <v>2024 JAN-JUN D70</v>
      </c>
      <c r="B210" s="8">
        <f t="shared" si="20"/>
        <v>46099</v>
      </c>
      <c r="C210" s="8">
        <f t="shared" si="21"/>
        <v>46113</v>
      </c>
      <c r="D210" s="33">
        <v>3272</v>
      </c>
      <c r="E210" s="33">
        <v>336</v>
      </c>
      <c r="F210" s="33">
        <v>4</v>
      </c>
      <c r="G210" s="33">
        <v>1</v>
      </c>
      <c r="H210" s="33">
        <v>81676</v>
      </c>
      <c r="I210" s="33" t="s">
        <v>104</v>
      </c>
      <c r="J210" s="33">
        <v>15499062</v>
      </c>
      <c r="K210" s="33" t="s">
        <v>1695</v>
      </c>
      <c r="L210" s="33" t="s">
        <v>1700</v>
      </c>
      <c r="M210" s="34">
        <v>139900</v>
      </c>
      <c r="N210" s="37">
        <f t="shared" si="22"/>
        <v>0.7</v>
      </c>
      <c r="O210" s="34">
        <f t="shared" si="18"/>
        <v>41970</v>
      </c>
      <c r="P210" s="34" t="str">
        <f t="shared" si="23"/>
        <v>PERCENTAGE</v>
      </c>
    </row>
    <row r="211" spans="1:16" s="6" customFormat="1" x14ac:dyDescent="0.25">
      <c r="A211" s="33" t="str">
        <f t="shared" si="19"/>
        <v>2024 JAN-JUN D70</v>
      </c>
      <c r="B211" s="8">
        <f t="shared" si="20"/>
        <v>46099</v>
      </c>
      <c r="C211" s="8">
        <f t="shared" si="21"/>
        <v>46113</v>
      </c>
      <c r="D211" s="33">
        <v>3272</v>
      </c>
      <c r="E211" s="33">
        <v>336</v>
      </c>
      <c r="F211" s="33">
        <v>4</v>
      </c>
      <c r="G211" s="33">
        <v>1</v>
      </c>
      <c r="H211" s="33">
        <v>81676</v>
      </c>
      <c r="I211" s="33" t="s">
        <v>104</v>
      </c>
      <c r="J211" s="33">
        <v>15499179</v>
      </c>
      <c r="K211" s="33" t="s">
        <v>1599</v>
      </c>
      <c r="L211" s="33" t="s">
        <v>1600</v>
      </c>
      <c r="M211" s="34">
        <v>139900</v>
      </c>
      <c r="N211" s="37">
        <f t="shared" si="22"/>
        <v>0.7</v>
      </c>
      <c r="O211" s="34">
        <f t="shared" si="18"/>
        <v>41970</v>
      </c>
      <c r="P211" s="34" t="str">
        <f t="shared" si="23"/>
        <v>PERCENTAGE</v>
      </c>
    </row>
    <row r="212" spans="1:16" s="6" customFormat="1" x14ac:dyDescent="0.25">
      <c r="A212" s="33" t="str">
        <f t="shared" si="19"/>
        <v>2024 JAN-JUN D70</v>
      </c>
      <c r="B212" s="8">
        <f t="shared" si="20"/>
        <v>46099</v>
      </c>
      <c r="C212" s="8">
        <f t="shared" si="21"/>
        <v>46113</v>
      </c>
      <c r="D212" s="33">
        <v>3272</v>
      </c>
      <c r="E212" s="33">
        <v>336</v>
      </c>
      <c r="F212" s="33">
        <v>4</v>
      </c>
      <c r="G212" s="33">
        <v>1</v>
      </c>
      <c r="H212" s="33">
        <v>81676</v>
      </c>
      <c r="I212" s="33" t="s">
        <v>104</v>
      </c>
      <c r="J212" s="33">
        <v>15499188</v>
      </c>
      <c r="K212" s="33" t="s">
        <v>1599</v>
      </c>
      <c r="L212" s="33" t="s">
        <v>1601</v>
      </c>
      <c r="M212" s="34">
        <v>139900</v>
      </c>
      <c r="N212" s="37">
        <f t="shared" si="22"/>
        <v>0.7</v>
      </c>
      <c r="O212" s="34">
        <f t="shared" si="18"/>
        <v>41970</v>
      </c>
      <c r="P212" s="34" t="str">
        <f t="shared" si="23"/>
        <v>PERCENTAGE</v>
      </c>
    </row>
    <row r="213" spans="1:16" s="6" customFormat="1" x14ac:dyDescent="0.25">
      <c r="A213" s="33" t="str">
        <f t="shared" si="19"/>
        <v>2024 JAN-JUN D70</v>
      </c>
      <c r="B213" s="8">
        <f t="shared" si="20"/>
        <v>46099</v>
      </c>
      <c r="C213" s="8">
        <f t="shared" si="21"/>
        <v>46113</v>
      </c>
      <c r="D213" s="33">
        <v>3272</v>
      </c>
      <c r="E213" s="33">
        <v>336</v>
      </c>
      <c r="F213" s="33">
        <v>4</v>
      </c>
      <c r="G213" s="33">
        <v>1</v>
      </c>
      <c r="H213" s="33">
        <v>81676</v>
      </c>
      <c r="I213" s="33" t="s">
        <v>104</v>
      </c>
      <c r="J213" s="33">
        <v>15499197</v>
      </c>
      <c r="K213" s="33" t="s">
        <v>1599</v>
      </c>
      <c r="L213" s="33" t="s">
        <v>1602</v>
      </c>
      <c r="M213" s="34">
        <v>139900</v>
      </c>
      <c r="N213" s="37">
        <f t="shared" si="22"/>
        <v>0.7</v>
      </c>
      <c r="O213" s="34">
        <f t="shared" si="18"/>
        <v>41970</v>
      </c>
      <c r="P213" s="34" t="str">
        <f t="shared" si="23"/>
        <v>PERCENTAGE</v>
      </c>
    </row>
    <row r="214" spans="1:16" s="6" customFormat="1" x14ac:dyDescent="0.25">
      <c r="A214" s="33" t="str">
        <f t="shared" si="19"/>
        <v>2024 JAN-JUN D70</v>
      </c>
      <c r="B214" s="8">
        <f t="shared" si="20"/>
        <v>46099</v>
      </c>
      <c r="C214" s="8">
        <f t="shared" si="21"/>
        <v>46113</v>
      </c>
      <c r="D214" s="33">
        <v>3272</v>
      </c>
      <c r="E214" s="33">
        <v>336</v>
      </c>
      <c r="F214" s="33">
        <v>4</v>
      </c>
      <c r="G214" s="33">
        <v>1</v>
      </c>
      <c r="H214" s="33">
        <v>81676</v>
      </c>
      <c r="I214" s="33" t="s">
        <v>104</v>
      </c>
      <c r="J214" s="33">
        <v>15499204</v>
      </c>
      <c r="K214" s="33" t="s">
        <v>1599</v>
      </c>
      <c r="L214" s="33" t="s">
        <v>1603</v>
      </c>
      <c r="M214" s="34">
        <v>139900</v>
      </c>
      <c r="N214" s="37">
        <f t="shared" si="22"/>
        <v>0.7</v>
      </c>
      <c r="O214" s="34">
        <f t="shared" si="18"/>
        <v>41970</v>
      </c>
      <c r="P214" s="34" t="str">
        <f t="shared" si="23"/>
        <v>PERCENTAGE</v>
      </c>
    </row>
    <row r="215" spans="1:16" s="6" customFormat="1" x14ac:dyDescent="0.25">
      <c r="A215" s="33" t="str">
        <f t="shared" si="19"/>
        <v>2024 JAN-JUN D70</v>
      </c>
      <c r="B215" s="8">
        <f t="shared" si="20"/>
        <v>46099</v>
      </c>
      <c r="C215" s="8">
        <f t="shared" si="21"/>
        <v>46113</v>
      </c>
      <c r="D215" s="33">
        <v>3272</v>
      </c>
      <c r="E215" s="33">
        <v>336</v>
      </c>
      <c r="F215" s="33">
        <v>4</v>
      </c>
      <c r="G215" s="33">
        <v>1</v>
      </c>
      <c r="H215" s="33">
        <v>81676</v>
      </c>
      <c r="I215" s="33" t="s">
        <v>104</v>
      </c>
      <c r="J215" s="33">
        <v>15499213</v>
      </c>
      <c r="K215" s="33" t="s">
        <v>1599</v>
      </c>
      <c r="L215" s="33" t="s">
        <v>1604</v>
      </c>
      <c r="M215" s="34">
        <v>139900</v>
      </c>
      <c r="N215" s="37">
        <f t="shared" si="22"/>
        <v>0.7</v>
      </c>
      <c r="O215" s="34">
        <f t="shared" si="18"/>
        <v>41970</v>
      </c>
      <c r="P215" s="34" t="str">
        <f t="shared" si="23"/>
        <v>PERCENTAGE</v>
      </c>
    </row>
    <row r="216" spans="1:16" s="6" customFormat="1" x14ac:dyDescent="0.25">
      <c r="A216" s="33" t="str">
        <f t="shared" si="19"/>
        <v>2024 JAN-JUN D70</v>
      </c>
      <c r="B216" s="8">
        <f t="shared" si="20"/>
        <v>46099</v>
      </c>
      <c r="C216" s="8">
        <f t="shared" si="21"/>
        <v>46113</v>
      </c>
      <c r="D216" s="33">
        <v>3272</v>
      </c>
      <c r="E216" s="33">
        <v>336</v>
      </c>
      <c r="F216" s="33">
        <v>4</v>
      </c>
      <c r="G216" s="33">
        <v>1</v>
      </c>
      <c r="H216" s="33">
        <v>81676</v>
      </c>
      <c r="I216" s="33" t="s">
        <v>104</v>
      </c>
      <c r="J216" s="33">
        <v>15499222</v>
      </c>
      <c r="K216" s="33" t="s">
        <v>1605</v>
      </c>
      <c r="L216" s="33" t="s">
        <v>1606</v>
      </c>
      <c r="M216" s="34">
        <v>139900</v>
      </c>
      <c r="N216" s="37">
        <f t="shared" si="22"/>
        <v>0.7</v>
      </c>
      <c r="O216" s="34">
        <f t="shared" si="18"/>
        <v>41970</v>
      </c>
      <c r="P216" s="34" t="str">
        <f t="shared" si="23"/>
        <v>PERCENTAGE</v>
      </c>
    </row>
    <row r="217" spans="1:16" s="6" customFormat="1" x14ac:dyDescent="0.25">
      <c r="A217" s="33" t="str">
        <f t="shared" si="19"/>
        <v>2024 JAN-JUN D70</v>
      </c>
      <c r="B217" s="8">
        <f t="shared" si="20"/>
        <v>46099</v>
      </c>
      <c r="C217" s="8">
        <f t="shared" si="21"/>
        <v>46113</v>
      </c>
      <c r="D217" s="33">
        <v>3272</v>
      </c>
      <c r="E217" s="33">
        <v>336</v>
      </c>
      <c r="F217" s="33">
        <v>4</v>
      </c>
      <c r="G217" s="33">
        <v>1</v>
      </c>
      <c r="H217" s="33">
        <v>81676</v>
      </c>
      <c r="I217" s="33" t="s">
        <v>104</v>
      </c>
      <c r="J217" s="33">
        <v>15499231</v>
      </c>
      <c r="K217" s="33" t="s">
        <v>1605</v>
      </c>
      <c r="L217" s="33" t="s">
        <v>1607</v>
      </c>
      <c r="M217" s="34">
        <v>139900</v>
      </c>
      <c r="N217" s="37">
        <f t="shared" si="22"/>
        <v>0.7</v>
      </c>
      <c r="O217" s="34">
        <f t="shared" si="18"/>
        <v>41970</v>
      </c>
      <c r="P217" s="34" t="str">
        <f t="shared" si="23"/>
        <v>PERCENTAGE</v>
      </c>
    </row>
    <row r="218" spans="1:16" s="6" customFormat="1" x14ac:dyDescent="0.25">
      <c r="A218" s="33" t="str">
        <f t="shared" si="19"/>
        <v>2024 JAN-JUN D70</v>
      </c>
      <c r="B218" s="8">
        <f t="shared" si="20"/>
        <v>46099</v>
      </c>
      <c r="C218" s="8">
        <f t="shared" si="21"/>
        <v>46113</v>
      </c>
      <c r="D218" s="33">
        <v>3272</v>
      </c>
      <c r="E218" s="33">
        <v>336</v>
      </c>
      <c r="F218" s="33">
        <v>4</v>
      </c>
      <c r="G218" s="33">
        <v>1</v>
      </c>
      <c r="H218" s="33">
        <v>81676</v>
      </c>
      <c r="I218" s="33" t="s">
        <v>104</v>
      </c>
      <c r="J218" s="33">
        <v>15499240</v>
      </c>
      <c r="K218" s="33" t="s">
        <v>1605</v>
      </c>
      <c r="L218" s="33" t="s">
        <v>1608</v>
      </c>
      <c r="M218" s="34">
        <v>139900</v>
      </c>
      <c r="N218" s="37">
        <f t="shared" si="22"/>
        <v>0.7</v>
      </c>
      <c r="O218" s="34">
        <f t="shared" si="18"/>
        <v>41970</v>
      </c>
      <c r="P218" s="34" t="str">
        <f t="shared" si="23"/>
        <v>PERCENTAGE</v>
      </c>
    </row>
    <row r="219" spans="1:16" s="6" customFormat="1" x14ac:dyDescent="0.25">
      <c r="A219" s="33" t="str">
        <f t="shared" si="19"/>
        <v>2024 JAN-JUN D70</v>
      </c>
      <c r="B219" s="8">
        <f t="shared" si="20"/>
        <v>46099</v>
      </c>
      <c r="C219" s="8">
        <f t="shared" si="21"/>
        <v>46113</v>
      </c>
      <c r="D219" s="33">
        <v>3272</v>
      </c>
      <c r="E219" s="33">
        <v>336</v>
      </c>
      <c r="F219" s="33">
        <v>4</v>
      </c>
      <c r="G219" s="33">
        <v>1</v>
      </c>
      <c r="H219" s="33">
        <v>81676</v>
      </c>
      <c r="I219" s="33" t="s">
        <v>104</v>
      </c>
      <c r="J219" s="33">
        <v>15499259</v>
      </c>
      <c r="K219" s="33" t="s">
        <v>1605</v>
      </c>
      <c r="L219" s="33" t="s">
        <v>1609</v>
      </c>
      <c r="M219" s="34">
        <v>139900</v>
      </c>
      <c r="N219" s="37">
        <f t="shared" si="22"/>
        <v>0.7</v>
      </c>
      <c r="O219" s="34">
        <f t="shared" si="18"/>
        <v>41970</v>
      </c>
      <c r="P219" s="34" t="str">
        <f t="shared" si="23"/>
        <v>PERCENTAGE</v>
      </c>
    </row>
    <row r="220" spans="1:16" s="6" customFormat="1" x14ac:dyDescent="0.25">
      <c r="A220" s="33" t="str">
        <f t="shared" si="19"/>
        <v>2024 JAN-JUN D70</v>
      </c>
      <c r="B220" s="8">
        <f t="shared" si="20"/>
        <v>46099</v>
      </c>
      <c r="C220" s="8">
        <f t="shared" si="21"/>
        <v>46113</v>
      </c>
      <c r="D220" s="33">
        <v>3272</v>
      </c>
      <c r="E220" s="33">
        <v>336</v>
      </c>
      <c r="F220" s="33">
        <v>4</v>
      </c>
      <c r="G220" s="33">
        <v>1</v>
      </c>
      <c r="H220" s="33">
        <v>81676</v>
      </c>
      <c r="I220" s="33" t="s">
        <v>104</v>
      </c>
      <c r="J220" s="33">
        <v>15499268</v>
      </c>
      <c r="K220" s="33" t="s">
        <v>1605</v>
      </c>
      <c r="L220" s="33" t="s">
        <v>1610</v>
      </c>
      <c r="M220" s="34">
        <v>139900</v>
      </c>
      <c r="N220" s="37">
        <f t="shared" si="22"/>
        <v>0.7</v>
      </c>
      <c r="O220" s="34">
        <f t="shared" si="18"/>
        <v>41970</v>
      </c>
      <c r="P220" s="34" t="str">
        <f t="shared" si="23"/>
        <v>PERCENTAGE</v>
      </c>
    </row>
    <row r="221" spans="1:16" s="6" customFormat="1" x14ac:dyDescent="0.25">
      <c r="A221" s="33" t="str">
        <f t="shared" si="19"/>
        <v>2024 JAN-JUN D70</v>
      </c>
      <c r="B221" s="8">
        <f t="shared" si="20"/>
        <v>46099</v>
      </c>
      <c r="C221" s="8">
        <f t="shared" si="21"/>
        <v>46113</v>
      </c>
      <c r="D221" s="33">
        <v>3272</v>
      </c>
      <c r="E221" s="33">
        <v>336</v>
      </c>
      <c r="F221" s="33">
        <v>4</v>
      </c>
      <c r="G221" s="33">
        <v>1</v>
      </c>
      <c r="H221" s="33">
        <v>81379</v>
      </c>
      <c r="I221" s="33" t="s">
        <v>104</v>
      </c>
      <c r="J221" s="33">
        <v>15499722</v>
      </c>
      <c r="K221" s="33" t="s">
        <v>1635</v>
      </c>
      <c r="L221" s="33" t="s">
        <v>1636</v>
      </c>
      <c r="M221" s="34">
        <v>149900</v>
      </c>
      <c r="N221" s="37">
        <f t="shared" si="22"/>
        <v>0.7</v>
      </c>
      <c r="O221" s="34">
        <f t="shared" si="18"/>
        <v>44970</v>
      </c>
      <c r="P221" s="34" t="str">
        <f t="shared" si="23"/>
        <v>PERCENTAGE</v>
      </c>
    </row>
    <row r="222" spans="1:16" s="6" customFormat="1" x14ac:dyDescent="0.25">
      <c r="A222" s="33" t="str">
        <f t="shared" si="19"/>
        <v>2024 JAN-JUN D70</v>
      </c>
      <c r="B222" s="8">
        <f t="shared" si="20"/>
        <v>46099</v>
      </c>
      <c r="C222" s="8">
        <f t="shared" si="21"/>
        <v>46113</v>
      </c>
      <c r="D222" s="33">
        <v>3272</v>
      </c>
      <c r="E222" s="33">
        <v>336</v>
      </c>
      <c r="F222" s="33">
        <v>4</v>
      </c>
      <c r="G222" s="33">
        <v>1</v>
      </c>
      <c r="H222" s="33">
        <v>81379</v>
      </c>
      <c r="I222" s="33" t="s">
        <v>104</v>
      </c>
      <c r="J222" s="33">
        <v>15499731</v>
      </c>
      <c r="K222" s="33" t="s">
        <v>1635</v>
      </c>
      <c r="L222" s="33" t="s">
        <v>1637</v>
      </c>
      <c r="M222" s="34">
        <v>149900</v>
      </c>
      <c r="N222" s="37">
        <f t="shared" si="22"/>
        <v>0.7</v>
      </c>
      <c r="O222" s="34">
        <f t="shared" si="18"/>
        <v>44970</v>
      </c>
      <c r="P222" s="34" t="str">
        <f t="shared" si="23"/>
        <v>PERCENTAGE</v>
      </c>
    </row>
    <row r="223" spans="1:16" s="6" customFormat="1" x14ac:dyDescent="0.25">
      <c r="A223" s="33" t="str">
        <f t="shared" si="19"/>
        <v>2024 JAN-JUN D70</v>
      </c>
      <c r="B223" s="8">
        <f t="shared" si="20"/>
        <v>46099</v>
      </c>
      <c r="C223" s="8">
        <f t="shared" si="21"/>
        <v>46113</v>
      </c>
      <c r="D223" s="33">
        <v>3272</v>
      </c>
      <c r="E223" s="33">
        <v>336</v>
      </c>
      <c r="F223" s="33">
        <v>4</v>
      </c>
      <c r="G223" s="33">
        <v>1</v>
      </c>
      <c r="H223" s="33">
        <v>81379</v>
      </c>
      <c r="I223" s="33" t="s">
        <v>104</v>
      </c>
      <c r="J223" s="33">
        <v>15499740</v>
      </c>
      <c r="K223" s="33" t="s">
        <v>1635</v>
      </c>
      <c r="L223" s="33" t="s">
        <v>1638</v>
      </c>
      <c r="M223" s="34">
        <v>149900</v>
      </c>
      <c r="N223" s="37">
        <f t="shared" si="22"/>
        <v>0.7</v>
      </c>
      <c r="O223" s="34">
        <f t="shared" si="18"/>
        <v>44970</v>
      </c>
      <c r="P223" s="34" t="str">
        <f t="shared" si="23"/>
        <v>PERCENTAGE</v>
      </c>
    </row>
    <row r="224" spans="1:16" s="6" customFormat="1" x14ac:dyDescent="0.25">
      <c r="A224" s="33" t="str">
        <f t="shared" si="19"/>
        <v>2024 JAN-JUN D70</v>
      </c>
      <c r="B224" s="8">
        <f t="shared" si="20"/>
        <v>46099</v>
      </c>
      <c r="C224" s="8">
        <f t="shared" si="21"/>
        <v>46113</v>
      </c>
      <c r="D224" s="33">
        <v>3272</v>
      </c>
      <c r="E224" s="33">
        <v>336</v>
      </c>
      <c r="F224" s="33">
        <v>4</v>
      </c>
      <c r="G224" s="33">
        <v>1</v>
      </c>
      <c r="H224" s="33">
        <v>81379</v>
      </c>
      <c r="I224" s="33" t="s">
        <v>104</v>
      </c>
      <c r="J224" s="33">
        <v>15499759</v>
      </c>
      <c r="K224" s="33" t="s">
        <v>1635</v>
      </c>
      <c r="L224" s="33" t="s">
        <v>1639</v>
      </c>
      <c r="M224" s="34">
        <v>149900</v>
      </c>
      <c r="N224" s="37">
        <f t="shared" si="22"/>
        <v>0.7</v>
      </c>
      <c r="O224" s="34">
        <f t="shared" si="18"/>
        <v>44970</v>
      </c>
      <c r="P224" s="34" t="str">
        <f t="shared" si="23"/>
        <v>PERCENTAGE</v>
      </c>
    </row>
    <row r="225" spans="1:16" s="6" customFormat="1" x14ac:dyDescent="0.25">
      <c r="A225" s="33" t="str">
        <f t="shared" si="19"/>
        <v>2024 JAN-JUN D70</v>
      </c>
      <c r="B225" s="8">
        <f t="shared" si="20"/>
        <v>46099</v>
      </c>
      <c r="C225" s="8">
        <f t="shared" si="21"/>
        <v>46113</v>
      </c>
      <c r="D225" s="33">
        <v>3272</v>
      </c>
      <c r="E225" s="33">
        <v>336</v>
      </c>
      <c r="F225" s="33">
        <v>4</v>
      </c>
      <c r="G225" s="33">
        <v>1</v>
      </c>
      <c r="H225" s="33">
        <v>81379</v>
      </c>
      <c r="I225" s="33" t="s">
        <v>104</v>
      </c>
      <c r="J225" s="33">
        <v>15499768</v>
      </c>
      <c r="K225" s="33" t="s">
        <v>1635</v>
      </c>
      <c r="L225" s="33" t="s">
        <v>1640</v>
      </c>
      <c r="M225" s="34">
        <v>149900</v>
      </c>
      <c r="N225" s="37">
        <f t="shared" si="22"/>
        <v>0.7</v>
      </c>
      <c r="O225" s="34">
        <f t="shared" si="18"/>
        <v>44970</v>
      </c>
      <c r="P225" s="34" t="str">
        <f t="shared" si="23"/>
        <v>PERCENTAGE</v>
      </c>
    </row>
    <row r="226" spans="1:16" s="6" customFormat="1" x14ac:dyDescent="0.25">
      <c r="A226" s="33" t="str">
        <f t="shared" si="19"/>
        <v>2024 JAN-JUN D70</v>
      </c>
      <c r="B226" s="8">
        <f t="shared" si="20"/>
        <v>46099</v>
      </c>
      <c r="C226" s="8">
        <f t="shared" si="21"/>
        <v>46113</v>
      </c>
      <c r="D226" s="33">
        <v>3272</v>
      </c>
      <c r="E226" s="33">
        <v>336</v>
      </c>
      <c r="F226" s="33">
        <v>4</v>
      </c>
      <c r="G226" s="33">
        <v>1</v>
      </c>
      <c r="H226" s="33">
        <v>81379</v>
      </c>
      <c r="I226" s="33" t="s">
        <v>104</v>
      </c>
      <c r="J226" s="33">
        <v>16623095</v>
      </c>
      <c r="K226" s="33" t="s">
        <v>1815</v>
      </c>
      <c r="L226" s="33" t="s">
        <v>1816</v>
      </c>
      <c r="M226" s="34">
        <v>139900</v>
      </c>
      <c r="N226" s="37">
        <f t="shared" si="22"/>
        <v>0.7</v>
      </c>
      <c r="O226" s="34">
        <f t="shared" si="18"/>
        <v>41970</v>
      </c>
      <c r="P226" s="34" t="str">
        <f t="shared" si="23"/>
        <v>PERCENTAGE</v>
      </c>
    </row>
    <row r="227" spans="1:16" s="6" customFormat="1" x14ac:dyDescent="0.25">
      <c r="A227" s="33" t="str">
        <f t="shared" si="19"/>
        <v>2024 JAN-JUN D70</v>
      </c>
      <c r="B227" s="8">
        <f t="shared" si="20"/>
        <v>46099</v>
      </c>
      <c r="C227" s="8">
        <f t="shared" si="21"/>
        <v>46113</v>
      </c>
      <c r="D227" s="33">
        <v>3272</v>
      </c>
      <c r="E227" s="33">
        <v>336</v>
      </c>
      <c r="F227" s="33">
        <v>4</v>
      </c>
      <c r="G227" s="33">
        <v>1</v>
      </c>
      <c r="H227" s="33">
        <v>81379</v>
      </c>
      <c r="I227" s="33" t="s">
        <v>104</v>
      </c>
      <c r="J227" s="33">
        <v>16623102</v>
      </c>
      <c r="K227" s="33" t="s">
        <v>1815</v>
      </c>
      <c r="L227" s="33" t="s">
        <v>1817</v>
      </c>
      <c r="M227" s="34">
        <v>139900</v>
      </c>
      <c r="N227" s="37">
        <f t="shared" si="22"/>
        <v>0.7</v>
      </c>
      <c r="O227" s="34">
        <f t="shared" si="18"/>
        <v>41970</v>
      </c>
      <c r="P227" s="34" t="str">
        <f t="shared" si="23"/>
        <v>PERCENTAGE</v>
      </c>
    </row>
    <row r="228" spans="1:16" s="6" customFormat="1" x14ac:dyDescent="0.25">
      <c r="A228" s="33" t="str">
        <f t="shared" si="19"/>
        <v>2024 JAN-JUN D70</v>
      </c>
      <c r="B228" s="8">
        <f t="shared" si="20"/>
        <v>46099</v>
      </c>
      <c r="C228" s="8">
        <f t="shared" si="21"/>
        <v>46113</v>
      </c>
      <c r="D228" s="33">
        <v>3272</v>
      </c>
      <c r="E228" s="33">
        <v>336</v>
      </c>
      <c r="F228" s="33">
        <v>4</v>
      </c>
      <c r="G228" s="33">
        <v>1</v>
      </c>
      <c r="H228" s="33">
        <v>81379</v>
      </c>
      <c r="I228" s="33" t="s">
        <v>104</v>
      </c>
      <c r="J228" s="33">
        <v>16623111</v>
      </c>
      <c r="K228" s="33" t="s">
        <v>1815</v>
      </c>
      <c r="L228" s="33" t="s">
        <v>1818</v>
      </c>
      <c r="M228" s="34">
        <v>139900</v>
      </c>
      <c r="N228" s="37">
        <f t="shared" si="22"/>
        <v>0.7</v>
      </c>
      <c r="O228" s="34">
        <f t="shared" si="18"/>
        <v>41970</v>
      </c>
      <c r="P228" s="34" t="str">
        <f t="shared" si="23"/>
        <v>PERCENTAGE</v>
      </c>
    </row>
    <row r="229" spans="1:16" s="6" customFormat="1" x14ac:dyDescent="0.25">
      <c r="A229" s="33" t="str">
        <f t="shared" si="19"/>
        <v>2024 JAN-JUN D70</v>
      </c>
      <c r="B229" s="8">
        <f t="shared" si="20"/>
        <v>46099</v>
      </c>
      <c r="C229" s="8">
        <f t="shared" si="21"/>
        <v>46113</v>
      </c>
      <c r="D229" s="33">
        <v>3272</v>
      </c>
      <c r="E229" s="33">
        <v>336</v>
      </c>
      <c r="F229" s="33">
        <v>4</v>
      </c>
      <c r="G229" s="33">
        <v>1</v>
      </c>
      <c r="H229" s="33">
        <v>81379</v>
      </c>
      <c r="I229" s="33" t="s">
        <v>104</v>
      </c>
      <c r="J229" s="33">
        <v>16623120</v>
      </c>
      <c r="K229" s="33" t="s">
        <v>1815</v>
      </c>
      <c r="L229" s="33" t="s">
        <v>1819</v>
      </c>
      <c r="M229" s="34">
        <v>139900</v>
      </c>
      <c r="N229" s="37">
        <f t="shared" si="22"/>
        <v>0.7</v>
      </c>
      <c r="O229" s="34">
        <f t="shared" si="18"/>
        <v>41970</v>
      </c>
      <c r="P229" s="34" t="str">
        <f t="shared" si="23"/>
        <v>PERCENTAGE</v>
      </c>
    </row>
    <row r="230" spans="1:16" s="6" customFormat="1" x14ac:dyDescent="0.25">
      <c r="A230" s="33" t="str">
        <f t="shared" si="19"/>
        <v>2024 JAN-JUN D70</v>
      </c>
      <c r="B230" s="8">
        <f t="shared" si="20"/>
        <v>46099</v>
      </c>
      <c r="C230" s="8">
        <f t="shared" si="21"/>
        <v>46113</v>
      </c>
      <c r="D230" s="33">
        <v>3272</v>
      </c>
      <c r="E230" s="33">
        <v>336</v>
      </c>
      <c r="F230" s="33">
        <v>4</v>
      </c>
      <c r="G230" s="33">
        <v>1</v>
      </c>
      <c r="H230" s="33">
        <v>81379</v>
      </c>
      <c r="I230" s="33" t="s">
        <v>104</v>
      </c>
      <c r="J230" s="33">
        <v>16623139</v>
      </c>
      <c r="K230" s="33" t="s">
        <v>1815</v>
      </c>
      <c r="L230" s="33" t="s">
        <v>1820</v>
      </c>
      <c r="M230" s="34">
        <v>139900</v>
      </c>
      <c r="N230" s="37">
        <f t="shared" si="22"/>
        <v>0.7</v>
      </c>
      <c r="O230" s="34">
        <f t="shared" si="18"/>
        <v>41970</v>
      </c>
      <c r="P230" s="34" t="str">
        <f t="shared" si="23"/>
        <v>PERCENTAGE</v>
      </c>
    </row>
    <row r="231" spans="1:16" s="6" customFormat="1" x14ac:dyDescent="0.25">
      <c r="A231" s="33" t="str">
        <f t="shared" si="19"/>
        <v>2024 JAN-JUN D70</v>
      </c>
      <c r="B231" s="8">
        <f t="shared" si="20"/>
        <v>46099</v>
      </c>
      <c r="C231" s="8">
        <f t="shared" si="21"/>
        <v>46113</v>
      </c>
      <c r="D231" s="33">
        <v>3272</v>
      </c>
      <c r="E231" s="33">
        <v>336</v>
      </c>
      <c r="F231" s="33">
        <v>4</v>
      </c>
      <c r="G231" s="33">
        <v>1</v>
      </c>
      <c r="H231" s="33">
        <v>81379</v>
      </c>
      <c r="I231" s="33" t="s">
        <v>104</v>
      </c>
      <c r="J231" s="33">
        <v>16623148</v>
      </c>
      <c r="K231" s="33" t="s">
        <v>1815</v>
      </c>
      <c r="L231" s="33" t="s">
        <v>1821</v>
      </c>
      <c r="M231" s="34">
        <v>139900</v>
      </c>
      <c r="N231" s="37">
        <f t="shared" si="22"/>
        <v>0.7</v>
      </c>
      <c r="O231" s="34">
        <f t="shared" si="18"/>
        <v>41970</v>
      </c>
      <c r="P231" s="34" t="str">
        <f t="shared" si="23"/>
        <v>PERCENTAGE</v>
      </c>
    </row>
    <row r="232" spans="1:16" s="6" customFormat="1" x14ac:dyDescent="0.25">
      <c r="A232" s="33" t="str">
        <f t="shared" si="19"/>
        <v>2024 JAN-JUN D70</v>
      </c>
      <c r="B232" s="8">
        <f t="shared" si="20"/>
        <v>46099</v>
      </c>
      <c r="C232" s="8">
        <f t="shared" si="21"/>
        <v>46113</v>
      </c>
      <c r="D232" s="33">
        <v>3272</v>
      </c>
      <c r="E232" s="33">
        <v>336</v>
      </c>
      <c r="F232" s="33">
        <v>4</v>
      </c>
      <c r="G232" s="33">
        <v>1</v>
      </c>
      <c r="H232" s="33">
        <v>81379</v>
      </c>
      <c r="I232" s="33" t="s">
        <v>104</v>
      </c>
      <c r="J232" s="33">
        <v>16623157</v>
      </c>
      <c r="K232" s="33" t="s">
        <v>1815</v>
      </c>
      <c r="L232" s="33" t="s">
        <v>1822</v>
      </c>
      <c r="M232" s="34">
        <v>139900</v>
      </c>
      <c r="N232" s="37">
        <f t="shared" si="22"/>
        <v>0.7</v>
      </c>
      <c r="O232" s="34">
        <f t="shared" si="18"/>
        <v>41970</v>
      </c>
      <c r="P232" s="34" t="str">
        <f t="shared" si="23"/>
        <v>PERCENTAGE</v>
      </c>
    </row>
    <row r="233" spans="1:16" s="6" customFormat="1" x14ac:dyDescent="0.25">
      <c r="A233" s="33" t="str">
        <f t="shared" si="19"/>
        <v>2024 JAN-JUN D70</v>
      </c>
      <c r="B233" s="8">
        <f t="shared" si="20"/>
        <v>46099</v>
      </c>
      <c r="C233" s="8">
        <f t="shared" si="21"/>
        <v>46113</v>
      </c>
      <c r="D233" s="33">
        <v>3272</v>
      </c>
      <c r="E233" s="33">
        <v>336</v>
      </c>
      <c r="F233" s="33">
        <v>4</v>
      </c>
      <c r="G233" s="33">
        <v>1</v>
      </c>
      <c r="H233" s="33">
        <v>81379</v>
      </c>
      <c r="I233" s="33" t="s">
        <v>104</v>
      </c>
      <c r="J233" s="33">
        <v>16623166</v>
      </c>
      <c r="K233" s="33" t="s">
        <v>1815</v>
      </c>
      <c r="L233" s="33" t="s">
        <v>3713</v>
      </c>
      <c r="M233" s="34">
        <v>139900</v>
      </c>
      <c r="N233" s="37">
        <f t="shared" si="22"/>
        <v>0.7</v>
      </c>
      <c r="O233" s="34">
        <f t="shared" si="18"/>
        <v>41970</v>
      </c>
      <c r="P233" s="34" t="str">
        <f t="shared" si="23"/>
        <v>PERCENTAGE</v>
      </c>
    </row>
    <row r="234" spans="1:16" s="6" customFormat="1" x14ac:dyDescent="0.25">
      <c r="A234" s="33" t="str">
        <f>A232</f>
        <v>2024 JAN-JUN D70</v>
      </c>
      <c r="B234" s="8">
        <f>B232</f>
        <v>46099</v>
      </c>
      <c r="C234" s="8">
        <f>C232</f>
        <v>46113</v>
      </c>
      <c r="D234" s="33">
        <v>3272</v>
      </c>
      <c r="E234" s="33">
        <v>336</v>
      </c>
      <c r="F234" s="33">
        <v>4</v>
      </c>
      <c r="G234" s="33">
        <v>1</v>
      </c>
      <c r="H234" s="33">
        <v>81379</v>
      </c>
      <c r="I234" s="33" t="s">
        <v>104</v>
      </c>
      <c r="J234" s="33">
        <v>16623175</v>
      </c>
      <c r="K234" s="33" t="s">
        <v>1823</v>
      </c>
      <c r="L234" s="33" t="s">
        <v>1824</v>
      </c>
      <c r="M234" s="34">
        <v>149900</v>
      </c>
      <c r="N234" s="37">
        <f t="shared" si="22"/>
        <v>0.7</v>
      </c>
      <c r="O234" s="34">
        <f t="shared" si="18"/>
        <v>44970</v>
      </c>
      <c r="P234" s="34" t="str">
        <f>P232</f>
        <v>PERCENTAGE</v>
      </c>
    </row>
    <row r="235" spans="1:16" s="6" customFormat="1" x14ac:dyDescent="0.25">
      <c r="A235" s="33" t="str">
        <f t="shared" ref="A235:A298" si="24">A234</f>
        <v>2024 JAN-JUN D70</v>
      </c>
      <c r="B235" s="8">
        <f t="shared" ref="B235:B298" si="25">B234</f>
        <v>46099</v>
      </c>
      <c r="C235" s="8">
        <f t="shared" ref="C235:C298" si="26">C234</f>
        <v>46113</v>
      </c>
      <c r="D235" s="33">
        <v>3272</v>
      </c>
      <c r="E235" s="33">
        <v>336</v>
      </c>
      <c r="F235" s="33">
        <v>4</v>
      </c>
      <c r="G235" s="33">
        <v>1</v>
      </c>
      <c r="H235" s="33">
        <v>81379</v>
      </c>
      <c r="I235" s="33" t="s">
        <v>104</v>
      </c>
      <c r="J235" s="33">
        <v>16623184</v>
      </c>
      <c r="K235" s="33" t="s">
        <v>1823</v>
      </c>
      <c r="L235" s="33" t="s">
        <v>1825</v>
      </c>
      <c r="M235" s="34">
        <v>149900</v>
      </c>
      <c r="N235" s="37">
        <f t="shared" si="22"/>
        <v>0.7</v>
      </c>
      <c r="O235" s="34">
        <f t="shared" si="18"/>
        <v>44970</v>
      </c>
      <c r="P235" s="34" t="str">
        <f t="shared" ref="P235:P298" si="27">P234</f>
        <v>PERCENTAGE</v>
      </c>
    </row>
    <row r="236" spans="1:16" s="6" customFormat="1" x14ac:dyDescent="0.25">
      <c r="A236" s="33" t="str">
        <f t="shared" si="24"/>
        <v>2024 JAN-JUN D70</v>
      </c>
      <c r="B236" s="8">
        <f t="shared" si="25"/>
        <v>46099</v>
      </c>
      <c r="C236" s="8">
        <f t="shared" si="26"/>
        <v>46113</v>
      </c>
      <c r="D236" s="33">
        <v>3272</v>
      </c>
      <c r="E236" s="33">
        <v>336</v>
      </c>
      <c r="F236" s="33">
        <v>4</v>
      </c>
      <c r="G236" s="33">
        <v>1</v>
      </c>
      <c r="H236" s="33">
        <v>81379</v>
      </c>
      <c r="I236" s="33" t="s">
        <v>104</v>
      </c>
      <c r="J236" s="33">
        <v>16623193</v>
      </c>
      <c r="K236" s="33" t="s">
        <v>1823</v>
      </c>
      <c r="L236" s="33" t="s">
        <v>1826</v>
      </c>
      <c r="M236" s="34">
        <v>149900</v>
      </c>
      <c r="N236" s="37">
        <f t="shared" si="22"/>
        <v>0.7</v>
      </c>
      <c r="O236" s="34">
        <f t="shared" si="18"/>
        <v>44970</v>
      </c>
      <c r="P236" s="34" t="str">
        <f t="shared" si="27"/>
        <v>PERCENTAGE</v>
      </c>
    </row>
    <row r="237" spans="1:16" s="6" customFormat="1" x14ac:dyDescent="0.25">
      <c r="A237" s="33" t="str">
        <f t="shared" si="24"/>
        <v>2024 JAN-JUN D70</v>
      </c>
      <c r="B237" s="8">
        <f t="shared" si="25"/>
        <v>46099</v>
      </c>
      <c r="C237" s="8">
        <f t="shared" si="26"/>
        <v>46113</v>
      </c>
      <c r="D237" s="33">
        <v>3272</v>
      </c>
      <c r="E237" s="33">
        <v>336</v>
      </c>
      <c r="F237" s="33">
        <v>4</v>
      </c>
      <c r="G237" s="33">
        <v>1</v>
      </c>
      <c r="H237" s="33">
        <v>81379</v>
      </c>
      <c r="I237" s="33" t="s">
        <v>104</v>
      </c>
      <c r="J237" s="33">
        <v>16623200</v>
      </c>
      <c r="K237" s="33" t="s">
        <v>1823</v>
      </c>
      <c r="L237" s="33" t="s">
        <v>1827</v>
      </c>
      <c r="M237" s="34">
        <v>149900</v>
      </c>
      <c r="N237" s="37">
        <f t="shared" si="22"/>
        <v>0.7</v>
      </c>
      <c r="O237" s="34">
        <f t="shared" si="18"/>
        <v>44970</v>
      </c>
      <c r="P237" s="34" t="str">
        <f t="shared" si="27"/>
        <v>PERCENTAGE</v>
      </c>
    </row>
    <row r="238" spans="1:16" s="6" customFormat="1" x14ac:dyDescent="0.25">
      <c r="A238" s="33" t="str">
        <f t="shared" si="24"/>
        <v>2024 JAN-JUN D70</v>
      </c>
      <c r="B238" s="8">
        <f t="shared" si="25"/>
        <v>46099</v>
      </c>
      <c r="C238" s="8">
        <f t="shared" si="26"/>
        <v>46113</v>
      </c>
      <c r="D238" s="33">
        <v>3272</v>
      </c>
      <c r="E238" s="33">
        <v>336</v>
      </c>
      <c r="F238" s="33">
        <v>4</v>
      </c>
      <c r="G238" s="33">
        <v>1</v>
      </c>
      <c r="H238" s="33">
        <v>81379</v>
      </c>
      <c r="I238" s="33" t="s">
        <v>104</v>
      </c>
      <c r="J238" s="33">
        <v>16623237</v>
      </c>
      <c r="K238" s="33" t="s">
        <v>1823</v>
      </c>
      <c r="L238" s="33" t="s">
        <v>1828</v>
      </c>
      <c r="M238" s="34">
        <v>149900</v>
      </c>
      <c r="N238" s="37">
        <f t="shared" si="22"/>
        <v>0.7</v>
      </c>
      <c r="O238" s="34">
        <f t="shared" si="18"/>
        <v>44970</v>
      </c>
      <c r="P238" s="34" t="str">
        <f t="shared" si="27"/>
        <v>PERCENTAGE</v>
      </c>
    </row>
    <row r="239" spans="1:16" s="6" customFormat="1" x14ac:dyDescent="0.25">
      <c r="A239" s="33" t="str">
        <f t="shared" si="24"/>
        <v>2024 JAN-JUN D70</v>
      </c>
      <c r="B239" s="8">
        <f t="shared" si="25"/>
        <v>46099</v>
      </c>
      <c r="C239" s="8">
        <f t="shared" si="26"/>
        <v>46113</v>
      </c>
      <c r="D239" s="33">
        <v>3272</v>
      </c>
      <c r="E239" s="33">
        <v>336</v>
      </c>
      <c r="F239" s="33">
        <v>4</v>
      </c>
      <c r="G239" s="33">
        <v>1</v>
      </c>
      <c r="H239" s="33">
        <v>81379</v>
      </c>
      <c r="I239" s="33" t="s">
        <v>104</v>
      </c>
      <c r="J239" s="33">
        <v>16623246</v>
      </c>
      <c r="K239" s="33" t="s">
        <v>1823</v>
      </c>
      <c r="L239" s="33" t="s">
        <v>1829</v>
      </c>
      <c r="M239" s="34">
        <v>149900</v>
      </c>
      <c r="N239" s="37">
        <f t="shared" si="22"/>
        <v>0.7</v>
      </c>
      <c r="O239" s="34">
        <f t="shared" si="18"/>
        <v>44970</v>
      </c>
      <c r="P239" s="34" t="str">
        <f t="shared" si="27"/>
        <v>PERCENTAGE</v>
      </c>
    </row>
    <row r="240" spans="1:16" s="6" customFormat="1" x14ac:dyDescent="0.25">
      <c r="A240" s="33" t="str">
        <f t="shared" si="24"/>
        <v>2024 JAN-JUN D70</v>
      </c>
      <c r="B240" s="8">
        <f t="shared" si="25"/>
        <v>46099</v>
      </c>
      <c r="C240" s="8">
        <f t="shared" si="26"/>
        <v>46113</v>
      </c>
      <c r="D240" s="33">
        <v>3272</v>
      </c>
      <c r="E240" s="33">
        <v>336</v>
      </c>
      <c r="F240" s="33">
        <v>4</v>
      </c>
      <c r="G240" s="33">
        <v>1</v>
      </c>
      <c r="H240" s="33">
        <v>81379</v>
      </c>
      <c r="I240" s="33" t="s">
        <v>104</v>
      </c>
      <c r="J240" s="33">
        <v>16623273</v>
      </c>
      <c r="K240" s="33" t="s">
        <v>1830</v>
      </c>
      <c r="L240" s="33" t="s">
        <v>1831</v>
      </c>
      <c r="M240" s="34">
        <v>139900</v>
      </c>
      <c r="N240" s="37">
        <f t="shared" si="22"/>
        <v>0.7</v>
      </c>
      <c r="O240" s="34">
        <f t="shared" si="18"/>
        <v>41970</v>
      </c>
      <c r="P240" s="34" t="str">
        <f t="shared" si="27"/>
        <v>PERCENTAGE</v>
      </c>
    </row>
    <row r="241" spans="1:16" s="6" customFormat="1" x14ac:dyDescent="0.25">
      <c r="A241" s="33" t="str">
        <f t="shared" si="24"/>
        <v>2024 JAN-JUN D70</v>
      </c>
      <c r="B241" s="8">
        <f t="shared" si="25"/>
        <v>46099</v>
      </c>
      <c r="C241" s="8">
        <f t="shared" si="26"/>
        <v>46113</v>
      </c>
      <c r="D241" s="33">
        <v>3272</v>
      </c>
      <c r="E241" s="33">
        <v>336</v>
      </c>
      <c r="F241" s="33">
        <v>4</v>
      </c>
      <c r="G241" s="33">
        <v>1</v>
      </c>
      <c r="H241" s="33">
        <v>81379</v>
      </c>
      <c r="I241" s="33" t="s">
        <v>104</v>
      </c>
      <c r="J241" s="33">
        <v>16623282</v>
      </c>
      <c r="K241" s="33" t="s">
        <v>1830</v>
      </c>
      <c r="L241" s="33" t="s">
        <v>1832</v>
      </c>
      <c r="M241" s="34">
        <v>139900</v>
      </c>
      <c r="N241" s="37">
        <f t="shared" si="22"/>
        <v>0.7</v>
      </c>
      <c r="O241" s="34">
        <f t="shared" si="18"/>
        <v>41970</v>
      </c>
      <c r="P241" s="34" t="str">
        <f t="shared" si="27"/>
        <v>PERCENTAGE</v>
      </c>
    </row>
    <row r="242" spans="1:16" s="6" customFormat="1" x14ac:dyDescent="0.25">
      <c r="A242" s="33" t="str">
        <f t="shared" si="24"/>
        <v>2024 JAN-JUN D70</v>
      </c>
      <c r="B242" s="8">
        <f t="shared" si="25"/>
        <v>46099</v>
      </c>
      <c r="C242" s="8">
        <f t="shared" si="26"/>
        <v>46113</v>
      </c>
      <c r="D242" s="33">
        <v>3272</v>
      </c>
      <c r="E242" s="33">
        <v>336</v>
      </c>
      <c r="F242" s="33">
        <v>4</v>
      </c>
      <c r="G242" s="33">
        <v>1</v>
      </c>
      <c r="H242" s="33">
        <v>81379</v>
      </c>
      <c r="I242" s="33" t="s">
        <v>104</v>
      </c>
      <c r="J242" s="33">
        <v>16623291</v>
      </c>
      <c r="K242" s="33" t="s">
        <v>1830</v>
      </c>
      <c r="L242" s="33" t="s">
        <v>1833</v>
      </c>
      <c r="M242" s="34">
        <v>139900</v>
      </c>
      <c r="N242" s="37">
        <f t="shared" si="22"/>
        <v>0.7</v>
      </c>
      <c r="O242" s="34">
        <f t="shared" si="18"/>
        <v>41970</v>
      </c>
      <c r="P242" s="34" t="str">
        <f t="shared" si="27"/>
        <v>PERCENTAGE</v>
      </c>
    </row>
    <row r="243" spans="1:16" s="6" customFormat="1" x14ac:dyDescent="0.25">
      <c r="A243" s="33" t="str">
        <f t="shared" si="24"/>
        <v>2024 JAN-JUN D70</v>
      </c>
      <c r="B243" s="8">
        <f t="shared" si="25"/>
        <v>46099</v>
      </c>
      <c r="C243" s="8">
        <f t="shared" si="26"/>
        <v>46113</v>
      </c>
      <c r="D243" s="33">
        <v>3272</v>
      </c>
      <c r="E243" s="33">
        <v>336</v>
      </c>
      <c r="F243" s="33">
        <v>4</v>
      </c>
      <c r="G243" s="33">
        <v>1</v>
      </c>
      <c r="H243" s="33">
        <v>81379</v>
      </c>
      <c r="I243" s="33" t="s">
        <v>104</v>
      </c>
      <c r="J243" s="33">
        <v>16623308</v>
      </c>
      <c r="K243" s="33" t="s">
        <v>1830</v>
      </c>
      <c r="L243" s="33" t="s">
        <v>1834</v>
      </c>
      <c r="M243" s="34">
        <v>139900</v>
      </c>
      <c r="N243" s="37">
        <f t="shared" si="22"/>
        <v>0.7</v>
      </c>
      <c r="O243" s="34">
        <f t="shared" si="18"/>
        <v>41970</v>
      </c>
      <c r="P243" s="34" t="str">
        <f t="shared" si="27"/>
        <v>PERCENTAGE</v>
      </c>
    </row>
    <row r="244" spans="1:16" s="6" customFormat="1" x14ac:dyDescent="0.25">
      <c r="A244" s="33" t="str">
        <f t="shared" si="24"/>
        <v>2024 JAN-JUN D70</v>
      </c>
      <c r="B244" s="8">
        <f t="shared" si="25"/>
        <v>46099</v>
      </c>
      <c r="C244" s="8">
        <f t="shared" si="26"/>
        <v>46113</v>
      </c>
      <c r="D244" s="33">
        <v>3272</v>
      </c>
      <c r="E244" s="33">
        <v>336</v>
      </c>
      <c r="F244" s="33">
        <v>4</v>
      </c>
      <c r="G244" s="33">
        <v>1</v>
      </c>
      <c r="H244" s="33">
        <v>81379</v>
      </c>
      <c r="I244" s="33" t="s">
        <v>104</v>
      </c>
      <c r="J244" s="33">
        <v>16623317</v>
      </c>
      <c r="K244" s="33" t="s">
        <v>1830</v>
      </c>
      <c r="L244" s="33" t="s">
        <v>1835</v>
      </c>
      <c r="M244" s="34">
        <v>139900</v>
      </c>
      <c r="N244" s="37">
        <f t="shared" si="22"/>
        <v>0.7</v>
      </c>
      <c r="O244" s="34">
        <f t="shared" si="18"/>
        <v>41970</v>
      </c>
      <c r="P244" s="34" t="str">
        <f t="shared" si="27"/>
        <v>PERCENTAGE</v>
      </c>
    </row>
    <row r="245" spans="1:16" s="6" customFormat="1" x14ac:dyDescent="0.25">
      <c r="A245" s="33" t="str">
        <f t="shared" si="24"/>
        <v>2024 JAN-JUN D70</v>
      </c>
      <c r="B245" s="8">
        <f t="shared" si="25"/>
        <v>46099</v>
      </c>
      <c r="C245" s="8">
        <f t="shared" si="26"/>
        <v>46113</v>
      </c>
      <c r="D245" s="33">
        <v>3272</v>
      </c>
      <c r="E245" s="33">
        <v>336</v>
      </c>
      <c r="F245" s="33">
        <v>4</v>
      </c>
      <c r="G245" s="33">
        <v>1</v>
      </c>
      <c r="H245" s="33">
        <v>81379</v>
      </c>
      <c r="I245" s="33" t="s">
        <v>104</v>
      </c>
      <c r="J245" s="33">
        <v>16623326</v>
      </c>
      <c r="K245" s="33" t="s">
        <v>1830</v>
      </c>
      <c r="L245" s="33" t="s">
        <v>1836</v>
      </c>
      <c r="M245" s="34">
        <v>139900</v>
      </c>
      <c r="N245" s="37">
        <f t="shared" si="22"/>
        <v>0.7</v>
      </c>
      <c r="O245" s="34">
        <f t="shared" si="18"/>
        <v>41970</v>
      </c>
      <c r="P245" s="34" t="str">
        <f t="shared" si="27"/>
        <v>PERCENTAGE</v>
      </c>
    </row>
    <row r="246" spans="1:16" s="6" customFormat="1" x14ac:dyDescent="0.25">
      <c r="A246" s="33" t="str">
        <f t="shared" si="24"/>
        <v>2024 JAN-JUN D70</v>
      </c>
      <c r="B246" s="8">
        <f t="shared" si="25"/>
        <v>46099</v>
      </c>
      <c r="C246" s="8">
        <f t="shared" si="26"/>
        <v>46113</v>
      </c>
      <c r="D246" s="33">
        <v>3272</v>
      </c>
      <c r="E246" s="33">
        <v>336</v>
      </c>
      <c r="F246" s="33">
        <v>4</v>
      </c>
      <c r="G246" s="33">
        <v>1</v>
      </c>
      <c r="H246" s="33">
        <v>81379</v>
      </c>
      <c r="I246" s="33" t="s">
        <v>104</v>
      </c>
      <c r="J246" s="33">
        <v>16623335</v>
      </c>
      <c r="K246" s="33" t="s">
        <v>1830</v>
      </c>
      <c r="L246" s="33" t="s">
        <v>1837</v>
      </c>
      <c r="M246" s="34">
        <v>139900</v>
      </c>
      <c r="N246" s="37">
        <f t="shared" si="22"/>
        <v>0.7</v>
      </c>
      <c r="O246" s="34">
        <f t="shared" si="18"/>
        <v>41970</v>
      </c>
      <c r="P246" s="34" t="str">
        <f t="shared" si="27"/>
        <v>PERCENTAGE</v>
      </c>
    </row>
    <row r="247" spans="1:16" s="6" customFormat="1" x14ac:dyDescent="0.25">
      <c r="A247" s="33" t="str">
        <f t="shared" si="24"/>
        <v>2024 JAN-JUN D70</v>
      </c>
      <c r="B247" s="8">
        <f t="shared" si="25"/>
        <v>46099</v>
      </c>
      <c r="C247" s="8">
        <f t="shared" si="26"/>
        <v>46113</v>
      </c>
      <c r="D247" s="33">
        <v>3272</v>
      </c>
      <c r="E247" s="33">
        <v>336</v>
      </c>
      <c r="F247" s="33">
        <v>4</v>
      </c>
      <c r="G247" s="33">
        <v>1</v>
      </c>
      <c r="H247" s="33">
        <v>81379</v>
      </c>
      <c r="I247" s="33" t="s">
        <v>104</v>
      </c>
      <c r="J247" s="33">
        <v>16623344</v>
      </c>
      <c r="K247" s="33" t="s">
        <v>1830</v>
      </c>
      <c r="L247" s="33" t="s">
        <v>1838</v>
      </c>
      <c r="M247" s="34">
        <v>139900</v>
      </c>
      <c r="N247" s="37">
        <f t="shared" si="22"/>
        <v>0.7</v>
      </c>
      <c r="O247" s="34">
        <f t="shared" si="18"/>
        <v>41970</v>
      </c>
      <c r="P247" s="34" t="str">
        <f t="shared" si="27"/>
        <v>PERCENTAGE</v>
      </c>
    </row>
    <row r="248" spans="1:16" s="6" customFormat="1" x14ac:dyDescent="0.25">
      <c r="A248" s="33" t="str">
        <f t="shared" si="24"/>
        <v>2024 JAN-JUN D70</v>
      </c>
      <c r="B248" s="8">
        <f t="shared" si="25"/>
        <v>46099</v>
      </c>
      <c r="C248" s="8">
        <f t="shared" si="26"/>
        <v>46113</v>
      </c>
      <c r="D248" s="33">
        <v>3272</v>
      </c>
      <c r="E248" s="33">
        <v>336</v>
      </c>
      <c r="F248" s="33">
        <v>4</v>
      </c>
      <c r="G248" s="33">
        <v>1</v>
      </c>
      <c r="H248" s="33">
        <v>81379</v>
      </c>
      <c r="I248" s="33" t="s">
        <v>104</v>
      </c>
      <c r="J248" s="33">
        <v>16623353</v>
      </c>
      <c r="K248" s="33" t="s">
        <v>1839</v>
      </c>
      <c r="L248" s="33" t="s">
        <v>1840</v>
      </c>
      <c r="M248" s="34">
        <v>149900</v>
      </c>
      <c r="N248" s="37">
        <f t="shared" si="22"/>
        <v>0.7</v>
      </c>
      <c r="O248" s="34">
        <f t="shared" si="18"/>
        <v>44970</v>
      </c>
      <c r="P248" s="34" t="str">
        <f t="shared" si="27"/>
        <v>PERCENTAGE</v>
      </c>
    </row>
    <row r="249" spans="1:16" s="6" customFormat="1" x14ac:dyDescent="0.25">
      <c r="A249" s="33" t="str">
        <f t="shared" si="24"/>
        <v>2024 JAN-JUN D70</v>
      </c>
      <c r="B249" s="8">
        <f t="shared" si="25"/>
        <v>46099</v>
      </c>
      <c r="C249" s="8">
        <f t="shared" si="26"/>
        <v>46113</v>
      </c>
      <c r="D249" s="33">
        <v>3272</v>
      </c>
      <c r="E249" s="33">
        <v>336</v>
      </c>
      <c r="F249" s="33">
        <v>4</v>
      </c>
      <c r="G249" s="33">
        <v>1</v>
      </c>
      <c r="H249" s="33">
        <v>81379</v>
      </c>
      <c r="I249" s="33" t="s">
        <v>104</v>
      </c>
      <c r="J249" s="33">
        <v>16623362</v>
      </c>
      <c r="K249" s="33" t="s">
        <v>1839</v>
      </c>
      <c r="L249" s="33" t="s">
        <v>1841</v>
      </c>
      <c r="M249" s="34">
        <v>149900</v>
      </c>
      <c r="N249" s="37">
        <f t="shared" si="22"/>
        <v>0.7</v>
      </c>
      <c r="O249" s="34">
        <f t="shared" si="18"/>
        <v>44970</v>
      </c>
      <c r="P249" s="34" t="str">
        <f t="shared" si="27"/>
        <v>PERCENTAGE</v>
      </c>
    </row>
    <row r="250" spans="1:16" s="6" customFormat="1" x14ac:dyDescent="0.25">
      <c r="A250" s="33" t="str">
        <f t="shared" si="24"/>
        <v>2024 JAN-JUN D70</v>
      </c>
      <c r="B250" s="8">
        <f t="shared" si="25"/>
        <v>46099</v>
      </c>
      <c r="C250" s="8">
        <f t="shared" si="26"/>
        <v>46113</v>
      </c>
      <c r="D250" s="33">
        <v>3272</v>
      </c>
      <c r="E250" s="33">
        <v>336</v>
      </c>
      <c r="F250" s="33">
        <v>4</v>
      </c>
      <c r="G250" s="33">
        <v>1</v>
      </c>
      <c r="H250" s="33">
        <v>81379</v>
      </c>
      <c r="I250" s="33" t="s">
        <v>104</v>
      </c>
      <c r="J250" s="33">
        <v>16623371</v>
      </c>
      <c r="K250" s="33" t="s">
        <v>1839</v>
      </c>
      <c r="L250" s="33" t="s">
        <v>1842</v>
      </c>
      <c r="M250" s="34">
        <v>149900</v>
      </c>
      <c r="N250" s="37">
        <f t="shared" si="22"/>
        <v>0.7</v>
      </c>
      <c r="O250" s="34">
        <f t="shared" si="18"/>
        <v>44970</v>
      </c>
      <c r="P250" s="34" t="str">
        <f t="shared" si="27"/>
        <v>PERCENTAGE</v>
      </c>
    </row>
    <row r="251" spans="1:16" s="6" customFormat="1" x14ac:dyDescent="0.25">
      <c r="A251" s="33" t="str">
        <f t="shared" si="24"/>
        <v>2024 JAN-JUN D70</v>
      </c>
      <c r="B251" s="8">
        <f t="shared" si="25"/>
        <v>46099</v>
      </c>
      <c r="C251" s="8">
        <f t="shared" si="26"/>
        <v>46113</v>
      </c>
      <c r="D251" s="33">
        <v>3272</v>
      </c>
      <c r="E251" s="33">
        <v>336</v>
      </c>
      <c r="F251" s="33">
        <v>4</v>
      </c>
      <c r="G251" s="33">
        <v>1</v>
      </c>
      <c r="H251" s="33">
        <v>81379</v>
      </c>
      <c r="I251" s="33" t="s">
        <v>104</v>
      </c>
      <c r="J251" s="33">
        <v>16623380</v>
      </c>
      <c r="K251" s="33" t="s">
        <v>1839</v>
      </c>
      <c r="L251" s="33" t="s">
        <v>1843</v>
      </c>
      <c r="M251" s="34">
        <v>149900</v>
      </c>
      <c r="N251" s="37">
        <f t="shared" si="22"/>
        <v>0.7</v>
      </c>
      <c r="O251" s="34">
        <f t="shared" si="18"/>
        <v>44970</v>
      </c>
      <c r="P251" s="34" t="str">
        <f t="shared" si="27"/>
        <v>PERCENTAGE</v>
      </c>
    </row>
    <row r="252" spans="1:16" s="6" customFormat="1" x14ac:dyDescent="0.25">
      <c r="A252" s="33" t="str">
        <f t="shared" si="24"/>
        <v>2024 JAN-JUN D70</v>
      </c>
      <c r="B252" s="8">
        <f t="shared" si="25"/>
        <v>46099</v>
      </c>
      <c r="C252" s="8">
        <f t="shared" si="26"/>
        <v>46113</v>
      </c>
      <c r="D252" s="33">
        <v>3272</v>
      </c>
      <c r="E252" s="33">
        <v>336</v>
      </c>
      <c r="F252" s="33">
        <v>4</v>
      </c>
      <c r="G252" s="33">
        <v>1</v>
      </c>
      <c r="H252" s="33">
        <v>81379</v>
      </c>
      <c r="I252" s="33" t="s">
        <v>104</v>
      </c>
      <c r="J252" s="33">
        <v>16623399</v>
      </c>
      <c r="K252" s="33" t="s">
        <v>1839</v>
      </c>
      <c r="L252" s="33" t="s">
        <v>1844</v>
      </c>
      <c r="M252" s="34">
        <v>149900</v>
      </c>
      <c r="N252" s="37">
        <f t="shared" si="22"/>
        <v>0.7</v>
      </c>
      <c r="O252" s="34">
        <f t="shared" si="18"/>
        <v>44970</v>
      </c>
      <c r="P252" s="34" t="str">
        <f t="shared" si="27"/>
        <v>PERCENTAGE</v>
      </c>
    </row>
    <row r="253" spans="1:16" s="6" customFormat="1" x14ac:dyDescent="0.25">
      <c r="A253" s="33" t="str">
        <f t="shared" si="24"/>
        <v>2024 JAN-JUN D70</v>
      </c>
      <c r="B253" s="8">
        <f t="shared" si="25"/>
        <v>46099</v>
      </c>
      <c r="C253" s="8">
        <f t="shared" si="26"/>
        <v>46113</v>
      </c>
      <c r="D253" s="33">
        <v>3272</v>
      </c>
      <c r="E253" s="33">
        <v>336</v>
      </c>
      <c r="F253" s="33">
        <v>4</v>
      </c>
      <c r="G253" s="33">
        <v>1</v>
      </c>
      <c r="H253" s="33">
        <v>81379</v>
      </c>
      <c r="I253" s="33" t="s">
        <v>104</v>
      </c>
      <c r="J253" s="33">
        <v>16623406</v>
      </c>
      <c r="K253" s="33" t="s">
        <v>1839</v>
      </c>
      <c r="L253" s="33" t="s">
        <v>1845</v>
      </c>
      <c r="M253" s="34">
        <v>149900</v>
      </c>
      <c r="N253" s="37">
        <f t="shared" si="22"/>
        <v>0.7</v>
      </c>
      <c r="O253" s="34">
        <f t="shared" si="18"/>
        <v>44970</v>
      </c>
      <c r="P253" s="34" t="str">
        <f t="shared" si="27"/>
        <v>PERCENTAGE</v>
      </c>
    </row>
    <row r="254" spans="1:16" s="6" customFormat="1" x14ac:dyDescent="0.25">
      <c r="A254" s="33" t="str">
        <f t="shared" si="24"/>
        <v>2024 JAN-JUN D70</v>
      </c>
      <c r="B254" s="8">
        <f t="shared" si="25"/>
        <v>46099</v>
      </c>
      <c r="C254" s="8">
        <f t="shared" si="26"/>
        <v>46113</v>
      </c>
      <c r="D254" s="33">
        <v>3272</v>
      </c>
      <c r="E254" s="33">
        <v>336</v>
      </c>
      <c r="F254" s="33">
        <v>4</v>
      </c>
      <c r="G254" s="33">
        <v>1</v>
      </c>
      <c r="H254" s="33">
        <v>81379</v>
      </c>
      <c r="I254" s="33" t="s">
        <v>104</v>
      </c>
      <c r="J254" s="33">
        <v>16623415</v>
      </c>
      <c r="K254" s="33" t="s">
        <v>1839</v>
      </c>
      <c r="L254" s="33" t="s">
        <v>1846</v>
      </c>
      <c r="M254" s="34">
        <v>149900</v>
      </c>
      <c r="N254" s="37">
        <f t="shared" si="22"/>
        <v>0.7</v>
      </c>
      <c r="O254" s="34">
        <f t="shared" si="18"/>
        <v>44970</v>
      </c>
      <c r="P254" s="34" t="str">
        <f t="shared" si="27"/>
        <v>PERCENTAGE</v>
      </c>
    </row>
    <row r="255" spans="1:16" s="6" customFormat="1" x14ac:dyDescent="0.25">
      <c r="A255" s="33" t="str">
        <f t="shared" si="24"/>
        <v>2024 JAN-JUN D70</v>
      </c>
      <c r="B255" s="8">
        <f t="shared" si="25"/>
        <v>46099</v>
      </c>
      <c r="C255" s="8">
        <f t="shared" si="26"/>
        <v>46113</v>
      </c>
      <c r="D255" s="33">
        <v>3272</v>
      </c>
      <c r="E255" s="33">
        <v>336</v>
      </c>
      <c r="F255" s="33">
        <v>4</v>
      </c>
      <c r="G255" s="33">
        <v>1</v>
      </c>
      <c r="H255" s="33">
        <v>81379</v>
      </c>
      <c r="I255" s="33" t="s">
        <v>104</v>
      </c>
      <c r="J255" s="33">
        <v>16623433</v>
      </c>
      <c r="K255" s="33" t="s">
        <v>1839</v>
      </c>
      <c r="L255" s="33" t="s">
        <v>1847</v>
      </c>
      <c r="M255" s="34">
        <v>149900</v>
      </c>
      <c r="N255" s="37">
        <f t="shared" si="22"/>
        <v>0.7</v>
      </c>
      <c r="O255" s="34">
        <f t="shared" si="18"/>
        <v>44970</v>
      </c>
      <c r="P255" s="34" t="str">
        <f t="shared" si="27"/>
        <v>PERCENTAGE</v>
      </c>
    </row>
    <row r="256" spans="1:16" s="6" customFormat="1" x14ac:dyDescent="0.25">
      <c r="A256" s="33" t="str">
        <f t="shared" si="24"/>
        <v>2024 JAN-JUN D70</v>
      </c>
      <c r="B256" s="8">
        <f t="shared" si="25"/>
        <v>46099</v>
      </c>
      <c r="C256" s="8">
        <f t="shared" si="26"/>
        <v>46113</v>
      </c>
      <c r="D256" s="33">
        <v>3272</v>
      </c>
      <c r="E256" s="33">
        <v>336</v>
      </c>
      <c r="F256" s="33">
        <v>4</v>
      </c>
      <c r="G256" s="33">
        <v>1</v>
      </c>
      <c r="H256" s="33">
        <v>81379</v>
      </c>
      <c r="I256" s="33" t="s">
        <v>104</v>
      </c>
      <c r="J256" s="33">
        <v>16623442</v>
      </c>
      <c r="K256" s="33" t="s">
        <v>1848</v>
      </c>
      <c r="L256" s="33" t="s">
        <v>1849</v>
      </c>
      <c r="M256" s="34">
        <v>149900</v>
      </c>
      <c r="N256" s="37">
        <f t="shared" si="22"/>
        <v>0.7</v>
      </c>
      <c r="O256" s="34">
        <f t="shared" si="18"/>
        <v>44970</v>
      </c>
      <c r="P256" s="34" t="str">
        <f t="shared" si="27"/>
        <v>PERCENTAGE</v>
      </c>
    </row>
    <row r="257" spans="1:16" s="6" customFormat="1" x14ac:dyDescent="0.25">
      <c r="A257" s="33" t="str">
        <f t="shared" si="24"/>
        <v>2024 JAN-JUN D70</v>
      </c>
      <c r="B257" s="8">
        <f t="shared" si="25"/>
        <v>46099</v>
      </c>
      <c r="C257" s="8">
        <f t="shared" si="26"/>
        <v>46113</v>
      </c>
      <c r="D257" s="33">
        <v>3272</v>
      </c>
      <c r="E257" s="33">
        <v>336</v>
      </c>
      <c r="F257" s="33">
        <v>4</v>
      </c>
      <c r="G257" s="33">
        <v>1</v>
      </c>
      <c r="H257" s="33">
        <v>81379</v>
      </c>
      <c r="I257" s="33" t="s">
        <v>104</v>
      </c>
      <c r="J257" s="33">
        <v>16623451</v>
      </c>
      <c r="K257" s="33" t="s">
        <v>1848</v>
      </c>
      <c r="L257" s="33" t="s">
        <v>1850</v>
      </c>
      <c r="M257" s="34">
        <v>149900</v>
      </c>
      <c r="N257" s="37">
        <f t="shared" si="22"/>
        <v>0.7</v>
      </c>
      <c r="O257" s="34">
        <f t="shared" si="18"/>
        <v>44970</v>
      </c>
      <c r="P257" s="34" t="str">
        <f t="shared" si="27"/>
        <v>PERCENTAGE</v>
      </c>
    </row>
    <row r="258" spans="1:16" s="6" customFormat="1" x14ac:dyDescent="0.25">
      <c r="A258" s="33" t="str">
        <f t="shared" si="24"/>
        <v>2024 JAN-JUN D70</v>
      </c>
      <c r="B258" s="8">
        <f t="shared" si="25"/>
        <v>46099</v>
      </c>
      <c r="C258" s="8">
        <f t="shared" si="26"/>
        <v>46113</v>
      </c>
      <c r="D258" s="33">
        <v>3272</v>
      </c>
      <c r="E258" s="33">
        <v>336</v>
      </c>
      <c r="F258" s="33">
        <v>4</v>
      </c>
      <c r="G258" s="33">
        <v>1</v>
      </c>
      <c r="H258" s="33">
        <v>81379</v>
      </c>
      <c r="I258" s="33" t="s">
        <v>104</v>
      </c>
      <c r="J258" s="33">
        <v>16623460</v>
      </c>
      <c r="K258" s="33" t="s">
        <v>1848</v>
      </c>
      <c r="L258" s="33" t="s">
        <v>1851</v>
      </c>
      <c r="M258" s="34">
        <v>149900</v>
      </c>
      <c r="N258" s="37">
        <f t="shared" si="22"/>
        <v>0.7</v>
      </c>
      <c r="O258" s="34">
        <f t="shared" ref="O258:O321" si="28">M258-((70*M258))/100</f>
        <v>44970</v>
      </c>
      <c r="P258" s="34" t="str">
        <f t="shared" si="27"/>
        <v>PERCENTAGE</v>
      </c>
    </row>
    <row r="259" spans="1:16" s="6" customFormat="1" x14ac:dyDescent="0.25">
      <c r="A259" s="33" t="str">
        <f t="shared" si="24"/>
        <v>2024 JAN-JUN D70</v>
      </c>
      <c r="B259" s="8">
        <f t="shared" si="25"/>
        <v>46099</v>
      </c>
      <c r="C259" s="8">
        <f t="shared" si="26"/>
        <v>46113</v>
      </c>
      <c r="D259" s="33">
        <v>3272</v>
      </c>
      <c r="E259" s="33">
        <v>336</v>
      </c>
      <c r="F259" s="33">
        <v>4</v>
      </c>
      <c r="G259" s="33">
        <v>1</v>
      </c>
      <c r="H259" s="33">
        <v>81379</v>
      </c>
      <c r="I259" s="33" t="s">
        <v>104</v>
      </c>
      <c r="J259" s="33">
        <v>16623479</v>
      </c>
      <c r="K259" s="33" t="s">
        <v>1848</v>
      </c>
      <c r="L259" s="33" t="s">
        <v>1852</v>
      </c>
      <c r="M259" s="34">
        <v>149900</v>
      </c>
      <c r="N259" s="37">
        <f t="shared" ref="N259:N322" si="29">N258</f>
        <v>0.7</v>
      </c>
      <c r="O259" s="34">
        <f t="shared" si="28"/>
        <v>44970</v>
      </c>
      <c r="P259" s="34" t="str">
        <f t="shared" si="27"/>
        <v>PERCENTAGE</v>
      </c>
    </row>
    <row r="260" spans="1:16" s="6" customFormat="1" x14ac:dyDescent="0.25">
      <c r="A260" s="33" t="str">
        <f t="shared" si="24"/>
        <v>2024 JAN-JUN D70</v>
      </c>
      <c r="B260" s="8">
        <f t="shared" si="25"/>
        <v>46099</v>
      </c>
      <c r="C260" s="8">
        <f t="shared" si="26"/>
        <v>46113</v>
      </c>
      <c r="D260" s="33">
        <v>3272</v>
      </c>
      <c r="E260" s="33">
        <v>336</v>
      </c>
      <c r="F260" s="33">
        <v>4</v>
      </c>
      <c r="G260" s="33">
        <v>1</v>
      </c>
      <c r="H260" s="33">
        <v>81379</v>
      </c>
      <c r="I260" s="33" t="s">
        <v>104</v>
      </c>
      <c r="J260" s="33">
        <v>16623488</v>
      </c>
      <c r="K260" s="33" t="s">
        <v>1848</v>
      </c>
      <c r="L260" s="33" t="s">
        <v>1853</v>
      </c>
      <c r="M260" s="34">
        <v>149900</v>
      </c>
      <c r="N260" s="37">
        <f t="shared" si="29"/>
        <v>0.7</v>
      </c>
      <c r="O260" s="34">
        <f t="shared" si="28"/>
        <v>44970</v>
      </c>
      <c r="P260" s="34" t="str">
        <f t="shared" si="27"/>
        <v>PERCENTAGE</v>
      </c>
    </row>
    <row r="261" spans="1:16" s="6" customFormat="1" x14ac:dyDescent="0.25">
      <c r="A261" s="33" t="str">
        <f t="shared" si="24"/>
        <v>2024 JAN-JUN D70</v>
      </c>
      <c r="B261" s="8">
        <f t="shared" si="25"/>
        <v>46099</v>
      </c>
      <c r="C261" s="8">
        <f t="shared" si="26"/>
        <v>46113</v>
      </c>
      <c r="D261" s="33">
        <v>3272</v>
      </c>
      <c r="E261" s="33">
        <v>336</v>
      </c>
      <c r="F261" s="33">
        <v>4</v>
      </c>
      <c r="G261" s="33">
        <v>1</v>
      </c>
      <c r="H261" s="33">
        <v>81379</v>
      </c>
      <c r="I261" s="33" t="s">
        <v>104</v>
      </c>
      <c r="J261" s="33">
        <v>16623497</v>
      </c>
      <c r="K261" s="33" t="s">
        <v>1848</v>
      </c>
      <c r="L261" s="33" t="s">
        <v>1854</v>
      </c>
      <c r="M261" s="34">
        <v>149900</v>
      </c>
      <c r="N261" s="37">
        <f t="shared" si="29"/>
        <v>0.7</v>
      </c>
      <c r="O261" s="34">
        <f t="shared" si="28"/>
        <v>44970</v>
      </c>
      <c r="P261" s="34" t="str">
        <f t="shared" si="27"/>
        <v>PERCENTAGE</v>
      </c>
    </row>
    <row r="262" spans="1:16" s="6" customFormat="1" x14ac:dyDescent="0.25">
      <c r="A262" s="33" t="str">
        <f t="shared" si="24"/>
        <v>2024 JAN-JUN D70</v>
      </c>
      <c r="B262" s="8">
        <f t="shared" si="25"/>
        <v>46099</v>
      </c>
      <c r="C262" s="8">
        <f t="shared" si="26"/>
        <v>46113</v>
      </c>
      <c r="D262" s="33">
        <v>3272</v>
      </c>
      <c r="E262" s="33">
        <v>336</v>
      </c>
      <c r="F262" s="33">
        <v>4</v>
      </c>
      <c r="G262" s="33">
        <v>1</v>
      </c>
      <c r="H262" s="33">
        <v>81379</v>
      </c>
      <c r="I262" s="33" t="s">
        <v>104</v>
      </c>
      <c r="J262" s="33">
        <v>16623504</v>
      </c>
      <c r="K262" s="33" t="s">
        <v>1848</v>
      </c>
      <c r="L262" s="33" t="s">
        <v>1855</v>
      </c>
      <c r="M262" s="34">
        <v>149900</v>
      </c>
      <c r="N262" s="37">
        <f t="shared" si="29"/>
        <v>0.7</v>
      </c>
      <c r="O262" s="34">
        <f t="shared" si="28"/>
        <v>44970</v>
      </c>
      <c r="P262" s="34" t="str">
        <f t="shared" si="27"/>
        <v>PERCENTAGE</v>
      </c>
    </row>
    <row r="263" spans="1:16" s="6" customFormat="1" x14ac:dyDescent="0.25">
      <c r="A263" s="33" t="str">
        <f t="shared" si="24"/>
        <v>2024 JAN-JUN D70</v>
      </c>
      <c r="B263" s="8">
        <f t="shared" si="25"/>
        <v>46099</v>
      </c>
      <c r="C263" s="8">
        <f t="shared" si="26"/>
        <v>46113</v>
      </c>
      <c r="D263" s="33">
        <v>3272</v>
      </c>
      <c r="E263" s="33">
        <v>336</v>
      </c>
      <c r="F263" s="33">
        <v>4</v>
      </c>
      <c r="G263" s="33">
        <v>1</v>
      </c>
      <c r="H263" s="33">
        <v>81379</v>
      </c>
      <c r="I263" s="33" t="s">
        <v>104</v>
      </c>
      <c r="J263" s="33">
        <v>16623513</v>
      </c>
      <c r="K263" s="33" t="s">
        <v>1848</v>
      </c>
      <c r="L263" s="33" t="s">
        <v>1856</v>
      </c>
      <c r="M263" s="34">
        <v>149900</v>
      </c>
      <c r="N263" s="37">
        <f t="shared" si="29"/>
        <v>0.7</v>
      </c>
      <c r="O263" s="34">
        <f t="shared" si="28"/>
        <v>44970</v>
      </c>
      <c r="P263" s="34" t="str">
        <f t="shared" si="27"/>
        <v>PERCENTAGE</v>
      </c>
    </row>
    <row r="264" spans="1:16" s="6" customFormat="1" x14ac:dyDescent="0.25">
      <c r="A264" s="33" t="str">
        <f t="shared" si="24"/>
        <v>2024 JAN-JUN D70</v>
      </c>
      <c r="B264" s="8">
        <f t="shared" si="25"/>
        <v>46099</v>
      </c>
      <c r="C264" s="8">
        <f t="shared" si="26"/>
        <v>46113</v>
      </c>
      <c r="D264" s="33">
        <v>3272</v>
      </c>
      <c r="E264" s="33">
        <v>336</v>
      </c>
      <c r="F264" s="33">
        <v>4</v>
      </c>
      <c r="G264" s="33">
        <v>1</v>
      </c>
      <c r="H264" s="33">
        <v>81379</v>
      </c>
      <c r="I264" s="33" t="s">
        <v>104</v>
      </c>
      <c r="J264" s="33">
        <v>16623522</v>
      </c>
      <c r="K264" s="33" t="s">
        <v>1857</v>
      </c>
      <c r="L264" s="33" t="s">
        <v>1858</v>
      </c>
      <c r="M264" s="34">
        <v>149900</v>
      </c>
      <c r="N264" s="37">
        <f t="shared" si="29"/>
        <v>0.7</v>
      </c>
      <c r="O264" s="34">
        <f t="shared" si="28"/>
        <v>44970</v>
      </c>
      <c r="P264" s="34" t="str">
        <f t="shared" si="27"/>
        <v>PERCENTAGE</v>
      </c>
    </row>
    <row r="265" spans="1:16" s="6" customFormat="1" x14ac:dyDescent="0.25">
      <c r="A265" s="33" t="str">
        <f t="shared" si="24"/>
        <v>2024 JAN-JUN D70</v>
      </c>
      <c r="B265" s="8">
        <f t="shared" si="25"/>
        <v>46099</v>
      </c>
      <c r="C265" s="8">
        <f t="shared" si="26"/>
        <v>46113</v>
      </c>
      <c r="D265" s="33">
        <v>3272</v>
      </c>
      <c r="E265" s="33">
        <v>336</v>
      </c>
      <c r="F265" s="33">
        <v>4</v>
      </c>
      <c r="G265" s="33">
        <v>1</v>
      </c>
      <c r="H265" s="33">
        <v>81379</v>
      </c>
      <c r="I265" s="33" t="s">
        <v>104</v>
      </c>
      <c r="J265" s="33">
        <v>16623531</v>
      </c>
      <c r="K265" s="33" t="s">
        <v>1857</v>
      </c>
      <c r="L265" s="33" t="s">
        <v>1859</v>
      </c>
      <c r="M265" s="34">
        <v>149900</v>
      </c>
      <c r="N265" s="37">
        <f t="shared" si="29"/>
        <v>0.7</v>
      </c>
      <c r="O265" s="34">
        <f t="shared" si="28"/>
        <v>44970</v>
      </c>
      <c r="P265" s="34" t="str">
        <f t="shared" si="27"/>
        <v>PERCENTAGE</v>
      </c>
    </row>
    <row r="266" spans="1:16" s="6" customFormat="1" x14ac:dyDescent="0.25">
      <c r="A266" s="33" t="str">
        <f t="shared" si="24"/>
        <v>2024 JAN-JUN D70</v>
      </c>
      <c r="B266" s="8">
        <f t="shared" si="25"/>
        <v>46099</v>
      </c>
      <c r="C266" s="8">
        <f t="shared" si="26"/>
        <v>46113</v>
      </c>
      <c r="D266" s="33">
        <v>3272</v>
      </c>
      <c r="E266" s="33">
        <v>336</v>
      </c>
      <c r="F266" s="33">
        <v>4</v>
      </c>
      <c r="G266" s="33">
        <v>1</v>
      </c>
      <c r="H266" s="33">
        <v>81379</v>
      </c>
      <c r="I266" s="33" t="s">
        <v>104</v>
      </c>
      <c r="J266" s="33">
        <v>16623540</v>
      </c>
      <c r="K266" s="33" t="s">
        <v>1857</v>
      </c>
      <c r="L266" s="33" t="s">
        <v>1860</v>
      </c>
      <c r="M266" s="34">
        <v>149900</v>
      </c>
      <c r="N266" s="37">
        <f t="shared" si="29"/>
        <v>0.7</v>
      </c>
      <c r="O266" s="34">
        <f t="shared" si="28"/>
        <v>44970</v>
      </c>
      <c r="P266" s="34" t="str">
        <f t="shared" si="27"/>
        <v>PERCENTAGE</v>
      </c>
    </row>
    <row r="267" spans="1:16" s="6" customFormat="1" x14ac:dyDescent="0.25">
      <c r="A267" s="33" t="str">
        <f t="shared" si="24"/>
        <v>2024 JAN-JUN D70</v>
      </c>
      <c r="B267" s="8">
        <f t="shared" si="25"/>
        <v>46099</v>
      </c>
      <c r="C267" s="8">
        <f t="shared" si="26"/>
        <v>46113</v>
      </c>
      <c r="D267" s="33">
        <v>3272</v>
      </c>
      <c r="E267" s="33">
        <v>336</v>
      </c>
      <c r="F267" s="33">
        <v>4</v>
      </c>
      <c r="G267" s="33">
        <v>1</v>
      </c>
      <c r="H267" s="33">
        <v>81379</v>
      </c>
      <c r="I267" s="33" t="s">
        <v>104</v>
      </c>
      <c r="J267" s="33">
        <v>16623559</v>
      </c>
      <c r="K267" s="33" t="s">
        <v>1857</v>
      </c>
      <c r="L267" s="33" t="s">
        <v>1861</v>
      </c>
      <c r="M267" s="34">
        <v>149900</v>
      </c>
      <c r="N267" s="37">
        <f t="shared" si="29"/>
        <v>0.7</v>
      </c>
      <c r="O267" s="34">
        <f t="shared" si="28"/>
        <v>44970</v>
      </c>
      <c r="P267" s="34" t="str">
        <f t="shared" si="27"/>
        <v>PERCENTAGE</v>
      </c>
    </row>
    <row r="268" spans="1:16" s="6" customFormat="1" x14ac:dyDescent="0.25">
      <c r="A268" s="33" t="str">
        <f t="shared" si="24"/>
        <v>2024 JAN-JUN D70</v>
      </c>
      <c r="B268" s="8">
        <f t="shared" si="25"/>
        <v>46099</v>
      </c>
      <c r="C268" s="8">
        <f t="shared" si="26"/>
        <v>46113</v>
      </c>
      <c r="D268" s="33">
        <v>3272</v>
      </c>
      <c r="E268" s="33">
        <v>336</v>
      </c>
      <c r="F268" s="33">
        <v>4</v>
      </c>
      <c r="G268" s="33">
        <v>1</v>
      </c>
      <c r="H268" s="33">
        <v>81379</v>
      </c>
      <c r="I268" s="33" t="s">
        <v>104</v>
      </c>
      <c r="J268" s="33">
        <v>16623568</v>
      </c>
      <c r="K268" s="33" t="s">
        <v>1857</v>
      </c>
      <c r="L268" s="33" t="s">
        <v>1862</v>
      </c>
      <c r="M268" s="34">
        <v>149900</v>
      </c>
      <c r="N268" s="37">
        <f t="shared" si="29"/>
        <v>0.7</v>
      </c>
      <c r="O268" s="34">
        <f t="shared" si="28"/>
        <v>44970</v>
      </c>
      <c r="P268" s="34" t="str">
        <f t="shared" si="27"/>
        <v>PERCENTAGE</v>
      </c>
    </row>
    <row r="269" spans="1:16" s="6" customFormat="1" x14ac:dyDescent="0.25">
      <c r="A269" s="33" t="str">
        <f t="shared" si="24"/>
        <v>2024 JAN-JUN D70</v>
      </c>
      <c r="B269" s="8">
        <f t="shared" si="25"/>
        <v>46099</v>
      </c>
      <c r="C269" s="8">
        <f t="shared" si="26"/>
        <v>46113</v>
      </c>
      <c r="D269" s="33">
        <v>3272</v>
      </c>
      <c r="E269" s="33">
        <v>336</v>
      </c>
      <c r="F269" s="33">
        <v>4</v>
      </c>
      <c r="G269" s="33">
        <v>1</v>
      </c>
      <c r="H269" s="33">
        <v>81379</v>
      </c>
      <c r="I269" s="33" t="s">
        <v>104</v>
      </c>
      <c r="J269" s="33">
        <v>16623577</v>
      </c>
      <c r="K269" s="33" t="s">
        <v>1857</v>
      </c>
      <c r="L269" s="33" t="s">
        <v>1863</v>
      </c>
      <c r="M269" s="34">
        <v>149900</v>
      </c>
      <c r="N269" s="37">
        <f t="shared" si="29"/>
        <v>0.7</v>
      </c>
      <c r="O269" s="34">
        <f t="shared" si="28"/>
        <v>44970</v>
      </c>
      <c r="P269" s="34" t="str">
        <f t="shared" si="27"/>
        <v>PERCENTAGE</v>
      </c>
    </row>
    <row r="270" spans="1:16" s="6" customFormat="1" x14ac:dyDescent="0.25">
      <c r="A270" s="33" t="str">
        <f t="shared" si="24"/>
        <v>2024 JAN-JUN D70</v>
      </c>
      <c r="B270" s="8">
        <f t="shared" si="25"/>
        <v>46099</v>
      </c>
      <c r="C270" s="8">
        <f t="shared" si="26"/>
        <v>46113</v>
      </c>
      <c r="D270" s="33">
        <v>3272</v>
      </c>
      <c r="E270" s="33">
        <v>336</v>
      </c>
      <c r="F270" s="33">
        <v>4</v>
      </c>
      <c r="G270" s="33">
        <v>1</v>
      </c>
      <c r="H270" s="33">
        <v>81379</v>
      </c>
      <c r="I270" s="33" t="s">
        <v>104</v>
      </c>
      <c r="J270" s="33">
        <v>16623586</v>
      </c>
      <c r="K270" s="33" t="s">
        <v>1857</v>
      </c>
      <c r="L270" s="33" t="s">
        <v>1864</v>
      </c>
      <c r="M270" s="34">
        <v>149900</v>
      </c>
      <c r="N270" s="37">
        <f t="shared" si="29"/>
        <v>0.7</v>
      </c>
      <c r="O270" s="34">
        <f t="shared" si="28"/>
        <v>44970</v>
      </c>
      <c r="P270" s="34" t="str">
        <f t="shared" si="27"/>
        <v>PERCENTAGE</v>
      </c>
    </row>
    <row r="271" spans="1:16" s="6" customFormat="1" x14ac:dyDescent="0.25">
      <c r="A271" s="33" t="str">
        <f t="shared" si="24"/>
        <v>2024 JAN-JUN D70</v>
      </c>
      <c r="B271" s="8">
        <f t="shared" si="25"/>
        <v>46099</v>
      </c>
      <c r="C271" s="8">
        <f t="shared" si="26"/>
        <v>46113</v>
      </c>
      <c r="D271" s="33">
        <v>3272</v>
      </c>
      <c r="E271" s="33">
        <v>336</v>
      </c>
      <c r="F271" s="33">
        <v>4</v>
      </c>
      <c r="G271" s="33">
        <v>1</v>
      </c>
      <c r="H271" s="33">
        <v>81379</v>
      </c>
      <c r="I271" s="33" t="s">
        <v>104</v>
      </c>
      <c r="J271" s="33">
        <v>16623595</v>
      </c>
      <c r="K271" s="33" t="s">
        <v>1857</v>
      </c>
      <c r="L271" s="33" t="s">
        <v>1865</v>
      </c>
      <c r="M271" s="34">
        <v>149900</v>
      </c>
      <c r="N271" s="37">
        <f t="shared" si="29"/>
        <v>0.7</v>
      </c>
      <c r="O271" s="34">
        <f t="shared" si="28"/>
        <v>44970</v>
      </c>
      <c r="P271" s="34" t="str">
        <f t="shared" si="27"/>
        <v>PERCENTAGE</v>
      </c>
    </row>
    <row r="272" spans="1:16" s="6" customFormat="1" x14ac:dyDescent="0.25">
      <c r="A272" s="33" t="str">
        <f t="shared" si="24"/>
        <v>2024 JAN-JUN D70</v>
      </c>
      <c r="B272" s="8">
        <f t="shared" si="25"/>
        <v>46099</v>
      </c>
      <c r="C272" s="8">
        <f t="shared" si="26"/>
        <v>46113</v>
      </c>
      <c r="D272" s="33">
        <v>3272</v>
      </c>
      <c r="E272" s="33">
        <v>336</v>
      </c>
      <c r="F272" s="33">
        <v>4</v>
      </c>
      <c r="G272" s="33">
        <v>1</v>
      </c>
      <c r="H272" s="33">
        <v>81379</v>
      </c>
      <c r="I272" s="33" t="s">
        <v>104</v>
      </c>
      <c r="J272" s="33">
        <v>16656318</v>
      </c>
      <c r="K272" s="33" t="s">
        <v>1893</v>
      </c>
      <c r="L272" s="33" t="s">
        <v>1894</v>
      </c>
      <c r="M272" s="34">
        <v>139900</v>
      </c>
      <c r="N272" s="37">
        <f t="shared" si="29"/>
        <v>0.7</v>
      </c>
      <c r="O272" s="34">
        <f t="shared" si="28"/>
        <v>41970</v>
      </c>
      <c r="P272" s="34" t="str">
        <f t="shared" si="27"/>
        <v>PERCENTAGE</v>
      </c>
    </row>
    <row r="273" spans="1:16" s="6" customFormat="1" x14ac:dyDescent="0.25">
      <c r="A273" s="33" t="str">
        <f t="shared" si="24"/>
        <v>2024 JAN-JUN D70</v>
      </c>
      <c r="B273" s="8">
        <f t="shared" si="25"/>
        <v>46099</v>
      </c>
      <c r="C273" s="8">
        <f t="shared" si="26"/>
        <v>46113</v>
      </c>
      <c r="D273" s="33">
        <v>3272</v>
      </c>
      <c r="E273" s="33">
        <v>336</v>
      </c>
      <c r="F273" s="33">
        <v>4</v>
      </c>
      <c r="G273" s="33">
        <v>1</v>
      </c>
      <c r="H273" s="33">
        <v>81379</v>
      </c>
      <c r="I273" s="33" t="s">
        <v>104</v>
      </c>
      <c r="J273" s="33">
        <v>16656327</v>
      </c>
      <c r="K273" s="33" t="s">
        <v>1893</v>
      </c>
      <c r="L273" s="33" t="s">
        <v>1895</v>
      </c>
      <c r="M273" s="34">
        <v>139900</v>
      </c>
      <c r="N273" s="37">
        <f t="shared" si="29"/>
        <v>0.7</v>
      </c>
      <c r="O273" s="34">
        <f t="shared" si="28"/>
        <v>41970</v>
      </c>
      <c r="P273" s="34" t="str">
        <f t="shared" si="27"/>
        <v>PERCENTAGE</v>
      </c>
    </row>
    <row r="274" spans="1:16" s="6" customFormat="1" x14ac:dyDescent="0.25">
      <c r="A274" s="33" t="str">
        <f t="shared" si="24"/>
        <v>2024 JAN-JUN D70</v>
      </c>
      <c r="B274" s="8">
        <f t="shared" si="25"/>
        <v>46099</v>
      </c>
      <c r="C274" s="8">
        <f t="shared" si="26"/>
        <v>46113</v>
      </c>
      <c r="D274" s="33">
        <v>3272</v>
      </c>
      <c r="E274" s="33">
        <v>336</v>
      </c>
      <c r="F274" s="33">
        <v>4</v>
      </c>
      <c r="G274" s="33">
        <v>1</v>
      </c>
      <c r="H274" s="33">
        <v>81379</v>
      </c>
      <c r="I274" s="33" t="s">
        <v>104</v>
      </c>
      <c r="J274" s="33">
        <v>16656336</v>
      </c>
      <c r="K274" s="33" t="s">
        <v>1893</v>
      </c>
      <c r="L274" s="33" t="s">
        <v>1896</v>
      </c>
      <c r="M274" s="34">
        <v>139900</v>
      </c>
      <c r="N274" s="37">
        <f t="shared" si="29"/>
        <v>0.7</v>
      </c>
      <c r="O274" s="34">
        <f t="shared" si="28"/>
        <v>41970</v>
      </c>
      <c r="P274" s="34" t="str">
        <f t="shared" si="27"/>
        <v>PERCENTAGE</v>
      </c>
    </row>
    <row r="275" spans="1:16" s="6" customFormat="1" x14ac:dyDescent="0.25">
      <c r="A275" s="33" t="str">
        <f t="shared" si="24"/>
        <v>2024 JAN-JUN D70</v>
      </c>
      <c r="B275" s="8">
        <f t="shared" si="25"/>
        <v>46099</v>
      </c>
      <c r="C275" s="8">
        <f t="shared" si="26"/>
        <v>46113</v>
      </c>
      <c r="D275" s="33">
        <v>3272</v>
      </c>
      <c r="E275" s="33">
        <v>336</v>
      </c>
      <c r="F275" s="33">
        <v>4</v>
      </c>
      <c r="G275" s="33">
        <v>1</v>
      </c>
      <c r="H275" s="33">
        <v>81379</v>
      </c>
      <c r="I275" s="33" t="s">
        <v>104</v>
      </c>
      <c r="J275" s="33">
        <v>16656345</v>
      </c>
      <c r="K275" s="33" t="s">
        <v>1893</v>
      </c>
      <c r="L275" s="33" t="s">
        <v>1897</v>
      </c>
      <c r="M275" s="34">
        <v>139900</v>
      </c>
      <c r="N275" s="37">
        <f t="shared" si="29"/>
        <v>0.7</v>
      </c>
      <c r="O275" s="34">
        <f t="shared" si="28"/>
        <v>41970</v>
      </c>
      <c r="P275" s="34" t="str">
        <f t="shared" si="27"/>
        <v>PERCENTAGE</v>
      </c>
    </row>
    <row r="276" spans="1:16" s="6" customFormat="1" x14ac:dyDescent="0.25">
      <c r="A276" s="33" t="str">
        <f t="shared" si="24"/>
        <v>2024 JAN-JUN D70</v>
      </c>
      <c r="B276" s="8">
        <f t="shared" si="25"/>
        <v>46099</v>
      </c>
      <c r="C276" s="8">
        <f t="shared" si="26"/>
        <v>46113</v>
      </c>
      <c r="D276" s="33">
        <v>3272</v>
      </c>
      <c r="E276" s="33">
        <v>336</v>
      </c>
      <c r="F276" s="33">
        <v>4</v>
      </c>
      <c r="G276" s="33">
        <v>1</v>
      </c>
      <c r="H276" s="33">
        <v>81379</v>
      </c>
      <c r="I276" s="33" t="s">
        <v>104</v>
      </c>
      <c r="J276" s="33">
        <v>16656354</v>
      </c>
      <c r="K276" s="33" t="s">
        <v>1893</v>
      </c>
      <c r="L276" s="33" t="s">
        <v>1898</v>
      </c>
      <c r="M276" s="34">
        <v>139900</v>
      </c>
      <c r="N276" s="37">
        <f t="shared" si="29"/>
        <v>0.7</v>
      </c>
      <c r="O276" s="34">
        <f t="shared" si="28"/>
        <v>41970</v>
      </c>
      <c r="P276" s="34" t="str">
        <f t="shared" si="27"/>
        <v>PERCENTAGE</v>
      </c>
    </row>
    <row r="277" spans="1:16" s="6" customFormat="1" x14ac:dyDescent="0.25">
      <c r="A277" s="33" t="str">
        <f t="shared" si="24"/>
        <v>2024 JAN-JUN D70</v>
      </c>
      <c r="B277" s="8">
        <f t="shared" si="25"/>
        <v>46099</v>
      </c>
      <c r="C277" s="8">
        <f t="shared" si="26"/>
        <v>46113</v>
      </c>
      <c r="D277" s="33">
        <v>3272</v>
      </c>
      <c r="E277" s="33">
        <v>336</v>
      </c>
      <c r="F277" s="33">
        <v>4</v>
      </c>
      <c r="G277" s="33">
        <v>1</v>
      </c>
      <c r="H277" s="33">
        <v>81379</v>
      </c>
      <c r="I277" s="33" t="s">
        <v>104</v>
      </c>
      <c r="J277" s="33">
        <v>16656363</v>
      </c>
      <c r="K277" s="33" t="s">
        <v>1893</v>
      </c>
      <c r="L277" s="33" t="s">
        <v>1899</v>
      </c>
      <c r="M277" s="34">
        <v>139900</v>
      </c>
      <c r="N277" s="37">
        <f t="shared" si="29"/>
        <v>0.7</v>
      </c>
      <c r="O277" s="34">
        <f t="shared" si="28"/>
        <v>41970</v>
      </c>
      <c r="P277" s="34" t="str">
        <f t="shared" si="27"/>
        <v>PERCENTAGE</v>
      </c>
    </row>
    <row r="278" spans="1:16" s="6" customFormat="1" x14ac:dyDescent="0.25">
      <c r="A278" s="33" t="str">
        <f t="shared" si="24"/>
        <v>2024 JAN-JUN D70</v>
      </c>
      <c r="B278" s="8">
        <f t="shared" si="25"/>
        <v>46099</v>
      </c>
      <c r="C278" s="8">
        <f t="shared" si="26"/>
        <v>46113</v>
      </c>
      <c r="D278" s="33">
        <v>3272</v>
      </c>
      <c r="E278" s="33">
        <v>336</v>
      </c>
      <c r="F278" s="33">
        <v>4</v>
      </c>
      <c r="G278" s="33">
        <v>1</v>
      </c>
      <c r="H278" s="33">
        <v>81379</v>
      </c>
      <c r="I278" s="33" t="s">
        <v>104</v>
      </c>
      <c r="J278" s="33">
        <v>16656372</v>
      </c>
      <c r="K278" s="33" t="s">
        <v>1893</v>
      </c>
      <c r="L278" s="33" t="s">
        <v>1900</v>
      </c>
      <c r="M278" s="34">
        <v>139900</v>
      </c>
      <c r="N278" s="37">
        <f t="shared" si="29"/>
        <v>0.7</v>
      </c>
      <c r="O278" s="34">
        <f t="shared" si="28"/>
        <v>41970</v>
      </c>
      <c r="P278" s="34" t="str">
        <f t="shared" si="27"/>
        <v>PERCENTAGE</v>
      </c>
    </row>
    <row r="279" spans="1:16" s="6" customFormat="1" x14ac:dyDescent="0.25">
      <c r="A279" s="33" t="str">
        <f t="shared" si="24"/>
        <v>2024 JAN-JUN D70</v>
      </c>
      <c r="B279" s="8">
        <f t="shared" si="25"/>
        <v>46099</v>
      </c>
      <c r="C279" s="8">
        <f t="shared" si="26"/>
        <v>46113</v>
      </c>
      <c r="D279" s="33">
        <v>3272</v>
      </c>
      <c r="E279" s="33">
        <v>336</v>
      </c>
      <c r="F279" s="33">
        <v>4</v>
      </c>
      <c r="G279" s="33">
        <v>1</v>
      </c>
      <c r="H279" s="33">
        <v>81379</v>
      </c>
      <c r="I279" s="33" t="s">
        <v>104</v>
      </c>
      <c r="J279" s="33">
        <v>16656381</v>
      </c>
      <c r="K279" s="33" t="s">
        <v>1893</v>
      </c>
      <c r="L279" s="33" t="s">
        <v>1901</v>
      </c>
      <c r="M279" s="34">
        <v>139900</v>
      </c>
      <c r="N279" s="37">
        <f t="shared" si="29"/>
        <v>0.7</v>
      </c>
      <c r="O279" s="34">
        <f t="shared" si="28"/>
        <v>41970</v>
      </c>
      <c r="P279" s="34" t="str">
        <f t="shared" si="27"/>
        <v>PERCENTAGE</v>
      </c>
    </row>
    <row r="280" spans="1:16" s="6" customFormat="1" x14ac:dyDescent="0.25">
      <c r="A280" s="33" t="str">
        <f t="shared" si="24"/>
        <v>2024 JAN-JUN D70</v>
      </c>
      <c r="B280" s="8">
        <f t="shared" si="25"/>
        <v>46099</v>
      </c>
      <c r="C280" s="8">
        <f t="shared" si="26"/>
        <v>46113</v>
      </c>
      <c r="D280" s="33">
        <v>3272</v>
      </c>
      <c r="E280" s="33">
        <v>336</v>
      </c>
      <c r="F280" s="33">
        <v>4</v>
      </c>
      <c r="G280" s="33">
        <v>1</v>
      </c>
      <c r="H280" s="33">
        <v>81379</v>
      </c>
      <c r="I280" s="33" t="s">
        <v>104</v>
      </c>
      <c r="J280" s="33">
        <v>13990239</v>
      </c>
      <c r="K280" s="33" t="s">
        <v>1683</v>
      </c>
      <c r="L280" s="33" t="s">
        <v>1684</v>
      </c>
      <c r="M280" s="34">
        <v>149900</v>
      </c>
      <c r="N280" s="37">
        <f t="shared" si="29"/>
        <v>0.7</v>
      </c>
      <c r="O280" s="34">
        <f t="shared" si="28"/>
        <v>44970</v>
      </c>
      <c r="P280" s="34" t="str">
        <f t="shared" si="27"/>
        <v>PERCENTAGE</v>
      </c>
    </row>
    <row r="281" spans="1:16" s="6" customFormat="1" x14ac:dyDescent="0.25">
      <c r="A281" s="33" t="str">
        <f t="shared" si="24"/>
        <v>2024 JAN-JUN D70</v>
      </c>
      <c r="B281" s="8">
        <f t="shared" si="25"/>
        <v>46099</v>
      </c>
      <c r="C281" s="8">
        <f t="shared" si="26"/>
        <v>46113</v>
      </c>
      <c r="D281" s="33">
        <v>3272</v>
      </c>
      <c r="E281" s="33">
        <v>336</v>
      </c>
      <c r="F281" s="33">
        <v>4</v>
      </c>
      <c r="G281" s="33">
        <v>1</v>
      </c>
      <c r="H281" s="33">
        <v>81379</v>
      </c>
      <c r="I281" s="33" t="s">
        <v>104</v>
      </c>
      <c r="J281" s="33">
        <v>13990248</v>
      </c>
      <c r="K281" s="33" t="s">
        <v>1683</v>
      </c>
      <c r="L281" s="33" t="s">
        <v>1685</v>
      </c>
      <c r="M281" s="34">
        <v>149900</v>
      </c>
      <c r="N281" s="37">
        <f t="shared" si="29"/>
        <v>0.7</v>
      </c>
      <c r="O281" s="34">
        <f t="shared" si="28"/>
        <v>44970</v>
      </c>
      <c r="P281" s="34" t="str">
        <f t="shared" si="27"/>
        <v>PERCENTAGE</v>
      </c>
    </row>
    <row r="282" spans="1:16" s="6" customFormat="1" x14ac:dyDescent="0.25">
      <c r="A282" s="33" t="str">
        <f t="shared" si="24"/>
        <v>2024 JAN-JUN D70</v>
      </c>
      <c r="B282" s="8">
        <f t="shared" si="25"/>
        <v>46099</v>
      </c>
      <c r="C282" s="8">
        <f t="shared" si="26"/>
        <v>46113</v>
      </c>
      <c r="D282" s="33">
        <v>3272</v>
      </c>
      <c r="E282" s="33">
        <v>336</v>
      </c>
      <c r="F282" s="33">
        <v>4</v>
      </c>
      <c r="G282" s="33">
        <v>1</v>
      </c>
      <c r="H282" s="33">
        <v>81379</v>
      </c>
      <c r="I282" s="33" t="s">
        <v>104</v>
      </c>
      <c r="J282" s="33">
        <v>13990257</v>
      </c>
      <c r="K282" s="33" t="s">
        <v>1683</v>
      </c>
      <c r="L282" s="33" t="s">
        <v>1686</v>
      </c>
      <c r="M282" s="34">
        <v>149900</v>
      </c>
      <c r="N282" s="37">
        <f t="shared" si="29"/>
        <v>0.7</v>
      </c>
      <c r="O282" s="34">
        <f t="shared" si="28"/>
        <v>44970</v>
      </c>
      <c r="P282" s="34" t="str">
        <f t="shared" si="27"/>
        <v>PERCENTAGE</v>
      </c>
    </row>
    <row r="283" spans="1:16" s="6" customFormat="1" x14ac:dyDescent="0.25">
      <c r="A283" s="33" t="str">
        <f t="shared" si="24"/>
        <v>2024 JAN-JUN D70</v>
      </c>
      <c r="B283" s="8">
        <f t="shared" si="25"/>
        <v>46099</v>
      </c>
      <c r="C283" s="8">
        <f t="shared" si="26"/>
        <v>46113</v>
      </c>
      <c r="D283" s="33">
        <v>3272</v>
      </c>
      <c r="E283" s="33">
        <v>336</v>
      </c>
      <c r="F283" s="33">
        <v>4</v>
      </c>
      <c r="G283" s="33">
        <v>1</v>
      </c>
      <c r="H283" s="33">
        <v>81379</v>
      </c>
      <c r="I283" s="33" t="s">
        <v>104</v>
      </c>
      <c r="J283" s="33">
        <v>13990266</v>
      </c>
      <c r="K283" s="33" t="s">
        <v>1683</v>
      </c>
      <c r="L283" s="33" t="s">
        <v>1687</v>
      </c>
      <c r="M283" s="34">
        <v>149900</v>
      </c>
      <c r="N283" s="37">
        <f t="shared" si="29"/>
        <v>0.7</v>
      </c>
      <c r="O283" s="34">
        <f t="shared" si="28"/>
        <v>44970</v>
      </c>
      <c r="P283" s="34" t="str">
        <f t="shared" si="27"/>
        <v>PERCENTAGE</v>
      </c>
    </row>
    <row r="284" spans="1:16" s="6" customFormat="1" x14ac:dyDescent="0.25">
      <c r="A284" s="33" t="str">
        <f t="shared" si="24"/>
        <v>2024 JAN-JUN D70</v>
      </c>
      <c r="B284" s="8">
        <f t="shared" si="25"/>
        <v>46099</v>
      </c>
      <c r="C284" s="8">
        <f t="shared" si="26"/>
        <v>46113</v>
      </c>
      <c r="D284" s="33">
        <v>3272</v>
      </c>
      <c r="E284" s="33">
        <v>336</v>
      </c>
      <c r="F284" s="33">
        <v>4</v>
      </c>
      <c r="G284" s="33">
        <v>1</v>
      </c>
      <c r="H284" s="33">
        <v>81379</v>
      </c>
      <c r="I284" s="33" t="s">
        <v>104</v>
      </c>
      <c r="J284" s="33">
        <v>13990275</v>
      </c>
      <c r="K284" s="33" t="s">
        <v>1683</v>
      </c>
      <c r="L284" s="33" t="s">
        <v>1688</v>
      </c>
      <c r="M284" s="34">
        <v>149900</v>
      </c>
      <c r="N284" s="37">
        <f t="shared" si="29"/>
        <v>0.7</v>
      </c>
      <c r="O284" s="34">
        <f t="shared" si="28"/>
        <v>44970</v>
      </c>
      <c r="P284" s="34" t="str">
        <f t="shared" si="27"/>
        <v>PERCENTAGE</v>
      </c>
    </row>
    <row r="285" spans="1:16" s="6" customFormat="1" x14ac:dyDescent="0.25">
      <c r="A285" s="33" t="str">
        <f t="shared" si="24"/>
        <v>2024 JAN-JUN D70</v>
      </c>
      <c r="B285" s="8">
        <f t="shared" si="25"/>
        <v>46099</v>
      </c>
      <c r="C285" s="8">
        <f t="shared" si="26"/>
        <v>46113</v>
      </c>
      <c r="D285" s="33">
        <v>3272</v>
      </c>
      <c r="E285" s="33">
        <v>336</v>
      </c>
      <c r="F285" s="33">
        <v>4</v>
      </c>
      <c r="G285" s="33">
        <v>1</v>
      </c>
      <c r="H285" s="33">
        <v>81379</v>
      </c>
      <c r="I285" s="33" t="s">
        <v>104</v>
      </c>
      <c r="J285" s="33">
        <v>15498670</v>
      </c>
      <c r="K285" s="33" t="s">
        <v>1689</v>
      </c>
      <c r="L285" s="33" t="s">
        <v>1690</v>
      </c>
      <c r="M285" s="34">
        <v>149900</v>
      </c>
      <c r="N285" s="37">
        <f t="shared" si="29"/>
        <v>0.7</v>
      </c>
      <c r="O285" s="34">
        <f t="shared" si="28"/>
        <v>44970</v>
      </c>
      <c r="P285" s="34" t="str">
        <f t="shared" si="27"/>
        <v>PERCENTAGE</v>
      </c>
    </row>
    <row r="286" spans="1:16" s="6" customFormat="1" x14ac:dyDescent="0.25">
      <c r="A286" s="33" t="str">
        <f t="shared" si="24"/>
        <v>2024 JAN-JUN D70</v>
      </c>
      <c r="B286" s="8">
        <f t="shared" si="25"/>
        <v>46099</v>
      </c>
      <c r="C286" s="8">
        <f t="shared" si="26"/>
        <v>46113</v>
      </c>
      <c r="D286" s="33">
        <v>3272</v>
      </c>
      <c r="E286" s="33">
        <v>336</v>
      </c>
      <c r="F286" s="33">
        <v>4</v>
      </c>
      <c r="G286" s="33">
        <v>1</v>
      </c>
      <c r="H286" s="33">
        <v>81379</v>
      </c>
      <c r="I286" s="33" t="s">
        <v>104</v>
      </c>
      <c r="J286" s="33">
        <v>15498689</v>
      </c>
      <c r="K286" s="33" t="s">
        <v>1689</v>
      </c>
      <c r="L286" s="33" t="s">
        <v>1691</v>
      </c>
      <c r="M286" s="34">
        <v>149900</v>
      </c>
      <c r="N286" s="37">
        <f t="shared" si="29"/>
        <v>0.7</v>
      </c>
      <c r="O286" s="34">
        <f t="shared" si="28"/>
        <v>44970</v>
      </c>
      <c r="P286" s="34" t="str">
        <f t="shared" si="27"/>
        <v>PERCENTAGE</v>
      </c>
    </row>
    <row r="287" spans="1:16" s="6" customFormat="1" x14ac:dyDescent="0.25">
      <c r="A287" s="33" t="str">
        <f t="shared" si="24"/>
        <v>2024 JAN-JUN D70</v>
      </c>
      <c r="B287" s="8">
        <f t="shared" si="25"/>
        <v>46099</v>
      </c>
      <c r="C287" s="8">
        <f t="shared" si="26"/>
        <v>46113</v>
      </c>
      <c r="D287" s="33">
        <v>3272</v>
      </c>
      <c r="E287" s="33">
        <v>336</v>
      </c>
      <c r="F287" s="33">
        <v>4</v>
      </c>
      <c r="G287" s="33">
        <v>1</v>
      </c>
      <c r="H287" s="33">
        <v>81379</v>
      </c>
      <c r="I287" s="33" t="s">
        <v>104</v>
      </c>
      <c r="J287" s="33">
        <v>15498698</v>
      </c>
      <c r="K287" s="33" t="s">
        <v>1689</v>
      </c>
      <c r="L287" s="33" t="s">
        <v>1692</v>
      </c>
      <c r="M287" s="34">
        <v>149900</v>
      </c>
      <c r="N287" s="37">
        <f t="shared" si="29"/>
        <v>0.7</v>
      </c>
      <c r="O287" s="34">
        <f t="shared" si="28"/>
        <v>44970</v>
      </c>
      <c r="P287" s="34" t="str">
        <f t="shared" si="27"/>
        <v>PERCENTAGE</v>
      </c>
    </row>
    <row r="288" spans="1:16" s="6" customFormat="1" x14ac:dyDescent="0.25">
      <c r="A288" s="33" t="str">
        <f t="shared" si="24"/>
        <v>2024 JAN-JUN D70</v>
      </c>
      <c r="B288" s="8">
        <f t="shared" si="25"/>
        <v>46099</v>
      </c>
      <c r="C288" s="8">
        <f t="shared" si="26"/>
        <v>46113</v>
      </c>
      <c r="D288" s="33">
        <v>3272</v>
      </c>
      <c r="E288" s="33">
        <v>336</v>
      </c>
      <c r="F288" s="33">
        <v>4</v>
      </c>
      <c r="G288" s="33">
        <v>1</v>
      </c>
      <c r="H288" s="33">
        <v>81379</v>
      </c>
      <c r="I288" s="33" t="s">
        <v>104</v>
      </c>
      <c r="J288" s="33">
        <v>15498705</v>
      </c>
      <c r="K288" s="33" t="s">
        <v>1689</v>
      </c>
      <c r="L288" s="33" t="s">
        <v>1693</v>
      </c>
      <c r="M288" s="34">
        <v>149900</v>
      </c>
      <c r="N288" s="37">
        <f t="shared" si="29"/>
        <v>0.7</v>
      </c>
      <c r="O288" s="34">
        <f t="shared" si="28"/>
        <v>44970</v>
      </c>
      <c r="P288" s="34" t="str">
        <f t="shared" si="27"/>
        <v>PERCENTAGE</v>
      </c>
    </row>
    <row r="289" spans="1:16" s="6" customFormat="1" x14ac:dyDescent="0.25">
      <c r="A289" s="33" t="str">
        <f t="shared" si="24"/>
        <v>2024 JAN-JUN D70</v>
      </c>
      <c r="B289" s="8">
        <f t="shared" si="25"/>
        <v>46099</v>
      </c>
      <c r="C289" s="8">
        <f t="shared" si="26"/>
        <v>46113</v>
      </c>
      <c r="D289" s="33">
        <v>3272</v>
      </c>
      <c r="E289" s="33">
        <v>336</v>
      </c>
      <c r="F289" s="33">
        <v>4</v>
      </c>
      <c r="G289" s="33">
        <v>1</v>
      </c>
      <c r="H289" s="33">
        <v>81379</v>
      </c>
      <c r="I289" s="33" t="s">
        <v>104</v>
      </c>
      <c r="J289" s="33">
        <v>15498714</v>
      </c>
      <c r="K289" s="33" t="s">
        <v>1689</v>
      </c>
      <c r="L289" s="33" t="s">
        <v>1694</v>
      </c>
      <c r="M289" s="34">
        <v>149900</v>
      </c>
      <c r="N289" s="37">
        <f t="shared" si="29"/>
        <v>0.7</v>
      </c>
      <c r="O289" s="34">
        <f t="shared" si="28"/>
        <v>44970</v>
      </c>
      <c r="P289" s="34" t="str">
        <f t="shared" si="27"/>
        <v>PERCENTAGE</v>
      </c>
    </row>
    <row r="290" spans="1:16" s="6" customFormat="1" x14ac:dyDescent="0.25">
      <c r="A290" s="33" t="str">
        <f t="shared" si="24"/>
        <v>2024 JAN-JUN D70</v>
      </c>
      <c r="B290" s="8">
        <f t="shared" si="25"/>
        <v>46099</v>
      </c>
      <c r="C290" s="8">
        <f t="shared" si="26"/>
        <v>46113</v>
      </c>
      <c r="D290" s="33">
        <v>3272</v>
      </c>
      <c r="E290" s="33">
        <v>336</v>
      </c>
      <c r="F290" s="33">
        <v>4</v>
      </c>
      <c r="G290" s="33">
        <v>1</v>
      </c>
      <c r="H290" s="33">
        <v>81379</v>
      </c>
      <c r="I290" s="33" t="s">
        <v>104</v>
      </c>
      <c r="J290" s="33">
        <v>13990435</v>
      </c>
      <c r="K290" s="33" t="s">
        <v>1587</v>
      </c>
      <c r="L290" s="33" t="s">
        <v>1588</v>
      </c>
      <c r="M290" s="34">
        <v>149900</v>
      </c>
      <c r="N290" s="37">
        <f t="shared" si="29"/>
        <v>0.7</v>
      </c>
      <c r="O290" s="34">
        <f t="shared" si="28"/>
        <v>44970</v>
      </c>
      <c r="P290" s="34" t="str">
        <f t="shared" si="27"/>
        <v>PERCENTAGE</v>
      </c>
    </row>
    <row r="291" spans="1:16" s="6" customFormat="1" x14ac:dyDescent="0.25">
      <c r="A291" s="33" t="str">
        <f t="shared" si="24"/>
        <v>2024 JAN-JUN D70</v>
      </c>
      <c r="B291" s="8">
        <f t="shared" si="25"/>
        <v>46099</v>
      </c>
      <c r="C291" s="8">
        <f t="shared" si="26"/>
        <v>46113</v>
      </c>
      <c r="D291" s="33">
        <v>3272</v>
      </c>
      <c r="E291" s="33">
        <v>336</v>
      </c>
      <c r="F291" s="33">
        <v>4</v>
      </c>
      <c r="G291" s="33">
        <v>1</v>
      </c>
      <c r="H291" s="33">
        <v>81379</v>
      </c>
      <c r="I291" s="33" t="s">
        <v>104</v>
      </c>
      <c r="J291" s="33">
        <v>13990444</v>
      </c>
      <c r="K291" s="33" t="s">
        <v>1587</v>
      </c>
      <c r="L291" s="33" t="s">
        <v>1589</v>
      </c>
      <c r="M291" s="34">
        <v>149900</v>
      </c>
      <c r="N291" s="37">
        <f t="shared" si="29"/>
        <v>0.7</v>
      </c>
      <c r="O291" s="34">
        <f t="shared" si="28"/>
        <v>44970</v>
      </c>
      <c r="P291" s="34" t="str">
        <f t="shared" si="27"/>
        <v>PERCENTAGE</v>
      </c>
    </row>
    <row r="292" spans="1:16" s="6" customFormat="1" x14ac:dyDescent="0.25">
      <c r="A292" s="33" t="str">
        <f t="shared" si="24"/>
        <v>2024 JAN-JUN D70</v>
      </c>
      <c r="B292" s="8">
        <f t="shared" si="25"/>
        <v>46099</v>
      </c>
      <c r="C292" s="8">
        <f t="shared" si="26"/>
        <v>46113</v>
      </c>
      <c r="D292" s="33">
        <v>3272</v>
      </c>
      <c r="E292" s="33">
        <v>336</v>
      </c>
      <c r="F292" s="33">
        <v>4</v>
      </c>
      <c r="G292" s="33">
        <v>1</v>
      </c>
      <c r="H292" s="33">
        <v>81379</v>
      </c>
      <c r="I292" s="33" t="s">
        <v>104</v>
      </c>
      <c r="J292" s="33">
        <v>13990453</v>
      </c>
      <c r="K292" s="33" t="s">
        <v>1587</v>
      </c>
      <c r="L292" s="33" t="s">
        <v>1590</v>
      </c>
      <c r="M292" s="34">
        <v>149900</v>
      </c>
      <c r="N292" s="37">
        <f t="shared" si="29"/>
        <v>0.7</v>
      </c>
      <c r="O292" s="34">
        <f t="shared" si="28"/>
        <v>44970</v>
      </c>
      <c r="P292" s="34" t="str">
        <f t="shared" si="27"/>
        <v>PERCENTAGE</v>
      </c>
    </row>
    <row r="293" spans="1:16" s="6" customFormat="1" x14ac:dyDescent="0.25">
      <c r="A293" s="33" t="str">
        <f t="shared" si="24"/>
        <v>2024 JAN-JUN D70</v>
      </c>
      <c r="B293" s="8">
        <f t="shared" si="25"/>
        <v>46099</v>
      </c>
      <c r="C293" s="8">
        <f t="shared" si="26"/>
        <v>46113</v>
      </c>
      <c r="D293" s="33">
        <v>3272</v>
      </c>
      <c r="E293" s="33">
        <v>336</v>
      </c>
      <c r="F293" s="33">
        <v>4</v>
      </c>
      <c r="G293" s="33">
        <v>1</v>
      </c>
      <c r="H293" s="33">
        <v>81379</v>
      </c>
      <c r="I293" s="33" t="s">
        <v>104</v>
      </c>
      <c r="J293" s="33">
        <v>13990462</v>
      </c>
      <c r="K293" s="33" t="s">
        <v>1587</v>
      </c>
      <c r="L293" s="33" t="s">
        <v>1591</v>
      </c>
      <c r="M293" s="34">
        <v>149900</v>
      </c>
      <c r="N293" s="37">
        <f t="shared" si="29"/>
        <v>0.7</v>
      </c>
      <c r="O293" s="34">
        <f t="shared" si="28"/>
        <v>44970</v>
      </c>
      <c r="P293" s="34" t="str">
        <f t="shared" si="27"/>
        <v>PERCENTAGE</v>
      </c>
    </row>
    <row r="294" spans="1:16" s="6" customFormat="1" x14ac:dyDescent="0.25">
      <c r="A294" s="33" t="str">
        <f t="shared" si="24"/>
        <v>2024 JAN-JUN D70</v>
      </c>
      <c r="B294" s="8">
        <f t="shared" si="25"/>
        <v>46099</v>
      </c>
      <c r="C294" s="8">
        <f t="shared" si="26"/>
        <v>46113</v>
      </c>
      <c r="D294" s="33">
        <v>3272</v>
      </c>
      <c r="E294" s="33">
        <v>336</v>
      </c>
      <c r="F294" s="33">
        <v>4</v>
      </c>
      <c r="G294" s="33">
        <v>1</v>
      </c>
      <c r="H294" s="33">
        <v>81379</v>
      </c>
      <c r="I294" s="33" t="s">
        <v>104</v>
      </c>
      <c r="J294" s="33">
        <v>13990471</v>
      </c>
      <c r="K294" s="33" t="s">
        <v>1587</v>
      </c>
      <c r="L294" s="33" t="s">
        <v>1592</v>
      </c>
      <c r="M294" s="34">
        <v>149900</v>
      </c>
      <c r="N294" s="37">
        <f t="shared" si="29"/>
        <v>0.7</v>
      </c>
      <c r="O294" s="34">
        <f t="shared" si="28"/>
        <v>44970</v>
      </c>
      <c r="P294" s="34" t="str">
        <f t="shared" si="27"/>
        <v>PERCENTAGE</v>
      </c>
    </row>
    <row r="295" spans="1:16" s="6" customFormat="1" x14ac:dyDescent="0.25">
      <c r="A295" s="33" t="str">
        <f t="shared" si="24"/>
        <v>2024 JAN-JUN D70</v>
      </c>
      <c r="B295" s="8">
        <f t="shared" si="25"/>
        <v>46099</v>
      </c>
      <c r="C295" s="8">
        <f t="shared" si="26"/>
        <v>46113</v>
      </c>
      <c r="D295" s="33">
        <v>3272</v>
      </c>
      <c r="E295" s="33">
        <v>336</v>
      </c>
      <c r="F295" s="33">
        <v>4</v>
      </c>
      <c r="G295" s="33">
        <v>1</v>
      </c>
      <c r="H295" s="33">
        <v>81379</v>
      </c>
      <c r="I295" s="33" t="s">
        <v>104</v>
      </c>
      <c r="J295" s="33">
        <v>16623602</v>
      </c>
      <c r="K295" s="33" t="s">
        <v>1866</v>
      </c>
      <c r="L295" s="33" t="s">
        <v>1867</v>
      </c>
      <c r="M295" s="34">
        <v>149900</v>
      </c>
      <c r="N295" s="37">
        <f t="shared" si="29"/>
        <v>0.7</v>
      </c>
      <c r="O295" s="34">
        <f t="shared" si="28"/>
        <v>44970</v>
      </c>
      <c r="P295" s="34" t="str">
        <f t="shared" si="27"/>
        <v>PERCENTAGE</v>
      </c>
    </row>
    <row r="296" spans="1:16" s="6" customFormat="1" x14ac:dyDescent="0.25">
      <c r="A296" s="33" t="str">
        <f t="shared" si="24"/>
        <v>2024 JAN-JUN D70</v>
      </c>
      <c r="B296" s="8">
        <f t="shared" si="25"/>
        <v>46099</v>
      </c>
      <c r="C296" s="8">
        <f t="shared" si="26"/>
        <v>46113</v>
      </c>
      <c r="D296" s="33">
        <v>3272</v>
      </c>
      <c r="E296" s="33">
        <v>336</v>
      </c>
      <c r="F296" s="33">
        <v>4</v>
      </c>
      <c r="G296" s="33">
        <v>1</v>
      </c>
      <c r="H296" s="33">
        <v>81379</v>
      </c>
      <c r="I296" s="33" t="s">
        <v>104</v>
      </c>
      <c r="J296" s="33">
        <v>16623611</v>
      </c>
      <c r="K296" s="33" t="s">
        <v>1866</v>
      </c>
      <c r="L296" s="33" t="s">
        <v>1868</v>
      </c>
      <c r="M296" s="34">
        <v>149900</v>
      </c>
      <c r="N296" s="37">
        <f t="shared" si="29"/>
        <v>0.7</v>
      </c>
      <c r="O296" s="34">
        <f t="shared" si="28"/>
        <v>44970</v>
      </c>
      <c r="P296" s="34" t="str">
        <f t="shared" si="27"/>
        <v>PERCENTAGE</v>
      </c>
    </row>
    <row r="297" spans="1:16" s="6" customFormat="1" x14ac:dyDescent="0.25">
      <c r="A297" s="33" t="str">
        <f t="shared" si="24"/>
        <v>2024 JAN-JUN D70</v>
      </c>
      <c r="B297" s="8">
        <f t="shared" si="25"/>
        <v>46099</v>
      </c>
      <c r="C297" s="8">
        <f t="shared" si="26"/>
        <v>46113</v>
      </c>
      <c r="D297" s="33">
        <v>3272</v>
      </c>
      <c r="E297" s="33">
        <v>336</v>
      </c>
      <c r="F297" s="33">
        <v>4</v>
      </c>
      <c r="G297" s="33">
        <v>1</v>
      </c>
      <c r="H297" s="33">
        <v>81379</v>
      </c>
      <c r="I297" s="33" t="s">
        <v>104</v>
      </c>
      <c r="J297" s="33">
        <v>16623620</v>
      </c>
      <c r="K297" s="33" t="s">
        <v>1866</v>
      </c>
      <c r="L297" s="33" t="s">
        <v>1869</v>
      </c>
      <c r="M297" s="34">
        <v>149900</v>
      </c>
      <c r="N297" s="37">
        <f t="shared" si="29"/>
        <v>0.7</v>
      </c>
      <c r="O297" s="34">
        <f t="shared" si="28"/>
        <v>44970</v>
      </c>
      <c r="P297" s="34" t="str">
        <f t="shared" si="27"/>
        <v>PERCENTAGE</v>
      </c>
    </row>
    <row r="298" spans="1:16" s="6" customFormat="1" x14ac:dyDescent="0.25">
      <c r="A298" s="33" t="str">
        <f t="shared" si="24"/>
        <v>2024 JAN-JUN D70</v>
      </c>
      <c r="B298" s="8">
        <f t="shared" si="25"/>
        <v>46099</v>
      </c>
      <c r="C298" s="8">
        <f t="shared" si="26"/>
        <v>46113</v>
      </c>
      <c r="D298" s="33">
        <v>3272</v>
      </c>
      <c r="E298" s="33">
        <v>336</v>
      </c>
      <c r="F298" s="33">
        <v>4</v>
      </c>
      <c r="G298" s="33">
        <v>1</v>
      </c>
      <c r="H298" s="33">
        <v>81379</v>
      </c>
      <c r="I298" s="33" t="s">
        <v>104</v>
      </c>
      <c r="J298" s="33">
        <v>16623639</v>
      </c>
      <c r="K298" s="33" t="s">
        <v>1866</v>
      </c>
      <c r="L298" s="33" t="s">
        <v>1870</v>
      </c>
      <c r="M298" s="34">
        <v>149900</v>
      </c>
      <c r="N298" s="37">
        <f t="shared" si="29"/>
        <v>0.7</v>
      </c>
      <c r="O298" s="34">
        <f t="shared" si="28"/>
        <v>44970</v>
      </c>
      <c r="P298" s="34" t="str">
        <f t="shared" si="27"/>
        <v>PERCENTAGE</v>
      </c>
    </row>
    <row r="299" spans="1:16" s="6" customFormat="1" x14ac:dyDescent="0.25">
      <c r="A299" s="33" t="str">
        <f t="shared" ref="A299:A362" si="30">A298</f>
        <v>2024 JAN-JUN D70</v>
      </c>
      <c r="B299" s="8">
        <f t="shared" ref="B299:B362" si="31">B298</f>
        <v>46099</v>
      </c>
      <c r="C299" s="8">
        <f t="shared" ref="C299:C362" si="32">C298</f>
        <v>46113</v>
      </c>
      <c r="D299" s="33">
        <v>3272</v>
      </c>
      <c r="E299" s="33">
        <v>336</v>
      </c>
      <c r="F299" s="33">
        <v>4</v>
      </c>
      <c r="G299" s="33">
        <v>1</v>
      </c>
      <c r="H299" s="33">
        <v>81379</v>
      </c>
      <c r="I299" s="33" t="s">
        <v>104</v>
      </c>
      <c r="J299" s="33">
        <v>16623648</v>
      </c>
      <c r="K299" s="33" t="s">
        <v>1866</v>
      </c>
      <c r="L299" s="33" t="s">
        <v>1871</v>
      </c>
      <c r="M299" s="34">
        <v>149900</v>
      </c>
      <c r="N299" s="37">
        <f t="shared" si="29"/>
        <v>0.7</v>
      </c>
      <c r="O299" s="34">
        <f t="shared" si="28"/>
        <v>44970</v>
      </c>
      <c r="P299" s="34" t="str">
        <f t="shared" ref="P299:P362" si="33">P298</f>
        <v>PERCENTAGE</v>
      </c>
    </row>
    <row r="300" spans="1:16" s="6" customFormat="1" x14ac:dyDescent="0.25">
      <c r="A300" s="33" t="str">
        <f t="shared" si="30"/>
        <v>2024 JAN-JUN D70</v>
      </c>
      <c r="B300" s="8">
        <f t="shared" si="31"/>
        <v>46099</v>
      </c>
      <c r="C300" s="8">
        <f t="shared" si="32"/>
        <v>46113</v>
      </c>
      <c r="D300" s="33">
        <v>3272</v>
      </c>
      <c r="E300" s="33">
        <v>336</v>
      </c>
      <c r="F300" s="33">
        <v>4</v>
      </c>
      <c r="G300" s="33">
        <v>1</v>
      </c>
      <c r="H300" s="33">
        <v>81379</v>
      </c>
      <c r="I300" s="33" t="s">
        <v>104</v>
      </c>
      <c r="J300" s="33">
        <v>16623657</v>
      </c>
      <c r="K300" s="33" t="s">
        <v>1866</v>
      </c>
      <c r="L300" s="33" t="s">
        <v>1872</v>
      </c>
      <c r="M300" s="34">
        <v>149900</v>
      </c>
      <c r="N300" s="37">
        <f t="shared" si="29"/>
        <v>0.7</v>
      </c>
      <c r="O300" s="34">
        <f t="shared" si="28"/>
        <v>44970</v>
      </c>
      <c r="P300" s="34" t="str">
        <f t="shared" si="33"/>
        <v>PERCENTAGE</v>
      </c>
    </row>
    <row r="301" spans="1:16" s="6" customFormat="1" x14ac:dyDescent="0.25">
      <c r="A301" s="33" t="str">
        <f t="shared" si="30"/>
        <v>2024 JAN-JUN D70</v>
      </c>
      <c r="B301" s="8">
        <f t="shared" si="31"/>
        <v>46099</v>
      </c>
      <c r="C301" s="8">
        <f t="shared" si="32"/>
        <v>46113</v>
      </c>
      <c r="D301" s="33">
        <v>3272</v>
      </c>
      <c r="E301" s="33">
        <v>336</v>
      </c>
      <c r="F301" s="33">
        <v>4</v>
      </c>
      <c r="G301" s="33">
        <v>1</v>
      </c>
      <c r="H301" s="33">
        <v>81379</v>
      </c>
      <c r="I301" s="33" t="s">
        <v>104</v>
      </c>
      <c r="J301" s="33">
        <v>16623666</v>
      </c>
      <c r="K301" s="33" t="s">
        <v>1866</v>
      </c>
      <c r="L301" s="33" t="s">
        <v>1873</v>
      </c>
      <c r="M301" s="34">
        <v>149900</v>
      </c>
      <c r="N301" s="37">
        <f t="shared" si="29"/>
        <v>0.7</v>
      </c>
      <c r="O301" s="34">
        <f t="shared" si="28"/>
        <v>44970</v>
      </c>
      <c r="P301" s="34" t="str">
        <f t="shared" si="33"/>
        <v>PERCENTAGE</v>
      </c>
    </row>
    <row r="302" spans="1:16" s="6" customFormat="1" x14ac:dyDescent="0.25">
      <c r="A302" s="33" t="str">
        <f t="shared" si="30"/>
        <v>2024 JAN-JUN D70</v>
      </c>
      <c r="B302" s="8">
        <f t="shared" si="31"/>
        <v>46099</v>
      </c>
      <c r="C302" s="8">
        <f t="shared" si="32"/>
        <v>46113</v>
      </c>
      <c r="D302" s="33">
        <v>3272</v>
      </c>
      <c r="E302" s="33">
        <v>336</v>
      </c>
      <c r="F302" s="33">
        <v>4</v>
      </c>
      <c r="G302" s="33">
        <v>1</v>
      </c>
      <c r="H302" s="33">
        <v>81379</v>
      </c>
      <c r="I302" s="33" t="s">
        <v>104</v>
      </c>
      <c r="J302" s="33">
        <v>16623675</v>
      </c>
      <c r="K302" s="33" t="s">
        <v>1866</v>
      </c>
      <c r="L302" s="33" t="s">
        <v>1874</v>
      </c>
      <c r="M302" s="34">
        <v>149900</v>
      </c>
      <c r="N302" s="37">
        <f t="shared" si="29"/>
        <v>0.7</v>
      </c>
      <c r="O302" s="34">
        <f t="shared" si="28"/>
        <v>44970</v>
      </c>
      <c r="P302" s="34" t="str">
        <f t="shared" si="33"/>
        <v>PERCENTAGE</v>
      </c>
    </row>
    <row r="303" spans="1:16" s="6" customFormat="1" x14ac:dyDescent="0.25">
      <c r="A303" s="33" t="str">
        <f t="shared" si="30"/>
        <v>2024 JAN-JUN D70</v>
      </c>
      <c r="B303" s="8">
        <f t="shared" si="31"/>
        <v>46099</v>
      </c>
      <c r="C303" s="8">
        <f t="shared" si="32"/>
        <v>46113</v>
      </c>
      <c r="D303" s="33">
        <v>3272</v>
      </c>
      <c r="E303" s="33">
        <v>336</v>
      </c>
      <c r="F303" s="33">
        <v>4</v>
      </c>
      <c r="G303" s="33">
        <v>1</v>
      </c>
      <c r="H303" s="33">
        <v>81379</v>
      </c>
      <c r="I303" s="33" t="s">
        <v>104</v>
      </c>
      <c r="J303" s="33">
        <v>16623684</v>
      </c>
      <c r="K303" s="33" t="s">
        <v>1875</v>
      </c>
      <c r="L303" s="33" t="s">
        <v>1876</v>
      </c>
      <c r="M303" s="34">
        <v>149900</v>
      </c>
      <c r="N303" s="37">
        <f t="shared" si="29"/>
        <v>0.7</v>
      </c>
      <c r="O303" s="34">
        <f t="shared" si="28"/>
        <v>44970</v>
      </c>
      <c r="P303" s="34" t="str">
        <f t="shared" si="33"/>
        <v>PERCENTAGE</v>
      </c>
    </row>
    <row r="304" spans="1:16" s="6" customFormat="1" x14ac:dyDescent="0.25">
      <c r="A304" s="33" t="str">
        <f t="shared" si="30"/>
        <v>2024 JAN-JUN D70</v>
      </c>
      <c r="B304" s="8">
        <f t="shared" si="31"/>
        <v>46099</v>
      </c>
      <c r="C304" s="8">
        <f t="shared" si="32"/>
        <v>46113</v>
      </c>
      <c r="D304" s="33">
        <v>3272</v>
      </c>
      <c r="E304" s="33">
        <v>336</v>
      </c>
      <c r="F304" s="33">
        <v>4</v>
      </c>
      <c r="G304" s="33">
        <v>1</v>
      </c>
      <c r="H304" s="33">
        <v>81379</v>
      </c>
      <c r="I304" s="33" t="s">
        <v>104</v>
      </c>
      <c r="J304" s="33">
        <v>16623693</v>
      </c>
      <c r="K304" s="33" t="s">
        <v>1875</v>
      </c>
      <c r="L304" s="33" t="s">
        <v>1877</v>
      </c>
      <c r="M304" s="34">
        <v>149900</v>
      </c>
      <c r="N304" s="37">
        <f t="shared" si="29"/>
        <v>0.7</v>
      </c>
      <c r="O304" s="34">
        <f t="shared" si="28"/>
        <v>44970</v>
      </c>
      <c r="P304" s="34" t="str">
        <f t="shared" si="33"/>
        <v>PERCENTAGE</v>
      </c>
    </row>
    <row r="305" spans="1:16" s="6" customFormat="1" x14ac:dyDescent="0.25">
      <c r="A305" s="33" t="str">
        <f t="shared" si="30"/>
        <v>2024 JAN-JUN D70</v>
      </c>
      <c r="B305" s="8">
        <f t="shared" si="31"/>
        <v>46099</v>
      </c>
      <c r="C305" s="8">
        <f t="shared" si="32"/>
        <v>46113</v>
      </c>
      <c r="D305" s="33">
        <v>3272</v>
      </c>
      <c r="E305" s="33">
        <v>336</v>
      </c>
      <c r="F305" s="33">
        <v>4</v>
      </c>
      <c r="G305" s="33">
        <v>1</v>
      </c>
      <c r="H305" s="33">
        <v>81379</v>
      </c>
      <c r="I305" s="33" t="s">
        <v>104</v>
      </c>
      <c r="J305" s="33">
        <v>16623700</v>
      </c>
      <c r="K305" s="33" t="s">
        <v>1875</v>
      </c>
      <c r="L305" s="33" t="s">
        <v>1878</v>
      </c>
      <c r="M305" s="34">
        <v>149900</v>
      </c>
      <c r="N305" s="37">
        <f t="shared" si="29"/>
        <v>0.7</v>
      </c>
      <c r="O305" s="34">
        <f t="shared" si="28"/>
        <v>44970</v>
      </c>
      <c r="P305" s="34" t="str">
        <f t="shared" si="33"/>
        <v>PERCENTAGE</v>
      </c>
    </row>
    <row r="306" spans="1:16" s="6" customFormat="1" x14ac:dyDescent="0.25">
      <c r="A306" s="33" t="str">
        <f t="shared" si="30"/>
        <v>2024 JAN-JUN D70</v>
      </c>
      <c r="B306" s="8">
        <f t="shared" si="31"/>
        <v>46099</v>
      </c>
      <c r="C306" s="8">
        <f t="shared" si="32"/>
        <v>46113</v>
      </c>
      <c r="D306" s="33">
        <v>3272</v>
      </c>
      <c r="E306" s="33">
        <v>336</v>
      </c>
      <c r="F306" s="33">
        <v>4</v>
      </c>
      <c r="G306" s="33">
        <v>1</v>
      </c>
      <c r="H306" s="33">
        <v>81379</v>
      </c>
      <c r="I306" s="33" t="s">
        <v>104</v>
      </c>
      <c r="J306" s="33">
        <v>16623719</v>
      </c>
      <c r="K306" s="33" t="s">
        <v>1875</v>
      </c>
      <c r="L306" s="33" t="s">
        <v>1879</v>
      </c>
      <c r="M306" s="34">
        <v>149900</v>
      </c>
      <c r="N306" s="37">
        <f t="shared" si="29"/>
        <v>0.7</v>
      </c>
      <c r="O306" s="34">
        <f t="shared" si="28"/>
        <v>44970</v>
      </c>
      <c r="P306" s="34" t="str">
        <f t="shared" si="33"/>
        <v>PERCENTAGE</v>
      </c>
    </row>
    <row r="307" spans="1:16" s="6" customFormat="1" x14ac:dyDescent="0.25">
      <c r="A307" s="33" t="str">
        <f t="shared" si="30"/>
        <v>2024 JAN-JUN D70</v>
      </c>
      <c r="B307" s="8">
        <f t="shared" si="31"/>
        <v>46099</v>
      </c>
      <c r="C307" s="8">
        <f t="shared" si="32"/>
        <v>46113</v>
      </c>
      <c r="D307" s="33">
        <v>3272</v>
      </c>
      <c r="E307" s="33">
        <v>336</v>
      </c>
      <c r="F307" s="33">
        <v>4</v>
      </c>
      <c r="G307" s="33">
        <v>1</v>
      </c>
      <c r="H307" s="33">
        <v>81379</v>
      </c>
      <c r="I307" s="33" t="s">
        <v>104</v>
      </c>
      <c r="J307" s="33">
        <v>16623728</v>
      </c>
      <c r="K307" s="33" t="s">
        <v>1875</v>
      </c>
      <c r="L307" s="33" t="s">
        <v>1880</v>
      </c>
      <c r="M307" s="34">
        <v>149900</v>
      </c>
      <c r="N307" s="37">
        <f t="shared" si="29"/>
        <v>0.7</v>
      </c>
      <c r="O307" s="34">
        <f t="shared" si="28"/>
        <v>44970</v>
      </c>
      <c r="P307" s="34" t="str">
        <f t="shared" si="33"/>
        <v>PERCENTAGE</v>
      </c>
    </row>
    <row r="308" spans="1:16" s="6" customFormat="1" x14ac:dyDescent="0.25">
      <c r="A308" s="33" t="str">
        <f t="shared" si="30"/>
        <v>2024 JAN-JUN D70</v>
      </c>
      <c r="B308" s="8">
        <f t="shared" si="31"/>
        <v>46099</v>
      </c>
      <c r="C308" s="8">
        <f t="shared" si="32"/>
        <v>46113</v>
      </c>
      <c r="D308" s="33">
        <v>3272</v>
      </c>
      <c r="E308" s="33">
        <v>336</v>
      </c>
      <c r="F308" s="33">
        <v>4</v>
      </c>
      <c r="G308" s="33">
        <v>1</v>
      </c>
      <c r="H308" s="33">
        <v>81379</v>
      </c>
      <c r="I308" s="33" t="s">
        <v>104</v>
      </c>
      <c r="J308" s="33">
        <v>16623737</v>
      </c>
      <c r="K308" s="33" t="s">
        <v>1875</v>
      </c>
      <c r="L308" s="33" t="s">
        <v>1881</v>
      </c>
      <c r="M308" s="34">
        <v>149900</v>
      </c>
      <c r="N308" s="37">
        <f t="shared" si="29"/>
        <v>0.7</v>
      </c>
      <c r="O308" s="34">
        <f t="shared" si="28"/>
        <v>44970</v>
      </c>
      <c r="P308" s="34" t="str">
        <f t="shared" si="33"/>
        <v>PERCENTAGE</v>
      </c>
    </row>
    <row r="309" spans="1:16" s="6" customFormat="1" x14ac:dyDescent="0.25">
      <c r="A309" s="33" t="str">
        <f t="shared" si="30"/>
        <v>2024 JAN-JUN D70</v>
      </c>
      <c r="B309" s="8">
        <f t="shared" si="31"/>
        <v>46099</v>
      </c>
      <c r="C309" s="8">
        <f t="shared" si="32"/>
        <v>46113</v>
      </c>
      <c r="D309" s="33">
        <v>3272</v>
      </c>
      <c r="E309" s="33">
        <v>336</v>
      </c>
      <c r="F309" s="33">
        <v>4</v>
      </c>
      <c r="G309" s="33">
        <v>1</v>
      </c>
      <c r="H309" s="33">
        <v>81379</v>
      </c>
      <c r="I309" s="33" t="s">
        <v>104</v>
      </c>
      <c r="J309" s="33">
        <v>16623746</v>
      </c>
      <c r="K309" s="33" t="s">
        <v>1875</v>
      </c>
      <c r="L309" s="33" t="s">
        <v>1882</v>
      </c>
      <c r="M309" s="34">
        <v>149900</v>
      </c>
      <c r="N309" s="37">
        <f t="shared" si="29"/>
        <v>0.7</v>
      </c>
      <c r="O309" s="34">
        <f t="shared" si="28"/>
        <v>44970</v>
      </c>
      <c r="P309" s="34" t="str">
        <f t="shared" si="33"/>
        <v>PERCENTAGE</v>
      </c>
    </row>
    <row r="310" spans="1:16" s="6" customFormat="1" x14ac:dyDescent="0.25">
      <c r="A310" s="33" t="str">
        <f t="shared" si="30"/>
        <v>2024 JAN-JUN D70</v>
      </c>
      <c r="B310" s="8">
        <f t="shared" si="31"/>
        <v>46099</v>
      </c>
      <c r="C310" s="8">
        <f t="shared" si="32"/>
        <v>46113</v>
      </c>
      <c r="D310" s="33">
        <v>3272</v>
      </c>
      <c r="E310" s="33">
        <v>336</v>
      </c>
      <c r="F310" s="33">
        <v>4</v>
      </c>
      <c r="G310" s="33">
        <v>1</v>
      </c>
      <c r="H310" s="33">
        <v>81379</v>
      </c>
      <c r="I310" s="33" t="s">
        <v>104</v>
      </c>
      <c r="J310" s="33">
        <v>16623755</v>
      </c>
      <c r="K310" s="33" t="s">
        <v>1875</v>
      </c>
      <c r="L310" s="33" t="s">
        <v>1883</v>
      </c>
      <c r="M310" s="34">
        <v>149900</v>
      </c>
      <c r="N310" s="37">
        <f t="shared" si="29"/>
        <v>0.7</v>
      </c>
      <c r="O310" s="34">
        <f t="shared" si="28"/>
        <v>44970</v>
      </c>
      <c r="P310" s="34" t="str">
        <f t="shared" si="33"/>
        <v>PERCENTAGE</v>
      </c>
    </row>
    <row r="311" spans="1:16" s="6" customFormat="1" x14ac:dyDescent="0.25">
      <c r="A311" s="33" t="str">
        <f t="shared" si="30"/>
        <v>2024 JAN-JUN D70</v>
      </c>
      <c r="B311" s="8">
        <f t="shared" si="31"/>
        <v>46099</v>
      </c>
      <c r="C311" s="8">
        <f t="shared" si="32"/>
        <v>46113</v>
      </c>
      <c r="D311" s="33">
        <v>3272</v>
      </c>
      <c r="E311" s="33">
        <v>336</v>
      </c>
      <c r="F311" s="33">
        <v>4</v>
      </c>
      <c r="G311" s="33">
        <v>1</v>
      </c>
      <c r="H311" s="33">
        <v>81379</v>
      </c>
      <c r="I311" s="33" t="s">
        <v>104</v>
      </c>
      <c r="J311" s="33">
        <v>16623764</v>
      </c>
      <c r="K311" s="33" t="s">
        <v>1884</v>
      </c>
      <c r="L311" s="33" t="s">
        <v>1885</v>
      </c>
      <c r="M311" s="34">
        <v>149900</v>
      </c>
      <c r="N311" s="37">
        <f t="shared" si="29"/>
        <v>0.7</v>
      </c>
      <c r="O311" s="34">
        <f t="shared" si="28"/>
        <v>44970</v>
      </c>
      <c r="P311" s="34" t="str">
        <f t="shared" si="33"/>
        <v>PERCENTAGE</v>
      </c>
    </row>
    <row r="312" spans="1:16" s="6" customFormat="1" x14ac:dyDescent="0.25">
      <c r="A312" s="33" t="str">
        <f t="shared" si="30"/>
        <v>2024 JAN-JUN D70</v>
      </c>
      <c r="B312" s="8">
        <f t="shared" si="31"/>
        <v>46099</v>
      </c>
      <c r="C312" s="8">
        <f t="shared" si="32"/>
        <v>46113</v>
      </c>
      <c r="D312" s="33">
        <v>3272</v>
      </c>
      <c r="E312" s="33">
        <v>336</v>
      </c>
      <c r="F312" s="33">
        <v>4</v>
      </c>
      <c r="G312" s="33">
        <v>1</v>
      </c>
      <c r="H312" s="33">
        <v>81379</v>
      </c>
      <c r="I312" s="33" t="s">
        <v>104</v>
      </c>
      <c r="J312" s="33">
        <v>16623773</v>
      </c>
      <c r="K312" s="33" t="s">
        <v>1884</v>
      </c>
      <c r="L312" s="33" t="s">
        <v>1886</v>
      </c>
      <c r="M312" s="34">
        <v>149900</v>
      </c>
      <c r="N312" s="37">
        <f t="shared" si="29"/>
        <v>0.7</v>
      </c>
      <c r="O312" s="34">
        <f t="shared" si="28"/>
        <v>44970</v>
      </c>
      <c r="P312" s="34" t="str">
        <f t="shared" si="33"/>
        <v>PERCENTAGE</v>
      </c>
    </row>
    <row r="313" spans="1:16" s="6" customFormat="1" x14ac:dyDescent="0.25">
      <c r="A313" s="33" t="str">
        <f t="shared" si="30"/>
        <v>2024 JAN-JUN D70</v>
      </c>
      <c r="B313" s="8">
        <f t="shared" si="31"/>
        <v>46099</v>
      </c>
      <c r="C313" s="8">
        <f t="shared" si="32"/>
        <v>46113</v>
      </c>
      <c r="D313" s="33">
        <v>3272</v>
      </c>
      <c r="E313" s="33">
        <v>336</v>
      </c>
      <c r="F313" s="33">
        <v>4</v>
      </c>
      <c r="G313" s="33">
        <v>1</v>
      </c>
      <c r="H313" s="33">
        <v>81379</v>
      </c>
      <c r="I313" s="33" t="s">
        <v>104</v>
      </c>
      <c r="J313" s="33">
        <v>16623782</v>
      </c>
      <c r="K313" s="33" t="s">
        <v>1884</v>
      </c>
      <c r="L313" s="33" t="s">
        <v>1887</v>
      </c>
      <c r="M313" s="34">
        <v>149900</v>
      </c>
      <c r="N313" s="37">
        <f t="shared" si="29"/>
        <v>0.7</v>
      </c>
      <c r="O313" s="34">
        <f t="shared" si="28"/>
        <v>44970</v>
      </c>
      <c r="P313" s="34" t="str">
        <f t="shared" si="33"/>
        <v>PERCENTAGE</v>
      </c>
    </row>
    <row r="314" spans="1:16" s="6" customFormat="1" x14ac:dyDescent="0.25">
      <c r="A314" s="33" t="str">
        <f t="shared" si="30"/>
        <v>2024 JAN-JUN D70</v>
      </c>
      <c r="B314" s="8">
        <f t="shared" si="31"/>
        <v>46099</v>
      </c>
      <c r="C314" s="8">
        <f t="shared" si="32"/>
        <v>46113</v>
      </c>
      <c r="D314" s="33">
        <v>3272</v>
      </c>
      <c r="E314" s="33">
        <v>336</v>
      </c>
      <c r="F314" s="33">
        <v>4</v>
      </c>
      <c r="G314" s="33">
        <v>1</v>
      </c>
      <c r="H314" s="33">
        <v>81379</v>
      </c>
      <c r="I314" s="33" t="s">
        <v>104</v>
      </c>
      <c r="J314" s="33">
        <v>16623791</v>
      </c>
      <c r="K314" s="33" t="s">
        <v>1884</v>
      </c>
      <c r="L314" s="33" t="s">
        <v>1888</v>
      </c>
      <c r="M314" s="34">
        <v>149900</v>
      </c>
      <c r="N314" s="37">
        <f t="shared" si="29"/>
        <v>0.7</v>
      </c>
      <c r="O314" s="34">
        <f t="shared" si="28"/>
        <v>44970</v>
      </c>
      <c r="P314" s="34" t="str">
        <f t="shared" si="33"/>
        <v>PERCENTAGE</v>
      </c>
    </row>
    <row r="315" spans="1:16" s="6" customFormat="1" x14ac:dyDescent="0.25">
      <c r="A315" s="33" t="str">
        <f t="shared" si="30"/>
        <v>2024 JAN-JUN D70</v>
      </c>
      <c r="B315" s="8">
        <f t="shared" si="31"/>
        <v>46099</v>
      </c>
      <c r="C315" s="8">
        <f t="shared" si="32"/>
        <v>46113</v>
      </c>
      <c r="D315" s="33">
        <v>3272</v>
      </c>
      <c r="E315" s="33">
        <v>336</v>
      </c>
      <c r="F315" s="33">
        <v>4</v>
      </c>
      <c r="G315" s="33">
        <v>1</v>
      </c>
      <c r="H315" s="33">
        <v>81379</v>
      </c>
      <c r="I315" s="33" t="s">
        <v>104</v>
      </c>
      <c r="J315" s="33">
        <v>16623808</v>
      </c>
      <c r="K315" s="33" t="s">
        <v>1884</v>
      </c>
      <c r="L315" s="33" t="s">
        <v>1889</v>
      </c>
      <c r="M315" s="34">
        <v>149900</v>
      </c>
      <c r="N315" s="37">
        <f t="shared" si="29"/>
        <v>0.7</v>
      </c>
      <c r="O315" s="34">
        <f t="shared" si="28"/>
        <v>44970</v>
      </c>
      <c r="P315" s="34" t="str">
        <f t="shared" si="33"/>
        <v>PERCENTAGE</v>
      </c>
    </row>
    <row r="316" spans="1:16" s="6" customFormat="1" x14ac:dyDescent="0.25">
      <c r="A316" s="33" t="str">
        <f t="shared" si="30"/>
        <v>2024 JAN-JUN D70</v>
      </c>
      <c r="B316" s="8">
        <f t="shared" si="31"/>
        <v>46099</v>
      </c>
      <c r="C316" s="8">
        <f t="shared" si="32"/>
        <v>46113</v>
      </c>
      <c r="D316" s="33">
        <v>3272</v>
      </c>
      <c r="E316" s="33">
        <v>336</v>
      </c>
      <c r="F316" s="33">
        <v>4</v>
      </c>
      <c r="G316" s="33">
        <v>1</v>
      </c>
      <c r="H316" s="33">
        <v>81379</v>
      </c>
      <c r="I316" s="33" t="s">
        <v>104</v>
      </c>
      <c r="J316" s="33">
        <v>16623817</v>
      </c>
      <c r="K316" s="33" t="s">
        <v>1884</v>
      </c>
      <c r="L316" s="33" t="s">
        <v>1890</v>
      </c>
      <c r="M316" s="34">
        <v>149900</v>
      </c>
      <c r="N316" s="37">
        <f t="shared" si="29"/>
        <v>0.7</v>
      </c>
      <c r="O316" s="34">
        <f t="shared" si="28"/>
        <v>44970</v>
      </c>
      <c r="P316" s="34" t="str">
        <f t="shared" si="33"/>
        <v>PERCENTAGE</v>
      </c>
    </row>
    <row r="317" spans="1:16" s="6" customFormat="1" x14ac:dyDescent="0.25">
      <c r="A317" s="33" t="str">
        <f t="shared" si="30"/>
        <v>2024 JAN-JUN D70</v>
      </c>
      <c r="B317" s="8">
        <f t="shared" si="31"/>
        <v>46099</v>
      </c>
      <c r="C317" s="8">
        <f t="shared" si="32"/>
        <v>46113</v>
      </c>
      <c r="D317" s="33">
        <v>3272</v>
      </c>
      <c r="E317" s="33">
        <v>336</v>
      </c>
      <c r="F317" s="33">
        <v>4</v>
      </c>
      <c r="G317" s="33">
        <v>1</v>
      </c>
      <c r="H317" s="33">
        <v>81379</v>
      </c>
      <c r="I317" s="33" t="s">
        <v>104</v>
      </c>
      <c r="J317" s="33">
        <v>16623826</v>
      </c>
      <c r="K317" s="33" t="s">
        <v>1884</v>
      </c>
      <c r="L317" s="33" t="s">
        <v>1891</v>
      </c>
      <c r="M317" s="34">
        <v>149900</v>
      </c>
      <c r="N317" s="37">
        <f t="shared" si="29"/>
        <v>0.7</v>
      </c>
      <c r="O317" s="34">
        <f t="shared" si="28"/>
        <v>44970</v>
      </c>
      <c r="P317" s="34" t="str">
        <f t="shared" si="33"/>
        <v>PERCENTAGE</v>
      </c>
    </row>
    <row r="318" spans="1:16" s="6" customFormat="1" x14ac:dyDescent="0.25">
      <c r="A318" s="33" t="str">
        <f t="shared" si="30"/>
        <v>2024 JAN-JUN D70</v>
      </c>
      <c r="B318" s="8">
        <f t="shared" si="31"/>
        <v>46099</v>
      </c>
      <c r="C318" s="8">
        <f t="shared" si="32"/>
        <v>46113</v>
      </c>
      <c r="D318" s="33">
        <v>3272</v>
      </c>
      <c r="E318" s="33">
        <v>336</v>
      </c>
      <c r="F318" s="33">
        <v>4</v>
      </c>
      <c r="G318" s="33">
        <v>1</v>
      </c>
      <c r="H318" s="33">
        <v>81379</v>
      </c>
      <c r="I318" s="33" t="s">
        <v>104</v>
      </c>
      <c r="J318" s="33">
        <v>16623835</v>
      </c>
      <c r="K318" s="33" t="s">
        <v>1884</v>
      </c>
      <c r="L318" s="33" t="s">
        <v>1892</v>
      </c>
      <c r="M318" s="34">
        <v>149900</v>
      </c>
      <c r="N318" s="37">
        <f t="shared" si="29"/>
        <v>0.7</v>
      </c>
      <c r="O318" s="34">
        <f t="shared" si="28"/>
        <v>44970</v>
      </c>
      <c r="P318" s="34" t="str">
        <f t="shared" si="33"/>
        <v>PERCENTAGE</v>
      </c>
    </row>
    <row r="319" spans="1:16" s="6" customFormat="1" x14ac:dyDescent="0.25">
      <c r="A319" s="33" t="str">
        <f t="shared" si="30"/>
        <v>2024 JAN-JUN D70</v>
      </c>
      <c r="B319" s="8">
        <f t="shared" si="31"/>
        <v>46099</v>
      </c>
      <c r="C319" s="8">
        <f t="shared" si="32"/>
        <v>46113</v>
      </c>
      <c r="D319" s="33">
        <v>3272</v>
      </c>
      <c r="E319" s="33">
        <v>336</v>
      </c>
      <c r="F319" s="33">
        <v>4</v>
      </c>
      <c r="G319" s="33">
        <v>4</v>
      </c>
      <c r="H319" s="33">
        <v>81379</v>
      </c>
      <c r="I319" s="33" t="s">
        <v>104</v>
      </c>
      <c r="J319" s="33">
        <v>15500326</v>
      </c>
      <c r="K319" s="33" t="s">
        <v>1904</v>
      </c>
      <c r="L319" s="33" t="s">
        <v>1905</v>
      </c>
      <c r="M319" s="34">
        <v>159900</v>
      </c>
      <c r="N319" s="37">
        <f t="shared" si="29"/>
        <v>0.7</v>
      </c>
      <c r="O319" s="34">
        <f t="shared" si="28"/>
        <v>47970</v>
      </c>
      <c r="P319" s="34" t="str">
        <f t="shared" si="33"/>
        <v>PERCENTAGE</v>
      </c>
    </row>
    <row r="320" spans="1:16" s="6" customFormat="1" x14ac:dyDescent="0.25">
      <c r="A320" s="33" t="str">
        <f t="shared" si="30"/>
        <v>2024 JAN-JUN D70</v>
      </c>
      <c r="B320" s="8">
        <f t="shared" si="31"/>
        <v>46099</v>
      </c>
      <c r="C320" s="8">
        <f t="shared" si="32"/>
        <v>46113</v>
      </c>
      <c r="D320" s="33">
        <v>3272</v>
      </c>
      <c r="E320" s="33">
        <v>336</v>
      </c>
      <c r="F320" s="33">
        <v>4</v>
      </c>
      <c r="G320" s="33">
        <v>4</v>
      </c>
      <c r="H320" s="33">
        <v>81379</v>
      </c>
      <c r="I320" s="33" t="s">
        <v>104</v>
      </c>
      <c r="J320" s="33">
        <v>15500335</v>
      </c>
      <c r="K320" s="33" t="s">
        <v>1904</v>
      </c>
      <c r="L320" s="33" t="s">
        <v>1906</v>
      </c>
      <c r="M320" s="34">
        <v>159900</v>
      </c>
      <c r="N320" s="37">
        <f t="shared" si="29"/>
        <v>0.7</v>
      </c>
      <c r="O320" s="34">
        <f t="shared" si="28"/>
        <v>47970</v>
      </c>
      <c r="P320" s="34" t="str">
        <f t="shared" si="33"/>
        <v>PERCENTAGE</v>
      </c>
    </row>
    <row r="321" spans="1:16" s="6" customFormat="1" x14ac:dyDescent="0.25">
      <c r="A321" s="33" t="str">
        <f t="shared" si="30"/>
        <v>2024 JAN-JUN D70</v>
      </c>
      <c r="B321" s="8">
        <f t="shared" si="31"/>
        <v>46099</v>
      </c>
      <c r="C321" s="8">
        <f t="shared" si="32"/>
        <v>46113</v>
      </c>
      <c r="D321" s="33">
        <v>3272</v>
      </c>
      <c r="E321" s="33">
        <v>336</v>
      </c>
      <c r="F321" s="33">
        <v>4</v>
      </c>
      <c r="G321" s="33">
        <v>4</v>
      </c>
      <c r="H321" s="33">
        <v>81379</v>
      </c>
      <c r="I321" s="33" t="s">
        <v>104</v>
      </c>
      <c r="J321" s="33">
        <v>15500344</v>
      </c>
      <c r="K321" s="33" t="s">
        <v>1904</v>
      </c>
      <c r="L321" s="33" t="s">
        <v>1907</v>
      </c>
      <c r="M321" s="34">
        <v>159900</v>
      </c>
      <c r="N321" s="37">
        <f t="shared" si="29"/>
        <v>0.7</v>
      </c>
      <c r="O321" s="34">
        <f t="shared" si="28"/>
        <v>47970</v>
      </c>
      <c r="P321" s="34" t="str">
        <f t="shared" si="33"/>
        <v>PERCENTAGE</v>
      </c>
    </row>
    <row r="322" spans="1:16" s="6" customFormat="1" x14ac:dyDescent="0.25">
      <c r="A322" s="33" t="str">
        <f t="shared" si="30"/>
        <v>2024 JAN-JUN D70</v>
      </c>
      <c r="B322" s="8">
        <f t="shared" si="31"/>
        <v>46099</v>
      </c>
      <c r="C322" s="8">
        <f t="shared" si="32"/>
        <v>46113</v>
      </c>
      <c r="D322" s="33">
        <v>3272</v>
      </c>
      <c r="E322" s="33">
        <v>336</v>
      </c>
      <c r="F322" s="33">
        <v>4</v>
      </c>
      <c r="G322" s="33">
        <v>4</v>
      </c>
      <c r="H322" s="33">
        <v>81379</v>
      </c>
      <c r="I322" s="33" t="s">
        <v>104</v>
      </c>
      <c r="J322" s="33">
        <v>15500353</v>
      </c>
      <c r="K322" s="33" t="s">
        <v>1904</v>
      </c>
      <c r="L322" s="33" t="s">
        <v>1908</v>
      </c>
      <c r="M322" s="34">
        <v>159900</v>
      </c>
      <c r="N322" s="37">
        <f t="shared" si="29"/>
        <v>0.7</v>
      </c>
      <c r="O322" s="34">
        <f t="shared" ref="O322:O385" si="34">M322-((70*M322))/100</f>
        <v>47970</v>
      </c>
      <c r="P322" s="34" t="str">
        <f t="shared" si="33"/>
        <v>PERCENTAGE</v>
      </c>
    </row>
    <row r="323" spans="1:16" s="6" customFormat="1" x14ac:dyDescent="0.25">
      <c r="A323" s="33" t="str">
        <f t="shared" si="30"/>
        <v>2024 JAN-JUN D70</v>
      </c>
      <c r="B323" s="8">
        <f t="shared" si="31"/>
        <v>46099</v>
      </c>
      <c r="C323" s="8">
        <f t="shared" si="32"/>
        <v>46113</v>
      </c>
      <c r="D323" s="33">
        <v>3272</v>
      </c>
      <c r="E323" s="33">
        <v>336</v>
      </c>
      <c r="F323" s="33">
        <v>4</v>
      </c>
      <c r="G323" s="33">
        <v>4</v>
      </c>
      <c r="H323" s="33">
        <v>81379</v>
      </c>
      <c r="I323" s="33" t="s">
        <v>104</v>
      </c>
      <c r="J323" s="33">
        <v>15500362</v>
      </c>
      <c r="K323" s="33" t="s">
        <v>1904</v>
      </c>
      <c r="L323" s="33" t="s">
        <v>1909</v>
      </c>
      <c r="M323" s="34">
        <v>159900</v>
      </c>
      <c r="N323" s="37">
        <f t="shared" ref="N323:N386" si="35">N322</f>
        <v>0.7</v>
      </c>
      <c r="O323" s="34">
        <f t="shared" si="34"/>
        <v>47970</v>
      </c>
      <c r="P323" s="34" t="str">
        <f t="shared" si="33"/>
        <v>PERCENTAGE</v>
      </c>
    </row>
    <row r="324" spans="1:16" s="6" customFormat="1" x14ac:dyDescent="0.25">
      <c r="A324" s="33" t="str">
        <f t="shared" si="30"/>
        <v>2024 JAN-JUN D70</v>
      </c>
      <c r="B324" s="8">
        <f t="shared" si="31"/>
        <v>46099</v>
      </c>
      <c r="C324" s="8">
        <f t="shared" si="32"/>
        <v>46113</v>
      </c>
      <c r="D324" s="33">
        <v>3272</v>
      </c>
      <c r="E324" s="33">
        <v>336</v>
      </c>
      <c r="F324" s="33">
        <v>4</v>
      </c>
      <c r="G324" s="33">
        <v>1</v>
      </c>
      <c r="H324" s="33">
        <v>81379</v>
      </c>
      <c r="I324" s="33" t="s">
        <v>104</v>
      </c>
      <c r="J324" s="33">
        <v>15501594</v>
      </c>
      <c r="K324" s="33" t="s">
        <v>1737</v>
      </c>
      <c r="L324" s="33" t="s">
        <v>1738</v>
      </c>
      <c r="M324" s="34">
        <v>149900</v>
      </c>
      <c r="N324" s="37">
        <f t="shared" si="35"/>
        <v>0.7</v>
      </c>
      <c r="O324" s="34">
        <f t="shared" si="34"/>
        <v>44970</v>
      </c>
      <c r="P324" s="34" t="str">
        <f t="shared" si="33"/>
        <v>PERCENTAGE</v>
      </c>
    </row>
    <row r="325" spans="1:16" s="6" customFormat="1" x14ac:dyDescent="0.25">
      <c r="A325" s="33" t="str">
        <f t="shared" si="30"/>
        <v>2024 JAN-JUN D70</v>
      </c>
      <c r="B325" s="8">
        <f t="shared" si="31"/>
        <v>46099</v>
      </c>
      <c r="C325" s="8">
        <f t="shared" si="32"/>
        <v>46113</v>
      </c>
      <c r="D325" s="33">
        <v>3272</v>
      </c>
      <c r="E325" s="33">
        <v>336</v>
      </c>
      <c r="F325" s="33">
        <v>4</v>
      </c>
      <c r="G325" s="33">
        <v>1</v>
      </c>
      <c r="H325" s="33">
        <v>81379</v>
      </c>
      <c r="I325" s="33" t="s">
        <v>104</v>
      </c>
      <c r="J325" s="33">
        <v>15501601</v>
      </c>
      <c r="K325" s="33" t="s">
        <v>1737</v>
      </c>
      <c r="L325" s="33" t="s">
        <v>1739</v>
      </c>
      <c r="M325" s="34">
        <v>149900</v>
      </c>
      <c r="N325" s="37">
        <f t="shared" si="35"/>
        <v>0.7</v>
      </c>
      <c r="O325" s="34">
        <f t="shared" si="34"/>
        <v>44970</v>
      </c>
      <c r="P325" s="34" t="str">
        <f t="shared" si="33"/>
        <v>PERCENTAGE</v>
      </c>
    </row>
    <row r="326" spans="1:16" s="6" customFormat="1" x14ac:dyDescent="0.25">
      <c r="A326" s="33" t="str">
        <f t="shared" si="30"/>
        <v>2024 JAN-JUN D70</v>
      </c>
      <c r="B326" s="8">
        <f t="shared" si="31"/>
        <v>46099</v>
      </c>
      <c r="C326" s="8">
        <f t="shared" si="32"/>
        <v>46113</v>
      </c>
      <c r="D326" s="33">
        <v>3272</v>
      </c>
      <c r="E326" s="33">
        <v>336</v>
      </c>
      <c r="F326" s="33">
        <v>4</v>
      </c>
      <c r="G326" s="33">
        <v>1</v>
      </c>
      <c r="H326" s="33">
        <v>81379</v>
      </c>
      <c r="I326" s="33" t="s">
        <v>104</v>
      </c>
      <c r="J326" s="33">
        <v>15501610</v>
      </c>
      <c r="K326" s="33" t="s">
        <v>1737</v>
      </c>
      <c r="L326" s="33" t="s">
        <v>1740</v>
      </c>
      <c r="M326" s="34">
        <v>149900</v>
      </c>
      <c r="N326" s="37">
        <f t="shared" si="35"/>
        <v>0.7</v>
      </c>
      <c r="O326" s="34">
        <f t="shared" si="34"/>
        <v>44970</v>
      </c>
      <c r="P326" s="34" t="str">
        <f t="shared" si="33"/>
        <v>PERCENTAGE</v>
      </c>
    </row>
    <row r="327" spans="1:16" s="6" customFormat="1" x14ac:dyDescent="0.25">
      <c r="A327" s="33" t="str">
        <f t="shared" si="30"/>
        <v>2024 JAN-JUN D70</v>
      </c>
      <c r="B327" s="8">
        <f t="shared" si="31"/>
        <v>46099</v>
      </c>
      <c r="C327" s="8">
        <f t="shared" si="32"/>
        <v>46113</v>
      </c>
      <c r="D327" s="33">
        <v>3272</v>
      </c>
      <c r="E327" s="33">
        <v>336</v>
      </c>
      <c r="F327" s="33">
        <v>4</v>
      </c>
      <c r="G327" s="33">
        <v>1</v>
      </c>
      <c r="H327" s="33">
        <v>81379</v>
      </c>
      <c r="I327" s="33" t="s">
        <v>104</v>
      </c>
      <c r="J327" s="33">
        <v>15501629</v>
      </c>
      <c r="K327" s="33" t="s">
        <v>1737</v>
      </c>
      <c r="L327" s="33" t="s">
        <v>1741</v>
      </c>
      <c r="M327" s="34">
        <v>149900</v>
      </c>
      <c r="N327" s="37">
        <f t="shared" si="35"/>
        <v>0.7</v>
      </c>
      <c r="O327" s="34">
        <f t="shared" si="34"/>
        <v>44970</v>
      </c>
      <c r="P327" s="34" t="str">
        <f t="shared" si="33"/>
        <v>PERCENTAGE</v>
      </c>
    </row>
    <row r="328" spans="1:16" s="6" customFormat="1" x14ac:dyDescent="0.25">
      <c r="A328" s="33" t="str">
        <f t="shared" si="30"/>
        <v>2024 JAN-JUN D70</v>
      </c>
      <c r="B328" s="8">
        <f t="shared" si="31"/>
        <v>46099</v>
      </c>
      <c r="C328" s="8">
        <f t="shared" si="32"/>
        <v>46113</v>
      </c>
      <c r="D328" s="33">
        <v>3272</v>
      </c>
      <c r="E328" s="33">
        <v>336</v>
      </c>
      <c r="F328" s="33">
        <v>4</v>
      </c>
      <c r="G328" s="33">
        <v>1</v>
      </c>
      <c r="H328" s="33">
        <v>81379</v>
      </c>
      <c r="I328" s="33" t="s">
        <v>104</v>
      </c>
      <c r="J328" s="33">
        <v>15501638</v>
      </c>
      <c r="K328" s="33" t="s">
        <v>1737</v>
      </c>
      <c r="L328" s="33" t="s">
        <v>1742</v>
      </c>
      <c r="M328" s="34">
        <v>149900</v>
      </c>
      <c r="N328" s="37">
        <f t="shared" si="35"/>
        <v>0.7</v>
      </c>
      <c r="O328" s="34">
        <f t="shared" si="34"/>
        <v>44970</v>
      </c>
      <c r="P328" s="34" t="str">
        <f t="shared" si="33"/>
        <v>PERCENTAGE</v>
      </c>
    </row>
    <row r="329" spans="1:16" s="6" customFormat="1" x14ac:dyDescent="0.25">
      <c r="A329" s="33" t="str">
        <f t="shared" si="30"/>
        <v>2024 JAN-JUN D70</v>
      </c>
      <c r="B329" s="8">
        <f t="shared" si="31"/>
        <v>46099</v>
      </c>
      <c r="C329" s="8">
        <f t="shared" si="32"/>
        <v>46113</v>
      </c>
      <c r="D329" s="33">
        <v>3272</v>
      </c>
      <c r="E329" s="33">
        <v>336</v>
      </c>
      <c r="F329" s="33">
        <v>4</v>
      </c>
      <c r="G329" s="33">
        <v>1</v>
      </c>
      <c r="H329" s="33">
        <v>81379</v>
      </c>
      <c r="I329" s="33" t="s">
        <v>104</v>
      </c>
      <c r="J329" s="33">
        <v>15501941</v>
      </c>
      <c r="K329" s="33" t="s">
        <v>1743</v>
      </c>
      <c r="L329" s="33" t="s">
        <v>1744</v>
      </c>
      <c r="M329" s="34">
        <v>149900</v>
      </c>
      <c r="N329" s="37">
        <f t="shared" si="35"/>
        <v>0.7</v>
      </c>
      <c r="O329" s="34">
        <f t="shared" si="34"/>
        <v>44970</v>
      </c>
      <c r="P329" s="34" t="str">
        <f t="shared" si="33"/>
        <v>PERCENTAGE</v>
      </c>
    </row>
    <row r="330" spans="1:16" s="6" customFormat="1" x14ac:dyDescent="0.25">
      <c r="A330" s="33" t="str">
        <f t="shared" si="30"/>
        <v>2024 JAN-JUN D70</v>
      </c>
      <c r="B330" s="8">
        <f t="shared" si="31"/>
        <v>46099</v>
      </c>
      <c r="C330" s="8">
        <f t="shared" si="32"/>
        <v>46113</v>
      </c>
      <c r="D330" s="33">
        <v>3272</v>
      </c>
      <c r="E330" s="33">
        <v>336</v>
      </c>
      <c r="F330" s="33">
        <v>4</v>
      </c>
      <c r="G330" s="33">
        <v>1</v>
      </c>
      <c r="H330" s="33">
        <v>81379</v>
      </c>
      <c r="I330" s="33" t="s">
        <v>104</v>
      </c>
      <c r="J330" s="33">
        <v>15501950</v>
      </c>
      <c r="K330" s="33" t="s">
        <v>1743</v>
      </c>
      <c r="L330" s="33" t="s">
        <v>1745</v>
      </c>
      <c r="M330" s="34">
        <v>149900</v>
      </c>
      <c r="N330" s="37">
        <f t="shared" si="35"/>
        <v>0.7</v>
      </c>
      <c r="O330" s="34">
        <f t="shared" si="34"/>
        <v>44970</v>
      </c>
      <c r="P330" s="34" t="str">
        <f t="shared" si="33"/>
        <v>PERCENTAGE</v>
      </c>
    </row>
    <row r="331" spans="1:16" s="6" customFormat="1" x14ac:dyDescent="0.25">
      <c r="A331" s="33" t="str">
        <f t="shared" si="30"/>
        <v>2024 JAN-JUN D70</v>
      </c>
      <c r="B331" s="8">
        <f t="shared" si="31"/>
        <v>46099</v>
      </c>
      <c r="C331" s="8">
        <f t="shared" si="32"/>
        <v>46113</v>
      </c>
      <c r="D331" s="33">
        <v>3272</v>
      </c>
      <c r="E331" s="33">
        <v>336</v>
      </c>
      <c r="F331" s="33">
        <v>4</v>
      </c>
      <c r="G331" s="33">
        <v>1</v>
      </c>
      <c r="H331" s="33">
        <v>81379</v>
      </c>
      <c r="I331" s="33" t="s">
        <v>104</v>
      </c>
      <c r="J331" s="33">
        <v>15501969</v>
      </c>
      <c r="K331" s="33" t="s">
        <v>1743</v>
      </c>
      <c r="L331" s="33" t="s">
        <v>1746</v>
      </c>
      <c r="M331" s="34">
        <v>149900</v>
      </c>
      <c r="N331" s="37">
        <f t="shared" si="35"/>
        <v>0.7</v>
      </c>
      <c r="O331" s="34">
        <f t="shared" si="34"/>
        <v>44970</v>
      </c>
      <c r="P331" s="34" t="str">
        <f t="shared" si="33"/>
        <v>PERCENTAGE</v>
      </c>
    </row>
    <row r="332" spans="1:16" s="6" customFormat="1" x14ac:dyDescent="0.25">
      <c r="A332" s="33" t="str">
        <f t="shared" si="30"/>
        <v>2024 JAN-JUN D70</v>
      </c>
      <c r="B332" s="8">
        <f t="shared" si="31"/>
        <v>46099</v>
      </c>
      <c r="C332" s="8">
        <f t="shared" si="32"/>
        <v>46113</v>
      </c>
      <c r="D332" s="33">
        <v>3272</v>
      </c>
      <c r="E332" s="33">
        <v>336</v>
      </c>
      <c r="F332" s="33">
        <v>4</v>
      </c>
      <c r="G332" s="33">
        <v>1</v>
      </c>
      <c r="H332" s="33">
        <v>81379</v>
      </c>
      <c r="I332" s="33" t="s">
        <v>104</v>
      </c>
      <c r="J332" s="33">
        <v>15501978</v>
      </c>
      <c r="K332" s="33" t="s">
        <v>1743</v>
      </c>
      <c r="L332" s="33" t="s">
        <v>1747</v>
      </c>
      <c r="M332" s="34">
        <v>149900</v>
      </c>
      <c r="N332" s="37">
        <f t="shared" si="35"/>
        <v>0.7</v>
      </c>
      <c r="O332" s="34">
        <f t="shared" si="34"/>
        <v>44970</v>
      </c>
      <c r="P332" s="34" t="str">
        <f t="shared" si="33"/>
        <v>PERCENTAGE</v>
      </c>
    </row>
    <row r="333" spans="1:16" s="6" customFormat="1" x14ac:dyDescent="0.25">
      <c r="A333" s="33" t="str">
        <f t="shared" si="30"/>
        <v>2024 JAN-JUN D70</v>
      </c>
      <c r="B333" s="8">
        <f t="shared" si="31"/>
        <v>46099</v>
      </c>
      <c r="C333" s="8">
        <f t="shared" si="32"/>
        <v>46113</v>
      </c>
      <c r="D333" s="33">
        <v>3272</v>
      </c>
      <c r="E333" s="33">
        <v>336</v>
      </c>
      <c r="F333" s="33">
        <v>4</v>
      </c>
      <c r="G333" s="33">
        <v>1</v>
      </c>
      <c r="H333" s="33">
        <v>81379</v>
      </c>
      <c r="I333" s="33" t="s">
        <v>104</v>
      </c>
      <c r="J333" s="33">
        <v>15501987</v>
      </c>
      <c r="K333" s="33" t="s">
        <v>1743</v>
      </c>
      <c r="L333" s="33" t="s">
        <v>1748</v>
      </c>
      <c r="M333" s="34">
        <v>149900</v>
      </c>
      <c r="N333" s="37">
        <f t="shared" si="35"/>
        <v>0.7</v>
      </c>
      <c r="O333" s="34">
        <f t="shared" si="34"/>
        <v>44970</v>
      </c>
      <c r="P333" s="34" t="str">
        <f t="shared" si="33"/>
        <v>PERCENTAGE</v>
      </c>
    </row>
    <row r="334" spans="1:16" s="6" customFormat="1" x14ac:dyDescent="0.25">
      <c r="A334" s="33" t="str">
        <f t="shared" si="30"/>
        <v>2024 JAN-JUN D70</v>
      </c>
      <c r="B334" s="8">
        <f t="shared" si="31"/>
        <v>46099</v>
      </c>
      <c r="C334" s="8">
        <f t="shared" si="32"/>
        <v>46113</v>
      </c>
      <c r="D334" s="33">
        <v>3272</v>
      </c>
      <c r="E334" s="33">
        <v>336</v>
      </c>
      <c r="F334" s="33">
        <v>4</v>
      </c>
      <c r="G334" s="33">
        <v>1</v>
      </c>
      <c r="H334" s="33">
        <v>81379</v>
      </c>
      <c r="I334" s="33" t="s">
        <v>104</v>
      </c>
      <c r="J334" s="33">
        <v>15502093</v>
      </c>
      <c r="K334" s="33" t="s">
        <v>1749</v>
      </c>
      <c r="L334" s="33" t="s">
        <v>1750</v>
      </c>
      <c r="M334" s="34">
        <v>149900</v>
      </c>
      <c r="N334" s="37">
        <f t="shared" si="35"/>
        <v>0.7</v>
      </c>
      <c r="O334" s="34">
        <f t="shared" si="34"/>
        <v>44970</v>
      </c>
      <c r="P334" s="34" t="str">
        <f t="shared" si="33"/>
        <v>PERCENTAGE</v>
      </c>
    </row>
    <row r="335" spans="1:16" s="6" customFormat="1" x14ac:dyDescent="0.25">
      <c r="A335" s="33" t="str">
        <f t="shared" si="30"/>
        <v>2024 JAN-JUN D70</v>
      </c>
      <c r="B335" s="8">
        <f t="shared" si="31"/>
        <v>46099</v>
      </c>
      <c r="C335" s="8">
        <f t="shared" si="32"/>
        <v>46113</v>
      </c>
      <c r="D335" s="33">
        <v>3272</v>
      </c>
      <c r="E335" s="33">
        <v>336</v>
      </c>
      <c r="F335" s="33">
        <v>4</v>
      </c>
      <c r="G335" s="33">
        <v>1</v>
      </c>
      <c r="H335" s="33">
        <v>81379</v>
      </c>
      <c r="I335" s="33" t="s">
        <v>104</v>
      </c>
      <c r="J335" s="33">
        <v>15502100</v>
      </c>
      <c r="K335" s="33" t="s">
        <v>1749</v>
      </c>
      <c r="L335" s="33" t="s">
        <v>1751</v>
      </c>
      <c r="M335" s="34">
        <v>149900</v>
      </c>
      <c r="N335" s="37">
        <f t="shared" si="35"/>
        <v>0.7</v>
      </c>
      <c r="O335" s="34">
        <f t="shared" si="34"/>
        <v>44970</v>
      </c>
      <c r="P335" s="34" t="str">
        <f t="shared" si="33"/>
        <v>PERCENTAGE</v>
      </c>
    </row>
    <row r="336" spans="1:16" s="6" customFormat="1" x14ac:dyDescent="0.25">
      <c r="A336" s="33" t="str">
        <f t="shared" si="30"/>
        <v>2024 JAN-JUN D70</v>
      </c>
      <c r="B336" s="8">
        <f t="shared" si="31"/>
        <v>46099</v>
      </c>
      <c r="C336" s="8">
        <f t="shared" si="32"/>
        <v>46113</v>
      </c>
      <c r="D336" s="33">
        <v>3272</v>
      </c>
      <c r="E336" s="33">
        <v>336</v>
      </c>
      <c r="F336" s="33">
        <v>4</v>
      </c>
      <c r="G336" s="33">
        <v>1</v>
      </c>
      <c r="H336" s="33">
        <v>81379</v>
      </c>
      <c r="I336" s="33" t="s">
        <v>104</v>
      </c>
      <c r="J336" s="33">
        <v>15502119</v>
      </c>
      <c r="K336" s="33" t="s">
        <v>1749</v>
      </c>
      <c r="L336" s="33" t="s">
        <v>1752</v>
      </c>
      <c r="M336" s="34">
        <v>149900</v>
      </c>
      <c r="N336" s="37">
        <f t="shared" si="35"/>
        <v>0.7</v>
      </c>
      <c r="O336" s="34">
        <f t="shared" si="34"/>
        <v>44970</v>
      </c>
      <c r="P336" s="34" t="str">
        <f t="shared" si="33"/>
        <v>PERCENTAGE</v>
      </c>
    </row>
    <row r="337" spans="1:16" s="6" customFormat="1" x14ac:dyDescent="0.25">
      <c r="A337" s="33" t="str">
        <f t="shared" si="30"/>
        <v>2024 JAN-JUN D70</v>
      </c>
      <c r="B337" s="8">
        <f t="shared" si="31"/>
        <v>46099</v>
      </c>
      <c r="C337" s="8">
        <f t="shared" si="32"/>
        <v>46113</v>
      </c>
      <c r="D337" s="33">
        <v>3272</v>
      </c>
      <c r="E337" s="33">
        <v>336</v>
      </c>
      <c r="F337" s="33">
        <v>4</v>
      </c>
      <c r="G337" s="33">
        <v>1</v>
      </c>
      <c r="H337" s="33">
        <v>81379</v>
      </c>
      <c r="I337" s="33" t="s">
        <v>104</v>
      </c>
      <c r="J337" s="33">
        <v>15502128</v>
      </c>
      <c r="K337" s="33" t="s">
        <v>1749</v>
      </c>
      <c r="L337" s="33" t="s">
        <v>1753</v>
      </c>
      <c r="M337" s="34">
        <v>149900</v>
      </c>
      <c r="N337" s="37">
        <f t="shared" si="35"/>
        <v>0.7</v>
      </c>
      <c r="O337" s="34">
        <f t="shared" si="34"/>
        <v>44970</v>
      </c>
      <c r="P337" s="34" t="str">
        <f t="shared" si="33"/>
        <v>PERCENTAGE</v>
      </c>
    </row>
    <row r="338" spans="1:16" s="6" customFormat="1" x14ac:dyDescent="0.25">
      <c r="A338" s="33" t="str">
        <f t="shared" si="30"/>
        <v>2024 JAN-JUN D70</v>
      </c>
      <c r="B338" s="8">
        <f t="shared" si="31"/>
        <v>46099</v>
      </c>
      <c r="C338" s="8">
        <f t="shared" si="32"/>
        <v>46113</v>
      </c>
      <c r="D338" s="33">
        <v>3272</v>
      </c>
      <c r="E338" s="33">
        <v>336</v>
      </c>
      <c r="F338" s="33">
        <v>4</v>
      </c>
      <c r="G338" s="33">
        <v>1</v>
      </c>
      <c r="H338" s="33">
        <v>81379</v>
      </c>
      <c r="I338" s="33" t="s">
        <v>104</v>
      </c>
      <c r="J338" s="33">
        <v>15502137</v>
      </c>
      <c r="K338" s="33" t="s">
        <v>1749</v>
      </c>
      <c r="L338" s="33" t="s">
        <v>1754</v>
      </c>
      <c r="M338" s="34">
        <v>149900</v>
      </c>
      <c r="N338" s="37">
        <f t="shared" si="35"/>
        <v>0.7</v>
      </c>
      <c r="O338" s="34">
        <f t="shared" si="34"/>
        <v>44970</v>
      </c>
      <c r="P338" s="34" t="str">
        <f t="shared" si="33"/>
        <v>PERCENTAGE</v>
      </c>
    </row>
    <row r="339" spans="1:16" s="6" customFormat="1" x14ac:dyDescent="0.25">
      <c r="A339" s="33" t="str">
        <f t="shared" si="30"/>
        <v>2024 JAN-JUN D70</v>
      </c>
      <c r="B339" s="8">
        <f t="shared" si="31"/>
        <v>46099</v>
      </c>
      <c r="C339" s="8">
        <f t="shared" si="32"/>
        <v>46113</v>
      </c>
      <c r="D339" s="33">
        <v>3272</v>
      </c>
      <c r="E339" s="33">
        <v>336</v>
      </c>
      <c r="F339" s="33">
        <v>4</v>
      </c>
      <c r="G339" s="33">
        <v>1</v>
      </c>
      <c r="H339" s="33">
        <v>81379</v>
      </c>
      <c r="I339" s="33" t="s">
        <v>104</v>
      </c>
      <c r="J339" s="33">
        <v>15502244</v>
      </c>
      <c r="K339" s="33" t="s">
        <v>1755</v>
      </c>
      <c r="L339" s="33" t="s">
        <v>1756</v>
      </c>
      <c r="M339" s="34">
        <v>149900</v>
      </c>
      <c r="N339" s="37">
        <f t="shared" si="35"/>
        <v>0.7</v>
      </c>
      <c r="O339" s="34">
        <f t="shared" si="34"/>
        <v>44970</v>
      </c>
      <c r="P339" s="34" t="str">
        <f t="shared" si="33"/>
        <v>PERCENTAGE</v>
      </c>
    </row>
    <row r="340" spans="1:16" s="6" customFormat="1" x14ac:dyDescent="0.25">
      <c r="A340" s="33" t="str">
        <f t="shared" si="30"/>
        <v>2024 JAN-JUN D70</v>
      </c>
      <c r="B340" s="8">
        <f t="shared" si="31"/>
        <v>46099</v>
      </c>
      <c r="C340" s="8">
        <f t="shared" si="32"/>
        <v>46113</v>
      </c>
      <c r="D340" s="33">
        <v>3272</v>
      </c>
      <c r="E340" s="33">
        <v>336</v>
      </c>
      <c r="F340" s="33">
        <v>4</v>
      </c>
      <c r="G340" s="33">
        <v>1</v>
      </c>
      <c r="H340" s="33">
        <v>81379</v>
      </c>
      <c r="I340" s="33" t="s">
        <v>104</v>
      </c>
      <c r="J340" s="33">
        <v>15502253</v>
      </c>
      <c r="K340" s="33" t="s">
        <v>1755</v>
      </c>
      <c r="L340" s="33" t="s">
        <v>1757</v>
      </c>
      <c r="M340" s="34">
        <v>149900</v>
      </c>
      <c r="N340" s="37">
        <f t="shared" si="35"/>
        <v>0.7</v>
      </c>
      <c r="O340" s="34">
        <f t="shared" si="34"/>
        <v>44970</v>
      </c>
      <c r="P340" s="34" t="str">
        <f t="shared" si="33"/>
        <v>PERCENTAGE</v>
      </c>
    </row>
    <row r="341" spans="1:16" s="6" customFormat="1" x14ac:dyDescent="0.25">
      <c r="A341" s="33" t="str">
        <f t="shared" si="30"/>
        <v>2024 JAN-JUN D70</v>
      </c>
      <c r="B341" s="8">
        <f t="shared" si="31"/>
        <v>46099</v>
      </c>
      <c r="C341" s="8">
        <f t="shared" si="32"/>
        <v>46113</v>
      </c>
      <c r="D341" s="33">
        <v>3272</v>
      </c>
      <c r="E341" s="33">
        <v>336</v>
      </c>
      <c r="F341" s="33">
        <v>4</v>
      </c>
      <c r="G341" s="33">
        <v>1</v>
      </c>
      <c r="H341" s="33">
        <v>81379</v>
      </c>
      <c r="I341" s="33" t="s">
        <v>104</v>
      </c>
      <c r="J341" s="33">
        <v>15502262</v>
      </c>
      <c r="K341" s="33" t="s">
        <v>1755</v>
      </c>
      <c r="L341" s="33" t="s">
        <v>1758</v>
      </c>
      <c r="M341" s="34">
        <v>149900</v>
      </c>
      <c r="N341" s="37">
        <f t="shared" si="35"/>
        <v>0.7</v>
      </c>
      <c r="O341" s="34">
        <f t="shared" si="34"/>
        <v>44970</v>
      </c>
      <c r="P341" s="34" t="str">
        <f t="shared" si="33"/>
        <v>PERCENTAGE</v>
      </c>
    </row>
    <row r="342" spans="1:16" s="6" customFormat="1" x14ac:dyDescent="0.25">
      <c r="A342" s="33" t="str">
        <f t="shared" si="30"/>
        <v>2024 JAN-JUN D70</v>
      </c>
      <c r="B342" s="8">
        <f t="shared" si="31"/>
        <v>46099</v>
      </c>
      <c r="C342" s="8">
        <f t="shared" si="32"/>
        <v>46113</v>
      </c>
      <c r="D342" s="33">
        <v>3272</v>
      </c>
      <c r="E342" s="33">
        <v>336</v>
      </c>
      <c r="F342" s="33">
        <v>4</v>
      </c>
      <c r="G342" s="33">
        <v>1</v>
      </c>
      <c r="H342" s="33">
        <v>81379</v>
      </c>
      <c r="I342" s="33" t="s">
        <v>104</v>
      </c>
      <c r="J342" s="33">
        <v>15502271</v>
      </c>
      <c r="K342" s="33" t="s">
        <v>1755</v>
      </c>
      <c r="L342" s="33" t="s">
        <v>1759</v>
      </c>
      <c r="M342" s="34">
        <v>149900</v>
      </c>
      <c r="N342" s="37">
        <f t="shared" si="35"/>
        <v>0.7</v>
      </c>
      <c r="O342" s="34">
        <f t="shared" si="34"/>
        <v>44970</v>
      </c>
      <c r="P342" s="34" t="str">
        <f t="shared" si="33"/>
        <v>PERCENTAGE</v>
      </c>
    </row>
    <row r="343" spans="1:16" s="6" customFormat="1" x14ac:dyDescent="0.25">
      <c r="A343" s="33" t="str">
        <f t="shared" si="30"/>
        <v>2024 JAN-JUN D70</v>
      </c>
      <c r="B343" s="8">
        <f t="shared" si="31"/>
        <v>46099</v>
      </c>
      <c r="C343" s="8">
        <f t="shared" si="32"/>
        <v>46113</v>
      </c>
      <c r="D343" s="33">
        <v>3272</v>
      </c>
      <c r="E343" s="33">
        <v>336</v>
      </c>
      <c r="F343" s="33">
        <v>4</v>
      </c>
      <c r="G343" s="33">
        <v>1</v>
      </c>
      <c r="H343" s="33">
        <v>81379</v>
      </c>
      <c r="I343" s="33" t="s">
        <v>104</v>
      </c>
      <c r="J343" s="33">
        <v>15502280</v>
      </c>
      <c r="K343" s="33" t="s">
        <v>1755</v>
      </c>
      <c r="L343" s="33" t="s">
        <v>1760</v>
      </c>
      <c r="M343" s="34">
        <v>149900</v>
      </c>
      <c r="N343" s="37">
        <f t="shared" si="35"/>
        <v>0.7</v>
      </c>
      <c r="O343" s="34">
        <f t="shared" si="34"/>
        <v>44970</v>
      </c>
      <c r="P343" s="34" t="str">
        <f t="shared" si="33"/>
        <v>PERCENTAGE</v>
      </c>
    </row>
    <row r="344" spans="1:16" s="6" customFormat="1" x14ac:dyDescent="0.25">
      <c r="A344" s="33" t="str">
        <f t="shared" si="30"/>
        <v>2024 JAN-JUN D70</v>
      </c>
      <c r="B344" s="8">
        <f t="shared" si="31"/>
        <v>46099</v>
      </c>
      <c r="C344" s="8">
        <f t="shared" si="32"/>
        <v>46113</v>
      </c>
      <c r="D344" s="33">
        <v>3272</v>
      </c>
      <c r="E344" s="33">
        <v>336</v>
      </c>
      <c r="F344" s="33">
        <v>4</v>
      </c>
      <c r="G344" s="33">
        <v>1</v>
      </c>
      <c r="H344" s="33">
        <v>81379</v>
      </c>
      <c r="I344" s="33" t="s">
        <v>104</v>
      </c>
      <c r="J344" s="33">
        <v>16034749</v>
      </c>
      <c r="K344" s="33" t="s">
        <v>1761</v>
      </c>
      <c r="L344" s="33" t="s">
        <v>1762</v>
      </c>
      <c r="M344" s="34">
        <v>149900</v>
      </c>
      <c r="N344" s="37">
        <f t="shared" si="35"/>
        <v>0.7</v>
      </c>
      <c r="O344" s="34">
        <f t="shared" si="34"/>
        <v>44970</v>
      </c>
      <c r="P344" s="34" t="str">
        <f t="shared" si="33"/>
        <v>PERCENTAGE</v>
      </c>
    </row>
    <row r="345" spans="1:16" s="6" customFormat="1" x14ac:dyDescent="0.25">
      <c r="A345" s="33" t="str">
        <f t="shared" si="30"/>
        <v>2024 JAN-JUN D70</v>
      </c>
      <c r="B345" s="8">
        <f t="shared" si="31"/>
        <v>46099</v>
      </c>
      <c r="C345" s="8">
        <f t="shared" si="32"/>
        <v>46113</v>
      </c>
      <c r="D345" s="33">
        <v>3272</v>
      </c>
      <c r="E345" s="33">
        <v>336</v>
      </c>
      <c r="F345" s="33">
        <v>4</v>
      </c>
      <c r="G345" s="33">
        <v>1</v>
      </c>
      <c r="H345" s="33">
        <v>81379</v>
      </c>
      <c r="I345" s="33" t="s">
        <v>104</v>
      </c>
      <c r="J345" s="33">
        <v>16034758</v>
      </c>
      <c r="K345" s="33" t="s">
        <v>1761</v>
      </c>
      <c r="L345" s="33" t="s">
        <v>1763</v>
      </c>
      <c r="M345" s="34">
        <v>149900</v>
      </c>
      <c r="N345" s="37">
        <f t="shared" si="35"/>
        <v>0.7</v>
      </c>
      <c r="O345" s="34">
        <f t="shared" si="34"/>
        <v>44970</v>
      </c>
      <c r="P345" s="34" t="str">
        <f t="shared" si="33"/>
        <v>PERCENTAGE</v>
      </c>
    </row>
    <row r="346" spans="1:16" s="6" customFormat="1" x14ac:dyDescent="0.25">
      <c r="A346" s="33" t="str">
        <f t="shared" si="30"/>
        <v>2024 JAN-JUN D70</v>
      </c>
      <c r="B346" s="8">
        <f t="shared" si="31"/>
        <v>46099</v>
      </c>
      <c r="C346" s="8">
        <f t="shared" si="32"/>
        <v>46113</v>
      </c>
      <c r="D346" s="33">
        <v>3272</v>
      </c>
      <c r="E346" s="33">
        <v>336</v>
      </c>
      <c r="F346" s="33">
        <v>4</v>
      </c>
      <c r="G346" s="33">
        <v>1</v>
      </c>
      <c r="H346" s="33">
        <v>81379</v>
      </c>
      <c r="I346" s="33" t="s">
        <v>104</v>
      </c>
      <c r="J346" s="33">
        <v>16034767</v>
      </c>
      <c r="K346" s="33" t="s">
        <v>1761</v>
      </c>
      <c r="L346" s="33" t="s">
        <v>1764</v>
      </c>
      <c r="M346" s="34">
        <v>149900</v>
      </c>
      <c r="N346" s="37">
        <f t="shared" si="35"/>
        <v>0.7</v>
      </c>
      <c r="O346" s="34">
        <f t="shared" si="34"/>
        <v>44970</v>
      </c>
      <c r="P346" s="34" t="str">
        <f t="shared" si="33"/>
        <v>PERCENTAGE</v>
      </c>
    </row>
    <row r="347" spans="1:16" s="6" customFormat="1" x14ac:dyDescent="0.25">
      <c r="A347" s="33" t="str">
        <f t="shared" si="30"/>
        <v>2024 JAN-JUN D70</v>
      </c>
      <c r="B347" s="8">
        <f t="shared" si="31"/>
        <v>46099</v>
      </c>
      <c r="C347" s="8">
        <f t="shared" si="32"/>
        <v>46113</v>
      </c>
      <c r="D347" s="33">
        <v>3272</v>
      </c>
      <c r="E347" s="33">
        <v>336</v>
      </c>
      <c r="F347" s="33">
        <v>4</v>
      </c>
      <c r="G347" s="33">
        <v>1</v>
      </c>
      <c r="H347" s="33">
        <v>81379</v>
      </c>
      <c r="I347" s="33" t="s">
        <v>104</v>
      </c>
      <c r="J347" s="33">
        <v>16034776</v>
      </c>
      <c r="K347" s="33" t="s">
        <v>1761</v>
      </c>
      <c r="L347" s="33" t="s">
        <v>1765</v>
      </c>
      <c r="M347" s="34">
        <v>149900</v>
      </c>
      <c r="N347" s="37">
        <f t="shared" si="35"/>
        <v>0.7</v>
      </c>
      <c r="O347" s="34">
        <f t="shared" si="34"/>
        <v>44970</v>
      </c>
      <c r="P347" s="34" t="str">
        <f t="shared" si="33"/>
        <v>PERCENTAGE</v>
      </c>
    </row>
    <row r="348" spans="1:16" s="6" customFormat="1" x14ac:dyDescent="0.25">
      <c r="A348" s="33" t="str">
        <f t="shared" si="30"/>
        <v>2024 JAN-JUN D70</v>
      </c>
      <c r="B348" s="8">
        <f t="shared" si="31"/>
        <v>46099</v>
      </c>
      <c r="C348" s="8">
        <f t="shared" si="32"/>
        <v>46113</v>
      </c>
      <c r="D348" s="33">
        <v>3272</v>
      </c>
      <c r="E348" s="33">
        <v>336</v>
      </c>
      <c r="F348" s="33">
        <v>4</v>
      </c>
      <c r="G348" s="33">
        <v>1</v>
      </c>
      <c r="H348" s="33">
        <v>81379</v>
      </c>
      <c r="I348" s="33" t="s">
        <v>104</v>
      </c>
      <c r="J348" s="33">
        <v>16034785</v>
      </c>
      <c r="K348" s="33" t="s">
        <v>1761</v>
      </c>
      <c r="L348" s="33" t="s">
        <v>1766</v>
      </c>
      <c r="M348" s="34">
        <v>149900</v>
      </c>
      <c r="N348" s="37">
        <f t="shared" si="35"/>
        <v>0.7</v>
      </c>
      <c r="O348" s="34">
        <f t="shared" si="34"/>
        <v>44970</v>
      </c>
      <c r="P348" s="34" t="str">
        <f t="shared" si="33"/>
        <v>PERCENTAGE</v>
      </c>
    </row>
    <row r="349" spans="1:16" s="6" customFormat="1" x14ac:dyDescent="0.25">
      <c r="A349" s="33" t="str">
        <f t="shared" si="30"/>
        <v>2024 JAN-JUN D70</v>
      </c>
      <c r="B349" s="8">
        <f t="shared" si="31"/>
        <v>46099</v>
      </c>
      <c r="C349" s="8">
        <f t="shared" si="32"/>
        <v>46113</v>
      </c>
      <c r="D349" s="33">
        <v>3272</v>
      </c>
      <c r="E349" s="33">
        <v>336</v>
      </c>
      <c r="F349" s="33">
        <v>4</v>
      </c>
      <c r="G349" s="33">
        <v>1</v>
      </c>
      <c r="H349" s="33">
        <v>81379</v>
      </c>
      <c r="I349" s="33" t="s">
        <v>104</v>
      </c>
      <c r="J349" s="33">
        <v>16624067</v>
      </c>
      <c r="K349" s="33" t="s">
        <v>1964</v>
      </c>
      <c r="L349" s="33" t="s">
        <v>2157</v>
      </c>
      <c r="M349" s="34">
        <v>149900</v>
      </c>
      <c r="N349" s="37">
        <f t="shared" si="35"/>
        <v>0.7</v>
      </c>
      <c r="O349" s="34">
        <f t="shared" si="34"/>
        <v>44970</v>
      </c>
      <c r="P349" s="34" t="str">
        <f t="shared" si="33"/>
        <v>PERCENTAGE</v>
      </c>
    </row>
    <row r="350" spans="1:16" s="6" customFormat="1" x14ac:dyDescent="0.25">
      <c r="A350" s="33" t="str">
        <f t="shared" si="30"/>
        <v>2024 JAN-JUN D70</v>
      </c>
      <c r="B350" s="8">
        <f t="shared" si="31"/>
        <v>46099</v>
      </c>
      <c r="C350" s="8">
        <f t="shared" si="32"/>
        <v>46113</v>
      </c>
      <c r="D350" s="33">
        <v>3272</v>
      </c>
      <c r="E350" s="33">
        <v>336</v>
      </c>
      <c r="F350" s="33">
        <v>4</v>
      </c>
      <c r="G350" s="33">
        <v>5</v>
      </c>
      <c r="H350" s="33">
        <v>81379</v>
      </c>
      <c r="I350" s="33" t="s">
        <v>104</v>
      </c>
      <c r="J350" s="33">
        <v>16624398</v>
      </c>
      <c r="K350" s="33" t="s">
        <v>2087</v>
      </c>
      <c r="L350" s="33" t="s">
        <v>2158</v>
      </c>
      <c r="M350" s="34">
        <v>239900</v>
      </c>
      <c r="N350" s="37">
        <f t="shared" si="35"/>
        <v>0.7</v>
      </c>
      <c r="O350" s="34">
        <f t="shared" si="34"/>
        <v>71970</v>
      </c>
      <c r="P350" s="34" t="str">
        <f t="shared" si="33"/>
        <v>PERCENTAGE</v>
      </c>
    </row>
    <row r="351" spans="1:16" s="6" customFormat="1" x14ac:dyDescent="0.25">
      <c r="A351" s="33" t="str">
        <f t="shared" si="30"/>
        <v>2024 JAN-JUN D70</v>
      </c>
      <c r="B351" s="8">
        <f t="shared" si="31"/>
        <v>46099</v>
      </c>
      <c r="C351" s="8">
        <f t="shared" si="32"/>
        <v>46113</v>
      </c>
      <c r="D351" s="33">
        <v>3272</v>
      </c>
      <c r="E351" s="33">
        <v>336</v>
      </c>
      <c r="F351" s="33">
        <v>4</v>
      </c>
      <c r="G351" s="33">
        <v>1</v>
      </c>
      <c r="H351" s="33">
        <v>81379</v>
      </c>
      <c r="I351" s="33" t="s">
        <v>104</v>
      </c>
      <c r="J351" s="33">
        <v>18659464</v>
      </c>
      <c r="K351" s="33" t="s">
        <v>1977</v>
      </c>
      <c r="L351" s="33" t="s">
        <v>1981</v>
      </c>
      <c r="M351" s="34">
        <v>139900</v>
      </c>
      <c r="N351" s="37">
        <f t="shared" si="35"/>
        <v>0.7</v>
      </c>
      <c r="O351" s="34">
        <f t="shared" si="34"/>
        <v>41970</v>
      </c>
      <c r="P351" s="34" t="str">
        <f t="shared" si="33"/>
        <v>PERCENTAGE</v>
      </c>
    </row>
    <row r="352" spans="1:16" s="6" customFormat="1" x14ac:dyDescent="0.25">
      <c r="A352" s="33" t="str">
        <f t="shared" si="30"/>
        <v>2024 JAN-JUN D70</v>
      </c>
      <c r="B352" s="8">
        <f t="shared" si="31"/>
        <v>46099</v>
      </c>
      <c r="C352" s="8">
        <f t="shared" si="32"/>
        <v>46113</v>
      </c>
      <c r="D352" s="33">
        <v>3272</v>
      </c>
      <c r="E352" s="33">
        <v>336</v>
      </c>
      <c r="F352" s="33">
        <v>4</v>
      </c>
      <c r="G352" s="33">
        <v>1</v>
      </c>
      <c r="H352" s="33">
        <v>81379</v>
      </c>
      <c r="I352" s="33" t="s">
        <v>104</v>
      </c>
      <c r="J352" s="33">
        <v>18659491</v>
      </c>
      <c r="K352" s="33" t="s">
        <v>1977</v>
      </c>
      <c r="L352" s="33" t="s">
        <v>1983</v>
      </c>
      <c r="M352" s="34">
        <v>139900</v>
      </c>
      <c r="N352" s="37">
        <f t="shared" si="35"/>
        <v>0.7</v>
      </c>
      <c r="O352" s="34">
        <f t="shared" si="34"/>
        <v>41970</v>
      </c>
      <c r="P352" s="34" t="str">
        <f t="shared" si="33"/>
        <v>PERCENTAGE</v>
      </c>
    </row>
    <row r="353" spans="1:16" s="6" customFormat="1" x14ac:dyDescent="0.25">
      <c r="A353" s="33" t="str">
        <f t="shared" si="30"/>
        <v>2024 JAN-JUN D70</v>
      </c>
      <c r="B353" s="8">
        <f t="shared" si="31"/>
        <v>46099</v>
      </c>
      <c r="C353" s="8">
        <f t="shared" si="32"/>
        <v>46113</v>
      </c>
      <c r="D353" s="33">
        <v>3272</v>
      </c>
      <c r="E353" s="33">
        <v>336</v>
      </c>
      <c r="F353" s="33">
        <v>4</v>
      </c>
      <c r="G353" s="33">
        <v>1</v>
      </c>
      <c r="H353" s="33">
        <v>81379</v>
      </c>
      <c r="I353" s="33" t="s">
        <v>104</v>
      </c>
      <c r="J353" s="33">
        <v>18659526</v>
      </c>
      <c r="K353" s="33" t="s">
        <v>1977</v>
      </c>
      <c r="L353" s="33" t="s">
        <v>1985</v>
      </c>
      <c r="M353" s="34">
        <v>139900</v>
      </c>
      <c r="N353" s="37">
        <f t="shared" si="35"/>
        <v>0.7</v>
      </c>
      <c r="O353" s="34">
        <f t="shared" si="34"/>
        <v>41970</v>
      </c>
      <c r="P353" s="34" t="str">
        <f t="shared" si="33"/>
        <v>PERCENTAGE</v>
      </c>
    </row>
    <row r="354" spans="1:16" s="6" customFormat="1" x14ac:dyDescent="0.25">
      <c r="A354" s="33" t="str">
        <f t="shared" si="30"/>
        <v>2024 JAN-JUN D70</v>
      </c>
      <c r="B354" s="8">
        <f t="shared" si="31"/>
        <v>46099</v>
      </c>
      <c r="C354" s="8">
        <f t="shared" si="32"/>
        <v>46113</v>
      </c>
      <c r="D354" s="33">
        <v>3272</v>
      </c>
      <c r="E354" s="33">
        <v>336</v>
      </c>
      <c r="F354" s="33">
        <v>4</v>
      </c>
      <c r="G354" s="33">
        <v>1</v>
      </c>
      <c r="H354" s="33">
        <v>81379</v>
      </c>
      <c r="I354" s="33" t="s">
        <v>104</v>
      </c>
      <c r="J354" s="33">
        <v>18659562</v>
      </c>
      <c r="K354" s="33" t="s">
        <v>1986</v>
      </c>
      <c r="L354" s="33" t="s">
        <v>1990</v>
      </c>
      <c r="M354" s="34">
        <v>139900</v>
      </c>
      <c r="N354" s="37">
        <f t="shared" si="35"/>
        <v>0.7</v>
      </c>
      <c r="O354" s="34">
        <f t="shared" si="34"/>
        <v>41970</v>
      </c>
      <c r="P354" s="34" t="str">
        <f t="shared" si="33"/>
        <v>PERCENTAGE</v>
      </c>
    </row>
    <row r="355" spans="1:16" s="6" customFormat="1" x14ac:dyDescent="0.25">
      <c r="A355" s="33" t="str">
        <f t="shared" si="30"/>
        <v>2024 JAN-JUN D70</v>
      </c>
      <c r="B355" s="8">
        <f t="shared" si="31"/>
        <v>46099</v>
      </c>
      <c r="C355" s="8">
        <f t="shared" si="32"/>
        <v>46113</v>
      </c>
      <c r="D355" s="33">
        <v>3272</v>
      </c>
      <c r="E355" s="33">
        <v>336</v>
      </c>
      <c r="F355" s="33">
        <v>4</v>
      </c>
      <c r="G355" s="33">
        <v>1</v>
      </c>
      <c r="H355" s="33">
        <v>81379</v>
      </c>
      <c r="I355" s="33" t="s">
        <v>104</v>
      </c>
      <c r="J355" s="33">
        <v>18659571</v>
      </c>
      <c r="K355" s="33" t="s">
        <v>1986</v>
      </c>
      <c r="L355" s="33" t="s">
        <v>1991</v>
      </c>
      <c r="M355" s="34">
        <v>139900</v>
      </c>
      <c r="N355" s="37">
        <f t="shared" si="35"/>
        <v>0.7</v>
      </c>
      <c r="O355" s="34">
        <f t="shared" si="34"/>
        <v>41970</v>
      </c>
      <c r="P355" s="34" t="str">
        <f t="shared" si="33"/>
        <v>PERCENTAGE</v>
      </c>
    </row>
    <row r="356" spans="1:16" s="6" customFormat="1" x14ac:dyDescent="0.25">
      <c r="A356" s="33" t="str">
        <f t="shared" si="30"/>
        <v>2024 JAN-JUN D70</v>
      </c>
      <c r="B356" s="8">
        <f t="shared" si="31"/>
        <v>46099</v>
      </c>
      <c r="C356" s="8">
        <f t="shared" si="32"/>
        <v>46113</v>
      </c>
      <c r="D356" s="33">
        <v>3272</v>
      </c>
      <c r="E356" s="33">
        <v>336</v>
      </c>
      <c r="F356" s="33">
        <v>4</v>
      </c>
      <c r="G356" s="33">
        <v>1</v>
      </c>
      <c r="H356" s="33">
        <v>81379</v>
      </c>
      <c r="I356" s="33" t="s">
        <v>104</v>
      </c>
      <c r="J356" s="33">
        <v>18659777</v>
      </c>
      <c r="K356" s="33" t="s">
        <v>2002</v>
      </c>
      <c r="L356" s="33" t="s">
        <v>2004</v>
      </c>
      <c r="M356" s="34">
        <v>149900</v>
      </c>
      <c r="N356" s="37">
        <f t="shared" si="35"/>
        <v>0.7</v>
      </c>
      <c r="O356" s="34">
        <f t="shared" si="34"/>
        <v>44970</v>
      </c>
      <c r="P356" s="34" t="str">
        <f t="shared" si="33"/>
        <v>PERCENTAGE</v>
      </c>
    </row>
    <row r="357" spans="1:16" s="6" customFormat="1" x14ac:dyDescent="0.25">
      <c r="A357" s="33" t="str">
        <f t="shared" si="30"/>
        <v>2024 JAN-JUN D70</v>
      </c>
      <c r="B357" s="8">
        <f t="shared" si="31"/>
        <v>46099</v>
      </c>
      <c r="C357" s="8">
        <f t="shared" si="32"/>
        <v>46113</v>
      </c>
      <c r="D357" s="33">
        <v>3272</v>
      </c>
      <c r="E357" s="33">
        <v>336</v>
      </c>
      <c r="F357" s="33">
        <v>4</v>
      </c>
      <c r="G357" s="33">
        <v>1</v>
      </c>
      <c r="H357" s="33">
        <v>81379</v>
      </c>
      <c r="I357" s="33" t="s">
        <v>104</v>
      </c>
      <c r="J357" s="33">
        <v>18659811</v>
      </c>
      <c r="K357" s="33" t="s">
        <v>2002</v>
      </c>
      <c r="L357" s="33" t="s">
        <v>2008</v>
      </c>
      <c r="M357" s="34">
        <v>149900</v>
      </c>
      <c r="N357" s="37">
        <f t="shared" si="35"/>
        <v>0.7</v>
      </c>
      <c r="O357" s="34">
        <f t="shared" si="34"/>
        <v>44970</v>
      </c>
      <c r="P357" s="34" t="str">
        <f t="shared" si="33"/>
        <v>PERCENTAGE</v>
      </c>
    </row>
    <row r="358" spans="1:16" s="6" customFormat="1" x14ac:dyDescent="0.25">
      <c r="A358" s="33" t="str">
        <f t="shared" si="30"/>
        <v>2024 JAN-JUN D70</v>
      </c>
      <c r="B358" s="8">
        <f t="shared" si="31"/>
        <v>46099</v>
      </c>
      <c r="C358" s="8">
        <f t="shared" si="32"/>
        <v>46113</v>
      </c>
      <c r="D358" s="33">
        <v>3272</v>
      </c>
      <c r="E358" s="33">
        <v>336</v>
      </c>
      <c r="F358" s="33">
        <v>4</v>
      </c>
      <c r="G358" s="33">
        <v>3</v>
      </c>
      <c r="H358" s="33">
        <v>81379</v>
      </c>
      <c r="I358" s="33" t="s">
        <v>104</v>
      </c>
      <c r="J358" s="33">
        <v>15498849</v>
      </c>
      <c r="K358" s="33" t="s">
        <v>1790</v>
      </c>
      <c r="L358" s="33" t="s">
        <v>2054</v>
      </c>
      <c r="M358" s="34">
        <v>239900</v>
      </c>
      <c r="N358" s="37">
        <f t="shared" si="35"/>
        <v>0.7</v>
      </c>
      <c r="O358" s="34">
        <f t="shared" si="34"/>
        <v>71970</v>
      </c>
      <c r="P358" s="34" t="str">
        <f t="shared" si="33"/>
        <v>PERCENTAGE</v>
      </c>
    </row>
    <row r="359" spans="1:16" s="6" customFormat="1" x14ac:dyDescent="0.25">
      <c r="A359" s="33" t="str">
        <f t="shared" si="30"/>
        <v>2024 JAN-JUN D70</v>
      </c>
      <c r="B359" s="8">
        <f t="shared" si="31"/>
        <v>46099</v>
      </c>
      <c r="C359" s="8">
        <f t="shared" si="32"/>
        <v>46113</v>
      </c>
      <c r="D359" s="33">
        <v>3272</v>
      </c>
      <c r="E359" s="33">
        <v>336</v>
      </c>
      <c r="F359" s="33">
        <v>4</v>
      </c>
      <c r="G359" s="33">
        <v>1</v>
      </c>
      <c r="H359" s="33">
        <v>81379</v>
      </c>
      <c r="I359" s="33" t="s">
        <v>104</v>
      </c>
      <c r="J359" s="33">
        <v>18756564</v>
      </c>
      <c r="K359" s="33" t="s">
        <v>2038</v>
      </c>
      <c r="L359" s="33" t="s">
        <v>2044</v>
      </c>
      <c r="M359" s="34">
        <v>139900</v>
      </c>
      <c r="N359" s="37">
        <f t="shared" si="35"/>
        <v>0.7</v>
      </c>
      <c r="O359" s="34">
        <f t="shared" si="34"/>
        <v>41970</v>
      </c>
      <c r="P359" s="34" t="str">
        <f t="shared" si="33"/>
        <v>PERCENTAGE</v>
      </c>
    </row>
    <row r="360" spans="1:16" s="6" customFormat="1" x14ac:dyDescent="0.25">
      <c r="A360" s="33" t="str">
        <f t="shared" si="30"/>
        <v>2024 JAN-JUN D70</v>
      </c>
      <c r="B360" s="8">
        <f t="shared" si="31"/>
        <v>46099</v>
      </c>
      <c r="C360" s="8">
        <f t="shared" si="32"/>
        <v>46113</v>
      </c>
      <c r="D360" s="33">
        <v>3272</v>
      </c>
      <c r="E360" s="33">
        <v>336</v>
      </c>
      <c r="F360" s="33">
        <v>4</v>
      </c>
      <c r="G360" s="33">
        <v>3</v>
      </c>
      <c r="H360" s="33">
        <v>81379</v>
      </c>
      <c r="I360" s="33" t="s">
        <v>104</v>
      </c>
      <c r="J360" s="33">
        <v>18659991</v>
      </c>
      <c r="K360" s="33" t="s">
        <v>2020</v>
      </c>
      <c r="L360" s="33" t="s">
        <v>2071</v>
      </c>
      <c r="M360" s="34">
        <v>239900</v>
      </c>
      <c r="N360" s="37">
        <f t="shared" si="35"/>
        <v>0.7</v>
      </c>
      <c r="O360" s="34">
        <f t="shared" si="34"/>
        <v>71970</v>
      </c>
      <c r="P360" s="34" t="str">
        <f t="shared" si="33"/>
        <v>PERCENTAGE</v>
      </c>
    </row>
    <row r="361" spans="1:16" s="6" customFormat="1" x14ac:dyDescent="0.25">
      <c r="A361" s="33" t="str">
        <f t="shared" si="30"/>
        <v>2024 JAN-JUN D70</v>
      </c>
      <c r="B361" s="8">
        <f t="shared" si="31"/>
        <v>46099</v>
      </c>
      <c r="C361" s="8">
        <f t="shared" si="32"/>
        <v>46113</v>
      </c>
      <c r="D361" s="33">
        <v>3272</v>
      </c>
      <c r="E361" s="33">
        <v>336</v>
      </c>
      <c r="F361" s="33">
        <v>4</v>
      </c>
      <c r="G361" s="33">
        <v>1</v>
      </c>
      <c r="H361" s="33">
        <v>81379</v>
      </c>
      <c r="I361" s="33" t="s">
        <v>104</v>
      </c>
      <c r="J361" s="33">
        <v>15499571</v>
      </c>
      <c r="K361" s="33" t="s">
        <v>1913</v>
      </c>
      <c r="L361" s="33" t="s">
        <v>1914</v>
      </c>
      <c r="M361" s="34">
        <v>149900</v>
      </c>
      <c r="N361" s="37">
        <f t="shared" si="35"/>
        <v>0.7</v>
      </c>
      <c r="O361" s="34">
        <f t="shared" si="34"/>
        <v>44970</v>
      </c>
      <c r="P361" s="34" t="str">
        <f t="shared" si="33"/>
        <v>PERCENTAGE</v>
      </c>
    </row>
    <row r="362" spans="1:16" s="6" customFormat="1" x14ac:dyDescent="0.25">
      <c r="A362" s="33" t="str">
        <f t="shared" si="30"/>
        <v>2024 JAN-JUN D70</v>
      </c>
      <c r="B362" s="8">
        <f t="shared" si="31"/>
        <v>46099</v>
      </c>
      <c r="C362" s="8">
        <f t="shared" si="32"/>
        <v>46113</v>
      </c>
      <c r="D362" s="33">
        <v>3272</v>
      </c>
      <c r="E362" s="33">
        <v>336</v>
      </c>
      <c r="F362" s="33">
        <v>4</v>
      </c>
      <c r="G362" s="33">
        <v>1</v>
      </c>
      <c r="H362" s="33">
        <v>81379</v>
      </c>
      <c r="I362" s="33" t="s">
        <v>104</v>
      </c>
      <c r="J362" s="33">
        <v>15499580</v>
      </c>
      <c r="K362" s="33" t="s">
        <v>1913</v>
      </c>
      <c r="L362" s="33" t="s">
        <v>1915</v>
      </c>
      <c r="M362" s="34">
        <v>149900</v>
      </c>
      <c r="N362" s="37">
        <f t="shared" si="35"/>
        <v>0.7</v>
      </c>
      <c r="O362" s="34">
        <f t="shared" si="34"/>
        <v>44970</v>
      </c>
      <c r="P362" s="34" t="str">
        <f t="shared" si="33"/>
        <v>PERCENTAGE</v>
      </c>
    </row>
    <row r="363" spans="1:16" s="6" customFormat="1" x14ac:dyDescent="0.25">
      <c r="A363" s="33" t="str">
        <f t="shared" ref="A363:A426" si="36">A362</f>
        <v>2024 JAN-JUN D70</v>
      </c>
      <c r="B363" s="8">
        <f t="shared" ref="B363:B426" si="37">B362</f>
        <v>46099</v>
      </c>
      <c r="C363" s="8">
        <f t="shared" ref="C363:C426" si="38">C362</f>
        <v>46113</v>
      </c>
      <c r="D363" s="33">
        <v>3272</v>
      </c>
      <c r="E363" s="33">
        <v>336</v>
      </c>
      <c r="F363" s="33">
        <v>4</v>
      </c>
      <c r="G363" s="33">
        <v>1</v>
      </c>
      <c r="H363" s="33">
        <v>81379</v>
      </c>
      <c r="I363" s="33" t="s">
        <v>104</v>
      </c>
      <c r="J363" s="33">
        <v>15499599</v>
      </c>
      <c r="K363" s="33" t="s">
        <v>1913</v>
      </c>
      <c r="L363" s="33" t="s">
        <v>1916</v>
      </c>
      <c r="M363" s="34">
        <v>149900</v>
      </c>
      <c r="N363" s="37">
        <f t="shared" si="35"/>
        <v>0.7</v>
      </c>
      <c r="O363" s="34">
        <f t="shared" si="34"/>
        <v>44970</v>
      </c>
      <c r="P363" s="34" t="str">
        <f t="shared" ref="P363:P426" si="39">P362</f>
        <v>PERCENTAGE</v>
      </c>
    </row>
    <row r="364" spans="1:16" s="6" customFormat="1" x14ac:dyDescent="0.25">
      <c r="A364" s="33" t="str">
        <f t="shared" si="36"/>
        <v>2024 JAN-JUN D70</v>
      </c>
      <c r="B364" s="8">
        <f t="shared" si="37"/>
        <v>46099</v>
      </c>
      <c r="C364" s="8">
        <f t="shared" si="38"/>
        <v>46113</v>
      </c>
      <c r="D364" s="33">
        <v>3272</v>
      </c>
      <c r="E364" s="33">
        <v>336</v>
      </c>
      <c r="F364" s="33">
        <v>4</v>
      </c>
      <c r="G364" s="33">
        <v>1</v>
      </c>
      <c r="H364" s="33">
        <v>81379</v>
      </c>
      <c r="I364" s="33" t="s">
        <v>104</v>
      </c>
      <c r="J364" s="33">
        <v>15499606</v>
      </c>
      <c r="K364" s="33" t="s">
        <v>1913</v>
      </c>
      <c r="L364" s="33" t="s">
        <v>1917</v>
      </c>
      <c r="M364" s="34">
        <v>149900</v>
      </c>
      <c r="N364" s="37">
        <f t="shared" si="35"/>
        <v>0.7</v>
      </c>
      <c r="O364" s="34">
        <f t="shared" si="34"/>
        <v>44970</v>
      </c>
      <c r="P364" s="34" t="str">
        <f t="shared" si="39"/>
        <v>PERCENTAGE</v>
      </c>
    </row>
    <row r="365" spans="1:16" s="6" customFormat="1" x14ac:dyDescent="0.25">
      <c r="A365" s="33" t="str">
        <f t="shared" si="36"/>
        <v>2024 JAN-JUN D70</v>
      </c>
      <c r="B365" s="8">
        <f t="shared" si="37"/>
        <v>46099</v>
      </c>
      <c r="C365" s="8">
        <f t="shared" si="38"/>
        <v>46113</v>
      </c>
      <c r="D365" s="33">
        <v>3272</v>
      </c>
      <c r="E365" s="33">
        <v>336</v>
      </c>
      <c r="F365" s="33">
        <v>4</v>
      </c>
      <c r="G365" s="33">
        <v>1</v>
      </c>
      <c r="H365" s="33">
        <v>81379</v>
      </c>
      <c r="I365" s="33" t="s">
        <v>104</v>
      </c>
      <c r="J365" s="33">
        <v>15499615</v>
      </c>
      <c r="K365" s="33" t="s">
        <v>1913</v>
      </c>
      <c r="L365" s="33" t="s">
        <v>1918</v>
      </c>
      <c r="M365" s="34">
        <v>149900</v>
      </c>
      <c r="N365" s="37">
        <f t="shared" si="35"/>
        <v>0.7</v>
      </c>
      <c r="O365" s="34">
        <f t="shared" si="34"/>
        <v>44970</v>
      </c>
      <c r="P365" s="34" t="str">
        <f t="shared" si="39"/>
        <v>PERCENTAGE</v>
      </c>
    </row>
    <row r="366" spans="1:16" s="6" customFormat="1" x14ac:dyDescent="0.25">
      <c r="A366" s="33" t="str">
        <f t="shared" si="36"/>
        <v>2024 JAN-JUN D70</v>
      </c>
      <c r="B366" s="8">
        <f t="shared" si="37"/>
        <v>46099</v>
      </c>
      <c r="C366" s="8">
        <f t="shared" si="38"/>
        <v>46113</v>
      </c>
      <c r="D366" s="33">
        <v>3272</v>
      </c>
      <c r="E366" s="33">
        <v>336</v>
      </c>
      <c r="F366" s="33">
        <v>4</v>
      </c>
      <c r="G366" s="33">
        <v>1</v>
      </c>
      <c r="H366" s="33">
        <v>81379</v>
      </c>
      <c r="I366" s="33" t="s">
        <v>104</v>
      </c>
      <c r="J366" s="33">
        <v>15499624</v>
      </c>
      <c r="K366" s="33" t="s">
        <v>1919</v>
      </c>
      <c r="L366" s="33" t="s">
        <v>1920</v>
      </c>
      <c r="M366" s="34">
        <v>149900</v>
      </c>
      <c r="N366" s="37">
        <f t="shared" si="35"/>
        <v>0.7</v>
      </c>
      <c r="O366" s="34">
        <f t="shared" si="34"/>
        <v>44970</v>
      </c>
      <c r="P366" s="34" t="str">
        <f t="shared" si="39"/>
        <v>PERCENTAGE</v>
      </c>
    </row>
    <row r="367" spans="1:16" s="6" customFormat="1" x14ac:dyDescent="0.25">
      <c r="A367" s="33" t="str">
        <f t="shared" si="36"/>
        <v>2024 JAN-JUN D70</v>
      </c>
      <c r="B367" s="8">
        <f t="shared" si="37"/>
        <v>46099</v>
      </c>
      <c r="C367" s="8">
        <f t="shared" si="38"/>
        <v>46113</v>
      </c>
      <c r="D367" s="33">
        <v>3272</v>
      </c>
      <c r="E367" s="33">
        <v>336</v>
      </c>
      <c r="F367" s="33">
        <v>4</v>
      </c>
      <c r="G367" s="33">
        <v>1</v>
      </c>
      <c r="H367" s="33">
        <v>81379</v>
      </c>
      <c r="I367" s="33" t="s">
        <v>104</v>
      </c>
      <c r="J367" s="33">
        <v>15499633</v>
      </c>
      <c r="K367" s="33" t="s">
        <v>1919</v>
      </c>
      <c r="L367" s="33" t="s">
        <v>1921</v>
      </c>
      <c r="M367" s="34">
        <v>149900</v>
      </c>
      <c r="N367" s="37">
        <f t="shared" si="35"/>
        <v>0.7</v>
      </c>
      <c r="O367" s="34">
        <f t="shared" si="34"/>
        <v>44970</v>
      </c>
      <c r="P367" s="34" t="str">
        <f t="shared" si="39"/>
        <v>PERCENTAGE</v>
      </c>
    </row>
    <row r="368" spans="1:16" s="6" customFormat="1" x14ac:dyDescent="0.25">
      <c r="A368" s="33" t="str">
        <f t="shared" si="36"/>
        <v>2024 JAN-JUN D70</v>
      </c>
      <c r="B368" s="8">
        <f t="shared" si="37"/>
        <v>46099</v>
      </c>
      <c r="C368" s="8">
        <f t="shared" si="38"/>
        <v>46113</v>
      </c>
      <c r="D368" s="33">
        <v>3272</v>
      </c>
      <c r="E368" s="33">
        <v>336</v>
      </c>
      <c r="F368" s="33">
        <v>4</v>
      </c>
      <c r="G368" s="33">
        <v>1</v>
      </c>
      <c r="H368" s="33">
        <v>81379</v>
      </c>
      <c r="I368" s="33" t="s">
        <v>104</v>
      </c>
      <c r="J368" s="33">
        <v>15499642</v>
      </c>
      <c r="K368" s="33" t="s">
        <v>1919</v>
      </c>
      <c r="L368" s="33" t="s">
        <v>1922</v>
      </c>
      <c r="M368" s="34">
        <v>149900</v>
      </c>
      <c r="N368" s="37">
        <f t="shared" si="35"/>
        <v>0.7</v>
      </c>
      <c r="O368" s="34">
        <f t="shared" si="34"/>
        <v>44970</v>
      </c>
      <c r="P368" s="34" t="str">
        <f t="shared" si="39"/>
        <v>PERCENTAGE</v>
      </c>
    </row>
    <row r="369" spans="1:16" s="6" customFormat="1" x14ac:dyDescent="0.25">
      <c r="A369" s="33" t="str">
        <f t="shared" si="36"/>
        <v>2024 JAN-JUN D70</v>
      </c>
      <c r="B369" s="8">
        <f t="shared" si="37"/>
        <v>46099</v>
      </c>
      <c r="C369" s="8">
        <f t="shared" si="38"/>
        <v>46113</v>
      </c>
      <c r="D369" s="33">
        <v>3272</v>
      </c>
      <c r="E369" s="33">
        <v>336</v>
      </c>
      <c r="F369" s="33">
        <v>4</v>
      </c>
      <c r="G369" s="33">
        <v>1</v>
      </c>
      <c r="H369" s="33">
        <v>81379</v>
      </c>
      <c r="I369" s="33" t="s">
        <v>104</v>
      </c>
      <c r="J369" s="33">
        <v>15499651</v>
      </c>
      <c r="K369" s="33" t="s">
        <v>1919</v>
      </c>
      <c r="L369" s="33" t="s">
        <v>1923</v>
      </c>
      <c r="M369" s="34">
        <v>149900</v>
      </c>
      <c r="N369" s="37">
        <f t="shared" si="35"/>
        <v>0.7</v>
      </c>
      <c r="O369" s="34">
        <f t="shared" si="34"/>
        <v>44970</v>
      </c>
      <c r="P369" s="34" t="str">
        <f t="shared" si="39"/>
        <v>PERCENTAGE</v>
      </c>
    </row>
    <row r="370" spans="1:16" s="6" customFormat="1" x14ac:dyDescent="0.25">
      <c r="A370" s="33" t="str">
        <f t="shared" si="36"/>
        <v>2024 JAN-JUN D70</v>
      </c>
      <c r="B370" s="8">
        <f t="shared" si="37"/>
        <v>46099</v>
      </c>
      <c r="C370" s="8">
        <f t="shared" si="38"/>
        <v>46113</v>
      </c>
      <c r="D370" s="33">
        <v>3272</v>
      </c>
      <c r="E370" s="33">
        <v>336</v>
      </c>
      <c r="F370" s="33">
        <v>4</v>
      </c>
      <c r="G370" s="33">
        <v>1</v>
      </c>
      <c r="H370" s="33">
        <v>81379</v>
      </c>
      <c r="I370" s="33" t="s">
        <v>104</v>
      </c>
      <c r="J370" s="33">
        <v>15499660</v>
      </c>
      <c r="K370" s="33" t="s">
        <v>1919</v>
      </c>
      <c r="L370" s="33" t="s">
        <v>1924</v>
      </c>
      <c r="M370" s="34">
        <v>149900</v>
      </c>
      <c r="N370" s="37">
        <f t="shared" si="35"/>
        <v>0.7</v>
      </c>
      <c r="O370" s="34">
        <f t="shared" si="34"/>
        <v>44970</v>
      </c>
      <c r="P370" s="34" t="str">
        <f t="shared" si="39"/>
        <v>PERCENTAGE</v>
      </c>
    </row>
    <row r="371" spans="1:16" s="6" customFormat="1" x14ac:dyDescent="0.25">
      <c r="A371" s="33" t="str">
        <f t="shared" si="36"/>
        <v>2024 JAN-JUN D70</v>
      </c>
      <c r="B371" s="8">
        <f t="shared" si="37"/>
        <v>46099</v>
      </c>
      <c r="C371" s="8">
        <f t="shared" si="38"/>
        <v>46113</v>
      </c>
      <c r="D371" s="33">
        <v>3272</v>
      </c>
      <c r="E371" s="33">
        <v>336</v>
      </c>
      <c r="F371" s="33">
        <v>4</v>
      </c>
      <c r="G371" s="33">
        <v>1</v>
      </c>
      <c r="H371" s="33">
        <v>81379</v>
      </c>
      <c r="I371" s="33" t="s">
        <v>104</v>
      </c>
      <c r="J371" s="33">
        <v>19119803</v>
      </c>
      <c r="K371" s="33" t="s">
        <v>1925</v>
      </c>
      <c r="L371" s="33" t="s">
        <v>1926</v>
      </c>
      <c r="M371" s="34">
        <v>149900</v>
      </c>
      <c r="N371" s="37">
        <f t="shared" si="35"/>
        <v>0.7</v>
      </c>
      <c r="O371" s="34">
        <f t="shared" si="34"/>
        <v>44970</v>
      </c>
      <c r="P371" s="34" t="str">
        <f t="shared" si="39"/>
        <v>PERCENTAGE</v>
      </c>
    </row>
    <row r="372" spans="1:16" s="6" customFormat="1" x14ac:dyDescent="0.25">
      <c r="A372" s="33" t="str">
        <f t="shared" si="36"/>
        <v>2024 JAN-JUN D70</v>
      </c>
      <c r="B372" s="8">
        <f t="shared" si="37"/>
        <v>46099</v>
      </c>
      <c r="C372" s="8">
        <f t="shared" si="38"/>
        <v>46113</v>
      </c>
      <c r="D372" s="33">
        <v>3272</v>
      </c>
      <c r="E372" s="33">
        <v>336</v>
      </c>
      <c r="F372" s="33">
        <v>4</v>
      </c>
      <c r="G372" s="33">
        <v>1</v>
      </c>
      <c r="H372" s="33">
        <v>81379</v>
      </c>
      <c r="I372" s="33" t="s">
        <v>104</v>
      </c>
      <c r="J372" s="33">
        <v>19119812</v>
      </c>
      <c r="K372" s="33" t="s">
        <v>1925</v>
      </c>
      <c r="L372" s="33" t="s">
        <v>1927</v>
      </c>
      <c r="M372" s="34">
        <v>149900</v>
      </c>
      <c r="N372" s="37">
        <f t="shared" si="35"/>
        <v>0.7</v>
      </c>
      <c r="O372" s="34">
        <f t="shared" si="34"/>
        <v>44970</v>
      </c>
      <c r="P372" s="34" t="str">
        <f t="shared" si="39"/>
        <v>PERCENTAGE</v>
      </c>
    </row>
    <row r="373" spans="1:16" s="6" customFormat="1" x14ac:dyDescent="0.25">
      <c r="A373" s="33" t="str">
        <f t="shared" si="36"/>
        <v>2024 JAN-JUN D70</v>
      </c>
      <c r="B373" s="8">
        <f t="shared" si="37"/>
        <v>46099</v>
      </c>
      <c r="C373" s="8">
        <f t="shared" si="38"/>
        <v>46113</v>
      </c>
      <c r="D373" s="33">
        <v>3272</v>
      </c>
      <c r="E373" s="33">
        <v>336</v>
      </c>
      <c r="F373" s="33">
        <v>4</v>
      </c>
      <c r="G373" s="33">
        <v>1</v>
      </c>
      <c r="H373" s="33">
        <v>81379</v>
      </c>
      <c r="I373" s="33" t="s">
        <v>104</v>
      </c>
      <c r="J373" s="33">
        <v>19119821</v>
      </c>
      <c r="K373" s="33" t="s">
        <v>1925</v>
      </c>
      <c r="L373" s="33" t="s">
        <v>1928</v>
      </c>
      <c r="M373" s="34">
        <v>149900</v>
      </c>
      <c r="N373" s="37">
        <f t="shared" si="35"/>
        <v>0.7</v>
      </c>
      <c r="O373" s="34">
        <f t="shared" si="34"/>
        <v>44970</v>
      </c>
      <c r="P373" s="34" t="str">
        <f t="shared" si="39"/>
        <v>PERCENTAGE</v>
      </c>
    </row>
    <row r="374" spans="1:16" s="6" customFormat="1" x14ac:dyDescent="0.25">
      <c r="A374" s="33" t="str">
        <f t="shared" si="36"/>
        <v>2024 JAN-JUN D70</v>
      </c>
      <c r="B374" s="8">
        <f t="shared" si="37"/>
        <v>46099</v>
      </c>
      <c r="C374" s="8">
        <f t="shared" si="38"/>
        <v>46113</v>
      </c>
      <c r="D374" s="33">
        <v>3272</v>
      </c>
      <c r="E374" s="33">
        <v>336</v>
      </c>
      <c r="F374" s="33">
        <v>4</v>
      </c>
      <c r="G374" s="33">
        <v>1</v>
      </c>
      <c r="H374" s="33">
        <v>81379</v>
      </c>
      <c r="I374" s="33" t="s">
        <v>104</v>
      </c>
      <c r="J374" s="33">
        <v>19119830</v>
      </c>
      <c r="K374" s="33" t="s">
        <v>1925</v>
      </c>
      <c r="L374" s="33" t="s">
        <v>1929</v>
      </c>
      <c r="M374" s="34">
        <v>149900</v>
      </c>
      <c r="N374" s="37">
        <f t="shared" si="35"/>
        <v>0.7</v>
      </c>
      <c r="O374" s="34">
        <f t="shared" si="34"/>
        <v>44970</v>
      </c>
      <c r="P374" s="34" t="str">
        <f t="shared" si="39"/>
        <v>PERCENTAGE</v>
      </c>
    </row>
    <row r="375" spans="1:16" s="6" customFormat="1" x14ac:dyDescent="0.25">
      <c r="A375" s="33" t="str">
        <f t="shared" si="36"/>
        <v>2024 JAN-JUN D70</v>
      </c>
      <c r="B375" s="8">
        <f t="shared" si="37"/>
        <v>46099</v>
      </c>
      <c r="C375" s="8">
        <f t="shared" si="38"/>
        <v>46113</v>
      </c>
      <c r="D375" s="33">
        <v>3272</v>
      </c>
      <c r="E375" s="33">
        <v>336</v>
      </c>
      <c r="F375" s="33">
        <v>4</v>
      </c>
      <c r="G375" s="33">
        <v>1</v>
      </c>
      <c r="H375" s="33">
        <v>81379</v>
      </c>
      <c r="I375" s="33" t="s">
        <v>104</v>
      </c>
      <c r="J375" s="33">
        <v>19119849</v>
      </c>
      <c r="K375" s="33" t="s">
        <v>1925</v>
      </c>
      <c r="L375" s="33" t="s">
        <v>1930</v>
      </c>
      <c r="M375" s="34">
        <v>149900</v>
      </c>
      <c r="N375" s="37">
        <f t="shared" si="35"/>
        <v>0.7</v>
      </c>
      <c r="O375" s="34">
        <f t="shared" si="34"/>
        <v>44970</v>
      </c>
      <c r="P375" s="34" t="str">
        <f t="shared" si="39"/>
        <v>PERCENTAGE</v>
      </c>
    </row>
    <row r="376" spans="1:16" s="6" customFormat="1" x14ac:dyDescent="0.25">
      <c r="A376" s="33" t="str">
        <f t="shared" si="36"/>
        <v>2024 JAN-JUN D70</v>
      </c>
      <c r="B376" s="8">
        <f t="shared" si="37"/>
        <v>46099</v>
      </c>
      <c r="C376" s="8">
        <f t="shared" si="38"/>
        <v>46113</v>
      </c>
      <c r="D376" s="33">
        <v>3272</v>
      </c>
      <c r="E376" s="33">
        <v>336</v>
      </c>
      <c r="F376" s="33">
        <v>4</v>
      </c>
      <c r="G376" s="33">
        <v>1</v>
      </c>
      <c r="H376" s="33">
        <v>81379</v>
      </c>
      <c r="I376" s="33" t="s">
        <v>104</v>
      </c>
      <c r="J376" s="33">
        <v>18967498</v>
      </c>
      <c r="K376" s="33" t="s">
        <v>1931</v>
      </c>
      <c r="L376" s="33" t="s">
        <v>1932</v>
      </c>
      <c r="M376" s="34">
        <v>139900</v>
      </c>
      <c r="N376" s="37">
        <f t="shared" si="35"/>
        <v>0.7</v>
      </c>
      <c r="O376" s="34">
        <f t="shared" si="34"/>
        <v>41970</v>
      </c>
      <c r="P376" s="34" t="str">
        <f t="shared" si="39"/>
        <v>PERCENTAGE</v>
      </c>
    </row>
    <row r="377" spans="1:16" s="6" customFormat="1" x14ac:dyDescent="0.25">
      <c r="A377" s="33" t="str">
        <f t="shared" si="36"/>
        <v>2024 JAN-JUN D70</v>
      </c>
      <c r="B377" s="8">
        <f t="shared" si="37"/>
        <v>46099</v>
      </c>
      <c r="C377" s="8">
        <f t="shared" si="38"/>
        <v>46113</v>
      </c>
      <c r="D377" s="33">
        <v>3272</v>
      </c>
      <c r="E377" s="33">
        <v>336</v>
      </c>
      <c r="F377" s="33">
        <v>4</v>
      </c>
      <c r="G377" s="33">
        <v>1</v>
      </c>
      <c r="H377" s="33">
        <v>81379</v>
      </c>
      <c r="I377" s="33" t="s">
        <v>104</v>
      </c>
      <c r="J377" s="33">
        <v>18967505</v>
      </c>
      <c r="K377" s="33" t="s">
        <v>1931</v>
      </c>
      <c r="L377" s="33" t="s">
        <v>1933</v>
      </c>
      <c r="M377" s="34">
        <v>139900</v>
      </c>
      <c r="N377" s="37">
        <f t="shared" si="35"/>
        <v>0.7</v>
      </c>
      <c r="O377" s="34">
        <f t="shared" si="34"/>
        <v>41970</v>
      </c>
      <c r="P377" s="34" t="str">
        <f t="shared" si="39"/>
        <v>PERCENTAGE</v>
      </c>
    </row>
    <row r="378" spans="1:16" s="6" customFormat="1" x14ac:dyDescent="0.25">
      <c r="A378" s="33" t="str">
        <f t="shared" si="36"/>
        <v>2024 JAN-JUN D70</v>
      </c>
      <c r="B378" s="8">
        <f t="shared" si="37"/>
        <v>46099</v>
      </c>
      <c r="C378" s="8">
        <f t="shared" si="38"/>
        <v>46113</v>
      </c>
      <c r="D378" s="33">
        <v>3272</v>
      </c>
      <c r="E378" s="33">
        <v>336</v>
      </c>
      <c r="F378" s="33">
        <v>4</v>
      </c>
      <c r="G378" s="33">
        <v>1</v>
      </c>
      <c r="H378" s="33">
        <v>81379</v>
      </c>
      <c r="I378" s="33" t="s">
        <v>104</v>
      </c>
      <c r="J378" s="33">
        <v>18967514</v>
      </c>
      <c r="K378" s="33" t="s">
        <v>1931</v>
      </c>
      <c r="L378" s="33" t="s">
        <v>1934</v>
      </c>
      <c r="M378" s="34">
        <v>139900</v>
      </c>
      <c r="N378" s="37">
        <f t="shared" si="35"/>
        <v>0.7</v>
      </c>
      <c r="O378" s="34">
        <f t="shared" si="34"/>
        <v>41970</v>
      </c>
      <c r="P378" s="34" t="str">
        <f t="shared" si="39"/>
        <v>PERCENTAGE</v>
      </c>
    </row>
    <row r="379" spans="1:16" s="6" customFormat="1" x14ac:dyDescent="0.25">
      <c r="A379" s="33" t="str">
        <f t="shared" si="36"/>
        <v>2024 JAN-JUN D70</v>
      </c>
      <c r="B379" s="8">
        <f t="shared" si="37"/>
        <v>46099</v>
      </c>
      <c r="C379" s="8">
        <f t="shared" si="38"/>
        <v>46113</v>
      </c>
      <c r="D379" s="33">
        <v>3272</v>
      </c>
      <c r="E379" s="33">
        <v>336</v>
      </c>
      <c r="F379" s="33">
        <v>4</v>
      </c>
      <c r="G379" s="33">
        <v>1</v>
      </c>
      <c r="H379" s="33">
        <v>81379</v>
      </c>
      <c r="I379" s="33" t="s">
        <v>104</v>
      </c>
      <c r="J379" s="33">
        <v>18967523</v>
      </c>
      <c r="K379" s="33" t="s">
        <v>1931</v>
      </c>
      <c r="L379" s="33" t="s">
        <v>1935</v>
      </c>
      <c r="M379" s="34">
        <v>139900</v>
      </c>
      <c r="N379" s="37">
        <f t="shared" si="35"/>
        <v>0.7</v>
      </c>
      <c r="O379" s="34">
        <f t="shared" si="34"/>
        <v>41970</v>
      </c>
      <c r="P379" s="34" t="str">
        <f t="shared" si="39"/>
        <v>PERCENTAGE</v>
      </c>
    </row>
    <row r="380" spans="1:16" s="6" customFormat="1" x14ac:dyDescent="0.25">
      <c r="A380" s="33" t="str">
        <f t="shared" si="36"/>
        <v>2024 JAN-JUN D70</v>
      </c>
      <c r="B380" s="8">
        <f t="shared" si="37"/>
        <v>46099</v>
      </c>
      <c r="C380" s="8">
        <f t="shared" si="38"/>
        <v>46113</v>
      </c>
      <c r="D380" s="33">
        <v>3272</v>
      </c>
      <c r="E380" s="33">
        <v>336</v>
      </c>
      <c r="F380" s="33">
        <v>4</v>
      </c>
      <c r="G380" s="33">
        <v>1</v>
      </c>
      <c r="H380" s="33">
        <v>81379</v>
      </c>
      <c r="I380" s="33" t="s">
        <v>104</v>
      </c>
      <c r="J380" s="33">
        <v>18967532</v>
      </c>
      <c r="K380" s="33" t="s">
        <v>1936</v>
      </c>
      <c r="L380" s="33" t="s">
        <v>1937</v>
      </c>
      <c r="M380" s="34">
        <v>139900</v>
      </c>
      <c r="N380" s="37">
        <f t="shared" si="35"/>
        <v>0.7</v>
      </c>
      <c r="O380" s="34">
        <f t="shared" si="34"/>
        <v>41970</v>
      </c>
      <c r="P380" s="34" t="str">
        <f t="shared" si="39"/>
        <v>PERCENTAGE</v>
      </c>
    </row>
    <row r="381" spans="1:16" s="6" customFormat="1" x14ac:dyDescent="0.25">
      <c r="A381" s="33" t="str">
        <f t="shared" si="36"/>
        <v>2024 JAN-JUN D70</v>
      </c>
      <c r="B381" s="8">
        <f t="shared" si="37"/>
        <v>46099</v>
      </c>
      <c r="C381" s="8">
        <f t="shared" si="38"/>
        <v>46113</v>
      </c>
      <c r="D381" s="33">
        <v>3272</v>
      </c>
      <c r="E381" s="33">
        <v>336</v>
      </c>
      <c r="F381" s="33">
        <v>4</v>
      </c>
      <c r="G381" s="33">
        <v>1</v>
      </c>
      <c r="H381" s="33">
        <v>81379</v>
      </c>
      <c r="I381" s="33" t="s">
        <v>104</v>
      </c>
      <c r="J381" s="33">
        <v>18967541</v>
      </c>
      <c r="K381" s="33" t="s">
        <v>1936</v>
      </c>
      <c r="L381" s="33" t="s">
        <v>1938</v>
      </c>
      <c r="M381" s="34">
        <v>139900</v>
      </c>
      <c r="N381" s="37">
        <f t="shared" si="35"/>
        <v>0.7</v>
      </c>
      <c r="O381" s="34">
        <f t="shared" si="34"/>
        <v>41970</v>
      </c>
      <c r="P381" s="34" t="str">
        <f t="shared" si="39"/>
        <v>PERCENTAGE</v>
      </c>
    </row>
    <row r="382" spans="1:16" s="6" customFormat="1" x14ac:dyDescent="0.25">
      <c r="A382" s="33" t="str">
        <f t="shared" si="36"/>
        <v>2024 JAN-JUN D70</v>
      </c>
      <c r="B382" s="8">
        <f t="shared" si="37"/>
        <v>46099</v>
      </c>
      <c r="C382" s="8">
        <f t="shared" si="38"/>
        <v>46113</v>
      </c>
      <c r="D382" s="33">
        <v>3272</v>
      </c>
      <c r="E382" s="33">
        <v>336</v>
      </c>
      <c r="F382" s="33">
        <v>4</v>
      </c>
      <c r="G382" s="33">
        <v>1</v>
      </c>
      <c r="H382" s="33">
        <v>81379</v>
      </c>
      <c r="I382" s="33" t="s">
        <v>104</v>
      </c>
      <c r="J382" s="33">
        <v>18967550</v>
      </c>
      <c r="K382" s="33" t="s">
        <v>1936</v>
      </c>
      <c r="L382" s="33" t="s">
        <v>1939</v>
      </c>
      <c r="M382" s="34">
        <v>139900</v>
      </c>
      <c r="N382" s="37">
        <f t="shared" si="35"/>
        <v>0.7</v>
      </c>
      <c r="O382" s="34">
        <f t="shared" si="34"/>
        <v>41970</v>
      </c>
      <c r="P382" s="34" t="str">
        <f t="shared" si="39"/>
        <v>PERCENTAGE</v>
      </c>
    </row>
    <row r="383" spans="1:16" s="6" customFormat="1" x14ac:dyDescent="0.25">
      <c r="A383" s="33" t="str">
        <f t="shared" si="36"/>
        <v>2024 JAN-JUN D70</v>
      </c>
      <c r="B383" s="8">
        <f t="shared" si="37"/>
        <v>46099</v>
      </c>
      <c r="C383" s="8">
        <f t="shared" si="38"/>
        <v>46113</v>
      </c>
      <c r="D383" s="33">
        <v>3272</v>
      </c>
      <c r="E383" s="33">
        <v>336</v>
      </c>
      <c r="F383" s="33">
        <v>4</v>
      </c>
      <c r="G383" s="33">
        <v>1</v>
      </c>
      <c r="H383" s="33">
        <v>81379</v>
      </c>
      <c r="I383" s="33" t="s">
        <v>104</v>
      </c>
      <c r="J383" s="33">
        <v>18967569</v>
      </c>
      <c r="K383" s="33" t="s">
        <v>1936</v>
      </c>
      <c r="L383" s="33" t="s">
        <v>1940</v>
      </c>
      <c r="M383" s="34">
        <v>139900</v>
      </c>
      <c r="N383" s="37">
        <f t="shared" si="35"/>
        <v>0.7</v>
      </c>
      <c r="O383" s="34">
        <f t="shared" si="34"/>
        <v>41970</v>
      </c>
      <c r="P383" s="34" t="str">
        <f t="shared" si="39"/>
        <v>PERCENTAGE</v>
      </c>
    </row>
    <row r="384" spans="1:16" s="6" customFormat="1" x14ac:dyDescent="0.25">
      <c r="A384" s="33" t="str">
        <f t="shared" si="36"/>
        <v>2024 JAN-JUN D70</v>
      </c>
      <c r="B384" s="8">
        <f t="shared" si="37"/>
        <v>46099</v>
      </c>
      <c r="C384" s="8">
        <f t="shared" si="38"/>
        <v>46113</v>
      </c>
      <c r="D384" s="33">
        <v>3272</v>
      </c>
      <c r="E384" s="33">
        <v>336</v>
      </c>
      <c r="F384" s="33">
        <v>4</v>
      </c>
      <c r="G384" s="33">
        <v>1</v>
      </c>
      <c r="H384" s="33">
        <v>81379</v>
      </c>
      <c r="I384" s="33" t="s">
        <v>104</v>
      </c>
      <c r="J384" s="33">
        <v>16624076</v>
      </c>
      <c r="K384" s="33" t="s">
        <v>1964</v>
      </c>
      <c r="L384" s="33" t="s">
        <v>1965</v>
      </c>
      <c r="M384" s="34">
        <v>149900</v>
      </c>
      <c r="N384" s="37">
        <f t="shared" si="35"/>
        <v>0.7</v>
      </c>
      <c r="O384" s="34">
        <f t="shared" si="34"/>
        <v>44970</v>
      </c>
      <c r="P384" s="34" t="str">
        <f t="shared" si="39"/>
        <v>PERCENTAGE</v>
      </c>
    </row>
    <row r="385" spans="1:16" s="6" customFormat="1" x14ac:dyDescent="0.25">
      <c r="A385" s="33" t="str">
        <f t="shared" si="36"/>
        <v>2024 JAN-JUN D70</v>
      </c>
      <c r="B385" s="8">
        <f t="shared" si="37"/>
        <v>46099</v>
      </c>
      <c r="C385" s="8">
        <f t="shared" si="38"/>
        <v>46113</v>
      </c>
      <c r="D385" s="33">
        <v>3272</v>
      </c>
      <c r="E385" s="33">
        <v>336</v>
      </c>
      <c r="F385" s="33">
        <v>4</v>
      </c>
      <c r="G385" s="33">
        <v>1</v>
      </c>
      <c r="H385" s="33">
        <v>81379</v>
      </c>
      <c r="I385" s="33" t="s">
        <v>104</v>
      </c>
      <c r="J385" s="33">
        <v>16624085</v>
      </c>
      <c r="K385" s="33" t="s">
        <v>1964</v>
      </c>
      <c r="L385" s="33" t="s">
        <v>1966</v>
      </c>
      <c r="M385" s="34">
        <v>149900</v>
      </c>
      <c r="N385" s="37">
        <f t="shared" si="35"/>
        <v>0.7</v>
      </c>
      <c r="O385" s="34">
        <f t="shared" si="34"/>
        <v>44970</v>
      </c>
      <c r="P385" s="34" t="str">
        <f t="shared" si="39"/>
        <v>PERCENTAGE</v>
      </c>
    </row>
    <row r="386" spans="1:16" s="6" customFormat="1" x14ac:dyDescent="0.25">
      <c r="A386" s="33" t="str">
        <f t="shared" si="36"/>
        <v>2024 JAN-JUN D70</v>
      </c>
      <c r="B386" s="8">
        <f t="shared" si="37"/>
        <v>46099</v>
      </c>
      <c r="C386" s="8">
        <f t="shared" si="38"/>
        <v>46113</v>
      </c>
      <c r="D386" s="33">
        <v>3272</v>
      </c>
      <c r="E386" s="33">
        <v>336</v>
      </c>
      <c r="F386" s="33">
        <v>4</v>
      </c>
      <c r="G386" s="33">
        <v>1</v>
      </c>
      <c r="H386" s="33">
        <v>81379</v>
      </c>
      <c r="I386" s="33" t="s">
        <v>104</v>
      </c>
      <c r="J386" s="33">
        <v>16624094</v>
      </c>
      <c r="K386" s="33" t="s">
        <v>1964</v>
      </c>
      <c r="L386" s="33" t="s">
        <v>1967</v>
      </c>
      <c r="M386" s="34">
        <v>149900</v>
      </c>
      <c r="N386" s="37">
        <f t="shared" si="35"/>
        <v>0.7</v>
      </c>
      <c r="O386" s="34">
        <f t="shared" ref="O386:O449" si="40">M386-((70*M386))/100</f>
        <v>44970</v>
      </c>
      <c r="P386" s="34" t="str">
        <f t="shared" si="39"/>
        <v>PERCENTAGE</v>
      </c>
    </row>
    <row r="387" spans="1:16" s="6" customFormat="1" x14ac:dyDescent="0.25">
      <c r="A387" s="33" t="str">
        <f t="shared" si="36"/>
        <v>2024 JAN-JUN D70</v>
      </c>
      <c r="B387" s="8">
        <f t="shared" si="37"/>
        <v>46099</v>
      </c>
      <c r="C387" s="8">
        <f t="shared" si="38"/>
        <v>46113</v>
      </c>
      <c r="D387" s="33">
        <v>3272</v>
      </c>
      <c r="E387" s="33">
        <v>336</v>
      </c>
      <c r="F387" s="33">
        <v>4</v>
      </c>
      <c r="G387" s="33">
        <v>1</v>
      </c>
      <c r="H387" s="33">
        <v>81379</v>
      </c>
      <c r="I387" s="33" t="s">
        <v>104</v>
      </c>
      <c r="J387" s="33">
        <v>16624101</v>
      </c>
      <c r="K387" s="33" t="s">
        <v>1964</v>
      </c>
      <c r="L387" s="33" t="s">
        <v>1968</v>
      </c>
      <c r="M387" s="34">
        <v>149900</v>
      </c>
      <c r="N387" s="37">
        <f t="shared" ref="N387:N450" si="41">N386</f>
        <v>0.7</v>
      </c>
      <c r="O387" s="34">
        <f t="shared" si="40"/>
        <v>44970</v>
      </c>
      <c r="P387" s="34" t="str">
        <f t="shared" si="39"/>
        <v>PERCENTAGE</v>
      </c>
    </row>
    <row r="388" spans="1:16" s="6" customFormat="1" x14ac:dyDescent="0.25">
      <c r="A388" s="33" t="str">
        <f t="shared" si="36"/>
        <v>2024 JAN-JUN D70</v>
      </c>
      <c r="B388" s="8">
        <f t="shared" si="37"/>
        <v>46099</v>
      </c>
      <c r="C388" s="8">
        <f t="shared" si="38"/>
        <v>46113</v>
      </c>
      <c r="D388" s="33">
        <v>3272</v>
      </c>
      <c r="E388" s="33">
        <v>336</v>
      </c>
      <c r="F388" s="33">
        <v>4</v>
      </c>
      <c r="G388" s="33">
        <v>1</v>
      </c>
      <c r="H388" s="33">
        <v>81379</v>
      </c>
      <c r="I388" s="33" t="s">
        <v>104</v>
      </c>
      <c r="J388" s="33">
        <v>16624110</v>
      </c>
      <c r="K388" s="33" t="s">
        <v>1964</v>
      </c>
      <c r="L388" s="33" t="s">
        <v>1969</v>
      </c>
      <c r="M388" s="34">
        <v>149900</v>
      </c>
      <c r="N388" s="37">
        <f t="shared" si="41"/>
        <v>0.7</v>
      </c>
      <c r="O388" s="34">
        <f t="shared" si="40"/>
        <v>44970</v>
      </c>
      <c r="P388" s="34" t="str">
        <f t="shared" si="39"/>
        <v>PERCENTAGE</v>
      </c>
    </row>
    <row r="389" spans="1:16" s="6" customFormat="1" x14ac:dyDescent="0.25">
      <c r="A389" s="33" t="str">
        <f t="shared" si="36"/>
        <v>2024 JAN-JUN D70</v>
      </c>
      <c r="B389" s="8">
        <f t="shared" si="37"/>
        <v>46099</v>
      </c>
      <c r="C389" s="8">
        <f t="shared" si="38"/>
        <v>46113</v>
      </c>
      <c r="D389" s="33">
        <v>3272</v>
      </c>
      <c r="E389" s="33">
        <v>336</v>
      </c>
      <c r="F389" s="33">
        <v>4</v>
      </c>
      <c r="G389" s="33">
        <v>1</v>
      </c>
      <c r="H389" s="33">
        <v>81379</v>
      </c>
      <c r="I389" s="33" t="s">
        <v>104</v>
      </c>
      <c r="J389" s="33">
        <v>18659437</v>
      </c>
      <c r="K389" s="33" t="s">
        <v>1977</v>
      </c>
      <c r="L389" s="33" t="s">
        <v>1978</v>
      </c>
      <c r="M389" s="34">
        <v>139900</v>
      </c>
      <c r="N389" s="37">
        <f t="shared" si="41"/>
        <v>0.7</v>
      </c>
      <c r="O389" s="34">
        <f t="shared" si="40"/>
        <v>41970</v>
      </c>
      <c r="P389" s="34" t="str">
        <f t="shared" si="39"/>
        <v>PERCENTAGE</v>
      </c>
    </row>
    <row r="390" spans="1:16" s="6" customFormat="1" x14ac:dyDescent="0.25">
      <c r="A390" s="33" t="str">
        <f t="shared" si="36"/>
        <v>2024 JAN-JUN D70</v>
      </c>
      <c r="B390" s="8">
        <f t="shared" si="37"/>
        <v>46099</v>
      </c>
      <c r="C390" s="8">
        <f t="shared" si="38"/>
        <v>46113</v>
      </c>
      <c r="D390" s="33">
        <v>3272</v>
      </c>
      <c r="E390" s="33">
        <v>336</v>
      </c>
      <c r="F390" s="33">
        <v>4</v>
      </c>
      <c r="G390" s="33">
        <v>1</v>
      </c>
      <c r="H390" s="33">
        <v>81379</v>
      </c>
      <c r="I390" s="33" t="s">
        <v>104</v>
      </c>
      <c r="J390" s="33">
        <v>18659446</v>
      </c>
      <c r="K390" s="33" t="s">
        <v>1977</v>
      </c>
      <c r="L390" s="33" t="s">
        <v>1979</v>
      </c>
      <c r="M390" s="34">
        <v>139900</v>
      </c>
      <c r="N390" s="37">
        <f t="shared" si="41"/>
        <v>0.7</v>
      </c>
      <c r="O390" s="34">
        <f t="shared" si="40"/>
        <v>41970</v>
      </c>
      <c r="P390" s="34" t="str">
        <f t="shared" si="39"/>
        <v>PERCENTAGE</v>
      </c>
    </row>
    <row r="391" spans="1:16" s="6" customFormat="1" x14ac:dyDescent="0.25">
      <c r="A391" s="33" t="str">
        <f t="shared" si="36"/>
        <v>2024 JAN-JUN D70</v>
      </c>
      <c r="B391" s="8">
        <f t="shared" si="37"/>
        <v>46099</v>
      </c>
      <c r="C391" s="8">
        <f t="shared" si="38"/>
        <v>46113</v>
      </c>
      <c r="D391" s="33">
        <v>3272</v>
      </c>
      <c r="E391" s="33">
        <v>336</v>
      </c>
      <c r="F391" s="33">
        <v>4</v>
      </c>
      <c r="G391" s="33">
        <v>1</v>
      </c>
      <c r="H391" s="33">
        <v>81379</v>
      </c>
      <c r="I391" s="33" t="s">
        <v>104</v>
      </c>
      <c r="J391" s="33">
        <v>18659455</v>
      </c>
      <c r="K391" s="33" t="s">
        <v>1977</v>
      </c>
      <c r="L391" s="33" t="s">
        <v>1980</v>
      </c>
      <c r="M391" s="34">
        <v>139900</v>
      </c>
      <c r="N391" s="37">
        <f t="shared" si="41"/>
        <v>0.7</v>
      </c>
      <c r="O391" s="34">
        <f t="shared" si="40"/>
        <v>41970</v>
      </c>
      <c r="P391" s="34" t="str">
        <f t="shared" si="39"/>
        <v>PERCENTAGE</v>
      </c>
    </row>
    <row r="392" spans="1:16" s="6" customFormat="1" x14ac:dyDescent="0.25">
      <c r="A392" s="33" t="str">
        <f t="shared" si="36"/>
        <v>2024 JAN-JUN D70</v>
      </c>
      <c r="B392" s="8">
        <f t="shared" si="37"/>
        <v>46099</v>
      </c>
      <c r="C392" s="8">
        <f t="shared" si="38"/>
        <v>46113</v>
      </c>
      <c r="D392" s="33">
        <v>3272</v>
      </c>
      <c r="E392" s="33">
        <v>336</v>
      </c>
      <c r="F392" s="33">
        <v>4</v>
      </c>
      <c r="G392" s="33">
        <v>1</v>
      </c>
      <c r="H392" s="33">
        <v>81379</v>
      </c>
      <c r="I392" s="33" t="s">
        <v>104</v>
      </c>
      <c r="J392" s="33">
        <v>18659482</v>
      </c>
      <c r="K392" s="33" t="s">
        <v>1977</v>
      </c>
      <c r="L392" s="33" t="s">
        <v>1982</v>
      </c>
      <c r="M392" s="34">
        <v>139900</v>
      </c>
      <c r="N392" s="37">
        <f t="shared" si="41"/>
        <v>0.7</v>
      </c>
      <c r="O392" s="34">
        <f t="shared" si="40"/>
        <v>41970</v>
      </c>
      <c r="P392" s="34" t="str">
        <f t="shared" si="39"/>
        <v>PERCENTAGE</v>
      </c>
    </row>
    <row r="393" spans="1:16" s="6" customFormat="1" x14ac:dyDescent="0.25">
      <c r="A393" s="33" t="str">
        <f t="shared" si="36"/>
        <v>2024 JAN-JUN D70</v>
      </c>
      <c r="B393" s="8">
        <f t="shared" si="37"/>
        <v>46099</v>
      </c>
      <c r="C393" s="8">
        <f t="shared" si="38"/>
        <v>46113</v>
      </c>
      <c r="D393" s="33">
        <v>3272</v>
      </c>
      <c r="E393" s="33">
        <v>336</v>
      </c>
      <c r="F393" s="33">
        <v>4</v>
      </c>
      <c r="G393" s="33">
        <v>1</v>
      </c>
      <c r="H393" s="33">
        <v>81379</v>
      </c>
      <c r="I393" s="33" t="s">
        <v>104</v>
      </c>
      <c r="J393" s="33">
        <v>18659508</v>
      </c>
      <c r="K393" s="33" t="s">
        <v>1977</v>
      </c>
      <c r="L393" s="33" t="s">
        <v>1984</v>
      </c>
      <c r="M393" s="34">
        <v>139900</v>
      </c>
      <c r="N393" s="37">
        <f t="shared" si="41"/>
        <v>0.7</v>
      </c>
      <c r="O393" s="34">
        <f t="shared" si="40"/>
        <v>41970</v>
      </c>
      <c r="P393" s="34" t="str">
        <f t="shared" si="39"/>
        <v>PERCENTAGE</v>
      </c>
    </row>
    <row r="394" spans="1:16" s="6" customFormat="1" x14ac:dyDescent="0.25">
      <c r="A394" s="33" t="str">
        <f t="shared" si="36"/>
        <v>2024 JAN-JUN D70</v>
      </c>
      <c r="B394" s="8">
        <f t="shared" si="37"/>
        <v>46099</v>
      </c>
      <c r="C394" s="8">
        <f t="shared" si="38"/>
        <v>46113</v>
      </c>
      <c r="D394" s="33">
        <v>3272</v>
      </c>
      <c r="E394" s="33">
        <v>336</v>
      </c>
      <c r="F394" s="33">
        <v>4</v>
      </c>
      <c r="G394" s="33">
        <v>1</v>
      </c>
      <c r="H394" s="33">
        <v>81379</v>
      </c>
      <c r="I394" s="33" t="s">
        <v>104</v>
      </c>
      <c r="J394" s="33">
        <v>18659535</v>
      </c>
      <c r="K394" s="33" t="s">
        <v>1986</v>
      </c>
      <c r="L394" s="33" t="s">
        <v>1987</v>
      </c>
      <c r="M394" s="34">
        <v>139900</v>
      </c>
      <c r="N394" s="37">
        <f t="shared" si="41"/>
        <v>0.7</v>
      </c>
      <c r="O394" s="34">
        <f t="shared" si="40"/>
        <v>41970</v>
      </c>
      <c r="P394" s="34" t="str">
        <f t="shared" si="39"/>
        <v>PERCENTAGE</v>
      </c>
    </row>
    <row r="395" spans="1:16" s="6" customFormat="1" x14ac:dyDescent="0.25">
      <c r="A395" s="33" t="str">
        <f t="shared" si="36"/>
        <v>2024 JAN-JUN D70</v>
      </c>
      <c r="B395" s="8">
        <f t="shared" si="37"/>
        <v>46099</v>
      </c>
      <c r="C395" s="8">
        <f t="shared" si="38"/>
        <v>46113</v>
      </c>
      <c r="D395" s="33">
        <v>3272</v>
      </c>
      <c r="E395" s="33">
        <v>336</v>
      </c>
      <c r="F395" s="33">
        <v>4</v>
      </c>
      <c r="G395" s="33">
        <v>1</v>
      </c>
      <c r="H395" s="33">
        <v>81379</v>
      </c>
      <c r="I395" s="33" t="s">
        <v>104</v>
      </c>
      <c r="J395" s="33">
        <v>18659544</v>
      </c>
      <c r="K395" s="33" t="s">
        <v>1986</v>
      </c>
      <c r="L395" s="33" t="s">
        <v>1988</v>
      </c>
      <c r="M395" s="34">
        <v>139900</v>
      </c>
      <c r="N395" s="37">
        <f t="shared" si="41"/>
        <v>0.7</v>
      </c>
      <c r="O395" s="34">
        <f t="shared" si="40"/>
        <v>41970</v>
      </c>
      <c r="P395" s="34" t="str">
        <f t="shared" si="39"/>
        <v>PERCENTAGE</v>
      </c>
    </row>
    <row r="396" spans="1:16" s="6" customFormat="1" x14ac:dyDescent="0.25">
      <c r="A396" s="33" t="str">
        <f t="shared" si="36"/>
        <v>2024 JAN-JUN D70</v>
      </c>
      <c r="B396" s="8">
        <f t="shared" si="37"/>
        <v>46099</v>
      </c>
      <c r="C396" s="8">
        <f t="shared" si="38"/>
        <v>46113</v>
      </c>
      <c r="D396" s="33">
        <v>3272</v>
      </c>
      <c r="E396" s="33">
        <v>336</v>
      </c>
      <c r="F396" s="33">
        <v>4</v>
      </c>
      <c r="G396" s="33">
        <v>1</v>
      </c>
      <c r="H396" s="33">
        <v>81379</v>
      </c>
      <c r="I396" s="33" t="s">
        <v>104</v>
      </c>
      <c r="J396" s="33">
        <v>18659553</v>
      </c>
      <c r="K396" s="33" t="s">
        <v>1986</v>
      </c>
      <c r="L396" s="33" t="s">
        <v>1989</v>
      </c>
      <c r="M396" s="34">
        <v>139900</v>
      </c>
      <c r="N396" s="37">
        <f t="shared" si="41"/>
        <v>0.7</v>
      </c>
      <c r="O396" s="34">
        <f t="shared" si="40"/>
        <v>41970</v>
      </c>
      <c r="P396" s="34" t="str">
        <f t="shared" si="39"/>
        <v>PERCENTAGE</v>
      </c>
    </row>
    <row r="397" spans="1:16" s="6" customFormat="1" x14ac:dyDescent="0.25">
      <c r="A397" s="33" t="str">
        <f t="shared" si="36"/>
        <v>2024 JAN-JUN D70</v>
      </c>
      <c r="B397" s="8">
        <f t="shared" si="37"/>
        <v>46099</v>
      </c>
      <c r="C397" s="8">
        <f t="shared" si="38"/>
        <v>46113</v>
      </c>
      <c r="D397" s="33">
        <v>3272</v>
      </c>
      <c r="E397" s="33">
        <v>336</v>
      </c>
      <c r="F397" s="33">
        <v>4</v>
      </c>
      <c r="G397" s="33">
        <v>1</v>
      </c>
      <c r="H397" s="33">
        <v>81379</v>
      </c>
      <c r="I397" s="33" t="s">
        <v>104</v>
      </c>
      <c r="J397" s="33">
        <v>18659580</v>
      </c>
      <c r="K397" s="33" t="s">
        <v>1986</v>
      </c>
      <c r="L397" s="33" t="s">
        <v>1992</v>
      </c>
      <c r="M397" s="34">
        <v>139900</v>
      </c>
      <c r="N397" s="37">
        <f t="shared" si="41"/>
        <v>0.7</v>
      </c>
      <c r="O397" s="34">
        <f t="shared" si="40"/>
        <v>41970</v>
      </c>
      <c r="P397" s="34" t="str">
        <f t="shared" si="39"/>
        <v>PERCENTAGE</v>
      </c>
    </row>
    <row r="398" spans="1:16" s="6" customFormat="1" x14ac:dyDescent="0.25">
      <c r="A398" s="33" t="str">
        <f t="shared" si="36"/>
        <v>2024 JAN-JUN D70</v>
      </c>
      <c r="B398" s="8">
        <f t="shared" si="37"/>
        <v>46099</v>
      </c>
      <c r="C398" s="8">
        <f t="shared" si="38"/>
        <v>46113</v>
      </c>
      <c r="D398" s="33">
        <v>3272</v>
      </c>
      <c r="E398" s="33">
        <v>336</v>
      </c>
      <c r="F398" s="33">
        <v>4</v>
      </c>
      <c r="G398" s="33">
        <v>1</v>
      </c>
      <c r="H398" s="33">
        <v>81379</v>
      </c>
      <c r="I398" s="33" t="s">
        <v>104</v>
      </c>
      <c r="J398" s="33">
        <v>18659768</v>
      </c>
      <c r="K398" s="33" t="s">
        <v>2002</v>
      </c>
      <c r="L398" s="33" t="s">
        <v>2003</v>
      </c>
      <c r="M398" s="34">
        <v>149900</v>
      </c>
      <c r="N398" s="37">
        <f t="shared" si="41"/>
        <v>0.7</v>
      </c>
      <c r="O398" s="34">
        <f t="shared" si="40"/>
        <v>44970</v>
      </c>
      <c r="P398" s="34" t="str">
        <f t="shared" si="39"/>
        <v>PERCENTAGE</v>
      </c>
    </row>
    <row r="399" spans="1:16" s="6" customFormat="1" x14ac:dyDescent="0.25">
      <c r="A399" s="33" t="str">
        <f t="shared" si="36"/>
        <v>2024 JAN-JUN D70</v>
      </c>
      <c r="B399" s="8">
        <f t="shared" si="37"/>
        <v>46099</v>
      </c>
      <c r="C399" s="8">
        <f t="shared" si="38"/>
        <v>46113</v>
      </c>
      <c r="D399" s="33">
        <v>3272</v>
      </c>
      <c r="E399" s="33">
        <v>336</v>
      </c>
      <c r="F399" s="33">
        <v>4</v>
      </c>
      <c r="G399" s="33">
        <v>1</v>
      </c>
      <c r="H399" s="33">
        <v>81379</v>
      </c>
      <c r="I399" s="33" t="s">
        <v>104</v>
      </c>
      <c r="J399" s="33">
        <v>18659786</v>
      </c>
      <c r="K399" s="33" t="s">
        <v>2002</v>
      </c>
      <c r="L399" s="33" t="s">
        <v>2005</v>
      </c>
      <c r="M399" s="34">
        <v>149900</v>
      </c>
      <c r="N399" s="37">
        <f t="shared" si="41"/>
        <v>0.7</v>
      </c>
      <c r="O399" s="34">
        <f t="shared" si="40"/>
        <v>44970</v>
      </c>
      <c r="P399" s="34" t="str">
        <f t="shared" si="39"/>
        <v>PERCENTAGE</v>
      </c>
    </row>
    <row r="400" spans="1:16" s="6" customFormat="1" x14ac:dyDescent="0.25">
      <c r="A400" s="33" t="str">
        <f t="shared" si="36"/>
        <v>2024 JAN-JUN D70</v>
      </c>
      <c r="B400" s="8">
        <f t="shared" si="37"/>
        <v>46099</v>
      </c>
      <c r="C400" s="8">
        <f t="shared" si="38"/>
        <v>46113</v>
      </c>
      <c r="D400" s="33">
        <v>3272</v>
      </c>
      <c r="E400" s="33">
        <v>336</v>
      </c>
      <c r="F400" s="33">
        <v>4</v>
      </c>
      <c r="G400" s="33">
        <v>1</v>
      </c>
      <c r="H400" s="33">
        <v>81379</v>
      </c>
      <c r="I400" s="33" t="s">
        <v>104</v>
      </c>
      <c r="J400" s="33">
        <v>18659795</v>
      </c>
      <c r="K400" s="33" t="s">
        <v>2002</v>
      </c>
      <c r="L400" s="33" t="s">
        <v>2006</v>
      </c>
      <c r="M400" s="34">
        <v>149900</v>
      </c>
      <c r="N400" s="37">
        <f t="shared" si="41"/>
        <v>0.7</v>
      </c>
      <c r="O400" s="34">
        <f t="shared" si="40"/>
        <v>44970</v>
      </c>
      <c r="P400" s="34" t="str">
        <f t="shared" si="39"/>
        <v>PERCENTAGE</v>
      </c>
    </row>
    <row r="401" spans="1:16" s="6" customFormat="1" x14ac:dyDescent="0.25">
      <c r="A401" s="33" t="str">
        <f t="shared" si="36"/>
        <v>2024 JAN-JUN D70</v>
      </c>
      <c r="B401" s="8">
        <f t="shared" si="37"/>
        <v>46099</v>
      </c>
      <c r="C401" s="8">
        <f t="shared" si="38"/>
        <v>46113</v>
      </c>
      <c r="D401" s="33">
        <v>3272</v>
      </c>
      <c r="E401" s="33">
        <v>336</v>
      </c>
      <c r="F401" s="33">
        <v>4</v>
      </c>
      <c r="G401" s="33">
        <v>1</v>
      </c>
      <c r="H401" s="33">
        <v>81379</v>
      </c>
      <c r="I401" s="33" t="s">
        <v>104</v>
      </c>
      <c r="J401" s="33">
        <v>18659802</v>
      </c>
      <c r="K401" s="33" t="s">
        <v>2002</v>
      </c>
      <c r="L401" s="33" t="s">
        <v>2007</v>
      </c>
      <c r="M401" s="34">
        <v>149900</v>
      </c>
      <c r="N401" s="37">
        <f t="shared" si="41"/>
        <v>0.7</v>
      </c>
      <c r="O401" s="34">
        <f t="shared" si="40"/>
        <v>44970</v>
      </c>
      <c r="P401" s="34" t="str">
        <f t="shared" si="39"/>
        <v>PERCENTAGE</v>
      </c>
    </row>
    <row r="402" spans="1:16" s="6" customFormat="1" x14ac:dyDescent="0.25">
      <c r="A402" s="33" t="str">
        <f t="shared" si="36"/>
        <v>2024 JAN-JUN D70</v>
      </c>
      <c r="B402" s="8">
        <f t="shared" si="37"/>
        <v>46099</v>
      </c>
      <c r="C402" s="8">
        <f t="shared" si="38"/>
        <v>46113</v>
      </c>
      <c r="D402" s="33">
        <v>3272</v>
      </c>
      <c r="E402" s="33">
        <v>336</v>
      </c>
      <c r="F402" s="33">
        <v>4</v>
      </c>
      <c r="G402" s="33">
        <v>1</v>
      </c>
      <c r="H402" s="33">
        <v>81379</v>
      </c>
      <c r="I402" s="33" t="s">
        <v>104</v>
      </c>
      <c r="J402" s="33">
        <v>18659820</v>
      </c>
      <c r="K402" s="33" t="s">
        <v>2002</v>
      </c>
      <c r="L402" s="33" t="s">
        <v>2009</v>
      </c>
      <c r="M402" s="34">
        <v>149900</v>
      </c>
      <c r="N402" s="37">
        <f t="shared" si="41"/>
        <v>0.7</v>
      </c>
      <c r="O402" s="34">
        <f t="shared" si="40"/>
        <v>44970</v>
      </c>
      <c r="P402" s="34" t="str">
        <f t="shared" si="39"/>
        <v>PERCENTAGE</v>
      </c>
    </row>
    <row r="403" spans="1:16" s="6" customFormat="1" x14ac:dyDescent="0.25">
      <c r="A403" s="33" t="str">
        <f t="shared" si="36"/>
        <v>2024 JAN-JUN D70</v>
      </c>
      <c r="B403" s="8">
        <f t="shared" si="37"/>
        <v>46099</v>
      </c>
      <c r="C403" s="8">
        <f t="shared" si="38"/>
        <v>46113</v>
      </c>
      <c r="D403" s="33">
        <v>3272</v>
      </c>
      <c r="E403" s="33">
        <v>336</v>
      </c>
      <c r="F403" s="33">
        <v>4</v>
      </c>
      <c r="G403" s="33">
        <v>1</v>
      </c>
      <c r="H403" s="33">
        <v>81379</v>
      </c>
      <c r="I403" s="33" t="s">
        <v>104</v>
      </c>
      <c r="J403" s="33">
        <v>18659839</v>
      </c>
      <c r="K403" s="33" t="s">
        <v>2002</v>
      </c>
      <c r="L403" s="33" t="s">
        <v>2010</v>
      </c>
      <c r="M403" s="34">
        <v>149900</v>
      </c>
      <c r="N403" s="37">
        <f t="shared" si="41"/>
        <v>0.7</v>
      </c>
      <c r="O403" s="34">
        <f t="shared" si="40"/>
        <v>44970</v>
      </c>
      <c r="P403" s="34" t="str">
        <f t="shared" si="39"/>
        <v>PERCENTAGE</v>
      </c>
    </row>
    <row r="404" spans="1:16" s="6" customFormat="1" x14ac:dyDescent="0.25">
      <c r="A404" s="33" t="str">
        <f t="shared" si="36"/>
        <v>2024 JAN-JUN D70</v>
      </c>
      <c r="B404" s="8">
        <f t="shared" si="37"/>
        <v>46099</v>
      </c>
      <c r="C404" s="8">
        <f t="shared" si="38"/>
        <v>46113</v>
      </c>
      <c r="D404" s="33">
        <v>3272</v>
      </c>
      <c r="E404" s="33">
        <v>336</v>
      </c>
      <c r="F404" s="33">
        <v>4</v>
      </c>
      <c r="G404" s="33">
        <v>1</v>
      </c>
      <c r="H404" s="33">
        <v>81379</v>
      </c>
      <c r="I404" s="33" t="s">
        <v>104</v>
      </c>
      <c r="J404" s="33">
        <v>18756519</v>
      </c>
      <c r="K404" s="33" t="s">
        <v>2038</v>
      </c>
      <c r="L404" s="33" t="s">
        <v>2039</v>
      </c>
      <c r="M404" s="34">
        <v>139900</v>
      </c>
      <c r="N404" s="37">
        <f t="shared" si="41"/>
        <v>0.7</v>
      </c>
      <c r="O404" s="34">
        <f t="shared" si="40"/>
        <v>41970</v>
      </c>
      <c r="P404" s="34" t="str">
        <f t="shared" si="39"/>
        <v>PERCENTAGE</v>
      </c>
    </row>
    <row r="405" spans="1:16" s="6" customFormat="1" x14ac:dyDescent="0.25">
      <c r="A405" s="33" t="str">
        <f t="shared" si="36"/>
        <v>2024 JAN-JUN D70</v>
      </c>
      <c r="B405" s="8">
        <f t="shared" si="37"/>
        <v>46099</v>
      </c>
      <c r="C405" s="8">
        <f t="shared" si="38"/>
        <v>46113</v>
      </c>
      <c r="D405" s="33">
        <v>3272</v>
      </c>
      <c r="E405" s="33">
        <v>336</v>
      </c>
      <c r="F405" s="33">
        <v>4</v>
      </c>
      <c r="G405" s="33">
        <v>1</v>
      </c>
      <c r="H405" s="33">
        <v>81379</v>
      </c>
      <c r="I405" s="33" t="s">
        <v>104</v>
      </c>
      <c r="J405" s="33">
        <v>18756528</v>
      </c>
      <c r="K405" s="33" t="s">
        <v>2038</v>
      </c>
      <c r="L405" s="33" t="s">
        <v>2040</v>
      </c>
      <c r="M405" s="34">
        <v>139900</v>
      </c>
      <c r="N405" s="37">
        <f t="shared" si="41"/>
        <v>0.7</v>
      </c>
      <c r="O405" s="34">
        <f t="shared" si="40"/>
        <v>41970</v>
      </c>
      <c r="P405" s="34" t="str">
        <f t="shared" si="39"/>
        <v>PERCENTAGE</v>
      </c>
    </row>
    <row r="406" spans="1:16" s="6" customFormat="1" x14ac:dyDescent="0.25">
      <c r="A406" s="33" t="str">
        <f t="shared" si="36"/>
        <v>2024 JAN-JUN D70</v>
      </c>
      <c r="B406" s="8">
        <f t="shared" si="37"/>
        <v>46099</v>
      </c>
      <c r="C406" s="8">
        <f t="shared" si="38"/>
        <v>46113</v>
      </c>
      <c r="D406" s="33">
        <v>3272</v>
      </c>
      <c r="E406" s="33">
        <v>336</v>
      </c>
      <c r="F406" s="33">
        <v>4</v>
      </c>
      <c r="G406" s="33">
        <v>1</v>
      </c>
      <c r="H406" s="33">
        <v>81379</v>
      </c>
      <c r="I406" s="33" t="s">
        <v>104</v>
      </c>
      <c r="J406" s="33">
        <v>18756537</v>
      </c>
      <c r="K406" s="33" t="s">
        <v>2038</v>
      </c>
      <c r="L406" s="33" t="s">
        <v>2041</v>
      </c>
      <c r="M406" s="34">
        <v>139900</v>
      </c>
      <c r="N406" s="37">
        <f t="shared" si="41"/>
        <v>0.7</v>
      </c>
      <c r="O406" s="34">
        <f t="shared" si="40"/>
        <v>41970</v>
      </c>
      <c r="P406" s="34" t="str">
        <f t="shared" si="39"/>
        <v>PERCENTAGE</v>
      </c>
    </row>
    <row r="407" spans="1:16" s="6" customFormat="1" x14ac:dyDescent="0.25">
      <c r="A407" s="33" t="str">
        <f t="shared" si="36"/>
        <v>2024 JAN-JUN D70</v>
      </c>
      <c r="B407" s="8">
        <f t="shared" si="37"/>
        <v>46099</v>
      </c>
      <c r="C407" s="8">
        <f t="shared" si="38"/>
        <v>46113</v>
      </c>
      <c r="D407" s="33">
        <v>3272</v>
      </c>
      <c r="E407" s="33">
        <v>336</v>
      </c>
      <c r="F407" s="33">
        <v>4</v>
      </c>
      <c r="G407" s="33">
        <v>1</v>
      </c>
      <c r="H407" s="33">
        <v>81379</v>
      </c>
      <c r="I407" s="33" t="s">
        <v>104</v>
      </c>
      <c r="J407" s="33">
        <v>18756546</v>
      </c>
      <c r="K407" s="33" t="s">
        <v>2038</v>
      </c>
      <c r="L407" s="33" t="s">
        <v>2042</v>
      </c>
      <c r="M407" s="34">
        <v>139900</v>
      </c>
      <c r="N407" s="37">
        <f t="shared" si="41"/>
        <v>0.7</v>
      </c>
      <c r="O407" s="34">
        <f t="shared" si="40"/>
        <v>41970</v>
      </c>
      <c r="P407" s="34" t="str">
        <f t="shared" si="39"/>
        <v>PERCENTAGE</v>
      </c>
    </row>
    <row r="408" spans="1:16" s="6" customFormat="1" x14ac:dyDescent="0.25">
      <c r="A408" s="33" t="str">
        <f t="shared" si="36"/>
        <v>2024 JAN-JUN D70</v>
      </c>
      <c r="B408" s="8">
        <f t="shared" si="37"/>
        <v>46099</v>
      </c>
      <c r="C408" s="8">
        <f t="shared" si="38"/>
        <v>46113</v>
      </c>
      <c r="D408" s="33">
        <v>3272</v>
      </c>
      <c r="E408" s="33">
        <v>336</v>
      </c>
      <c r="F408" s="33">
        <v>4</v>
      </c>
      <c r="G408" s="33">
        <v>1</v>
      </c>
      <c r="H408" s="33">
        <v>81379</v>
      </c>
      <c r="I408" s="33" t="s">
        <v>104</v>
      </c>
      <c r="J408" s="33">
        <v>18756555</v>
      </c>
      <c r="K408" s="33" t="s">
        <v>2038</v>
      </c>
      <c r="L408" s="33" t="s">
        <v>2043</v>
      </c>
      <c r="M408" s="34">
        <v>139900</v>
      </c>
      <c r="N408" s="37">
        <f t="shared" si="41"/>
        <v>0.7</v>
      </c>
      <c r="O408" s="34">
        <f t="shared" si="40"/>
        <v>41970</v>
      </c>
      <c r="P408" s="34" t="str">
        <f t="shared" si="39"/>
        <v>PERCENTAGE</v>
      </c>
    </row>
    <row r="409" spans="1:16" s="6" customFormat="1" x14ac:dyDescent="0.25">
      <c r="A409" s="33" t="str">
        <f t="shared" si="36"/>
        <v>2024 JAN-JUN D70</v>
      </c>
      <c r="B409" s="8">
        <f t="shared" si="37"/>
        <v>46099</v>
      </c>
      <c r="C409" s="8">
        <f t="shared" si="38"/>
        <v>46113</v>
      </c>
      <c r="D409" s="33">
        <v>3272</v>
      </c>
      <c r="E409" s="33">
        <v>336</v>
      </c>
      <c r="F409" s="33">
        <v>4</v>
      </c>
      <c r="G409" s="33">
        <v>1</v>
      </c>
      <c r="H409" s="33">
        <v>81379</v>
      </c>
      <c r="I409" s="33" t="s">
        <v>104</v>
      </c>
      <c r="J409" s="33">
        <v>18756573</v>
      </c>
      <c r="K409" s="33" t="s">
        <v>2045</v>
      </c>
      <c r="L409" s="33" t="s">
        <v>2046</v>
      </c>
      <c r="M409" s="34">
        <v>139900</v>
      </c>
      <c r="N409" s="37">
        <f t="shared" si="41"/>
        <v>0.7</v>
      </c>
      <c r="O409" s="34">
        <f t="shared" si="40"/>
        <v>41970</v>
      </c>
      <c r="P409" s="34" t="str">
        <f t="shared" si="39"/>
        <v>PERCENTAGE</v>
      </c>
    </row>
    <row r="410" spans="1:16" s="6" customFormat="1" x14ac:dyDescent="0.25">
      <c r="A410" s="33" t="str">
        <f t="shared" si="36"/>
        <v>2024 JAN-JUN D70</v>
      </c>
      <c r="B410" s="8">
        <f t="shared" si="37"/>
        <v>46099</v>
      </c>
      <c r="C410" s="8">
        <f t="shared" si="38"/>
        <v>46113</v>
      </c>
      <c r="D410" s="33">
        <v>3272</v>
      </c>
      <c r="E410" s="33">
        <v>336</v>
      </c>
      <c r="F410" s="33">
        <v>4</v>
      </c>
      <c r="G410" s="33">
        <v>1</v>
      </c>
      <c r="H410" s="33">
        <v>81379</v>
      </c>
      <c r="I410" s="33" t="s">
        <v>104</v>
      </c>
      <c r="J410" s="33">
        <v>18756582</v>
      </c>
      <c r="K410" s="33" t="s">
        <v>2045</v>
      </c>
      <c r="L410" s="33" t="s">
        <v>2047</v>
      </c>
      <c r="M410" s="34">
        <v>139900</v>
      </c>
      <c r="N410" s="37">
        <f t="shared" si="41"/>
        <v>0.7</v>
      </c>
      <c r="O410" s="34">
        <f t="shared" si="40"/>
        <v>41970</v>
      </c>
      <c r="P410" s="34" t="str">
        <f t="shared" si="39"/>
        <v>PERCENTAGE</v>
      </c>
    </row>
    <row r="411" spans="1:16" s="6" customFormat="1" x14ac:dyDescent="0.25">
      <c r="A411" s="33" t="str">
        <f t="shared" si="36"/>
        <v>2024 JAN-JUN D70</v>
      </c>
      <c r="B411" s="8">
        <f t="shared" si="37"/>
        <v>46099</v>
      </c>
      <c r="C411" s="8">
        <f t="shared" si="38"/>
        <v>46113</v>
      </c>
      <c r="D411" s="33">
        <v>3272</v>
      </c>
      <c r="E411" s="33">
        <v>336</v>
      </c>
      <c r="F411" s="33">
        <v>4</v>
      </c>
      <c r="G411" s="33">
        <v>1</v>
      </c>
      <c r="H411" s="33">
        <v>81379</v>
      </c>
      <c r="I411" s="33" t="s">
        <v>104</v>
      </c>
      <c r="J411" s="33">
        <v>18756591</v>
      </c>
      <c r="K411" s="33" t="s">
        <v>2045</v>
      </c>
      <c r="L411" s="33" t="s">
        <v>2048</v>
      </c>
      <c r="M411" s="34">
        <v>139900</v>
      </c>
      <c r="N411" s="37">
        <f t="shared" si="41"/>
        <v>0.7</v>
      </c>
      <c r="O411" s="34">
        <f t="shared" si="40"/>
        <v>41970</v>
      </c>
      <c r="P411" s="34" t="str">
        <f t="shared" si="39"/>
        <v>PERCENTAGE</v>
      </c>
    </row>
    <row r="412" spans="1:16" s="6" customFormat="1" x14ac:dyDescent="0.25">
      <c r="A412" s="33" t="str">
        <f t="shared" si="36"/>
        <v>2024 JAN-JUN D70</v>
      </c>
      <c r="B412" s="8">
        <f t="shared" si="37"/>
        <v>46099</v>
      </c>
      <c r="C412" s="8">
        <f t="shared" si="38"/>
        <v>46113</v>
      </c>
      <c r="D412" s="33">
        <v>3272</v>
      </c>
      <c r="E412" s="33">
        <v>336</v>
      </c>
      <c r="F412" s="33">
        <v>4</v>
      </c>
      <c r="G412" s="33">
        <v>1</v>
      </c>
      <c r="H412" s="33">
        <v>81379</v>
      </c>
      <c r="I412" s="33" t="s">
        <v>104</v>
      </c>
      <c r="J412" s="33">
        <v>18756608</v>
      </c>
      <c r="K412" s="33" t="s">
        <v>2045</v>
      </c>
      <c r="L412" s="33" t="s">
        <v>2049</v>
      </c>
      <c r="M412" s="34">
        <v>139900</v>
      </c>
      <c r="N412" s="37">
        <f t="shared" si="41"/>
        <v>0.7</v>
      </c>
      <c r="O412" s="34">
        <f t="shared" si="40"/>
        <v>41970</v>
      </c>
      <c r="P412" s="34" t="str">
        <f t="shared" si="39"/>
        <v>PERCENTAGE</v>
      </c>
    </row>
    <row r="413" spans="1:16" s="6" customFormat="1" x14ac:dyDescent="0.25">
      <c r="A413" s="33" t="str">
        <f t="shared" si="36"/>
        <v>2024 JAN-JUN D70</v>
      </c>
      <c r="B413" s="8">
        <f t="shared" si="37"/>
        <v>46099</v>
      </c>
      <c r="C413" s="8">
        <f t="shared" si="38"/>
        <v>46113</v>
      </c>
      <c r="D413" s="33">
        <v>3272</v>
      </c>
      <c r="E413" s="33">
        <v>336</v>
      </c>
      <c r="F413" s="33">
        <v>4</v>
      </c>
      <c r="G413" s="33">
        <v>1</v>
      </c>
      <c r="H413" s="33">
        <v>81379</v>
      </c>
      <c r="I413" s="33" t="s">
        <v>104</v>
      </c>
      <c r="J413" s="33">
        <v>18756617</v>
      </c>
      <c r="K413" s="33" t="s">
        <v>2045</v>
      </c>
      <c r="L413" s="33" t="s">
        <v>2050</v>
      </c>
      <c r="M413" s="34">
        <v>139900</v>
      </c>
      <c r="N413" s="37">
        <f t="shared" si="41"/>
        <v>0.7</v>
      </c>
      <c r="O413" s="34">
        <f t="shared" si="40"/>
        <v>41970</v>
      </c>
      <c r="P413" s="34" t="str">
        <f t="shared" si="39"/>
        <v>PERCENTAGE</v>
      </c>
    </row>
    <row r="414" spans="1:16" s="6" customFormat="1" x14ac:dyDescent="0.25">
      <c r="A414" s="33" t="str">
        <f t="shared" si="36"/>
        <v>2024 JAN-JUN D70</v>
      </c>
      <c r="B414" s="8">
        <f t="shared" si="37"/>
        <v>46099</v>
      </c>
      <c r="C414" s="8">
        <f t="shared" si="38"/>
        <v>46113</v>
      </c>
      <c r="D414" s="33">
        <v>3272</v>
      </c>
      <c r="E414" s="33">
        <v>336</v>
      </c>
      <c r="F414" s="33">
        <v>4</v>
      </c>
      <c r="G414" s="33">
        <v>1</v>
      </c>
      <c r="H414" s="33">
        <v>81379</v>
      </c>
      <c r="I414" s="33" t="s">
        <v>104</v>
      </c>
      <c r="J414" s="33">
        <v>18756626</v>
      </c>
      <c r="K414" s="33" t="s">
        <v>2045</v>
      </c>
      <c r="L414" s="33" t="s">
        <v>2051</v>
      </c>
      <c r="M414" s="34">
        <v>139900</v>
      </c>
      <c r="N414" s="37">
        <f t="shared" si="41"/>
        <v>0.7</v>
      </c>
      <c r="O414" s="34">
        <f t="shared" si="40"/>
        <v>41970</v>
      </c>
      <c r="P414" s="34" t="str">
        <f t="shared" si="39"/>
        <v>PERCENTAGE</v>
      </c>
    </row>
    <row r="415" spans="1:16" s="6" customFormat="1" x14ac:dyDescent="0.25">
      <c r="A415" s="33" t="str">
        <f t="shared" si="36"/>
        <v>2024 JAN-JUN D70</v>
      </c>
      <c r="B415" s="8">
        <f t="shared" si="37"/>
        <v>46099</v>
      </c>
      <c r="C415" s="8">
        <f t="shared" si="38"/>
        <v>46113</v>
      </c>
      <c r="D415" s="33">
        <v>3272</v>
      </c>
      <c r="E415" s="33">
        <v>336</v>
      </c>
      <c r="F415" s="33">
        <v>4</v>
      </c>
      <c r="G415" s="33">
        <v>1</v>
      </c>
      <c r="H415" s="33">
        <v>81379</v>
      </c>
      <c r="I415" s="33" t="s">
        <v>104</v>
      </c>
      <c r="J415" s="33">
        <v>18756635</v>
      </c>
      <c r="K415" s="33" t="s">
        <v>2045</v>
      </c>
      <c r="L415" s="33" t="s">
        <v>2052</v>
      </c>
      <c r="M415" s="34">
        <v>139900</v>
      </c>
      <c r="N415" s="37">
        <f t="shared" si="41"/>
        <v>0.7</v>
      </c>
      <c r="O415" s="34">
        <f t="shared" si="40"/>
        <v>41970</v>
      </c>
      <c r="P415" s="34" t="str">
        <f t="shared" si="39"/>
        <v>PERCENTAGE</v>
      </c>
    </row>
    <row r="416" spans="1:16" s="6" customFormat="1" x14ac:dyDescent="0.25">
      <c r="A416" s="33" t="str">
        <f t="shared" si="36"/>
        <v>2024 JAN-JUN D70</v>
      </c>
      <c r="B416" s="8">
        <f t="shared" si="37"/>
        <v>46099</v>
      </c>
      <c r="C416" s="8">
        <f t="shared" si="38"/>
        <v>46113</v>
      </c>
      <c r="D416" s="33">
        <v>3272</v>
      </c>
      <c r="E416" s="33">
        <v>336</v>
      </c>
      <c r="F416" s="33">
        <v>4</v>
      </c>
      <c r="G416" s="33">
        <v>1</v>
      </c>
      <c r="H416" s="33">
        <v>81379</v>
      </c>
      <c r="I416" s="33" t="s">
        <v>104</v>
      </c>
      <c r="J416" s="33">
        <v>18756699</v>
      </c>
      <c r="K416" s="33" t="s">
        <v>2045</v>
      </c>
      <c r="L416" s="33" t="s">
        <v>2053</v>
      </c>
      <c r="M416" s="34">
        <v>139900</v>
      </c>
      <c r="N416" s="37">
        <f t="shared" si="41"/>
        <v>0.7</v>
      </c>
      <c r="O416" s="34">
        <f t="shared" si="40"/>
        <v>41970</v>
      </c>
      <c r="P416" s="34" t="str">
        <f t="shared" si="39"/>
        <v>PERCENTAGE</v>
      </c>
    </row>
    <row r="417" spans="1:16" s="6" customFormat="1" x14ac:dyDescent="0.25">
      <c r="A417" s="33" t="str">
        <f t="shared" si="36"/>
        <v>2024 JAN-JUN D70</v>
      </c>
      <c r="B417" s="8">
        <f t="shared" si="37"/>
        <v>46099</v>
      </c>
      <c r="C417" s="8">
        <f t="shared" si="38"/>
        <v>46113</v>
      </c>
      <c r="D417" s="33">
        <v>3272</v>
      </c>
      <c r="E417" s="33">
        <v>336</v>
      </c>
      <c r="F417" s="33">
        <v>4</v>
      </c>
      <c r="G417" s="33">
        <v>5</v>
      </c>
      <c r="H417" s="33">
        <v>81379</v>
      </c>
      <c r="I417" s="33" t="s">
        <v>104</v>
      </c>
      <c r="J417" s="33">
        <v>16624343</v>
      </c>
      <c r="K417" s="33" t="s">
        <v>2087</v>
      </c>
      <c r="L417" s="33" t="s">
        <v>2088</v>
      </c>
      <c r="M417" s="34">
        <v>239900</v>
      </c>
      <c r="N417" s="37">
        <f t="shared" si="41"/>
        <v>0.7</v>
      </c>
      <c r="O417" s="34">
        <f t="shared" si="40"/>
        <v>71970</v>
      </c>
      <c r="P417" s="34" t="str">
        <f t="shared" si="39"/>
        <v>PERCENTAGE</v>
      </c>
    </row>
    <row r="418" spans="1:16" s="6" customFormat="1" x14ac:dyDescent="0.25">
      <c r="A418" s="33" t="str">
        <f t="shared" si="36"/>
        <v>2024 JAN-JUN D70</v>
      </c>
      <c r="B418" s="8">
        <f t="shared" si="37"/>
        <v>46099</v>
      </c>
      <c r="C418" s="8">
        <f t="shared" si="38"/>
        <v>46113</v>
      </c>
      <c r="D418" s="33">
        <v>3272</v>
      </c>
      <c r="E418" s="33">
        <v>336</v>
      </c>
      <c r="F418" s="33">
        <v>4</v>
      </c>
      <c r="G418" s="33">
        <v>5</v>
      </c>
      <c r="H418" s="33">
        <v>81379</v>
      </c>
      <c r="I418" s="33" t="s">
        <v>104</v>
      </c>
      <c r="J418" s="33">
        <v>16624352</v>
      </c>
      <c r="K418" s="33" t="s">
        <v>2087</v>
      </c>
      <c r="L418" s="33" t="s">
        <v>2089</v>
      </c>
      <c r="M418" s="34">
        <v>239900</v>
      </c>
      <c r="N418" s="37">
        <f t="shared" si="41"/>
        <v>0.7</v>
      </c>
      <c r="O418" s="34">
        <f t="shared" si="40"/>
        <v>71970</v>
      </c>
      <c r="P418" s="34" t="str">
        <f t="shared" si="39"/>
        <v>PERCENTAGE</v>
      </c>
    </row>
    <row r="419" spans="1:16" s="6" customFormat="1" x14ac:dyDescent="0.25">
      <c r="A419" s="33" t="str">
        <f t="shared" si="36"/>
        <v>2024 JAN-JUN D70</v>
      </c>
      <c r="B419" s="8">
        <f t="shared" si="37"/>
        <v>46099</v>
      </c>
      <c r="C419" s="8">
        <f t="shared" si="38"/>
        <v>46113</v>
      </c>
      <c r="D419" s="33">
        <v>3272</v>
      </c>
      <c r="E419" s="33">
        <v>336</v>
      </c>
      <c r="F419" s="33">
        <v>4</v>
      </c>
      <c r="G419" s="33">
        <v>5</v>
      </c>
      <c r="H419" s="33">
        <v>81379</v>
      </c>
      <c r="I419" s="33" t="s">
        <v>104</v>
      </c>
      <c r="J419" s="33">
        <v>16624361</v>
      </c>
      <c r="K419" s="33" t="s">
        <v>2087</v>
      </c>
      <c r="L419" s="33" t="s">
        <v>2090</v>
      </c>
      <c r="M419" s="34">
        <v>239900</v>
      </c>
      <c r="N419" s="37">
        <f t="shared" si="41"/>
        <v>0.7</v>
      </c>
      <c r="O419" s="34">
        <f t="shared" si="40"/>
        <v>71970</v>
      </c>
      <c r="P419" s="34" t="str">
        <f t="shared" si="39"/>
        <v>PERCENTAGE</v>
      </c>
    </row>
    <row r="420" spans="1:16" s="6" customFormat="1" x14ac:dyDescent="0.25">
      <c r="A420" s="33" t="str">
        <f t="shared" si="36"/>
        <v>2024 JAN-JUN D70</v>
      </c>
      <c r="B420" s="8">
        <f t="shared" si="37"/>
        <v>46099</v>
      </c>
      <c r="C420" s="8">
        <f t="shared" si="38"/>
        <v>46113</v>
      </c>
      <c r="D420" s="33">
        <v>3272</v>
      </c>
      <c r="E420" s="33">
        <v>336</v>
      </c>
      <c r="F420" s="33">
        <v>4</v>
      </c>
      <c r="G420" s="33">
        <v>5</v>
      </c>
      <c r="H420" s="33">
        <v>81379</v>
      </c>
      <c r="I420" s="33" t="s">
        <v>104</v>
      </c>
      <c r="J420" s="33">
        <v>16624370</v>
      </c>
      <c r="K420" s="33" t="s">
        <v>2087</v>
      </c>
      <c r="L420" s="33" t="s">
        <v>2091</v>
      </c>
      <c r="M420" s="34">
        <v>239900</v>
      </c>
      <c r="N420" s="37">
        <f t="shared" si="41"/>
        <v>0.7</v>
      </c>
      <c r="O420" s="34">
        <f t="shared" si="40"/>
        <v>71970</v>
      </c>
      <c r="P420" s="34" t="str">
        <f t="shared" si="39"/>
        <v>PERCENTAGE</v>
      </c>
    </row>
    <row r="421" spans="1:16" s="6" customFormat="1" x14ac:dyDescent="0.25">
      <c r="A421" s="33" t="str">
        <f t="shared" si="36"/>
        <v>2024 JAN-JUN D70</v>
      </c>
      <c r="B421" s="8">
        <f t="shared" si="37"/>
        <v>46099</v>
      </c>
      <c r="C421" s="8">
        <f t="shared" si="38"/>
        <v>46113</v>
      </c>
      <c r="D421" s="33">
        <v>3272</v>
      </c>
      <c r="E421" s="33">
        <v>336</v>
      </c>
      <c r="F421" s="33">
        <v>4</v>
      </c>
      <c r="G421" s="33">
        <v>5</v>
      </c>
      <c r="H421" s="33">
        <v>81379</v>
      </c>
      <c r="I421" s="33" t="s">
        <v>104</v>
      </c>
      <c r="J421" s="33">
        <v>16624389</v>
      </c>
      <c r="K421" s="33" t="s">
        <v>2087</v>
      </c>
      <c r="L421" s="33" t="s">
        <v>2092</v>
      </c>
      <c r="M421" s="34">
        <v>239900</v>
      </c>
      <c r="N421" s="37">
        <f t="shared" si="41"/>
        <v>0.7</v>
      </c>
      <c r="O421" s="34">
        <f t="shared" si="40"/>
        <v>71970</v>
      </c>
      <c r="P421" s="34" t="str">
        <f t="shared" si="39"/>
        <v>PERCENTAGE</v>
      </c>
    </row>
    <row r="422" spans="1:16" s="6" customFormat="1" x14ac:dyDescent="0.25">
      <c r="A422" s="33" t="str">
        <f t="shared" si="36"/>
        <v>2024 JAN-JUN D70</v>
      </c>
      <c r="B422" s="8">
        <f t="shared" si="37"/>
        <v>46099</v>
      </c>
      <c r="C422" s="8">
        <f t="shared" si="38"/>
        <v>46113</v>
      </c>
      <c r="D422" s="33">
        <v>3272</v>
      </c>
      <c r="E422" s="33">
        <v>336</v>
      </c>
      <c r="F422" s="33">
        <v>4</v>
      </c>
      <c r="G422" s="33">
        <v>5</v>
      </c>
      <c r="H422" s="33">
        <v>81379</v>
      </c>
      <c r="I422" s="33" t="s">
        <v>104</v>
      </c>
      <c r="J422" s="33">
        <v>16624405</v>
      </c>
      <c r="K422" s="33" t="s">
        <v>2087</v>
      </c>
      <c r="L422" s="33" t="s">
        <v>2093</v>
      </c>
      <c r="M422" s="34">
        <v>239900</v>
      </c>
      <c r="N422" s="37">
        <f t="shared" si="41"/>
        <v>0.7</v>
      </c>
      <c r="O422" s="34">
        <f t="shared" si="40"/>
        <v>71970</v>
      </c>
      <c r="P422" s="34" t="str">
        <f t="shared" si="39"/>
        <v>PERCENTAGE</v>
      </c>
    </row>
    <row r="423" spans="1:16" s="6" customFormat="1" x14ac:dyDescent="0.25">
      <c r="A423" s="33" t="str">
        <f t="shared" si="36"/>
        <v>2024 JAN-JUN D70</v>
      </c>
      <c r="B423" s="8">
        <f t="shared" si="37"/>
        <v>46099</v>
      </c>
      <c r="C423" s="8">
        <f t="shared" si="38"/>
        <v>46113</v>
      </c>
      <c r="D423" s="33">
        <v>3272</v>
      </c>
      <c r="E423" s="33">
        <v>336</v>
      </c>
      <c r="F423" s="33">
        <v>4</v>
      </c>
      <c r="G423" s="33">
        <v>5</v>
      </c>
      <c r="H423" s="33">
        <v>81379</v>
      </c>
      <c r="I423" s="33" t="s">
        <v>104</v>
      </c>
      <c r="J423" s="33">
        <v>16624414</v>
      </c>
      <c r="K423" s="33" t="s">
        <v>2087</v>
      </c>
      <c r="L423" s="33" t="s">
        <v>2094</v>
      </c>
      <c r="M423" s="34">
        <v>239900</v>
      </c>
      <c r="N423" s="37">
        <f t="shared" si="41"/>
        <v>0.7</v>
      </c>
      <c r="O423" s="34">
        <f t="shared" si="40"/>
        <v>71970</v>
      </c>
      <c r="P423" s="34" t="str">
        <f t="shared" si="39"/>
        <v>PERCENTAGE</v>
      </c>
    </row>
    <row r="424" spans="1:16" s="6" customFormat="1" x14ac:dyDescent="0.25">
      <c r="A424" s="33" t="str">
        <f t="shared" si="36"/>
        <v>2024 JAN-JUN D70</v>
      </c>
      <c r="B424" s="8">
        <f t="shared" si="37"/>
        <v>46099</v>
      </c>
      <c r="C424" s="8">
        <f t="shared" si="38"/>
        <v>46113</v>
      </c>
      <c r="D424" s="33">
        <v>3272</v>
      </c>
      <c r="E424" s="33">
        <v>336</v>
      </c>
      <c r="F424" s="33">
        <v>4</v>
      </c>
      <c r="G424" s="33">
        <v>5</v>
      </c>
      <c r="H424" s="33">
        <v>81379</v>
      </c>
      <c r="I424" s="33" t="s">
        <v>104</v>
      </c>
      <c r="J424" s="33">
        <v>18660112</v>
      </c>
      <c r="K424" s="33" t="s">
        <v>2095</v>
      </c>
      <c r="L424" s="33" t="s">
        <v>2096</v>
      </c>
      <c r="M424" s="34">
        <v>239900</v>
      </c>
      <c r="N424" s="37">
        <f t="shared" si="41"/>
        <v>0.7</v>
      </c>
      <c r="O424" s="34">
        <f t="shared" si="40"/>
        <v>71970</v>
      </c>
      <c r="P424" s="34" t="str">
        <f t="shared" si="39"/>
        <v>PERCENTAGE</v>
      </c>
    </row>
    <row r="425" spans="1:16" s="6" customFormat="1" x14ac:dyDescent="0.25">
      <c r="A425" s="33" t="str">
        <f t="shared" si="36"/>
        <v>2024 JAN-JUN D70</v>
      </c>
      <c r="B425" s="8">
        <f t="shared" si="37"/>
        <v>46099</v>
      </c>
      <c r="C425" s="8">
        <f t="shared" si="38"/>
        <v>46113</v>
      </c>
      <c r="D425" s="33">
        <v>3272</v>
      </c>
      <c r="E425" s="33">
        <v>336</v>
      </c>
      <c r="F425" s="33">
        <v>4</v>
      </c>
      <c r="G425" s="33">
        <v>5</v>
      </c>
      <c r="H425" s="33">
        <v>81379</v>
      </c>
      <c r="I425" s="33" t="s">
        <v>104</v>
      </c>
      <c r="J425" s="33">
        <v>18660121</v>
      </c>
      <c r="K425" s="33" t="s">
        <v>2095</v>
      </c>
      <c r="L425" s="33" t="s">
        <v>2097</v>
      </c>
      <c r="M425" s="34">
        <v>239900</v>
      </c>
      <c r="N425" s="37">
        <f t="shared" si="41"/>
        <v>0.7</v>
      </c>
      <c r="O425" s="34">
        <f t="shared" si="40"/>
        <v>71970</v>
      </c>
      <c r="P425" s="34" t="str">
        <f t="shared" si="39"/>
        <v>PERCENTAGE</v>
      </c>
    </row>
    <row r="426" spans="1:16" s="6" customFormat="1" x14ac:dyDescent="0.25">
      <c r="A426" s="33" t="str">
        <f t="shared" si="36"/>
        <v>2024 JAN-JUN D70</v>
      </c>
      <c r="B426" s="8">
        <f t="shared" si="37"/>
        <v>46099</v>
      </c>
      <c r="C426" s="8">
        <f t="shared" si="38"/>
        <v>46113</v>
      </c>
      <c r="D426" s="33">
        <v>3272</v>
      </c>
      <c r="E426" s="33">
        <v>336</v>
      </c>
      <c r="F426" s="33">
        <v>4</v>
      </c>
      <c r="G426" s="33">
        <v>5</v>
      </c>
      <c r="H426" s="33">
        <v>81379</v>
      </c>
      <c r="I426" s="33" t="s">
        <v>104</v>
      </c>
      <c r="J426" s="33">
        <v>18660149</v>
      </c>
      <c r="K426" s="33" t="s">
        <v>2095</v>
      </c>
      <c r="L426" s="33" t="s">
        <v>2098</v>
      </c>
      <c r="M426" s="34">
        <v>239900</v>
      </c>
      <c r="N426" s="37">
        <f t="shared" si="41"/>
        <v>0.7</v>
      </c>
      <c r="O426" s="34">
        <f t="shared" si="40"/>
        <v>71970</v>
      </c>
      <c r="P426" s="34" t="str">
        <f t="shared" si="39"/>
        <v>PERCENTAGE</v>
      </c>
    </row>
    <row r="427" spans="1:16" s="6" customFormat="1" x14ac:dyDescent="0.25">
      <c r="A427" s="33" t="str">
        <f t="shared" ref="A427:A466" si="42">A426</f>
        <v>2024 JAN-JUN D70</v>
      </c>
      <c r="B427" s="8">
        <f t="shared" ref="B427:B466" si="43">B426</f>
        <v>46099</v>
      </c>
      <c r="C427" s="8">
        <f t="shared" ref="C427:C466" si="44">C426</f>
        <v>46113</v>
      </c>
      <c r="D427" s="33">
        <v>3272</v>
      </c>
      <c r="E427" s="33">
        <v>336</v>
      </c>
      <c r="F427" s="33">
        <v>4</v>
      </c>
      <c r="G427" s="33">
        <v>5</v>
      </c>
      <c r="H427" s="33">
        <v>81379</v>
      </c>
      <c r="I427" s="33" t="s">
        <v>104</v>
      </c>
      <c r="J427" s="33">
        <v>18660158</v>
      </c>
      <c r="K427" s="33" t="s">
        <v>2095</v>
      </c>
      <c r="L427" s="33" t="s">
        <v>2099</v>
      </c>
      <c r="M427" s="34">
        <v>239900</v>
      </c>
      <c r="N427" s="37">
        <f t="shared" si="41"/>
        <v>0.7</v>
      </c>
      <c r="O427" s="34">
        <f t="shared" si="40"/>
        <v>71970</v>
      </c>
      <c r="P427" s="34" t="str">
        <f t="shared" ref="P427:P466" si="45">P426</f>
        <v>PERCENTAGE</v>
      </c>
    </row>
    <row r="428" spans="1:16" s="6" customFormat="1" x14ac:dyDescent="0.25">
      <c r="A428" s="33" t="str">
        <f t="shared" si="42"/>
        <v>2024 JAN-JUN D70</v>
      </c>
      <c r="B428" s="8">
        <f t="shared" si="43"/>
        <v>46099</v>
      </c>
      <c r="C428" s="8">
        <f t="shared" si="44"/>
        <v>46113</v>
      </c>
      <c r="D428" s="33">
        <v>3272</v>
      </c>
      <c r="E428" s="33">
        <v>336</v>
      </c>
      <c r="F428" s="33">
        <v>4</v>
      </c>
      <c r="G428" s="33">
        <v>5</v>
      </c>
      <c r="H428" s="33">
        <v>81379</v>
      </c>
      <c r="I428" s="33" t="s">
        <v>104</v>
      </c>
      <c r="J428" s="33">
        <v>18660167</v>
      </c>
      <c r="K428" s="33" t="s">
        <v>2095</v>
      </c>
      <c r="L428" s="33" t="s">
        <v>2100</v>
      </c>
      <c r="M428" s="34">
        <v>239900</v>
      </c>
      <c r="N428" s="37">
        <f t="shared" si="41"/>
        <v>0.7</v>
      </c>
      <c r="O428" s="34">
        <f t="shared" si="40"/>
        <v>71970</v>
      </c>
      <c r="P428" s="34" t="str">
        <f t="shared" si="45"/>
        <v>PERCENTAGE</v>
      </c>
    </row>
    <row r="429" spans="1:16" s="6" customFormat="1" x14ac:dyDescent="0.25">
      <c r="A429" s="33" t="str">
        <f t="shared" si="42"/>
        <v>2024 JAN-JUN D70</v>
      </c>
      <c r="B429" s="8">
        <f t="shared" si="43"/>
        <v>46099</v>
      </c>
      <c r="C429" s="8">
        <f t="shared" si="44"/>
        <v>46113</v>
      </c>
      <c r="D429" s="33">
        <v>3272</v>
      </c>
      <c r="E429" s="33">
        <v>336</v>
      </c>
      <c r="F429" s="33">
        <v>4</v>
      </c>
      <c r="G429" s="33">
        <v>5</v>
      </c>
      <c r="H429" s="33">
        <v>81379</v>
      </c>
      <c r="I429" s="33" t="s">
        <v>104</v>
      </c>
      <c r="J429" s="33">
        <v>18660176</v>
      </c>
      <c r="K429" s="33" t="s">
        <v>2095</v>
      </c>
      <c r="L429" s="33" t="s">
        <v>2101</v>
      </c>
      <c r="M429" s="34">
        <v>239900</v>
      </c>
      <c r="N429" s="37">
        <f t="shared" si="41"/>
        <v>0.7</v>
      </c>
      <c r="O429" s="34">
        <f t="shared" si="40"/>
        <v>71970</v>
      </c>
      <c r="P429" s="34" t="str">
        <f t="shared" si="45"/>
        <v>PERCENTAGE</v>
      </c>
    </row>
    <row r="430" spans="1:16" s="6" customFormat="1" x14ac:dyDescent="0.25">
      <c r="A430" s="33" t="str">
        <f t="shared" si="42"/>
        <v>2024 JAN-JUN D70</v>
      </c>
      <c r="B430" s="8">
        <f t="shared" si="43"/>
        <v>46099</v>
      </c>
      <c r="C430" s="8">
        <f t="shared" si="44"/>
        <v>46113</v>
      </c>
      <c r="D430" s="33">
        <v>3272</v>
      </c>
      <c r="E430" s="33">
        <v>336</v>
      </c>
      <c r="F430" s="33">
        <v>4</v>
      </c>
      <c r="G430" s="33">
        <v>5</v>
      </c>
      <c r="H430" s="33">
        <v>81379</v>
      </c>
      <c r="I430" s="33" t="s">
        <v>104</v>
      </c>
      <c r="J430" s="33">
        <v>18660201</v>
      </c>
      <c r="K430" s="33" t="s">
        <v>2095</v>
      </c>
      <c r="L430" s="33" t="s">
        <v>2102</v>
      </c>
      <c r="M430" s="34">
        <v>239900</v>
      </c>
      <c r="N430" s="37">
        <f t="shared" si="41"/>
        <v>0.7</v>
      </c>
      <c r="O430" s="34">
        <f t="shared" si="40"/>
        <v>71970</v>
      </c>
      <c r="P430" s="34" t="str">
        <f t="shared" si="45"/>
        <v>PERCENTAGE</v>
      </c>
    </row>
    <row r="431" spans="1:16" s="6" customFormat="1" x14ac:dyDescent="0.25">
      <c r="A431" s="33" t="str">
        <f t="shared" si="42"/>
        <v>2024 JAN-JUN D70</v>
      </c>
      <c r="B431" s="8">
        <f t="shared" si="43"/>
        <v>46099</v>
      </c>
      <c r="C431" s="8">
        <f t="shared" si="44"/>
        <v>46113</v>
      </c>
      <c r="D431" s="33">
        <v>3272</v>
      </c>
      <c r="E431" s="33">
        <v>336</v>
      </c>
      <c r="F431" s="33">
        <v>4</v>
      </c>
      <c r="G431" s="33">
        <v>5</v>
      </c>
      <c r="H431" s="33">
        <v>81379</v>
      </c>
      <c r="I431" s="33" t="s">
        <v>104</v>
      </c>
      <c r="J431" s="33">
        <v>18660210</v>
      </c>
      <c r="K431" s="33" t="s">
        <v>2095</v>
      </c>
      <c r="L431" s="33" t="s">
        <v>2103</v>
      </c>
      <c r="M431" s="34">
        <v>239900</v>
      </c>
      <c r="N431" s="37">
        <f t="shared" si="41"/>
        <v>0.7</v>
      </c>
      <c r="O431" s="34">
        <f t="shared" si="40"/>
        <v>71970</v>
      </c>
      <c r="P431" s="34" t="str">
        <f t="shared" si="45"/>
        <v>PERCENTAGE</v>
      </c>
    </row>
    <row r="432" spans="1:16" x14ac:dyDescent="0.25">
      <c r="A432" s="33" t="str">
        <f t="shared" si="42"/>
        <v>2024 JAN-JUN D70</v>
      </c>
      <c r="B432" s="8">
        <f t="shared" si="43"/>
        <v>46099</v>
      </c>
      <c r="C432" s="8">
        <f t="shared" si="44"/>
        <v>46113</v>
      </c>
      <c r="D432" s="33">
        <v>3272</v>
      </c>
      <c r="E432" s="33">
        <v>336</v>
      </c>
      <c r="F432" s="33">
        <v>4</v>
      </c>
      <c r="G432" s="35">
        <v>1</v>
      </c>
      <c r="H432" s="33">
        <v>81379</v>
      </c>
      <c r="I432" s="33" t="s">
        <v>104</v>
      </c>
      <c r="J432" s="35">
        <v>15500693</v>
      </c>
      <c r="K432" s="35" t="s">
        <v>3671</v>
      </c>
      <c r="L432" s="35" t="s">
        <v>3672</v>
      </c>
      <c r="M432" s="35">
        <v>139900</v>
      </c>
      <c r="N432" s="37">
        <f t="shared" si="41"/>
        <v>0.7</v>
      </c>
      <c r="O432" s="34">
        <f t="shared" si="40"/>
        <v>41970</v>
      </c>
      <c r="P432" s="34" t="str">
        <f t="shared" si="45"/>
        <v>PERCENTAGE</v>
      </c>
    </row>
    <row r="433" spans="1:16" x14ac:dyDescent="0.25">
      <c r="A433" s="33" t="str">
        <f t="shared" si="42"/>
        <v>2024 JAN-JUN D70</v>
      </c>
      <c r="B433" s="8">
        <f t="shared" si="43"/>
        <v>46099</v>
      </c>
      <c r="C433" s="8">
        <f t="shared" si="44"/>
        <v>46113</v>
      </c>
      <c r="D433" s="33">
        <v>3272</v>
      </c>
      <c r="E433" s="33">
        <v>336</v>
      </c>
      <c r="F433" s="33">
        <v>4</v>
      </c>
      <c r="G433" s="35">
        <v>1</v>
      </c>
      <c r="H433" s="33">
        <v>81379</v>
      </c>
      <c r="I433" s="33" t="s">
        <v>104</v>
      </c>
      <c r="J433" s="35">
        <v>15500700</v>
      </c>
      <c r="K433" s="35" t="s">
        <v>3671</v>
      </c>
      <c r="L433" s="35" t="s">
        <v>3673</v>
      </c>
      <c r="M433" s="35">
        <v>139900</v>
      </c>
      <c r="N433" s="37">
        <f t="shared" si="41"/>
        <v>0.7</v>
      </c>
      <c r="O433" s="34">
        <f t="shared" si="40"/>
        <v>41970</v>
      </c>
      <c r="P433" s="34" t="str">
        <f t="shared" si="45"/>
        <v>PERCENTAGE</v>
      </c>
    </row>
    <row r="434" spans="1:16" x14ac:dyDescent="0.25">
      <c r="A434" s="33" t="str">
        <f t="shared" si="42"/>
        <v>2024 JAN-JUN D70</v>
      </c>
      <c r="B434" s="8">
        <f t="shared" si="43"/>
        <v>46099</v>
      </c>
      <c r="C434" s="8">
        <f t="shared" si="44"/>
        <v>46113</v>
      </c>
      <c r="D434" s="33">
        <v>3272</v>
      </c>
      <c r="E434" s="33">
        <v>336</v>
      </c>
      <c r="F434" s="33">
        <v>4</v>
      </c>
      <c r="G434" s="35">
        <v>1</v>
      </c>
      <c r="H434" s="33">
        <v>81379</v>
      </c>
      <c r="I434" s="33" t="s">
        <v>104</v>
      </c>
      <c r="J434" s="35">
        <v>15500719</v>
      </c>
      <c r="K434" s="35" t="s">
        <v>3671</v>
      </c>
      <c r="L434" s="35" t="s">
        <v>3674</v>
      </c>
      <c r="M434" s="35">
        <v>139900</v>
      </c>
      <c r="N434" s="37">
        <f t="shared" si="41"/>
        <v>0.7</v>
      </c>
      <c r="O434" s="34">
        <f t="shared" si="40"/>
        <v>41970</v>
      </c>
      <c r="P434" s="34" t="str">
        <f t="shared" si="45"/>
        <v>PERCENTAGE</v>
      </c>
    </row>
    <row r="435" spans="1:16" x14ac:dyDescent="0.25">
      <c r="A435" s="33" t="str">
        <f t="shared" si="42"/>
        <v>2024 JAN-JUN D70</v>
      </c>
      <c r="B435" s="8">
        <f t="shared" si="43"/>
        <v>46099</v>
      </c>
      <c r="C435" s="8">
        <f t="shared" si="44"/>
        <v>46113</v>
      </c>
      <c r="D435" s="33">
        <v>3272</v>
      </c>
      <c r="E435" s="33">
        <v>336</v>
      </c>
      <c r="F435" s="33">
        <v>4</v>
      </c>
      <c r="G435" s="35">
        <v>1</v>
      </c>
      <c r="H435" s="33">
        <v>81379</v>
      </c>
      <c r="I435" s="33" t="s">
        <v>104</v>
      </c>
      <c r="J435" s="35">
        <v>15500728</v>
      </c>
      <c r="K435" s="35" t="s">
        <v>3671</v>
      </c>
      <c r="L435" s="35" t="s">
        <v>3675</v>
      </c>
      <c r="M435" s="35">
        <v>139900</v>
      </c>
      <c r="N435" s="37">
        <f t="shared" si="41"/>
        <v>0.7</v>
      </c>
      <c r="O435" s="34">
        <f t="shared" si="40"/>
        <v>41970</v>
      </c>
      <c r="P435" s="34" t="str">
        <f t="shared" si="45"/>
        <v>PERCENTAGE</v>
      </c>
    </row>
    <row r="436" spans="1:16" x14ac:dyDescent="0.25">
      <c r="A436" s="33" t="str">
        <f t="shared" si="42"/>
        <v>2024 JAN-JUN D70</v>
      </c>
      <c r="B436" s="8">
        <f t="shared" si="43"/>
        <v>46099</v>
      </c>
      <c r="C436" s="8">
        <f t="shared" si="44"/>
        <v>46113</v>
      </c>
      <c r="D436" s="33">
        <v>3272</v>
      </c>
      <c r="E436" s="33">
        <v>336</v>
      </c>
      <c r="F436" s="33">
        <v>4</v>
      </c>
      <c r="G436" s="35">
        <v>1</v>
      </c>
      <c r="H436" s="33">
        <v>81379</v>
      </c>
      <c r="I436" s="33" t="s">
        <v>104</v>
      </c>
      <c r="J436" s="35">
        <v>15500737</v>
      </c>
      <c r="K436" s="35" t="s">
        <v>3671</v>
      </c>
      <c r="L436" s="35" t="s">
        <v>3676</v>
      </c>
      <c r="M436" s="35">
        <v>139900</v>
      </c>
      <c r="N436" s="37">
        <f t="shared" si="41"/>
        <v>0.7</v>
      </c>
      <c r="O436" s="34">
        <f t="shared" si="40"/>
        <v>41970</v>
      </c>
      <c r="P436" s="34" t="str">
        <f t="shared" si="45"/>
        <v>PERCENTAGE</v>
      </c>
    </row>
    <row r="437" spans="1:16" x14ac:dyDescent="0.25">
      <c r="A437" s="33" t="str">
        <f t="shared" si="42"/>
        <v>2024 JAN-JUN D70</v>
      </c>
      <c r="B437" s="8">
        <f t="shared" si="43"/>
        <v>46099</v>
      </c>
      <c r="C437" s="8">
        <f t="shared" si="44"/>
        <v>46113</v>
      </c>
      <c r="D437" s="33">
        <v>3272</v>
      </c>
      <c r="E437" s="33">
        <v>336</v>
      </c>
      <c r="F437" s="33">
        <v>4</v>
      </c>
      <c r="G437" s="35">
        <v>1</v>
      </c>
      <c r="H437" s="33">
        <v>81379</v>
      </c>
      <c r="I437" s="33" t="s">
        <v>104</v>
      </c>
      <c r="J437" s="35">
        <v>15500844</v>
      </c>
      <c r="K437" s="35" t="s">
        <v>3677</v>
      </c>
      <c r="L437" s="35" t="s">
        <v>3678</v>
      </c>
      <c r="M437" s="35">
        <v>149900</v>
      </c>
      <c r="N437" s="37">
        <f t="shared" si="41"/>
        <v>0.7</v>
      </c>
      <c r="O437" s="34">
        <f t="shared" si="40"/>
        <v>44970</v>
      </c>
      <c r="P437" s="34" t="str">
        <f t="shared" si="45"/>
        <v>PERCENTAGE</v>
      </c>
    </row>
    <row r="438" spans="1:16" x14ac:dyDescent="0.25">
      <c r="A438" s="33" t="str">
        <f t="shared" si="42"/>
        <v>2024 JAN-JUN D70</v>
      </c>
      <c r="B438" s="8">
        <f t="shared" si="43"/>
        <v>46099</v>
      </c>
      <c r="C438" s="8">
        <f t="shared" si="44"/>
        <v>46113</v>
      </c>
      <c r="D438" s="33">
        <v>3272</v>
      </c>
      <c r="E438" s="33">
        <v>336</v>
      </c>
      <c r="F438" s="33">
        <v>4</v>
      </c>
      <c r="G438" s="35">
        <v>1</v>
      </c>
      <c r="H438" s="33">
        <v>81379</v>
      </c>
      <c r="I438" s="33" t="s">
        <v>104</v>
      </c>
      <c r="J438" s="35">
        <v>15500853</v>
      </c>
      <c r="K438" s="35" t="s">
        <v>3677</v>
      </c>
      <c r="L438" s="35" t="s">
        <v>3679</v>
      </c>
      <c r="M438" s="35">
        <v>149900</v>
      </c>
      <c r="N438" s="37">
        <f t="shared" si="41"/>
        <v>0.7</v>
      </c>
      <c r="O438" s="34">
        <f t="shared" si="40"/>
        <v>44970</v>
      </c>
      <c r="P438" s="34" t="str">
        <f t="shared" si="45"/>
        <v>PERCENTAGE</v>
      </c>
    </row>
    <row r="439" spans="1:16" x14ac:dyDescent="0.25">
      <c r="A439" s="33" t="str">
        <f t="shared" si="42"/>
        <v>2024 JAN-JUN D70</v>
      </c>
      <c r="B439" s="8">
        <f t="shared" si="43"/>
        <v>46099</v>
      </c>
      <c r="C439" s="8">
        <f t="shared" si="44"/>
        <v>46113</v>
      </c>
      <c r="D439" s="33">
        <v>3272</v>
      </c>
      <c r="E439" s="33">
        <v>336</v>
      </c>
      <c r="F439" s="33">
        <v>4</v>
      </c>
      <c r="G439" s="35">
        <v>1</v>
      </c>
      <c r="H439" s="33">
        <v>81379</v>
      </c>
      <c r="I439" s="33" t="s">
        <v>104</v>
      </c>
      <c r="J439" s="35">
        <v>15500862</v>
      </c>
      <c r="K439" s="35" t="s">
        <v>3677</v>
      </c>
      <c r="L439" s="35" t="s">
        <v>3680</v>
      </c>
      <c r="M439" s="35">
        <v>149900</v>
      </c>
      <c r="N439" s="37">
        <f t="shared" si="41"/>
        <v>0.7</v>
      </c>
      <c r="O439" s="34">
        <f t="shared" si="40"/>
        <v>44970</v>
      </c>
      <c r="P439" s="34" t="str">
        <f t="shared" si="45"/>
        <v>PERCENTAGE</v>
      </c>
    </row>
    <row r="440" spans="1:16" x14ac:dyDescent="0.25">
      <c r="A440" s="33" t="str">
        <f t="shared" si="42"/>
        <v>2024 JAN-JUN D70</v>
      </c>
      <c r="B440" s="8">
        <f t="shared" si="43"/>
        <v>46099</v>
      </c>
      <c r="C440" s="8">
        <f t="shared" si="44"/>
        <v>46113</v>
      </c>
      <c r="D440" s="33">
        <v>3272</v>
      </c>
      <c r="E440" s="33">
        <v>336</v>
      </c>
      <c r="F440" s="33">
        <v>4</v>
      </c>
      <c r="G440" s="35">
        <v>1</v>
      </c>
      <c r="H440" s="33">
        <v>81379</v>
      </c>
      <c r="I440" s="33" t="s">
        <v>104</v>
      </c>
      <c r="J440" s="35">
        <v>15500871</v>
      </c>
      <c r="K440" s="35" t="s">
        <v>3677</v>
      </c>
      <c r="L440" s="35" t="s">
        <v>3681</v>
      </c>
      <c r="M440" s="35">
        <v>149900</v>
      </c>
      <c r="N440" s="37">
        <f t="shared" si="41"/>
        <v>0.7</v>
      </c>
      <c r="O440" s="34">
        <f t="shared" si="40"/>
        <v>44970</v>
      </c>
      <c r="P440" s="34" t="str">
        <f t="shared" si="45"/>
        <v>PERCENTAGE</v>
      </c>
    </row>
    <row r="441" spans="1:16" x14ac:dyDescent="0.25">
      <c r="A441" s="33" t="str">
        <f t="shared" si="42"/>
        <v>2024 JAN-JUN D70</v>
      </c>
      <c r="B441" s="8">
        <f t="shared" si="43"/>
        <v>46099</v>
      </c>
      <c r="C441" s="8">
        <f t="shared" si="44"/>
        <v>46113</v>
      </c>
      <c r="D441" s="33">
        <v>3272</v>
      </c>
      <c r="E441" s="33">
        <v>336</v>
      </c>
      <c r="F441" s="33">
        <v>4</v>
      </c>
      <c r="G441" s="35">
        <v>1</v>
      </c>
      <c r="H441" s="33">
        <v>81379</v>
      </c>
      <c r="I441" s="33" t="s">
        <v>104</v>
      </c>
      <c r="J441" s="35">
        <v>15500880</v>
      </c>
      <c r="K441" s="35" t="s">
        <v>3677</v>
      </c>
      <c r="L441" s="35" t="s">
        <v>3682</v>
      </c>
      <c r="M441" s="35">
        <v>149900</v>
      </c>
      <c r="N441" s="37">
        <f t="shared" si="41"/>
        <v>0.7</v>
      </c>
      <c r="O441" s="34">
        <f t="shared" si="40"/>
        <v>44970</v>
      </c>
      <c r="P441" s="34" t="str">
        <f t="shared" si="45"/>
        <v>PERCENTAGE</v>
      </c>
    </row>
    <row r="442" spans="1:16" x14ac:dyDescent="0.25">
      <c r="A442" s="33" t="str">
        <f t="shared" si="42"/>
        <v>2024 JAN-JUN D70</v>
      </c>
      <c r="B442" s="8">
        <f t="shared" si="43"/>
        <v>46099</v>
      </c>
      <c r="C442" s="8">
        <f t="shared" si="44"/>
        <v>46113</v>
      </c>
      <c r="D442" s="33">
        <v>3272</v>
      </c>
      <c r="E442" s="33">
        <v>336</v>
      </c>
      <c r="F442" s="33">
        <v>4</v>
      </c>
      <c r="G442" s="35">
        <v>1</v>
      </c>
      <c r="H442" s="33">
        <v>81379</v>
      </c>
      <c r="I442" s="33" t="s">
        <v>104</v>
      </c>
      <c r="J442" s="35">
        <v>15500997</v>
      </c>
      <c r="K442" s="35" t="s">
        <v>3683</v>
      </c>
      <c r="L442" s="35" t="s">
        <v>3684</v>
      </c>
      <c r="M442" s="35">
        <v>149900</v>
      </c>
      <c r="N442" s="37">
        <f t="shared" si="41"/>
        <v>0.7</v>
      </c>
      <c r="O442" s="34">
        <f t="shared" si="40"/>
        <v>44970</v>
      </c>
      <c r="P442" s="34" t="str">
        <f t="shared" si="45"/>
        <v>PERCENTAGE</v>
      </c>
    </row>
    <row r="443" spans="1:16" x14ac:dyDescent="0.25">
      <c r="A443" s="33" t="str">
        <f t="shared" si="42"/>
        <v>2024 JAN-JUN D70</v>
      </c>
      <c r="B443" s="8">
        <f t="shared" si="43"/>
        <v>46099</v>
      </c>
      <c r="C443" s="8">
        <f t="shared" si="44"/>
        <v>46113</v>
      </c>
      <c r="D443" s="33">
        <v>3272</v>
      </c>
      <c r="E443" s="33">
        <v>336</v>
      </c>
      <c r="F443" s="33">
        <v>4</v>
      </c>
      <c r="G443" s="35">
        <v>1</v>
      </c>
      <c r="H443" s="33">
        <v>81379</v>
      </c>
      <c r="I443" s="33" t="s">
        <v>104</v>
      </c>
      <c r="J443" s="35">
        <v>15501003</v>
      </c>
      <c r="K443" s="35" t="s">
        <v>3683</v>
      </c>
      <c r="L443" s="35" t="s">
        <v>3685</v>
      </c>
      <c r="M443" s="35">
        <v>149900</v>
      </c>
      <c r="N443" s="37">
        <f t="shared" si="41"/>
        <v>0.7</v>
      </c>
      <c r="O443" s="34">
        <f t="shared" si="40"/>
        <v>44970</v>
      </c>
      <c r="P443" s="34" t="str">
        <f t="shared" si="45"/>
        <v>PERCENTAGE</v>
      </c>
    </row>
    <row r="444" spans="1:16" x14ac:dyDescent="0.25">
      <c r="A444" s="33" t="str">
        <f t="shared" si="42"/>
        <v>2024 JAN-JUN D70</v>
      </c>
      <c r="B444" s="8">
        <f t="shared" si="43"/>
        <v>46099</v>
      </c>
      <c r="C444" s="8">
        <f t="shared" si="44"/>
        <v>46113</v>
      </c>
      <c r="D444" s="33">
        <v>3272</v>
      </c>
      <c r="E444" s="33">
        <v>336</v>
      </c>
      <c r="F444" s="33">
        <v>4</v>
      </c>
      <c r="G444" s="35">
        <v>1</v>
      </c>
      <c r="H444" s="33">
        <v>81379</v>
      </c>
      <c r="I444" s="33" t="s">
        <v>104</v>
      </c>
      <c r="J444" s="35">
        <v>15501012</v>
      </c>
      <c r="K444" s="35" t="s">
        <v>3683</v>
      </c>
      <c r="L444" s="35" t="s">
        <v>3686</v>
      </c>
      <c r="M444" s="35">
        <v>149900</v>
      </c>
      <c r="N444" s="37">
        <f t="shared" si="41"/>
        <v>0.7</v>
      </c>
      <c r="O444" s="34">
        <f t="shared" si="40"/>
        <v>44970</v>
      </c>
      <c r="P444" s="34" t="str">
        <f t="shared" si="45"/>
        <v>PERCENTAGE</v>
      </c>
    </row>
    <row r="445" spans="1:16" x14ac:dyDescent="0.25">
      <c r="A445" s="33" t="str">
        <f t="shared" si="42"/>
        <v>2024 JAN-JUN D70</v>
      </c>
      <c r="B445" s="8">
        <f t="shared" si="43"/>
        <v>46099</v>
      </c>
      <c r="C445" s="8">
        <f t="shared" si="44"/>
        <v>46113</v>
      </c>
      <c r="D445" s="33">
        <v>3272</v>
      </c>
      <c r="E445" s="33">
        <v>336</v>
      </c>
      <c r="F445" s="33">
        <v>4</v>
      </c>
      <c r="G445" s="35">
        <v>1</v>
      </c>
      <c r="H445" s="33">
        <v>81379</v>
      </c>
      <c r="I445" s="33" t="s">
        <v>104</v>
      </c>
      <c r="J445" s="35">
        <v>15501021</v>
      </c>
      <c r="K445" s="35" t="s">
        <v>3683</v>
      </c>
      <c r="L445" s="35" t="s">
        <v>3687</v>
      </c>
      <c r="M445" s="35">
        <v>149900</v>
      </c>
      <c r="N445" s="37">
        <f t="shared" si="41"/>
        <v>0.7</v>
      </c>
      <c r="O445" s="34">
        <f t="shared" si="40"/>
        <v>44970</v>
      </c>
      <c r="P445" s="34" t="str">
        <f t="shared" si="45"/>
        <v>PERCENTAGE</v>
      </c>
    </row>
    <row r="446" spans="1:16" x14ac:dyDescent="0.25">
      <c r="A446" s="33" t="str">
        <f t="shared" si="42"/>
        <v>2024 JAN-JUN D70</v>
      </c>
      <c r="B446" s="8">
        <f t="shared" si="43"/>
        <v>46099</v>
      </c>
      <c r="C446" s="8">
        <f t="shared" si="44"/>
        <v>46113</v>
      </c>
      <c r="D446" s="33">
        <v>3272</v>
      </c>
      <c r="E446" s="33">
        <v>336</v>
      </c>
      <c r="F446" s="33">
        <v>4</v>
      </c>
      <c r="G446" s="35">
        <v>1</v>
      </c>
      <c r="H446" s="33">
        <v>81379</v>
      </c>
      <c r="I446" s="33" t="s">
        <v>104</v>
      </c>
      <c r="J446" s="35">
        <v>15501030</v>
      </c>
      <c r="K446" s="35" t="s">
        <v>3683</v>
      </c>
      <c r="L446" s="35" t="s">
        <v>3688</v>
      </c>
      <c r="M446" s="35">
        <v>149900</v>
      </c>
      <c r="N446" s="37">
        <f t="shared" si="41"/>
        <v>0.7</v>
      </c>
      <c r="O446" s="34">
        <f t="shared" si="40"/>
        <v>44970</v>
      </c>
      <c r="P446" s="34" t="str">
        <f t="shared" si="45"/>
        <v>PERCENTAGE</v>
      </c>
    </row>
    <row r="447" spans="1:16" x14ac:dyDescent="0.25">
      <c r="A447" s="33" t="str">
        <f t="shared" si="42"/>
        <v>2024 JAN-JUN D70</v>
      </c>
      <c r="B447" s="8">
        <f t="shared" si="43"/>
        <v>46099</v>
      </c>
      <c r="C447" s="8">
        <f t="shared" si="44"/>
        <v>46113</v>
      </c>
      <c r="D447" s="33">
        <v>3272</v>
      </c>
      <c r="E447" s="33">
        <v>336</v>
      </c>
      <c r="F447" s="33">
        <v>4</v>
      </c>
      <c r="G447" s="35">
        <v>1</v>
      </c>
      <c r="H447" s="33">
        <v>81379</v>
      </c>
      <c r="I447" s="33" t="s">
        <v>104</v>
      </c>
      <c r="J447" s="35">
        <v>15501049</v>
      </c>
      <c r="K447" s="35" t="s">
        <v>3689</v>
      </c>
      <c r="L447" s="35" t="s">
        <v>3690</v>
      </c>
      <c r="M447" s="35">
        <v>149900</v>
      </c>
      <c r="N447" s="37">
        <f t="shared" si="41"/>
        <v>0.7</v>
      </c>
      <c r="O447" s="34">
        <f t="shared" si="40"/>
        <v>44970</v>
      </c>
      <c r="P447" s="34" t="str">
        <f t="shared" si="45"/>
        <v>PERCENTAGE</v>
      </c>
    </row>
    <row r="448" spans="1:16" x14ac:dyDescent="0.25">
      <c r="A448" s="33" t="str">
        <f t="shared" si="42"/>
        <v>2024 JAN-JUN D70</v>
      </c>
      <c r="B448" s="8">
        <f t="shared" si="43"/>
        <v>46099</v>
      </c>
      <c r="C448" s="8">
        <f t="shared" si="44"/>
        <v>46113</v>
      </c>
      <c r="D448" s="33">
        <v>3272</v>
      </c>
      <c r="E448" s="33">
        <v>336</v>
      </c>
      <c r="F448" s="33">
        <v>4</v>
      </c>
      <c r="G448" s="35">
        <v>1</v>
      </c>
      <c r="H448" s="33">
        <v>81379</v>
      </c>
      <c r="I448" s="33" t="s">
        <v>104</v>
      </c>
      <c r="J448" s="35">
        <v>15501058</v>
      </c>
      <c r="K448" s="35" t="s">
        <v>3689</v>
      </c>
      <c r="L448" s="35" t="s">
        <v>3691</v>
      </c>
      <c r="M448" s="35">
        <v>149900</v>
      </c>
      <c r="N448" s="37">
        <f t="shared" si="41"/>
        <v>0.7</v>
      </c>
      <c r="O448" s="34">
        <f t="shared" si="40"/>
        <v>44970</v>
      </c>
      <c r="P448" s="34" t="str">
        <f t="shared" si="45"/>
        <v>PERCENTAGE</v>
      </c>
    </row>
    <row r="449" spans="1:16" x14ac:dyDescent="0.25">
      <c r="A449" s="33" t="str">
        <f t="shared" si="42"/>
        <v>2024 JAN-JUN D70</v>
      </c>
      <c r="B449" s="8">
        <f t="shared" si="43"/>
        <v>46099</v>
      </c>
      <c r="C449" s="8">
        <f t="shared" si="44"/>
        <v>46113</v>
      </c>
      <c r="D449" s="33">
        <v>3272</v>
      </c>
      <c r="E449" s="33">
        <v>336</v>
      </c>
      <c r="F449" s="33">
        <v>4</v>
      </c>
      <c r="G449" s="35">
        <v>1</v>
      </c>
      <c r="H449" s="33">
        <v>81379</v>
      </c>
      <c r="I449" s="33" t="s">
        <v>104</v>
      </c>
      <c r="J449" s="35">
        <v>15501067</v>
      </c>
      <c r="K449" s="35" t="s">
        <v>3689</v>
      </c>
      <c r="L449" s="35" t="s">
        <v>3692</v>
      </c>
      <c r="M449" s="35">
        <v>149900</v>
      </c>
      <c r="N449" s="37">
        <f t="shared" si="41"/>
        <v>0.7</v>
      </c>
      <c r="O449" s="34">
        <f t="shared" si="40"/>
        <v>44970</v>
      </c>
      <c r="P449" s="34" t="str">
        <f t="shared" si="45"/>
        <v>PERCENTAGE</v>
      </c>
    </row>
    <row r="450" spans="1:16" x14ac:dyDescent="0.25">
      <c r="A450" s="33" t="str">
        <f t="shared" si="42"/>
        <v>2024 JAN-JUN D70</v>
      </c>
      <c r="B450" s="8">
        <f t="shared" si="43"/>
        <v>46099</v>
      </c>
      <c r="C450" s="8">
        <f t="shared" si="44"/>
        <v>46113</v>
      </c>
      <c r="D450" s="33">
        <v>3272</v>
      </c>
      <c r="E450" s="33">
        <v>336</v>
      </c>
      <c r="F450" s="33">
        <v>4</v>
      </c>
      <c r="G450" s="35">
        <v>1</v>
      </c>
      <c r="H450" s="33">
        <v>81379</v>
      </c>
      <c r="I450" s="33" t="s">
        <v>104</v>
      </c>
      <c r="J450" s="35">
        <v>15501076</v>
      </c>
      <c r="K450" s="35" t="s">
        <v>3689</v>
      </c>
      <c r="L450" s="35" t="s">
        <v>3693</v>
      </c>
      <c r="M450" s="35">
        <v>149900</v>
      </c>
      <c r="N450" s="37">
        <f t="shared" si="41"/>
        <v>0.7</v>
      </c>
      <c r="O450" s="34">
        <f t="shared" ref="O450:O466" si="46">M450-((70*M450))/100</f>
        <v>44970</v>
      </c>
      <c r="P450" s="34" t="str">
        <f t="shared" si="45"/>
        <v>PERCENTAGE</v>
      </c>
    </row>
    <row r="451" spans="1:16" x14ac:dyDescent="0.25">
      <c r="A451" s="33" t="str">
        <f t="shared" si="42"/>
        <v>2024 JAN-JUN D70</v>
      </c>
      <c r="B451" s="8">
        <f t="shared" si="43"/>
        <v>46099</v>
      </c>
      <c r="C451" s="8">
        <f t="shared" si="44"/>
        <v>46113</v>
      </c>
      <c r="D451" s="33">
        <v>3272</v>
      </c>
      <c r="E451" s="33">
        <v>336</v>
      </c>
      <c r="F451" s="33">
        <v>4</v>
      </c>
      <c r="G451" s="35">
        <v>1</v>
      </c>
      <c r="H451" s="33">
        <v>81379</v>
      </c>
      <c r="I451" s="33" t="s">
        <v>104</v>
      </c>
      <c r="J451" s="35">
        <v>15501085</v>
      </c>
      <c r="K451" s="35" t="s">
        <v>3689</v>
      </c>
      <c r="L451" s="35" t="s">
        <v>3694</v>
      </c>
      <c r="M451" s="35">
        <v>149900</v>
      </c>
      <c r="N451" s="37">
        <f t="shared" ref="N451:N466" si="47">N450</f>
        <v>0.7</v>
      </c>
      <c r="O451" s="34">
        <f t="shared" si="46"/>
        <v>44970</v>
      </c>
      <c r="P451" s="34" t="str">
        <f t="shared" si="45"/>
        <v>PERCENTAGE</v>
      </c>
    </row>
    <row r="452" spans="1:16" x14ac:dyDescent="0.25">
      <c r="A452" s="33" t="str">
        <f t="shared" si="42"/>
        <v>2024 JAN-JUN D70</v>
      </c>
      <c r="B452" s="8">
        <f t="shared" si="43"/>
        <v>46099</v>
      </c>
      <c r="C452" s="8">
        <f t="shared" si="44"/>
        <v>46113</v>
      </c>
      <c r="D452" s="33">
        <v>3272</v>
      </c>
      <c r="E452" s="33">
        <v>336</v>
      </c>
      <c r="F452" s="33">
        <v>4</v>
      </c>
      <c r="G452" s="35">
        <v>1</v>
      </c>
      <c r="H452" s="33">
        <v>81379</v>
      </c>
      <c r="I452" s="33" t="s">
        <v>104</v>
      </c>
      <c r="J452" s="35">
        <v>15501192</v>
      </c>
      <c r="K452" s="35" t="s">
        <v>3695</v>
      </c>
      <c r="L452" s="35" t="s">
        <v>3696</v>
      </c>
      <c r="M452" s="35">
        <v>149900</v>
      </c>
      <c r="N452" s="37">
        <f t="shared" si="47"/>
        <v>0.7</v>
      </c>
      <c r="O452" s="34">
        <f t="shared" si="46"/>
        <v>44970</v>
      </c>
      <c r="P452" s="34" t="str">
        <f t="shared" si="45"/>
        <v>PERCENTAGE</v>
      </c>
    </row>
    <row r="453" spans="1:16" x14ac:dyDescent="0.25">
      <c r="A453" s="33" t="str">
        <f t="shared" si="42"/>
        <v>2024 JAN-JUN D70</v>
      </c>
      <c r="B453" s="8">
        <f t="shared" si="43"/>
        <v>46099</v>
      </c>
      <c r="C453" s="8">
        <f t="shared" si="44"/>
        <v>46113</v>
      </c>
      <c r="D453" s="33">
        <v>3272</v>
      </c>
      <c r="E453" s="33">
        <v>336</v>
      </c>
      <c r="F453" s="33">
        <v>4</v>
      </c>
      <c r="G453" s="35">
        <v>1</v>
      </c>
      <c r="H453" s="33">
        <v>81379</v>
      </c>
      <c r="I453" s="33" t="s">
        <v>104</v>
      </c>
      <c r="J453" s="35">
        <v>15501209</v>
      </c>
      <c r="K453" s="35" t="s">
        <v>3695</v>
      </c>
      <c r="L453" s="35" t="s">
        <v>3697</v>
      </c>
      <c r="M453" s="35">
        <v>149900</v>
      </c>
      <c r="N453" s="37">
        <f t="shared" si="47"/>
        <v>0.7</v>
      </c>
      <c r="O453" s="34">
        <f t="shared" si="46"/>
        <v>44970</v>
      </c>
      <c r="P453" s="34" t="str">
        <f t="shared" si="45"/>
        <v>PERCENTAGE</v>
      </c>
    </row>
    <row r="454" spans="1:16" x14ac:dyDescent="0.25">
      <c r="A454" s="33" t="str">
        <f t="shared" si="42"/>
        <v>2024 JAN-JUN D70</v>
      </c>
      <c r="B454" s="8">
        <f t="shared" si="43"/>
        <v>46099</v>
      </c>
      <c r="C454" s="8">
        <f t="shared" si="44"/>
        <v>46113</v>
      </c>
      <c r="D454" s="33">
        <v>3272</v>
      </c>
      <c r="E454" s="33">
        <v>336</v>
      </c>
      <c r="F454" s="33">
        <v>4</v>
      </c>
      <c r="G454" s="35">
        <v>1</v>
      </c>
      <c r="H454" s="33">
        <v>81379</v>
      </c>
      <c r="I454" s="33" t="s">
        <v>104</v>
      </c>
      <c r="J454" s="35">
        <v>15501218</v>
      </c>
      <c r="K454" s="35" t="s">
        <v>3695</v>
      </c>
      <c r="L454" s="35" t="s">
        <v>3698</v>
      </c>
      <c r="M454" s="35">
        <v>149900</v>
      </c>
      <c r="N454" s="37">
        <f t="shared" si="47"/>
        <v>0.7</v>
      </c>
      <c r="O454" s="34">
        <f t="shared" si="46"/>
        <v>44970</v>
      </c>
      <c r="P454" s="34" t="str">
        <f t="shared" si="45"/>
        <v>PERCENTAGE</v>
      </c>
    </row>
    <row r="455" spans="1:16" x14ac:dyDescent="0.25">
      <c r="A455" s="33" t="str">
        <f t="shared" si="42"/>
        <v>2024 JAN-JUN D70</v>
      </c>
      <c r="B455" s="8">
        <f t="shared" si="43"/>
        <v>46099</v>
      </c>
      <c r="C455" s="8">
        <f t="shared" si="44"/>
        <v>46113</v>
      </c>
      <c r="D455" s="33">
        <v>3272</v>
      </c>
      <c r="E455" s="33">
        <v>336</v>
      </c>
      <c r="F455" s="33">
        <v>4</v>
      </c>
      <c r="G455" s="35">
        <v>1</v>
      </c>
      <c r="H455" s="33">
        <v>81379</v>
      </c>
      <c r="I455" s="33" t="s">
        <v>104</v>
      </c>
      <c r="J455" s="35">
        <v>15501227</v>
      </c>
      <c r="K455" s="35" t="s">
        <v>3695</v>
      </c>
      <c r="L455" s="35" t="s">
        <v>3699</v>
      </c>
      <c r="M455" s="35">
        <v>149900</v>
      </c>
      <c r="N455" s="37">
        <f t="shared" si="47"/>
        <v>0.7</v>
      </c>
      <c r="O455" s="34">
        <f t="shared" si="46"/>
        <v>44970</v>
      </c>
      <c r="P455" s="34" t="str">
        <f t="shared" si="45"/>
        <v>PERCENTAGE</v>
      </c>
    </row>
    <row r="456" spans="1:16" x14ac:dyDescent="0.25">
      <c r="A456" s="33" t="str">
        <f t="shared" si="42"/>
        <v>2024 JAN-JUN D70</v>
      </c>
      <c r="B456" s="8">
        <f t="shared" si="43"/>
        <v>46099</v>
      </c>
      <c r="C456" s="8">
        <f t="shared" si="44"/>
        <v>46113</v>
      </c>
      <c r="D456" s="33">
        <v>3272</v>
      </c>
      <c r="E456" s="33">
        <v>336</v>
      </c>
      <c r="F456" s="33">
        <v>4</v>
      </c>
      <c r="G456" s="35">
        <v>1</v>
      </c>
      <c r="H456" s="33">
        <v>81379</v>
      </c>
      <c r="I456" s="33" t="s">
        <v>104</v>
      </c>
      <c r="J456" s="35">
        <v>15501236</v>
      </c>
      <c r="K456" s="35" t="s">
        <v>3695</v>
      </c>
      <c r="L456" s="35" t="s">
        <v>3700</v>
      </c>
      <c r="M456" s="35">
        <v>149900</v>
      </c>
      <c r="N456" s="37">
        <f t="shared" si="47"/>
        <v>0.7</v>
      </c>
      <c r="O456" s="34">
        <f t="shared" si="46"/>
        <v>44970</v>
      </c>
      <c r="P456" s="34" t="str">
        <f t="shared" si="45"/>
        <v>PERCENTAGE</v>
      </c>
    </row>
    <row r="457" spans="1:16" x14ac:dyDescent="0.25">
      <c r="A457" s="33" t="str">
        <f t="shared" si="42"/>
        <v>2024 JAN-JUN D70</v>
      </c>
      <c r="B457" s="8">
        <f t="shared" si="43"/>
        <v>46099</v>
      </c>
      <c r="C457" s="8">
        <f t="shared" si="44"/>
        <v>46113</v>
      </c>
      <c r="D457" s="33">
        <v>3272</v>
      </c>
      <c r="E457" s="33">
        <v>336</v>
      </c>
      <c r="F457" s="33">
        <v>4</v>
      </c>
      <c r="G457" s="35">
        <v>1</v>
      </c>
      <c r="H457" s="33">
        <v>81379</v>
      </c>
      <c r="I457" s="33" t="s">
        <v>104</v>
      </c>
      <c r="J457" s="35">
        <v>15501398</v>
      </c>
      <c r="K457" s="35" t="s">
        <v>3701</v>
      </c>
      <c r="L457" s="35" t="s">
        <v>3702</v>
      </c>
      <c r="M457" s="35">
        <v>149900</v>
      </c>
      <c r="N457" s="37">
        <f t="shared" si="47"/>
        <v>0.7</v>
      </c>
      <c r="O457" s="34">
        <f t="shared" si="46"/>
        <v>44970</v>
      </c>
      <c r="P457" s="34" t="str">
        <f t="shared" si="45"/>
        <v>PERCENTAGE</v>
      </c>
    </row>
    <row r="458" spans="1:16" x14ac:dyDescent="0.25">
      <c r="A458" s="33" t="str">
        <f t="shared" si="42"/>
        <v>2024 JAN-JUN D70</v>
      </c>
      <c r="B458" s="8">
        <f t="shared" si="43"/>
        <v>46099</v>
      </c>
      <c r="C458" s="8">
        <f t="shared" si="44"/>
        <v>46113</v>
      </c>
      <c r="D458" s="33">
        <v>3272</v>
      </c>
      <c r="E458" s="33">
        <v>336</v>
      </c>
      <c r="F458" s="33">
        <v>4</v>
      </c>
      <c r="G458" s="35">
        <v>1</v>
      </c>
      <c r="H458" s="33">
        <v>81379</v>
      </c>
      <c r="I458" s="33" t="s">
        <v>104</v>
      </c>
      <c r="J458" s="35">
        <v>15501405</v>
      </c>
      <c r="K458" s="35" t="s">
        <v>3701</v>
      </c>
      <c r="L458" s="35" t="s">
        <v>3703</v>
      </c>
      <c r="M458" s="35">
        <v>149900</v>
      </c>
      <c r="N458" s="37">
        <f t="shared" si="47"/>
        <v>0.7</v>
      </c>
      <c r="O458" s="34">
        <f t="shared" si="46"/>
        <v>44970</v>
      </c>
      <c r="P458" s="34" t="str">
        <f t="shared" si="45"/>
        <v>PERCENTAGE</v>
      </c>
    </row>
    <row r="459" spans="1:16" x14ac:dyDescent="0.25">
      <c r="A459" s="33" t="str">
        <f t="shared" si="42"/>
        <v>2024 JAN-JUN D70</v>
      </c>
      <c r="B459" s="8">
        <f t="shared" si="43"/>
        <v>46099</v>
      </c>
      <c r="C459" s="8">
        <f t="shared" si="44"/>
        <v>46113</v>
      </c>
      <c r="D459" s="33">
        <v>3272</v>
      </c>
      <c r="E459" s="33">
        <v>336</v>
      </c>
      <c r="F459" s="33">
        <v>4</v>
      </c>
      <c r="G459" s="35">
        <v>1</v>
      </c>
      <c r="H459" s="33">
        <v>81379</v>
      </c>
      <c r="I459" s="33" t="s">
        <v>104</v>
      </c>
      <c r="J459" s="35">
        <v>15501414</v>
      </c>
      <c r="K459" s="35" t="s">
        <v>3701</v>
      </c>
      <c r="L459" s="35" t="s">
        <v>3704</v>
      </c>
      <c r="M459" s="35">
        <v>149900</v>
      </c>
      <c r="N459" s="37">
        <f t="shared" si="47"/>
        <v>0.7</v>
      </c>
      <c r="O459" s="34">
        <f t="shared" si="46"/>
        <v>44970</v>
      </c>
      <c r="P459" s="34" t="str">
        <f t="shared" si="45"/>
        <v>PERCENTAGE</v>
      </c>
    </row>
    <row r="460" spans="1:16" x14ac:dyDescent="0.25">
      <c r="A460" s="33" t="str">
        <f t="shared" si="42"/>
        <v>2024 JAN-JUN D70</v>
      </c>
      <c r="B460" s="8">
        <f t="shared" si="43"/>
        <v>46099</v>
      </c>
      <c r="C460" s="8">
        <f t="shared" si="44"/>
        <v>46113</v>
      </c>
      <c r="D460" s="33">
        <v>3272</v>
      </c>
      <c r="E460" s="33">
        <v>336</v>
      </c>
      <c r="F460" s="33">
        <v>4</v>
      </c>
      <c r="G460" s="35">
        <v>1</v>
      </c>
      <c r="H460" s="33">
        <v>81379</v>
      </c>
      <c r="I460" s="33" t="s">
        <v>104</v>
      </c>
      <c r="J460" s="35">
        <v>15501423</v>
      </c>
      <c r="K460" s="35" t="s">
        <v>3701</v>
      </c>
      <c r="L460" s="35" t="s">
        <v>3705</v>
      </c>
      <c r="M460" s="35">
        <v>149900</v>
      </c>
      <c r="N460" s="37">
        <f t="shared" si="47"/>
        <v>0.7</v>
      </c>
      <c r="O460" s="34">
        <f t="shared" si="46"/>
        <v>44970</v>
      </c>
      <c r="P460" s="34" t="str">
        <f t="shared" si="45"/>
        <v>PERCENTAGE</v>
      </c>
    </row>
    <row r="461" spans="1:16" x14ac:dyDescent="0.25">
      <c r="A461" s="33" t="str">
        <f t="shared" si="42"/>
        <v>2024 JAN-JUN D70</v>
      </c>
      <c r="B461" s="8">
        <f t="shared" si="43"/>
        <v>46099</v>
      </c>
      <c r="C461" s="8">
        <f t="shared" si="44"/>
        <v>46113</v>
      </c>
      <c r="D461" s="33">
        <v>3272</v>
      </c>
      <c r="E461" s="33">
        <v>336</v>
      </c>
      <c r="F461" s="33">
        <v>4</v>
      </c>
      <c r="G461" s="35">
        <v>1</v>
      </c>
      <c r="H461" s="33">
        <v>81379</v>
      </c>
      <c r="I461" s="33" t="s">
        <v>104</v>
      </c>
      <c r="J461" s="35">
        <v>15501432</v>
      </c>
      <c r="K461" s="35" t="s">
        <v>3701</v>
      </c>
      <c r="L461" s="35" t="s">
        <v>3706</v>
      </c>
      <c r="M461" s="35">
        <v>149900</v>
      </c>
      <c r="N461" s="37">
        <f t="shared" si="47"/>
        <v>0.7</v>
      </c>
      <c r="O461" s="34">
        <f t="shared" si="46"/>
        <v>44970</v>
      </c>
      <c r="P461" s="34" t="str">
        <f t="shared" si="45"/>
        <v>PERCENTAGE</v>
      </c>
    </row>
    <row r="462" spans="1:16" x14ac:dyDescent="0.25">
      <c r="A462" s="33" t="str">
        <f t="shared" si="42"/>
        <v>2024 JAN-JUN D70</v>
      </c>
      <c r="B462" s="8">
        <f t="shared" si="43"/>
        <v>46099</v>
      </c>
      <c r="C462" s="8">
        <f t="shared" si="44"/>
        <v>46113</v>
      </c>
      <c r="D462" s="33">
        <v>3272</v>
      </c>
      <c r="E462" s="33">
        <v>336</v>
      </c>
      <c r="F462" s="33">
        <v>4</v>
      </c>
      <c r="G462" s="35">
        <v>1</v>
      </c>
      <c r="H462" s="33">
        <v>81379</v>
      </c>
      <c r="I462" s="33" t="s">
        <v>104</v>
      </c>
      <c r="J462" s="35">
        <v>15501549</v>
      </c>
      <c r="K462" s="35" t="s">
        <v>3707</v>
      </c>
      <c r="L462" s="35" t="s">
        <v>3708</v>
      </c>
      <c r="M462" s="35">
        <v>149900</v>
      </c>
      <c r="N462" s="37">
        <f t="shared" si="47"/>
        <v>0.7</v>
      </c>
      <c r="O462" s="34">
        <f t="shared" si="46"/>
        <v>44970</v>
      </c>
      <c r="P462" s="34" t="str">
        <f t="shared" si="45"/>
        <v>PERCENTAGE</v>
      </c>
    </row>
    <row r="463" spans="1:16" x14ac:dyDescent="0.25">
      <c r="A463" s="33" t="str">
        <f t="shared" si="42"/>
        <v>2024 JAN-JUN D70</v>
      </c>
      <c r="B463" s="8">
        <f t="shared" si="43"/>
        <v>46099</v>
      </c>
      <c r="C463" s="8">
        <f t="shared" si="44"/>
        <v>46113</v>
      </c>
      <c r="D463" s="33">
        <v>3272</v>
      </c>
      <c r="E463" s="33">
        <v>336</v>
      </c>
      <c r="F463" s="33">
        <v>4</v>
      </c>
      <c r="G463" s="35">
        <v>1</v>
      </c>
      <c r="H463" s="33">
        <v>81379</v>
      </c>
      <c r="I463" s="33" t="s">
        <v>104</v>
      </c>
      <c r="J463" s="35">
        <v>15501558</v>
      </c>
      <c r="K463" s="35" t="s">
        <v>3707</v>
      </c>
      <c r="L463" s="35" t="s">
        <v>3709</v>
      </c>
      <c r="M463" s="35">
        <v>149900</v>
      </c>
      <c r="N463" s="37">
        <f t="shared" si="47"/>
        <v>0.7</v>
      </c>
      <c r="O463" s="34">
        <f t="shared" si="46"/>
        <v>44970</v>
      </c>
      <c r="P463" s="34" t="str">
        <f t="shared" si="45"/>
        <v>PERCENTAGE</v>
      </c>
    </row>
    <row r="464" spans="1:16" x14ac:dyDescent="0.25">
      <c r="A464" s="33" t="str">
        <f t="shared" si="42"/>
        <v>2024 JAN-JUN D70</v>
      </c>
      <c r="B464" s="8">
        <f t="shared" si="43"/>
        <v>46099</v>
      </c>
      <c r="C464" s="8">
        <f t="shared" si="44"/>
        <v>46113</v>
      </c>
      <c r="D464" s="33">
        <v>3272</v>
      </c>
      <c r="E464" s="33">
        <v>336</v>
      </c>
      <c r="F464" s="33">
        <v>4</v>
      </c>
      <c r="G464" s="35">
        <v>1</v>
      </c>
      <c r="H464" s="33">
        <v>81379</v>
      </c>
      <c r="I464" s="33" t="s">
        <v>104</v>
      </c>
      <c r="J464" s="35">
        <v>15501567</v>
      </c>
      <c r="K464" s="35" t="s">
        <v>3707</v>
      </c>
      <c r="L464" s="35" t="s">
        <v>3710</v>
      </c>
      <c r="M464" s="35">
        <v>149900</v>
      </c>
      <c r="N464" s="37">
        <f t="shared" si="47"/>
        <v>0.7</v>
      </c>
      <c r="O464" s="34">
        <f t="shared" si="46"/>
        <v>44970</v>
      </c>
      <c r="P464" s="34" t="str">
        <f t="shared" si="45"/>
        <v>PERCENTAGE</v>
      </c>
    </row>
    <row r="465" spans="1:16" x14ac:dyDescent="0.25">
      <c r="A465" s="33" t="str">
        <f t="shared" si="42"/>
        <v>2024 JAN-JUN D70</v>
      </c>
      <c r="B465" s="8">
        <f t="shared" si="43"/>
        <v>46099</v>
      </c>
      <c r="C465" s="8">
        <f t="shared" si="44"/>
        <v>46113</v>
      </c>
      <c r="D465" s="33">
        <v>3272</v>
      </c>
      <c r="E465" s="33">
        <v>336</v>
      </c>
      <c r="F465" s="33">
        <v>4</v>
      </c>
      <c r="G465" s="35">
        <v>1</v>
      </c>
      <c r="H465" s="33">
        <v>81379</v>
      </c>
      <c r="I465" s="33" t="s">
        <v>104</v>
      </c>
      <c r="J465" s="35">
        <v>15501576</v>
      </c>
      <c r="K465" s="35" t="s">
        <v>3707</v>
      </c>
      <c r="L465" s="35" t="s">
        <v>3711</v>
      </c>
      <c r="M465" s="35">
        <v>149900</v>
      </c>
      <c r="N465" s="37">
        <f t="shared" si="47"/>
        <v>0.7</v>
      </c>
      <c r="O465" s="34">
        <f t="shared" si="46"/>
        <v>44970</v>
      </c>
      <c r="P465" s="34" t="str">
        <f t="shared" si="45"/>
        <v>PERCENTAGE</v>
      </c>
    </row>
    <row r="466" spans="1:16" x14ac:dyDescent="0.25">
      <c r="A466" s="33" t="str">
        <f t="shared" si="42"/>
        <v>2024 JAN-JUN D70</v>
      </c>
      <c r="B466" s="8">
        <f t="shared" si="43"/>
        <v>46099</v>
      </c>
      <c r="C466" s="8">
        <f t="shared" si="44"/>
        <v>46113</v>
      </c>
      <c r="D466" s="33">
        <v>3272</v>
      </c>
      <c r="E466" s="33">
        <v>336</v>
      </c>
      <c r="F466" s="33">
        <v>4</v>
      </c>
      <c r="G466" s="35">
        <v>1</v>
      </c>
      <c r="H466" s="33">
        <v>81379</v>
      </c>
      <c r="I466" s="33" t="s">
        <v>104</v>
      </c>
      <c r="J466" s="35">
        <v>15501585</v>
      </c>
      <c r="K466" s="35" t="s">
        <v>3707</v>
      </c>
      <c r="L466" s="35" t="s">
        <v>3712</v>
      </c>
      <c r="M466" s="35">
        <v>149900</v>
      </c>
      <c r="N466" s="37">
        <f t="shared" si="47"/>
        <v>0.7</v>
      </c>
      <c r="O466" s="34">
        <f t="shared" si="46"/>
        <v>44970</v>
      </c>
      <c r="P466" s="34" t="str">
        <f t="shared" si="45"/>
        <v>PERCENTAGE</v>
      </c>
    </row>
  </sheetData>
  <conditionalFormatting sqref="J1:J466">
    <cfRule type="duplicateValues" dxfId="74" priority="2"/>
    <cfRule type="duplicateValues" dxfId="73" priority="3"/>
  </conditionalFormatting>
  <conditionalFormatting sqref="J431">
    <cfRule type="duplicateValues" dxfId="72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3DD1-FD8C-40E5-931D-2A51DFCB49ED}">
  <dimension ref="A1:P194"/>
  <sheetViews>
    <sheetView zoomScale="98" zoomScaleNormal="98" workbookViewId="0">
      <selection activeCell="C3" sqref="C3"/>
    </sheetView>
  </sheetViews>
  <sheetFormatPr defaultColWidth="8.7109375" defaultRowHeight="15" x14ac:dyDescent="0.25"/>
  <cols>
    <col min="1" max="1" width="28.5703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17.28515625" style="6" bestFit="1" customWidth="1"/>
    <col min="11" max="11" width="12.5703125" style="6" bestFit="1" customWidth="1"/>
    <col min="12" max="12" width="105.71093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4240</v>
      </c>
      <c r="B2" s="8">
        <f>'2019 ALL D95'!B2</f>
        <v>46099</v>
      </c>
      <c r="C2" s="8">
        <f>'2019 ALL D95'!C2</f>
        <v>46113</v>
      </c>
      <c r="D2" s="33">
        <v>3272</v>
      </c>
      <c r="E2" s="33">
        <v>336</v>
      </c>
      <c r="F2" s="33">
        <v>4</v>
      </c>
      <c r="G2" s="33">
        <v>3</v>
      </c>
      <c r="H2" s="33">
        <v>81379</v>
      </c>
      <c r="I2" s="33" t="s">
        <v>104</v>
      </c>
      <c r="J2" s="33">
        <v>16624209</v>
      </c>
      <c r="K2" s="33" t="s">
        <v>2055</v>
      </c>
      <c r="L2" s="33" t="s">
        <v>2056</v>
      </c>
      <c r="M2" s="34">
        <v>239900</v>
      </c>
      <c r="N2" s="37" t="s">
        <v>618</v>
      </c>
      <c r="O2" s="34" t="s">
        <v>1496</v>
      </c>
      <c r="P2" s="33" t="s">
        <v>618</v>
      </c>
    </row>
    <row r="3" spans="1:16" x14ac:dyDescent="0.25">
      <c r="A3" s="33" t="str">
        <f t="shared" ref="A3:A34" si="0">A2</f>
        <v>2024 JUL-SEPT B1G2</v>
      </c>
      <c r="B3" s="8">
        <f t="shared" ref="B3:B34" si="1">B2</f>
        <v>46099</v>
      </c>
      <c r="C3" s="8">
        <f t="shared" ref="C3:C34" si="2">C2</f>
        <v>46113</v>
      </c>
      <c r="D3" s="33">
        <v>3272</v>
      </c>
      <c r="E3" s="33">
        <v>336</v>
      </c>
      <c r="F3" s="33">
        <v>4</v>
      </c>
      <c r="G3" s="33">
        <v>3</v>
      </c>
      <c r="H3" s="33">
        <v>81379</v>
      </c>
      <c r="I3" s="33" t="s">
        <v>104</v>
      </c>
      <c r="J3" s="33">
        <v>16624218</v>
      </c>
      <c r="K3" s="33" t="s">
        <v>2055</v>
      </c>
      <c r="L3" s="33" t="s">
        <v>2057</v>
      </c>
      <c r="M3" s="34">
        <v>239900</v>
      </c>
      <c r="N3" s="37" t="str">
        <f t="shared" ref="N3:N34" si="3">N2</f>
        <v>BXGY</v>
      </c>
      <c r="O3" s="34" t="str">
        <f t="shared" ref="O3:O34" si="4">O2</f>
        <v>B1G2</v>
      </c>
      <c r="P3" s="33" t="str">
        <f t="shared" ref="P3:P34" si="5">P2</f>
        <v>BXGY</v>
      </c>
    </row>
    <row r="4" spans="1:16" x14ac:dyDescent="0.25">
      <c r="A4" s="33" t="str">
        <f t="shared" si="0"/>
        <v>2024 JUL-SEPT B1G2</v>
      </c>
      <c r="B4" s="8">
        <f t="shared" si="1"/>
        <v>46099</v>
      </c>
      <c r="C4" s="8">
        <f t="shared" si="2"/>
        <v>46113</v>
      </c>
      <c r="D4" s="33">
        <v>3272</v>
      </c>
      <c r="E4" s="33">
        <v>336</v>
      </c>
      <c r="F4" s="33">
        <v>4</v>
      </c>
      <c r="G4" s="33">
        <v>3</v>
      </c>
      <c r="H4" s="33">
        <v>81379</v>
      </c>
      <c r="I4" s="33" t="s">
        <v>104</v>
      </c>
      <c r="J4" s="33">
        <v>16624227</v>
      </c>
      <c r="K4" s="33" t="s">
        <v>2055</v>
      </c>
      <c r="L4" s="33" t="s">
        <v>2058</v>
      </c>
      <c r="M4" s="34">
        <v>239900</v>
      </c>
      <c r="N4" s="37" t="str">
        <f t="shared" si="3"/>
        <v>BXGY</v>
      </c>
      <c r="O4" s="34" t="str">
        <f t="shared" si="4"/>
        <v>B1G2</v>
      </c>
      <c r="P4" s="33" t="str">
        <f t="shared" si="5"/>
        <v>BXGY</v>
      </c>
    </row>
    <row r="5" spans="1:16" x14ac:dyDescent="0.25">
      <c r="A5" s="33" t="str">
        <f t="shared" si="0"/>
        <v>2024 JUL-SEPT B1G2</v>
      </c>
      <c r="B5" s="8">
        <f t="shared" si="1"/>
        <v>46099</v>
      </c>
      <c r="C5" s="8">
        <f t="shared" si="2"/>
        <v>46113</v>
      </c>
      <c r="D5" s="33">
        <v>3272</v>
      </c>
      <c r="E5" s="33">
        <v>336</v>
      </c>
      <c r="F5" s="33">
        <v>4</v>
      </c>
      <c r="G5" s="33">
        <v>3</v>
      </c>
      <c r="H5" s="33">
        <v>81379</v>
      </c>
      <c r="I5" s="33" t="s">
        <v>104</v>
      </c>
      <c r="J5" s="33">
        <v>16624236</v>
      </c>
      <c r="K5" s="33" t="s">
        <v>2055</v>
      </c>
      <c r="L5" s="33" t="s">
        <v>2059</v>
      </c>
      <c r="M5" s="34">
        <v>239900</v>
      </c>
      <c r="N5" s="37" t="str">
        <f t="shared" si="3"/>
        <v>BXGY</v>
      </c>
      <c r="O5" s="34" t="str">
        <f t="shared" si="4"/>
        <v>B1G2</v>
      </c>
      <c r="P5" s="33" t="str">
        <f t="shared" si="5"/>
        <v>BXGY</v>
      </c>
    </row>
    <row r="6" spans="1:16" x14ac:dyDescent="0.25">
      <c r="A6" s="33" t="str">
        <f t="shared" si="0"/>
        <v>2024 JUL-SEPT B1G2</v>
      </c>
      <c r="B6" s="8">
        <f t="shared" si="1"/>
        <v>46099</v>
      </c>
      <c r="C6" s="8">
        <f t="shared" si="2"/>
        <v>46113</v>
      </c>
      <c r="D6" s="33">
        <v>3272</v>
      </c>
      <c r="E6" s="33">
        <v>336</v>
      </c>
      <c r="F6" s="33">
        <v>4</v>
      </c>
      <c r="G6" s="33">
        <v>3</v>
      </c>
      <c r="H6" s="33">
        <v>81379</v>
      </c>
      <c r="I6" s="33" t="s">
        <v>104</v>
      </c>
      <c r="J6" s="33">
        <v>16624245</v>
      </c>
      <c r="K6" s="33" t="s">
        <v>2055</v>
      </c>
      <c r="L6" s="33" t="s">
        <v>2060</v>
      </c>
      <c r="M6" s="34">
        <v>239900</v>
      </c>
      <c r="N6" s="37" t="str">
        <f t="shared" si="3"/>
        <v>BXGY</v>
      </c>
      <c r="O6" s="34" t="str">
        <f t="shared" si="4"/>
        <v>B1G2</v>
      </c>
      <c r="P6" s="33" t="str">
        <f t="shared" si="5"/>
        <v>BXGY</v>
      </c>
    </row>
    <row r="7" spans="1:16" x14ac:dyDescent="0.25">
      <c r="A7" s="33" t="str">
        <f t="shared" si="0"/>
        <v>2024 JUL-SEPT B1G2</v>
      </c>
      <c r="B7" s="8">
        <f t="shared" si="1"/>
        <v>46099</v>
      </c>
      <c r="C7" s="8">
        <f t="shared" si="2"/>
        <v>46113</v>
      </c>
      <c r="D7" s="33">
        <v>3272</v>
      </c>
      <c r="E7" s="33">
        <v>336</v>
      </c>
      <c r="F7" s="33">
        <v>4</v>
      </c>
      <c r="G7" s="33">
        <v>3</v>
      </c>
      <c r="H7" s="33">
        <v>81379</v>
      </c>
      <c r="I7" s="33" t="s">
        <v>104</v>
      </c>
      <c r="J7" s="33">
        <v>16624254</v>
      </c>
      <c r="K7" s="33" t="s">
        <v>2055</v>
      </c>
      <c r="L7" s="33" t="s">
        <v>2061</v>
      </c>
      <c r="M7" s="34">
        <v>239900</v>
      </c>
      <c r="N7" s="37" t="str">
        <f t="shared" si="3"/>
        <v>BXGY</v>
      </c>
      <c r="O7" s="34" t="str">
        <f t="shared" si="4"/>
        <v>B1G2</v>
      </c>
      <c r="P7" s="33" t="str">
        <f t="shared" si="5"/>
        <v>BXGY</v>
      </c>
    </row>
    <row r="8" spans="1:16" x14ac:dyDescent="0.25">
      <c r="A8" s="33" t="str">
        <f t="shared" si="0"/>
        <v>2024 JUL-SEPT B1G2</v>
      </c>
      <c r="B8" s="8">
        <f t="shared" si="1"/>
        <v>46099</v>
      </c>
      <c r="C8" s="8">
        <f t="shared" si="2"/>
        <v>46113</v>
      </c>
      <c r="D8" s="33">
        <v>3272</v>
      </c>
      <c r="E8" s="33">
        <v>336</v>
      </c>
      <c r="F8" s="33">
        <v>4</v>
      </c>
      <c r="G8" s="33">
        <v>3</v>
      </c>
      <c r="H8" s="33">
        <v>81379</v>
      </c>
      <c r="I8" s="33" t="s">
        <v>104</v>
      </c>
      <c r="J8" s="33">
        <v>16624263</v>
      </c>
      <c r="K8" s="33" t="s">
        <v>2055</v>
      </c>
      <c r="L8" s="33" t="s">
        <v>2062</v>
      </c>
      <c r="M8" s="34">
        <v>239900</v>
      </c>
      <c r="N8" s="37" t="str">
        <f t="shared" si="3"/>
        <v>BXGY</v>
      </c>
      <c r="O8" s="34" t="str">
        <f t="shared" si="4"/>
        <v>B1G2</v>
      </c>
      <c r="P8" s="33" t="str">
        <f t="shared" si="5"/>
        <v>BXGY</v>
      </c>
    </row>
    <row r="9" spans="1:16" x14ac:dyDescent="0.25">
      <c r="A9" s="33" t="str">
        <f t="shared" si="0"/>
        <v>2024 JUL-SEPT B1G2</v>
      </c>
      <c r="B9" s="8">
        <f t="shared" si="1"/>
        <v>46099</v>
      </c>
      <c r="C9" s="8">
        <f t="shared" si="2"/>
        <v>46113</v>
      </c>
      <c r="D9" s="33">
        <v>3272</v>
      </c>
      <c r="E9" s="33">
        <v>336</v>
      </c>
      <c r="F9" s="33">
        <v>4</v>
      </c>
      <c r="G9" s="33">
        <v>3</v>
      </c>
      <c r="H9" s="33">
        <v>81379</v>
      </c>
      <c r="I9" s="33" t="s">
        <v>104</v>
      </c>
      <c r="J9" s="33">
        <v>16624272</v>
      </c>
      <c r="K9" s="33" t="s">
        <v>2055</v>
      </c>
      <c r="L9" s="33" t="s">
        <v>2063</v>
      </c>
      <c r="M9" s="34">
        <v>239900</v>
      </c>
      <c r="N9" s="37" t="str">
        <f t="shared" si="3"/>
        <v>BXGY</v>
      </c>
      <c r="O9" s="34" t="str">
        <f t="shared" si="4"/>
        <v>B1G2</v>
      </c>
      <c r="P9" s="33" t="str">
        <f t="shared" si="5"/>
        <v>BXGY</v>
      </c>
    </row>
    <row r="10" spans="1:16" x14ac:dyDescent="0.25">
      <c r="A10" s="33" t="str">
        <f t="shared" si="0"/>
        <v>2024 JUL-SEPT B1G2</v>
      </c>
      <c r="B10" s="8">
        <f t="shared" si="1"/>
        <v>46099</v>
      </c>
      <c r="C10" s="8">
        <f t="shared" si="2"/>
        <v>46113</v>
      </c>
      <c r="D10" s="33">
        <v>3272</v>
      </c>
      <c r="E10" s="33">
        <v>336</v>
      </c>
      <c r="F10" s="33">
        <v>4</v>
      </c>
      <c r="G10" s="33">
        <v>3</v>
      </c>
      <c r="H10" s="33">
        <v>81379</v>
      </c>
      <c r="I10" s="33" t="s">
        <v>104</v>
      </c>
      <c r="J10" s="33">
        <v>18659928</v>
      </c>
      <c r="K10" s="33" t="s">
        <v>2020</v>
      </c>
      <c r="L10" s="33" t="s">
        <v>2064</v>
      </c>
      <c r="M10" s="34">
        <v>239900</v>
      </c>
      <c r="N10" s="37" t="str">
        <f t="shared" si="3"/>
        <v>BXGY</v>
      </c>
      <c r="O10" s="34" t="str">
        <f t="shared" si="4"/>
        <v>B1G2</v>
      </c>
      <c r="P10" s="33" t="str">
        <f t="shared" si="5"/>
        <v>BXGY</v>
      </c>
    </row>
    <row r="11" spans="1:16" x14ac:dyDescent="0.25">
      <c r="A11" s="33" t="str">
        <f t="shared" si="0"/>
        <v>2024 JUL-SEPT B1G2</v>
      </c>
      <c r="B11" s="8">
        <f t="shared" si="1"/>
        <v>46099</v>
      </c>
      <c r="C11" s="8">
        <f t="shared" si="2"/>
        <v>46113</v>
      </c>
      <c r="D11" s="33">
        <v>3272</v>
      </c>
      <c r="E11" s="33">
        <v>336</v>
      </c>
      <c r="F11" s="33">
        <v>4</v>
      </c>
      <c r="G11" s="33">
        <v>3</v>
      </c>
      <c r="H11" s="33">
        <v>81379</v>
      </c>
      <c r="I11" s="33" t="s">
        <v>104</v>
      </c>
      <c r="J11" s="33">
        <v>18659937</v>
      </c>
      <c r="K11" s="33" t="s">
        <v>2020</v>
      </c>
      <c r="L11" s="33" t="s">
        <v>2065</v>
      </c>
      <c r="M11" s="34">
        <v>239900</v>
      </c>
      <c r="N11" s="37" t="str">
        <f t="shared" si="3"/>
        <v>BXGY</v>
      </c>
      <c r="O11" s="34" t="str">
        <f t="shared" si="4"/>
        <v>B1G2</v>
      </c>
      <c r="P11" s="33" t="str">
        <f t="shared" si="5"/>
        <v>BXGY</v>
      </c>
    </row>
    <row r="12" spans="1:16" x14ac:dyDescent="0.25">
      <c r="A12" s="33" t="str">
        <f t="shared" si="0"/>
        <v>2024 JUL-SEPT B1G2</v>
      </c>
      <c r="B12" s="8">
        <f t="shared" si="1"/>
        <v>46099</v>
      </c>
      <c r="C12" s="8">
        <f t="shared" si="2"/>
        <v>46113</v>
      </c>
      <c r="D12" s="33">
        <v>3272</v>
      </c>
      <c r="E12" s="33">
        <v>336</v>
      </c>
      <c r="F12" s="33">
        <v>4</v>
      </c>
      <c r="G12" s="33">
        <v>3</v>
      </c>
      <c r="H12" s="33">
        <v>81379</v>
      </c>
      <c r="I12" s="33" t="s">
        <v>104</v>
      </c>
      <c r="J12" s="33">
        <v>18659946</v>
      </c>
      <c r="K12" s="33" t="s">
        <v>2020</v>
      </c>
      <c r="L12" s="33" t="s">
        <v>2066</v>
      </c>
      <c r="M12" s="34">
        <v>239900</v>
      </c>
      <c r="N12" s="37" t="str">
        <f t="shared" si="3"/>
        <v>BXGY</v>
      </c>
      <c r="O12" s="34" t="str">
        <f t="shared" si="4"/>
        <v>B1G2</v>
      </c>
      <c r="P12" s="33" t="str">
        <f t="shared" si="5"/>
        <v>BXGY</v>
      </c>
    </row>
    <row r="13" spans="1:16" x14ac:dyDescent="0.25">
      <c r="A13" s="33" t="str">
        <f t="shared" si="0"/>
        <v>2024 JUL-SEPT B1G2</v>
      </c>
      <c r="B13" s="8">
        <f t="shared" si="1"/>
        <v>46099</v>
      </c>
      <c r="C13" s="8">
        <f t="shared" si="2"/>
        <v>46113</v>
      </c>
      <c r="D13" s="33">
        <v>3272</v>
      </c>
      <c r="E13" s="33">
        <v>336</v>
      </c>
      <c r="F13" s="33">
        <v>4</v>
      </c>
      <c r="G13" s="33">
        <v>3</v>
      </c>
      <c r="H13" s="33">
        <v>81379</v>
      </c>
      <c r="I13" s="33" t="s">
        <v>104</v>
      </c>
      <c r="J13" s="33">
        <v>18659955</v>
      </c>
      <c r="K13" s="33" t="s">
        <v>2020</v>
      </c>
      <c r="L13" s="33" t="s">
        <v>2067</v>
      </c>
      <c r="M13" s="34">
        <v>239900</v>
      </c>
      <c r="N13" s="37" t="str">
        <f t="shared" si="3"/>
        <v>BXGY</v>
      </c>
      <c r="O13" s="34" t="str">
        <f t="shared" si="4"/>
        <v>B1G2</v>
      </c>
      <c r="P13" s="33" t="str">
        <f t="shared" si="5"/>
        <v>BXGY</v>
      </c>
    </row>
    <row r="14" spans="1:16" x14ac:dyDescent="0.25">
      <c r="A14" s="33" t="str">
        <f t="shared" si="0"/>
        <v>2024 JUL-SEPT B1G2</v>
      </c>
      <c r="B14" s="8">
        <f t="shared" si="1"/>
        <v>46099</v>
      </c>
      <c r="C14" s="8">
        <f t="shared" si="2"/>
        <v>46113</v>
      </c>
      <c r="D14" s="33">
        <v>3272</v>
      </c>
      <c r="E14" s="33">
        <v>336</v>
      </c>
      <c r="F14" s="33">
        <v>4</v>
      </c>
      <c r="G14" s="33">
        <v>3</v>
      </c>
      <c r="H14" s="33">
        <v>81379</v>
      </c>
      <c r="I14" s="33" t="s">
        <v>104</v>
      </c>
      <c r="J14" s="33">
        <v>18659964</v>
      </c>
      <c r="K14" s="33" t="s">
        <v>2020</v>
      </c>
      <c r="L14" s="33" t="s">
        <v>2068</v>
      </c>
      <c r="M14" s="34">
        <v>239900</v>
      </c>
      <c r="N14" s="37" t="str">
        <f t="shared" si="3"/>
        <v>BXGY</v>
      </c>
      <c r="O14" s="34" t="str">
        <f t="shared" si="4"/>
        <v>B1G2</v>
      </c>
      <c r="P14" s="33" t="str">
        <f t="shared" si="5"/>
        <v>BXGY</v>
      </c>
    </row>
    <row r="15" spans="1:16" x14ac:dyDescent="0.25">
      <c r="A15" s="33" t="str">
        <f t="shared" si="0"/>
        <v>2024 JUL-SEPT B1G2</v>
      </c>
      <c r="B15" s="8">
        <f t="shared" si="1"/>
        <v>46099</v>
      </c>
      <c r="C15" s="8">
        <f t="shared" si="2"/>
        <v>46113</v>
      </c>
      <c r="D15" s="33">
        <v>3272</v>
      </c>
      <c r="E15" s="33">
        <v>336</v>
      </c>
      <c r="F15" s="33">
        <v>4</v>
      </c>
      <c r="G15" s="33">
        <v>3</v>
      </c>
      <c r="H15" s="33">
        <v>81379</v>
      </c>
      <c r="I15" s="33" t="s">
        <v>104</v>
      </c>
      <c r="J15" s="33">
        <v>18659973</v>
      </c>
      <c r="K15" s="33" t="s">
        <v>2020</v>
      </c>
      <c r="L15" s="33" t="s">
        <v>2069</v>
      </c>
      <c r="M15" s="34">
        <v>239900</v>
      </c>
      <c r="N15" s="37" t="str">
        <f t="shared" si="3"/>
        <v>BXGY</v>
      </c>
      <c r="O15" s="34" t="str">
        <f t="shared" si="4"/>
        <v>B1G2</v>
      </c>
      <c r="P15" s="33" t="str">
        <f t="shared" si="5"/>
        <v>BXGY</v>
      </c>
    </row>
    <row r="16" spans="1:16" x14ac:dyDescent="0.25">
      <c r="A16" s="33" t="str">
        <f t="shared" si="0"/>
        <v>2024 JUL-SEPT B1G2</v>
      </c>
      <c r="B16" s="8">
        <f t="shared" si="1"/>
        <v>46099</v>
      </c>
      <c r="C16" s="8">
        <f t="shared" si="2"/>
        <v>46113</v>
      </c>
      <c r="D16" s="33">
        <v>3272</v>
      </c>
      <c r="E16" s="33">
        <v>336</v>
      </c>
      <c r="F16" s="33">
        <v>4</v>
      </c>
      <c r="G16" s="33">
        <v>3</v>
      </c>
      <c r="H16" s="33">
        <v>81379</v>
      </c>
      <c r="I16" s="33" t="s">
        <v>104</v>
      </c>
      <c r="J16" s="33">
        <v>18659982</v>
      </c>
      <c r="K16" s="33" t="s">
        <v>2020</v>
      </c>
      <c r="L16" s="33" t="s">
        <v>2070</v>
      </c>
      <c r="M16" s="34">
        <v>239900</v>
      </c>
      <c r="N16" s="37" t="str">
        <f t="shared" si="3"/>
        <v>BXGY</v>
      </c>
      <c r="O16" s="34" t="str">
        <f t="shared" si="4"/>
        <v>B1G2</v>
      </c>
      <c r="P16" s="33" t="str">
        <f t="shared" si="5"/>
        <v>BXGY</v>
      </c>
    </row>
    <row r="17" spans="1:16" x14ac:dyDescent="0.25">
      <c r="A17" s="33" t="str">
        <f t="shared" si="0"/>
        <v>2024 JUL-SEPT B1G2</v>
      </c>
      <c r="B17" s="8">
        <f t="shared" si="1"/>
        <v>46099</v>
      </c>
      <c r="C17" s="8">
        <f t="shared" si="2"/>
        <v>46113</v>
      </c>
      <c r="D17" s="33">
        <v>3272</v>
      </c>
      <c r="E17" s="33">
        <v>336</v>
      </c>
      <c r="F17" s="33">
        <v>4</v>
      </c>
      <c r="G17" s="33">
        <v>4</v>
      </c>
      <c r="H17" s="33">
        <v>81379</v>
      </c>
      <c r="I17" s="33" t="s">
        <v>104</v>
      </c>
      <c r="J17" s="33">
        <v>18660005</v>
      </c>
      <c r="K17" s="33" t="s">
        <v>2078</v>
      </c>
      <c r="L17" s="33" t="s">
        <v>2079</v>
      </c>
      <c r="M17" s="34">
        <v>159900</v>
      </c>
      <c r="N17" s="37" t="str">
        <f t="shared" si="3"/>
        <v>BXGY</v>
      </c>
      <c r="O17" s="34" t="str">
        <f t="shared" si="4"/>
        <v>B1G2</v>
      </c>
      <c r="P17" s="33" t="str">
        <f t="shared" si="5"/>
        <v>BXGY</v>
      </c>
    </row>
    <row r="18" spans="1:16" x14ac:dyDescent="0.25">
      <c r="A18" s="33" t="str">
        <f t="shared" si="0"/>
        <v>2024 JUL-SEPT B1G2</v>
      </c>
      <c r="B18" s="8">
        <f t="shared" si="1"/>
        <v>46099</v>
      </c>
      <c r="C18" s="8">
        <f t="shared" si="2"/>
        <v>46113</v>
      </c>
      <c r="D18" s="33">
        <v>3272</v>
      </c>
      <c r="E18" s="33">
        <v>336</v>
      </c>
      <c r="F18" s="33">
        <v>4</v>
      </c>
      <c r="G18" s="33">
        <v>4</v>
      </c>
      <c r="H18" s="33">
        <v>81379</v>
      </c>
      <c r="I18" s="33" t="s">
        <v>104</v>
      </c>
      <c r="J18" s="33">
        <v>18660023</v>
      </c>
      <c r="K18" s="33" t="s">
        <v>2078</v>
      </c>
      <c r="L18" s="33" t="s">
        <v>2080</v>
      </c>
      <c r="M18" s="34">
        <v>159900</v>
      </c>
      <c r="N18" s="37" t="str">
        <f t="shared" si="3"/>
        <v>BXGY</v>
      </c>
      <c r="O18" s="34" t="str">
        <f t="shared" si="4"/>
        <v>B1G2</v>
      </c>
      <c r="P18" s="33" t="str">
        <f t="shared" si="5"/>
        <v>BXGY</v>
      </c>
    </row>
    <row r="19" spans="1:16" x14ac:dyDescent="0.25">
      <c r="A19" s="33" t="str">
        <f t="shared" si="0"/>
        <v>2024 JUL-SEPT B1G2</v>
      </c>
      <c r="B19" s="8">
        <f t="shared" si="1"/>
        <v>46099</v>
      </c>
      <c r="C19" s="8">
        <f t="shared" si="2"/>
        <v>46113</v>
      </c>
      <c r="D19" s="33">
        <v>3272</v>
      </c>
      <c r="E19" s="33">
        <v>336</v>
      </c>
      <c r="F19" s="33">
        <v>4</v>
      </c>
      <c r="G19" s="33">
        <v>4</v>
      </c>
      <c r="H19" s="33">
        <v>81379</v>
      </c>
      <c r="I19" s="33" t="s">
        <v>104</v>
      </c>
      <c r="J19" s="33">
        <v>18660032</v>
      </c>
      <c r="K19" s="33" t="s">
        <v>2078</v>
      </c>
      <c r="L19" s="33" t="s">
        <v>2081</v>
      </c>
      <c r="M19" s="34">
        <v>159900</v>
      </c>
      <c r="N19" s="37" t="str">
        <f t="shared" si="3"/>
        <v>BXGY</v>
      </c>
      <c r="O19" s="34" t="str">
        <f t="shared" si="4"/>
        <v>B1G2</v>
      </c>
      <c r="P19" s="33" t="str">
        <f t="shared" si="5"/>
        <v>BXGY</v>
      </c>
    </row>
    <row r="20" spans="1:16" x14ac:dyDescent="0.25">
      <c r="A20" s="33" t="str">
        <f t="shared" si="0"/>
        <v>2024 JUL-SEPT B1G2</v>
      </c>
      <c r="B20" s="8">
        <f t="shared" si="1"/>
        <v>46099</v>
      </c>
      <c r="C20" s="8">
        <f t="shared" si="2"/>
        <v>46113</v>
      </c>
      <c r="D20" s="33">
        <v>3272</v>
      </c>
      <c r="E20" s="33">
        <v>336</v>
      </c>
      <c r="F20" s="33">
        <v>4</v>
      </c>
      <c r="G20" s="33">
        <v>4</v>
      </c>
      <c r="H20" s="33">
        <v>81379</v>
      </c>
      <c r="I20" s="33" t="s">
        <v>104</v>
      </c>
      <c r="J20" s="33">
        <v>18660041</v>
      </c>
      <c r="K20" s="33" t="s">
        <v>2078</v>
      </c>
      <c r="L20" s="33" t="s">
        <v>2082</v>
      </c>
      <c r="M20" s="34">
        <v>159900</v>
      </c>
      <c r="N20" s="37" t="str">
        <f t="shared" si="3"/>
        <v>BXGY</v>
      </c>
      <c r="O20" s="34" t="str">
        <f t="shared" si="4"/>
        <v>B1G2</v>
      </c>
      <c r="P20" s="33" t="str">
        <f t="shared" si="5"/>
        <v>BXGY</v>
      </c>
    </row>
    <row r="21" spans="1:16" x14ac:dyDescent="0.25">
      <c r="A21" s="33" t="str">
        <f t="shared" si="0"/>
        <v>2024 JUL-SEPT B1G2</v>
      </c>
      <c r="B21" s="8">
        <f t="shared" si="1"/>
        <v>46099</v>
      </c>
      <c r="C21" s="8">
        <f t="shared" si="2"/>
        <v>46113</v>
      </c>
      <c r="D21" s="33">
        <v>3272</v>
      </c>
      <c r="E21" s="33">
        <v>336</v>
      </c>
      <c r="F21" s="33">
        <v>4</v>
      </c>
      <c r="G21" s="33">
        <v>4</v>
      </c>
      <c r="H21" s="33">
        <v>81379</v>
      </c>
      <c r="I21" s="33" t="s">
        <v>104</v>
      </c>
      <c r="J21" s="33">
        <v>18660069</v>
      </c>
      <c r="K21" s="33" t="s">
        <v>2078</v>
      </c>
      <c r="L21" s="33" t="s">
        <v>2083</v>
      </c>
      <c r="M21" s="34">
        <v>159900</v>
      </c>
      <c r="N21" s="37" t="str">
        <f t="shared" si="3"/>
        <v>BXGY</v>
      </c>
      <c r="O21" s="34" t="str">
        <f t="shared" si="4"/>
        <v>B1G2</v>
      </c>
      <c r="P21" s="33" t="str">
        <f t="shared" si="5"/>
        <v>BXGY</v>
      </c>
    </row>
    <row r="22" spans="1:16" x14ac:dyDescent="0.25">
      <c r="A22" s="33" t="str">
        <f t="shared" si="0"/>
        <v>2024 JUL-SEPT B1G2</v>
      </c>
      <c r="B22" s="8">
        <f t="shared" si="1"/>
        <v>46099</v>
      </c>
      <c r="C22" s="8">
        <f t="shared" si="2"/>
        <v>46113</v>
      </c>
      <c r="D22" s="33">
        <v>3272</v>
      </c>
      <c r="E22" s="33">
        <v>336</v>
      </c>
      <c r="F22" s="33">
        <v>4</v>
      </c>
      <c r="G22" s="33">
        <v>4</v>
      </c>
      <c r="H22" s="33">
        <v>81379</v>
      </c>
      <c r="I22" s="33" t="s">
        <v>104</v>
      </c>
      <c r="J22" s="33">
        <v>18660078</v>
      </c>
      <c r="K22" s="33" t="s">
        <v>2078</v>
      </c>
      <c r="L22" s="33" t="s">
        <v>2084</v>
      </c>
      <c r="M22" s="34">
        <v>159900</v>
      </c>
      <c r="N22" s="37" t="str">
        <f t="shared" si="3"/>
        <v>BXGY</v>
      </c>
      <c r="O22" s="34" t="str">
        <f t="shared" si="4"/>
        <v>B1G2</v>
      </c>
      <c r="P22" s="33" t="str">
        <f t="shared" si="5"/>
        <v>BXGY</v>
      </c>
    </row>
    <row r="23" spans="1:16" x14ac:dyDescent="0.25">
      <c r="A23" s="33" t="str">
        <f t="shared" si="0"/>
        <v>2024 JUL-SEPT B1G2</v>
      </c>
      <c r="B23" s="8">
        <f t="shared" si="1"/>
        <v>46099</v>
      </c>
      <c r="C23" s="8">
        <f t="shared" si="2"/>
        <v>46113</v>
      </c>
      <c r="D23" s="33">
        <v>3272</v>
      </c>
      <c r="E23" s="33">
        <v>336</v>
      </c>
      <c r="F23" s="33">
        <v>4</v>
      </c>
      <c r="G23" s="33">
        <v>4</v>
      </c>
      <c r="H23" s="33">
        <v>81379</v>
      </c>
      <c r="I23" s="33" t="s">
        <v>104</v>
      </c>
      <c r="J23" s="33">
        <v>18660087</v>
      </c>
      <c r="K23" s="33" t="s">
        <v>2078</v>
      </c>
      <c r="L23" s="33" t="s">
        <v>2085</v>
      </c>
      <c r="M23" s="34">
        <v>159900</v>
      </c>
      <c r="N23" s="37" t="str">
        <f t="shared" si="3"/>
        <v>BXGY</v>
      </c>
      <c r="O23" s="34" t="str">
        <f t="shared" si="4"/>
        <v>B1G2</v>
      </c>
      <c r="P23" s="33" t="str">
        <f t="shared" si="5"/>
        <v>BXGY</v>
      </c>
    </row>
    <row r="24" spans="1:16" x14ac:dyDescent="0.25">
      <c r="A24" s="33" t="str">
        <f t="shared" si="0"/>
        <v>2024 JUL-SEPT B1G2</v>
      </c>
      <c r="B24" s="8">
        <f t="shared" si="1"/>
        <v>46099</v>
      </c>
      <c r="C24" s="8">
        <f t="shared" si="2"/>
        <v>46113</v>
      </c>
      <c r="D24" s="33">
        <v>3272</v>
      </c>
      <c r="E24" s="33">
        <v>336</v>
      </c>
      <c r="F24" s="33">
        <v>4</v>
      </c>
      <c r="G24" s="33">
        <v>4</v>
      </c>
      <c r="H24" s="33">
        <v>81379</v>
      </c>
      <c r="I24" s="33" t="s">
        <v>104</v>
      </c>
      <c r="J24" s="33">
        <v>18660096</v>
      </c>
      <c r="K24" s="33" t="s">
        <v>2078</v>
      </c>
      <c r="L24" s="33" t="s">
        <v>2086</v>
      </c>
      <c r="M24" s="34">
        <v>159900</v>
      </c>
      <c r="N24" s="37" t="str">
        <f t="shared" si="3"/>
        <v>BXGY</v>
      </c>
      <c r="O24" s="34" t="str">
        <f t="shared" si="4"/>
        <v>B1G2</v>
      </c>
      <c r="P24" s="33" t="str">
        <f t="shared" si="5"/>
        <v>BXGY</v>
      </c>
    </row>
    <row r="25" spans="1:16" x14ac:dyDescent="0.25">
      <c r="A25" s="33" t="str">
        <f t="shared" si="0"/>
        <v>2024 JUL-SEPT B1G2</v>
      </c>
      <c r="B25" s="8">
        <f t="shared" si="1"/>
        <v>46099</v>
      </c>
      <c r="C25" s="8">
        <f t="shared" si="2"/>
        <v>46113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16623844</v>
      </c>
      <c r="K25" s="33" t="s">
        <v>1941</v>
      </c>
      <c r="L25" s="33" t="s">
        <v>1942</v>
      </c>
      <c r="M25" s="34">
        <v>149900</v>
      </c>
      <c r="N25" s="37" t="str">
        <f t="shared" si="3"/>
        <v>BXGY</v>
      </c>
      <c r="O25" s="34" t="str">
        <f t="shared" si="4"/>
        <v>B1G2</v>
      </c>
      <c r="P25" s="33" t="str">
        <f t="shared" si="5"/>
        <v>BXGY</v>
      </c>
    </row>
    <row r="26" spans="1:16" x14ac:dyDescent="0.25">
      <c r="A26" s="33" t="str">
        <f t="shared" si="0"/>
        <v>2024 JUL-SEPT B1G2</v>
      </c>
      <c r="B26" s="8">
        <f t="shared" si="1"/>
        <v>46099</v>
      </c>
      <c r="C26" s="8">
        <f t="shared" si="2"/>
        <v>46113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16623853</v>
      </c>
      <c r="K26" s="33" t="s">
        <v>1941</v>
      </c>
      <c r="L26" s="33" t="s">
        <v>1943</v>
      </c>
      <c r="M26" s="34">
        <v>149900</v>
      </c>
      <c r="N26" s="37" t="str">
        <f t="shared" si="3"/>
        <v>BXGY</v>
      </c>
      <c r="O26" s="34" t="str">
        <f t="shared" si="4"/>
        <v>B1G2</v>
      </c>
      <c r="P26" s="33" t="str">
        <f t="shared" si="5"/>
        <v>BXGY</v>
      </c>
    </row>
    <row r="27" spans="1:16" x14ac:dyDescent="0.25">
      <c r="A27" s="33" t="str">
        <f t="shared" si="0"/>
        <v>2024 JUL-SEPT B1G2</v>
      </c>
      <c r="B27" s="8">
        <f t="shared" si="1"/>
        <v>46099</v>
      </c>
      <c r="C27" s="8">
        <f t="shared" si="2"/>
        <v>46113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16623862</v>
      </c>
      <c r="K27" s="33" t="s">
        <v>1941</v>
      </c>
      <c r="L27" s="33" t="s">
        <v>1944</v>
      </c>
      <c r="M27" s="34">
        <v>149900</v>
      </c>
      <c r="N27" s="37" t="str">
        <f t="shared" si="3"/>
        <v>BXGY</v>
      </c>
      <c r="O27" s="34" t="str">
        <f t="shared" si="4"/>
        <v>B1G2</v>
      </c>
      <c r="P27" s="33" t="str">
        <f t="shared" si="5"/>
        <v>BXGY</v>
      </c>
    </row>
    <row r="28" spans="1:16" x14ac:dyDescent="0.25">
      <c r="A28" s="33" t="str">
        <f t="shared" si="0"/>
        <v>2024 JUL-SEPT B1G2</v>
      </c>
      <c r="B28" s="8">
        <f t="shared" si="1"/>
        <v>46099</v>
      </c>
      <c r="C28" s="8">
        <f t="shared" si="2"/>
        <v>46113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16623871</v>
      </c>
      <c r="K28" s="33" t="s">
        <v>1941</v>
      </c>
      <c r="L28" s="33" t="s">
        <v>1945</v>
      </c>
      <c r="M28" s="34">
        <v>149900</v>
      </c>
      <c r="N28" s="37" t="str">
        <f t="shared" si="3"/>
        <v>BXGY</v>
      </c>
      <c r="O28" s="34" t="str">
        <f t="shared" si="4"/>
        <v>B1G2</v>
      </c>
      <c r="P28" s="33" t="str">
        <f t="shared" si="5"/>
        <v>BXGY</v>
      </c>
    </row>
    <row r="29" spans="1:16" x14ac:dyDescent="0.25">
      <c r="A29" s="33" t="str">
        <f t="shared" si="0"/>
        <v>2024 JUL-SEPT B1G2</v>
      </c>
      <c r="B29" s="8">
        <f t="shared" si="1"/>
        <v>46099</v>
      </c>
      <c r="C29" s="8">
        <f t="shared" si="2"/>
        <v>46113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16623880</v>
      </c>
      <c r="K29" s="33" t="s">
        <v>1941</v>
      </c>
      <c r="L29" s="33" t="s">
        <v>1946</v>
      </c>
      <c r="M29" s="34">
        <v>149900</v>
      </c>
      <c r="N29" s="37" t="str">
        <f t="shared" si="3"/>
        <v>BXGY</v>
      </c>
      <c r="O29" s="34" t="str">
        <f t="shared" si="4"/>
        <v>B1G2</v>
      </c>
      <c r="P29" s="33" t="str">
        <f t="shared" si="5"/>
        <v>BXGY</v>
      </c>
    </row>
    <row r="30" spans="1:16" x14ac:dyDescent="0.25">
      <c r="A30" s="33" t="str">
        <f t="shared" si="0"/>
        <v>2024 JUL-SEPT B1G2</v>
      </c>
      <c r="B30" s="8">
        <f t="shared" si="1"/>
        <v>46099</v>
      </c>
      <c r="C30" s="8">
        <f t="shared" si="2"/>
        <v>46113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16623899</v>
      </c>
      <c r="K30" s="33" t="s">
        <v>1941</v>
      </c>
      <c r="L30" s="33" t="s">
        <v>1947</v>
      </c>
      <c r="M30" s="34">
        <v>149900</v>
      </c>
      <c r="N30" s="37" t="str">
        <f t="shared" si="3"/>
        <v>BXGY</v>
      </c>
      <c r="O30" s="34" t="str">
        <f t="shared" si="4"/>
        <v>B1G2</v>
      </c>
      <c r="P30" s="33" t="str">
        <f t="shared" si="5"/>
        <v>BXGY</v>
      </c>
    </row>
    <row r="31" spans="1:16" x14ac:dyDescent="0.25">
      <c r="A31" s="33" t="str">
        <f t="shared" si="0"/>
        <v>2024 JUL-SEPT B1G2</v>
      </c>
      <c r="B31" s="8">
        <f t="shared" si="1"/>
        <v>46099</v>
      </c>
      <c r="C31" s="8">
        <f t="shared" si="2"/>
        <v>46113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16623906</v>
      </c>
      <c r="K31" s="33" t="s">
        <v>1941</v>
      </c>
      <c r="L31" s="33" t="s">
        <v>1948</v>
      </c>
      <c r="M31" s="34">
        <v>149900</v>
      </c>
      <c r="N31" s="37" t="str">
        <f t="shared" si="3"/>
        <v>BXGY</v>
      </c>
      <c r="O31" s="34" t="str">
        <f t="shared" si="4"/>
        <v>B1G2</v>
      </c>
      <c r="P31" s="33" t="str">
        <f t="shared" si="5"/>
        <v>BXGY</v>
      </c>
    </row>
    <row r="32" spans="1:16" x14ac:dyDescent="0.25">
      <c r="A32" s="33" t="str">
        <f t="shared" si="0"/>
        <v>2024 JUL-SEPT B1G2</v>
      </c>
      <c r="B32" s="8">
        <f t="shared" si="1"/>
        <v>46099</v>
      </c>
      <c r="C32" s="8">
        <f t="shared" si="2"/>
        <v>46113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16623915</v>
      </c>
      <c r="K32" s="33" t="s">
        <v>1941</v>
      </c>
      <c r="L32" s="33" t="s">
        <v>1949</v>
      </c>
      <c r="M32" s="34">
        <v>149900</v>
      </c>
      <c r="N32" s="37" t="str">
        <f t="shared" si="3"/>
        <v>BXGY</v>
      </c>
      <c r="O32" s="34" t="str">
        <f t="shared" si="4"/>
        <v>B1G2</v>
      </c>
      <c r="P32" s="33" t="str">
        <f t="shared" si="5"/>
        <v>BXGY</v>
      </c>
    </row>
    <row r="33" spans="1:16" x14ac:dyDescent="0.25">
      <c r="A33" s="33" t="str">
        <f t="shared" si="0"/>
        <v>2024 JUL-SEPT B1G2</v>
      </c>
      <c r="B33" s="8">
        <f t="shared" si="1"/>
        <v>46099</v>
      </c>
      <c r="C33" s="8">
        <f t="shared" si="2"/>
        <v>46113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18659599</v>
      </c>
      <c r="K33" s="33" t="s">
        <v>1993</v>
      </c>
      <c r="L33" s="33" t="s">
        <v>1994</v>
      </c>
      <c r="M33" s="34">
        <v>149900</v>
      </c>
      <c r="N33" s="37" t="str">
        <f t="shared" si="3"/>
        <v>BXGY</v>
      </c>
      <c r="O33" s="34" t="str">
        <f t="shared" si="4"/>
        <v>B1G2</v>
      </c>
      <c r="P33" s="33" t="str">
        <f t="shared" si="5"/>
        <v>BXGY</v>
      </c>
    </row>
    <row r="34" spans="1:16" x14ac:dyDescent="0.25">
      <c r="A34" s="33" t="str">
        <f t="shared" si="0"/>
        <v>2024 JUL-SEPT B1G2</v>
      </c>
      <c r="B34" s="8">
        <f t="shared" si="1"/>
        <v>46099</v>
      </c>
      <c r="C34" s="8">
        <f t="shared" si="2"/>
        <v>46113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18659606</v>
      </c>
      <c r="K34" s="33" t="s">
        <v>1993</v>
      </c>
      <c r="L34" s="33" t="s">
        <v>1995</v>
      </c>
      <c r="M34" s="34">
        <v>149900</v>
      </c>
      <c r="N34" s="37" t="str">
        <f t="shared" si="3"/>
        <v>BXGY</v>
      </c>
      <c r="O34" s="34" t="str">
        <f t="shared" si="4"/>
        <v>B1G2</v>
      </c>
      <c r="P34" s="33" t="str">
        <f t="shared" si="5"/>
        <v>BXGY</v>
      </c>
    </row>
    <row r="35" spans="1:16" x14ac:dyDescent="0.25">
      <c r="A35" s="33" t="str">
        <f t="shared" ref="A35:A66" si="6">A34</f>
        <v>2024 JUL-SEPT B1G2</v>
      </c>
      <c r="B35" s="8">
        <f t="shared" ref="B35:B66" si="7">B34</f>
        <v>46099</v>
      </c>
      <c r="C35" s="8">
        <f t="shared" ref="C35:C66" si="8">C34</f>
        <v>46113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18659624</v>
      </c>
      <c r="K35" s="33" t="s">
        <v>1993</v>
      </c>
      <c r="L35" s="33" t="s">
        <v>1996</v>
      </c>
      <c r="M35" s="34">
        <v>149900</v>
      </c>
      <c r="N35" s="37" t="str">
        <f t="shared" ref="N35:N66" si="9">N34</f>
        <v>BXGY</v>
      </c>
      <c r="O35" s="34" t="str">
        <f t="shared" ref="O35:O66" si="10">O34</f>
        <v>B1G2</v>
      </c>
      <c r="P35" s="33" t="str">
        <f t="shared" ref="P35:P66" si="11">P34</f>
        <v>BXGY</v>
      </c>
    </row>
    <row r="36" spans="1:16" x14ac:dyDescent="0.25">
      <c r="A36" s="33" t="str">
        <f t="shared" si="6"/>
        <v>2024 JUL-SEPT B1G2</v>
      </c>
      <c r="B36" s="8">
        <f t="shared" si="7"/>
        <v>46099</v>
      </c>
      <c r="C36" s="8">
        <f t="shared" si="8"/>
        <v>46113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18659633</v>
      </c>
      <c r="K36" s="33" t="s">
        <v>1993</v>
      </c>
      <c r="L36" s="33" t="s">
        <v>1997</v>
      </c>
      <c r="M36" s="34">
        <v>149900</v>
      </c>
      <c r="N36" s="37" t="str">
        <f t="shared" si="9"/>
        <v>BXGY</v>
      </c>
      <c r="O36" s="34" t="str">
        <f t="shared" si="10"/>
        <v>B1G2</v>
      </c>
      <c r="P36" s="33" t="str">
        <f t="shared" si="11"/>
        <v>BXGY</v>
      </c>
    </row>
    <row r="37" spans="1:16" x14ac:dyDescent="0.25">
      <c r="A37" s="33" t="str">
        <f t="shared" si="6"/>
        <v>2024 JUL-SEPT B1G2</v>
      </c>
      <c r="B37" s="8">
        <f t="shared" si="7"/>
        <v>46099</v>
      </c>
      <c r="C37" s="8">
        <f t="shared" si="8"/>
        <v>46113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18659704</v>
      </c>
      <c r="K37" s="33" t="s">
        <v>1993</v>
      </c>
      <c r="L37" s="33" t="s">
        <v>1998</v>
      </c>
      <c r="M37" s="34">
        <v>149900</v>
      </c>
      <c r="N37" s="37" t="str">
        <f t="shared" si="9"/>
        <v>BXGY</v>
      </c>
      <c r="O37" s="34" t="str">
        <f t="shared" si="10"/>
        <v>B1G2</v>
      </c>
      <c r="P37" s="33" t="str">
        <f t="shared" si="11"/>
        <v>BXGY</v>
      </c>
    </row>
    <row r="38" spans="1:16" x14ac:dyDescent="0.25">
      <c r="A38" s="33" t="str">
        <f t="shared" si="6"/>
        <v>2024 JUL-SEPT B1G2</v>
      </c>
      <c r="B38" s="8">
        <f t="shared" si="7"/>
        <v>46099</v>
      </c>
      <c r="C38" s="8">
        <f t="shared" si="8"/>
        <v>46113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18659722</v>
      </c>
      <c r="K38" s="33" t="s">
        <v>1993</v>
      </c>
      <c r="L38" s="33" t="s">
        <v>1999</v>
      </c>
      <c r="M38" s="34">
        <v>149900</v>
      </c>
      <c r="N38" s="37" t="str">
        <f t="shared" si="9"/>
        <v>BXGY</v>
      </c>
      <c r="O38" s="34" t="str">
        <f t="shared" si="10"/>
        <v>B1G2</v>
      </c>
      <c r="P38" s="33" t="str">
        <f t="shared" si="11"/>
        <v>BXGY</v>
      </c>
    </row>
    <row r="39" spans="1:16" x14ac:dyDescent="0.25">
      <c r="A39" s="33" t="str">
        <f t="shared" si="6"/>
        <v>2024 JUL-SEPT B1G2</v>
      </c>
      <c r="B39" s="8">
        <f t="shared" si="7"/>
        <v>46099</v>
      </c>
      <c r="C39" s="8">
        <f t="shared" si="8"/>
        <v>46113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18659740</v>
      </c>
      <c r="K39" s="33" t="s">
        <v>1993</v>
      </c>
      <c r="L39" s="33" t="s">
        <v>2000</v>
      </c>
      <c r="M39" s="34">
        <v>149900</v>
      </c>
      <c r="N39" s="37" t="str">
        <f t="shared" si="9"/>
        <v>BXGY</v>
      </c>
      <c r="O39" s="34" t="str">
        <f t="shared" si="10"/>
        <v>B1G2</v>
      </c>
      <c r="P39" s="33" t="str">
        <f t="shared" si="11"/>
        <v>BXGY</v>
      </c>
    </row>
    <row r="40" spans="1:16" x14ac:dyDescent="0.25">
      <c r="A40" s="33" t="str">
        <f t="shared" si="6"/>
        <v>2024 JUL-SEPT B1G2</v>
      </c>
      <c r="B40" s="8">
        <f t="shared" si="7"/>
        <v>46099</v>
      </c>
      <c r="C40" s="8">
        <f t="shared" si="8"/>
        <v>46113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18659759</v>
      </c>
      <c r="K40" s="33" t="s">
        <v>1993</v>
      </c>
      <c r="L40" s="33" t="s">
        <v>2001</v>
      </c>
      <c r="M40" s="34">
        <v>149900</v>
      </c>
      <c r="N40" s="37" t="str">
        <f t="shared" si="9"/>
        <v>BXGY</v>
      </c>
      <c r="O40" s="34" t="str">
        <f t="shared" si="10"/>
        <v>B1G2</v>
      </c>
      <c r="P40" s="33" t="str">
        <f t="shared" si="11"/>
        <v>BXGY</v>
      </c>
    </row>
    <row r="41" spans="1:16" x14ac:dyDescent="0.25">
      <c r="A41" s="33" t="str">
        <f t="shared" si="6"/>
        <v>2024 JUL-SEPT B1G2</v>
      </c>
      <c r="B41" s="8">
        <f t="shared" si="7"/>
        <v>46099</v>
      </c>
      <c r="C41" s="8">
        <f t="shared" si="8"/>
        <v>46113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18756331</v>
      </c>
      <c r="K41" s="33" t="s">
        <v>2020</v>
      </c>
      <c r="L41" s="33" t="s">
        <v>2021</v>
      </c>
      <c r="M41" s="34">
        <v>139900</v>
      </c>
      <c r="N41" s="37" t="str">
        <f t="shared" si="9"/>
        <v>BXGY</v>
      </c>
      <c r="O41" s="34" t="str">
        <f t="shared" si="10"/>
        <v>B1G2</v>
      </c>
      <c r="P41" s="33" t="str">
        <f t="shared" si="11"/>
        <v>BXGY</v>
      </c>
    </row>
    <row r="42" spans="1:16" x14ac:dyDescent="0.25">
      <c r="A42" s="33" t="str">
        <f t="shared" si="6"/>
        <v>2024 JUL-SEPT B1G2</v>
      </c>
      <c r="B42" s="8">
        <f t="shared" si="7"/>
        <v>46099</v>
      </c>
      <c r="C42" s="8">
        <f t="shared" si="8"/>
        <v>46113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18756340</v>
      </c>
      <c r="K42" s="33" t="s">
        <v>2020</v>
      </c>
      <c r="L42" s="33" t="s">
        <v>2022</v>
      </c>
      <c r="M42" s="34">
        <v>139900</v>
      </c>
      <c r="N42" s="37" t="str">
        <f t="shared" si="9"/>
        <v>BXGY</v>
      </c>
      <c r="O42" s="34" t="str">
        <f t="shared" si="10"/>
        <v>B1G2</v>
      </c>
      <c r="P42" s="33" t="str">
        <f t="shared" si="11"/>
        <v>BXGY</v>
      </c>
    </row>
    <row r="43" spans="1:16" x14ac:dyDescent="0.25">
      <c r="A43" s="33" t="str">
        <f t="shared" si="6"/>
        <v>2024 JUL-SEPT B1G2</v>
      </c>
      <c r="B43" s="8">
        <f t="shared" si="7"/>
        <v>46099</v>
      </c>
      <c r="C43" s="8">
        <f t="shared" si="8"/>
        <v>46113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18756377</v>
      </c>
      <c r="K43" s="33" t="s">
        <v>2020</v>
      </c>
      <c r="L43" s="33" t="s">
        <v>2023</v>
      </c>
      <c r="M43" s="34">
        <v>139900</v>
      </c>
      <c r="N43" s="37" t="str">
        <f t="shared" si="9"/>
        <v>BXGY</v>
      </c>
      <c r="O43" s="34" t="str">
        <f t="shared" si="10"/>
        <v>B1G2</v>
      </c>
      <c r="P43" s="33" t="str">
        <f t="shared" si="11"/>
        <v>BXGY</v>
      </c>
    </row>
    <row r="44" spans="1:16" x14ac:dyDescent="0.25">
      <c r="A44" s="33" t="str">
        <f t="shared" si="6"/>
        <v>2024 JUL-SEPT B1G2</v>
      </c>
      <c r="B44" s="8">
        <f t="shared" si="7"/>
        <v>46099</v>
      </c>
      <c r="C44" s="8">
        <f t="shared" si="8"/>
        <v>46113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18756386</v>
      </c>
      <c r="K44" s="33" t="s">
        <v>2020</v>
      </c>
      <c r="L44" s="33" t="s">
        <v>2024</v>
      </c>
      <c r="M44" s="34">
        <v>139900</v>
      </c>
      <c r="N44" s="37" t="str">
        <f t="shared" si="9"/>
        <v>BXGY</v>
      </c>
      <c r="O44" s="34" t="str">
        <f t="shared" si="10"/>
        <v>B1G2</v>
      </c>
      <c r="P44" s="33" t="str">
        <f t="shared" si="11"/>
        <v>BXGY</v>
      </c>
    </row>
    <row r="45" spans="1:16" x14ac:dyDescent="0.25">
      <c r="A45" s="33" t="str">
        <f t="shared" si="6"/>
        <v>2024 JUL-SEPT B1G2</v>
      </c>
      <c r="B45" s="8">
        <f t="shared" si="7"/>
        <v>46099</v>
      </c>
      <c r="C45" s="8">
        <f t="shared" si="8"/>
        <v>46113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18756395</v>
      </c>
      <c r="K45" s="33" t="s">
        <v>2020</v>
      </c>
      <c r="L45" s="33" t="s">
        <v>2025</v>
      </c>
      <c r="M45" s="34">
        <v>139900</v>
      </c>
      <c r="N45" s="37" t="str">
        <f t="shared" si="9"/>
        <v>BXGY</v>
      </c>
      <c r="O45" s="34" t="str">
        <f t="shared" si="10"/>
        <v>B1G2</v>
      </c>
      <c r="P45" s="33" t="str">
        <f t="shared" si="11"/>
        <v>BXGY</v>
      </c>
    </row>
    <row r="46" spans="1:16" x14ac:dyDescent="0.25">
      <c r="A46" s="33" t="str">
        <f t="shared" si="6"/>
        <v>2024 JUL-SEPT B1G2</v>
      </c>
      <c r="B46" s="8">
        <f t="shared" si="7"/>
        <v>46099</v>
      </c>
      <c r="C46" s="8">
        <f t="shared" si="8"/>
        <v>46113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18756402</v>
      </c>
      <c r="K46" s="33" t="s">
        <v>2020</v>
      </c>
      <c r="L46" s="33" t="s">
        <v>2026</v>
      </c>
      <c r="M46" s="34">
        <v>139900</v>
      </c>
      <c r="N46" s="37" t="str">
        <f t="shared" si="9"/>
        <v>BXGY</v>
      </c>
      <c r="O46" s="34" t="str">
        <f t="shared" si="10"/>
        <v>B1G2</v>
      </c>
      <c r="P46" s="33" t="str">
        <f t="shared" si="11"/>
        <v>BXGY</v>
      </c>
    </row>
    <row r="47" spans="1:16" x14ac:dyDescent="0.25">
      <c r="A47" s="33" t="str">
        <f t="shared" si="6"/>
        <v>2024 JUL-SEPT B1G2</v>
      </c>
      <c r="B47" s="8">
        <f t="shared" si="7"/>
        <v>46099</v>
      </c>
      <c r="C47" s="8">
        <f t="shared" si="8"/>
        <v>46113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18756411</v>
      </c>
      <c r="K47" s="33" t="s">
        <v>2020</v>
      </c>
      <c r="L47" s="33" t="s">
        <v>2027</v>
      </c>
      <c r="M47" s="34">
        <v>139900</v>
      </c>
      <c r="N47" s="37" t="str">
        <f t="shared" si="9"/>
        <v>BXGY</v>
      </c>
      <c r="O47" s="34" t="str">
        <f t="shared" si="10"/>
        <v>B1G2</v>
      </c>
      <c r="P47" s="33" t="str">
        <f t="shared" si="11"/>
        <v>BXGY</v>
      </c>
    </row>
    <row r="48" spans="1:16" x14ac:dyDescent="0.25">
      <c r="A48" s="33" t="str">
        <f t="shared" si="6"/>
        <v>2024 JUL-SEPT B1G2</v>
      </c>
      <c r="B48" s="8">
        <f t="shared" si="7"/>
        <v>46099</v>
      </c>
      <c r="C48" s="8">
        <f t="shared" si="8"/>
        <v>46113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18756420</v>
      </c>
      <c r="K48" s="33" t="s">
        <v>2020</v>
      </c>
      <c r="L48" s="33" t="s">
        <v>2028</v>
      </c>
      <c r="M48" s="34">
        <v>139900</v>
      </c>
      <c r="N48" s="37" t="str">
        <f t="shared" si="9"/>
        <v>BXGY</v>
      </c>
      <c r="O48" s="34" t="str">
        <f t="shared" si="10"/>
        <v>B1G2</v>
      </c>
      <c r="P48" s="33" t="str">
        <f t="shared" si="11"/>
        <v>BXGY</v>
      </c>
    </row>
    <row r="49" spans="1:16" x14ac:dyDescent="0.25">
      <c r="A49" s="33" t="str">
        <f t="shared" si="6"/>
        <v>2024 JUL-SEPT B1G2</v>
      </c>
      <c r="B49" s="8">
        <f t="shared" si="7"/>
        <v>46099</v>
      </c>
      <c r="C49" s="8">
        <f t="shared" si="8"/>
        <v>46113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18659848</v>
      </c>
      <c r="K49" s="33" t="s">
        <v>2011</v>
      </c>
      <c r="L49" s="33" t="s">
        <v>2012</v>
      </c>
      <c r="M49" s="34">
        <v>149900</v>
      </c>
      <c r="N49" s="37" t="str">
        <f t="shared" si="9"/>
        <v>BXGY</v>
      </c>
      <c r="O49" s="34" t="str">
        <f t="shared" si="10"/>
        <v>B1G2</v>
      </c>
      <c r="P49" s="33" t="str">
        <f t="shared" si="11"/>
        <v>BXGY</v>
      </c>
    </row>
    <row r="50" spans="1:16" x14ac:dyDescent="0.25">
      <c r="A50" s="33" t="str">
        <f t="shared" si="6"/>
        <v>2024 JUL-SEPT B1G2</v>
      </c>
      <c r="B50" s="8">
        <f t="shared" si="7"/>
        <v>46099</v>
      </c>
      <c r="C50" s="8">
        <f t="shared" si="8"/>
        <v>46113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18659857</v>
      </c>
      <c r="K50" s="33" t="s">
        <v>2011</v>
      </c>
      <c r="L50" s="33" t="s">
        <v>2013</v>
      </c>
      <c r="M50" s="34">
        <v>149900</v>
      </c>
      <c r="N50" s="37" t="str">
        <f t="shared" si="9"/>
        <v>BXGY</v>
      </c>
      <c r="O50" s="34" t="str">
        <f t="shared" si="10"/>
        <v>B1G2</v>
      </c>
      <c r="P50" s="33" t="str">
        <f t="shared" si="11"/>
        <v>BXGY</v>
      </c>
    </row>
    <row r="51" spans="1:16" x14ac:dyDescent="0.25">
      <c r="A51" s="33" t="str">
        <f t="shared" si="6"/>
        <v>2024 JUL-SEPT B1G2</v>
      </c>
      <c r="B51" s="8">
        <f t="shared" si="7"/>
        <v>46099</v>
      </c>
      <c r="C51" s="8">
        <f t="shared" si="8"/>
        <v>46113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18659866</v>
      </c>
      <c r="K51" s="33" t="s">
        <v>2011</v>
      </c>
      <c r="L51" s="33" t="s">
        <v>2014</v>
      </c>
      <c r="M51" s="34">
        <v>149900</v>
      </c>
      <c r="N51" s="37" t="str">
        <f t="shared" si="9"/>
        <v>BXGY</v>
      </c>
      <c r="O51" s="34" t="str">
        <f t="shared" si="10"/>
        <v>B1G2</v>
      </c>
      <c r="P51" s="33" t="str">
        <f t="shared" si="11"/>
        <v>BXGY</v>
      </c>
    </row>
    <row r="52" spans="1:16" x14ac:dyDescent="0.25">
      <c r="A52" s="33" t="str">
        <f t="shared" si="6"/>
        <v>2024 JUL-SEPT B1G2</v>
      </c>
      <c r="B52" s="8">
        <f t="shared" si="7"/>
        <v>46099</v>
      </c>
      <c r="C52" s="8">
        <f t="shared" si="8"/>
        <v>46113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18659875</v>
      </c>
      <c r="K52" s="33" t="s">
        <v>2011</v>
      </c>
      <c r="L52" s="33" t="s">
        <v>2015</v>
      </c>
      <c r="M52" s="34">
        <v>149900</v>
      </c>
      <c r="N52" s="37" t="str">
        <f t="shared" si="9"/>
        <v>BXGY</v>
      </c>
      <c r="O52" s="34" t="str">
        <f t="shared" si="10"/>
        <v>B1G2</v>
      </c>
      <c r="P52" s="33" t="str">
        <f t="shared" si="11"/>
        <v>BXGY</v>
      </c>
    </row>
    <row r="53" spans="1:16" x14ac:dyDescent="0.25">
      <c r="A53" s="33" t="str">
        <f t="shared" si="6"/>
        <v>2024 JUL-SEPT B1G2</v>
      </c>
      <c r="B53" s="8">
        <f t="shared" si="7"/>
        <v>46099</v>
      </c>
      <c r="C53" s="8">
        <f t="shared" si="8"/>
        <v>46113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18659884</v>
      </c>
      <c r="K53" s="33" t="s">
        <v>2011</v>
      </c>
      <c r="L53" s="33" t="s">
        <v>2016</v>
      </c>
      <c r="M53" s="34">
        <v>149900</v>
      </c>
      <c r="N53" s="37" t="str">
        <f t="shared" si="9"/>
        <v>BXGY</v>
      </c>
      <c r="O53" s="34" t="str">
        <f t="shared" si="10"/>
        <v>B1G2</v>
      </c>
      <c r="P53" s="33" t="str">
        <f t="shared" si="11"/>
        <v>BXGY</v>
      </c>
    </row>
    <row r="54" spans="1:16" x14ac:dyDescent="0.25">
      <c r="A54" s="33" t="str">
        <f t="shared" si="6"/>
        <v>2024 JUL-SEPT B1G2</v>
      </c>
      <c r="B54" s="8">
        <f t="shared" si="7"/>
        <v>46099</v>
      </c>
      <c r="C54" s="8">
        <f t="shared" si="8"/>
        <v>46113</v>
      </c>
      <c r="D54" s="33">
        <v>3272</v>
      </c>
      <c r="E54" s="33">
        <v>336</v>
      </c>
      <c r="F54" s="33">
        <v>4</v>
      </c>
      <c r="G54" s="33">
        <v>1</v>
      </c>
      <c r="H54" s="33">
        <v>81379</v>
      </c>
      <c r="I54" s="33" t="s">
        <v>104</v>
      </c>
      <c r="J54" s="33">
        <v>18659893</v>
      </c>
      <c r="K54" s="33" t="s">
        <v>2011</v>
      </c>
      <c r="L54" s="33" t="s">
        <v>2017</v>
      </c>
      <c r="M54" s="34">
        <v>149900</v>
      </c>
      <c r="N54" s="37" t="str">
        <f t="shared" si="9"/>
        <v>BXGY</v>
      </c>
      <c r="O54" s="34" t="str">
        <f t="shared" si="10"/>
        <v>B1G2</v>
      </c>
      <c r="P54" s="33" t="str">
        <f t="shared" si="11"/>
        <v>BXGY</v>
      </c>
    </row>
    <row r="55" spans="1:16" x14ac:dyDescent="0.25">
      <c r="A55" s="33" t="str">
        <f t="shared" si="6"/>
        <v>2024 JUL-SEPT B1G2</v>
      </c>
      <c r="B55" s="8">
        <f t="shared" si="7"/>
        <v>46099</v>
      </c>
      <c r="C55" s="8">
        <f t="shared" si="8"/>
        <v>46113</v>
      </c>
      <c r="D55" s="33">
        <v>3272</v>
      </c>
      <c r="E55" s="33">
        <v>336</v>
      </c>
      <c r="F55" s="33">
        <v>4</v>
      </c>
      <c r="G55" s="33">
        <v>1</v>
      </c>
      <c r="H55" s="33">
        <v>81379</v>
      </c>
      <c r="I55" s="33" t="s">
        <v>104</v>
      </c>
      <c r="J55" s="33">
        <v>18659900</v>
      </c>
      <c r="K55" s="33" t="s">
        <v>2011</v>
      </c>
      <c r="L55" s="33" t="s">
        <v>2018</v>
      </c>
      <c r="M55" s="34">
        <v>149900</v>
      </c>
      <c r="N55" s="37" t="str">
        <f t="shared" si="9"/>
        <v>BXGY</v>
      </c>
      <c r="O55" s="34" t="str">
        <f t="shared" si="10"/>
        <v>B1G2</v>
      </c>
      <c r="P55" s="33" t="str">
        <f t="shared" si="11"/>
        <v>BXGY</v>
      </c>
    </row>
    <row r="56" spans="1:16" x14ac:dyDescent="0.25">
      <c r="A56" s="33" t="str">
        <f t="shared" si="6"/>
        <v>2024 JUL-SEPT B1G2</v>
      </c>
      <c r="B56" s="8">
        <f t="shared" si="7"/>
        <v>46099</v>
      </c>
      <c r="C56" s="8">
        <f t="shared" si="8"/>
        <v>46113</v>
      </c>
      <c r="D56" s="33">
        <v>3272</v>
      </c>
      <c r="E56" s="33">
        <v>336</v>
      </c>
      <c r="F56" s="33">
        <v>4</v>
      </c>
      <c r="G56" s="33">
        <v>1</v>
      </c>
      <c r="H56" s="33">
        <v>81379</v>
      </c>
      <c r="I56" s="33" t="s">
        <v>104</v>
      </c>
      <c r="J56" s="33">
        <v>18659919</v>
      </c>
      <c r="K56" s="33" t="s">
        <v>2011</v>
      </c>
      <c r="L56" s="33" t="s">
        <v>2019</v>
      </c>
      <c r="M56" s="34">
        <v>149900</v>
      </c>
      <c r="N56" s="37" t="str">
        <f t="shared" si="9"/>
        <v>BXGY</v>
      </c>
      <c r="O56" s="34" t="str">
        <f t="shared" si="10"/>
        <v>B1G2</v>
      </c>
      <c r="P56" s="33" t="str">
        <f t="shared" si="11"/>
        <v>BXGY</v>
      </c>
    </row>
    <row r="57" spans="1:16" x14ac:dyDescent="0.25">
      <c r="A57" s="33" t="str">
        <f t="shared" si="6"/>
        <v>2024 JUL-SEPT B1G2</v>
      </c>
      <c r="B57" s="8">
        <f t="shared" si="7"/>
        <v>46099</v>
      </c>
      <c r="C57" s="8">
        <f t="shared" si="8"/>
        <v>46113</v>
      </c>
      <c r="D57" s="33">
        <v>3272</v>
      </c>
      <c r="E57" s="33">
        <v>336</v>
      </c>
      <c r="F57" s="33">
        <v>4</v>
      </c>
      <c r="G57" s="33">
        <v>1</v>
      </c>
      <c r="H57" s="33">
        <v>81379</v>
      </c>
      <c r="I57" s="33" t="s">
        <v>104</v>
      </c>
      <c r="J57" s="33">
        <v>20513428</v>
      </c>
      <c r="K57" s="33" t="s">
        <v>2105</v>
      </c>
      <c r="L57" s="33" t="s">
        <v>2108</v>
      </c>
      <c r="M57" s="34">
        <v>149900</v>
      </c>
      <c r="N57" s="37" t="str">
        <f t="shared" si="9"/>
        <v>BXGY</v>
      </c>
      <c r="O57" s="34" t="str">
        <f t="shared" si="10"/>
        <v>B1G2</v>
      </c>
      <c r="P57" s="33" t="str">
        <f t="shared" si="11"/>
        <v>BXGY</v>
      </c>
    </row>
    <row r="58" spans="1:16" x14ac:dyDescent="0.25">
      <c r="A58" s="33" t="str">
        <f t="shared" si="6"/>
        <v>2024 JUL-SEPT B1G2</v>
      </c>
      <c r="B58" s="8">
        <f t="shared" si="7"/>
        <v>46099</v>
      </c>
      <c r="C58" s="8">
        <f t="shared" si="8"/>
        <v>46113</v>
      </c>
      <c r="D58" s="33">
        <v>3272</v>
      </c>
      <c r="E58" s="33">
        <v>336</v>
      </c>
      <c r="F58" s="33">
        <v>4</v>
      </c>
      <c r="G58" s="33">
        <v>1</v>
      </c>
      <c r="H58" s="33">
        <v>81379</v>
      </c>
      <c r="I58" s="33" t="s">
        <v>104</v>
      </c>
      <c r="J58" s="33">
        <v>20513437</v>
      </c>
      <c r="K58" s="33" t="s">
        <v>2105</v>
      </c>
      <c r="L58" s="33" t="s">
        <v>2109</v>
      </c>
      <c r="M58" s="34">
        <v>149900</v>
      </c>
      <c r="N58" s="37" t="str">
        <f t="shared" si="9"/>
        <v>BXGY</v>
      </c>
      <c r="O58" s="34" t="str">
        <f t="shared" si="10"/>
        <v>B1G2</v>
      </c>
      <c r="P58" s="33" t="str">
        <f t="shared" si="11"/>
        <v>BXGY</v>
      </c>
    </row>
    <row r="59" spans="1:16" x14ac:dyDescent="0.25">
      <c r="A59" s="33" t="str">
        <f t="shared" si="6"/>
        <v>2024 JUL-SEPT B1G2</v>
      </c>
      <c r="B59" s="8">
        <f t="shared" si="7"/>
        <v>46099</v>
      </c>
      <c r="C59" s="8">
        <f t="shared" si="8"/>
        <v>46113</v>
      </c>
      <c r="D59" s="33">
        <v>3272</v>
      </c>
      <c r="E59" s="33">
        <v>336</v>
      </c>
      <c r="F59" s="33">
        <v>4</v>
      </c>
      <c r="G59" s="33">
        <v>1</v>
      </c>
      <c r="H59" s="33">
        <v>81379</v>
      </c>
      <c r="I59" s="33" t="s">
        <v>104</v>
      </c>
      <c r="J59" s="33">
        <v>20513482</v>
      </c>
      <c r="K59" s="33" t="s">
        <v>2105</v>
      </c>
      <c r="L59" s="33" t="s">
        <v>2110</v>
      </c>
      <c r="M59" s="34">
        <v>149900</v>
      </c>
      <c r="N59" s="37" t="str">
        <f t="shared" si="9"/>
        <v>BXGY</v>
      </c>
      <c r="O59" s="34" t="str">
        <f t="shared" si="10"/>
        <v>B1G2</v>
      </c>
      <c r="P59" s="33" t="str">
        <f t="shared" si="11"/>
        <v>BXGY</v>
      </c>
    </row>
    <row r="60" spans="1:16" x14ac:dyDescent="0.25">
      <c r="A60" s="33" t="str">
        <f t="shared" si="6"/>
        <v>2024 JUL-SEPT B1G2</v>
      </c>
      <c r="B60" s="8">
        <f t="shared" si="7"/>
        <v>46099</v>
      </c>
      <c r="C60" s="8">
        <f t="shared" si="8"/>
        <v>46113</v>
      </c>
      <c r="D60" s="33">
        <v>3272</v>
      </c>
      <c r="E60" s="33">
        <v>336</v>
      </c>
      <c r="F60" s="33">
        <v>4</v>
      </c>
      <c r="G60" s="33">
        <v>1</v>
      </c>
      <c r="H60" s="33">
        <v>81379</v>
      </c>
      <c r="I60" s="33" t="s">
        <v>104</v>
      </c>
      <c r="J60" s="33">
        <v>20513599</v>
      </c>
      <c r="K60" s="33" t="s">
        <v>2105</v>
      </c>
      <c r="L60" s="33" t="s">
        <v>2111</v>
      </c>
      <c r="M60" s="34">
        <v>149900</v>
      </c>
      <c r="N60" s="37" t="str">
        <f t="shared" si="9"/>
        <v>BXGY</v>
      </c>
      <c r="O60" s="34" t="str">
        <f t="shared" si="10"/>
        <v>B1G2</v>
      </c>
      <c r="P60" s="33" t="str">
        <f t="shared" si="11"/>
        <v>BXGY</v>
      </c>
    </row>
    <row r="61" spans="1:16" x14ac:dyDescent="0.25">
      <c r="A61" s="33" t="str">
        <f t="shared" si="6"/>
        <v>2024 JUL-SEPT B1G2</v>
      </c>
      <c r="B61" s="8">
        <f t="shared" si="7"/>
        <v>46099</v>
      </c>
      <c r="C61" s="8">
        <f t="shared" si="8"/>
        <v>46113</v>
      </c>
      <c r="D61" s="33">
        <v>3272</v>
      </c>
      <c r="E61" s="33">
        <v>336</v>
      </c>
      <c r="F61" s="33">
        <v>4</v>
      </c>
      <c r="G61" s="33">
        <v>1</v>
      </c>
      <c r="H61" s="33">
        <v>81379</v>
      </c>
      <c r="I61" s="33" t="s">
        <v>104</v>
      </c>
      <c r="J61" s="33">
        <v>20513606</v>
      </c>
      <c r="K61" s="33" t="s">
        <v>2105</v>
      </c>
      <c r="L61" s="33" t="s">
        <v>2112</v>
      </c>
      <c r="M61" s="34">
        <v>149900</v>
      </c>
      <c r="N61" s="37" t="str">
        <f t="shared" si="9"/>
        <v>BXGY</v>
      </c>
      <c r="O61" s="34" t="str">
        <f t="shared" si="10"/>
        <v>B1G2</v>
      </c>
      <c r="P61" s="33" t="str">
        <f t="shared" si="11"/>
        <v>BXGY</v>
      </c>
    </row>
    <row r="62" spans="1:16" x14ac:dyDescent="0.25">
      <c r="A62" s="33" t="str">
        <f t="shared" si="6"/>
        <v>2024 JUL-SEPT B1G2</v>
      </c>
      <c r="B62" s="8">
        <f t="shared" si="7"/>
        <v>46099</v>
      </c>
      <c r="C62" s="8">
        <f t="shared" si="8"/>
        <v>46113</v>
      </c>
      <c r="D62" s="33">
        <v>3272</v>
      </c>
      <c r="E62" s="33">
        <v>336</v>
      </c>
      <c r="F62" s="33">
        <v>4</v>
      </c>
      <c r="G62" s="33">
        <v>1</v>
      </c>
      <c r="H62" s="33">
        <v>81379</v>
      </c>
      <c r="I62" s="33" t="s">
        <v>104</v>
      </c>
      <c r="J62" s="33">
        <v>20513615</v>
      </c>
      <c r="K62" s="33" t="s">
        <v>2105</v>
      </c>
      <c r="L62" s="33" t="s">
        <v>2113</v>
      </c>
      <c r="M62" s="34">
        <v>149900</v>
      </c>
      <c r="N62" s="37" t="str">
        <f t="shared" si="9"/>
        <v>BXGY</v>
      </c>
      <c r="O62" s="34" t="str">
        <f t="shared" si="10"/>
        <v>B1G2</v>
      </c>
      <c r="P62" s="33" t="str">
        <f t="shared" si="11"/>
        <v>BXGY</v>
      </c>
    </row>
    <row r="63" spans="1:16" x14ac:dyDescent="0.25">
      <c r="A63" s="33" t="str">
        <f t="shared" si="6"/>
        <v>2024 JUL-SEPT B1G2</v>
      </c>
      <c r="B63" s="8">
        <f t="shared" si="7"/>
        <v>46099</v>
      </c>
      <c r="C63" s="8">
        <f t="shared" si="8"/>
        <v>46113</v>
      </c>
      <c r="D63" s="33">
        <v>3272</v>
      </c>
      <c r="E63" s="33">
        <v>336</v>
      </c>
      <c r="F63" s="33">
        <v>4</v>
      </c>
      <c r="G63" s="33">
        <v>1</v>
      </c>
      <c r="H63" s="33">
        <v>81379</v>
      </c>
      <c r="I63" s="33" t="s">
        <v>104</v>
      </c>
      <c r="J63" s="33">
        <v>20513624</v>
      </c>
      <c r="K63" s="33" t="s">
        <v>2105</v>
      </c>
      <c r="L63" s="33" t="s">
        <v>2114</v>
      </c>
      <c r="M63" s="34">
        <v>149900</v>
      </c>
      <c r="N63" s="37" t="str">
        <f t="shared" si="9"/>
        <v>BXGY</v>
      </c>
      <c r="O63" s="34" t="str">
        <f t="shared" si="10"/>
        <v>B1G2</v>
      </c>
      <c r="P63" s="33" t="str">
        <f t="shared" si="11"/>
        <v>BXGY</v>
      </c>
    </row>
    <row r="64" spans="1:16" x14ac:dyDescent="0.25">
      <c r="A64" s="33" t="str">
        <f t="shared" si="6"/>
        <v>2024 JUL-SEPT B1G2</v>
      </c>
      <c r="B64" s="8">
        <f t="shared" si="7"/>
        <v>46099</v>
      </c>
      <c r="C64" s="8">
        <f t="shared" si="8"/>
        <v>46113</v>
      </c>
      <c r="D64" s="33">
        <v>3272</v>
      </c>
      <c r="E64" s="33">
        <v>336</v>
      </c>
      <c r="F64" s="33">
        <v>4</v>
      </c>
      <c r="G64" s="33">
        <v>1</v>
      </c>
      <c r="H64" s="33">
        <v>81379</v>
      </c>
      <c r="I64" s="33" t="s">
        <v>104</v>
      </c>
      <c r="J64" s="33">
        <v>20513633</v>
      </c>
      <c r="K64" s="33" t="s">
        <v>2105</v>
      </c>
      <c r="L64" s="33" t="s">
        <v>2115</v>
      </c>
      <c r="M64" s="34">
        <v>149900</v>
      </c>
      <c r="N64" s="37" t="str">
        <f t="shared" si="9"/>
        <v>BXGY</v>
      </c>
      <c r="O64" s="34" t="str">
        <f t="shared" si="10"/>
        <v>B1G2</v>
      </c>
      <c r="P64" s="33" t="str">
        <f t="shared" si="11"/>
        <v>BXGY</v>
      </c>
    </row>
    <row r="65" spans="1:16" x14ac:dyDescent="0.25">
      <c r="A65" s="33" t="str">
        <f t="shared" si="6"/>
        <v>2024 JUL-SEPT B1G2</v>
      </c>
      <c r="B65" s="8">
        <f t="shared" si="7"/>
        <v>46099</v>
      </c>
      <c r="C65" s="8">
        <f t="shared" si="8"/>
        <v>46113</v>
      </c>
      <c r="D65" s="33">
        <v>3272</v>
      </c>
      <c r="E65" s="33">
        <v>336</v>
      </c>
      <c r="F65" s="33">
        <v>4</v>
      </c>
      <c r="G65" s="33">
        <v>1</v>
      </c>
      <c r="H65" s="33">
        <v>81379</v>
      </c>
      <c r="I65" s="33" t="s">
        <v>104</v>
      </c>
      <c r="J65" s="33">
        <v>20513642</v>
      </c>
      <c r="K65" s="33" t="s">
        <v>2106</v>
      </c>
      <c r="L65" s="33" t="s">
        <v>2116</v>
      </c>
      <c r="M65" s="34">
        <v>149900</v>
      </c>
      <c r="N65" s="37" t="str">
        <f t="shared" si="9"/>
        <v>BXGY</v>
      </c>
      <c r="O65" s="34" t="str">
        <f t="shared" si="10"/>
        <v>B1G2</v>
      </c>
      <c r="P65" s="33" t="str">
        <f t="shared" si="11"/>
        <v>BXGY</v>
      </c>
    </row>
    <row r="66" spans="1:16" x14ac:dyDescent="0.25">
      <c r="A66" s="33" t="str">
        <f t="shared" si="6"/>
        <v>2024 JUL-SEPT B1G2</v>
      </c>
      <c r="B66" s="8">
        <f t="shared" si="7"/>
        <v>46099</v>
      </c>
      <c r="C66" s="8">
        <f t="shared" si="8"/>
        <v>46113</v>
      </c>
      <c r="D66" s="33">
        <v>3272</v>
      </c>
      <c r="E66" s="33">
        <v>336</v>
      </c>
      <c r="F66" s="33">
        <v>4</v>
      </c>
      <c r="G66" s="33">
        <v>1</v>
      </c>
      <c r="H66" s="33">
        <v>81379</v>
      </c>
      <c r="I66" s="33" t="s">
        <v>104</v>
      </c>
      <c r="J66" s="33">
        <v>20513651</v>
      </c>
      <c r="K66" s="33" t="s">
        <v>2106</v>
      </c>
      <c r="L66" s="33" t="s">
        <v>2117</v>
      </c>
      <c r="M66" s="34">
        <v>149900</v>
      </c>
      <c r="N66" s="37" t="str">
        <f t="shared" si="9"/>
        <v>BXGY</v>
      </c>
      <c r="O66" s="34" t="str">
        <f t="shared" si="10"/>
        <v>B1G2</v>
      </c>
      <c r="P66" s="33" t="str">
        <f t="shared" si="11"/>
        <v>BXGY</v>
      </c>
    </row>
    <row r="67" spans="1:16" x14ac:dyDescent="0.25">
      <c r="A67" s="33" t="str">
        <f t="shared" ref="A67:A98" si="12">A66</f>
        <v>2024 JUL-SEPT B1G2</v>
      </c>
      <c r="B67" s="8">
        <f t="shared" ref="B67:B98" si="13">B66</f>
        <v>46099</v>
      </c>
      <c r="C67" s="8">
        <f t="shared" ref="C67:C98" si="14">C66</f>
        <v>46113</v>
      </c>
      <c r="D67" s="33">
        <v>3272</v>
      </c>
      <c r="E67" s="33">
        <v>336</v>
      </c>
      <c r="F67" s="33">
        <v>4</v>
      </c>
      <c r="G67" s="33">
        <v>1</v>
      </c>
      <c r="H67" s="33">
        <v>81379</v>
      </c>
      <c r="I67" s="33" t="s">
        <v>104</v>
      </c>
      <c r="J67" s="33">
        <v>20513713</v>
      </c>
      <c r="K67" s="33" t="s">
        <v>2106</v>
      </c>
      <c r="L67" s="33" t="s">
        <v>2118</v>
      </c>
      <c r="M67" s="34">
        <v>149900</v>
      </c>
      <c r="N67" s="37" t="str">
        <f t="shared" ref="N67:N98" si="15">N66</f>
        <v>BXGY</v>
      </c>
      <c r="O67" s="34" t="str">
        <f t="shared" ref="O67:O98" si="16">O66</f>
        <v>B1G2</v>
      </c>
      <c r="P67" s="33" t="str">
        <f t="shared" ref="P67:P98" si="17">P66</f>
        <v>BXGY</v>
      </c>
    </row>
    <row r="68" spans="1:16" x14ac:dyDescent="0.25">
      <c r="A68" s="33" t="str">
        <f t="shared" si="12"/>
        <v>2024 JUL-SEPT B1G2</v>
      </c>
      <c r="B68" s="8">
        <f t="shared" si="13"/>
        <v>46099</v>
      </c>
      <c r="C68" s="8">
        <f t="shared" si="14"/>
        <v>46113</v>
      </c>
      <c r="D68" s="33">
        <v>3272</v>
      </c>
      <c r="E68" s="33">
        <v>336</v>
      </c>
      <c r="F68" s="33">
        <v>4</v>
      </c>
      <c r="G68" s="33">
        <v>1</v>
      </c>
      <c r="H68" s="33">
        <v>81379</v>
      </c>
      <c r="I68" s="33" t="s">
        <v>104</v>
      </c>
      <c r="J68" s="33">
        <v>20513722</v>
      </c>
      <c r="K68" s="33" t="s">
        <v>2106</v>
      </c>
      <c r="L68" s="33" t="s">
        <v>2119</v>
      </c>
      <c r="M68" s="34">
        <v>149900</v>
      </c>
      <c r="N68" s="37" t="str">
        <f t="shared" si="15"/>
        <v>BXGY</v>
      </c>
      <c r="O68" s="34" t="str">
        <f t="shared" si="16"/>
        <v>B1G2</v>
      </c>
      <c r="P68" s="33" t="str">
        <f t="shared" si="17"/>
        <v>BXGY</v>
      </c>
    </row>
    <row r="69" spans="1:16" x14ac:dyDescent="0.25">
      <c r="A69" s="33" t="str">
        <f t="shared" si="12"/>
        <v>2024 JUL-SEPT B1G2</v>
      </c>
      <c r="B69" s="8">
        <f t="shared" si="13"/>
        <v>46099</v>
      </c>
      <c r="C69" s="8">
        <f t="shared" si="14"/>
        <v>46113</v>
      </c>
      <c r="D69" s="33">
        <v>3272</v>
      </c>
      <c r="E69" s="33">
        <v>336</v>
      </c>
      <c r="F69" s="33">
        <v>4</v>
      </c>
      <c r="G69" s="33">
        <v>1</v>
      </c>
      <c r="H69" s="33">
        <v>81379</v>
      </c>
      <c r="I69" s="33" t="s">
        <v>104</v>
      </c>
      <c r="J69" s="33">
        <v>20513731</v>
      </c>
      <c r="K69" s="33" t="s">
        <v>2106</v>
      </c>
      <c r="L69" s="33" t="s">
        <v>2120</v>
      </c>
      <c r="M69" s="34">
        <v>149900</v>
      </c>
      <c r="N69" s="37" t="str">
        <f t="shared" si="15"/>
        <v>BXGY</v>
      </c>
      <c r="O69" s="34" t="str">
        <f t="shared" si="16"/>
        <v>B1G2</v>
      </c>
      <c r="P69" s="33" t="str">
        <f t="shared" si="17"/>
        <v>BXGY</v>
      </c>
    </row>
    <row r="70" spans="1:16" x14ac:dyDescent="0.25">
      <c r="A70" s="33" t="str">
        <f t="shared" si="12"/>
        <v>2024 JUL-SEPT B1G2</v>
      </c>
      <c r="B70" s="8">
        <f t="shared" si="13"/>
        <v>46099</v>
      </c>
      <c r="C70" s="8">
        <f t="shared" si="14"/>
        <v>46113</v>
      </c>
      <c r="D70" s="33">
        <v>3272</v>
      </c>
      <c r="E70" s="33">
        <v>336</v>
      </c>
      <c r="F70" s="33">
        <v>4</v>
      </c>
      <c r="G70" s="33">
        <v>1</v>
      </c>
      <c r="H70" s="33">
        <v>81379</v>
      </c>
      <c r="I70" s="33" t="s">
        <v>104</v>
      </c>
      <c r="J70" s="33">
        <v>20513740</v>
      </c>
      <c r="K70" s="33" t="s">
        <v>2106</v>
      </c>
      <c r="L70" s="33" t="s">
        <v>2121</v>
      </c>
      <c r="M70" s="34">
        <v>149900</v>
      </c>
      <c r="N70" s="37" t="str">
        <f t="shared" si="15"/>
        <v>BXGY</v>
      </c>
      <c r="O70" s="34" t="str">
        <f t="shared" si="16"/>
        <v>B1G2</v>
      </c>
      <c r="P70" s="33" t="str">
        <f t="shared" si="17"/>
        <v>BXGY</v>
      </c>
    </row>
    <row r="71" spans="1:16" x14ac:dyDescent="0.25">
      <c r="A71" s="33" t="str">
        <f t="shared" si="12"/>
        <v>2024 JUL-SEPT B1G2</v>
      </c>
      <c r="B71" s="8">
        <f t="shared" si="13"/>
        <v>46099</v>
      </c>
      <c r="C71" s="8">
        <f t="shared" si="14"/>
        <v>46113</v>
      </c>
      <c r="D71" s="33">
        <v>3272</v>
      </c>
      <c r="E71" s="33">
        <v>336</v>
      </c>
      <c r="F71" s="33">
        <v>4</v>
      </c>
      <c r="G71" s="33">
        <v>1</v>
      </c>
      <c r="H71" s="33">
        <v>81379</v>
      </c>
      <c r="I71" s="33" t="s">
        <v>104</v>
      </c>
      <c r="J71" s="33">
        <v>20513759</v>
      </c>
      <c r="K71" s="33" t="s">
        <v>2106</v>
      </c>
      <c r="L71" s="33" t="s">
        <v>2122</v>
      </c>
      <c r="M71" s="34">
        <v>149900</v>
      </c>
      <c r="N71" s="37" t="str">
        <f t="shared" si="15"/>
        <v>BXGY</v>
      </c>
      <c r="O71" s="34" t="str">
        <f t="shared" si="16"/>
        <v>B1G2</v>
      </c>
      <c r="P71" s="33" t="str">
        <f t="shared" si="17"/>
        <v>BXGY</v>
      </c>
    </row>
    <row r="72" spans="1:16" x14ac:dyDescent="0.25">
      <c r="A72" s="33" t="str">
        <f t="shared" si="12"/>
        <v>2024 JUL-SEPT B1G2</v>
      </c>
      <c r="B72" s="8">
        <f t="shared" si="13"/>
        <v>46099</v>
      </c>
      <c r="C72" s="8">
        <f t="shared" si="14"/>
        <v>46113</v>
      </c>
      <c r="D72" s="33">
        <v>3272</v>
      </c>
      <c r="E72" s="33">
        <v>336</v>
      </c>
      <c r="F72" s="33">
        <v>4</v>
      </c>
      <c r="G72" s="33">
        <v>1</v>
      </c>
      <c r="H72" s="33">
        <v>81379</v>
      </c>
      <c r="I72" s="33" t="s">
        <v>104</v>
      </c>
      <c r="J72" s="33">
        <v>20513768</v>
      </c>
      <c r="K72" s="33" t="s">
        <v>2106</v>
      </c>
      <c r="L72" s="33" t="s">
        <v>2123</v>
      </c>
      <c r="M72" s="34">
        <v>149900</v>
      </c>
      <c r="N72" s="37" t="str">
        <f t="shared" si="15"/>
        <v>BXGY</v>
      </c>
      <c r="O72" s="34" t="str">
        <f t="shared" si="16"/>
        <v>B1G2</v>
      </c>
      <c r="P72" s="33" t="str">
        <f t="shared" si="17"/>
        <v>BXGY</v>
      </c>
    </row>
    <row r="73" spans="1:16" x14ac:dyDescent="0.25">
      <c r="A73" s="33" t="str">
        <f t="shared" si="12"/>
        <v>2024 JUL-SEPT B1G2</v>
      </c>
      <c r="B73" s="8">
        <f t="shared" si="13"/>
        <v>46099</v>
      </c>
      <c r="C73" s="8">
        <f t="shared" si="14"/>
        <v>46113</v>
      </c>
      <c r="D73" s="33">
        <v>3272</v>
      </c>
      <c r="E73" s="33">
        <v>336</v>
      </c>
      <c r="F73" s="33">
        <v>4</v>
      </c>
      <c r="G73" s="33">
        <v>1</v>
      </c>
      <c r="H73" s="33">
        <v>81379</v>
      </c>
      <c r="I73" s="33" t="s">
        <v>104</v>
      </c>
      <c r="J73" s="33">
        <v>20513777</v>
      </c>
      <c r="K73" s="33" t="s">
        <v>2107</v>
      </c>
      <c r="L73" s="33" t="s">
        <v>2124</v>
      </c>
      <c r="M73" s="34">
        <v>139900</v>
      </c>
      <c r="N73" s="37" t="str">
        <f t="shared" si="15"/>
        <v>BXGY</v>
      </c>
      <c r="O73" s="34" t="str">
        <f t="shared" si="16"/>
        <v>B1G2</v>
      </c>
      <c r="P73" s="33" t="str">
        <f t="shared" si="17"/>
        <v>BXGY</v>
      </c>
    </row>
    <row r="74" spans="1:16" x14ac:dyDescent="0.25">
      <c r="A74" s="33" t="str">
        <f t="shared" si="12"/>
        <v>2024 JUL-SEPT B1G2</v>
      </c>
      <c r="B74" s="8">
        <f t="shared" si="13"/>
        <v>46099</v>
      </c>
      <c r="C74" s="8">
        <f t="shared" si="14"/>
        <v>46113</v>
      </c>
      <c r="D74" s="33">
        <v>3272</v>
      </c>
      <c r="E74" s="33">
        <v>336</v>
      </c>
      <c r="F74" s="33">
        <v>4</v>
      </c>
      <c r="G74" s="33">
        <v>1</v>
      </c>
      <c r="H74" s="33">
        <v>81379</v>
      </c>
      <c r="I74" s="33" t="s">
        <v>104</v>
      </c>
      <c r="J74" s="33">
        <v>20513839</v>
      </c>
      <c r="K74" s="33" t="s">
        <v>2107</v>
      </c>
      <c r="L74" s="33" t="s">
        <v>2125</v>
      </c>
      <c r="M74" s="34">
        <v>139900</v>
      </c>
      <c r="N74" s="37" t="str">
        <f t="shared" si="15"/>
        <v>BXGY</v>
      </c>
      <c r="O74" s="34" t="str">
        <f t="shared" si="16"/>
        <v>B1G2</v>
      </c>
      <c r="P74" s="33" t="str">
        <f t="shared" si="17"/>
        <v>BXGY</v>
      </c>
    </row>
    <row r="75" spans="1:16" x14ac:dyDescent="0.25">
      <c r="A75" s="33" t="str">
        <f t="shared" si="12"/>
        <v>2024 JUL-SEPT B1G2</v>
      </c>
      <c r="B75" s="8">
        <f t="shared" si="13"/>
        <v>46099</v>
      </c>
      <c r="C75" s="8">
        <f t="shared" si="14"/>
        <v>46113</v>
      </c>
      <c r="D75" s="33">
        <v>3272</v>
      </c>
      <c r="E75" s="33">
        <v>336</v>
      </c>
      <c r="F75" s="33">
        <v>4</v>
      </c>
      <c r="G75" s="33">
        <v>1</v>
      </c>
      <c r="H75" s="33">
        <v>81379</v>
      </c>
      <c r="I75" s="33" t="s">
        <v>104</v>
      </c>
      <c r="J75" s="33">
        <v>20513919</v>
      </c>
      <c r="K75" s="33" t="s">
        <v>2107</v>
      </c>
      <c r="L75" s="33" t="s">
        <v>2126</v>
      </c>
      <c r="M75" s="34">
        <v>139900</v>
      </c>
      <c r="N75" s="37" t="str">
        <f t="shared" si="15"/>
        <v>BXGY</v>
      </c>
      <c r="O75" s="34" t="str">
        <f t="shared" si="16"/>
        <v>B1G2</v>
      </c>
      <c r="P75" s="33" t="str">
        <f t="shared" si="17"/>
        <v>BXGY</v>
      </c>
    </row>
    <row r="76" spans="1:16" x14ac:dyDescent="0.25">
      <c r="A76" s="33" t="str">
        <f t="shared" si="12"/>
        <v>2024 JUL-SEPT B1G2</v>
      </c>
      <c r="B76" s="8">
        <f t="shared" si="13"/>
        <v>46099</v>
      </c>
      <c r="C76" s="8">
        <f t="shared" si="14"/>
        <v>46113</v>
      </c>
      <c r="D76" s="33">
        <v>3272</v>
      </c>
      <c r="E76" s="33">
        <v>336</v>
      </c>
      <c r="F76" s="33">
        <v>4</v>
      </c>
      <c r="G76" s="33">
        <v>1</v>
      </c>
      <c r="H76" s="33">
        <v>81379</v>
      </c>
      <c r="I76" s="33" t="s">
        <v>104</v>
      </c>
      <c r="J76" s="33">
        <v>20513991</v>
      </c>
      <c r="K76" s="33" t="s">
        <v>2107</v>
      </c>
      <c r="L76" s="33" t="s">
        <v>2127</v>
      </c>
      <c r="M76" s="34">
        <v>139900</v>
      </c>
      <c r="N76" s="37" t="str">
        <f t="shared" si="15"/>
        <v>BXGY</v>
      </c>
      <c r="O76" s="34" t="str">
        <f t="shared" si="16"/>
        <v>B1G2</v>
      </c>
      <c r="P76" s="33" t="str">
        <f t="shared" si="17"/>
        <v>BXGY</v>
      </c>
    </row>
    <row r="77" spans="1:16" x14ac:dyDescent="0.25">
      <c r="A77" s="33" t="str">
        <f t="shared" si="12"/>
        <v>2024 JUL-SEPT B1G2</v>
      </c>
      <c r="B77" s="8">
        <f t="shared" si="13"/>
        <v>46099</v>
      </c>
      <c r="C77" s="8">
        <f t="shared" si="14"/>
        <v>46113</v>
      </c>
      <c r="D77" s="33">
        <v>3272</v>
      </c>
      <c r="E77" s="33">
        <v>336</v>
      </c>
      <c r="F77" s="33">
        <v>4</v>
      </c>
      <c r="G77" s="33">
        <v>1</v>
      </c>
      <c r="H77" s="33">
        <v>81379</v>
      </c>
      <c r="I77" s="33" t="s">
        <v>104</v>
      </c>
      <c r="J77" s="33">
        <v>20514016</v>
      </c>
      <c r="K77" s="33" t="s">
        <v>2107</v>
      </c>
      <c r="L77" s="33" t="s">
        <v>2128</v>
      </c>
      <c r="M77" s="34">
        <v>139900</v>
      </c>
      <c r="N77" s="37" t="str">
        <f t="shared" si="15"/>
        <v>BXGY</v>
      </c>
      <c r="O77" s="34" t="str">
        <f t="shared" si="16"/>
        <v>B1G2</v>
      </c>
      <c r="P77" s="33" t="str">
        <f t="shared" si="17"/>
        <v>BXGY</v>
      </c>
    </row>
    <row r="78" spans="1:16" x14ac:dyDescent="0.25">
      <c r="A78" s="33" t="str">
        <f t="shared" si="12"/>
        <v>2024 JUL-SEPT B1G2</v>
      </c>
      <c r="B78" s="8">
        <f t="shared" si="13"/>
        <v>46099</v>
      </c>
      <c r="C78" s="8">
        <f t="shared" si="14"/>
        <v>46113</v>
      </c>
      <c r="D78" s="33">
        <v>3272</v>
      </c>
      <c r="E78" s="33">
        <v>336</v>
      </c>
      <c r="F78" s="33">
        <v>4</v>
      </c>
      <c r="G78" s="33">
        <v>1</v>
      </c>
      <c r="H78" s="33">
        <v>81379</v>
      </c>
      <c r="I78" s="33" t="s">
        <v>104</v>
      </c>
      <c r="J78" s="33">
        <v>20514089</v>
      </c>
      <c r="K78" s="33" t="s">
        <v>2107</v>
      </c>
      <c r="L78" s="33" t="s">
        <v>2129</v>
      </c>
      <c r="M78" s="34">
        <v>139900</v>
      </c>
      <c r="N78" s="37" t="str">
        <f t="shared" si="15"/>
        <v>BXGY</v>
      </c>
      <c r="O78" s="34" t="str">
        <f t="shared" si="16"/>
        <v>B1G2</v>
      </c>
      <c r="P78" s="33" t="str">
        <f t="shared" si="17"/>
        <v>BXGY</v>
      </c>
    </row>
    <row r="79" spans="1:16" x14ac:dyDescent="0.25">
      <c r="A79" s="33" t="str">
        <f t="shared" si="12"/>
        <v>2024 JUL-SEPT B1G2</v>
      </c>
      <c r="B79" s="8">
        <f t="shared" si="13"/>
        <v>46099</v>
      </c>
      <c r="C79" s="8">
        <f t="shared" si="14"/>
        <v>46113</v>
      </c>
      <c r="D79" s="33">
        <v>3272</v>
      </c>
      <c r="E79" s="33">
        <v>336</v>
      </c>
      <c r="F79" s="33">
        <v>4</v>
      </c>
      <c r="G79" s="33">
        <v>1</v>
      </c>
      <c r="H79" s="33">
        <v>81379</v>
      </c>
      <c r="I79" s="33" t="s">
        <v>104</v>
      </c>
      <c r="J79" s="33">
        <v>20514098</v>
      </c>
      <c r="K79" s="33" t="s">
        <v>2107</v>
      </c>
      <c r="L79" s="33" t="s">
        <v>2130</v>
      </c>
      <c r="M79" s="34">
        <v>139900</v>
      </c>
      <c r="N79" s="37" t="str">
        <f t="shared" si="15"/>
        <v>BXGY</v>
      </c>
      <c r="O79" s="34" t="str">
        <f t="shared" si="16"/>
        <v>B1G2</v>
      </c>
      <c r="P79" s="33" t="str">
        <f t="shared" si="17"/>
        <v>BXGY</v>
      </c>
    </row>
    <row r="80" spans="1:16" x14ac:dyDescent="0.25">
      <c r="A80" s="33" t="str">
        <f t="shared" si="12"/>
        <v>2024 JUL-SEPT B1G2</v>
      </c>
      <c r="B80" s="8">
        <f t="shared" si="13"/>
        <v>46099</v>
      </c>
      <c r="C80" s="8">
        <f t="shared" si="14"/>
        <v>46113</v>
      </c>
      <c r="D80" s="33">
        <v>3272</v>
      </c>
      <c r="E80" s="33">
        <v>336</v>
      </c>
      <c r="F80" s="33">
        <v>4</v>
      </c>
      <c r="G80" s="33">
        <v>1</v>
      </c>
      <c r="H80" s="33">
        <v>81379</v>
      </c>
      <c r="I80" s="33" t="s">
        <v>104</v>
      </c>
      <c r="J80" s="33">
        <v>20514105</v>
      </c>
      <c r="K80" s="33" t="s">
        <v>2107</v>
      </c>
      <c r="L80" s="33" t="s">
        <v>2131</v>
      </c>
      <c r="M80" s="34">
        <v>139900</v>
      </c>
      <c r="N80" s="37" t="str">
        <f t="shared" si="15"/>
        <v>BXGY</v>
      </c>
      <c r="O80" s="34" t="str">
        <f t="shared" si="16"/>
        <v>B1G2</v>
      </c>
      <c r="P80" s="33" t="str">
        <f t="shared" si="17"/>
        <v>BXGY</v>
      </c>
    </row>
    <row r="81" spans="1:16" x14ac:dyDescent="0.25">
      <c r="A81" s="33" t="str">
        <f t="shared" si="12"/>
        <v>2024 JUL-SEPT B1G2</v>
      </c>
      <c r="B81" s="8">
        <f t="shared" si="13"/>
        <v>46099</v>
      </c>
      <c r="C81" s="8">
        <f t="shared" si="14"/>
        <v>46113</v>
      </c>
      <c r="D81" s="33">
        <v>3272</v>
      </c>
      <c r="E81" s="33">
        <v>336</v>
      </c>
      <c r="F81" s="33">
        <v>4</v>
      </c>
      <c r="G81" s="33">
        <v>1</v>
      </c>
      <c r="H81" s="33">
        <v>81379</v>
      </c>
      <c r="I81" s="33" t="s">
        <v>104</v>
      </c>
      <c r="J81" s="33">
        <v>16623924</v>
      </c>
      <c r="K81" s="33" t="s">
        <v>1950</v>
      </c>
      <c r="L81" s="33" t="s">
        <v>2132</v>
      </c>
      <c r="M81" s="34">
        <v>149900</v>
      </c>
      <c r="N81" s="37" t="str">
        <f t="shared" si="15"/>
        <v>BXGY</v>
      </c>
      <c r="O81" s="34" t="str">
        <f t="shared" si="16"/>
        <v>B1G2</v>
      </c>
      <c r="P81" s="33" t="str">
        <f t="shared" si="17"/>
        <v>BXGY</v>
      </c>
    </row>
    <row r="82" spans="1:16" x14ac:dyDescent="0.25">
      <c r="A82" s="33" t="str">
        <f t="shared" si="12"/>
        <v>2024 JUL-SEPT B1G2</v>
      </c>
      <c r="B82" s="8">
        <f t="shared" si="13"/>
        <v>46099</v>
      </c>
      <c r="C82" s="8">
        <f t="shared" si="14"/>
        <v>46113</v>
      </c>
      <c r="D82" s="33">
        <v>3272</v>
      </c>
      <c r="E82" s="33">
        <v>336</v>
      </c>
      <c r="F82" s="33">
        <v>4</v>
      </c>
      <c r="G82" s="33">
        <v>1</v>
      </c>
      <c r="H82" s="33">
        <v>81379</v>
      </c>
      <c r="I82" s="33" t="s">
        <v>104</v>
      </c>
      <c r="J82" s="33">
        <v>16623933</v>
      </c>
      <c r="K82" s="33" t="s">
        <v>1950</v>
      </c>
      <c r="L82" s="33" t="s">
        <v>2133</v>
      </c>
      <c r="M82" s="34">
        <v>149900</v>
      </c>
      <c r="N82" s="37" t="str">
        <f t="shared" si="15"/>
        <v>BXGY</v>
      </c>
      <c r="O82" s="34" t="str">
        <f t="shared" si="16"/>
        <v>B1G2</v>
      </c>
      <c r="P82" s="33" t="str">
        <f t="shared" si="17"/>
        <v>BXGY</v>
      </c>
    </row>
    <row r="83" spans="1:16" x14ac:dyDescent="0.25">
      <c r="A83" s="33" t="str">
        <f t="shared" si="12"/>
        <v>2024 JUL-SEPT B1G2</v>
      </c>
      <c r="B83" s="8">
        <f t="shared" si="13"/>
        <v>46099</v>
      </c>
      <c r="C83" s="8">
        <f t="shared" si="14"/>
        <v>46113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16623942</v>
      </c>
      <c r="K83" s="33" t="s">
        <v>1950</v>
      </c>
      <c r="L83" s="33" t="s">
        <v>1951</v>
      </c>
      <c r="M83" s="34">
        <v>149900</v>
      </c>
      <c r="N83" s="37" t="str">
        <f t="shared" si="15"/>
        <v>BXGY</v>
      </c>
      <c r="O83" s="34" t="str">
        <f t="shared" si="16"/>
        <v>B1G2</v>
      </c>
      <c r="P83" s="33" t="str">
        <f t="shared" si="17"/>
        <v>BXGY</v>
      </c>
    </row>
    <row r="84" spans="1:16" x14ac:dyDescent="0.25">
      <c r="A84" s="33" t="str">
        <f t="shared" si="12"/>
        <v>2024 JUL-SEPT B1G2</v>
      </c>
      <c r="B84" s="8">
        <f t="shared" si="13"/>
        <v>46099</v>
      </c>
      <c r="C84" s="8">
        <f t="shared" si="14"/>
        <v>46113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16623951</v>
      </c>
      <c r="K84" s="33" t="s">
        <v>1950</v>
      </c>
      <c r="L84" s="33" t="s">
        <v>1952</v>
      </c>
      <c r="M84" s="34">
        <v>149900</v>
      </c>
      <c r="N84" s="37" t="str">
        <f t="shared" si="15"/>
        <v>BXGY</v>
      </c>
      <c r="O84" s="34" t="str">
        <f t="shared" si="16"/>
        <v>B1G2</v>
      </c>
      <c r="P84" s="33" t="str">
        <f t="shared" si="17"/>
        <v>BXGY</v>
      </c>
    </row>
    <row r="85" spans="1:16" x14ac:dyDescent="0.25">
      <c r="A85" s="33" t="str">
        <f t="shared" si="12"/>
        <v>2024 JUL-SEPT B1G2</v>
      </c>
      <c r="B85" s="8">
        <f t="shared" si="13"/>
        <v>46099</v>
      </c>
      <c r="C85" s="8">
        <f t="shared" si="14"/>
        <v>46113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16623960</v>
      </c>
      <c r="K85" s="33" t="s">
        <v>1950</v>
      </c>
      <c r="L85" s="33" t="s">
        <v>1953</v>
      </c>
      <c r="M85" s="34">
        <v>149900</v>
      </c>
      <c r="N85" s="37" t="str">
        <f t="shared" si="15"/>
        <v>BXGY</v>
      </c>
      <c r="O85" s="34" t="str">
        <f t="shared" si="16"/>
        <v>B1G2</v>
      </c>
      <c r="P85" s="33" t="str">
        <f t="shared" si="17"/>
        <v>BXGY</v>
      </c>
    </row>
    <row r="86" spans="1:16" x14ac:dyDescent="0.25">
      <c r="A86" s="33" t="str">
        <f t="shared" si="12"/>
        <v>2024 JUL-SEPT B1G2</v>
      </c>
      <c r="B86" s="8">
        <f t="shared" si="13"/>
        <v>46099</v>
      </c>
      <c r="C86" s="8">
        <f t="shared" si="14"/>
        <v>46113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16623979</v>
      </c>
      <c r="K86" s="33" t="s">
        <v>1950</v>
      </c>
      <c r="L86" s="33" t="s">
        <v>1954</v>
      </c>
      <c r="M86" s="34">
        <v>149900</v>
      </c>
      <c r="N86" s="37" t="str">
        <f t="shared" si="15"/>
        <v>BXGY</v>
      </c>
      <c r="O86" s="34" t="str">
        <f t="shared" si="16"/>
        <v>B1G2</v>
      </c>
      <c r="P86" s="33" t="str">
        <f t="shared" si="17"/>
        <v>BXGY</v>
      </c>
    </row>
    <row r="87" spans="1:16" x14ac:dyDescent="0.25">
      <c r="A87" s="33" t="str">
        <f t="shared" si="12"/>
        <v>2024 JUL-SEPT B1G2</v>
      </c>
      <c r="B87" s="8">
        <f t="shared" si="13"/>
        <v>46099</v>
      </c>
      <c r="C87" s="8">
        <f t="shared" si="14"/>
        <v>46113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16623988</v>
      </c>
      <c r="K87" s="33" t="s">
        <v>1950</v>
      </c>
      <c r="L87" s="33" t="s">
        <v>1955</v>
      </c>
      <c r="M87" s="34">
        <v>149900</v>
      </c>
      <c r="N87" s="37" t="str">
        <f t="shared" si="15"/>
        <v>BXGY</v>
      </c>
      <c r="O87" s="34" t="str">
        <f t="shared" si="16"/>
        <v>B1G2</v>
      </c>
      <c r="P87" s="33" t="str">
        <f t="shared" si="17"/>
        <v>BXGY</v>
      </c>
    </row>
    <row r="88" spans="1:16" x14ac:dyDescent="0.25">
      <c r="A88" s="33" t="str">
        <f t="shared" si="12"/>
        <v>2024 JUL-SEPT B1G2</v>
      </c>
      <c r="B88" s="8">
        <f t="shared" si="13"/>
        <v>46099</v>
      </c>
      <c r="C88" s="8">
        <f t="shared" si="14"/>
        <v>46113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16623997</v>
      </c>
      <c r="K88" s="33" t="s">
        <v>1950</v>
      </c>
      <c r="L88" s="33" t="s">
        <v>1956</v>
      </c>
      <c r="M88" s="34">
        <v>149900</v>
      </c>
      <c r="N88" s="37" t="str">
        <f t="shared" si="15"/>
        <v>BXGY</v>
      </c>
      <c r="O88" s="34" t="str">
        <f t="shared" si="16"/>
        <v>B1G2</v>
      </c>
      <c r="P88" s="33" t="str">
        <f t="shared" si="17"/>
        <v>BXGY</v>
      </c>
    </row>
    <row r="89" spans="1:16" x14ac:dyDescent="0.25">
      <c r="A89" s="33" t="str">
        <f t="shared" si="12"/>
        <v>2024 JUL-SEPT B1G2</v>
      </c>
      <c r="B89" s="8">
        <f t="shared" si="13"/>
        <v>46099</v>
      </c>
      <c r="C89" s="8">
        <f t="shared" si="14"/>
        <v>46113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16624003</v>
      </c>
      <c r="K89" s="33" t="s">
        <v>1957</v>
      </c>
      <c r="L89" s="33" t="s">
        <v>1958</v>
      </c>
      <c r="M89" s="34">
        <v>179900</v>
      </c>
      <c r="N89" s="37" t="str">
        <f t="shared" si="15"/>
        <v>BXGY</v>
      </c>
      <c r="O89" s="34" t="str">
        <f t="shared" si="16"/>
        <v>B1G2</v>
      </c>
      <c r="P89" s="33" t="str">
        <f t="shared" si="17"/>
        <v>BXGY</v>
      </c>
    </row>
    <row r="90" spans="1:16" x14ac:dyDescent="0.25">
      <c r="A90" s="33" t="str">
        <f t="shared" si="12"/>
        <v>2024 JUL-SEPT B1G2</v>
      </c>
      <c r="B90" s="8">
        <f t="shared" si="13"/>
        <v>46099</v>
      </c>
      <c r="C90" s="8">
        <f t="shared" si="14"/>
        <v>46113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16624012</v>
      </c>
      <c r="K90" s="33" t="s">
        <v>1957</v>
      </c>
      <c r="L90" s="33" t="s">
        <v>1959</v>
      </c>
      <c r="M90" s="34">
        <v>179900</v>
      </c>
      <c r="N90" s="37" t="str">
        <f t="shared" si="15"/>
        <v>BXGY</v>
      </c>
      <c r="O90" s="34" t="str">
        <f t="shared" si="16"/>
        <v>B1G2</v>
      </c>
      <c r="P90" s="33" t="str">
        <f t="shared" si="17"/>
        <v>BXGY</v>
      </c>
    </row>
    <row r="91" spans="1:16" x14ac:dyDescent="0.25">
      <c r="A91" s="33" t="str">
        <f t="shared" si="12"/>
        <v>2024 JUL-SEPT B1G2</v>
      </c>
      <c r="B91" s="8">
        <f t="shared" si="13"/>
        <v>46099</v>
      </c>
      <c r="C91" s="8">
        <f t="shared" si="14"/>
        <v>46113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16624021</v>
      </c>
      <c r="K91" s="33" t="s">
        <v>1957</v>
      </c>
      <c r="L91" s="33" t="s">
        <v>1960</v>
      </c>
      <c r="M91" s="34">
        <v>179900</v>
      </c>
      <c r="N91" s="37" t="str">
        <f t="shared" si="15"/>
        <v>BXGY</v>
      </c>
      <c r="O91" s="34" t="str">
        <f t="shared" si="16"/>
        <v>B1G2</v>
      </c>
      <c r="P91" s="33" t="str">
        <f t="shared" si="17"/>
        <v>BXGY</v>
      </c>
    </row>
    <row r="92" spans="1:16" x14ac:dyDescent="0.25">
      <c r="A92" s="33" t="str">
        <f t="shared" si="12"/>
        <v>2024 JUL-SEPT B1G2</v>
      </c>
      <c r="B92" s="8">
        <f t="shared" si="13"/>
        <v>46099</v>
      </c>
      <c r="C92" s="8">
        <f t="shared" si="14"/>
        <v>46113</v>
      </c>
      <c r="D92" s="33">
        <v>3272</v>
      </c>
      <c r="E92" s="33">
        <v>336</v>
      </c>
      <c r="F92" s="33">
        <v>4</v>
      </c>
      <c r="G92" s="33">
        <v>1</v>
      </c>
      <c r="H92" s="33">
        <v>81379</v>
      </c>
      <c r="I92" s="33" t="s">
        <v>104</v>
      </c>
      <c r="J92" s="33">
        <v>16624030</v>
      </c>
      <c r="K92" s="33" t="s">
        <v>1957</v>
      </c>
      <c r="L92" s="33" t="s">
        <v>1961</v>
      </c>
      <c r="M92" s="34">
        <v>179900</v>
      </c>
      <c r="N92" s="37" t="str">
        <f t="shared" si="15"/>
        <v>BXGY</v>
      </c>
      <c r="O92" s="34" t="str">
        <f t="shared" si="16"/>
        <v>B1G2</v>
      </c>
      <c r="P92" s="33" t="str">
        <f t="shared" si="17"/>
        <v>BXGY</v>
      </c>
    </row>
    <row r="93" spans="1:16" x14ac:dyDescent="0.25">
      <c r="A93" s="33" t="str">
        <f t="shared" si="12"/>
        <v>2024 JUL-SEPT B1G2</v>
      </c>
      <c r="B93" s="8">
        <f t="shared" si="13"/>
        <v>46099</v>
      </c>
      <c r="C93" s="8">
        <f t="shared" si="14"/>
        <v>46113</v>
      </c>
      <c r="D93" s="33">
        <v>3272</v>
      </c>
      <c r="E93" s="33">
        <v>336</v>
      </c>
      <c r="F93" s="33">
        <v>4</v>
      </c>
      <c r="G93" s="33">
        <v>1</v>
      </c>
      <c r="H93" s="33">
        <v>81379</v>
      </c>
      <c r="I93" s="33" t="s">
        <v>104</v>
      </c>
      <c r="J93" s="33">
        <v>16624049</v>
      </c>
      <c r="K93" s="33" t="s">
        <v>1957</v>
      </c>
      <c r="L93" s="33" t="s">
        <v>1962</v>
      </c>
      <c r="M93" s="34">
        <v>179900</v>
      </c>
      <c r="N93" s="37" t="str">
        <f t="shared" si="15"/>
        <v>BXGY</v>
      </c>
      <c r="O93" s="34" t="str">
        <f t="shared" si="16"/>
        <v>B1G2</v>
      </c>
      <c r="P93" s="33" t="str">
        <f t="shared" si="17"/>
        <v>BXGY</v>
      </c>
    </row>
    <row r="94" spans="1:16" x14ac:dyDescent="0.25">
      <c r="A94" s="33" t="str">
        <f t="shared" si="12"/>
        <v>2024 JUL-SEPT B1G2</v>
      </c>
      <c r="B94" s="8">
        <f t="shared" si="13"/>
        <v>46099</v>
      </c>
      <c r="C94" s="8">
        <f t="shared" si="14"/>
        <v>46113</v>
      </c>
      <c r="D94" s="33">
        <v>3272</v>
      </c>
      <c r="E94" s="33">
        <v>336</v>
      </c>
      <c r="F94" s="33">
        <v>4</v>
      </c>
      <c r="G94" s="33">
        <v>1</v>
      </c>
      <c r="H94" s="33">
        <v>81379</v>
      </c>
      <c r="I94" s="33" t="s">
        <v>104</v>
      </c>
      <c r="J94" s="33">
        <v>16624058</v>
      </c>
      <c r="K94" s="33" t="s">
        <v>1957</v>
      </c>
      <c r="L94" s="33" t="s">
        <v>1963</v>
      </c>
      <c r="M94" s="34">
        <v>179900</v>
      </c>
      <c r="N94" s="37" t="str">
        <f t="shared" si="15"/>
        <v>BXGY</v>
      </c>
      <c r="O94" s="34" t="str">
        <f t="shared" si="16"/>
        <v>B1G2</v>
      </c>
      <c r="P94" s="33" t="str">
        <f t="shared" si="17"/>
        <v>BXGY</v>
      </c>
    </row>
    <row r="95" spans="1:16" x14ac:dyDescent="0.25">
      <c r="A95" s="33" t="str">
        <f t="shared" si="12"/>
        <v>2024 JUL-SEPT B1G2</v>
      </c>
      <c r="B95" s="8">
        <f t="shared" si="13"/>
        <v>46099</v>
      </c>
      <c r="C95" s="8">
        <f t="shared" si="14"/>
        <v>46113</v>
      </c>
      <c r="D95" s="33">
        <v>3272</v>
      </c>
      <c r="E95" s="33">
        <v>336</v>
      </c>
      <c r="F95" s="33">
        <v>4</v>
      </c>
      <c r="G95" s="33">
        <v>1</v>
      </c>
      <c r="H95" s="33">
        <v>81379</v>
      </c>
      <c r="I95" s="33" t="s">
        <v>104</v>
      </c>
      <c r="J95" s="33">
        <v>16624129</v>
      </c>
      <c r="K95" s="33" t="s">
        <v>1970</v>
      </c>
      <c r="L95" s="33" t="s">
        <v>2134</v>
      </c>
      <c r="M95" s="34">
        <v>149900</v>
      </c>
      <c r="N95" s="37" t="str">
        <f t="shared" si="15"/>
        <v>BXGY</v>
      </c>
      <c r="O95" s="34" t="str">
        <f t="shared" si="16"/>
        <v>B1G2</v>
      </c>
      <c r="P95" s="33" t="str">
        <f t="shared" si="17"/>
        <v>BXGY</v>
      </c>
    </row>
    <row r="96" spans="1:16" x14ac:dyDescent="0.25">
      <c r="A96" s="33" t="str">
        <f t="shared" si="12"/>
        <v>2024 JUL-SEPT B1G2</v>
      </c>
      <c r="B96" s="8">
        <f t="shared" si="13"/>
        <v>46099</v>
      </c>
      <c r="C96" s="8">
        <f t="shared" si="14"/>
        <v>46113</v>
      </c>
      <c r="D96" s="33">
        <v>3272</v>
      </c>
      <c r="E96" s="33">
        <v>336</v>
      </c>
      <c r="F96" s="33">
        <v>4</v>
      </c>
      <c r="G96" s="33">
        <v>1</v>
      </c>
      <c r="H96" s="33">
        <v>81379</v>
      </c>
      <c r="I96" s="33" t="s">
        <v>104</v>
      </c>
      <c r="J96" s="33">
        <v>16624138</v>
      </c>
      <c r="K96" s="33" t="s">
        <v>1970</v>
      </c>
      <c r="L96" s="33" t="s">
        <v>1971</v>
      </c>
      <c r="M96" s="34">
        <v>149900</v>
      </c>
      <c r="N96" s="37" t="str">
        <f t="shared" si="15"/>
        <v>BXGY</v>
      </c>
      <c r="O96" s="34" t="str">
        <f t="shared" si="16"/>
        <v>B1G2</v>
      </c>
      <c r="P96" s="33" t="str">
        <f t="shared" si="17"/>
        <v>BXGY</v>
      </c>
    </row>
    <row r="97" spans="1:16" x14ac:dyDescent="0.25">
      <c r="A97" s="33" t="str">
        <f t="shared" si="12"/>
        <v>2024 JUL-SEPT B1G2</v>
      </c>
      <c r="B97" s="8">
        <f t="shared" si="13"/>
        <v>46099</v>
      </c>
      <c r="C97" s="8">
        <f t="shared" si="14"/>
        <v>46113</v>
      </c>
      <c r="D97" s="33">
        <v>3272</v>
      </c>
      <c r="E97" s="33">
        <v>336</v>
      </c>
      <c r="F97" s="33">
        <v>4</v>
      </c>
      <c r="G97" s="33">
        <v>1</v>
      </c>
      <c r="H97" s="33">
        <v>81379</v>
      </c>
      <c r="I97" s="33" t="s">
        <v>104</v>
      </c>
      <c r="J97" s="33">
        <v>16624147</v>
      </c>
      <c r="K97" s="33" t="s">
        <v>1970</v>
      </c>
      <c r="L97" s="33" t="s">
        <v>2135</v>
      </c>
      <c r="M97" s="34">
        <v>149900</v>
      </c>
      <c r="N97" s="37" t="str">
        <f t="shared" si="15"/>
        <v>BXGY</v>
      </c>
      <c r="O97" s="34" t="str">
        <f t="shared" si="16"/>
        <v>B1G2</v>
      </c>
      <c r="P97" s="33" t="str">
        <f t="shared" si="17"/>
        <v>BXGY</v>
      </c>
    </row>
    <row r="98" spans="1:16" x14ac:dyDescent="0.25">
      <c r="A98" s="33" t="str">
        <f t="shared" si="12"/>
        <v>2024 JUL-SEPT B1G2</v>
      </c>
      <c r="B98" s="8">
        <f t="shared" si="13"/>
        <v>46099</v>
      </c>
      <c r="C98" s="8">
        <f t="shared" si="14"/>
        <v>46113</v>
      </c>
      <c r="D98" s="33">
        <v>3272</v>
      </c>
      <c r="E98" s="33">
        <v>336</v>
      </c>
      <c r="F98" s="33">
        <v>4</v>
      </c>
      <c r="G98" s="33">
        <v>1</v>
      </c>
      <c r="H98" s="33">
        <v>81379</v>
      </c>
      <c r="I98" s="33" t="s">
        <v>104</v>
      </c>
      <c r="J98" s="33">
        <v>16624156</v>
      </c>
      <c r="K98" s="33" t="s">
        <v>1970</v>
      </c>
      <c r="L98" s="33" t="s">
        <v>1972</v>
      </c>
      <c r="M98" s="34">
        <v>149900</v>
      </c>
      <c r="N98" s="37" t="str">
        <f t="shared" si="15"/>
        <v>BXGY</v>
      </c>
      <c r="O98" s="34" t="str">
        <f t="shared" si="16"/>
        <v>B1G2</v>
      </c>
      <c r="P98" s="33" t="str">
        <f t="shared" si="17"/>
        <v>BXGY</v>
      </c>
    </row>
    <row r="99" spans="1:16" x14ac:dyDescent="0.25">
      <c r="A99" s="33" t="str">
        <f t="shared" ref="A99:A130" si="18">A98</f>
        <v>2024 JUL-SEPT B1G2</v>
      </c>
      <c r="B99" s="8">
        <f t="shared" ref="B99:B130" si="19">B98</f>
        <v>46099</v>
      </c>
      <c r="C99" s="8">
        <f t="shared" ref="C99:C130" si="20">C98</f>
        <v>46113</v>
      </c>
      <c r="D99" s="33">
        <v>3272</v>
      </c>
      <c r="E99" s="33">
        <v>336</v>
      </c>
      <c r="F99" s="33">
        <v>4</v>
      </c>
      <c r="G99" s="33">
        <v>1</v>
      </c>
      <c r="H99" s="33">
        <v>81379</v>
      </c>
      <c r="I99" s="33" t="s">
        <v>104</v>
      </c>
      <c r="J99" s="33">
        <v>16624165</v>
      </c>
      <c r="K99" s="33" t="s">
        <v>1970</v>
      </c>
      <c r="L99" s="33" t="s">
        <v>1973</v>
      </c>
      <c r="M99" s="34">
        <v>149900</v>
      </c>
      <c r="N99" s="37" t="str">
        <f t="shared" ref="N99:N130" si="21">N98</f>
        <v>BXGY</v>
      </c>
      <c r="O99" s="34" t="str">
        <f t="shared" ref="O99:O130" si="22">O98</f>
        <v>B1G2</v>
      </c>
      <c r="P99" s="33" t="str">
        <f t="shared" ref="P99:P130" si="23">P98</f>
        <v>BXGY</v>
      </c>
    </row>
    <row r="100" spans="1:16" x14ac:dyDescent="0.25">
      <c r="A100" s="33" t="str">
        <f t="shared" si="18"/>
        <v>2024 JUL-SEPT B1G2</v>
      </c>
      <c r="B100" s="8">
        <f t="shared" si="19"/>
        <v>46099</v>
      </c>
      <c r="C100" s="8">
        <f t="shared" si="20"/>
        <v>46113</v>
      </c>
      <c r="D100" s="33">
        <v>3272</v>
      </c>
      <c r="E100" s="33">
        <v>336</v>
      </c>
      <c r="F100" s="33">
        <v>4</v>
      </c>
      <c r="G100" s="33">
        <v>1</v>
      </c>
      <c r="H100" s="33">
        <v>81379</v>
      </c>
      <c r="I100" s="33" t="s">
        <v>104</v>
      </c>
      <c r="J100" s="33">
        <v>16624174</v>
      </c>
      <c r="K100" s="33" t="s">
        <v>1970</v>
      </c>
      <c r="L100" s="33" t="s">
        <v>1974</v>
      </c>
      <c r="M100" s="34">
        <v>149900</v>
      </c>
      <c r="N100" s="37" t="str">
        <f t="shared" si="21"/>
        <v>BXGY</v>
      </c>
      <c r="O100" s="34" t="str">
        <f t="shared" si="22"/>
        <v>B1G2</v>
      </c>
      <c r="P100" s="33" t="str">
        <f t="shared" si="23"/>
        <v>BXGY</v>
      </c>
    </row>
    <row r="101" spans="1:16" x14ac:dyDescent="0.25">
      <c r="A101" s="33" t="str">
        <f t="shared" si="18"/>
        <v>2024 JUL-SEPT B1G2</v>
      </c>
      <c r="B101" s="8">
        <f t="shared" si="19"/>
        <v>46099</v>
      </c>
      <c r="C101" s="8">
        <f t="shared" si="20"/>
        <v>46113</v>
      </c>
      <c r="D101" s="33">
        <v>3272</v>
      </c>
      <c r="E101" s="33">
        <v>336</v>
      </c>
      <c r="F101" s="33">
        <v>4</v>
      </c>
      <c r="G101" s="33">
        <v>1</v>
      </c>
      <c r="H101" s="33">
        <v>81379</v>
      </c>
      <c r="I101" s="33" t="s">
        <v>104</v>
      </c>
      <c r="J101" s="33">
        <v>16624183</v>
      </c>
      <c r="K101" s="33" t="s">
        <v>1970</v>
      </c>
      <c r="L101" s="33" t="s">
        <v>1975</v>
      </c>
      <c r="M101" s="34">
        <v>149900</v>
      </c>
      <c r="N101" s="37" t="str">
        <f t="shared" si="21"/>
        <v>BXGY</v>
      </c>
      <c r="O101" s="34" t="str">
        <f t="shared" si="22"/>
        <v>B1G2</v>
      </c>
      <c r="P101" s="33" t="str">
        <f t="shared" si="23"/>
        <v>BXGY</v>
      </c>
    </row>
    <row r="102" spans="1:16" x14ac:dyDescent="0.25">
      <c r="A102" s="33" t="str">
        <f t="shared" si="18"/>
        <v>2024 JUL-SEPT B1G2</v>
      </c>
      <c r="B102" s="8">
        <f t="shared" si="19"/>
        <v>46099</v>
      </c>
      <c r="C102" s="8">
        <f t="shared" si="20"/>
        <v>46113</v>
      </c>
      <c r="D102" s="33">
        <v>3272</v>
      </c>
      <c r="E102" s="33">
        <v>336</v>
      </c>
      <c r="F102" s="33">
        <v>4</v>
      </c>
      <c r="G102" s="33">
        <v>1</v>
      </c>
      <c r="H102" s="33">
        <v>81379</v>
      </c>
      <c r="I102" s="33" t="s">
        <v>104</v>
      </c>
      <c r="J102" s="33">
        <v>16624192</v>
      </c>
      <c r="K102" s="33" t="s">
        <v>1970</v>
      </c>
      <c r="L102" s="33" t="s">
        <v>1976</v>
      </c>
      <c r="M102" s="34">
        <v>149900</v>
      </c>
      <c r="N102" s="37" t="str">
        <f t="shared" si="21"/>
        <v>BXGY</v>
      </c>
      <c r="O102" s="34" t="str">
        <f t="shared" si="22"/>
        <v>B1G2</v>
      </c>
      <c r="P102" s="33" t="str">
        <f t="shared" si="23"/>
        <v>BXGY</v>
      </c>
    </row>
    <row r="103" spans="1:16" x14ac:dyDescent="0.25">
      <c r="A103" s="33" t="str">
        <f t="shared" si="18"/>
        <v>2024 JUL-SEPT B1G2</v>
      </c>
      <c r="B103" s="8">
        <f t="shared" si="19"/>
        <v>46099</v>
      </c>
      <c r="C103" s="8">
        <f t="shared" si="20"/>
        <v>46113</v>
      </c>
      <c r="D103" s="33">
        <v>3272</v>
      </c>
      <c r="E103" s="33">
        <v>336</v>
      </c>
      <c r="F103" s="33">
        <v>4</v>
      </c>
      <c r="G103" s="33">
        <v>1</v>
      </c>
      <c r="H103" s="33">
        <v>81379</v>
      </c>
      <c r="I103" s="33" t="s">
        <v>104</v>
      </c>
      <c r="J103" s="33">
        <v>18756439</v>
      </c>
      <c r="K103" s="33" t="s">
        <v>2029</v>
      </c>
      <c r="L103" s="33" t="s">
        <v>2030</v>
      </c>
      <c r="M103" s="34">
        <v>139900</v>
      </c>
      <c r="N103" s="37" t="str">
        <f t="shared" si="21"/>
        <v>BXGY</v>
      </c>
      <c r="O103" s="34" t="str">
        <f t="shared" si="22"/>
        <v>B1G2</v>
      </c>
      <c r="P103" s="33" t="str">
        <f t="shared" si="23"/>
        <v>BXGY</v>
      </c>
    </row>
    <row r="104" spans="1:16" x14ac:dyDescent="0.25">
      <c r="A104" s="33" t="str">
        <f t="shared" si="18"/>
        <v>2024 JUL-SEPT B1G2</v>
      </c>
      <c r="B104" s="8">
        <f t="shared" si="19"/>
        <v>46099</v>
      </c>
      <c r="C104" s="8">
        <f t="shared" si="20"/>
        <v>46113</v>
      </c>
      <c r="D104" s="33">
        <v>3272</v>
      </c>
      <c r="E104" s="33">
        <v>336</v>
      </c>
      <c r="F104" s="33">
        <v>4</v>
      </c>
      <c r="G104" s="33">
        <v>1</v>
      </c>
      <c r="H104" s="33">
        <v>81379</v>
      </c>
      <c r="I104" s="33" t="s">
        <v>104</v>
      </c>
      <c r="J104" s="33">
        <v>18756448</v>
      </c>
      <c r="K104" s="33" t="s">
        <v>2029</v>
      </c>
      <c r="L104" s="33" t="s">
        <v>2031</v>
      </c>
      <c r="M104" s="34">
        <v>139900</v>
      </c>
      <c r="N104" s="37" t="str">
        <f t="shared" si="21"/>
        <v>BXGY</v>
      </c>
      <c r="O104" s="34" t="str">
        <f t="shared" si="22"/>
        <v>B1G2</v>
      </c>
      <c r="P104" s="33" t="str">
        <f t="shared" si="23"/>
        <v>BXGY</v>
      </c>
    </row>
    <row r="105" spans="1:16" x14ac:dyDescent="0.25">
      <c r="A105" s="33" t="str">
        <f t="shared" si="18"/>
        <v>2024 JUL-SEPT B1G2</v>
      </c>
      <c r="B105" s="8">
        <f t="shared" si="19"/>
        <v>46099</v>
      </c>
      <c r="C105" s="8">
        <f t="shared" si="20"/>
        <v>46113</v>
      </c>
      <c r="D105" s="33">
        <v>3272</v>
      </c>
      <c r="E105" s="33">
        <v>336</v>
      </c>
      <c r="F105" s="33">
        <v>4</v>
      </c>
      <c r="G105" s="33">
        <v>1</v>
      </c>
      <c r="H105" s="33">
        <v>81379</v>
      </c>
      <c r="I105" s="33" t="s">
        <v>104</v>
      </c>
      <c r="J105" s="33">
        <v>18756457</v>
      </c>
      <c r="K105" s="33" t="s">
        <v>2029</v>
      </c>
      <c r="L105" s="33" t="s">
        <v>2032</v>
      </c>
      <c r="M105" s="34">
        <v>139900</v>
      </c>
      <c r="N105" s="37" t="str">
        <f t="shared" si="21"/>
        <v>BXGY</v>
      </c>
      <c r="O105" s="34" t="str">
        <f t="shared" si="22"/>
        <v>B1G2</v>
      </c>
      <c r="P105" s="33" t="str">
        <f t="shared" si="23"/>
        <v>BXGY</v>
      </c>
    </row>
    <row r="106" spans="1:16" x14ac:dyDescent="0.25">
      <c r="A106" s="33" t="str">
        <f t="shared" si="18"/>
        <v>2024 JUL-SEPT B1G2</v>
      </c>
      <c r="B106" s="8">
        <f t="shared" si="19"/>
        <v>46099</v>
      </c>
      <c r="C106" s="8">
        <f t="shared" si="20"/>
        <v>46113</v>
      </c>
      <c r="D106" s="33">
        <v>3272</v>
      </c>
      <c r="E106" s="33">
        <v>336</v>
      </c>
      <c r="F106" s="33">
        <v>4</v>
      </c>
      <c r="G106" s="33">
        <v>1</v>
      </c>
      <c r="H106" s="33">
        <v>81379</v>
      </c>
      <c r="I106" s="33" t="s">
        <v>104</v>
      </c>
      <c r="J106" s="33">
        <v>18756466</v>
      </c>
      <c r="K106" s="33" t="s">
        <v>2029</v>
      </c>
      <c r="L106" s="33" t="s">
        <v>2033</v>
      </c>
      <c r="M106" s="34">
        <v>139900</v>
      </c>
      <c r="N106" s="37" t="str">
        <f t="shared" si="21"/>
        <v>BXGY</v>
      </c>
      <c r="O106" s="34" t="str">
        <f t="shared" si="22"/>
        <v>B1G2</v>
      </c>
      <c r="P106" s="33" t="str">
        <f t="shared" si="23"/>
        <v>BXGY</v>
      </c>
    </row>
    <row r="107" spans="1:16" x14ac:dyDescent="0.25">
      <c r="A107" s="33" t="str">
        <f t="shared" si="18"/>
        <v>2024 JUL-SEPT B1G2</v>
      </c>
      <c r="B107" s="8">
        <f t="shared" si="19"/>
        <v>46099</v>
      </c>
      <c r="C107" s="8">
        <f t="shared" si="20"/>
        <v>46113</v>
      </c>
      <c r="D107" s="33">
        <v>3272</v>
      </c>
      <c r="E107" s="33">
        <v>336</v>
      </c>
      <c r="F107" s="33">
        <v>4</v>
      </c>
      <c r="G107" s="33">
        <v>1</v>
      </c>
      <c r="H107" s="33">
        <v>81379</v>
      </c>
      <c r="I107" s="33" t="s">
        <v>104</v>
      </c>
      <c r="J107" s="33">
        <v>18756475</v>
      </c>
      <c r="K107" s="33" t="s">
        <v>2029</v>
      </c>
      <c r="L107" s="33" t="s">
        <v>2034</v>
      </c>
      <c r="M107" s="34">
        <v>139900</v>
      </c>
      <c r="N107" s="37" t="str">
        <f t="shared" si="21"/>
        <v>BXGY</v>
      </c>
      <c r="O107" s="34" t="str">
        <f t="shared" si="22"/>
        <v>B1G2</v>
      </c>
      <c r="P107" s="33" t="str">
        <f t="shared" si="23"/>
        <v>BXGY</v>
      </c>
    </row>
    <row r="108" spans="1:16" x14ac:dyDescent="0.25">
      <c r="A108" s="33" t="str">
        <f t="shared" si="18"/>
        <v>2024 JUL-SEPT B1G2</v>
      </c>
      <c r="B108" s="8">
        <f t="shared" si="19"/>
        <v>46099</v>
      </c>
      <c r="C108" s="8">
        <f t="shared" si="20"/>
        <v>46113</v>
      </c>
      <c r="D108" s="33">
        <v>3272</v>
      </c>
      <c r="E108" s="33">
        <v>336</v>
      </c>
      <c r="F108" s="33">
        <v>4</v>
      </c>
      <c r="G108" s="33">
        <v>1</v>
      </c>
      <c r="H108" s="33">
        <v>81379</v>
      </c>
      <c r="I108" s="33" t="s">
        <v>104</v>
      </c>
      <c r="J108" s="33">
        <v>18756484</v>
      </c>
      <c r="K108" s="33" t="s">
        <v>2029</v>
      </c>
      <c r="L108" s="33" t="s">
        <v>2035</v>
      </c>
      <c r="M108" s="34">
        <v>139900</v>
      </c>
      <c r="N108" s="37" t="str">
        <f t="shared" si="21"/>
        <v>BXGY</v>
      </c>
      <c r="O108" s="34" t="str">
        <f t="shared" si="22"/>
        <v>B1G2</v>
      </c>
      <c r="P108" s="33" t="str">
        <f t="shared" si="23"/>
        <v>BXGY</v>
      </c>
    </row>
    <row r="109" spans="1:16" x14ac:dyDescent="0.25">
      <c r="A109" s="33" t="str">
        <f t="shared" si="18"/>
        <v>2024 JUL-SEPT B1G2</v>
      </c>
      <c r="B109" s="8">
        <f t="shared" si="19"/>
        <v>46099</v>
      </c>
      <c r="C109" s="8">
        <f t="shared" si="20"/>
        <v>46113</v>
      </c>
      <c r="D109" s="33">
        <v>3272</v>
      </c>
      <c r="E109" s="33">
        <v>336</v>
      </c>
      <c r="F109" s="33">
        <v>4</v>
      </c>
      <c r="G109" s="33">
        <v>1</v>
      </c>
      <c r="H109" s="33">
        <v>81379</v>
      </c>
      <c r="I109" s="33" t="s">
        <v>104</v>
      </c>
      <c r="J109" s="33">
        <v>18756493</v>
      </c>
      <c r="K109" s="33" t="s">
        <v>2029</v>
      </c>
      <c r="L109" s="33" t="s">
        <v>2036</v>
      </c>
      <c r="M109" s="34">
        <v>139900</v>
      </c>
      <c r="N109" s="37" t="str">
        <f t="shared" si="21"/>
        <v>BXGY</v>
      </c>
      <c r="O109" s="34" t="str">
        <f t="shared" si="22"/>
        <v>B1G2</v>
      </c>
      <c r="P109" s="33" t="str">
        <f t="shared" si="23"/>
        <v>BXGY</v>
      </c>
    </row>
    <row r="110" spans="1:16" x14ac:dyDescent="0.25">
      <c r="A110" s="33" t="str">
        <f t="shared" si="18"/>
        <v>2024 JUL-SEPT B1G2</v>
      </c>
      <c r="B110" s="8">
        <f t="shared" si="19"/>
        <v>46099</v>
      </c>
      <c r="C110" s="8">
        <f t="shared" si="20"/>
        <v>46113</v>
      </c>
      <c r="D110" s="33">
        <v>3272</v>
      </c>
      <c r="E110" s="33">
        <v>336</v>
      </c>
      <c r="F110" s="33">
        <v>4</v>
      </c>
      <c r="G110" s="33">
        <v>1</v>
      </c>
      <c r="H110" s="33">
        <v>81379</v>
      </c>
      <c r="I110" s="33" t="s">
        <v>104</v>
      </c>
      <c r="J110" s="33">
        <v>18756500</v>
      </c>
      <c r="K110" s="33" t="s">
        <v>2029</v>
      </c>
      <c r="L110" s="33" t="s">
        <v>2037</v>
      </c>
      <c r="M110" s="34">
        <v>139900</v>
      </c>
      <c r="N110" s="37" t="str">
        <f t="shared" si="21"/>
        <v>BXGY</v>
      </c>
      <c r="O110" s="34" t="str">
        <f t="shared" si="22"/>
        <v>B1G2</v>
      </c>
      <c r="P110" s="33" t="str">
        <f t="shared" si="23"/>
        <v>BXGY</v>
      </c>
    </row>
    <row r="111" spans="1:16" x14ac:dyDescent="0.25">
      <c r="A111" s="33" t="str">
        <f t="shared" si="18"/>
        <v>2024 JUL-SEPT B1G2</v>
      </c>
      <c r="B111" s="8">
        <f t="shared" si="19"/>
        <v>46099</v>
      </c>
      <c r="C111" s="8">
        <f t="shared" si="20"/>
        <v>46113</v>
      </c>
      <c r="D111" s="33">
        <v>3272</v>
      </c>
      <c r="E111" s="33">
        <v>336</v>
      </c>
      <c r="F111" s="33">
        <v>4</v>
      </c>
      <c r="G111" s="33">
        <v>4</v>
      </c>
      <c r="H111" s="33">
        <v>81379</v>
      </c>
      <c r="I111" s="33" t="s">
        <v>104</v>
      </c>
      <c r="J111" s="33">
        <v>16624281</v>
      </c>
      <c r="K111" s="33" t="s">
        <v>2072</v>
      </c>
      <c r="L111" s="33" t="s">
        <v>2073</v>
      </c>
      <c r="M111" s="34">
        <v>169900</v>
      </c>
      <c r="N111" s="37" t="str">
        <f t="shared" si="21"/>
        <v>BXGY</v>
      </c>
      <c r="O111" s="34" t="str">
        <f t="shared" si="22"/>
        <v>B1G2</v>
      </c>
      <c r="P111" s="33" t="str">
        <f t="shared" si="23"/>
        <v>BXGY</v>
      </c>
    </row>
    <row r="112" spans="1:16" x14ac:dyDescent="0.25">
      <c r="A112" s="33" t="str">
        <f t="shared" si="18"/>
        <v>2024 JUL-SEPT B1G2</v>
      </c>
      <c r="B112" s="8">
        <f t="shared" si="19"/>
        <v>46099</v>
      </c>
      <c r="C112" s="8">
        <f t="shared" si="20"/>
        <v>46113</v>
      </c>
      <c r="D112" s="33">
        <v>3272</v>
      </c>
      <c r="E112" s="33">
        <v>336</v>
      </c>
      <c r="F112" s="33">
        <v>4</v>
      </c>
      <c r="G112" s="33">
        <v>4</v>
      </c>
      <c r="H112" s="33">
        <v>81379</v>
      </c>
      <c r="I112" s="33" t="s">
        <v>104</v>
      </c>
      <c r="J112" s="33">
        <v>16624290</v>
      </c>
      <c r="K112" s="33" t="s">
        <v>2072</v>
      </c>
      <c r="L112" s="33" t="s">
        <v>2074</v>
      </c>
      <c r="M112" s="34">
        <v>169900</v>
      </c>
      <c r="N112" s="37" t="str">
        <f t="shared" si="21"/>
        <v>BXGY</v>
      </c>
      <c r="O112" s="34" t="str">
        <f t="shared" si="22"/>
        <v>B1G2</v>
      </c>
      <c r="P112" s="33" t="str">
        <f t="shared" si="23"/>
        <v>BXGY</v>
      </c>
    </row>
    <row r="113" spans="1:16" x14ac:dyDescent="0.25">
      <c r="A113" s="33" t="str">
        <f t="shared" si="18"/>
        <v>2024 JUL-SEPT B1G2</v>
      </c>
      <c r="B113" s="8">
        <f t="shared" si="19"/>
        <v>46099</v>
      </c>
      <c r="C113" s="8">
        <f t="shared" si="20"/>
        <v>46113</v>
      </c>
      <c r="D113" s="33">
        <v>3272</v>
      </c>
      <c r="E113" s="33">
        <v>336</v>
      </c>
      <c r="F113" s="33">
        <v>4</v>
      </c>
      <c r="G113" s="33">
        <v>4</v>
      </c>
      <c r="H113" s="33">
        <v>81379</v>
      </c>
      <c r="I113" s="33" t="s">
        <v>104</v>
      </c>
      <c r="J113" s="33">
        <v>16624307</v>
      </c>
      <c r="K113" s="33" t="s">
        <v>2072</v>
      </c>
      <c r="L113" s="33" t="s">
        <v>2136</v>
      </c>
      <c r="M113" s="34">
        <v>169900</v>
      </c>
      <c r="N113" s="37" t="str">
        <f t="shared" si="21"/>
        <v>BXGY</v>
      </c>
      <c r="O113" s="34" t="str">
        <f t="shared" si="22"/>
        <v>B1G2</v>
      </c>
      <c r="P113" s="33" t="str">
        <f t="shared" si="23"/>
        <v>BXGY</v>
      </c>
    </row>
    <row r="114" spans="1:16" x14ac:dyDescent="0.25">
      <c r="A114" s="33" t="str">
        <f t="shared" si="18"/>
        <v>2024 JUL-SEPT B1G2</v>
      </c>
      <c r="B114" s="8">
        <f t="shared" si="19"/>
        <v>46099</v>
      </c>
      <c r="C114" s="8">
        <f t="shared" si="20"/>
        <v>46113</v>
      </c>
      <c r="D114" s="33">
        <v>3272</v>
      </c>
      <c r="E114" s="33">
        <v>336</v>
      </c>
      <c r="F114" s="33">
        <v>4</v>
      </c>
      <c r="G114" s="33">
        <v>4</v>
      </c>
      <c r="H114" s="33">
        <v>81379</v>
      </c>
      <c r="I114" s="33" t="s">
        <v>104</v>
      </c>
      <c r="J114" s="33">
        <v>16624316</v>
      </c>
      <c r="K114" s="33" t="s">
        <v>2072</v>
      </c>
      <c r="L114" s="33" t="s">
        <v>2075</v>
      </c>
      <c r="M114" s="34">
        <v>169900</v>
      </c>
      <c r="N114" s="37" t="str">
        <f t="shared" si="21"/>
        <v>BXGY</v>
      </c>
      <c r="O114" s="34" t="str">
        <f t="shared" si="22"/>
        <v>B1G2</v>
      </c>
      <c r="P114" s="33" t="str">
        <f t="shared" si="23"/>
        <v>BXGY</v>
      </c>
    </row>
    <row r="115" spans="1:16" x14ac:dyDescent="0.25">
      <c r="A115" s="33" t="str">
        <f t="shared" si="18"/>
        <v>2024 JUL-SEPT B1G2</v>
      </c>
      <c r="B115" s="8">
        <f t="shared" si="19"/>
        <v>46099</v>
      </c>
      <c r="C115" s="8">
        <f t="shared" si="20"/>
        <v>46113</v>
      </c>
      <c r="D115" s="33">
        <v>3272</v>
      </c>
      <c r="E115" s="33">
        <v>336</v>
      </c>
      <c r="F115" s="33">
        <v>4</v>
      </c>
      <c r="G115" s="33">
        <v>4</v>
      </c>
      <c r="H115" s="33">
        <v>81379</v>
      </c>
      <c r="I115" s="33" t="s">
        <v>104</v>
      </c>
      <c r="J115" s="33">
        <v>16624325</v>
      </c>
      <c r="K115" s="33" t="s">
        <v>2072</v>
      </c>
      <c r="L115" s="33" t="s">
        <v>2076</v>
      </c>
      <c r="M115" s="34">
        <v>169900</v>
      </c>
      <c r="N115" s="37" t="str">
        <f t="shared" si="21"/>
        <v>BXGY</v>
      </c>
      <c r="O115" s="34" t="str">
        <f t="shared" si="22"/>
        <v>B1G2</v>
      </c>
      <c r="P115" s="33" t="str">
        <f t="shared" si="23"/>
        <v>BXGY</v>
      </c>
    </row>
    <row r="116" spans="1:16" x14ac:dyDescent="0.25">
      <c r="A116" s="33" t="str">
        <f t="shared" si="18"/>
        <v>2024 JUL-SEPT B1G2</v>
      </c>
      <c r="B116" s="8">
        <f t="shared" si="19"/>
        <v>46099</v>
      </c>
      <c r="C116" s="8">
        <f t="shared" si="20"/>
        <v>46113</v>
      </c>
      <c r="D116" s="33">
        <v>3272</v>
      </c>
      <c r="E116" s="33">
        <v>336</v>
      </c>
      <c r="F116" s="33">
        <v>4</v>
      </c>
      <c r="G116" s="33">
        <v>4</v>
      </c>
      <c r="H116" s="33">
        <v>81379</v>
      </c>
      <c r="I116" s="33" t="s">
        <v>104</v>
      </c>
      <c r="J116" s="33">
        <v>16624334</v>
      </c>
      <c r="K116" s="33" t="s">
        <v>2072</v>
      </c>
      <c r="L116" s="33" t="s">
        <v>2077</v>
      </c>
      <c r="M116" s="34">
        <v>169900</v>
      </c>
      <c r="N116" s="37" t="str">
        <f t="shared" si="21"/>
        <v>BXGY</v>
      </c>
      <c r="O116" s="34" t="str">
        <f t="shared" si="22"/>
        <v>B1G2</v>
      </c>
      <c r="P116" s="33" t="str">
        <f t="shared" si="23"/>
        <v>BXGY</v>
      </c>
    </row>
    <row r="117" spans="1:16" x14ac:dyDescent="0.25">
      <c r="A117" s="33" t="str">
        <f t="shared" si="18"/>
        <v>2024 JUL-SEPT B1G2</v>
      </c>
      <c r="B117" s="8">
        <f t="shared" si="19"/>
        <v>46099</v>
      </c>
      <c r="C117" s="8">
        <f t="shared" si="20"/>
        <v>46113</v>
      </c>
      <c r="D117" s="33">
        <v>3272</v>
      </c>
      <c r="E117" s="33">
        <v>336</v>
      </c>
      <c r="F117" s="33">
        <v>4</v>
      </c>
      <c r="G117" s="33">
        <v>1</v>
      </c>
      <c r="H117" s="33">
        <v>81676</v>
      </c>
      <c r="I117" s="33" t="s">
        <v>104</v>
      </c>
      <c r="J117" s="33">
        <v>15499375</v>
      </c>
      <c r="K117" s="33" t="s">
        <v>2137</v>
      </c>
      <c r="L117" s="33" t="s">
        <v>2138</v>
      </c>
      <c r="M117" s="34">
        <v>129900</v>
      </c>
      <c r="N117" s="37" t="str">
        <f t="shared" si="21"/>
        <v>BXGY</v>
      </c>
      <c r="O117" s="34" t="str">
        <f t="shared" si="22"/>
        <v>B1G2</v>
      </c>
      <c r="P117" s="33" t="str">
        <f t="shared" si="23"/>
        <v>BXGY</v>
      </c>
    </row>
    <row r="118" spans="1:16" x14ac:dyDescent="0.25">
      <c r="A118" s="33" t="str">
        <f t="shared" si="18"/>
        <v>2024 JUL-SEPT B1G2</v>
      </c>
      <c r="B118" s="8">
        <f t="shared" si="19"/>
        <v>46099</v>
      </c>
      <c r="C118" s="8">
        <f t="shared" si="20"/>
        <v>46113</v>
      </c>
      <c r="D118" s="33">
        <v>3272</v>
      </c>
      <c r="E118" s="33">
        <v>336</v>
      </c>
      <c r="F118" s="33">
        <v>4</v>
      </c>
      <c r="G118" s="33">
        <v>1</v>
      </c>
      <c r="H118" s="33">
        <v>81676</v>
      </c>
      <c r="I118" s="33" t="s">
        <v>104</v>
      </c>
      <c r="J118" s="33">
        <v>15499384</v>
      </c>
      <c r="K118" s="33" t="s">
        <v>2137</v>
      </c>
      <c r="L118" s="33" t="s">
        <v>2139</v>
      </c>
      <c r="M118" s="34">
        <v>129900</v>
      </c>
      <c r="N118" s="37" t="str">
        <f t="shared" si="21"/>
        <v>BXGY</v>
      </c>
      <c r="O118" s="34" t="str">
        <f t="shared" si="22"/>
        <v>B1G2</v>
      </c>
      <c r="P118" s="33" t="str">
        <f t="shared" si="23"/>
        <v>BXGY</v>
      </c>
    </row>
    <row r="119" spans="1:16" x14ac:dyDescent="0.25">
      <c r="A119" s="33" t="str">
        <f t="shared" si="18"/>
        <v>2024 JUL-SEPT B1G2</v>
      </c>
      <c r="B119" s="8">
        <f t="shared" si="19"/>
        <v>46099</v>
      </c>
      <c r="C119" s="8">
        <f t="shared" si="20"/>
        <v>46113</v>
      </c>
      <c r="D119" s="33">
        <v>3272</v>
      </c>
      <c r="E119" s="33">
        <v>336</v>
      </c>
      <c r="F119" s="33">
        <v>4</v>
      </c>
      <c r="G119" s="33">
        <v>1</v>
      </c>
      <c r="H119" s="33">
        <v>81676</v>
      </c>
      <c r="I119" s="33" t="s">
        <v>104</v>
      </c>
      <c r="J119" s="33">
        <v>15499393</v>
      </c>
      <c r="K119" s="33" t="s">
        <v>2137</v>
      </c>
      <c r="L119" s="33" t="s">
        <v>2140</v>
      </c>
      <c r="M119" s="34">
        <v>129900</v>
      </c>
      <c r="N119" s="37" t="str">
        <f t="shared" si="21"/>
        <v>BXGY</v>
      </c>
      <c r="O119" s="34" t="str">
        <f t="shared" si="22"/>
        <v>B1G2</v>
      </c>
      <c r="P119" s="33" t="str">
        <f t="shared" si="23"/>
        <v>BXGY</v>
      </c>
    </row>
    <row r="120" spans="1:16" x14ac:dyDescent="0.25">
      <c r="A120" s="33" t="str">
        <f t="shared" si="18"/>
        <v>2024 JUL-SEPT B1G2</v>
      </c>
      <c r="B120" s="8">
        <f t="shared" si="19"/>
        <v>46099</v>
      </c>
      <c r="C120" s="8">
        <f t="shared" si="20"/>
        <v>46113</v>
      </c>
      <c r="D120" s="33">
        <v>3272</v>
      </c>
      <c r="E120" s="33">
        <v>336</v>
      </c>
      <c r="F120" s="33">
        <v>4</v>
      </c>
      <c r="G120" s="33">
        <v>1</v>
      </c>
      <c r="H120" s="33">
        <v>81676</v>
      </c>
      <c r="I120" s="33" t="s">
        <v>104</v>
      </c>
      <c r="J120" s="33">
        <v>15499400</v>
      </c>
      <c r="K120" s="33" t="s">
        <v>2137</v>
      </c>
      <c r="L120" s="33" t="s">
        <v>2141</v>
      </c>
      <c r="M120" s="34">
        <v>129900</v>
      </c>
      <c r="N120" s="37" t="str">
        <f t="shared" si="21"/>
        <v>BXGY</v>
      </c>
      <c r="O120" s="34" t="str">
        <f t="shared" si="22"/>
        <v>B1G2</v>
      </c>
      <c r="P120" s="33" t="str">
        <f t="shared" si="23"/>
        <v>BXGY</v>
      </c>
    </row>
    <row r="121" spans="1:16" x14ac:dyDescent="0.25">
      <c r="A121" s="33" t="str">
        <f t="shared" si="18"/>
        <v>2024 JUL-SEPT B1G2</v>
      </c>
      <c r="B121" s="8">
        <f t="shared" si="19"/>
        <v>46099</v>
      </c>
      <c r="C121" s="8">
        <f t="shared" si="20"/>
        <v>46113</v>
      </c>
      <c r="D121" s="33">
        <v>3272</v>
      </c>
      <c r="E121" s="33">
        <v>336</v>
      </c>
      <c r="F121" s="33">
        <v>4</v>
      </c>
      <c r="G121" s="33">
        <v>1</v>
      </c>
      <c r="H121" s="33">
        <v>81676</v>
      </c>
      <c r="I121" s="33" t="s">
        <v>104</v>
      </c>
      <c r="J121" s="33">
        <v>15499419</v>
      </c>
      <c r="K121" s="33" t="s">
        <v>2137</v>
      </c>
      <c r="L121" s="33" t="s">
        <v>2142</v>
      </c>
      <c r="M121" s="34">
        <v>129900</v>
      </c>
      <c r="N121" s="37" t="str">
        <f t="shared" si="21"/>
        <v>BXGY</v>
      </c>
      <c r="O121" s="34" t="str">
        <f t="shared" si="22"/>
        <v>B1G2</v>
      </c>
      <c r="P121" s="33" t="str">
        <f t="shared" si="23"/>
        <v>BXGY</v>
      </c>
    </row>
    <row r="122" spans="1:16" x14ac:dyDescent="0.25">
      <c r="A122" s="33" t="str">
        <f t="shared" si="18"/>
        <v>2024 JUL-SEPT B1G2</v>
      </c>
      <c r="B122" s="8">
        <f t="shared" si="19"/>
        <v>46099</v>
      </c>
      <c r="C122" s="8">
        <f t="shared" si="20"/>
        <v>46113</v>
      </c>
      <c r="D122" s="33">
        <v>3272</v>
      </c>
      <c r="E122" s="33">
        <v>336</v>
      </c>
      <c r="F122" s="33">
        <v>4</v>
      </c>
      <c r="G122" s="33">
        <v>1</v>
      </c>
      <c r="H122" s="33">
        <v>81588</v>
      </c>
      <c r="I122" s="33" t="s">
        <v>104</v>
      </c>
      <c r="J122" s="33">
        <v>20514338</v>
      </c>
      <c r="K122" s="33" t="s">
        <v>2143</v>
      </c>
      <c r="L122" s="33" t="s">
        <v>2144</v>
      </c>
      <c r="M122" s="34">
        <v>149900</v>
      </c>
      <c r="N122" s="37" t="str">
        <f t="shared" si="21"/>
        <v>BXGY</v>
      </c>
      <c r="O122" s="34" t="str">
        <f t="shared" si="22"/>
        <v>B1G2</v>
      </c>
      <c r="P122" s="33" t="str">
        <f t="shared" si="23"/>
        <v>BXGY</v>
      </c>
    </row>
    <row r="123" spans="1:16" x14ac:dyDescent="0.25">
      <c r="A123" s="33" t="str">
        <f t="shared" si="18"/>
        <v>2024 JUL-SEPT B1G2</v>
      </c>
      <c r="B123" s="8">
        <f t="shared" si="19"/>
        <v>46099</v>
      </c>
      <c r="C123" s="8">
        <f t="shared" si="20"/>
        <v>46113</v>
      </c>
      <c r="D123" s="33">
        <v>3272</v>
      </c>
      <c r="E123" s="33">
        <v>336</v>
      </c>
      <c r="F123" s="33">
        <v>4</v>
      </c>
      <c r="G123" s="33">
        <v>1</v>
      </c>
      <c r="H123" s="33">
        <v>81588</v>
      </c>
      <c r="I123" s="33" t="s">
        <v>104</v>
      </c>
      <c r="J123" s="33">
        <v>20514347</v>
      </c>
      <c r="K123" s="33" t="s">
        <v>2143</v>
      </c>
      <c r="L123" s="33" t="s">
        <v>2145</v>
      </c>
      <c r="M123" s="34">
        <v>149900</v>
      </c>
      <c r="N123" s="37" t="str">
        <f t="shared" si="21"/>
        <v>BXGY</v>
      </c>
      <c r="O123" s="34" t="str">
        <f t="shared" si="22"/>
        <v>B1G2</v>
      </c>
      <c r="P123" s="33" t="str">
        <f t="shared" si="23"/>
        <v>BXGY</v>
      </c>
    </row>
    <row r="124" spans="1:16" x14ac:dyDescent="0.25">
      <c r="A124" s="33" t="str">
        <f t="shared" si="18"/>
        <v>2024 JUL-SEPT B1G2</v>
      </c>
      <c r="B124" s="8">
        <f t="shared" si="19"/>
        <v>46099</v>
      </c>
      <c r="C124" s="8">
        <f t="shared" si="20"/>
        <v>46113</v>
      </c>
      <c r="D124" s="33">
        <v>3272</v>
      </c>
      <c r="E124" s="33">
        <v>336</v>
      </c>
      <c r="F124" s="33">
        <v>4</v>
      </c>
      <c r="G124" s="33">
        <v>1</v>
      </c>
      <c r="H124" s="33">
        <v>81588</v>
      </c>
      <c r="I124" s="33" t="s">
        <v>104</v>
      </c>
      <c r="J124" s="33">
        <v>20514356</v>
      </c>
      <c r="K124" s="33" t="s">
        <v>2143</v>
      </c>
      <c r="L124" s="33" t="s">
        <v>2146</v>
      </c>
      <c r="M124" s="34">
        <v>149900</v>
      </c>
      <c r="N124" s="37" t="str">
        <f t="shared" si="21"/>
        <v>BXGY</v>
      </c>
      <c r="O124" s="34" t="str">
        <f t="shared" si="22"/>
        <v>B1G2</v>
      </c>
      <c r="P124" s="33" t="str">
        <f t="shared" si="23"/>
        <v>BXGY</v>
      </c>
    </row>
    <row r="125" spans="1:16" x14ac:dyDescent="0.25">
      <c r="A125" s="33" t="str">
        <f t="shared" si="18"/>
        <v>2024 JUL-SEPT B1G2</v>
      </c>
      <c r="B125" s="8">
        <f t="shared" si="19"/>
        <v>46099</v>
      </c>
      <c r="C125" s="8">
        <f t="shared" si="20"/>
        <v>46113</v>
      </c>
      <c r="D125" s="33">
        <v>3272</v>
      </c>
      <c r="E125" s="33">
        <v>336</v>
      </c>
      <c r="F125" s="33">
        <v>4</v>
      </c>
      <c r="G125" s="33">
        <v>1</v>
      </c>
      <c r="H125" s="33">
        <v>81588</v>
      </c>
      <c r="I125" s="33" t="s">
        <v>104</v>
      </c>
      <c r="J125" s="33">
        <v>20514365</v>
      </c>
      <c r="K125" s="33" t="s">
        <v>2143</v>
      </c>
      <c r="L125" s="33" t="s">
        <v>2147</v>
      </c>
      <c r="M125" s="34">
        <v>149900</v>
      </c>
      <c r="N125" s="37" t="str">
        <f t="shared" si="21"/>
        <v>BXGY</v>
      </c>
      <c r="O125" s="34" t="str">
        <f t="shared" si="22"/>
        <v>B1G2</v>
      </c>
      <c r="P125" s="33" t="str">
        <f t="shared" si="23"/>
        <v>BXGY</v>
      </c>
    </row>
    <row r="126" spans="1:16" x14ac:dyDescent="0.25">
      <c r="A126" s="33" t="str">
        <f t="shared" si="18"/>
        <v>2024 JUL-SEPT B1G2</v>
      </c>
      <c r="B126" s="8">
        <f t="shared" si="19"/>
        <v>46099</v>
      </c>
      <c r="C126" s="8">
        <f t="shared" si="20"/>
        <v>46113</v>
      </c>
      <c r="D126" s="33">
        <v>3272</v>
      </c>
      <c r="E126" s="33">
        <v>336</v>
      </c>
      <c r="F126" s="33">
        <v>4</v>
      </c>
      <c r="G126" s="33">
        <v>1</v>
      </c>
      <c r="H126" s="33">
        <v>81588</v>
      </c>
      <c r="I126" s="33" t="s">
        <v>104</v>
      </c>
      <c r="J126" s="33">
        <v>20514374</v>
      </c>
      <c r="K126" s="33" t="s">
        <v>2143</v>
      </c>
      <c r="L126" s="33" t="s">
        <v>2148</v>
      </c>
      <c r="M126" s="34">
        <v>149900</v>
      </c>
      <c r="N126" s="37" t="str">
        <f t="shared" si="21"/>
        <v>BXGY</v>
      </c>
      <c r="O126" s="34" t="str">
        <f t="shared" si="22"/>
        <v>B1G2</v>
      </c>
      <c r="P126" s="33" t="str">
        <f t="shared" si="23"/>
        <v>BXGY</v>
      </c>
    </row>
    <row r="127" spans="1:16" x14ac:dyDescent="0.25">
      <c r="A127" s="33" t="str">
        <f t="shared" si="18"/>
        <v>2024 JUL-SEPT B1G2</v>
      </c>
      <c r="B127" s="8">
        <f t="shared" si="19"/>
        <v>46099</v>
      </c>
      <c r="C127" s="8">
        <f t="shared" si="20"/>
        <v>46113</v>
      </c>
      <c r="D127" s="33">
        <v>3272</v>
      </c>
      <c r="E127" s="33">
        <v>336</v>
      </c>
      <c r="F127" s="33">
        <v>4</v>
      </c>
      <c r="G127" s="33">
        <v>1</v>
      </c>
      <c r="H127" s="33">
        <v>81588</v>
      </c>
      <c r="I127" s="33" t="s">
        <v>104</v>
      </c>
      <c r="J127" s="33">
        <v>20514383</v>
      </c>
      <c r="K127" s="33" t="s">
        <v>2143</v>
      </c>
      <c r="L127" s="33" t="s">
        <v>2149</v>
      </c>
      <c r="M127" s="34">
        <v>149900</v>
      </c>
      <c r="N127" s="37" t="str">
        <f t="shared" si="21"/>
        <v>BXGY</v>
      </c>
      <c r="O127" s="34" t="str">
        <f t="shared" si="22"/>
        <v>B1G2</v>
      </c>
      <c r="P127" s="33" t="str">
        <f t="shared" si="23"/>
        <v>BXGY</v>
      </c>
    </row>
    <row r="128" spans="1:16" x14ac:dyDescent="0.25">
      <c r="A128" s="33" t="str">
        <f t="shared" si="18"/>
        <v>2024 JUL-SEPT B1G2</v>
      </c>
      <c r="B128" s="8">
        <f t="shared" si="19"/>
        <v>46099</v>
      </c>
      <c r="C128" s="8">
        <f t="shared" si="20"/>
        <v>46113</v>
      </c>
      <c r="D128" s="33">
        <v>3272</v>
      </c>
      <c r="E128" s="33">
        <v>336</v>
      </c>
      <c r="F128" s="33">
        <v>4</v>
      </c>
      <c r="G128" s="33">
        <v>1</v>
      </c>
      <c r="H128" s="33">
        <v>81588</v>
      </c>
      <c r="I128" s="33" t="s">
        <v>104</v>
      </c>
      <c r="J128" s="33">
        <v>20514669</v>
      </c>
      <c r="K128" s="33" t="s">
        <v>2150</v>
      </c>
      <c r="L128" s="33" t="s">
        <v>2151</v>
      </c>
      <c r="M128" s="34">
        <v>149900</v>
      </c>
      <c r="N128" s="37" t="str">
        <f t="shared" si="21"/>
        <v>BXGY</v>
      </c>
      <c r="O128" s="34" t="str">
        <f t="shared" si="22"/>
        <v>B1G2</v>
      </c>
      <c r="P128" s="33" t="str">
        <f t="shared" si="23"/>
        <v>BXGY</v>
      </c>
    </row>
    <row r="129" spans="1:16" x14ac:dyDescent="0.25">
      <c r="A129" s="33" t="str">
        <f t="shared" si="18"/>
        <v>2024 JUL-SEPT B1G2</v>
      </c>
      <c r="B129" s="8">
        <f t="shared" si="19"/>
        <v>46099</v>
      </c>
      <c r="C129" s="8">
        <f t="shared" si="20"/>
        <v>46113</v>
      </c>
      <c r="D129" s="33">
        <v>3272</v>
      </c>
      <c r="E129" s="33">
        <v>336</v>
      </c>
      <c r="F129" s="33">
        <v>4</v>
      </c>
      <c r="G129" s="33">
        <v>1</v>
      </c>
      <c r="H129" s="33">
        <v>81588</v>
      </c>
      <c r="I129" s="33" t="s">
        <v>104</v>
      </c>
      <c r="J129" s="33">
        <v>20514712</v>
      </c>
      <c r="K129" s="33" t="s">
        <v>2150</v>
      </c>
      <c r="L129" s="33" t="s">
        <v>2152</v>
      </c>
      <c r="M129" s="34">
        <v>149900</v>
      </c>
      <c r="N129" s="37" t="str">
        <f t="shared" si="21"/>
        <v>BXGY</v>
      </c>
      <c r="O129" s="34" t="str">
        <f t="shared" si="22"/>
        <v>B1G2</v>
      </c>
      <c r="P129" s="33" t="str">
        <f t="shared" si="23"/>
        <v>BXGY</v>
      </c>
    </row>
    <row r="130" spans="1:16" x14ac:dyDescent="0.25">
      <c r="A130" s="33" t="str">
        <f t="shared" si="18"/>
        <v>2024 JUL-SEPT B1G2</v>
      </c>
      <c r="B130" s="8">
        <f t="shared" si="19"/>
        <v>46099</v>
      </c>
      <c r="C130" s="8">
        <f t="shared" si="20"/>
        <v>46113</v>
      </c>
      <c r="D130" s="33">
        <v>3272</v>
      </c>
      <c r="E130" s="33">
        <v>336</v>
      </c>
      <c r="F130" s="33">
        <v>4</v>
      </c>
      <c r="G130" s="33">
        <v>1</v>
      </c>
      <c r="H130" s="33">
        <v>81588</v>
      </c>
      <c r="I130" s="33" t="s">
        <v>104</v>
      </c>
      <c r="J130" s="33">
        <v>20514801</v>
      </c>
      <c r="K130" s="33" t="s">
        <v>2150</v>
      </c>
      <c r="L130" s="33" t="s">
        <v>2153</v>
      </c>
      <c r="M130" s="34">
        <v>149900</v>
      </c>
      <c r="N130" s="37" t="str">
        <f t="shared" si="21"/>
        <v>BXGY</v>
      </c>
      <c r="O130" s="34" t="str">
        <f t="shared" si="22"/>
        <v>B1G2</v>
      </c>
      <c r="P130" s="33" t="str">
        <f t="shared" si="23"/>
        <v>BXGY</v>
      </c>
    </row>
    <row r="131" spans="1:16" x14ac:dyDescent="0.25">
      <c r="A131" s="33" t="str">
        <f t="shared" ref="A131:A162" si="24">A130</f>
        <v>2024 JUL-SEPT B1G2</v>
      </c>
      <c r="B131" s="8">
        <f t="shared" ref="B131:B162" si="25">B130</f>
        <v>46099</v>
      </c>
      <c r="C131" s="8">
        <f t="shared" ref="C131:C162" si="26">C130</f>
        <v>46113</v>
      </c>
      <c r="D131" s="33">
        <v>3272</v>
      </c>
      <c r="E131" s="33">
        <v>336</v>
      </c>
      <c r="F131" s="33">
        <v>4</v>
      </c>
      <c r="G131" s="33">
        <v>1</v>
      </c>
      <c r="H131" s="33">
        <v>81588</v>
      </c>
      <c r="I131" s="33" t="s">
        <v>104</v>
      </c>
      <c r="J131" s="33">
        <v>20514829</v>
      </c>
      <c r="K131" s="33" t="s">
        <v>2150</v>
      </c>
      <c r="L131" s="33" t="s">
        <v>2154</v>
      </c>
      <c r="M131" s="34">
        <v>149900</v>
      </c>
      <c r="N131" s="37" t="str">
        <f t="shared" ref="N131:N162" si="27">N130</f>
        <v>BXGY</v>
      </c>
      <c r="O131" s="34" t="str">
        <f t="shared" ref="O131:O162" si="28">O130</f>
        <v>B1G2</v>
      </c>
      <c r="P131" s="33" t="str">
        <f t="shared" ref="P131:P162" si="29">P130</f>
        <v>BXGY</v>
      </c>
    </row>
    <row r="132" spans="1:16" x14ac:dyDescent="0.25">
      <c r="A132" s="33" t="str">
        <f t="shared" si="24"/>
        <v>2024 JUL-SEPT B1G2</v>
      </c>
      <c r="B132" s="8">
        <f t="shared" si="25"/>
        <v>46099</v>
      </c>
      <c r="C132" s="8">
        <f t="shared" si="26"/>
        <v>46113</v>
      </c>
      <c r="D132" s="33">
        <v>3272</v>
      </c>
      <c r="E132" s="33">
        <v>336</v>
      </c>
      <c r="F132" s="33">
        <v>4</v>
      </c>
      <c r="G132" s="33">
        <v>1</v>
      </c>
      <c r="H132" s="33">
        <v>81588</v>
      </c>
      <c r="I132" s="33" t="s">
        <v>104</v>
      </c>
      <c r="J132" s="33">
        <v>20514838</v>
      </c>
      <c r="K132" s="33" t="s">
        <v>2150</v>
      </c>
      <c r="L132" s="33" t="s">
        <v>2155</v>
      </c>
      <c r="M132" s="34">
        <v>149900</v>
      </c>
      <c r="N132" s="37" t="str">
        <f t="shared" si="27"/>
        <v>BXGY</v>
      </c>
      <c r="O132" s="34" t="str">
        <f t="shared" si="28"/>
        <v>B1G2</v>
      </c>
      <c r="P132" s="33" t="str">
        <f t="shared" si="29"/>
        <v>BXGY</v>
      </c>
    </row>
    <row r="133" spans="1:16" x14ac:dyDescent="0.25">
      <c r="A133" s="33" t="str">
        <f t="shared" si="24"/>
        <v>2024 JUL-SEPT B1G2</v>
      </c>
      <c r="B133" s="8">
        <f t="shared" si="25"/>
        <v>46099</v>
      </c>
      <c r="C133" s="8">
        <f t="shared" si="26"/>
        <v>46113</v>
      </c>
      <c r="D133" s="33">
        <v>3272</v>
      </c>
      <c r="E133" s="33">
        <v>336</v>
      </c>
      <c r="F133" s="33">
        <v>4</v>
      </c>
      <c r="G133" s="33">
        <v>1</v>
      </c>
      <c r="H133" s="33">
        <v>81588</v>
      </c>
      <c r="I133" s="33" t="s">
        <v>104</v>
      </c>
      <c r="J133" s="33">
        <v>20514847</v>
      </c>
      <c r="K133" s="33" t="s">
        <v>2150</v>
      </c>
      <c r="L133" s="33" t="s">
        <v>2156</v>
      </c>
      <c r="M133" s="34">
        <v>149900</v>
      </c>
      <c r="N133" s="37" t="str">
        <f t="shared" si="27"/>
        <v>BXGY</v>
      </c>
      <c r="O133" s="34" t="str">
        <f t="shared" si="28"/>
        <v>B1G2</v>
      </c>
      <c r="P133" s="33" t="str">
        <f t="shared" si="29"/>
        <v>BXGY</v>
      </c>
    </row>
    <row r="134" spans="1:16" x14ac:dyDescent="0.25">
      <c r="A134" s="33" t="str">
        <f t="shared" si="24"/>
        <v>2024 JUL-SEPT B1G2</v>
      </c>
      <c r="B134" s="8">
        <f t="shared" si="25"/>
        <v>46099</v>
      </c>
      <c r="C134" s="8">
        <f t="shared" si="26"/>
        <v>46113</v>
      </c>
      <c r="D134" s="33">
        <v>3272</v>
      </c>
      <c r="E134" s="33">
        <v>336</v>
      </c>
      <c r="F134" s="33">
        <v>4</v>
      </c>
      <c r="G134" s="33">
        <v>1</v>
      </c>
      <c r="H134" s="33">
        <v>81588</v>
      </c>
      <c r="I134" s="33" t="s">
        <v>104</v>
      </c>
      <c r="J134" s="33">
        <v>20514114</v>
      </c>
      <c r="K134" s="33" t="s">
        <v>2165</v>
      </c>
      <c r="L134" s="33" t="s">
        <v>2166</v>
      </c>
      <c r="M134" s="34">
        <v>139900</v>
      </c>
      <c r="N134" s="37" t="str">
        <f t="shared" si="27"/>
        <v>BXGY</v>
      </c>
      <c r="O134" s="34" t="str">
        <f t="shared" si="28"/>
        <v>B1G2</v>
      </c>
      <c r="P134" s="33" t="str">
        <f t="shared" si="29"/>
        <v>BXGY</v>
      </c>
    </row>
    <row r="135" spans="1:16" x14ac:dyDescent="0.25">
      <c r="A135" s="33" t="str">
        <f t="shared" si="24"/>
        <v>2024 JUL-SEPT B1G2</v>
      </c>
      <c r="B135" s="8">
        <f t="shared" si="25"/>
        <v>46099</v>
      </c>
      <c r="C135" s="8">
        <f t="shared" si="26"/>
        <v>46113</v>
      </c>
      <c r="D135" s="33">
        <v>3272</v>
      </c>
      <c r="E135" s="33">
        <v>336</v>
      </c>
      <c r="F135" s="33">
        <v>4</v>
      </c>
      <c r="G135" s="33">
        <v>1</v>
      </c>
      <c r="H135" s="33">
        <v>81588</v>
      </c>
      <c r="I135" s="33" t="s">
        <v>104</v>
      </c>
      <c r="J135" s="33">
        <v>20514123</v>
      </c>
      <c r="K135" s="33" t="s">
        <v>2165</v>
      </c>
      <c r="L135" s="33" t="s">
        <v>2167</v>
      </c>
      <c r="M135" s="34">
        <v>139900</v>
      </c>
      <c r="N135" s="37" t="str">
        <f t="shared" si="27"/>
        <v>BXGY</v>
      </c>
      <c r="O135" s="34" t="str">
        <f t="shared" si="28"/>
        <v>B1G2</v>
      </c>
      <c r="P135" s="33" t="str">
        <f t="shared" si="29"/>
        <v>BXGY</v>
      </c>
    </row>
    <row r="136" spans="1:16" x14ac:dyDescent="0.25">
      <c r="A136" s="33" t="str">
        <f t="shared" si="24"/>
        <v>2024 JUL-SEPT B1G2</v>
      </c>
      <c r="B136" s="8">
        <f t="shared" si="25"/>
        <v>46099</v>
      </c>
      <c r="C136" s="8">
        <f t="shared" si="26"/>
        <v>46113</v>
      </c>
      <c r="D136" s="33">
        <v>3272</v>
      </c>
      <c r="E136" s="33">
        <v>336</v>
      </c>
      <c r="F136" s="33">
        <v>4</v>
      </c>
      <c r="G136" s="33">
        <v>1</v>
      </c>
      <c r="H136" s="33">
        <v>81588</v>
      </c>
      <c r="I136" s="33" t="s">
        <v>104</v>
      </c>
      <c r="J136" s="33">
        <v>20514132</v>
      </c>
      <c r="K136" s="33" t="s">
        <v>2165</v>
      </c>
      <c r="L136" s="33" t="s">
        <v>2168</v>
      </c>
      <c r="M136" s="34">
        <v>139900</v>
      </c>
      <c r="N136" s="37" t="str">
        <f t="shared" si="27"/>
        <v>BXGY</v>
      </c>
      <c r="O136" s="34" t="str">
        <f t="shared" si="28"/>
        <v>B1G2</v>
      </c>
      <c r="P136" s="33" t="str">
        <f t="shared" si="29"/>
        <v>BXGY</v>
      </c>
    </row>
    <row r="137" spans="1:16" x14ac:dyDescent="0.25">
      <c r="A137" s="33" t="str">
        <f t="shared" si="24"/>
        <v>2024 JUL-SEPT B1G2</v>
      </c>
      <c r="B137" s="8">
        <f t="shared" si="25"/>
        <v>46099</v>
      </c>
      <c r="C137" s="8">
        <f t="shared" si="26"/>
        <v>46113</v>
      </c>
      <c r="D137" s="33">
        <v>3272</v>
      </c>
      <c r="E137" s="33">
        <v>336</v>
      </c>
      <c r="F137" s="33">
        <v>4</v>
      </c>
      <c r="G137" s="33">
        <v>1</v>
      </c>
      <c r="H137" s="33">
        <v>81588</v>
      </c>
      <c r="I137" s="33" t="s">
        <v>104</v>
      </c>
      <c r="J137" s="33">
        <v>20514249</v>
      </c>
      <c r="K137" s="33" t="s">
        <v>2165</v>
      </c>
      <c r="L137" s="33" t="s">
        <v>2169</v>
      </c>
      <c r="M137" s="34">
        <v>139900</v>
      </c>
      <c r="N137" s="37" t="str">
        <f t="shared" si="27"/>
        <v>BXGY</v>
      </c>
      <c r="O137" s="34" t="str">
        <f t="shared" si="28"/>
        <v>B1G2</v>
      </c>
      <c r="P137" s="33" t="str">
        <f t="shared" si="29"/>
        <v>BXGY</v>
      </c>
    </row>
    <row r="138" spans="1:16" x14ac:dyDescent="0.25">
      <c r="A138" s="33" t="str">
        <f t="shared" si="24"/>
        <v>2024 JUL-SEPT B1G2</v>
      </c>
      <c r="B138" s="8">
        <f t="shared" si="25"/>
        <v>46099</v>
      </c>
      <c r="C138" s="8">
        <f t="shared" si="26"/>
        <v>46113</v>
      </c>
      <c r="D138" s="33">
        <v>3272</v>
      </c>
      <c r="E138" s="33">
        <v>336</v>
      </c>
      <c r="F138" s="33">
        <v>4</v>
      </c>
      <c r="G138" s="33">
        <v>1</v>
      </c>
      <c r="H138" s="33">
        <v>81588</v>
      </c>
      <c r="I138" s="33" t="s">
        <v>104</v>
      </c>
      <c r="J138" s="33">
        <v>20514285</v>
      </c>
      <c r="K138" s="33" t="s">
        <v>2165</v>
      </c>
      <c r="L138" s="33" t="s">
        <v>2170</v>
      </c>
      <c r="M138" s="34">
        <v>139900</v>
      </c>
      <c r="N138" s="37" t="str">
        <f t="shared" si="27"/>
        <v>BXGY</v>
      </c>
      <c r="O138" s="34" t="str">
        <f t="shared" si="28"/>
        <v>B1G2</v>
      </c>
      <c r="P138" s="33" t="str">
        <f t="shared" si="29"/>
        <v>BXGY</v>
      </c>
    </row>
    <row r="139" spans="1:16" x14ac:dyDescent="0.25">
      <c r="A139" s="33" t="str">
        <f t="shared" si="24"/>
        <v>2024 JUL-SEPT B1G2</v>
      </c>
      <c r="B139" s="8">
        <f t="shared" si="25"/>
        <v>46099</v>
      </c>
      <c r="C139" s="8">
        <f t="shared" si="26"/>
        <v>46113</v>
      </c>
      <c r="D139" s="33">
        <v>3272</v>
      </c>
      <c r="E139" s="33">
        <v>336</v>
      </c>
      <c r="F139" s="33">
        <v>4</v>
      </c>
      <c r="G139" s="33">
        <v>1</v>
      </c>
      <c r="H139" s="33">
        <v>81588</v>
      </c>
      <c r="I139" s="33" t="s">
        <v>104</v>
      </c>
      <c r="J139" s="33">
        <v>20514301</v>
      </c>
      <c r="K139" s="33" t="s">
        <v>2165</v>
      </c>
      <c r="L139" s="33" t="s">
        <v>2171</v>
      </c>
      <c r="M139" s="34">
        <v>139900</v>
      </c>
      <c r="N139" s="37" t="str">
        <f t="shared" si="27"/>
        <v>BXGY</v>
      </c>
      <c r="O139" s="34" t="str">
        <f t="shared" si="28"/>
        <v>B1G2</v>
      </c>
      <c r="P139" s="33" t="str">
        <f t="shared" si="29"/>
        <v>BXGY</v>
      </c>
    </row>
    <row r="140" spans="1:16" x14ac:dyDescent="0.25">
      <c r="A140" s="33" t="str">
        <f t="shared" si="24"/>
        <v>2024 JUL-SEPT B1G2</v>
      </c>
      <c r="B140" s="8">
        <f t="shared" si="25"/>
        <v>46099</v>
      </c>
      <c r="C140" s="8">
        <f t="shared" si="26"/>
        <v>46113</v>
      </c>
      <c r="D140" s="33">
        <v>3272</v>
      </c>
      <c r="E140" s="33">
        <v>336</v>
      </c>
      <c r="F140" s="33">
        <v>4</v>
      </c>
      <c r="G140" s="33">
        <v>1</v>
      </c>
      <c r="H140" s="33">
        <v>81588</v>
      </c>
      <c r="I140" s="33" t="s">
        <v>104</v>
      </c>
      <c r="J140" s="33">
        <v>20514310</v>
      </c>
      <c r="K140" s="33" t="s">
        <v>2165</v>
      </c>
      <c r="L140" s="33" t="s">
        <v>2172</v>
      </c>
      <c r="M140" s="34">
        <v>139900</v>
      </c>
      <c r="N140" s="37" t="str">
        <f t="shared" si="27"/>
        <v>BXGY</v>
      </c>
      <c r="O140" s="34" t="str">
        <f t="shared" si="28"/>
        <v>B1G2</v>
      </c>
      <c r="P140" s="33" t="str">
        <f t="shared" si="29"/>
        <v>BXGY</v>
      </c>
    </row>
    <row r="141" spans="1:16" x14ac:dyDescent="0.25">
      <c r="A141" s="33" t="str">
        <f t="shared" si="24"/>
        <v>2024 JUL-SEPT B1G2</v>
      </c>
      <c r="B141" s="8">
        <f t="shared" si="25"/>
        <v>46099</v>
      </c>
      <c r="C141" s="8">
        <f t="shared" si="26"/>
        <v>46113</v>
      </c>
      <c r="D141" s="33">
        <v>3272</v>
      </c>
      <c r="E141" s="33">
        <v>336</v>
      </c>
      <c r="F141" s="33">
        <v>4</v>
      </c>
      <c r="G141" s="33">
        <v>1</v>
      </c>
      <c r="H141" s="33">
        <v>81588</v>
      </c>
      <c r="I141" s="33" t="s">
        <v>104</v>
      </c>
      <c r="J141" s="33">
        <v>20514329</v>
      </c>
      <c r="K141" s="33" t="s">
        <v>2165</v>
      </c>
      <c r="L141" s="33" t="s">
        <v>2173</v>
      </c>
      <c r="M141" s="34">
        <v>139900</v>
      </c>
      <c r="N141" s="37" t="str">
        <f t="shared" si="27"/>
        <v>BXGY</v>
      </c>
      <c r="O141" s="34" t="str">
        <f t="shared" si="28"/>
        <v>B1G2</v>
      </c>
      <c r="P141" s="33" t="str">
        <f t="shared" si="29"/>
        <v>BXGY</v>
      </c>
    </row>
    <row r="142" spans="1:16" x14ac:dyDescent="0.25">
      <c r="A142" s="33" t="str">
        <f t="shared" si="24"/>
        <v>2024 JUL-SEPT B1G2</v>
      </c>
      <c r="B142" s="8">
        <f t="shared" si="25"/>
        <v>46099</v>
      </c>
      <c r="C142" s="8">
        <f t="shared" si="26"/>
        <v>46113</v>
      </c>
      <c r="D142" s="33">
        <v>3272</v>
      </c>
      <c r="E142" s="33">
        <v>336</v>
      </c>
      <c r="F142" s="33">
        <v>4</v>
      </c>
      <c r="G142" s="33">
        <v>1</v>
      </c>
      <c r="H142" s="33">
        <v>81588</v>
      </c>
      <c r="I142" s="33" t="s">
        <v>104</v>
      </c>
      <c r="J142" s="33">
        <v>20514392</v>
      </c>
      <c r="K142" s="33" t="s">
        <v>2174</v>
      </c>
      <c r="L142" s="33" t="s">
        <v>2175</v>
      </c>
      <c r="M142" s="34">
        <v>149900</v>
      </c>
      <c r="N142" s="37" t="str">
        <f t="shared" si="27"/>
        <v>BXGY</v>
      </c>
      <c r="O142" s="34" t="str">
        <f t="shared" si="28"/>
        <v>B1G2</v>
      </c>
      <c r="P142" s="33" t="str">
        <f t="shared" si="29"/>
        <v>BXGY</v>
      </c>
    </row>
    <row r="143" spans="1:16" x14ac:dyDescent="0.25">
      <c r="A143" s="33" t="str">
        <f t="shared" si="24"/>
        <v>2024 JUL-SEPT B1G2</v>
      </c>
      <c r="B143" s="8">
        <f t="shared" si="25"/>
        <v>46099</v>
      </c>
      <c r="C143" s="8">
        <f t="shared" si="26"/>
        <v>46113</v>
      </c>
      <c r="D143" s="33">
        <v>3272</v>
      </c>
      <c r="E143" s="33">
        <v>336</v>
      </c>
      <c r="F143" s="33">
        <v>4</v>
      </c>
      <c r="G143" s="33">
        <v>1</v>
      </c>
      <c r="H143" s="33">
        <v>81588</v>
      </c>
      <c r="I143" s="33" t="s">
        <v>104</v>
      </c>
      <c r="J143" s="33">
        <v>20514454</v>
      </c>
      <c r="K143" s="33" t="s">
        <v>2174</v>
      </c>
      <c r="L143" s="33" t="s">
        <v>2176</v>
      </c>
      <c r="M143" s="34">
        <v>149900</v>
      </c>
      <c r="N143" s="37" t="str">
        <f t="shared" si="27"/>
        <v>BXGY</v>
      </c>
      <c r="O143" s="34" t="str">
        <f t="shared" si="28"/>
        <v>B1G2</v>
      </c>
      <c r="P143" s="33" t="str">
        <f t="shared" si="29"/>
        <v>BXGY</v>
      </c>
    </row>
    <row r="144" spans="1:16" x14ac:dyDescent="0.25">
      <c r="A144" s="33" t="str">
        <f t="shared" si="24"/>
        <v>2024 JUL-SEPT B1G2</v>
      </c>
      <c r="B144" s="8">
        <f t="shared" si="25"/>
        <v>46099</v>
      </c>
      <c r="C144" s="8">
        <f t="shared" si="26"/>
        <v>46113</v>
      </c>
      <c r="D144" s="33">
        <v>3272</v>
      </c>
      <c r="E144" s="33">
        <v>336</v>
      </c>
      <c r="F144" s="33">
        <v>4</v>
      </c>
      <c r="G144" s="33">
        <v>1</v>
      </c>
      <c r="H144" s="33">
        <v>81588</v>
      </c>
      <c r="I144" s="33" t="s">
        <v>104</v>
      </c>
      <c r="J144" s="33">
        <v>20514534</v>
      </c>
      <c r="K144" s="33" t="s">
        <v>2174</v>
      </c>
      <c r="L144" s="33" t="s">
        <v>2177</v>
      </c>
      <c r="M144" s="34">
        <v>149900</v>
      </c>
      <c r="N144" s="37" t="str">
        <f t="shared" si="27"/>
        <v>BXGY</v>
      </c>
      <c r="O144" s="34" t="str">
        <f t="shared" si="28"/>
        <v>B1G2</v>
      </c>
      <c r="P144" s="33" t="str">
        <f t="shared" si="29"/>
        <v>BXGY</v>
      </c>
    </row>
    <row r="145" spans="1:16" x14ac:dyDescent="0.25">
      <c r="A145" s="33" t="str">
        <f t="shared" si="24"/>
        <v>2024 JUL-SEPT B1G2</v>
      </c>
      <c r="B145" s="8">
        <f t="shared" si="25"/>
        <v>46099</v>
      </c>
      <c r="C145" s="8">
        <f t="shared" si="26"/>
        <v>46113</v>
      </c>
      <c r="D145" s="33">
        <v>3272</v>
      </c>
      <c r="E145" s="33">
        <v>336</v>
      </c>
      <c r="F145" s="33">
        <v>4</v>
      </c>
      <c r="G145" s="33">
        <v>1</v>
      </c>
      <c r="H145" s="33">
        <v>81588</v>
      </c>
      <c r="I145" s="33" t="s">
        <v>104</v>
      </c>
      <c r="J145" s="33">
        <v>20514561</v>
      </c>
      <c r="K145" s="33" t="s">
        <v>2174</v>
      </c>
      <c r="L145" s="33" t="s">
        <v>2178</v>
      </c>
      <c r="M145" s="34">
        <v>149900</v>
      </c>
      <c r="N145" s="37" t="str">
        <f t="shared" si="27"/>
        <v>BXGY</v>
      </c>
      <c r="O145" s="34" t="str">
        <f t="shared" si="28"/>
        <v>B1G2</v>
      </c>
      <c r="P145" s="33" t="str">
        <f t="shared" si="29"/>
        <v>BXGY</v>
      </c>
    </row>
    <row r="146" spans="1:16" x14ac:dyDescent="0.25">
      <c r="A146" s="33" t="str">
        <f t="shared" si="24"/>
        <v>2024 JUL-SEPT B1G2</v>
      </c>
      <c r="B146" s="8">
        <f t="shared" si="25"/>
        <v>46099</v>
      </c>
      <c r="C146" s="8">
        <f t="shared" si="26"/>
        <v>46113</v>
      </c>
      <c r="D146" s="33">
        <v>3272</v>
      </c>
      <c r="E146" s="33">
        <v>336</v>
      </c>
      <c r="F146" s="33">
        <v>4</v>
      </c>
      <c r="G146" s="33">
        <v>1</v>
      </c>
      <c r="H146" s="33">
        <v>81588</v>
      </c>
      <c r="I146" s="33" t="s">
        <v>104</v>
      </c>
      <c r="J146" s="33">
        <v>20514570</v>
      </c>
      <c r="K146" s="33" t="s">
        <v>2174</v>
      </c>
      <c r="L146" s="33" t="s">
        <v>2179</v>
      </c>
      <c r="M146" s="34">
        <v>149900</v>
      </c>
      <c r="N146" s="37" t="str">
        <f t="shared" si="27"/>
        <v>BXGY</v>
      </c>
      <c r="O146" s="34" t="str">
        <f t="shared" si="28"/>
        <v>B1G2</v>
      </c>
      <c r="P146" s="33" t="str">
        <f t="shared" si="29"/>
        <v>BXGY</v>
      </c>
    </row>
    <row r="147" spans="1:16" x14ac:dyDescent="0.25">
      <c r="A147" s="33" t="str">
        <f t="shared" si="24"/>
        <v>2024 JUL-SEPT B1G2</v>
      </c>
      <c r="B147" s="8">
        <f t="shared" si="25"/>
        <v>46099</v>
      </c>
      <c r="C147" s="8">
        <f t="shared" si="26"/>
        <v>46113</v>
      </c>
      <c r="D147" s="33">
        <v>3272</v>
      </c>
      <c r="E147" s="33">
        <v>336</v>
      </c>
      <c r="F147" s="33">
        <v>4</v>
      </c>
      <c r="G147" s="33">
        <v>1</v>
      </c>
      <c r="H147" s="33">
        <v>81588</v>
      </c>
      <c r="I147" s="33" t="s">
        <v>104</v>
      </c>
      <c r="J147" s="33">
        <v>20514598</v>
      </c>
      <c r="K147" s="33" t="s">
        <v>2174</v>
      </c>
      <c r="L147" s="33" t="s">
        <v>2180</v>
      </c>
      <c r="M147" s="34">
        <v>149900</v>
      </c>
      <c r="N147" s="37" t="str">
        <f t="shared" si="27"/>
        <v>BXGY</v>
      </c>
      <c r="O147" s="34" t="str">
        <f t="shared" si="28"/>
        <v>B1G2</v>
      </c>
      <c r="P147" s="33" t="str">
        <f t="shared" si="29"/>
        <v>BXGY</v>
      </c>
    </row>
    <row r="148" spans="1:16" x14ac:dyDescent="0.25">
      <c r="A148" s="33" t="str">
        <f t="shared" si="24"/>
        <v>2024 JUL-SEPT B1G2</v>
      </c>
      <c r="B148" s="8">
        <f t="shared" si="25"/>
        <v>46099</v>
      </c>
      <c r="C148" s="8">
        <f t="shared" si="26"/>
        <v>46113</v>
      </c>
      <c r="D148" s="33">
        <v>3272</v>
      </c>
      <c r="E148" s="33">
        <v>336</v>
      </c>
      <c r="F148" s="33">
        <v>4</v>
      </c>
      <c r="G148" s="33">
        <v>1</v>
      </c>
      <c r="H148" s="33">
        <v>81588</v>
      </c>
      <c r="I148" s="33" t="s">
        <v>104</v>
      </c>
      <c r="J148" s="33">
        <v>20514614</v>
      </c>
      <c r="K148" s="33" t="s">
        <v>2174</v>
      </c>
      <c r="L148" s="33" t="s">
        <v>2181</v>
      </c>
      <c r="M148" s="34">
        <v>149900</v>
      </c>
      <c r="N148" s="37" t="str">
        <f t="shared" si="27"/>
        <v>BXGY</v>
      </c>
      <c r="O148" s="34" t="str">
        <f t="shared" si="28"/>
        <v>B1G2</v>
      </c>
      <c r="P148" s="33" t="str">
        <f t="shared" si="29"/>
        <v>BXGY</v>
      </c>
    </row>
    <row r="149" spans="1:16" x14ac:dyDescent="0.25">
      <c r="A149" s="33" t="str">
        <f t="shared" si="24"/>
        <v>2024 JUL-SEPT B1G2</v>
      </c>
      <c r="B149" s="8">
        <f t="shared" si="25"/>
        <v>46099</v>
      </c>
      <c r="C149" s="8">
        <f t="shared" si="26"/>
        <v>46113</v>
      </c>
      <c r="D149" s="33">
        <v>3272</v>
      </c>
      <c r="E149" s="33">
        <v>336</v>
      </c>
      <c r="F149" s="33">
        <v>4</v>
      </c>
      <c r="G149" s="33">
        <v>1</v>
      </c>
      <c r="H149" s="33">
        <v>81588</v>
      </c>
      <c r="I149" s="33" t="s">
        <v>104</v>
      </c>
      <c r="J149" s="33">
        <v>20514632</v>
      </c>
      <c r="K149" s="33" t="s">
        <v>2174</v>
      </c>
      <c r="L149" s="33" t="s">
        <v>2182</v>
      </c>
      <c r="M149" s="34">
        <v>149900</v>
      </c>
      <c r="N149" s="37" t="str">
        <f t="shared" si="27"/>
        <v>BXGY</v>
      </c>
      <c r="O149" s="34" t="str">
        <f t="shared" si="28"/>
        <v>B1G2</v>
      </c>
      <c r="P149" s="33" t="str">
        <f t="shared" si="29"/>
        <v>BXGY</v>
      </c>
    </row>
    <row r="150" spans="1:16" x14ac:dyDescent="0.25">
      <c r="A150" s="33" t="str">
        <f t="shared" si="24"/>
        <v>2024 JUL-SEPT B1G2</v>
      </c>
      <c r="B150" s="8">
        <f t="shared" si="25"/>
        <v>46099</v>
      </c>
      <c r="C150" s="8">
        <f t="shared" si="26"/>
        <v>46113</v>
      </c>
      <c r="D150" s="33">
        <v>3272</v>
      </c>
      <c r="E150" s="33">
        <v>336</v>
      </c>
      <c r="F150" s="33">
        <v>4</v>
      </c>
      <c r="G150" s="33">
        <v>1</v>
      </c>
      <c r="H150" s="33">
        <v>81588</v>
      </c>
      <c r="I150" s="33" t="s">
        <v>104</v>
      </c>
      <c r="J150" s="33">
        <v>20515113</v>
      </c>
      <c r="K150" s="33" t="s">
        <v>2183</v>
      </c>
      <c r="L150" s="33" t="s">
        <v>2184</v>
      </c>
      <c r="M150" s="34">
        <v>139900</v>
      </c>
      <c r="N150" s="37" t="str">
        <f t="shared" si="27"/>
        <v>BXGY</v>
      </c>
      <c r="O150" s="34" t="str">
        <f t="shared" si="28"/>
        <v>B1G2</v>
      </c>
      <c r="P150" s="33" t="str">
        <f t="shared" si="29"/>
        <v>BXGY</v>
      </c>
    </row>
    <row r="151" spans="1:16" x14ac:dyDescent="0.25">
      <c r="A151" s="33" t="str">
        <f t="shared" si="24"/>
        <v>2024 JUL-SEPT B1G2</v>
      </c>
      <c r="B151" s="8">
        <f t="shared" si="25"/>
        <v>46099</v>
      </c>
      <c r="C151" s="8">
        <f t="shared" si="26"/>
        <v>46113</v>
      </c>
      <c r="D151" s="33">
        <v>3272</v>
      </c>
      <c r="E151" s="33">
        <v>336</v>
      </c>
      <c r="F151" s="33">
        <v>4</v>
      </c>
      <c r="G151" s="33">
        <v>1</v>
      </c>
      <c r="H151" s="33">
        <v>81588</v>
      </c>
      <c r="I151" s="33" t="s">
        <v>104</v>
      </c>
      <c r="J151" s="33">
        <v>20515122</v>
      </c>
      <c r="K151" s="33" t="s">
        <v>2183</v>
      </c>
      <c r="L151" s="33" t="s">
        <v>2185</v>
      </c>
      <c r="M151" s="34">
        <v>139900</v>
      </c>
      <c r="N151" s="37" t="str">
        <f t="shared" si="27"/>
        <v>BXGY</v>
      </c>
      <c r="O151" s="34" t="str">
        <f t="shared" si="28"/>
        <v>B1G2</v>
      </c>
      <c r="P151" s="33" t="str">
        <f t="shared" si="29"/>
        <v>BXGY</v>
      </c>
    </row>
    <row r="152" spans="1:16" x14ac:dyDescent="0.25">
      <c r="A152" s="33" t="str">
        <f t="shared" si="24"/>
        <v>2024 JUL-SEPT B1G2</v>
      </c>
      <c r="B152" s="8">
        <f t="shared" si="25"/>
        <v>46099</v>
      </c>
      <c r="C152" s="8">
        <f t="shared" si="26"/>
        <v>46113</v>
      </c>
      <c r="D152" s="33">
        <v>3272</v>
      </c>
      <c r="E152" s="33">
        <v>336</v>
      </c>
      <c r="F152" s="33">
        <v>4</v>
      </c>
      <c r="G152" s="33">
        <v>1</v>
      </c>
      <c r="H152" s="33">
        <v>81588</v>
      </c>
      <c r="I152" s="33" t="s">
        <v>104</v>
      </c>
      <c r="J152" s="33">
        <v>20515140</v>
      </c>
      <c r="K152" s="33" t="s">
        <v>2183</v>
      </c>
      <c r="L152" s="33" t="s">
        <v>2186</v>
      </c>
      <c r="M152" s="34">
        <v>139900</v>
      </c>
      <c r="N152" s="37" t="str">
        <f t="shared" si="27"/>
        <v>BXGY</v>
      </c>
      <c r="O152" s="34" t="str">
        <f t="shared" si="28"/>
        <v>B1G2</v>
      </c>
      <c r="P152" s="33" t="str">
        <f t="shared" si="29"/>
        <v>BXGY</v>
      </c>
    </row>
    <row r="153" spans="1:16" x14ac:dyDescent="0.25">
      <c r="A153" s="33" t="str">
        <f t="shared" si="24"/>
        <v>2024 JUL-SEPT B1G2</v>
      </c>
      <c r="B153" s="8">
        <f t="shared" si="25"/>
        <v>46099</v>
      </c>
      <c r="C153" s="8">
        <f t="shared" si="26"/>
        <v>46113</v>
      </c>
      <c r="D153" s="33">
        <v>3272</v>
      </c>
      <c r="E153" s="33">
        <v>336</v>
      </c>
      <c r="F153" s="33">
        <v>4</v>
      </c>
      <c r="G153" s="33">
        <v>1</v>
      </c>
      <c r="H153" s="33">
        <v>81588</v>
      </c>
      <c r="I153" s="33" t="s">
        <v>104</v>
      </c>
      <c r="J153" s="33">
        <v>20515159</v>
      </c>
      <c r="K153" s="33" t="s">
        <v>2183</v>
      </c>
      <c r="L153" s="33" t="s">
        <v>2187</v>
      </c>
      <c r="M153" s="34">
        <v>139900</v>
      </c>
      <c r="N153" s="37" t="str">
        <f t="shared" si="27"/>
        <v>BXGY</v>
      </c>
      <c r="O153" s="34" t="str">
        <f t="shared" si="28"/>
        <v>B1G2</v>
      </c>
      <c r="P153" s="33" t="str">
        <f t="shared" si="29"/>
        <v>BXGY</v>
      </c>
    </row>
    <row r="154" spans="1:16" x14ac:dyDescent="0.25">
      <c r="A154" s="33" t="str">
        <f t="shared" si="24"/>
        <v>2024 JUL-SEPT B1G2</v>
      </c>
      <c r="B154" s="8">
        <f t="shared" si="25"/>
        <v>46099</v>
      </c>
      <c r="C154" s="8">
        <f t="shared" si="26"/>
        <v>46113</v>
      </c>
      <c r="D154" s="33">
        <v>3272</v>
      </c>
      <c r="E154" s="33">
        <v>336</v>
      </c>
      <c r="F154" s="33">
        <v>4</v>
      </c>
      <c r="G154" s="33">
        <v>1</v>
      </c>
      <c r="H154" s="33">
        <v>81588</v>
      </c>
      <c r="I154" s="33" t="s">
        <v>104</v>
      </c>
      <c r="J154" s="33">
        <v>20515168</v>
      </c>
      <c r="K154" s="33" t="s">
        <v>2183</v>
      </c>
      <c r="L154" s="33" t="s">
        <v>2188</v>
      </c>
      <c r="M154" s="34">
        <v>139900</v>
      </c>
      <c r="N154" s="37" t="str">
        <f t="shared" si="27"/>
        <v>BXGY</v>
      </c>
      <c r="O154" s="34" t="str">
        <f t="shared" si="28"/>
        <v>B1G2</v>
      </c>
      <c r="P154" s="33" t="str">
        <f t="shared" si="29"/>
        <v>BXGY</v>
      </c>
    </row>
    <row r="155" spans="1:16" x14ac:dyDescent="0.25">
      <c r="A155" s="33" t="str">
        <f t="shared" si="24"/>
        <v>2024 JUL-SEPT B1G2</v>
      </c>
      <c r="B155" s="8">
        <f t="shared" si="25"/>
        <v>46099</v>
      </c>
      <c r="C155" s="8">
        <f t="shared" si="26"/>
        <v>46113</v>
      </c>
      <c r="D155" s="33">
        <v>3272</v>
      </c>
      <c r="E155" s="33">
        <v>336</v>
      </c>
      <c r="F155" s="33">
        <v>4</v>
      </c>
      <c r="G155" s="33">
        <v>1</v>
      </c>
      <c r="H155" s="33">
        <v>81588</v>
      </c>
      <c r="I155" s="33" t="s">
        <v>104</v>
      </c>
      <c r="J155" s="33">
        <v>20515177</v>
      </c>
      <c r="K155" s="33" t="s">
        <v>2183</v>
      </c>
      <c r="L155" s="33" t="s">
        <v>2189</v>
      </c>
      <c r="M155" s="34">
        <v>139900</v>
      </c>
      <c r="N155" s="37" t="str">
        <f t="shared" si="27"/>
        <v>BXGY</v>
      </c>
      <c r="O155" s="34" t="str">
        <f t="shared" si="28"/>
        <v>B1G2</v>
      </c>
      <c r="P155" s="33" t="str">
        <f t="shared" si="29"/>
        <v>BXGY</v>
      </c>
    </row>
    <row r="156" spans="1:16" x14ac:dyDescent="0.25">
      <c r="A156" s="33" t="str">
        <f t="shared" si="24"/>
        <v>2024 JUL-SEPT B1G2</v>
      </c>
      <c r="B156" s="8">
        <f t="shared" si="25"/>
        <v>46099</v>
      </c>
      <c r="C156" s="8">
        <f t="shared" si="26"/>
        <v>46113</v>
      </c>
      <c r="D156" s="33">
        <v>3272</v>
      </c>
      <c r="E156" s="33">
        <v>336</v>
      </c>
      <c r="F156" s="33">
        <v>4</v>
      </c>
      <c r="G156" s="33">
        <v>1</v>
      </c>
      <c r="H156" s="33">
        <v>81588</v>
      </c>
      <c r="I156" s="33" t="s">
        <v>104</v>
      </c>
      <c r="J156" s="33">
        <v>20515186</v>
      </c>
      <c r="K156" s="33" t="s">
        <v>2183</v>
      </c>
      <c r="L156" s="33" t="s">
        <v>2190</v>
      </c>
      <c r="M156" s="34">
        <v>139900</v>
      </c>
      <c r="N156" s="37" t="str">
        <f t="shared" si="27"/>
        <v>BXGY</v>
      </c>
      <c r="O156" s="34" t="str">
        <f t="shared" si="28"/>
        <v>B1G2</v>
      </c>
      <c r="P156" s="33" t="str">
        <f t="shared" si="29"/>
        <v>BXGY</v>
      </c>
    </row>
    <row r="157" spans="1:16" x14ac:dyDescent="0.25">
      <c r="A157" s="33" t="str">
        <f t="shared" si="24"/>
        <v>2024 JUL-SEPT B1G2</v>
      </c>
      <c r="B157" s="8">
        <f t="shared" si="25"/>
        <v>46099</v>
      </c>
      <c r="C157" s="8">
        <f t="shared" si="26"/>
        <v>46113</v>
      </c>
      <c r="D157" s="33">
        <v>3272</v>
      </c>
      <c r="E157" s="33">
        <v>336</v>
      </c>
      <c r="F157" s="33">
        <v>4</v>
      </c>
      <c r="G157" s="33">
        <v>1</v>
      </c>
      <c r="H157" s="33">
        <v>81588</v>
      </c>
      <c r="I157" s="33" t="s">
        <v>104</v>
      </c>
      <c r="J157" s="33">
        <v>20515195</v>
      </c>
      <c r="K157" s="33" t="s">
        <v>2183</v>
      </c>
      <c r="L157" s="33" t="s">
        <v>2191</v>
      </c>
      <c r="M157" s="34">
        <v>139900</v>
      </c>
      <c r="N157" s="37" t="str">
        <f t="shared" si="27"/>
        <v>BXGY</v>
      </c>
      <c r="O157" s="34" t="str">
        <f t="shared" si="28"/>
        <v>B1G2</v>
      </c>
      <c r="P157" s="33" t="str">
        <f t="shared" si="29"/>
        <v>BXGY</v>
      </c>
    </row>
    <row r="158" spans="1:16" x14ac:dyDescent="0.25">
      <c r="A158" s="33" t="str">
        <f t="shared" si="24"/>
        <v>2024 JUL-SEPT B1G2</v>
      </c>
      <c r="B158" s="8">
        <f t="shared" si="25"/>
        <v>46099</v>
      </c>
      <c r="C158" s="8">
        <f t="shared" si="26"/>
        <v>46113</v>
      </c>
      <c r="D158" s="33">
        <v>3272</v>
      </c>
      <c r="E158" s="33">
        <v>336</v>
      </c>
      <c r="F158" s="33">
        <v>4</v>
      </c>
      <c r="G158" s="33">
        <v>1</v>
      </c>
      <c r="H158" s="33">
        <v>81588</v>
      </c>
      <c r="I158" s="33" t="s">
        <v>104</v>
      </c>
      <c r="J158" s="33">
        <v>20515202</v>
      </c>
      <c r="K158" s="33" t="s">
        <v>2192</v>
      </c>
      <c r="L158" s="33" t="s">
        <v>2193</v>
      </c>
      <c r="M158" s="34">
        <v>149900</v>
      </c>
      <c r="N158" s="37" t="str">
        <f t="shared" si="27"/>
        <v>BXGY</v>
      </c>
      <c r="O158" s="34" t="str">
        <f t="shared" si="28"/>
        <v>B1G2</v>
      </c>
      <c r="P158" s="33" t="str">
        <f t="shared" si="29"/>
        <v>BXGY</v>
      </c>
    </row>
    <row r="159" spans="1:16" x14ac:dyDescent="0.25">
      <c r="A159" s="33" t="str">
        <f t="shared" si="24"/>
        <v>2024 JUL-SEPT B1G2</v>
      </c>
      <c r="B159" s="8">
        <f t="shared" si="25"/>
        <v>46099</v>
      </c>
      <c r="C159" s="8">
        <f t="shared" si="26"/>
        <v>46113</v>
      </c>
      <c r="D159" s="33">
        <v>3272</v>
      </c>
      <c r="E159" s="33">
        <v>336</v>
      </c>
      <c r="F159" s="33">
        <v>4</v>
      </c>
      <c r="G159" s="33">
        <v>1</v>
      </c>
      <c r="H159" s="33">
        <v>81588</v>
      </c>
      <c r="I159" s="33" t="s">
        <v>104</v>
      </c>
      <c r="J159" s="33">
        <v>20515211</v>
      </c>
      <c r="K159" s="33" t="s">
        <v>2192</v>
      </c>
      <c r="L159" s="33" t="s">
        <v>2194</v>
      </c>
      <c r="M159" s="34">
        <v>149900</v>
      </c>
      <c r="N159" s="37" t="str">
        <f t="shared" si="27"/>
        <v>BXGY</v>
      </c>
      <c r="O159" s="34" t="str">
        <f t="shared" si="28"/>
        <v>B1G2</v>
      </c>
      <c r="P159" s="33" t="str">
        <f t="shared" si="29"/>
        <v>BXGY</v>
      </c>
    </row>
    <row r="160" spans="1:16" x14ac:dyDescent="0.25">
      <c r="A160" s="33" t="str">
        <f t="shared" si="24"/>
        <v>2024 JUL-SEPT B1G2</v>
      </c>
      <c r="B160" s="8">
        <f t="shared" si="25"/>
        <v>46099</v>
      </c>
      <c r="C160" s="8">
        <f t="shared" si="26"/>
        <v>46113</v>
      </c>
      <c r="D160" s="33">
        <v>3272</v>
      </c>
      <c r="E160" s="33">
        <v>336</v>
      </c>
      <c r="F160" s="33">
        <v>4</v>
      </c>
      <c r="G160" s="33">
        <v>1</v>
      </c>
      <c r="H160" s="33">
        <v>81588</v>
      </c>
      <c r="I160" s="33" t="s">
        <v>104</v>
      </c>
      <c r="J160" s="33">
        <v>20515220</v>
      </c>
      <c r="K160" s="33" t="s">
        <v>2192</v>
      </c>
      <c r="L160" s="33" t="s">
        <v>2195</v>
      </c>
      <c r="M160" s="34">
        <v>149900</v>
      </c>
      <c r="N160" s="37" t="str">
        <f t="shared" si="27"/>
        <v>BXGY</v>
      </c>
      <c r="O160" s="34" t="str">
        <f t="shared" si="28"/>
        <v>B1G2</v>
      </c>
      <c r="P160" s="33" t="str">
        <f t="shared" si="29"/>
        <v>BXGY</v>
      </c>
    </row>
    <row r="161" spans="1:16" x14ac:dyDescent="0.25">
      <c r="A161" s="33" t="str">
        <f t="shared" si="24"/>
        <v>2024 JUL-SEPT B1G2</v>
      </c>
      <c r="B161" s="8">
        <f t="shared" si="25"/>
        <v>46099</v>
      </c>
      <c r="C161" s="8">
        <f t="shared" si="26"/>
        <v>46113</v>
      </c>
      <c r="D161" s="33">
        <v>3272</v>
      </c>
      <c r="E161" s="33">
        <v>336</v>
      </c>
      <c r="F161" s="33">
        <v>4</v>
      </c>
      <c r="G161" s="33">
        <v>1</v>
      </c>
      <c r="H161" s="33">
        <v>81588</v>
      </c>
      <c r="I161" s="33" t="s">
        <v>104</v>
      </c>
      <c r="J161" s="33">
        <v>20515239</v>
      </c>
      <c r="K161" s="33" t="s">
        <v>2192</v>
      </c>
      <c r="L161" s="33" t="s">
        <v>2196</v>
      </c>
      <c r="M161" s="34">
        <v>149900</v>
      </c>
      <c r="N161" s="37" t="str">
        <f t="shared" si="27"/>
        <v>BXGY</v>
      </c>
      <c r="O161" s="34" t="str">
        <f t="shared" si="28"/>
        <v>B1G2</v>
      </c>
      <c r="P161" s="33" t="str">
        <f t="shared" si="29"/>
        <v>BXGY</v>
      </c>
    </row>
    <row r="162" spans="1:16" x14ac:dyDescent="0.25">
      <c r="A162" s="33" t="str">
        <f t="shared" si="24"/>
        <v>2024 JUL-SEPT B1G2</v>
      </c>
      <c r="B162" s="8">
        <f t="shared" si="25"/>
        <v>46099</v>
      </c>
      <c r="C162" s="8">
        <f t="shared" si="26"/>
        <v>46113</v>
      </c>
      <c r="D162" s="33">
        <v>3272</v>
      </c>
      <c r="E162" s="33">
        <v>336</v>
      </c>
      <c r="F162" s="33">
        <v>4</v>
      </c>
      <c r="G162" s="33">
        <v>1</v>
      </c>
      <c r="H162" s="33">
        <v>81588</v>
      </c>
      <c r="I162" s="33" t="s">
        <v>104</v>
      </c>
      <c r="J162" s="33">
        <v>20515248</v>
      </c>
      <c r="K162" s="33" t="s">
        <v>2192</v>
      </c>
      <c r="L162" s="33" t="s">
        <v>2197</v>
      </c>
      <c r="M162" s="34">
        <v>149900</v>
      </c>
      <c r="N162" s="37" t="str">
        <f t="shared" si="27"/>
        <v>BXGY</v>
      </c>
      <c r="O162" s="34" t="str">
        <f t="shared" si="28"/>
        <v>B1G2</v>
      </c>
      <c r="P162" s="33" t="str">
        <f t="shared" si="29"/>
        <v>BXGY</v>
      </c>
    </row>
    <row r="163" spans="1:16" x14ac:dyDescent="0.25">
      <c r="A163" s="33" t="str">
        <f t="shared" ref="A163:A194" si="30">A162</f>
        <v>2024 JUL-SEPT B1G2</v>
      </c>
      <c r="B163" s="8">
        <f t="shared" ref="B163:B194" si="31">B162</f>
        <v>46099</v>
      </c>
      <c r="C163" s="8">
        <f t="shared" ref="C163:C194" si="32">C162</f>
        <v>46113</v>
      </c>
      <c r="D163" s="33">
        <v>3272</v>
      </c>
      <c r="E163" s="33">
        <v>336</v>
      </c>
      <c r="F163" s="33">
        <v>4</v>
      </c>
      <c r="G163" s="33">
        <v>1</v>
      </c>
      <c r="H163" s="33">
        <v>81588</v>
      </c>
      <c r="I163" s="33" t="s">
        <v>104</v>
      </c>
      <c r="J163" s="33">
        <v>20515257</v>
      </c>
      <c r="K163" s="33" t="s">
        <v>2192</v>
      </c>
      <c r="L163" s="33" t="s">
        <v>2198</v>
      </c>
      <c r="M163" s="34">
        <v>149900</v>
      </c>
      <c r="N163" s="37" t="str">
        <f t="shared" ref="N163:N194" si="33">N162</f>
        <v>BXGY</v>
      </c>
      <c r="O163" s="34" t="str">
        <f t="shared" ref="O163:O194" si="34">O162</f>
        <v>B1G2</v>
      </c>
      <c r="P163" s="33" t="str">
        <f t="shared" ref="P163:P194" si="35">P162</f>
        <v>BXGY</v>
      </c>
    </row>
    <row r="164" spans="1:16" x14ac:dyDescent="0.25">
      <c r="A164" s="33" t="str">
        <f t="shared" si="30"/>
        <v>2024 JUL-SEPT B1G2</v>
      </c>
      <c r="B164" s="8">
        <f t="shared" si="31"/>
        <v>46099</v>
      </c>
      <c r="C164" s="8">
        <f t="shared" si="32"/>
        <v>46113</v>
      </c>
      <c r="D164" s="33">
        <v>3272</v>
      </c>
      <c r="E164" s="33">
        <v>336</v>
      </c>
      <c r="F164" s="33">
        <v>4</v>
      </c>
      <c r="G164" s="33">
        <v>1</v>
      </c>
      <c r="H164" s="33">
        <v>81588</v>
      </c>
      <c r="I164" s="33" t="s">
        <v>104</v>
      </c>
      <c r="J164" s="33">
        <v>20515266</v>
      </c>
      <c r="K164" s="33" t="s">
        <v>2192</v>
      </c>
      <c r="L164" s="33" t="s">
        <v>2199</v>
      </c>
      <c r="M164" s="34">
        <v>149900</v>
      </c>
      <c r="N164" s="37" t="str">
        <f t="shared" si="33"/>
        <v>BXGY</v>
      </c>
      <c r="O164" s="34" t="str">
        <f t="shared" si="34"/>
        <v>B1G2</v>
      </c>
      <c r="P164" s="33" t="str">
        <f t="shared" si="35"/>
        <v>BXGY</v>
      </c>
    </row>
    <row r="165" spans="1:16" x14ac:dyDescent="0.25">
      <c r="A165" s="33" t="str">
        <f t="shared" si="30"/>
        <v>2024 JUL-SEPT B1G2</v>
      </c>
      <c r="B165" s="8">
        <f t="shared" si="31"/>
        <v>46099</v>
      </c>
      <c r="C165" s="8">
        <f t="shared" si="32"/>
        <v>46113</v>
      </c>
      <c r="D165" s="33">
        <v>3272</v>
      </c>
      <c r="E165" s="33">
        <v>336</v>
      </c>
      <c r="F165" s="33">
        <v>4</v>
      </c>
      <c r="G165" s="33">
        <v>1</v>
      </c>
      <c r="H165" s="33">
        <v>81588</v>
      </c>
      <c r="I165" s="33" t="s">
        <v>104</v>
      </c>
      <c r="J165" s="33">
        <v>20515275</v>
      </c>
      <c r="K165" s="33" t="s">
        <v>2192</v>
      </c>
      <c r="L165" s="33" t="s">
        <v>2200</v>
      </c>
      <c r="M165" s="34">
        <v>149900</v>
      </c>
      <c r="N165" s="37" t="str">
        <f t="shared" si="33"/>
        <v>BXGY</v>
      </c>
      <c r="O165" s="34" t="str">
        <f t="shared" si="34"/>
        <v>B1G2</v>
      </c>
      <c r="P165" s="33" t="str">
        <f t="shared" si="35"/>
        <v>BXGY</v>
      </c>
    </row>
    <row r="166" spans="1:16" x14ac:dyDescent="0.25">
      <c r="A166" s="33" t="str">
        <f t="shared" si="30"/>
        <v>2024 JUL-SEPT B1G2</v>
      </c>
      <c r="B166" s="8">
        <f t="shared" si="31"/>
        <v>46099</v>
      </c>
      <c r="C166" s="8">
        <f t="shared" si="32"/>
        <v>46113</v>
      </c>
      <c r="D166" s="33">
        <v>3272</v>
      </c>
      <c r="E166" s="33">
        <v>336</v>
      </c>
      <c r="F166" s="33">
        <v>4</v>
      </c>
      <c r="G166" s="33">
        <v>4</v>
      </c>
      <c r="H166" s="33">
        <v>81588</v>
      </c>
      <c r="I166" s="33" t="s">
        <v>104</v>
      </c>
      <c r="J166" s="33">
        <v>20514945</v>
      </c>
      <c r="K166" s="33" t="s">
        <v>2210</v>
      </c>
      <c r="L166" s="33" t="s">
        <v>2211</v>
      </c>
      <c r="M166" s="34">
        <v>159900</v>
      </c>
      <c r="N166" s="37" t="str">
        <f t="shared" si="33"/>
        <v>BXGY</v>
      </c>
      <c r="O166" s="34" t="str">
        <f t="shared" si="34"/>
        <v>B1G2</v>
      </c>
      <c r="P166" s="33" t="str">
        <f t="shared" si="35"/>
        <v>BXGY</v>
      </c>
    </row>
    <row r="167" spans="1:16" x14ac:dyDescent="0.25">
      <c r="A167" s="33" t="str">
        <f t="shared" si="30"/>
        <v>2024 JUL-SEPT B1G2</v>
      </c>
      <c r="B167" s="8">
        <f t="shared" si="31"/>
        <v>46099</v>
      </c>
      <c r="C167" s="8">
        <f t="shared" si="32"/>
        <v>46113</v>
      </c>
      <c r="D167" s="33">
        <v>3272</v>
      </c>
      <c r="E167" s="33">
        <v>336</v>
      </c>
      <c r="F167" s="33">
        <v>4</v>
      </c>
      <c r="G167" s="33">
        <v>4</v>
      </c>
      <c r="H167" s="33">
        <v>81588</v>
      </c>
      <c r="I167" s="33" t="s">
        <v>104</v>
      </c>
      <c r="J167" s="33">
        <v>20514963</v>
      </c>
      <c r="K167" s="33" t="s">
        <v>2210</v>
      </c>
      <c r="L167" s="33" t="s">
        <v>2212</v>
      </c>
      <c r="M167" s="34">
        <v>159900</v>
      </c>
      <c r="N167" s="37" t="str">
        <f t="shared" si="33"/>
        <v>BXGY</v>
      </c>
      <c r="O167" s="34" t="str">
        <f t="shared" si="34"/>
        <v>B1G2</v>
      </c>
      <c r="P167" s="33" t="str">
        <f t="shared" si="35"/>
        <v>BXGY</v>
      </c>
    </row>
    <row r="168" spans="1:16" x14ac:dyDescent="0.25">
      <c r="A168" s="33" t="str">
        <f t="shared" si="30"/>
        <v>2024 JUL-SEPT B1G2</v>
      </c>
      <c r="B168" s="8">
        <f t="shared" si="31"/>
        <v>46099</v>
      </c>
      <c r="C168" s="8">
        <f t="shared" si="32"/>
        <v>46113</v>
      </c>
      <c r="D168" s="33">
        <v>3272</v>
      </c>
      <c r="E168" s="33">
        <v>336</v>
      </c>
      <c r="F168" s="33">
        <v>4</v>
      </c>
      <c r="G168" s="33">
        <v>4</v>
      </c>
      <c r="H168" s="33">
        <v>81588</v>
      </c>
      <c r="I168" s="33" t="s">
        <v>104</v>
      </c>
      <c r="J168" s="33">
        <v>20514972</v>
      </c>
      <c r="K168" s="33" t="s">
        <v>2210</v>
      </c>
      <c r="L168" s="33" t="s">
        <v>2213</v>
      </c>
      <c r="M168" s="34">
        <v>159900</v>
      </c>
      <c r="N168" s="37" t="str">
        <f t="shared" si="33"/>
        <v>BXGY</v>
      </c>
      <c r="O168" s="34" t="str">
        <f t="shared" si="34"/>
        <v>B1G2</v>
      </c>
      <c r="P168" s="33" t="str">
        <f t="shared" si="35"/>
        <v>BXGY</v>
      </c>
    </row>
    <row r="169" spans="1:16" x14ac:dyDescent="0.25">
      <c r="A169" s="33" t="str">
        <f t="shared" si="30"/>
        <v>2024 JUL-SEPT B1G2</v>
      </c>
      <c r="B169" s="8">
        <f t="shared" si="31"/>
        <v>46099</v>
      </c>
      <c r="C169" s="8">
        <f t="shared" si="32"/>
        <v>46113</v>
      </c>
      <c r="D169" s="33">
        <v>3272</v>
      </c>
      <c r="E169" s="33">
        <v>336</v>
      </c>
      <c r="F169" s="33">
        <v>4</v>
      </c>
      <c r="G169" s="33">
        <v>4</v>
      </c>
      <c r="H169" s="33">
        <v>81588</v>
      </c>
      <c r="I169" s="33" t="s">
        <v>104</v>
      </c>
      <c r="J169" s="33">
        <v>20514981</v>
      </c>
      <c r="K169" s="33" t="s">
        <v>2210</v>
      </c>
      <c r="L169" s="33" t="s">
        <v>2214</v>
      </c>
      <c r="M169" s="34">
        <v>159900</v>
      </c>
      <c r="N169" s="37" t="str">
        <f t="shared" si="33"/>
        <v>BXGY</v>
      </c>
      <c r="O169" s="34" t="str">
        <f t="shared" si="34"/>
        <v>B1G2</v>
      </c>
      <c r="P169" s="33" t="str">
        <f t="shared" si="35"/>
        <v>BXGY</v>
      </c>
    </row>
    <row r="170" spans="1:16" x14ac:dyDescent="0.25">
      <c r="A170" s="33" t="str">
        <f t="shared" si="30"/>
        <v>2024 JUL-SEPT B1G2</v>
      </c>
      <c r="B170" s="8">
        <f t="shared" si="31"/>
        <v>46099</v>
      </c>
      <c r="C170" s="8">
        <f t="shared" si="32"/>
        <v>46113</v>
      </c>
      <c r="D170" s="33">
        <v>3272</v>
      </c>
      <c r="E170" s="33">
        <v>336</v>
      </c>
      <c r="F170" s="33">
        <v>4</v>
      </c>
      <c r="G170" s="33">
        <v>4</v>
      </c>
      <c r="H170" s="33">
        <v>81588</v>
      </c>
      <c r="I170" s="33" t="s">
        <v>104</v>
      </c>
      <c r="J170" s="33">
        <v>20514990</v>
      </c>
      <c r="K170" s="33" t="s">
        <v>2210</v>
      </c>
      <c r="L170" s="33" t="s">
        <v>2215</v>
      </c>
      <c r="M170" s="34">
        <v>159900</v>
      </c>
      <c r="N170" s="37" t="str">
        <f t="shared" si="33"/>
        <v>BXGY</v>
      </c>
      <c r="O170" s="34" t="str">
        <f t="shared" si="34"/>
        <v>B1G2</v>
      </c>
      <c r="P170" s="33" t="str">
        <f t="shared" si="35"/>
        <v>BXGY</v>
      </c>
    </row>
    <row r="171" spans="1:16" x14ac:dyDescent="0.25">
      <c r="A171" s="33" t="str">
        <f t="shared" si="30"/>
        <v>2024 JUL-SEPT B1G2</v>
      </c>
      <c r="B171" s="8">
        <f t="shared" si="31"/>
        <v>46099</v>
      </c>
      <c r="C171" s="8">
        <f t="shared" si="32"/>
        <v>46113</v>
      </c>
      <c r="D171" s="33">
        <v>3272</v>
      </c>
      <c r="E171" s="33">
        <v>336</v>
      </c>
      <c r="F171" s="33">
        <v>4</v>
      </c>
      <c r="G171" s="33">
        <v>4</v>
      </c>
      <c r="H171" s="33">
        <v>81588</v>
      </c>
      <c r="I171" s="33" t="s">
        <v>104</v>
      </c>
      <c r="J171" s="33">
        <v>20515006</v>
      </c>
      <c r="K171" s="33" t="s">
        <v>2210</v>
      </c>
      <c r="L171" s="33" t="s">
        <v>2216</v>
      </c>
      <c r="M171" s="34">
        <v>159900</v>
      </c>
      <c r="N171" s="37" t="str">
        <f t="shared" si="33"/>
        <v>BXGY</v>
      </c>
      <c r="O171" s="34" t="str">
        <f t="shared" si="34"/>
        <v>B1G2</v>
      </c>
      <c r="P171" s="33" t="str">
        <f t="shared" si="35"/>
        <v>BXGY</v>
      </c>
    </row>
    <row r="172" spans="1:16" x14ac:dyDescent="0.25">
      <c r="A172" s="33" t="str">
        <f t="shared" si="30"/>
        <v>2024 JUL-SEPT B1G2</v>
      </c>
      <c r="B172" s="8">
        <f t="shared" si="31"/>
        <v>46099</v>
      </c>
      <c r="C172" s="8">
        <f t="shared" si="32"/>
        <v>46113</v>
      </c>
      <c r="D172" s="33">
        <v>3272</v>
      </c>
      <c r="E172" s="33">
        <v>336</v>
      </c>
      <c r="F172" s="33">
        <v>4</v>
      </c>
      <c r="G172" s="33">
        <v>4</v>
      </c>
      <c r="H172" s="33">
        <v>81588</v>
      </c>
      <c r="I172" s="33" t="s">
        <v>104</v>
      </c>
      <c r="J172" s="33">
        <v>20515015</v>
      </c>
      <c r="K172" s="33" t="s">
        <v>2210</v>
      </c>
      <c r="L172" s="33" t="s">
        <v>2217</v>
      </c>
      <c r="M172" s="34">
        <v>159900</v>
      </c>
      <c r="N172" s="37" t="str">
        <f t="shared" si="33"/>
        <v>BXGY</v>
      </c>
      <c r="O172" s="34" t="str">
        <f t="shared" si="34"/>
        <v>B1G2</v>
      </c>
      <c r="P172" s="33" t="str">
        <f t="shared" si="35"/>
        <v>BXGY</v>
      </c>
    </row>
    <row r="173" spans="1:16" x14ac:dyDescent="0.25">
      <c r="A173" s="33" t="str">
        <f t="shared" si="30"/>
        <v>2024 JUL-SEPT B1G2</v>
      </c>
      <c r="B173" s="8">
        <f t="shared" si="31"/>
        <v>46099</v>
      </c>
      <c r="C173" s="8">
        <f t="shared" si="32"/>
        <v>46113</v>
      </c>
      <c r="D173" s="33">
        <v>3272</v>
      </c>
      <c r="E173" s="33">
        <v>336</v>
      </c>
      <c r="F173" s="33">
        <v>4</v>
      </c>
      <c r="G173" s="33">
        <v>4</v>
      </c>
      <c r="H173" s="33">
        <v>81588</v>
      </c>
      <c r="I173" s="33" t="s">
        <v>104</v>
      </c>
      <c r="J173" s="33">
        <v>20515024</v>
      </c>
      <c r="K173" s="33" t="s">
        <v>2210</v>
      </c>
      <c r="L173" s="33" t="s">
        <v>2218</v>
      </c>
      <c r="M173" s="34">
        <v>159900</v>
      </c>
      <c r="N173" s="37" t="str">
        <f t="shared" si="33"/>
        <v>BXGY</v>
      </c>
      <c r="O173" s="34" t="str">
        <f t="shared" si="34"/>
        <v>B1G2</v>
      </c>
      <c r="P173" s="33" t="str">
        <f t="shared" si="35"/>
        <v>BXGY</v>
      </c>
    </row>
    <row r="174" spans="1:16" x14ac:dyDescent="0.25">
      <c r="A174" s="33" t="str">
        <f t="shared" si="30"/>
        <v>2024 JUL-SEPT B1G2</v>
      </c>
      <c r="B174" s="8">
        <f t="shared" si="31"/>
        <v>46099</v>
      </c>
      <c r="C174" s="8">
        <f t="shared" si="32"/>
        <v>46113</v>
      </c>
      <c r="D174" s="33">
        <v>3272</v>
      </c>
      <c r="E174" s="33">
        <v>336</v>
      </c>
      <c r="F174" s="33">
        <v>4</v>
      </c>
      <c r="G174" s="33">
        <v>5</v>
      </c>
      <c r="H174" s="33">
        <v>81588</v>
      </c>
      <c r="I174" s="33" t="s">
        <v>104</v>
      </c>
      <c r="J174" s="33">
        <v>20515033</v>
      </c>
      <c r="K174" s="33" t="s">
        <v>2219</v>
      </c>
      <c r="L174" s="33" t="s">
        <v>2220</v>
      </c>
      <c r="M174" s="34">
        <v>239900</v>
      </c>
      <c r="N174" s="37" t="str">
        <f t="shared" si="33"/>
        <v>BXGY</v>
      </c>
      <c r="O174" s="34" t="str">
        <f t="shared" si="34"/>
        <v>B1G2</v>
      </c>
      <c r="P174" s="33" t="str">
        <f t="shared" si="35"/>
        <v>BXGY</v>
      </c>
    </row>
    <row r="175" spans="1:16" x14ac:dyDescent="0.25">
      <c r="A175" s="33" t="str">
        <f t="shared" si="30"/>
        <v>2024 JUL-SEPT B1G2</v>
      </c>
      <c r="B175" s="8">
        <f t="shared" si="31"/>
        <v>46099</v>
      </c>
      <c r="C175" s="8">
        <f t="shared" si="32"/>
        <v>46113</v>
      </c>
      <c r="D175" s="33">
        <v>3272</v>
      </c>
      <c r="E175" s="33">
        <v>336</v>
      </c>
      <c r="F175" s="33">
        <v>4</v>
      </c>
      <c r="G175" s="33">
        <v>5</v>
      </c>
      <c r="H175" s="33">
        <v>81588</v>
      </c>
      <c r="I175" s="33" t="s">
        <v>104</v>
      </c>
      <c r="J175" s="33">
        <v>20515042</v>
      </c>
      <c r="K175" s="33" t="s">
        <v>2219</v>
      </c>
      <c r="L175" s="33" t="s">
        <v>2221</v>
      </c>
      <c r="M175" s="34">
        <v>239900</v>
      </c>
      <c r="N175" s="37" t="str">
        <f t="shared" si="33"/>
        <v>BXGY</v>
      </c>
      <c r="O175" s="34" t="str">
        <f t="shared" si="34"/>
        <v>B1G2</v>
      </c>
      <c r="P175" s="33" t="str">
        <f t="shared" si="35"/>
        <v>BXGY</v>
      </c>
    </row>
    <row r="176" spans="1:16" x14ac:dyDescent="0.25">
      <c r="A176" s="33" t="str">
        <f t="shared" si="30"/>
        <v>2024 JUL-SEPT B1G2</v>
      </c>
      <c r="B176" s="8">
        <f t="shared" si="31"/>
        <v>46099</v>
      </c>
      <c r="C176" s="8">
        <f t="shared" si="32"/>
        <v>46113</v>
      </c>
      <c r="D176" s="33">
        <v>3272</v>
      </c>
      <c r="E176" s="33">
        <v>336</v>
      </c>
      <c r="F176" s="33">
        <v>4</v>
      </c>
      <c r="G176" s="33">
        <v>5</v>
      </c>
      <c r="H176" s="33">
        <v>81588</v>
      </c>
      <c r="I176" s="33" t="s">
        <v>104</v>
      </c>
      <c r="J176" s="33">
        <v>20515051</v>
      </c>
      <c r="K176" s="33" t="s">
        <v>2219</v>
      </c>
      <c r="L176" s="33" t="s">
        <v>2222</v>
      </c>
      <c r="M176" s="34">
        <v>239900</v>
      </c>
      <c r="N176" s="37" t="str">
        <f t="shared" si="33"/>
        <v>BXGY</v>
      </c>
      <c r="O176" s="34" t="str">
        <f t="shared" si="34"/>
        <v>B1G2</v>
      </c>
      <c r="P176" s="33" t="str">
        <f t="shared" si="35"/>
        <v>BXGY</v>
      </c>
    </row>
    <row r="177" spans="1:16" x14ac:dyDescent="0.25">
      <c r="A177" s="33" t="str">
        <f t="shared" si="30"/>
        <v>2024 JUL-SEPT B1G2</v>
      </c>
      <c r="B177" s="8">
        <f t="shared" si="31"/>
        <v>46099</v>
      </c>
      <c r="C177" s="8">
        <f t="shared" si="32"/>
        <v>46113</v>
      </c>
      <c r="D177" s="33">
        <v>3272</v>
      </c>
      <c r="E177" s="33">
        <v>336</v>
      </c>
      <c r="F177" s="33">
        <v>4</v>
      </c>
      <c r="G177" s="33">
        <v>5</v>
      </c>
      <c r="H177" s="33">
        <v>81588</v>
      </c>
      <c r="I177" s="33" t="s">
        <v>104</v>
      </c>
      <c r="J177" s="33">
        <v>20515060</v>
      </c>
      <c r="K177" s="33" t="s">
        <v>2219</v>
      </c>
      <c r="L177" s="33" t="s">
        <v>2223</v>
      </c>
      <c r="M177" s="34">
        <v>239900</v>
      </c>
      <c r="N177" s="37" t="str">
        <f t="shared" si="33"/>
        <v>BXGY</v>
      </c>
      <c r="O177" s="34" t="str">
        <f t="shared" si="34"/>
        <v>B1G2</v>
      </c>
      <c r="P177" s="33" t="str">
        <f t="shared" si="35"/>
        <v>BXGY</v>
      </c>
    </row>
    <row r="178" spans="1:16" x14ac:dyDescent="0.25">
      <c r="A178" s="33" t="str">
        <f t="shared" si="30"/>
        <v>2024 JUL-SEPT B1G2</v>
      </c>
      <c r="B178" s="8">
        <f t="shared" si="31"/>
        <v>46099</v>
      </c>
      <c r="C178" s="8">
        <f t="shared" si="32"/>
        <v>46113</v>
      </c>
      <c r="D178" s="33">
        <v>3272</v>
      </c>
      <c r="E178" s="33">
        <v>336</v>
      </c>
      <c r="F178" s="33">
        <v>4</v>
      </c>
      <c r="G178" s="33">
        <v>5</v>
      </c>
      <c r="H178" s="33">
        <v>81588</v>
      </c>
      <c r="I178" s="33" t="s">
        <v>104</v>
      </c>
      <c r="J178" s="33">
        <v>20515079</v>
      </c>
      <c r="K178" s="33" t="s">
        <v>2219</v>
      </c>
      <c r="L178" s="33" t="s">
        <v>2224</v>
      </c>
      <c r="M178" s="34">
        <v>239900</v>
      </c>
      <c r="N178" s="37" t="str">
        <f t="shared" si="33"/>
        <v>BXGY</v>
      </c>
      <c r="O178" s="34" t="str">
        <f t="shared" si="34"/>
        <v>B1G2</v>
      </c>
      <c r="P178" s="33" t="str">
        <f t="shared" si="35"/>
        <v>BXGY</v>
      </c>
    </row>
    <row r="179" spans="1:16" x14ac:dyDescent="0.25">
      <c r="A179" s="33" t="str">
        <f t="shared" si="30"/>
        <v>2024 JUL-SEPT B1G2</v>
      </c>
      <c r="B179" s="8">
        <f t="shared" si="31"/>
        <v>46099</v>
      </c>
      <c r="C179" s="8">
        <f t="shared" si="32"/>
        <v>46113</v>
      </c>
      <c r="D179" s="33">
        <v>3272</v>
      </c>
      <c r="E179" s="33">
        <v>336</v>
      </c>
      <c r="F179" s="33">
        <v>4</v>
      </c>
      <c r="G179" s="33">
        <v>5</v>
      </c>
      <c r="H179" s="33">
        <v>81588</v>
      </c>
      <c r="I179" s="33" t="s">
        <v>104</v>
      </c>
      <c r="J179" s="33">
        <v>20515088</v>
      </c>
      <c r="K179" s="33" t="s">
        <v>2219</v>
      </c>
      <c r="L179" s="33" t="s">
        <v>2225</v>
      </c>
      <c r="M179" s="34">
        <v>239900</v>
      </c>
      <c r="N179" s="37" t="str">
        <f t="shared" si="33"/>
        <v>BXGY</v>
      </c>
      <c r="O179" s="34" t="str">
        <f t="shared" si="34"/>
        <v>B1G2</v>
      </c>
      <c r="P179" s="33" t="str">
        <f t="shared" si="35"/>
        <v>BXGY</v>
      </c>
    </row>
    <row r="180" spans="1:16" x14ac:dyDescent="0.25">
      <c r="A180" s="33" t="str">
        <f t="shared" si="30"/>
        <v>2024 JUL-SEPT B1G2</v>
      </c>
      <c r="B180" s="8">
        <f t="shared" si="31"/>
        <v>46099</v>
      </c>
      <c r="C180" s="8">
        <f t="shared" si="32"/>
        <v>46113</v>
      </c>
      <c r="D180" s="33">
        <v>3272</v>
      </c>
      <c r="E180" s="33">
        <v>336</v>
      </c>
      <c r="F180" s="33">
        <v>4</v>
      </c>
      <c r="G180" s="33">
        <v>5</v>
      </c>
      <c r="H180" s="33">
        <v>81588</v>
      </c>
      <c r="I180" s="33" t="s">
        <v>104</v>
      </c>
      <c r="J180" s="33">
        <v>20515097</v>
      </c>
      <c r="K180" s="33" t="s">
        <v>2219</v>
      </c>
      <c r="L180" s="33" t="s">
        <v>2226</v>
      </c>
      <c r="M180" s="34">
        <v>239900</v>
      </c>
      <c r="N180" s="37" t="str">
        <f t="shared" si="33"/>
        <v>BXGY</v>
      </c>
      <c r="O180" s="34" t="str">
        <f t="shared" si="34"/>
        <v>B1G2</v>
      </c>
      <c r="P180" s="33" t="str">
        <f t="shared" si="35"/>
        <v>BXGY</v>
      </c>
    </row>
    <row r="181" spans="1:16" x14ac:dyDescent="0.25">
      <c r="A181" s="33" t="str">
        <f t="shared" si="30"/>
        <v>2024 JUL-SEPT B1G2</v>
      </c>
      <c r="B181" s="8">
        <f t="shared" si="31"/>
        <v>46099</v>
      </c>
      <c r="C181" s="8">
        <f t="shared" si="32"/>
        <v>46113</v>
      </c>
      <c r="D181" s="33">
        <v>3272</v>
      </c>
      <c r="E181" s="33">
        <v>336</v>
      </c>
      <c r="F181" s="33">
        <v>4</v>
      </c>
      <c r="G181" s="33">
        <v>5</v>
      </c>
      <c r="H181" s="33">
        <v>81588</v>
      </c>
      <c r="I181" s="33" t="s">
        <v>104</v>
      </c>
      <c r="J181" s="33">
        <v>20515104</v>
      </c>
      <c r="K181" s="33" t="s">
        <v>2219</v>
      </c>
      <c r="L181" s="33" t="s">
        <v>2227</v>
      </c>
      <c r="M181" s="34">
        <v>239900</v>
      </c>
      <c r="N181" s="37" t="str">
        <f t="shared" si="33"/>
        <v>BXGY</v>
      </c>
      <c r="O181" s="34" t="str">
        <f t="shared" si="34"/>
        <v>B1G2</v>
      </c>
      <c r="P181" s="33" t="str">
        <f t="shared" si="35"/>
        <v>BXGY</v>
      </c>
    </row>
    <row r="182" spans="1:16" x14ac:dyDescent="0.25">
      <c r="A182" s="33" t="str">
        <f t="shared" si="30"/>
        <v>2024 JUL-SEPT B1G2</v>
      </c>
      <c r="B182" s="8">
        <f t="shared" si="31"/>
        <v>46099</v>
      </c>
      <c r="C182" s="8">
        <f t="shared" si="32"/>
        <v>46113</v>
      </c>
      <c r="D182" s="33">
        <v>3272</v>
      </c>
      <c r="E182" s="33">
        <v>336</v>
      </c>
      <c r="F182" s="33">
        <v>4</v>
      </c>
      <c r="G182" s="33">
        <v>1</v>
      </c>
      <c r="H182" s="33">
        <v>81676</v>
      </c>
      <c r="I182" s="33" t="s">
        <v>104</v>
      </c>
      <c r="J182" s="33">
        <v>15499428</v>
      </c>
      <c r="K182" s="33" t="s">
        <v>2159</v>
      </c>
      <c r="L182" s="33" t="s">
        <v>2160</v>
      </c>
      <c r="M182" s="34">
        <v>139900</v>
      </c>
      <c r="N182" s="37" t="str">
        <f t="shared" si="33"/>
        <v>BXGY</v>
      </c>
      <c r="O182" s="34" t="str">
        <f t="shared" si="34"/>
        <v>B1G2</v>
      </c>
      <c r="P182" s="33" t="str">
        <f t="shared" si="35"/>
        <v>BXGY</v>
      </c>
    </row>
    <row r="183" spans="1:16" x14ac:dyDescent="0.25">
      <c r="A183" s="33" t="str">
        <f t="shared" si="30"/>
        <v>2024 JUL-SEPT B1G2</v>
      </c>
      <c r="B183" s="8">
        <f t="shared" si="31"/>
        <v>46099</v>
      </c>
      <c r="C183" s="8">
        <f t="shared" si="32"/>
        <v>46113</v>
      </c>
      <c r="D183" s="33">
        <v>3272</v>
      </c>
      <c r="E183" s="33">
        <v>336</v>
      </c>
      <c r="F183" s="33">
        <v>4</v>
      </c>
      <c r="G183" s="33">
        <v>1</v>
      </c>
      <c r="H183" s="33">
        <v>81676</v>
      </c>
      <c r="I183" s="33" t="s">
        <v>104</v>
      </c>
      <c r="J183" s="33">
        <v>15499437</v>
      </c>
      <c r="K183" s="33" t="s">
        <v>2159</v>
      </c>
      <c r="L183" s="33" t="s">
        <v>2161</v>
      </c>
      <c r="M183" s="34">
        <v>139900</v>
      </c>
      <c r="N183" s="37" t="str">
        <f t="shared" si="33"/>
        <v>BXGY</v>
      </c>
      <c r="O183" s="34" t="str">
        <f t="shared" si="34"/>
        <v>B1G2</v>
      </c>
      <c r="P183" s="33" t="str">
        <f t="shared" si="35"/>
        <v>BXGY</v>
      </c>
    </row>
    <row r="184" spans="1:16" x14ac:dyDescent="0.25">
      <c r="A184" s="33" t="str">
        <f t="shared" si="30"/>
        <v>2024 JUL-SEPT B1G2</v>
      </c>
      <c r="B184" s="8">
        <f t="shared" si="31"/>
        <v>46099</v>
      </c>
      <c r="C184" s="8">
        <f t="shared" si="32"/>
        <v>46113</v>
      </c>
      <c r="D184" s="33">
        <v>3272</v>
      </c>
      <c r="E184" s="33">
        <v>336</v>
      </c>
      <c r="F184" s="33">
        <v>4</v>
      </c>
      <c r="G184" s="33">
        <v>1</v>
      </c>
      <c r="H184" s="33">
        <v>81676</v>
      </c>
      <c r="I184" s="33" t="s">
        <v>104</v>
      </c>
      <c r="J184" s="33">
        <v>15499446</v>
      </c>
      <c r="K184" s="33" t="s">
        <v>2159</v>
      </c>
      <c r="L184" s="33" t="s">
        <v>2162</v>
      </c>
      <c r="M184" s="34">
        <v>139900</v>
      </c>
      <c r="N184" s="37" t="str">
        <f t="shared" si="33"/>
        <v>BXGY</v>
      </c>
      <c r="O184" s="34" t="str">
        <f t="shared" si="34"/>
        <v>B1G2</v>
      </c>
      <c r="P184" s="33" t="str">
        <f t="shared" si="35"/>
        <v>BXGY</v>
      </c>
    </row>
    <row r="185" spans="1:16" x14ac:dyDescent="0.25">
      <c r="A185" s="33" t="str">
        <f t="shared" si="30"/>
        <v>2024 JUL-SEPT B1G2</v>
      </c>
      <c r="B185" s="8">
        <f t="shared" si="31"/>
        <v>46099</v>
      </c>
      <c r="C185" s="8">
        <f t="shared" si="32"/>
        <v>46113</v>
      </c>
      <c r="D185" s="33">
        <v>3272</v>
      </c>
      <c r="E185" s="33">
        <v>336</v>
      </c>
      <c r="F185" s="33">
        <v>4</v>
      </c>
      <c r="G185" s="33">
        <v>1</v>
      </c>
      <c r="H185" s="33">
        <v>81676</v>
      </c>
      <c r="I185" s="33" t="s">
        <v>104</v>
      </c>
      <c r="J185" s="33">
        <v>15499455</v>
      </c>
      <c r="K185" s="33" t="s">
        <v>2159</v>
      </c>
      <c r="L185" s="33" t="s">
        <v>2163</v>
      </c>
      <c r="M185" s="34">
        <v>139900</v>
      </c>
      <c r="N185" s="37" t="str">
        <f t="shared" si="33"/>
        <v>BXGY</v>
      </c>
      <c r="O185" s="34" t="str">
        <f t="shared" si="34"/>
        <v>B1G2</v>
      </c>
      <c r="P185" s="33" t="str">
        <f t="shared" si="35"/>
        <v>BXGY</v>
      </c>
    </row>
    <row r="186" spans="1:16" x14ac:dyDescent="0.25">
      <c r="A186" s="33" t="str">
        <f t="shared" si="30"/>
        <v>2024 JUL-SEPT B1G2</v>
      </c>
      <c r="B186" s="8">
        <f t="shared" si="31"/>
        <v>46099</v>
      </c>
      <c r="C186" s="8">
        <f t="shared" si="32"/>
        <v>46113</v>
      </c>
      <c r="D186" s="33">
        <v>3272</v>
      </c>
      <c r="E186" s="33">
        <v>336</v>
      </c>
      <c r="F186" s="33">
        <v>4</v>
      </c>
      <c r="G186" s="33">
        <v>1</v>
      </c>
      <c r="H186" s="33">
        <v>81676</v>
      </c>
      <c r="I186" s="33" t="s">
        <v>104</v>
      </c>
      <c r="J186" s="33">
        <v>15499464</v>
      </c>
      <c r="K186" s="33" t="s">
        <v>2159</v>
      </c>
      <c r="L186" s="33" t="s">
        <v>2164</v>
      </c>
      <c r="M186" s="34">
        <v>139900</v>
      </c>
      <c r="N186" s="37" t="str">
        <f t="shared" si="33"/>
        <v>BXGY</v>
      </c>
      <c r="O186" s="34" t="str">
        <f t="shared" si="34"/>
        <v>B1G2</v>
      </c>
      <c r="P186" s="33" t="str">
        <f t="shared" si="35"/>
        <v>BXGY</v>
      </c>
    </row>
    <row r="187" spans="1:16" x14ac:dyDescent="0.25">
      <c r="A187" s="33" t="str">
        <f t="shared" si="30"/>
        <v>2024 JUL-SEPT B1G2</v>
      </c>
      <c r="B187" s="8">
        <f t="shared" si="31"/>
        <v>46099</v>
      </c>
      <c r="C187" s="8">
        <f t="shared" si="32"/>
        <v>46113</v>
      </c>
      <c r="D187" s="33">
        <v>3272</v>
      </c>
      <c r="E187" s="33">
        <v>336</v>
      </c>
      <c r="F187" s="33">
        <v>4</v>
      </c>
      <c r="G187" s="33">
        <v>3</v>
      </c>
      <c r="H187" s="33">
        <v>81588</v>
      </c>
      <c r="I187" s="33" t="s">
        <v>104</v>
      </c>
      <c r="J187" s="33">
        <v>20514856</v>
      </c>
      <c r="K187" s="33" t="s">
        <v>2201</v>
      </c>
      <c r="L187" s="33" t="s">
        <v>2202</v>
      </c>
      <c r="M187" s="34">
        <v>289900</v>
      </c>
      <c r="N187" s="37" t="str">
        <f t="shared" si="33"/>
        <v>BXGY</v>
      </c>
      <c r="O187" s="34" t="str">
        <f t="shared" si="34"/>
        <v>B1G2</v>
      </c>
      <c r="P187" s="33" t="str">
        <f t="shared" si="35"/>
        <v>BXGY</v>
      </c>
    </row>
    <row r="188" spans="1:16" x14ac:dyDescent="0.25">
      <c r="A188" s="33" t="str">
        <f t="shared" si="30"/>
        <v>2024 JUL-SEPT B1G2</v>
      </c>
      <c r="B188" s="8">
        <f t="shared" si="31"/>
        <v>46099</v>
      </c>
      <c r="C188" s="8">
        <f t="shared" si="32"/>
        <v>46113</v>
      </c>
      <c r="D188" s="33">
        <v>3272</v>
      </c>
      <c r="E188" s="33">
        <v>336</v>
      </c>
      <c r="F188" s="33">
        <v>4</v>
      </c>
      <c r="G188" s="33">
        <v>3</v>
      </c>
      <c r="H188" s="33">
        <v>81588</v>
      </c>
      <c r="I188" s="33" t="s">
        <v>104</v>
      </c>
      <c r="J188" s="33">
        <v>20514865</v>
      </c>
      <c r="K188" s="33" t="s">
        <v>2201</v>
      </c>
      <c r="L188" s="33" t="s">
        <v>2203</v>
      </c>
      <c r="M188" s="34">
        <v>289900</v>
      </c>
      <c r="N188" s="37" t="str">
        <f t="shared" si="33"/>
        <v>BXGY</v>
      </c>
      <c r="O188" s="34" t="str">
        <f t="shared" si="34"/>
        <v>B1G2</v>
      </c>
      <c r="P188" s="33" t="str">
        <f t="shared" si="35"/>
        <v>BXGY</v>
      </c>
    </row>
    <row r="189" spans="1:16" x14ac:dyDescent="0.25">
      <c r="A189" s="33" t="str">
        <f t="shared" si="30"/>
        <v>2024 JUL-SEPT B1G2</v>
      </c>
      <c r="B189" s="8">
        <f t="shared" si="31"/>
        <v>46099</v>
      </c>
      <c r="C189" s="8">
        <f t="shared" si="32"/>
        <v>46113</v>
      </c>
      <c r="D189" s="33">
        <v>3272</v>
      </c>
      <c r="E189" s="33">
        <v>336</v>
      </c>
      <c r="F189" s="33">
        <v>4</v>
      </c>
      <c r="G189" s="33">
        <v>3</v>
      </c>
      <c r="H189" s="33">
        <v>81588</v>
      </c>
      <c r="I189" s="33" t="s">
        <v>104</v>
      </c>
      <c r="J189" s="33">
        <v>20514874</v>
      </c>
      <c r="K189" s="33" t="s">
        <v>2201</v>
      </c>
      <c r="L189" s="33" t="s">
        <v>2204</v>
      </c>
      <c r="M189" s="34">
        <v>289900</v>
      </c>
      <c r="N189" s="37" t="str">
        <f t="shared" si="33"/>
        <v>BXGY</v>
      </c>
      <c r="O189" s="34" t="str">
        <f t="shared" si="34"/>
        <v>B1G2</v>
      </c>
      <c r="P189" s="33" t="str">
        <f t="shared" si="35"/>
        <v>BXGY</v>
      </c>
    </row>
    <row r="190" spans="1:16" x14ac:dyDescent="0.25">
      <c r="A190" s="33" t="str">
        <f t="shared" si="30"/>
        <v>2024 JUL-SEPT B1G2</v>
      </c>
      <c r="B190" s="8">
        <f t="shared" si="31"/>
        <v>46099</v>
      </c>
      <c r="C190" s="8">
        <f t="shared" si="32"/>
        <v>46113</v>
      </c>
      <c r="D190" s="33">
        <v>3272</v>
      </c>
      <c r="E190" s="33">
        <v>336</v>
      </c>
      <c r="F190" s="33">
        <v>4</v>
      </c>
      <c r="G190" s="33">
        <v>3</v>
      </c>
      <c r="H190" s="33">
        <v>81588</v>
      </c>
      <c r="I190" s="33" t="s">
        <v>104</v>
      </c>
      <c r="J190" s="33">
        <v>20514892</v>
      </c>
      <c r="K190" s="33" t="s">
        <v>2201</v>
      </c>
      <c r="L190" s="33" t="s">
        <v>2205</v>
      </c>
      <c r="M190" s="34">
        <v>289900</v>
      </c>
      <c r="N190" s="37" t="str">
        <f t="shared" si="33"/>
        <v>BXGY</v>
      </c>
      <c r="O190" s="34" t="str">
        <f t="shared" si="34"/>
        <v>B1G2</v>
      </c>
      <c r="P190" s="33" t="str">
        <f t="shared" si="35"/>
        <v>BXGY</v>
      </c>
    </row>
    <row r="191" spans="1:16" x14ac:dyDescent="0.25">
      <c r="A191" s="33" t="str">
        <f t="shared" si="30"/>
        <v>2024 JUL-SEPT B1G2</v>
      </c>
      <c r="B191" s="8">
        <f t="shared" si="31"/>
        <v>46099</v>
      </c>
      <c r="C191" s="8">
        <f t="shared" si="32"/>
        <v>46113</v>
      </c>
      <c r="D191" s="33">
        <v>3272</v>
      </c>
      <c r="E191" s="33">
        <v>336</v>
      </c>
      <c r="F191" s="33">
        <v>4</v>
      </c>
      <c r="G191" s="33">
        <v>3</v>
      </c>
      <c r="H191" s="33">
        <v>81588</v>
      </c>
      <c r="I191" s="33" t="s">
        <v>104</v>
      </c>
      <c r="J191" s="33">
        <v>20514909</v>
      </c>
      <c r="K191" s="33" t="s">
        <v>2201</v>
      </c>
      <c r="L191" s="33" t="s">
        <v>2206</v>
      </c>
      <c r="M191" s="34">
        <v>289900</v>
      </c>
      <c r="N191" s="37" t="str">
        <f t="shared" si="33"/>
        <v>BXGY</v>
      </c>
      <c r="O191" s="34" t="str">
        <f t="shared" si="34"/>
        <v>B1G2</v>
      </c>
      <c r="P191" s="33" t="str">
        <f t="shared" si="35"/>
        <v>BXGY</v>
      </c>
    </row>
    <row r="192" spans="1:16" x14ac:dyDescent="0.25">
      <c r="A192" s="33" t="str">
        <f t="shared" si="30"/>
        <v>2024 JUL-SEPT B1G2</v>
      </c>
      <c r="B192" s="8">
        <f t="shared" si="31"/>
        <v>46099</v>
      </c>
      <c r="C192" s="8">
        <f t="shared" si="32"/>
        <v>46113</v>
      </c>
      <c r="D192" s="33">
        <v>3272</v>
      </c>
      <c r="E192" s="33">
        <v>336</v>
      </c>
      <c r="F192" s="33">
        <v>4</v>
      </c>
      <c r="G192" s="33">
        <v>3</v>
      </c>
      <c r="H192" s="33">
        <v>81588</v>
      </c>
      <c r="I192" s="33" t="s">
        <v>104</v>
      </c>
      <c r="J192" s="33">
        <v>20514918</v>
      </c>
      <c r="K192" s="33" t="s">
        <v>2201</v>
      </c>
      <c r="L192" s="33" t="s">
        <v>2207</v>
      </c>
      <c r="M192" s="34">
        <v>289900</v>
      </c>
      <c r="N192" s="37" t="str">
        <f t="shared" si="33"/>
        <v>BXGY</v>
      </c>
      <c r="O192" s="34" t="str">
        <f t="shared" si="34"/>
        <v>B1G2</v>
      </c>
      <c r="P192" s="33" t="str">
        <f t="shared" si="35"/>
        <v>BXGY</v>
      </c>
    </row>
    <row r="193" spans="1:16" x14ac:dyDescent="0.25">
      <c r="A193" s="33" t="str">
        <f t="shared" si="30"/>
        <v>2024 JUL-SEPT B1G2</v>
      </c>
      <c r="B193" s="8">
        <f t="shared" si="31"/>
        <v>46099</v>
      </c>
      <c r="C193" s="8">
        <f t="shared" si="32"/>
        <v>46113</v>
      </c>
      <c r="D193" s="33">
        <v>3272</v>
      </c>
      <c r="E193" s="33">
        <v>336</v>
      </c>
      <c r="F193" s="33">
        <v>4</v>
      </c>
      <c r="G193" s="33">
        <v>3</v>
      </c>
      <c r="H193" s="33">
        <v>81588</v>
      </c>
      <c r="I193" s="33" t="s">
        <v>104</v>
      </c>
      <c r="J193" s="33">
        <v>20514927</v>
      </c>
      <c r="K193" s="33" t="s">
        <v>2201</v>
      </c>
      <c r="L193" s="33" t="s">
        <v>2208</v>
      </c>
      <c r="M193" s="34">
        <v>289900</v>
      </c>
      <c r="N193" s="37" t="str">
        <f t="shared" si="33"/>
        <v>BXGY</v>
      </c>
      <c r="O193" s="34" t="str">
        <f t="shared" si="34"/>
        <v>B1G2</v>
      </c>
      <c r="P193" s="33" t="str">
        <f t="shared" si="35"/>
        <v>BXGY</v>
      </c>
    </row>
    <row r="194" spans="1:16" x14ac:dyDescent="0.25">
      <c r="A194" s="33" t="str">
        <f t="shared" si="30"/>
        <v>2024 JUL-SEPT B1G2</v>
      </c>
      <c r="B194" s="8">
        <f t="shared" si="31"/>
        <v>46099</v>
      </c>
      <c r="C194" s="8">
        <f t="shared" si="32"/>
        <v>46113</v>
      </c>
      <c r="D194" s="33">
        <v>3272</v>
      </c>
      <c r="E194" s="33">
        <v>336</v>
      </c>
      <c r="F194" s="33">
        <v>4</v>
      </c>
      <c r="G194" s="33">
        <v>3</v>
      </c>
      <c r="H194" s="33">
        <v>81588</v>
      </c>
      <c r="I194" s="33" t="s">
        <v>104</v>
      </c>
      <c r="J194" s="33">
        <v>20514936</v>
      </c>
      <c r="K194" s="33" t="s">
        <v>2201</v>
      </c>
      <c r="L194" s="33" t="s">
        <v>2209</v>
      </c>
      <c r="M194" s="34">
        <v>289900</v>
      </c>
      <c r="N194" s="37" t="str">
        <f t="shared" si="33"/>
        <v>BXGY</v>
      </c>
      <c r="O194" s="34" t="str">
        <f t="shared" si="34"/>
        <v>B1G2</v>
      </c>
      <c r="P194" s="33" t="str">
        <f t="shared" si="35"/>
        <v>BXGY</v>
      </c>
    </row>
  </sheetData>
  <conditionalFormatting sqref="J1:J194 J362:J1048576">
    <cfRule type="duplicateValues" dxfId="7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CA39-1891-478D-ABE3-CFF6D7473408}">
  <dimension ref="A1:P216"/>
  <sheetViews>
    <sheetView workbookViewId="0">
      <selection activeCell="C3" sqref="C3"/>
    </sheetView>
  </sheetViews>
  <sheetFormatPr defaultRowHeight="15" x14ac:dyDescent="0.25"/>
  <cols>
    <col min="1" max="11" width="18.42578125" customWidth="1"/>
    <col min="12" max="12" width="91.140625" style="29" bestFit="1" customWidth="1"/>
    <col min="13" max="16" width="18.425781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3" t="s">
        <v>4241</v>
      </c>
      <c r="B2" s="8">
        <f>'2019 ALL D95'!B2</f>
        <v>46099</v>
      </c>
      <c r="C2" s="8">
        <f>'2019 ALL D95'!C2</f>
        <v>46113</v>
      </c>
      <c r="D2" s="33">
        <v>3272</v>
      </c>
      <c r="E2" s="33">
        <v>336</v>
      </c>
      <c r="F2" s="33">
        <v>4</v>
      </c>
      <c r="G2" s="33">
        <v>4</v>
      </c>
      <c r="H2" s="33">
        <v>81379</v>
      </c>
      <c r="I2" s="33" t="s">
        <v>104</v>
      </c>
      <c r="J2" s="33">
        <v>45419912</v>
      </c>
      <c r="K2" s="33" t="s">
        <v>2364</v>
      </c>
      <c r="L2" s="27" t="s">
        <v>2365</v>
      </c>
      <c r="M2" s="18">
        <v>159900</v>
      </c>
      <c r="N2" s="37" t="s">
        <v>618</v>
      </c>
      <c r="O2" s="34" t="s">
        <v>1496</v>
      </c>
      <c r="P2" s="33" t="s">
        <v>618</v>
      </c>
    </row>
    <row r="3" spans="1:16" s="6" customFormat="1" x14ac:dyDescent="0.25">
      <c r="A3" s="33" t="str">
        <f t="shared" ref="A3:A66" si="0">A2</f>
        <v>2024 NOV-DEC B1G2</v>
      </c>
      <c r="B3" s="8">
        <f t="shared" ref="B3:B66" si="1">B2</f>
        <v>46099</v>
      </c>
      <c r="C3" s="8">
        <f t="shared" ref="C3:C66" si="2">C2</f>
        <v>46113</v>
      </c>
      <c r="D3" s="33">
        <v>3272</v>
      </c>
      <c r="E3" s="33">
        <v>336</v>
      </c>
      <c r="F3" s="33">
        <v>4</v>
      </c>
      <c r="G3" s="33">
        <v>4</v>
      </c>
      <c r="H3" s="33">
        <v>81379</v>
      </c>
      <c r="I3" s="33" t="s">
        <v>104</v>
      </c>
      <c r="J3" s="33">
        <v>45419921</v>
      </c>
      <c r="K3" s="33" t="s">
        <v>2364</v>
      </c>
      <c r="L3" s="27" t="s">
        <v>2366</v>
      </c>
      <c r="M3" s="18">
        <v>159900</v>
      </c>
      <c r="N3" s="37" t="str">
        <f t="shared" ref="N3:N34" si="3">N2</f>
        <v>BXGY</v>
      </c>
      <c r="O3" s="34" t="str">
        <f t="shared" ref="O3:O34" si="4">O2</f>
        <v>B1G2</v>
      </c>
      <c r="P3" s="33" t="str">
        <f t="shared" ref="P3:P34" si="5">P2</f>
        <v>BXGY</v>
      </c>
    </row>
    <row r="4" spans="1:16" s="6" customFormat="1" x14ac:dyDescent="0.25">
      <c r="A4" s="33" t="str">
        <f t="shared" si="0"/>
        <v>2024 NOV-DEC B1G2</v>
      </c>
      <c r="B4" s="8">
        <f t="shared" si="1"/>
        <v>46099</v>
      </c>
      <c r="C4" s="8">
        <f t="shared" si="2"/>
        <v>46113</v>
      </c>
      <c r="D4" s="33">
        <v>3272</v>
      </c>
      <c r="E4" s="33">
        <v>336</v>
      </c>
      <c r="F4" s="33">
        <v>4</v>
      </c>
      <c r="G4" s="33">
        <v>4</v>
      </c>
      <c r="H4" s="33">
        <v>81379</v>
      </c>
      <c r="I4" s="33" t="s">
        <v>104</v>
      </c>
      <c r="J4" s="33">
        <v>45419930</v>
      </c>
      <c r="K4" s="33" t="s">
        <v>2364</v>
      </c>
      <c r="L4" s="27" t="s">
        <v>2367</v>
      </c>
      <c r="M4" s="18">
        <v>159900</v>
      </c>
      <c r="N4" s="37" t="str">
        <f t="shared" si="3"/>
        <v>BXGY</v>
      </c>
      <c r="O4" s="34" t="str">
        <f t="shared" si="4"/>
        <v>B1G2</v>
      </c>
      <c r="P4" s="33" t="str">
        <f t="shared" si="5"/>
        <v>BXGY</v>
      </c>
    </row>
    <row r="5" spans="1:16" s="6" customFormat="1" x14ac:dyDescent="0.25">
      <c r="A5" s="33" t="str">
        <f t="shared" si="0"/>
        <v>2024 NOV-DEC B1G2</v>
      </c>
      <c r="B5" s="8">
        <f t="shared" si="1"/>
        <v>46099</v>
      </c>
      <c r="C5" s="8">
        <f t="shared" si="2"/>
        <v>46113</v>
      </c>
      <c r="D5" s="33">
        <v>3272</v>
      </c>
      <c r="E5" s="33">
        <v>336</v>
      </c>
      <c r="F5" s="33">
        <v>4</v>
      </c>
      <c r="G5" s="33">
        <v>4</v>
      </c>
      <c r="H5" s="33">
        <v>81379</v>
      </c>
      <c r="I5" s="33" t="s">
        <v>104</v>
      </c>
      <c r="J5" s="33">
        <v>45419949</v>
      </c>
      <c r="K5" s="33" t="s">
        <v>2364</v>
      </c>
      <c r="L5" s="27" t="s">
        <v>2368</v>
      </c>
      <c r="M5" s="18">
        <v>159900</v>
      </c>
      <c r="N5" s="37" t="str">
        <f t="shared" si="3"/>
        <v>BXGY</v>
      </c>
      <c r="O5" s="34" t="str">
        <f t="shared" si="4"/>
        <v>B1G2</v>
      </c>
      <c r="P5" s="33" t="str">
        <f t="shared" si="5"/>
        <v>BXGY</v>
      </c>
    </row>
    <row r="6" spans="1:16" s="6" customFormat="1" x14ac:dyDescent="0.25">
      <c r="A6" s="33" t="str">
        <f t="shared" si="0"/>
        <v>2024 NOV-DEC B1G2</v>
      </c>
      <c r="B6" s="8">
        <f t="shared" si="1"/>
        <v>46099</v>
      </c>
      <c r="C6" s="8">
        <f t="shared" si="2"/>
        <v>46113</v>
      </c>
      <c r="D6" s="33">
        <v>3272</v>
      </c>
      <c r="E6" s="33">
        <v>336</v>
      </c>
      <c r="F6" s="33">
        <v>4</v>
      </c>
      <c r="G6" s="33">
        <v>4</v>
      </c>
      <c r="H6" s="33">
        <v>81379</v>
      </c>
      <c r="I6" s="33" t="s">
        <v>104</v>
      </c>
      <c r="J6" s="33">
        <v>45419958</v>
      </c>
      <c r="K6" s="33" t="s">
        <v>2364</v>
      </c>
      <c r="L6" s="27" t="s">
        <v>2369</v>
      </c>
      <c r="M6" s="18">
        <v>159900</v>
      </c>
      <c r="N6" s="37" t="str">
        <f t="shared" si="3"/>
        <v>BXGY</v>
      </c>
      <c r="O6" s="34" t="str">
        <f t="shared" si="4"/>
        <v>B1G2</v>
      </c>
      <c r="P6" s="33" t="str">
        <f t="shared" si="5"/>
        <v>BXGY</v>
      </c>
    </row>
    <row r="7" spans="1:16" s="6" customFormat="1" x14ac:dyDescent="0.25">
      <c r="A7" s="33" t="str">
        <f t="shared" si="0"/>
        <v>2024 NOV-DEC B1G2</v>
      </c>
      <c r="B7" s="8">
        <f t="shared" si="1"/>
        <v>46099</v>
      </c>
      <c r="C7" s="8">
        <f t="shared" si="2"/>
        <v>46113</v>
      </c>
      <c r="D7" s="33">
        <v>3272</v>
      </c>
      <c r="E7" s="33">
        <v>336</v>
      </c>
      <c r="F7" s="33">
        <v>4</v>
      </c>
      <c r="G7" s="33">
        <v>1</v>
      </c>
      <c r="H7" s="33">
        <v>81676</v>
      </c>
      <c r="I7" s="33" t="s">
        <v>104</v>
      </c>
      <c r="J7" s="33">
        <v>45419761</v>
      </c>
      <c r="K7" s="33" t="s">
        <v>2228</v>
      </c>
      <c r="L7" s="27" t="s">
        <v>2229</v>
      </c>
      <c r="M7" s="18">
        <v>129900</v>
      </c>
      <c r="N7" s="37" t="str">
        <f t="shared" si="3"/>
        <v>BXGY</v>
      </c>
      <c r="O7" s="34" t="str">
        <f t="shared" si="4"/>
        <v>B1G2</v>
      </c>
      <c r="P7" s="33" t="str">
        <f t="shared" si="5"/>
        <v>BXGY</v>
      </c>
    </row>
    <row r="8" spans="1:16" s="6" customFormat="1" x14ac:dyDescent="0.25">
      <c r="A8" s="33" t="str">
        <f t="shared" si="0"/>
        <v>2024 NOV-DEC B1G2</v>
      </c>
      <c r="B8" s="8">
        <f t="shared" si="1"/>
        <v>46099</v>
      </c>
      <c r="C8" s="8">
        <f t="shared" si="2"/>
        <v>46113</v>
      </c>
      <c r="D8" s="33">
        <v>3272</v>
      </c>
      <c r="E8" s="33">
        <v>336</v>
      </c>
      <c r="F8" s="33">
        <v>4</v>
      </c>
      <c r="G8" s="33">
        <v>1</v>
      </c>
      <c r="H8" s="33">
        <v>81676</v>
      </c>
      <c r="I8" s="33" t="s">
        <v>104</v>
      </c>
      <c r="J8" s="33">
        <v>45419770</v>
      </c>
      <c r="K8" s="33" t="s">
        <v>2228</v>
      </c>
      <c r="L8" s="27" t="s">
        <v>2230</v>
      </c>
      <c r="M8" s="18">
        <v>129900</v>
      </c>
      <c r="N8" s="37" t="str">
        <f t="shared" si="3"/>
        <v>BXGY</v>
      </c>
      <c r="O8" s="34" t="str">
        <f t="shared" si="4"/>
        <v>B1G2</v>
      </c>
      <c r="P8" s="33" t="str">
        <f t="shared" si="5"/>
        <v>BXGY</v>
      </c>
    </row>
    <row r="9" spans="1:16" s="6" customFormat="1" x14ac:dyDescent="0.25">
      <c r="A9" s="33" t="str">
        <f t="shared" si="0"/>
        <v>2024 NOV-DEC B1G2</v>
      </c>
      <c r="B9" s="8">
        <f t="shared" si="1"/>
        <v>46099</v>
      </c>
      <c r="C9" s="8">
        <f t="shared" si="2"/>
        <v>46113</v>
      </c>
      <c r="D9" s="33">
        <v>3272</v>
      </c>
      <c r="E9" s="33">
        <v>336</v>
      </c>
      <c r="F9" s="33">
        <v>4</v>
      </c>
      <c r="G9" s="33">
        <v>1</v>
      </c>
      <c r="H9" s="33">
        <v>81676</v>
      </c>
      <c r="I9" s="33" t="s">
        <v>104</v>
      </c>
      <c r="J9" s="33">
        <v>45419789</v>
      </c>
      <c r="K9" s="33" t="s">
        <v>2228</v>
      </c>
      <c r="L9" s="27" t="s">
        <v>2231</v>
      </c>
      <c r="M9" s="18">
        <v>129900</v>
      </c>
      <c r="N9" s="37" t="str">
        <f t="shared" si="3"/>
        <v>BXGY</v>
      </c>
      <c r="O9" s="34" t="str">
        <f t="shared" si="4"/>
        <v>B1G2</v>
      </c>
      <c r="P9" s="33" t="str">
        <f t="shared" si="5"/>
        <v>BXGY</v>
      </c>
    </row>
    <row r="10" spans="1:16" s="6" customFormat="1" x14ac:dyDescent="0.25">
      <c r="A10" s="33" t="str">
        <f t="shared" si="0"/>
        <v>2024 NOV-DEC B1G2</v>
      </c>
      <c r="B10" s="8">
        <f t="shared" si="1"/>
        <v>46099</v>
      </c>
      <c r="C10" s="8">
        <f t="shared" si="2"/>
        <v>46113</v>
      </c>
      <c r="D10" s="33">
        <v>3272</v>
      </c>
      <c r="E10" s="33">
        <v>336</v>
      </c>
      <c r="F10" s="33">
        <v>4</v>
      </c>
      <c r="G10" s="33">
        <v>1</v>
      </c>
      <c r="H10" s="33">
        <v>81676</v>
      </c>
      <c r="I10" s="33" t="s">
        <v>104</v>
      </c>
      <c r="J10" s="33">
        <v>45419798</v>
      </c>
      <c r="K10" s="33" t="s">
        <v>2228</v>
      </c>
      <c r="L10" s="27" t="s">
        <v>2232</v>
      </c>
      <c r="M10" s="18">
        <v>129900</v>
      </c>
      <c r="N10" s="37" t="str">
        <f t="shared" si="3"/>
        <v>BXGY</v>
      </c>
      <c r="O10" s="34" t="str">
        <f t="shared" si="4"/>
        <v>B1G2</v>
      </c>
      <c r="P10" s="33" t="str">
        <f t="shared" si="5"/>
        <v>BXGY</v>
      </c>
    </row>
    <row r="11" spans="1:16" s="6" customFormat="1" x14ac:dyDescent="0.25">
      <c r="A11" s="33" t="str">
        <f t="shared" si="0"/>
        <v>2024 NOV-DEC B1G2</v>
      </c>
      <c r="B11" s="8">
        <f t="shared" si="1"/>
        <v>46099</v>
      </c>
      <c r="C11" s="8">
        <f t="shared" si="2"/>
        <v>46113</v>
      </c>
      <c r="D11" s="33">
        <v>3272</v>
      </c>
      <c r="E11" s="33">
        <v>336</v>
      </c>
      <c r="F11" s="33">
        <v>4</v>
      </c>
      <c r="G11" s="33">
        <v>1</v>
      </c>
      <c r="H11" s="33">
        <v>81676</v>
      </c>
      <c r="I11" s="33" t="s">
        <v>104</v>
      </c>
      <c r="J11" s="33">
        <v>45419805</v>
      </c>
      <c r="K11" s="33" t="s">
        <v>2228</v>
      </c>
      <c r="L11" s="27" t="s">
        <v>2233</v>
      </c>
      <c r="M11" s="18">
        <v>129900</v>
      </c>
      <c r="N11" s="37" t="str">
        <f t="shared" si="3"/>
        <v>BXGY</v>
      </c>
      <c r="O11" s="34" t="str">
        <f t="shared" si="4"/>
        <v>B1G2</v>
      </c>
      <c r="P11" s="33" t="str">
        <f t="shared" si="5"/>
        <v>BXGY</v>
      </c>
    </row>
    <row r="12" spans="1:16" s="6" customFormat="1" x14ac:dyDescent="0.25">
      <c r="A12" s="33" t="str">
        <f t="shared" si="0"/>
        <v>2024 NOV-DEC B1G2</v>
      </c>
      <c r="B12" s="8">
        <f t="shared" si="1"/>
        <v>46099</v>
      </c>
      <c r="C12" s="8">
        <f t="shared" si="2"/>
        <v>46113</v>
      </c>
      <c r="D12" s="33">
        <v>3272</v>
      </c>
      <c r="E12" s="33">
        <v>336</v>
      </c>
      <c r="F12" s="33">
        <v>4</v>
      </c>
      <c r="G12" s="33">
        <v>1</v>
      </c>
      <c r="H12" s="33">
        <v>81676</v>
      </c>
      <c r="I12" s="33" t="s">
        <v>104</v>
      </c>
      <c r="J12" s="33">
        <v>45419814</v>
      </c>
      <c r="K12" s="33" t="s">
        <v>2267</v>
      </c>
      <c r="L12" s="27" t="s">
        <v>2268</v>
      </c>
      <c r="M12" s="18">
        <v>139900</v>
      </c>
      <c r="N12" s="37" t="str">
        <f t="shared" si="3"/>
        <v>BXGY</v>
      </c>
      <c r="O12" s="34" t="str">
        <f t="shared" si="4"/>
        <v>B1G2</v>
      </c>
      <c r="P12" s="33" t="str">
        <f t="shared" si="5"/>
        <v>BXGY</v>
      </c>
    </row>
    <row r="13" spans="1:16" s="6" customFormat="1" x14ac:dyDescent="0.25">
      <c r="A13" s="33" t="str">
        <f t="shared" si="0"/>
        <v>2024 NOV-DEC B1G2</v>
      </c>
      <c r="B13" s="8">
        <f t="shared" si="1"/>
        <v>46099</v>
      </c>
      <c r="C13" s="8">
        <f t="shared" si="2"/>
        <v>46113</v>
      </c>
      <c r="D13" s="33">
        <v>3272</v>
      </c>
      <c r="E13" s="33">
        <v>336</v>
      </c>
      <c r="F13" s="33">
        <v>4</v>
      </c>
      <c r="G13" s="33">
        <v>1</v>
      </c>
      <c r="H13" s="33">
        <v>81676</v>
      </c>
      <c r="I13" s="33" t="s">
        <v>104</v>
      </c>
      <c r="J13" s="33">
        <v>45419823</v>
      </c>
      <c r="K13" s="33" t="s">
        <v>2267</v>
      </c>
      <c r="L13" s="27" t="s">
        <v>2269</v>
      </c>
      <c r="M13" s="18">
        <v>139900</v>
      </c>
      <c r="N13" s="37" t="str">
        <f t="shared" si="3"/>
        <v>BXGY</v>
      </c>
      <c r="O13" s="34" t="str">
        <f t="shared" si="4"/>
        <v>B1G2</v>
      </c>
      <c r="P13" s="33" t="str">
        <f t="shared" si="5"/>
        <v>BXGY</v>
      </c>
    </row>
    <row r="14" spans="1:16" s="6" customFormat="1" x14ac:dyDescent="0.25">
      <c r="A14" s="33" t="str">
        <f t="shared" si="0"/>
        <v>2024 NOV-DEC B1G2</v>
      </c>
      <c r="B14" s="8">
        <f t="shared" si="1"/>
        <v>46099</v>
      </c>
      <c r="C14" s="8">
        <f t="shared" si="2"/>
        <v>46113</v>
      </c>
      <c r="D14" s="33">
        <v>3272</v>
      </c>
      <c r="E14" s="33">
        <v>336</v>
      </c>
      <c r="F14" s="33">
        <v>4</v>
      </c>
      <c r="G14" s="33">
        <v>1</v>
      </c>
      <c r="H14" s="33">
        <v>81676</v>
      </c>
      <c r="I14" s="33" t="s">
        <v>104</v>
      </c>
      <c r="J14" s="33">
        <v>45419832</v>
      </c>
      <c r="K14" s="33" t="s">
        <v>2267</v>
      </c>
      <c r="L14" s="27" t="s">
        <v>2270</v>
      </c>
      <c r="M14" s="18">
        <v>139900</v>
      </c>
      <c r="N14" s="37" t="str">
        <f t="shared" si="3"/>
        <v>BXGY</v>
      </c>
      <c r="O14" s="34" t="str">
        <f t="shared" si="4"/>
        <v>B1G2</v>
      </c>
      <c r="P14" s="33" t="str">
        <f t="shared" si="5"/>
        <v>BXGY</v>
      </c>
    </row>
    <row r="15" spans="1:16" s="6" customFormat="1" x14ac:dyDescent="0.25">
      <c r="A15" s="33" t="str">
        <f t="shared" si="0"/>
        <v>2024 NOV-DEC B1G2</v>
      </c>
      <c r="B15" s="8">
        <f t="shared" si="1"/>
        <v>46099</v>
      </c>
      <c r="C15" s="8">
        <f t="shared" si="2"/>
        <v>46113</v>
      </c>
      <c r="D15" s="33">
        <v>3272</v>
      </c>
      <c r="E15" s="33">
        <v>336</v>
      </c>
      <c r="F15" s="33">
        <v>4</v>
      </c>
      <c r="G15" s="33">
        <v>1</v>
      </c>
      <c r="H15" s="33">
        <v>81676</v>
      </c>
      <c r="I15" s="33" t="s">
        <v>104</v>
      </c>
      <c r="J15" s="33">
        <v>45419841</v>
      </c>
      <c r="K15" s="33" t="s">
        <v>2267</v>
      </c>
      <c r="L15" s="27" t="s">
        <v>2271</v>
      </c>
      <c r="M15" s="18">
        <v>139900</v>
      </c>
      <c r="N15" s="37" t="str">
        <f t="shared" si="3"/>
        <v>BXGY</v>
      </c>
      <c r="O15" s="34" t="str">
        <f t="shared" si="4"/>
        <v>B1G2</v>
      </c>
      <c r="P15" s="33" t="str">
        <f t="shared" si="5"/>
        <v>BXGY</v>
      </c>
    </row>
    <row r="16" spans="1:16" s="6" customFormat="1" x14ac:dyDescent="0.25">
      <c r="A16" s="33" t="str">
        <f t="shared" si="0"/>
        <v>2024 NOV-DEC B1G2</v>
      </c>
      <c r="B16" s="8">
        <f t="shared" si="1"/>
        <v>46099</v>
      </c>
      <c r="C16" s="8">
        <f t="shared" si="2"/>
        <v>46113</v>
      </c>
      <c r="D16" s="33">
        <v>3272</v>
      </c>
      <c r="E16" s="33">
        <v>336</v>
      </c>
      <c r="F16" s="33">
        <v>4</v>
      </c>
      <c r="G16" s="33">
        <v>1</v>
      </c>
      <c r="H16" s="33">
        <v>81676</v>
      </c>
      <c r="I16" s="33" t="s">
        <v>104</v>
      </c>
      <c r="J16" s="33">
        <v>45419850</v>
      </c>
      <c r="K16" s="33" t="s">
        <v>2267</v>
      </c>
      <c r="L16" s="27" t="s">
        <v>2272</v>
      </c>
      <c r="M16" s="18">
        <v>139900</v>
      </c>
      <c r="N16" s="37" t="str">
        <f t="shared" si="3"/>
        <v>BXGY</v>
      </c>
      <c r="O16" s="34" t="str">
        <f t="shared" si="4"/>
        <v>B1G2</v>
      </c>
      <c r="P16" s="33" t="str">
        <f t="shared" si="5"/>
        <v>BXGY</v>
      </c>
    </row>
    <row r="17" spans="1:16" s="6" customFormat="1" x14ac:dyDescent="0.25">
      <c r="A17" s="33" t="str">
        <f t="shared" si="0"/>
        <v>2024 NOV-DEC B1G2</v>
      </c>
      <c r="B17" s="8">
        <f t="shared" si="1"/>
        <v>46099</v>
      </c>
      <c r="C17" s="8">
        <f t="shared" si="2"/>
        <v>46113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45419967</v>
      </c>
      <c r="K17" s="33" t="s">
        <v>2285</v>
      </c>
      <c r="L17" s="27" t="s">
        <v>2286</v>
      </c>
      <c r="M17" s="18">
        <v>139900</v>
      </c>
      <c r="N17" s="37" t="str">
        <f t="shared" si="3"/>
        <v>BXGY</v>
      </c>
      <c r="O17" s="34" t="str">
        <f t="shared" si="4"/>
        <v>B1G2</v>
      </c>
      <c r="P17" s="33" t="str">
        <f t="shared" si="5"/>
        <v>BXGY</v>
      </c>
    </row>
    <row r="18" spans="1:16" s="6" customFormat="1" x14ac:dyDescent="0.25">
      <c r="A18" s="33" t="str">
        <f t="shared" si="0"/>
        <v>2024 NOV-DEC B1G2</v>
      </c>
      <c r="B18" s="8">
        <f t="shared" si="1"/>
        <v>46099</v>
      </c>
      <c r="C18" s="8">
        <f t="shared" si="2"/>
        <v>46113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45419976</v>
      </c>
      <c r="K18" s="33" t="s">
        <v>2285</v>
      </c>
      <c r="L18" s="27" t="s">
        <v>2287</v>
      </c>
      <c r="M18" s="18">
        <v>139900</v>
      </c>
      <c r="N18" s="37" t="str">
        <f t="shared" si="3"/>
        <v>BXGY</v>
      </c>
      <c r="O18" s="34" t="str">
        <f t="shared" si="4"/>
        <v>B1G2</v>
      </c>
      <c r="P18" s="33" t="str">
        <f t="shared" si="5"/>
        <v>BXGY</v>
      </c>
    </row>
    <row r="19" spans="1:16" s="6" customFormat="1" x14ac:dyDescent="0.25">
      <c r="A19" s="33" t="str">
        <f t="shared" si="0"/>
        <v>2024 NOV-DEC B1G2</v>
      </c>
      <c r="B19" s="8">
        <f t="shared" si="1"/>
        <v>46099</v>
      </c>
      <c r="C19" s="8">
        <f t="shared" si="2"/>
        <v>46113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45419985</v>
      </c>
      <c r="K19" s="33" t="s">
        <v>2285</v>
      </c>
      <c r="L19" s="27" t="s">
        <v>2288</v>
      </c>
      <c r="M19" s="18">
        <v>139900</v>
      </c>
      <c r="N19" s="37" t="str">
        <f t="shared" si="3"/>
        <v>BXGY</v>
      </c>
      <c r="O19" s="34" t="str">
        <f t="shared" si="4"/>
        <v>B1G2</v>
      </c>
      <c r="P19" s="33" t="str">
        <f t="shared" si="5"/>
        <v>BXGY</v>
      </c>
    </row>
    <row r="20" spans="1:16" s="6" customFormat="1" x14ac:dyDescent="0.25">
      <c r="A20" s="33" t="str">
        <f t="shared" si="0"/>
        <v>2024 NOV-DEC B1G2</v>
      </c>
      <c r="B20" s="8">
        <f t="shared" si="1"/>
        <v>46099</v>
      </c>
      <c r="C20" s="8">
        <f t="shared" si="2"/>
        <v>46113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45419994</v>
      </c>
      <c r="K20" s="33" t="s">
        <v>2285</v>
      </c>
      <c r="L20" s="27" t="s">
        <v>2289</v>
      </c>
      <c r="M20" s="18">
        <v>139900</v>
      </c>
      <c r="N20" s="37" t="str">
        <f t="shared" si="3"/>
        <v>BXGY</v>
      </c>
      <c r="O20" s="34" t="str">
        <f t="shared" si="4"/>
        <v>B1G2</v>
      </c>
      <c r="P20" s="33" t="str">
        <f t="shared" si="5"/>
        <v>BXGY</v>
      </c>
    </row>
    <row r="21" spans="1:16" s="6" customFormat="1" x14ac:dyDescent="0.25">
      <c r="A21" s="33" t="str">
        <f t="shared" si="0"/>
        <v>2024 NOV-DEC B1G2</v>
      </c>
      <c r="B21" s="8">
        <f t="shared" si="1"/>
        <v>46099</v>
      </c>
      <c r="C21" s="8">
        <f t="shared" si="2"/>
        <v>46113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45420008</v>
      </c>
      <c r="K21" s="33" t="s">
        <v>2285</v>
      </c>
      <c r="L21" s="27" t="s">
        <v>2290</v>
      </c>
      <c r="M21" s="18">
        <v>139900</v>
      </c>
      <c r="N21" s="37" t="str">
        <f t="shared" si="3"/>
        <v>BXGY</v>
      </c>
      <c r="O21" s="34" t="str">
        <f t="shared" si="4"/>
        <v>B1G2</v>
      </c>
      <c r="P21" s="33" t="str">
        <f t="shared" si="5"/>
        <v>BXGY</v>
      </c>
    </row>
    <row r="22" spans="1:16" s="6" customFormat="1" x14ac:dyDescent="0.25">
      <c r="A22" s="33" t="str">
        <f t="shared" si="0"/>
        <v>2024 NOV-DEC B1G2</v>
      </c>
      <c r="B22" s="8">
        <f t="shared" si="1"/>
        <v>46099</v>
      </c>
      <c r="C22" s="8">
        <f t="shared" si="2"/>
        <v>46113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45420017</v>
      </c>
      <c r="K22" s="33" t="s">
        <v>2285</v>
      </c>
      <c r="L22" s="27" t="s">
        <v>2291</v>
      </c>
      <c r="M22" s="18">
        <v>139900</v>
      </c>
      <c r="N22" s="37" t="str">
        <f t="shared" si="3"/>
        <v>BXGY</v>
      </c>
      <c r="O22" s="34" t="str">
        <f t="shared" si="4"/>
        <v>B1G2</v>
      </c>
      <c r="P22" s="33" t="str">
        <f t="shared" si="5"/>
        <v>BXGY</v>
      </c>
    </row>
    <row r="23" spans="1:16" s="6" customFormat="1" x14ac:dyDescent="0.25">
      <c r="A23" s="33" t="str">
        <f t="shared" si="0"/>
        <v>2024 NOV-DEC B1G2</v>
      </c>
      <c r="B23" s="8">
        <f t="shared" si="1"/>
        <v>46099</v>
      </c>
      <c r="C23" s="8">
        <f t="shared" si="2"/>
        <v>46113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45420026</v>
      </c>
      <c r="K23" s="33" t="s">
        <v>2285</v>
      </c>
      <c r="L23" s="27" t="s">
        <v>2292</v>
      </c>
      <c r="M23" s="18">
        <v>139900</v>
      </c>
      <c r="N23" s="37" t="str">
        <f t="shared" si="3"/>
        <v>BXGY</v>
      </c>
      <c r="O23" s="34" t="str">
        <f t="shared" si="4"/>
        <v>B1G2</v>
      </c>
      <c r="P23" s="33" t="str">
        <f t="shared" si="5"/>
        <v>BXGY</v>
      </c>
    </row>
    <row r="24" spans="1:16" s="6" customFormat="1" x14ac:dyDescent="0.25">
      <c r="A24" s="33" t="str">
        <f t="shared" si="0"/>
        <v>2024 NOV-DEC B1G2</v>
      </c>
      <c r="B24" s="8">
        <f t="shared" si="1"/>
        <v>46099</v>
      </c>
      <c r="C24" s="8">
        <f t="shared" si="2"/>
        <v>46113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45420035</v>
      </c>
      <c r="K24" s="33" t="s">
        <v>2285</v>
      </c>
      <c r="L24" s="27" t="s">
        <v>2293</v>
      </c>
      <c r="M24" s="18">
        <v>139900</v>
      </c>
      <c r="N24" s="37" t="str">
        <f t="shared" si="3"/>
        <v>BXGY</v>
      </c>
      <c r="O24" s="34" t="str">
        <f t="shared" si="4"/>
        <v>B1G2</v>
      </c>
      <c r="P24" s="33" t="str">
        <f t="shared" si="5"/>
        <v>BXGY</v>
      </c>
    </row>
    <row r="25" spans="1:16" s="6" customFormat="1" x14ac:dyDescent="0.25">
      <c r="A25" s="33" t="str">
        <f t="shared" si="0"/>
        <v>2024 NOV-DEC B1G2</v>
      </c>
      <c r="B25" s="8">
        <f t="shared" si="1"/>
        <v>46099</v>
      </c>
      <c r="C25" s="8">
        <f t="shared" si="2"/>
        <v>46113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45420044</v>
      </c>
      <c r="K25" s="33" t="s">
        <v>2294</v>
      </c>
      <c r="L25" s="27" t="s">
        <v>2295</v>
      </c>
      <c r="M25" s="18">
        <v>139900</v>
      </c>
      <c r="N25" s="37" t="str">
        <f t="shared" si="3"/>
        <v>BXGY</v>
      </c>
      <c r="O25" s="34" t="str">
        <f t="shared" si="4"/>
        <v>B1G2</v>
      </c>
      <c r="P25" s="33" t="str">
        <f t="shared" si="5"/>
        <v>BXGY</v>
      </c>
    </row>
    <row r="26" spans="1:16" s="6" customFormat="1" x14ac:dyDescent="0.25">
      <c r="A26" s="33" t="str">
        <f t="shared" si="0"/>
        <v>2024 NOV-DEC B1G2</v>
      </c>
      <c r="B26" s="8">
        <f t="shared" si="1"/>
        <v>46099</v>
      </c>
      <c r="C26" s="8">
        <f t="shared" si="2"/>
        <v>46113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45420053</v>
      </c>
      <c r="K26" s="33" t="s">
        <v>2294</v>
      </c>
      <c r="L26" s="27" t="s">
        <v>2296</v>
      </c>
      <c r="M26" s="18">
        <v>139900</v>
      </c>
      <c r="N26" s="37" t="str">
        <f t="shared" si="3"/>
        <v>BXGY</v>
      </c>
      <c r="O26" s="34" t="str">
        <f t="shared" si="4"/>
        <v>B1G2</v>
      </c>
      <c r="P26" s="33" t="str">
        <f t="shared" si="5"/>
        <v>BXGY</v>
      </c>
    </row>
    <row r="27" spans="1:16" s="6" customFormat="1" x14ac:dyDescent="0.25">
      <c r="A27" s="33" t="str">
        <f t="shared" si="0"/>
        <v>2024 NOV-DEC B1G2</v>
      </c>
      <c r="B27" s="8">
        <f t="shared" si="1"/>
        <v>46099</v>
      </c>
      <c r="C27" s="8">
        <f t="shared" si="2"/>
        <v>46113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45420062</v>
      </c>
      <c r="K27" s="33" t="s">
        <v>2294</v>
      </c>
      <c r="L27" s="27" t="s">
        <v>2297</v>
      </c>
      <c r="M27" s="18">
        <v>139900</v>
      </c>
      <c r="N27" s="37" t="str">
        <f t="shared" si="3"/>
        <v>BXGY</v>
      </c>
      <c r="O27" s="34" t="str">
        <f t="shared" si="4"/>
        <v>B1G2</v>
      </c>
      <c r="P27" s="33" t="str">
        <f t="shared" si="5"/>
        <v>BXGY</v>
      </c>
    </row>
    <row r="28" spans="1:16" s="6" customFormat="1" x14ac:dyDescent="0.25">
      <c r="A28" s="33" t="str">
        <f t="shared" si="0"/>
        <v>2024 NOV-DEC B1G2</v>
      </c>
      <c r="B28" s="8">
        <f t="shared" si="1"/>
        <v>46099</v>
      </c>
      <c r="C28" s="8">
        <f t="shared" si="2"/>
        <v>46113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45420071</v>
      </c>
      <c r="K28" s="33" t="s">
        <v>2294</v>
      </c>
      <c r="L28" s="27" t="s">
        <v>2298</v>
      </c>
      <c r="M28" s="18">
        <v>139900</v>
      </c>
      <c r="N28" s="37" t="str">
        <f t="shared" si="3"/>
        <v>BXGY</v>
      </c>
      <c r="O28" s="34" t="str">
        <f t="shared" si="4"/>
        <v>B1G2</v>
      </c>
      <c r="P28" s="33" t="str">
        <f t="shared" si="5"/>
        <v>BXGY</v>
      </c>
    </row>
    <row r="29" spans="1:16" s="6" customFormat="1" x14ac:dyDescent="0.25">
      <c r="A29" s="33" t="str">
        <f t="shared" si="0"/>
        <v>2024 NOV-DEC B1G2</v>
      </c>
      <c r="B29" s="8">
        <f t="shared" si="1"/>
        <v>46099</v>
      </c>
      <c r="C29" s="8">
        <f t="shared" si="2"/>
        <v>46113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45420080</v>
      </c>
      <c r="K29" s="33" t="s">
        <v>2294</v>
      </c>
      <c r="L29" s="27" t="s">
        <v>2299</v>
      </c>
      <c r="M29" s="18">
        <v>139900</v>
      </c>
      <c r="N29" s="37" t="str">
        <f t="shared" si="3"/>
        <v>BXGY</v>
      </c>
      <c r="O29" s="34" t="str">
        <f t="shared" si="4"/>
        <v>B1G2</v>
      </c>
      <c r="P29" s="33" t="str">
        <f t="shared" si="5"/>
        <v>BXGY</v>
      </c>
    </row>
    <row r="30" spans="1:16" s="6" customFormat="1" x14ac:dyDescent="0.25">
      <c r="A30" s="33" t="str">
        <f t="shared" si="0"/>
        <v>2024 NOV-DEC B1G2</v>
      </c>
      <c r="B30" s="8">
        <f t="shared" si="1"/>
        <v>46099</v>
      </c>
      <c r="C30" s="8">
        <f t="shared" si="2"/>
        <v>46113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45420099</v>
      </c>
      <c r="K30" s="33" t="s">
        <v>2294</v>
      </c>
      <c r="L30" s="27" t="s">
        <v>2300</v>
      </c>
      <c r="M30" s="18">
        <v>139900</v>
      </c>
      <c r="N30" s="37" t="str">
        <f t="shared" si="3"/>
        <v>BXGY</v>
      </c>
      <c r="O30" s="34" t="str">
        <f t="shared" si="4"/>
        <v>B1G2</v>
      </c>
      <c r="P30" s="33" t="str">
        <f t="shared" si="5"/>
        <v>BXGY</v>
      </c>
    </row>
    <row r="31" spans="1:16" s="6" customFormat="1" x14ac:dyDescent="0.25">
      <c r="A31" s="33" t="str">
        <f t="shared" si="0"/>
        <v>2024 NOV-DEC B1G2</v>
      </c>
      <c r="B31" s="8">
        <f t="shared" si="1"/>
        <v>46099</v>
      </c>
      <c r="C31" s="8">
        <f t="shared" si="2"/>
        <v>46113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45420106</v>
      </c>
      <c r="K31" s="33" t="s">
        <v>2294</v>
      </c>
      <c r="L31" s="27" t="s">
        <v>2301</v>
      </c>
      <c r="M31" s="18">
        <v>139900</v>
      </c>
      <c r="N31" s="37" t="str">
        <f t="shared" si="3"/>
        <v>BXGY</v>
      </c>
      <c r="O31" s="34" t="str">
        <f t="shared" si="4"/>
        <v>B1G2</v>
      </c>
      <c r="P31" s="33" t="str">
        <f t="shared" si="5"/>
        <v>BXGY</v>
      </c>
    </row>
    <row r="32" spans="1:16" s="6" customFormat="1" x14ac:dyDescent="0.25">
      <c r="A32" s="33" t="str">
        <f t="shared" si="0"/>
        <v>2024 NOV-DEC B1G2</v>
      </c>
      <c r="B32" s="8">
        <f t="shared" si="1"/>
        <v>46099</v>
      </c>
      <c r="C32" s="8">
        <f t="shared" si="2"/>
        <v>46113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45420115</v>
      </c>
      <c r="K32" s="33" t="s">
        <v>2294</v>
      </c>
      <c r="L32" s="27" t="s">
        <v>2302</v>
      </c>
      <c r="M32" s="18">
        <v>139900</v>
      </c>
      <c r="N32" s="37" t="str">
        <f t="shared" si="3"/>
        <v>BXGY</v>
      </c>
      <c r="O32" s="34" t="str">
        <f t="shared" si="4"/>
        <v>B1G2</v>
      </c>
      <c r="P32" s="33" t="str">
        <f t="shared" si="5"/>
        <v>BXGY</v>
      </c>
    </row>
    <row r="33" spans="1:16" s="6" customFormat="1" x14ac:dyDescent="0.25">
      <c r="A33" s="33" t="str">
        <f t="shared" si="0"/>
        <v>2024 NOV-DEC B1G2</v>
      </c>
      <c r="B33" s="8">
        <f t="shared" si="1"/>
        <v>46099</v>
      </c>
      <c r="C33" s="8">
        <f t="shared" si="2"/>
        <v>46113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45420124</v>
      </c>
      <c r="K33" s="33" t="s">
        <v>2303</v>
      </c>
      <c r="L33" s="27" t="s">
        <v>2304</v>
      </c>
      <c r="M33" s="18">
        <v>139900</v>
      </c>
      <c r="N33" s="37" t="str">
        <f t="shared" si="3"/>
        <v>BXGY</v>
      </c>
      <c r="O33" s="34" t="str">
        <f t="shared" si="4"/>
        <v>B1G2</v>
      </c>
      <c r="P33" s="33" t="str">
        <f t="shared" si="5"/>
        <v>BXGY</v>
      </c>
    </row>
    <row r="34" spans="1:16" s="6" customFormat="1" x14ac:dyDescent="0.25">
      <c r="A34" s="33" t="str">
        <f t="shared" si="0"/>
        <v>2024 NOV-DEC B1G2</v>
      </c>
      <c r="B34" s="8">
        <f t="shared" si="1"/>
        <v>46099</v>
      </c>
      <c r="C34" s="8">
        <f t="shared" si="2"/>
        <v>46113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45420133</v>
      </c>
      <c r="K34" s="33" t="s">
        <v>2303</v>
      </c>
      <c r="L34" s="27" t="s">
        <v>2305</v>
      </c>
      <c r="M34" s="18">
        <v>139900</v>
      </c>
      <c r="N34" s="37" t="str">
        <f t="shared" si="3"/>
        <v>BXGY</v>
      </c>
      <c r="O34" s="34" t="str">
        <f t="shared" si="4"/>
        <v>B1G2</v>
      </c>
      <c r="P34" s="33" t="str">
        <f t="shared" si="5"/>
        <v>BXGY</v>
      </c>
    </row>
    <row r="35" spans="1:16" s="6" customFormat="1" x14ac:dyDescent="0.25">
      <c r="A35" s="33" t="str">
        <f t="shared" si="0"/>
        <v>2024 NOV-DEC B1G2</v>
      </c>
      <c r="B35" s="8">
        <f t="shared" si="1"/>
        <v>46099</v>
      </c>
      <c r="C35" s="8">
        <f t="shared" si="2"/>
        <v>46113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45420142</v>
      </c>
      <c r="K35" s="33" t="s">
        <v>2303</v>
      </c>
      <c r="L35" s="27" t="s">
        <v>2306</v>
      </c>
      <c r="M35" s="18">
        <v>139900</v>
      </c>
      <c r="N35" s="37" t="str">
        <f t="shared" ref="N35:N66" si="6">N34</f>
        <v>BXGY</v>
      </c>
      <c r="O35" s="34" t="str">
        <f t="shared" ref="O35:O66" si="7">O34</f>
        <v>B1G2</v>
      </c>
      <c r="P35" s="33" t="str">
        <f t="shared" ref="P35:P66" si="8">P34</f>
        <v>BXGY</v>
      </c>
    </row>
    <row r="36" spans="1:16" s="6" customFormat="1" x14ac:dyDescent="0.25">
      <c r="A36" s="33" t="str">
        <f t="shared" si="0"/>
        <v>2024 NOV-DEC B1G2</v>
      </c>
      <c r="B36" s="8">
        <f t="shared" si="1"/>
        <v>46099</v>
      </c>
      <c r="C36" s="8">
        <f t="shared" si="2"/>
        <v>46113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45420151</v>
      </c>
      <c r="K36" s="33" t="s">
        <v>2303</v>
      </c>
      <c r="L36" s="27" t="s">
        <v>2307</v>
      </c>
      <c r="M36" s="18">
        <v>139900</v>
      </c>
      <c r="N36" s="37" t="str">
        <f t="shared" si="6"/>
        <v>BXGY</v>
      </c>
      <c r="O36" s="34" t="str">
        <f t="shared" si="7"/>
        <v>B1G2</v>
      </c>
      <c r="P36" s="33" t="str">
        <f t="shared" si="8"/>
        <v>BXGY</v>
      </c>
    </row>
    <row r="37" spans="1:16" s="6" customFormat="1" x14ac:dyDescent="0.25">
      <c r="A37" s="33" t="str">
        <f t="shared" si="0"/>
        <v>2024 NOV-DEC B1G2</v>
      </c>
      <c r="B37" s="8">
        <f t="shared" si="1"/>
        <v>46099</v>
      </c>
      <c r="C37" s="8">
        <f t="shared" si="2"/>
        <v>46113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45420160</v>
      </c>
      <c r="K37" s="33" t="s">
        <v>2303</v>
      </c>
      <c r="L37" s="27" t="s">
        <v>2308</v>
      </c>
      <c r="M37" s="18">
        <v>139900</v>
      </c>
      <c r="N37" s="37" t="str">
        <f t="shared" si="6"/>
        <v>BXGY</v>
      </c>
      <c r="O37" s="34" t="str">
        <f t="shared" si="7"/>
        <v>B1G2</v>
      </c>
      <c r="P37" s="33" t="str">
        <f t="shared" si="8"/>
        <v>BXGY</v>
      </c>
    </row>
    <row r="38" spans="1:16" s="6" customFormat="1" x14ac:dyDescent="0.25">
      <c r="A38" s="33" t="str">
        <f t="shared" si="0"/>
        <v>2024 NOV-DEC B1G2</v>
      </c>
      <c r="B38" s="8">
        <f t="shared" si="1"/>
        <v>46099</v>
      </c>
      <c r="C38" s="8">
        <f t="shared" si="2"/>
        <v>46113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45420179</v>
      </c>
      <c r="K38" s="33" t="s">
        <v>2303</v>
      </c>
      <c r="L38" s="27" t="s">
        <v>2309</v>
      </c>
      <c r="M38" s="18">
        <v>139900</v>
      </c>
      <c r="N38" s="37" t="str">
        <f t="shared" si="6"/>
        <v>BXGY</v>
      </c>
      <c r="O38" s="34" t="str">
        <f t="shared" si="7"/>
        <v>B1G2</v>
      </c>
      <c r="P38" s="33" t="str">
        <f t="shared" si="8"/>
        <v>BXGY</v>
      </c>
    </row>
    <row r="39" spans="1:16" s="6" customFormat="1" x14ac:dyDescent="0.25">
      <c r="A39" s="33" t="str">
        <f t="shared" si="0"/>
        <v>2024 NOV-DEC B1G2</v>
      </c>
      <c r="B39" s="8">
        <f t="shared" si="1"/>
        <v>46099</v>
      </c>
      <c r="C39" s="8">
        <f t="shared" si="2"/>
        <v>46113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45420188</v>
      </c>
      <c r="K39" s="33" t="s">
        <v>2303</v>
      </c>
      <c r="L39" s="27" t="s">
        <v>2310</v>
      </c>
      <c r="M39" s="18">
        <v>139900</v>
      </c>
      <c r="N39" s="37" t="str">
        <f t="shared" si="6"/>
        <v>BXGY</v>
      </c>
      <c r="O39" s="34" t="str">
        <f t="shared" si="7"/>
        <v>B1G2</v>
      </c>
      <c r="P39" s="33" t="str">
        <f t="shared" si="8"/>
        <v>BXGY</v>
      </c>
    </row>
    <row r="40" spans="1:16" s="6" customFormat="1" x14ac:dyDescent="0.25">
      <c r="A40" s="33" t="str">
        <f t="shared" si="0"/>
        <v>2024 NOV-DEC B1G2</v>
      </c>
      <c r="B40" s="8">
        <f t="shared" si="1"/>
        <v>46099</v>
      </c>
      <c r="C40" s="8">
        <f t="shared" si="2"/>
        <v>46113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45420197</v>
      </c>
      <c r="K40" s="33" t="s">
        <v>2303</v>
      </c>
      <c r="L40" s="27" t="s">
        <v>2311</v>
      </c>
      <c r="M40" s="18">
        <v>139900</v>
      </c>
      <c r="N40" s="37" t="str">
        <f t="shared" si="6"/>
        <v>BXGY</v>
      </c>
      <c r="O40" s="34" t="str">
        <f t="shared" si="7"/>
        <v>B1G2</v>
      </c>
      <c r="P40" s="33" t="str">
        <f t="shared" si="8"/>
        <v>BXGY</v>
      </c>
    </row>
    <row r="41" spans="1:16" s="6" customFormat="1" x14ac:dyDescent="0.25">
      <c r="A41" s="33" t="str">
        <f t="shared" si="0"/>
        <v>2024 NOV-DEC B1G2</v>
      </c>
      <c r="B41" s="8">
        <f t="shared" si="1"/>
        <v>46099</v>
      </c>
      <c r="C41" s="8">
        <f t="shared" si="2"/>
        <v>46113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45420204</v>
      </c>
      <c r="K41" s="33" t="s">
        <v>2312</v>
      </c>
      <c r="L41" s="27" t="s">
        <v>2313</v>
      </c>
      <c r="M41" s="18">
        <v>139900</v>
      </c>
      <c r="N41" s="37" t="str">
        <f t="shared" si="6"/>
        <v>BXGY</v>
      </c>
      <c r="O41" s="34" t="str">
        <f t="shared" si="7"/>
        <v>B1G2</v>
      </c>
      <c r="P41" s="33" t="str">
        <f t="shared" si="8"/>
        <v>BXGY</v>
      </c>
    </row>
    <row r="42" spans="1:16" s="6" customFormat="1" x14ac:dyDescent="0.25">
      <c r="A42" s="33" t="str">
        <f t="shared" si="0"/>
        <v>2024 NOV-DEC B1G2</v>
      </c>
      <c r="B42" s="8">
        <f t="shared" si="1"/>
        <v>46099</v>
      </c>
      <c r="C42" s="8">
        <f t="shared" si="2"/>
        <v>46113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45420213</v>
      </c>
      <c r="K42" s="33" t="s">
        <v>2312</v>
      </c>
      <c r="L42" s="27" t="s">
        <v>2314</v>
      </c>
      <c r="M42" s="18">
        <v>139900</v>
      </c>
      <c r="N42" s="37" t="str">
        <f t="shared" si="6"/>
        <v>BXGY</v>
      </c>
      <c r="O42" s="34" t="str">
        <f t="shared" si="7"/>
        <v>B1G2</v>
      </c>
      <c r="P42" s="33" t="str">
        <f t="shared" si="8"/>
        <v>BXGY</v>
      </c>
    </row>
    <row r="43" spans="1:16" s="6" customFormat="1" x14ac:dyDescent="0.25">
      <c r="A43" s="33" t="str">
        <f t="shared" si="0"/>
        <v>2024 NOV-DEC B1G2</v>
      </c>
      <c r="B43" s="8">
        <f t="shared" si="1"/>
        <v>46099</v>
      </c>
      <c r="C43" s="8">
        <f t="shared" si="2"/>
        <v>46113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45420222</v>
      </c>
      <c r="K43" s="33" t="s">
        <v>2312</v>
      </c>
      <c r="L43" s="27" t="s">
        <v>2315</v>
      </c>
      <c r="M43" s="18">
        <v>139900</v>
      </c>
      <c r="N43" s="37" t="str">
        <f t="shared" si="6"/>
        <v>BXGY</v>
      </c>
      <c r="O43" s="34" t="str">
        <f t="shared" si="7"/>
        <v>B1G2</v>
      </c>
      <c r="P43" s="33" t="str">
        <f t="shared" si="8"/>
        <v>BXGY</v>
      </c>
    </row>
    <row r="44" spans="1:16" s="6" customFormat="1" x14ac:dyDescent="0.25">
      <c r="A44" s="33" t="str">
        <f t="shared" si="0"/>
        <v>2024 NOV-DEC B1G2</v>
      </c>
      <c r="B44" s="8">
        <f t="shared" si="1"/>
        <v>46099</v>
      </c>
      <c r="C44" s="8">
        <f t="shared" si="2"/>
        <v>46113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45420231</v>
      </c>
      <c r="K44" s="33" t="s">
        <v>2312</v>
      </c>
      <c r="L44" s="27" t="s">
        <v>2316</v>
      </c>
      <c r="M44" s="18">
        <v>139900</v>
      </c>
      <c r="N44" s="37" t="str">
        <f t="shared" si="6"/>
        <v>BXGY</v>
      </c>
      <c r="O44" s="34" t="str">
        <f t="shared" si="7"/>
        <v>B1G2</v>
      </c>
      <c r="P44" s="33" t="str">
        <f t="shared" si="8"/>
        <v>BXGY</v>
      </c>
    </row>
    <row r="45" spans="1:16" s="6" customFormat="1" x14ac:dyDescent="0.25">
      <c r="A45" s="33" t="str">
        <f t="shared" si="0"/>
        <v>2024 NOV-DEC B1G2</v>
      </c>
      <c r="B45" s="8">
        <f t="shared" si="1"/>
        <v>46099</v>
      </c>
      <c r="C45" s="8">
        <f t="shared" si="2"/>
        <v>46113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45420240</v>
      </c>
      <c r="K45" s="33" t="s">
        <v>2312</v>
      </c>
      <c r="L45" s="27" t="s">
        <v>2317</v>
      </c>
      <c r="M45" s="18">
        <v>139900</v>
      </c>
      <c r="N45" s="37" t="str">
        <f t="shared" si="6"/>
        <v>BXGY</v>
      </c>
      <c r="O45" s="34" t="str">
        <f t="shared" si="7"/>
        <v>B1G2</v>
      </c>
      <c r="P45" s="33" t="str">
        <f t="shared" si="8"/>
        <v>BXGY</v>
      </c>
    </row>
    <row r="46" spans="1:16" s="6" customFormat="1" x14ac:dyDescent="0.25">
      <c r="A46" s="33" t="str">
        <f t="shared" si="0"/>
        <v>2024 NOV-DEC B1G2</v>
      </c>
      <c r="B46" s="8">
        <f t="shared" si="1"/>
        <v>46099</v>
      </c>
      <c r="C46" s="8">
        <f t="shared" si="2"/>
        <v>46113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45420259</v>
      </c>
      <c r="K46" s="33" t="s">
        <v>2312</v>
      </c>
      <c r="L46" s="27" t="s">
        <v>2318</v>
      </c>
      <c r="M46" s="18">
        <v>139900</v>
      </c>
      <c r="N46" s="37" t="str">
        <f t="shared" si="6"/>
        <v>BXGY</v>
      </c>
      <c r="O46" s="34" t="str">
        <f t="shared" si="7"/>
        <v>B1G2</v>
      </c>
      <c r="P46" s="33" t="str">
        <f t="shared" si="8"/>
        <v>BXGY</v>
      </c>
    </row>
    <row r="47" spans="1:16" s="6" customFormat="1" x14ac:dyDescent="0.25">
      <c r="A47" s="33" t="str">
        <f t="shared" si="0"/>
        <v>2024 NOV-DEC B1G2</v>
      </c>
      <c r="B47" s="8">
        <f t="shared" si="1"/>
        <v>46099</v>
      </c>
      <c r="C47" s="8">
        <f t="shared" si="2"/>
        <v>46113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45420268</v>
      </c>
      <c r="K47" s="33" t="s">
        <v>2312</v>
      </c>
      <c r="L47" s="27" t="s">
        <v>2319</v>
      </c>
      <c r="M47" s="18">
        <v>139900</v>
      </c>
      <c r="N47" s="37" t="str">
        <f t="shared" si="6"/>
        <v>BXGY</v>
      </c>
      <c r="O47" s="34" t="str">
        <f t="shared" si="7"/>
        <v>B1G2</v>
      </c>
      <c r="P47" s="33" t="str">
        <f t="shared" si="8"/>
        <v>BXGY</v>
      </c>
    </row>
    <row r="48" spans="1:16" s="6" customFormat="1" x14ac:dyDescent="0.25">
      <c r="A48" s="33" t="str">
        <f t="shared" si="0"/>
        <v>2024 NOV-DEC B1G2</v>
      </c>
      <c r="B48" s="8">
        <f t="shared" si="1"/>
        <v>46099</v>
      </c>
      <c r="C48" s="8">
        <f t="shared" si="2"/>
        <v>46113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45420277</v>
      </c>
      <c r="K48" s="33" t="s">
        <v>2312</v>
      </c>
      <c r="L48" s="27" t="s">
        <v>2320</v>
      </c>
      <c r="M48" s="18">
        <v>139900</v>
      </c>
      <c r="N48" s="37" t="str">
        <f t="shared" si="6"/>
        <v>BXGY</v>
      </c>
      <c r="O48" s="34" t="str">
        <f t="shared" si="7"/>
        <v>B1G2</v>
      </c>
      <c r="P48" s="33" t="str">
        <f t="shared" si="8"/>
        <v>BXGY</v>
      </c>
    </row>
    <row r="49" spans="1:16" s="6" customFormat="1" x14ac:dyDescent="0.25">
      <c r="A49" s="33" t="str">
        <f t="shared" si="0"/>
        <v>2024 NOV-DEC B1G2</v>
      </c>
      <c r="B49" s="8">
        <f t="shared" si="1"/>
        <v>46099</v>
      </c>
      <c r="C49" s="8">
        <f t="shared" si="2"/>
        <v>46113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15499679</v>
      </c>
      <c r="K49" s="33" t="s">
        <v>2234</v>
      </c>
      <c r="L49" s="27" t="s">
        <v>2235</v>
      </c>
      <c r="M49" s="18">
        <v>149900</v>
      </c>
      <c r="N49" s="37" t="str">
        <f t="shared" si="6"/>
        <v>BXGY</v>
      </c>
      <c r="O49" s="34" t="str">
        <f t="shared" si="7"/>
        <v>B1G2</v>
      </c>
      <c r="P49" s="33" t="str">
        <f t="shared" si="8"/>
        <v>BXGY</v>
      </c>
    </row>
    <row r="50" spans="1:16" s="6" customFormat="1" x14ac:dyDescent="0.25">
      <c r="A50" s="33" t="str">
        <f t="shared" si="0"/>
        <v>2024 NOV-DEC B1G2</v>
      </c>
      <c r="B50" s="8">
        <f t="shared" si="1"/>
        <v>46099</v>
      </c>
      <c r="C50" s="8">
        <f t="shared" si="2"/>
        <v>46113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15499688</v>
      </c>
      <c r="K50" s="33" t="s">
        <v>2234</v>
      </c>
      <c r="L50" s="27" t="s">
        <v>2236</v>
      </c>
      <c r="M50" s="18">
        <v>149900</v>
      </c>
      <c r="N50" s="37" t="str">
        <f t="shared" si="6"/>
        <v>BXGY</v>
      </c>
      <c r="O50" s="34" t="str">
        <f t="shared" si="7"/>
        <v>B1G2</v>
      </c>
      <c r="P50" s="33" t="str">
        <f t="shared" si="8"/>
        <v>BXGY</v>
      </c>
    </row>
    <row r="51" spans="1:16" s="6" customFormat="1" x14ac:dyDescent="0.25">
      <c r="A51" s="33" t="str">
        <f t="shared" si="0"/>
        <v>2024 NOV-DEC B1G2</v>
      </c>
      <c r="B51" s="8">
        <f t="shared" si="1"/>
        <v>46099</v>
      </c>
      <c r="C51" s="8">
        <f t="shared" si="2"/>
        <v>46113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15499697</v>
      </c>
      <c r="K51" s="33" t="s">
        <v>2234</v>
      </c>
      <c r="L51" s="27" t="s">
        <v>2237</v>
      </c>
      <c r="M51" s="18">
        <v>149900</v>
      </c>
      <c r="N51" s="37" t="str">
        <f t="shared" si="6"/>
        <v>BXGY</v>
      </c>
      <c r="O51" s="34" t="str">
        <f t="shared" si="7"/>
        <v>B1G2</v>
      </c>
      <c r="P51" s="33" t="str">
        <f t="shared" si="8"/>
        <v>BXGY</v>
      </c>
    </row>
    <row r="52" spans="1:16" s="6" customFormat="1" x14ac:dyDescent="0.25">
      <c r="A52" s="33" t="str">
        <f t="shared" si="0"/>
        <v>2024 NOV-DEC B1G2</v>
      </c>
      <c r="B52" s="8">
        <f t="shared" si="1"/>
        <v>46099</v>
      </c>
      <c r="C52" s="8">
        <f t="shared" si="2"/>
        <v>46113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15499704</v>
      </c>
      <c r="K52" s="33" t="s">
        <v>2234</v>
      </c>
      <c r="L52" s="27" t="s">
        <v>2238</v>
      </c>
      <c r="M52" s="18">
        <v>149900</v>
      </c>
      <c r="N52" s="37" t="str">
        <f t="shared" si="6"/>
        <v>BXGY</v>
      </c>
      <c r="O52" s="34" t="str">
        <f t="shared" si="7"/>
        <v>B1G2</v>
      </c>
      <c r="P52" s="33" t="str">
        <f t="shared" si="8"/>
        <v>BXGY</v>
      </c>
    </row>
    <row r="53" spans="1:16" s="6" customFormat="1" x14ac:dyDescent="0.25">
      <c r="A53" s="33" t="str">
        <f t="shared" si="0"/>
        <v>2024 NOV-DEC B1G2</v>
      </c>
      <c r="B53" s="8">
        <f t="shared" si="1"/>
        <v>46099</v>
      </c>
      <c r="C53" s="8">
        <f t="shared" si="2"/>
        <v>46113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15499713</v>
      </c>
      <c r="K53" s="33" t="s">
        <v>2234</v>
      </c>
      <c r="L53" s="27" t="s">
        <v>2239</v>
      </c>
      <c r="M53" s="18">
        <v>149900</v>
      </c>
      <c r="N53" s="37" t="str">
        <f t="shared" si="6"/>
        <v>BXGY</v>
      </c>
      <c r="O53" s="34" t="str">
        <f t="shared" si="7"/>
        <v>B1G2</v>
      </c>
      <c r="P53" s="33" t="str">
        <f t="shared" si="8"/>
        <v>BXGY</v>
      </c>
    </row>
    <row r="54" spans="1:16" s="6" customFormat="1" x14ac:dyDescent="0.25">
      <c r="A54" s="33" t="str">
        <f t="shared" si="0"/>
        <v>2024 NOV-DEC B1G2</v>
      </c>
      <c r="B54" s="8">
        <f t="shared" si="1"/>
        <v>46099</v>
      </c>
      <c r="C54" s="8">
        <f t="shared" si="2"/>
        <v>46113</v>
      </c>
      <c r="D54" s="33">
        <v>3272</v>
      </c>
      <c r="E54" s="33">
        <v>336</v>
      </c>
      <c r="F54" s="33">
        <v>4</v>
      </c>
      <c r="G54" s="33">
        <v>1</v>
      </c>
      <c r="H54" s="33">
        <v>81676</v>
      </c>
      <c r="I54" s="33" t="s">
        <v>104</v>
      </c>
      <c r="J54" s="33">
        <v>45419869</v>
      </c>
      <c r="K54" s="33" t="s">
        <v>2273</v>
      </c>
      <c r="L54" s="27" t="s">
        <v>2274</v>
      </c>
      <c r="M54" s="18">
        <v>139900</v>
      </c>
      <c r="N54" s="37" t="str">
        <f t="shared" si="6"/>
        <v>BXGY</v>
      </c>
      <c r="O54" s="34" t="str">
        <f t="shared" si="7"/>
        <v>B1G2</v>
      </c>
      <c r="P54" s="33" t="str">
        <f t="shared" si="8"/>
        <v>BXGY</v>
      </c>
    </row>
    <row r="55" spans="1:16" s="6" customFormat="1" x14ac:dyDescent="0.25">
      <c r="A55" s="33" t="str">
        <f t="shared" si="0"/>
        <v>2024 NOV-DEC B1G2</v>
      </c>
      <c r="B55" s="8">
        <f t="shared" si="1"/>
        <v>46099</v>
      </c>
      <c r="C55" s="8">
        <f t="shared" si="2"/>
        <v>46113</v>
      </c>
      <c r="D55" s="33">
        <v>3272</v>
      </c>
      <c r="E55" s="33">
        <v>336</v>
      </c>
      <c r="F55" s="33">
        <v>4</v>
      </c>
      <c r="G55" s="33">
        <v>1</v>
      </c>
      <c r="H55" s="33">
        <v>81676</v>
      </c>
      <c r="I55" s="33" t="s">
        <v>104</v>
      </c>
      <c r="J55" s="33">
        <v>45419878</v>
      </c>
      <c r="K55" s="33" t="s">
        <v>2273</v>
      </c>
      <c r="L55" s="27" t="s">
        <v>2275</v>
      </c>
      <c r="M55" s="18">
        <v>139900</v>
      </c>
      <c r="N55" s="37" t="str">
        <f t="shared" si="6"/>
        <v>BXGY</v>
      </c>
      <c r="O55" s="34" t="str">
        <f t="shared" si="7"/>
        <v>B1G2</v>
      </c>
      <c r="P55" s="33" t="str">
        <f t="shared" si="8"/>
        <v>BXGY</v>
      </c>
    </row>
    <row r="56" spans="1:16" s="6" customFormat="1" x14ac:dyDescent="0.25">
      <c r="A56" s="33" t="str">
        <f t="shared" si="0"/>
        <v>2024 NOV-DEC B1G2</v>
      </c>
      <c r="B56" s="8">
        <f t="shared" si="1"/>
        <v>46099</v>
      </c>
      <c r="C56" s="8">
        <f t="shared" si="2"/>
        <v>46113</v>
      </c>
      <c r="D56" s="33">
        <v>3272</v>
      </c>
      <c r="E56" s="33">
        <v>336</v>
      </c>
      <c r="F56" s="33">
        <v>4</v>
      </c>
      <c r="G56" s="33">
        <v>1</v>
      </c>
      <c r="H56" s="33">
        <v>81676</v>
      </c>
      <c r="I56" s="33" t="s">
        <v>104</v>
      </c>
      <c r="J56" s="33">
        <v>45419887</v>
      </c>
      <c r="K56" s="33" t="s">
        <v>2273</v>
      </c>
      <c r="L56" s="27" t="s">
        <v>2276</v>
      </c>
      <c r="M56" s="18">
        <v>139900</v>
      </c>
      <c r="N56" s="37" t="str">
        <f t="shared" si="6"/>
        <v>BXGY</v>
      </c>
      <c r="O56" s="34" t="str">
        <f t="shared" si="7"/>
        <v>B1G2</v>
      </c>
      <c r="P56" s="33" t="str">
        <f t="shared" si="8"/>
        <v>BXGY</v>
      </c>
    </row>
    <row r="57" spans="1:16" s="6" customFormat="1" x14ac:dyDescent="0.25">
      <c r="A57" s="33" t="str">
        <f t="shared" si="0"/>
        <v>2024 NOV-DEC B1G2</v>
      </c>
      <c r="B57" s="8">
        <f t="shared" si="1"/>
        <v>46099</v>
      </c>
      <c r="C57" s="8">
        <f t="shared" si="2"/>
        <v>46113</v>
      </c>
      <c r="D57" s="33">
        <v>3272</v>
      </c>
      <c r="E57" s="33">
        <v>336</v>
      </c>
      <c r="F57" s="33">
        <v>4</v>
      </c>
      <c r="G57" s="33">
        <v>1</v>
      </c>
      <c r="H57" s="33">
        <v>81676</v>
      </c>
      <c r="I57" s="33" t="s">
        <v>104</v>
      </c>
      <c r="J57" s="33">
        <v>45419896</v>
      </c>
      <c r="K57" s="33" t="s">
        <v>2273</v>
      </c>
      <c r="L57" s="27" t="s">
        <v>2277</v>
      </c>
      <c r="M57" s="18">
        <v>139900</v>
      </c>
      <c r="N57" s="37" t="str">
        <f t="shared" si="6"/>
        <v>BXGY</v>
      </c>
      <c r="O57" s="34" t="str">
        <f t="shared" si="7"/>
        <v>B1G2</v>
      </c>
      <c r="P57" s="33" t="str">
        <f t="shared" si="8"/>
        <v>BXGY</v>
      </c>
    </row>
    <row r="58" spans="1:16" s="6" customFormat="1" x14ac:dyDescent="0.25">
      <c r="A58" s="33" t="str">
        <f t="shared" si="0"/>
        <v>2024 NOV-DEC B1G2</v>
      </c>
      <c r="B58" s="8">
        <f t="shared" si="1"/>
        <v>46099</v>
      </c>
      <c r="C58" s="8">
        <f t="shared" si="2"/>
        <v>46113</v>
      </c>
      <c r="D58" s="33">
        <v>3272</v>
      </c>
      <c r="E58" s="33">
        <v>336</v>
      </c>
      <c r="F58" s="33">
        <v>4</v>
      </c>
      <c r="G58" s="33">
        <v>1</v>
      </c>
      <c r="H58" s="33">
        <v>81676</v>
      </c>
      <c r="I58" s="33" t="s">
        <v>104</v>
      </c>
      <c r="J58" s="33">
        <v>45419903</v>
      </c>
      <c r="K58" s="33" t="s">
        <v>2273</v>
      </c>
      <c r="L58" s="27" t="s">
        <v>2278</v>
      </c>
      <c r="M58" s="18">
        <v>139900</v>
      </c>
      <c r="N58" s="37" t="str">
        <f t="shared" si="6"/>
        <v>BXGY</v>
      </c>
      <c r="O58" s="34" t="str">
        <f t="shared" si="7"/>
        <v>B1G2</v>
      </c>
      <c r="P58" s="33" t="str">
        <f t="shared" si="8"/>
        <v>BXGY</v>
      </c>
    </row>
    <row r="59" spans="1:16" s="6" customFormat="1" x14ac:dyDescent="0.25">
      <c r="A59" s="33" t="str">
        <f t="shared" si="0"/>
        <v>2024 NOV-DEC B1G2</v>
      </c>
      <c r="B59" s="8">
        <f t="shared" si="1"/>
        <v>46099</v>
      </c>
      <c r="C59" s="8">
        <f t="shared" si="2"/>
        <v>46113</v>
      </c>
      <c r="D59" s="33">
        <v>3272</v>
      </c>
      <c r="E59" s="33">
        <v>336</v>
      </c>
      <c r="F59" s="33">
        <v>4</v>
      </c>
      <c r="G59" s="33">
        <v>1</v>
      </c>
      <c r="H59" s="33">
        <v>81588</v>
      </c>
      <c r="I59" s="33" t="s">
        <v>104</v>
      </c>
      <c r="J59" s="33">
        <v>45645070</v>
      </c>
      <c r="K59" s="33" t="s">
        <v>2240</v>
      </c>
      <c r="L59" s="27" t="s">
        <v>2241</v>
      </c>
      <c r="M59" s="18">
        <v>139900</v>
      </c>
      <c r="N59" s="37" t="str">
        <f t="shared" si="6"/>
        <v>BXGY</v>
      </c>
      <c r="O59" s="34" t="str">
        <f t="shared" si="7"/>
        <v>B1G2</v>
      </c>
      <c r="P59" s="33" t="str">
        <f t="shared" si="8"/>
        <v>BXGY</v>
      </c>
    </row>
    <row r="60" spans="1:16" s="6" customFormat="1" x14ac:dyDescent="0.25">
      <c r="A60" s="33" t="str">
        <f t="shared" si="0"/>
        <v>2024 NOV-DEC B1G2</v>
      </c>
      <c r="B60" s="8">
        <f t="shared" si="1"/>
        <v>46099</v>
      </c>
      <c r="C60" s="8">
        <f t="shared" si="2"/>
        <v>46113</v>
      </c>
      <c r="D60" s="33">
        <v>3272</v>
      </c>
      <c r="E60" s="33">
        <v>336</v>
      </c>
      <c r="F60" s="33">
        <v>4</v>
      </c>
      <c r="G60" s="33">
        <v>1</v>
      </c>
      <c r="H60" s="33">
        <v>81588</v>
      </c>
      <c r="I60" s="33" t="s">
        <v>104</v>
      </c>
      <c r="J60" s="33">
        <v>45645089</v>
      </c>
      <c r="K60" s="33" t="s">
        <v>2240</v>
      </c>
      <c r="L60" s="27" t="s">
        <v>2242</v>
      </c>
      <c r="M60" s="18">
        <v>139900</v>
      </c>
      <c r="N60" s="37" t="str">
        <f t="shared" si="6"/>
        <v>BXGY</v>
      </c>
      <c r="O60" s="34" t="str">
        <f t="shared" si="7"/>
        <v>B1G2</v>
      </c>
      <c r="P60" s="33" t="str">
        <f t="shared" si="8"/>
        <v>BXGY</v>
      </c>
    </row>
    <row r="61" spans="1:16" s="6" customFormat="1" x14ac:dyDescent="0.25">
      <c r="A61" s="33" t="str">
        <f t="shared" si="0"/>
        <v>2024 NOV-DEC B1G2</v>
      </c>
      <c r="B61" s="8">
        <f t="shared" si="1"/>
        <v>46099</v>
      </c>
      <c r="C61" s="8">
        <f t="shared" si="2"/>
        <v>46113</v>
      </c>
      <c r="D61" s="33">
        <v>3272</v>
      </c>
      <c r="E61" s="33">
        <v>336</v>
      </c>
      <c r="F61" s="33">
        <v>4</v>
      </c>
      <c r="G61" s="33">
        <v>1</v>
      </c>
      <c r="H61" s="33">
        <v>81588</v>
      </c>
      <c r="I61" s="33" t="s">
        <v>104</v>
      </c>
      <c r="J61" s="33">
        <v>45645098</v>
      </c>
      <c r="K61" s="33" t="s">
        <v>2240</v>
      </c>
      <c r="L61" s="27" t="s">
        <v>2243</v>
      </c>
      <c r="M61" s="18">
        <v>139900</v>
      </c>
      <c r="N61" s="37" t="str">
        <f t="shared" si="6"/>
        <v>BXGY</v>
      </c>
      <c r="O61" s="34" t="str">
        <f t="shared" si="7"/>
        <v>B1G2</v>
      </c>
      <c r="P61" s="33" t="str">
        <f t="shared" si="8"/>
        <v>BXGY</v>
      </c>
    </row>
    <row r="62" spans="1:16" s="6" customFormat="1" x14ac:dyDescent="0.25">
      <c r="A62" s="33" t="str">
        <f t="shared" si="0"/>
        <v>2024 NOV-DEC B1G2</v>
      </c>
      <c r="B62" s="8">
        <f t="shared" si="1"/>
        <v>46099</v>
      </c>
      <c r="C62" s="8">
        <f t="shared" si="2"/>
        <v>46113</v>
      </c>
      <c r="D62" s="33">
        <v>3272</v>
      </c>
      <c r="E62" s="33">
        <v>336</v>
      </c>
      <c r="F62" s="33">
        <v>4</v>
      </c>
      <c r="G62" s="33">
        <v>1</v>
      </c>
      <c r="H62" s="33">
        <v>81588</v>
      </c>
      <c r="I62" s="33" t="s">
        <v>104</v>
      </c>
      <c r="J62" s="33">
        <v>45645105</v>
      </c>
      <c r="K62" s="33" t="s">
        <v>2240</v>
      </c>
      <c r="L62" s="27" t="s">
        <v>2244</v>
      </c>
      <c r="M62" s="18">
        <v>139900</v>
      </c>
      <c r="N62" s="37" t="str">
        <f t="shared" si="6"/>
        <v>BXGY</v>
      </c>
      <c r="O62" s="34" t="str">
        <f t="shared" si="7"/>
        <v>B1G2</v>
      </c>
      <c r="P62" s="33" t="str">
        <f t="shared" si="8"/>
        <v>BXGY</v>
      </c>
    </row>
    <row r="63" spans="1:16" s="6" customFormat="1" x14ac:dyDescent="0.25">
      <c r="A63" s="33" t="str">
        <f t="shared" si="0"/>
        <v>2024 NOV-DEC B1G2</v>
      </c>
      <c r="B63" s="8">
        <f t="shared" si="1"/>
        <v>46099</v>
      </c>
      <c r="C63" s="8">
        <f t="shared" si="2"/>
        <v>46113</v>
      </c>
      <c r="D63" s="33">
        <v>3272</v>
      </c>
      <c r="E63" s="33">
        <v>336</v>
      </c>
      <c r="F63" s="33">
        <v>4</v>
      </c>
      <c r="G63" s="33">
        <v>1</v>
      </c>
      <c r="H63" s="33">
        <v>81588</v>
      </c>
      <c r="I63" s="33" t="s">
        <v>104</v>
      </c>
      <c r="J63" s="33">
        <v>45645114</v>
      </c>
      <c r="K63" s="33" t="s">
        <v>2240</v>
      </c>
      <c r="L63" s="27" t="s">
        <v>2245</v>
      </c>
      <c r="M63" s="18">
        <v>139900</v>
      </c>
      <c r="N63" s="37" t="str">
        <f t="shared" si="6"/>
        <v>BXGY</v>
      </c>
      <c r="O63" s="34" t="str">
        <f t="shared" si="7"/>
        <v>B1G2</v>
      </c>
      <c r="P63" s="33" t="str">
        <f t="shared" si="8"/>
        <v>BXGY</v>
      </c>
    </row>
    <row r="64" spans="1:16" s="6" customFormat="1" x14ac:dyDescent="0.25">
      <c r="A64" s="33" t="str">
        <f t="shared" si="0"/>
        <v>2024 NOV-DEC B1G2</v>
      </c>
      <c r="B64" s="8">
        <f t="shared" si="1"/>
        <v>46099</v>
      </c>
      <c r="C64" s="8">
        <f t="shared" si="2"/>
        <v>46113</v>
      </c>
      <c r="D64" s="33">
        <v>3272</v>
      </c>
      <c r="E64" s="33">
        <v>336</v>
      </c>
      <c r="F64" s="33">
        <v>4</v>
      </c>
      <c r="G64" s="33">
        <v>1</v>
      </c>
      <c r="H64" s="33">
        <v>81588</v>
      </c>
      <c r="I64" s="33" t="s">
        <v>104</v>
      </c>
      <c r="J64" s="33">
        <v>45645123</v>
      </c>
      <c r="K64" s="33" t="s">
        <v>2240</v>
      </c>
      <c r="L64" s="27" t="s">
        <v>2246</v>
      </c>
      <c r="M64" s="18">
        <v>139900</v>
      </c>
      <c r="N64" s="37" t="str">
        <f t="shared" si="6"/>
        <v>BXGY</v>
      </c>
      <c r="O64" s="34" t="str">
        <f t="shared" si="7"/>
        <v>B1G2</v>
      </c>
      <c r="P64" s="33" t="str">
        <f t="shared" si="8"/>
        <v>BXGY</v>
      </c>
    </row>
    <row r="65" spans="1:16" s="6" customFormat="1" x14ac:dyDescent="0.25">
      <c r="A65" s="33" t="str">
        <f t="shared" si="0"/>
        <v>2024 NOV-DEC B1G2</v>
      </c>
      <c r="B65" s="8">
        <f t="shared" si="1"/>
        <v>46099</v>
      </c>
      <c r="C65" s="8">
        <f t="shared" si="2"/>
        <v>46113</v>
      </c>
      <c r="D65" s="33">
        <v>3272</v>
      </c>
      <c r="E65" s="33">
        <v>336</v>
      </c>
      <c r="F65" s="33">
        <v>4</v>
      </c>
      <c r="G65" s="33">
        <v>1</v>
      </c>
      <c r="H65" s="33">
        <v>81588</v>
      </c>
      <c r="I65" s="33" t="s">
        <v>104</v>
      </c>
      <c r="J65" s="33">
        <v>45645132</v>
      </c>
      <c r="K65" s="33" t="s">
        <v>2240</v>
      </c>
      <c r="L65" s="27" t="s">
        <v>2247</v>
      </c>
      <c r="M65" s="18">
        <v>139900</v>
      </c>
      <c r="N65" s="37" t="str">
        <f t="shared" si="6"/>
        <v>BXGY</v>
      </c>
      <c r="O65" s="34" t="str">
        <f t="shared" si="7"/>
        <v>B1G2</v>
      </c>
      <c r="P65" s="33" t="str">
        <f t="shared" si="8"/>
        <v>BXGY</v>
      </c>
    </row>
    <row r="66" spans="1:16" s="6" customFormat="1" x14ac:dyDescent="0.25">
      <c r="A66" s="33" t="str">
        <f t="shared" si="0"/>
        <v>2024 NOV-DEC B1G2</v>
      </c>
      <c r="B66" s="8">
        <f t="shared" si="1"/>
        <v>46099</v>
      </c>
      <c r="C66" s="8">
        <f t="shared" si="2"/>
        <v>46113</v>
      </c>
      <c r="D66" s="33">
        <v>3272</v>
      </c>
      <c r="E66" s="33">
        <v>336</v>
      </c>
      <c r="F66" s="33">
        <v>4</v>
      </c>
      <c r="G66" s="33">
        <v>1</v>
      </c>
      <c r="H66" s="33">
        <v>81588</v>
      </c>
      <c r="I66" s="33" t="s">
        <v>104</v>
      </c>
      <c r="J66" s="33">
        <v>45645141</v>
      </c>
      <c r="K66" s="33" t="s">
        <v>2240</v>
      </c>
      <c r="L66" s="27" t="s">
        <v>2248</v>
      </c>
      <c r="M66" s="18">
        <v>139900</v>
      </c>
      <c r="N66" s="37" t="str">
        <f t="shared" si="6"/>
        <v>BXGY</v>
      </c>
      <c r="O66" s="34" t="str">
        <f t="shared" si="7"/>
        <v>B1G2</v>
      </c>
      <c r="P66" s="33" t="str">
        <f t="shared" si="8"/>
        <v>BXGY</v>
      </c>
    </row>
    <row r="67" spans="1:16" s="6" customFormat="1" x14ac:dyDescent="0.25">
      <c r="A67" s="33" t="str">
        <f t="shared" ref="A67:A130" si="9">A66</f>
        <v>2024 NOV-DEC B1G2</v>
      </c>
      <c r="B67" s="8">
        <f t="shared" ref="B67:B130" si="10">B66</f>
        <v>46099</v>
      </c>
      <c r="C67" s="8">
        <f t="shared" ref="C67:C130" si="11">C66</f>
        <v>46113</v>
      </c>
      <c r="D67" s="33">
        <v>3272</v>
      </c>
      <c r="E67" s="33">
        <v>336</v>
      </c>
      <c r="F67" s="33">
        <v>4</v>
      </c>
      <c r="G67" s="33">
        <v>1</v>
      </c>
      <c r="H67" s="33">
        <v>81588</v>
      </c>
      <c r="I67" s="33" t="s">
        <v>104</v>
      </c>
      <c r="J67" s="33">
        <v>45645150</v>
      </c>
      <c r="K67" s="33" t="s">
        <v>2249</v>
      </c>
      <c r="L67" s="27" t="s">
        <v>2250</v>
      </c>
      <c r="M67" s="18">
        <v>139900</v>
      </c>
      <c r="N67" s="37" t="str">
        <f t="shared" ref="N67:N98" si="12">N66</f>
        <v>BXGY</v>
      </c>
      <c r="O67" s="34" t="str">
        <f t="shared" ref="O67:O98" si="13">O66</f>
        <v>B1G2</v>
      </c>
      <c r="P67" s="33" t="str">
        <f t="shared" ref="P67:P98" si="14">P66</f>
        <v>BXGY</v>
      </c>
    </row>
    <row r="68" spans="1:16" s="6" customFormat="1" x14ac:dyDescent="0.25">
      <c r="A68" s="33" t="str">
        <f t="shared" si="9"/>
        <v>2024 NOV-DEC B1G2</v>
      </c>
      <c r="B68" s="8">
        <f t="shared" si="10"/>
        <v>46099</v>
      </c>
      <c r="C68" s="8">
        <f t="shared" si="11"/>
        <v>46113</v>
      </c>
      <c r="D68" s="33">
        <v>3272</v>
      </c>
      <c r="E68" s="33">
        <v>336</v>
      </c>
      <c r="F68" s="33">
        <v>4</v>
      </c>
      <c r="G68" s="33">
        <v>1</v>
      </c>
      <c r="H68" s="33">
        <v>81588</v>
      </c>
      <c r="I68" s="33" t="s">
        <v>104</v>
      </c>
      <c r="J68" s="33">
        <v>45645169</v>
      </c>
      <c r="K68" s="33" t="s">
        <v>2249</v>
      </c>
      <c r="L68" s="27" t="s">
        <v>2251</v>
      </c>
      <c r="M68" s="18">
        <v>139900</v>
      </c>
      <c r="N68" s="37" t="str">
        <f t="shared" si="12"/>
        <v>BXGY</v>
      </c>
      <c r="O68" s="34" t="str">
        <f t="shared" si="13"/>
        <v>B1G2</v>
      </c>
      <c r="P68" s="33" t="str">
        <f t="shared" si="14"/>
        <v>BXGY</v>
      </c>
    </row>
    <row r="69" spans="1:16" s="6" customFormat="1" x14ac:dyDescent="0.25">
      <c r="A69" s="33" t="str">
        <f t="shared" si="9"/>
        <v>2024 NOV-DEC B1G2</v>
      </c>
      <c r="B69" s="8">
        <f t="shared" si="10"/>
        <v>46099</v>
      </c>
      <c r="C69" s="8">
        <f t="shared" si="11"/>
        <v>46113</v>
      </c>
      <c r="D69" s="33">
        <v>3272</v>
      </c>
      <c r="E69" s="33">
        <v>336</v>
      </c>
      <c r="F69" s="33">
        <v>4</v>
      </c>
      <c r="G69" s="33">
        <v>1</v>
      </c>
      <c r="H69" s="33">
        <v>81588</v>
      </c>
      <c r="I69" s="33" t="s">
        <v>104</v>
      </c>
      <c r="J69" s="33">
        <v>45645178</v>
      </c>
      <c r="K69" s="33" t="s">
        <v>2249</v>
      </c>
      <c r="L69" s="27" t="s">
        <v>2252</v>
      </c>
      <c r="M69" s="18">
        <v>139900</v>
      </c>
      <c r="N69" s="37" t="str">
        <f t="shared" si="12"/>
        <v>BXGY</v>
      </c>
      <c r="O69" s="34" t="str">
        <f t="shared" si="13"/>
        <v>B1G2</v>
      </c>
      <c r="P69" s="33" t="str">
        <f t="shared" si="14"/>
        <v>BXGY</v>
      </c>
    </row>
    <row r="70" spans="1:16" s="6" customFormat="1" x14ac:dyDescent="0.25">
      <c r="A70" s="33" t="str">
        <f t="shared" si="9"/>
        <v>2024 NOV-DEC B1G2</v>
      </c>
      <c r="B70" s="8">
        <f t="shared" si="10"/>
        <v>46099</v>
      </c>
      <c r="C70" s="8">
        <f t="shared" si="11"/>
        <v>46113</v>
      </c>
      <c r="D70" s="33">
        <v>3272</v>
      </c>
      <c r="E70" s="33">
        <v>336</v>
      </c>
      <c r="F70" s="33">
        <v>4</v>
      </c>
      <c r="G70" s="33">
        <v>1</v>
      </c>
      <c r="H70" s="33">
        <v>81588</v>
      </c>
      <c r="I70" s="33" t="s">
        <v>104</v>
      </c>
      <c r="J70" s="33">
        <v>45645187</v>
      </c>
      <c r="K70" s="33" t="s">
        <v>2249</v>
      </c>
      <c r="L70" s="27" t="s">
        <v>2253</v>
      </c>
      <c r="M70" s="18">
        <v>139900</v>
      </c>
      <c r="N70" s="37" t="str">
        <f t="shared" si="12"/>
        <v>BXGY</v>
      </c>
      <c r="O70" s="34" t="str">
        <f t="shared" si="13"/>
        <v>B1G2</v>
      </c>
      <c r="P70" s="33" t="str">
        <f t="shared" si="14"/>
        <v>BXGY</v>
      </c>
    </row>
    <row r="71" spans="1:16" s="6" customFormat="1" x14ac:dyDescent="0.25">
      <c r="A71" s="33" t="str">
        <f t="shared" si="9"/>
        <v>2024 NOV-DEC B1G2</v>
      </c>
      <c r="B71" s="8">
        <f t="shared" si="10"/>
        <v>46099</v>
      </c>
      <c r="C71" s="8">
        <f t="shared" si="11"/>
        <v>46113</v>
      </c>
      <c r="D71" s="33">
        <v>3272</v>
      </c>
      <c r="E71" s="33">
        <v>336</v>
      </c>
      <c r="F71" s="33">
        <v>4</v>
      </c>
      <c r="G71" s="33">
        <v>1</v>
      </c>
      <c r="H71" s="33">
        <v>81588</v>
      </c>
      <c r="I71" s="33" t="s">
        <v>104</v>
      </c>
      <c r="J71" s="33">
        <v>45645196</v>
      </c>
      <c r="K71" s="33" t="s">
        <v>2249</v>
      </c>
      <c r="L71" s="27" t="s">
        <v>2254</v>
      </c>
      <c r="M71" s="18">
        <v>139900</v>
      </c>
      <c r="N71" s="37" t="str">
        <f t="shared" si="12"/>
        <v>BXGY</v>
      </c>
      <c r="O71" s="34" t="str">
        <f t="shared" si="13"/>
        <v>B1G2</v>
      </c>
      <c r="P71" s="33" t="str">
        <f t="shared" si="14"/>
        <v>BXGY</v>
      </c>
    </row>
    <row r="72" spans="1:16" s="6" customFormat="1" x14ac:dyDescent="0.25">
      <c r="A72" s="33" t="str">
        <f t="shared" si="9"/>
        <v>2024 NOV-DEC B1G2</v>
      </c>
      <c r="B72" s="8">
        <f t="shared" si="10"/>
        <v>46099</v>
      </c>
      <c r="C72" s="8">
        <f t="shared" si="11"/>
        <v>46113</v>
      </c>
      <c r="D72" s="33">
        <v>3272</v>
      </c>
      <c r="E72" s="33">
        <v>336</v>
      </c>
      <c r="F72" s="33">
        <v>4</v>
      </c>
      <c r="G72" s="33">
        <v>1</v>
      </c>
      <c r="H72" s="33">
        <v>81588</v>
      </c>
      <c r="I72" s="33" t="s">
        <v>104</v>
      </c>
      <c r="J72" s="33">
        <v>45645203</v>
      </c>
      <c r="K72" s="33" t="s">
        <v>2249</v>
      </c>
      <c r="L72" s="27" t="s">
        <v>2255</v>
      </c>
      <c r="M72" s="18">
        <v>139900</v>
      </c>
      <c r="N72" s="37" t="str">
        <f t="shared" si="12"/>
        <v>BXGY</v>
      </c>
      <c r="O72" s="34" t="str">
        <f t="shared" si="13"/>
        <v>B1G2</v>
      </c>
      <c r="P72" s="33" t="str">
        <f t="shared" si="14"/>
        <v>BXGY</v>
      </c>
    </row>
    <row r="73" spans="1:16" s="6" customFormat="1" x14ac:dyDescent="0.25">
      <c r="A73" s="33" t="str">
        <f t="shared" si="9"/>
        <v>2024 NOV-DEC B1G2</v>
      </c>
      <c r="B73" s="8">
        <f t="shared" si="10"/>
        <v>46099</v>
      </c>
      <c r="C73" s="8">
        <f t="shared" si="11"/>
        <v>46113</v>
      </c>
      <c r="D73" s="33">
        <v>3272</v>
      </c>
      <c r="E73" s="33">
        <v>336</v>
      </c>
      <c r="F73" s="33">
        <v>4</v>
      </c>
      <c r="G73" s="33">
        <v>1</v>
      </c>
      <c r="H73" s="33">
        <v>81588</v>
      </c>
      <c r="I73" s="33" t="s">
        <v>104</v>
      </c>
      <c r="J73" s="33">
        <v>45645212</v>
      </c>
      <c r="K73" s="33" t="s">
        <v>2249</v>
      </c>
      <c r="L73" s="27" t="s">
        <v>2256</v>
      </c>
      <c r="M73" s="18">
        <v>139900</v>
      </c>
      <c r="N73" s="37" t="str">
        <f t="shared" si="12"/>
        <v>BXGY</v>
      </c>
      <c r="O73" s="34" t="str">
        <f t="shared" si="13"/>
        <v>B1G2</v>
      </c>
      <c r="P73" s="33" t="str">
        <f t="shared" si="14"/>
        <v>BXGY</v>
      </c>
    </row>
    <row r="74" spans="1:16" s="6" customFormat="1" x14ac:dyDescent="0.25">
      <c r="A74" s="33" t="str">
        <f t="shared" si="9"/>
        <v>2024 NOV-DEC B1G2</v>
      </c>
      <c r="B74" s="8">
        <f t="shared" si="10"/>
        <v>46099</v>
      </c>
      <c r="C74" s="8">
        <f t="shared" si="11"/>
        <v>46113</v>
      </c>
      <c r="D74" s="33">
        <v>3272</v>
      </c>
      <c r="E74" s="33">
        <v>336</v>
      </c>
      <c r="F74" s="33">
        <v>4</v>
      </c>
      <c r="G74" s="33">
        <v>1</v>
      </c>
      <c r="H74" s="33">
        <v>81588</v>
      </c>
      <c r="I74" s="33" t="s">
        <v>104</v>
      </c>
      <c r="J74" s="33">
        <v>45645221</v>
      </c>
      <c r="K74" s="33" t="s">
        <v>2249</v>
      </c>
      <c r="L74" s="27" t="s">
        <v>2257</v>
      </c>
      <c r="M74" s="18">
        <v>139900</v>
      </c>
      <c r="N74" s="37" t="str">
        <f t="shared" si="12"/>
        <v>BXGY</v>
      </c>
      <c r="O74" s="34" t="str">
        <f t="shared" si="13"/>
        <v>B1G2</v>
      </c>
      <c r="P74" s="33" t="str">
        <f t="shared" si="14"/>
        <v>BXGY</v>
      </c>
    </row>
    <row r="75" spans="1:16" s="6" customFormat="1" x14ac:dyDescent="0.25">
      <c r="A75" s="33" t="str">
        <f t="shared" si="9"/>
        <v>2024 NOV-DEC B1G2</v>
      </c>
      <c r="B75" s="8">
        <f t="shared" si="10"/>
        <v>46099</v>
      </c>
      <c r="C75" s="8">
        <f t="shared" si="11"/>
        <v>46113</v>
      </c>
      <c r="D75" s="33">
        <v>3272</v>
      </c>
      <c r="E75" s="33">
        <v>336</v>
      </c>
      <c r="F75" s="33">
        <v>4</v>
      </c>
      <c r="G75" s="33">
        <v>1</v>
      </c>
      <c r="H75" s="33">
        <v>81588</v>
      </c>
      <c r="I75" s="33" t="s">
        <v>104</v>
      </c>
      <c r="J75" s="33">
        <v>45645230</v>
      </c>
      <c r="K75" s="33" t="s">
        <v>2258</v>
      </c>
      <c r="L75" s="27" t="s">
        <v>2259</v>
      </c>
      <c r="M75" s="18">
        <v>149900</v>
      </c>
      <c r="N75" s="37" t="str">
        <f t="shared" si="12"/>
        <v>BXGY</v>
      </c>
      <c r="O75" s="34" t="str">
        <f t="shared" si="13"/>
        <v>B1G2</v>
      </c>
      <c r="P75" s="33" t="str">
        <f t="shared" si="14"/>
        <v>BXGY</v>
      </c>
    </row>
    <row r="76" spans="1:16" s="6" customFormat="1" x14ac:dyDescent="0.25">
      <c r="A76" s="33" t="str">
        <f t="shared" si="9"/>
        <v>2024 NOV-DEC B1G2</v>
      </c>
      <c r="B76" s="8">
        <f t="shared" si="10"/>
        <v>46099</v>
      </c>
      <c r="C76" s="8">
        <f t="shared" si="11"/>
        <v>46113</v>
      </c>
      <c r="D76" s="33">
        <v>3272</v>
      </c>
      <c r="E76" s="33">
        <v>336</v>
      </c>
      <c r="F76" s="33">
        <v>4</v>
      </c>
      <c r="G76" s="33">
        <v>1</v>
      </c>
      <c r="H76" s="33">
        <v>81588</v>
      </c>
      <c r="I76" s="33" t="s">
        <v>104</v>
      </c>
      <c r="J76" s="33">
        <v>45645249</v>
      </c>
      <c r="K76" s="33" t="s">
        <v>2258</v>
      </c>
      <c r="L76" s="27" t="s">
        <v>2260</v>
      </c>
      <c r="M76" s="18">
        <v>149900</v>
      </c>
      <c r="N76" s="37" t="str">
        <f t="shared" si="12"/>
        <v>BXGY</v>
      </c>
      <c r="O76" s="34" t="str">
        <f t="shared" si="13"/>
        <v>B1G2</v>
      </c>
      <c r="P76" s="33" t="str">
        <f t="shared" si="14"/>
        <v>BXGY</v>
      </c>
    </row>
    <row r="77" spans="1:16" s="6" customFormat="1" x14ac:dyDescent="0.25">
      <c r="A77" s="33" t="str">
        <f t="shared" si="9"/>
        <v>2024 NOV-DEC B1G2</v>
      </c>
      <c r="B77" s="8">
        <f t="shared" si="10"/>
        <v>46099</v>
      </c>
      <c r="C77" s="8">
        <f t="shared" si="11"/>
        <v>46113</v>
      </c>
      <c r="D77" s="33">
        <v>3272</v>
      </c>
      <c r="E77" s="33">
        <v>336</v>
      </c>
      <c r="F77" s="33">
        <v>4</v>
      </c>
      <c r="G77" s="33">
        <v>1</v>
      </c>
      <c r="H77" s="33">
        <v>81588</v>
      </c>
      <c r="I77" s="33" t="s">
        <v>104</v>
      </c>
      <c r="J77" s="33">
        <v>45645258</v>
      </c>
      <c r="K77" s="33" t="s">
        <v>2258</v>
      </c>
      <c r="L77" s="27" t="s">
        <v>2261</v>
      </c>
      <c r="M77" s="18">
        <v>149900</v>
      </c>
      <c r="N77" s="37" t="str">
        <f t="shared" si="12"/>
        <v>BXGY</v>
      </c>
      <c r="O77" s="34" t="str">
        <f t="shared" si="13"/>
        <v>B1G2</v>
      </c>
      <c r="P77" s="33" t="str">
        <f t="shared" si="14"/>
        <v>BXGY</v>
      </c>
    </row>
    <row r="78" spans="1:16" s="6" customFormat="1" x14ac:dyDescent="0.25">
      <c r="A78" s="33" t="str">
        <f t="shared" si="9"/>
        <v>2024 NOV-DEC B1G2</v>
      </c>
      <c r="B78" s="8">
        <f t="shared" si="10"/>
        <v>46099</v>
      </c>
      <c r="C78" s="8">
        <f t="shared" si="11"/>
        <v>46113</v>
      </c>
      <c r="D78" s="33">
        <v>3272</v>
      </c>
      <c r="E78" s="33">
        <v>336</v>
      </c>
      <c r="F78" s="33">
        <v>4</v>
      </c>
      <c r="G78" s="33">
        <v>1</v>
      </c>
      <c r="H78" s="33">
        <v>81588</v>
      </c>
      <c r="I78" s="33" t="s">
        <v>104</v>
      </c>
      <c r="J78" s="33">
        <v>45645267</v>
      </c>
      <c r="K78" s="33" t="s">
        <v>2258</v>
      </c>
      <c r="L78" s="27" t="s">
        <v>2262</v>
      </c>
      <c r="M78" s="18">
        <v>149900</v>
      </c>
      <c r="N78" s="37" t="str">
        <f t="shared" si="12"/>
        <v>BXGY</v>
      </c>
      <c r="O78" s="34" t="str">
        <f t="shared" si="13"/>
        <v>B1G2</v>
      </c>
      <c r="P78" s="33" t="str">
        <f t="shared" si="14"/>
        <v>BXGY</v>
      </c>
    </row>
    <row r="79" spans="1:16" s="6" customFormat="1" x14ac:dyDescent="0.25">
      <c r="A79" s="33" t="str">
        <f t="shared" si="9"/>
        <v>2024 NOV-DEC B1G2</v>
      </c>
      <c r="B79" s="8">
        <f t="shared" si="10"/>
        <v>46099</v>
      </c>
      <c r="C79" s="8">
        <f t="shared" si="11"/>
        <v>46113</v>
      </c>
      <c r="D79" s="33">
        <v>3272</v>
      </c>
      <c r="E79" s="33">
        <v>336</v>
      </c>
      <c r="F79" s="33">
        <v>4</v>
      </c>
      <c r="G79" s="33">
        <v>1</v>
      </c>
      <c r="H79" s="33">
        <v>81588</v>
      </c>
      <c r="I79" s="33" t="s">
        <v>104</v>
      </c>
      <c r="J79" s="33">
        <v>45645276</v>
      </c>
      <c r="K79" s="33" t="s">
        <v>2258</v>
      </c>
      <c r="L79" s="27" t="s">
        <v>2263</v>
      </c>
      <c r="M79" s="18">
        <v>149900</v>
      </c>
      <c r="N79" s="37" t="str">
        <f t="shared" si="12"/>
        <v>BXGY</v>
      </c>
      <c r="O79" s="34" t="str">
        <f t="shared" si="13"/>
        <v>B1G2</v>
      </c>
      <c r="P79" s="33" t="str">
        <f t="shared" si="14"/>
        <v>BXGY</v>
      </c>
    </row>
    <row r="80" spans="1:16" s="6" customFormat="1" x14ac:dyDescent="0.25">
      <c r="A80" s="33" t="str">
        <f t="shared" si="9"/>
        <v>2024 NOV-DEC B1G2</v>
      </c>
      <c r="B80" s="8">
        <f t="shared" si="10"/>
        <v>46099</v>
      </c>
      <c r="C80" s="8">
        <f t="shared" si="11"/>
        <v>46113</v>
      </c>
      <c r="D80" s="33">
        <v>3272</v>
      </c>
      <c r="E80" s="33">
        <v>336</v>
      </c>
      <c r="F80" s="33">
        <v>4</v>
      </c>
      <c r="G80" s="33">
        <v>1</v>
      </c>
      <c r="H80" s="33">
        <v>81588</v>
      </c>
      <c r="I80" s="33" t="s">
        <v>104</v>
      </c>
      <c r="J80" s="33">
        <v>45645285</v>
      </c>
      <c r="K80" s="33" t="s">
        <v>2258</v>
      </c>
      <c r="L80" s="27" t="s">
        <v>2264</v>
      </c>
      <c r="M80" s="18">
        <v>149900</v>
      </c>
      <c r="N80" s="37" t="str">
        <f t="shared" si="12"/>
        <v>BXGY</v>
      </c>
      <c r="O80" s="34" t="str">
        <f t="shared" si="13"/>
        <v>B1G2</v>
      </c>
      <c r="P80" s="33" t="str">
        <f t="shared" si="14"/>
        <v>BXGY</v>
      </c>
    </row>
    <row r="81" spans="1:16" s="6" customFormat="1" x14ac:dyDescent="0.25">
      <c r="A81" s="33" t="str">
        <f t="shared" si="9"/>
        <v>2024 NOV-DEC B1G2</v>
      </c>
      <c r="B81" s="8">
        <f t="shared" si="10"/>
        <v>46099</v>
      </c>
      <c r="C81" s="8">
        <f t="shared" si="11"/>
        <v>46113</v>
      </c>
      <c r="D81" s="33">
        <v>3272</v>
      </c>
      <c r="E81" s="33">
        <v>336</v>
      </c>
      <c r="F81" s="33">
        <v>4</v>
      </c>
      <c r="G81" s="33">
        <v>1</v>
      </c>
      <c r="H81" s="33">
        <v>81588</v>
      </c>
      <c r="I81" s="33" t="s">
        <v>104</v>
      </c>
      <c r="J81" s="33">
        <v>45645294</v>
      </c>
      <c r="K81" s="33" t="s">
        <v>2258</v>
      </c>
      <c r="L81" s="27" t="s">
        <v>2265</v>
      </c>
      <c r="M81" s="18">
        <v>149900</v>
      </c>
      <c r="N81" s="37" t="str">
        <f t="shared" si="12"/>
        <v>BXGY</v>
      </c>
      <c r="O81" s="34" t="str">
        <f t="shared" si="13"/>
        <v>B1G2</v>
      </c>
      <c r="P81" s="33" t="str">
        <f t="shared" si="14"/>
        <v>BXGY</v>
      </c>
    </row>
    <row r="82" spans="1:16" s="6" customFormat="1" x14ac:dyDescent="0.25">
      <c r="A82" s="33" t="str">
        <f t="shared" si="9"/>
        <v>2024 NOV-DEC B1G2</v>
      </c>
      <c r="B82" s="8">
        <f t="shared" si="10"/>
        <v>46099</v>
      </c>
      <c r="C82" s="8">
        <f t="shared" si="11"/>
        <v>46113</v>
      </c>
      <c r="D82" s="33">
        <v>3272</v>
      </c>
      <c r="E82" s="33">
        <v>336</v>
      </c>
      <c r="F82" s="33">
        <v>4</v>
      </c>
      <c r="G82" s="33">
        <v>1</v>
      </c>
      <c r="H82" s="33">
        <v>81588</v>
      </c>
      <c r="I82" s="33" t="s">
        <v>104</v>
      </c>
      <c r="J82" s="33">
        <v>45645301</v>
      </c>
      <c r="K82" s="33" t="s">
        <v>2258</v>
      </c>
      <c r="L82" s="27" t="s">
        <v>2266</v>
      </c>
      <c r="M82" s="18">
        <v>149900</v>
      </c>
      <c r="N82" s="37" t="str">
        <f t="shared" si="12"/>
        <v>BXGY</v>
      </c>
      <c r="O82" s="34" t="str">
        <f t="shared" si="13"/>
        <v>B1G2</v>
      </c>
      <c r="P82" s="33" t="str">
        <f t="shared" si="14"/>
        <v>BXGY</v>
      </c>
    </row>
    <row r="83" spans="1:16" s="6" customFormat="1" x14ac:dyDescent="0.25">
      <c r="A83" s="33" t="str">
        <f t="shared" si="9"/>
        <v>2024 NOV-DEC B1G2</v>
      </c>
      <c r="B83" s="8">
        <f t="shared" si="10"/>
        <v>46099</v>
      </c>
      <c r="C83" s="8">
        <f t="shared" si="11"/>
        <v>46113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45645310</v>
      </c>
      <c r="K83" s="33" t="s">
        <v>2343</v>
      </c>
      <c r="L83" s="27" t="s">
        <v>2344</v>
      </c>
      <c r="M83" s="18">
        <v>139900</v>
      </c>
      <c r="N83" s="37" t="str">
        <f t="shared" si="12"/>
        <v>BXGY</v>
      </c>
      <c r="O83" s="34" t="str">
        <f t="shared" si="13"/>
        <v>B1G2</v>
      </c>
      <c r="P83" s="33" t="str">
        <f t="shared" si="14"/>
        <v>BXGY</v>
      </c>
    </row>
    <row r="84" spans="1:16" s="6" customFormat="1" x14ac:dyDescent="0.25">
      <c r="A84" s="33" t="str">
        <f t="shared" si="9"/>
        <v>2024 NOV-DEC B1G2</v>
      </c>
      <c r="B84" s="8">
        <f t="shared" si="10"/>
        <v>46099</v>
      </c>
      <c r="C84" s="8">
        <f t="shared" si="11"/>
        <v>46113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45645329</v>
      </c>
      <c r="K84" s="33" t="s">
        <v>2343</v>
      </c>
      <c r="L84" s="27" t="s">
        <v>2345</v>
      </c>
      <c r="M84" s="18">
        <v>139900</v>
      </c>
      <c r="N84" s="37" t="str">
        <f t="shared" si="12"/>
        <v>BXGY</v>
      </c>
      <c r="O84" s="34" t="str">
        <f t="shared" si="13"/>
        <v>B1G2</v>
      </c>
      <c r="P84" s="33" t="str">
        <f t="shared" si="14"/>
        <v>BXGY</v>
      </c>
    </row>
    <row r="85" spans="1:16" s="6" customFormat="1" x14ac:dyDescent="0.25">
      <c r="A85" s="33" t="str">
        <f t="shared" si="9"/>
        <v>2024 NOV-DEC B1G2</v>
      </c>
      <c r="B85" s="8">
        <f t="shared" si="10"/>
        <v>46099</v>
      </c>
      <c r="C85" s="8">
        <f t="shared" si="11"/>
        <v>46113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45645338</v>
      </c>
      <c r="K85" s="33" t="s">
        <v>2343</v>
      </c>
      <c r="L85" s="27" t="s">
        <v>2346</v>
      </c>
      <c r="M85" s="18">
        <v>139900</v>
      </c>
      <c r="N85" s="37" t="str">
        <f t="shared" si="12"/>
        <v>BXGY</v>
      </c>
      <c r="O85" s="34" t="str">
        <f t="shared" si="13"/>
        <v>B1G2</v>
      </c>
      <c r="P85" s="33" t="str">
        <f t="shared" si="14"/>
        <v>BXGY</v>
      </c>
    </row>
    <row r="86" spans="1:16" s="6" customFormat="1" x14ac:dyDescent="0.25">
      <c r="A86" s="33" t="str">
        <f t="shared" si="9"/>
        <v>2024 NOV-DEC B1G2</v>
      </c>
      <c r="B86" s="8">
        <f t="shared" si="10"/>
        <v>46099</v>
      </c>
      <c r="C86" s="8">
        <f t="shared" si="11"/>
        <v>46113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45645347</v>
      </c>
      <c r="K86" s="33" t="s">
        <v>2343</v>
      </c>
      <c r="L86" s="27" t="s">
        <v>2347</v>
      </c>
      <c r="M86" s="18">
        <v>139900</v>
      </c>
      <c r="N86" s="37" t="str">
        <f t="shared" si="12"/>
        <v>BXGY</v>
      </c>
      <c r="O86" s="34" t="str">
        <f t="shared" si="13"/>
        <v>B1G2</v>
      </c>
      <c r="P86" s="33" t="str">
        <f t="shared" si="14"/>
        <v>BXGY</v>
      </c>
    </row>
    <row r="87" spans="1:16" s="6" customFormat="1" x14ac:dyDescent="0.25">
      <c r="A87" s="33" t="str">
        <f t="shared" si="9"/>
        <v>2024 NOV-DEC B1G2</v>
      </c>
      <c r="B87" s="8">
        <f t="shared" si="10"/>
        <v>46099</v>
      </c>
      <c r="C87" s="8">
        <f t="shared" si="11"/>
        <v>46113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45645356</v>
      </c>
      <c r="K87" s="33" t="s">
        <v>2343</v>
      </c>
      <c r="L87" s="27" t="s">
        <v>2348</v>
      </c>
      <c r="M87" s="18">
        <v>139900</v>
      </c>
      <c r="N87" s="37" t="str">
        <f t="shared" si="12"/>
        <v>BXGY</v>
      </c>
      <c r="O87" s="34" t="str">
        <f t="shared" si="13"/>
        <v>B1G2</v>
      </c>
      <c r="P87" s="33" t="str">
        <f t="shared" si="14"/>
        <v>BXGY</v>
      </c>
    </row>
    <row r="88" spans="1:16" s="6" customFormat="1" x14ac:dyDescent="0.25">
      <c r="A88" s="33" t="str">
        <f t="shared" si="9"/>
        <v>2024 NOV-DEC B1G2</v>
      </c>
      <c r="B88" s="8">
        <f t="shared" si="10"/>
        <v>46099</v>
      </c>
      <c r="C88" s="8">
        <f t="shared" si="11"/>
        <v>46113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45645365</v>
      </c>
      <c r="K88" s="33" t="s">
        <v>2349</v>
      </c>
      <c r="L88" s="27" t="s">
        <v>2350</v>
      </c>
      <c r="M88" s="18">
        <v>139900</v>
      </c>
      <c r="N88" s="37" t="str">
        <f t="shared" si="12"/>
        <v>BXGY</v>
      </c>
      <c r="O88" s="34" t="str">
        <f t="shared" si="13"/>
        <v>B1G2</v>
      </c>
      <c r="P88" s="33" t="str">
        <f t="shared" si="14"/>
        <v>BXGY</v>
      </c>
    </row>
    <row r="89" spans="1:16" s="6" customFormat="1" x14ac:dyDescent="0.25">
      <c r="A89" s="33" t="str">
        <f t="shared" si="9"/>
        <v>2024 NOV-DEC B1G2</v>
      </c>
      <c r="B89" s="8">
        <f t="shared" si="10"/>
        <v>46099</v>
      </c>
      <c r="C89" s="8">
        <f t="shared" si="11"/>
        <v>46113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45645374</v>
      </c>
      <c r="K89" s="33" t="s">
        <v>2349</v>
      </c>
      <c r="L89" s="27" t="s">
        <v>2351</v>
      </c>
      <c r="M89" s="18">
        <v>139900</v>
      </c>
      <c r="N89" s="37" t="str">
        <f t="shared" si="12"/>
        <v>BXGY</v>
      </c>
      <c r="O89" s="34" t="str">
        <f t="shared" si="13"/>
        <v>B1G2</v>
      </c>
      <c r="P89" s="33" t="str">
        <f t="shared" si="14"/>
        <v>BXGY</v>
      </c>
    </row>
    <row r="90" spans="1:16" s="6" customFormat="1" x14ac:dyDescent="0.25">
      <c r="A90" s="33" t="str">
        <f t="shared" si="9"/>
        <v>2024 NOV-DEC B1G2</v>
      </c>
      <c r="B90" s="8">
        <f t="shared" si="10"/>
        <v>46099</v>
      </c>
      <c r="C90" s="8">
        <f t="shared" si="11"/>
        <v>46113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45645383</v>
      </c>
      <c r="K90" s="33" t="s">
        <v>2349</v>
      </c>
      <c r="L90" s="27" t="s">
        <v>2352</v>
      </c>
      <c r="M90" s="18">
        <v>139900</v>
      </c>
      <c r="N90" s="37" t="str">
        <f t="shared" si="12"/>
        <v>BXGY</v>
      </c>
      <c r="O90" s="34" t="str">
        <f t="shared" si="13"/>
        <v>B1G2</v>
      </c>
      <c r="P90" s="33" t="str">
        <f t="shared" si="14"/>
        <v>BXGY</v>
      </c>
    </row>
    <row r="91" spans="1:16" s="6" customFormat="1" x14ac:dyDescent="0.25">
      <c r="A91" s="33" t="str">
        <f t="shared" si="9"/>
        <v>2024 NOV-DEC B1G2</v>
      </c>
      <c r="B91" s="8">
        <f t="shared" si="10"/>
        <v>46099</v>
      </c>
      <c r="C91" s="8">
        <f t="shared" si="11"/>
        <v>46113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45645392</v>
      </c>
      <c r="K91" s="33" t="s">
        <v>2349</v>
      </c>
      <c r="L91" s="27" t="s">
        <v>2353</v>
      </c>
      <c r="M91" s="18">
        <v>139900</v>
      </c>
      <c r="N91" s="37" t="str">
        <f t="shared" si="12"/>
        <v>BXGY</v>
      </c>
      <c r="O91" s="34" t="str">
        <f t="shared" si="13"/>
        <v>B1G2</v>
      </c>
      <c r="P91" s="33" t="str">
        <f t="shared" si="14"/>
        <v>BXGY</v>
      </c>
    </row>
    <row r="92" spans="1:16" s="6" customFormat="1" x14ac:dyDescent="0.25">
      <c r="A92" s="33" t="str">
        <f t="shared" si="9"/>
        <v>2024 NOV-DEC B1G2</v>
      </c>
      <c r="B92" s="8">
        <f t="shared" si="10"/>
        <v>46099</v>
      </c>
      <c r="C92" s="8">
        <f t="shared" si="11"/>
        <v>46113</v>
      </c>
      <c r="D92" s="33">
        <v>3272</v>
      </c>
      <c r="E92" s="33">
        <v>336</v>
      </c>
      <c r="F92" s="33">
        <v>4</v>
      </c>
      <c r="G92" s="33">
        <v>1</v>
      </c>
      <c r="H92" s="33">
        <v>81379</v>
      </c>
      <c r="I92" s="33" t="s">
        <v>104</v>
      </c>
      <c r="J92" s="33">
        <v>45645409</v>
      </c>
      <c r="K92" s="33" t="s">
        <v>2349</v>
      </c>
      <c r="L92" s="27" t="s">
        <v>2354</v>
      </c>
      <c r="M92" s="18">
        <v>139900</v>
      </c>
      <c r="N92" s="37" t="str">
        <f t="shared" si="12"/>
        <v>BXGY</v>
      </c>
      <c r="O92" s="34" t="str">
        <f t="shared" si="13"/>
        <v>B1G2</v>
      </c>
      <c r="P92" s="33" t="str">
        <f t="shared" si="14"/>
        <v>BXGY</v>
      </c>
    </row>
    <row r="93" spans="1:16" s="6" customFormat="1" x14ac:dyDescent="0.25">
      <c r="A93" s="33" t="str">
        <f t="shared" si="9"/>
        <v>2024 NOV-DEC B1G2</v>
      </c>
      <c r="B93" s="8">
        <f t="shared" si="10"/>
        <v>46099</v>
      </c>
      <c r="C93" s="8">
        <f t="shared" si="11"/>
        <v>46113</v>
      </c>
      <c r="D93" s="33">
        <v>3272</v>
      </c>
      <c r="E93" s="33">
        <v>336</v>
      </c>
      <c r="F93" s="33">
        <v>4</v>
      </c>
      <c r="G93" s="33">
        <v>1</v>
      </c>
      <c r="H93" s="33">
        <v>81379</v>
      </c>
      <c r="I93" s="33" t="s">
        <v>104</v>
      </c>
      <c r="J93" s="33">
        <v>45645418</v>
      </c>
      <c r="K93" s="33" t="s">
        <v>2328</v>
      </c>
      <c r="L93" s="27" t="s">
        <v>2329</v>
      </c>
      <c r="M93" s="18">
        <v>149900</v>
      </c>
      <c r="N93" s="37" t="str">
        <f t="shared" si="12"/>
        <v>BXGY</v>
      </c>
      <c r="O93" s="34" t="str">
        <f t="shared" si="13"/>
        <v>B1G2</v>
      </c>
      <c r="P93" s="33" t="str">
        <f t="shared" si="14"/>
        <v>BXGY</v>
      </c>
    </row>
    <row r="94" spans="1:16" s="6" customFormat="1" x14ac:dyDescent="0.25">
      <c r="A94" s="33" t="str">
        <f t="shared" si="9"/>
        <v>2024 NOV-DEC B1G2</v>
      </c>
      <c r="B94" s="8">
        <f t="shared" si="10"/>
        <v>46099</v>
      </c>
      <c r="C94" s="8">
        <f t="shared" si="11"/>
        <v>46113</v>
      </c>
      <c r="D94" s="33">
        <v>3272</v>
      </c>
      <c r="E94" s="33">
        <v>336</v>
      </c>
      <c r="F94" s="33">
        <v>4</v>
      </c>
      <c r="G94" s="33">
        <v>1</v>
      </c>
      <c r="H94" s="33">
        <v>81379</v>
      </c>
      <c r="I94" s="33" t="s">
        <v>104</v>
      </c>
      <c r="J94" s="33">
        <v>45645427</v>
      </c>
      <c r="K94" s="33" t="s">
        <v>2328</v>
      </c>
      <c r="L94" s="27" t="s">
        <v>2330</v>
      </c>
      <c r="M94" s="18">
        <v>149900</v>
      </c>
      <c r="N94" s="37" t="str">
        <f t="shared" si="12"/>
        <v>BXGY</v>
      </c>
      <c r="O94" s="34" t="str">
        <f t="shared" si="13"/>
        <v>B1G2</v>
      </c>
      <c r="P94" s="33" t="str">
        <f t="shared" si="14"/>
        <v>BXGY</v>
      </c>
    </row>
    <row r="95" spans="1:16" s="6" customFormat="1" x14ac:dyDescent="0.25">
      <c r="A95" s="33" t="str">
        <f t="shared" si="9"/>
        <v>2024 NOV-DEC B1G2</v>
      </c>
      <c r="B95" s="8">
        <f t="shared" si="10"/>
        <v>46099</v>
      </c>
      <c r="C95" s="8">
        <f t="shared" si="11"/>
        <v>46113</v>
      </c>
      <c r="D95" s="33">
        <v>3272</v>
      </c>
      <c r="E95" s="33">
        <v>336</v>
      </c>
      <c r="F95" s="33">
        <v>4</v>
      </c>
      <c r="G95" s="33">
        <v>1</v>
      </c>
      <c r="H95" s="33">
        <v>81379</v>
      </c>
      <c r="I95" s="33" t="s">
        <v>104</v>
      </c>
      <c r="J95" s="33">
        <v>45645436</v>
      </c>
      <c r="K95" s="33" t="s">
        <v>2328</v>
      </c>
      <c r="L95" s="27" t="s">
        <v>2331</v>
      </c>
      <c r="M95" s="18">
        <v>149900</v>
      </c>
      <c r="N95" s="37" t="str">
        <f t="shared" si="12"/>
        <v>BXGY</v>
      </c>
      <c r="O95" s="34" t="str">
        <f t="shared" si="13"/>
        <v>B1G2</v>
      </c>
      <c r="P95" s="33" t="str">
        <f t="shared" si="14"/>
        <v>BXGY</v>
      </c>
    </row>
    <row r="96" spans="1:16" s="6" customFormat="1" x14ac:dyDescent="0.25">
      <c r="A96" s="33" t="str">
        <f t="shared" si="9"/>
        <v>2024 NOV-DEC B1G2</v>
      </c>
      <c r="B96" s="8">
        <f t="shared" si="10"/>
        <v>46099</v>
      </c>
      <c r="C96" s="8">
        <f t="shared" si="11"/>
        <v>46113</v>
      </c>
      <c r="D96" s="33">
        <v>3272</v>
      </c>
      <c r="E96" s="33">
        <v>336</v>
      </c>
      <c r="F96" s="33">
        <v>4</v>
      </c>
      <c r="G96" s="33">
        <v>1</v>
      </c>
      <c r="H96" s="33">
        <v>81379</v>
      </c>
      <c r="I96" s="33" t="s">
        <v>104</v>
      </c>
      <c r="J96" s="33">
        <v>45645445</v>
      </c>
      <c r="K96" s="33" t="s">
        <v>2328</v>
      </c>
      <c r="L96" s="27" t="s">
        <v>2332</v>
      </c>
      <c r="M96" s="18">
        <v>149900</v>
      </c>
      <c r="N96" s="37" t="str">
        <f t="shared" si="12"/>
        <v>BXGY</v>
      </c>
      <c r="O96" s="34" t="str">
        <f t="shared" si="13"/>
        <v>B1G2</v>
      </c>
      <c r="P96" s="33" t="str">
        <f t="shared" si="14"/>
        <v>BXGY</v>
      </c>
    </row>
    <row r="97" spans="1:16" s="6" customFormat="1" x14ac:dyDescent="0.25">
      <c r="A97" s="33" t="str">
        <f t="shared" si="9"/>
        <v>2024 NOV-DEC B1G2</v>
      </c>
      <c r="B97" s="8">
        <f t="shared" si="10"/>
        <v>46099</v>
      </c>
      <c r="C97" s="8">
        <f t="shared" si="11"/>
        <v>46113</v>
      </c>
      <c r="D97" s="33">
        <v>3272</v>
      </c>
      <c r="E97" s="33">
        <v>336</v>
      </c>
      <c r="F97" s="33">
        <v>4</v>
      </c>
      <c r="G97" s="33">
        <v>1</v>
      </c>
      <c r="H97" s="33">
        <v>81379</v>
      </c>
      <c r="I97" s="33" t="s">
        <v>104</v>
      </c>
      <c r="J97" s="33">
        <v>45645454</v>
      </c>
      <c r="K97" s="33" t="s">
        <v>2328</v>
      </c>
      <c r="L97" s="27" t="s">
        <v>2333</v>
      </c>
      <c r="M97" s="18">
        <v>149900</v>
      </c>
      <c r="N97" s="37" t="str">
        <f t="shared" si="12"/>
        <v>BXGY</v>
      </c>
      <c r="O97" s="34" t="str">
        <f t="shared" si="13"/>
        <v>B1G2</v>
      </c>
      <c r="P97" s="33" t="str">
        <f t="shared" si="14"/>
        <v>BXGY</v>
      </c>
    </row>
    <row r="98" spans="1:16" s="6" customFormat="1" x14ac:dyDescent="0.25">
      <c r="A98" s="33" t="str">
        <f t="shared" si="9"/>
        <v>2024 NOV-DEC B1G2</v>
      </c>
      <c r="B98" s="8">
        <f t="shared" si="10"/>
        <v>46099</v>
      </c>
      <c r="C98" s="8">
        <f t="shared" si="11"/>
        <v>46113</v>
      </c>
      <c r="D98" s="33">
        <v>3272</v>
      </c>
      <c r="E98" s="33">
        <v>336</v>
      </c>
      <c r="F98" s="33">
        <v>4</v>
      </c>
      <c r="G98" s="33">
        <v>1</v>
      </c>
      <c r="H98" s="33">
        <v>81379</v>
      </c>
      <c r="I98" s="33" t="s">
        <v>104</v>
      </c>
      <c r="J98" s="33">
        <v>45645463</v>
      </c>
      <c r="K98" s="33" t="s">
        <v>2714</v>
      </c>
      <c r="L98" s="27" t="s">
        <v>2718</v>
      </c>
      <c r="M98" s="18">
        <v>159900</v>
      </c>
      <c r="N98" s="37" t="str">
        <f t="shared" si="12"/>
        <v>BXGY</v>
      </c>
      <c r="O98" s="34" t="str">
        <f t="shared" si="13"/>
        <v>B1G2</v>
      </c>
      <c r="P98" s="33" t="str">
        <f t="shared" si="14"/>
        <v>BXGY</v>
      </c>
    </row>
    <row r="99" spans="1:16" s="6" customFormat="1" x14ac:dyDescent="0.25">
      <c r="A99" s="33" t="str">
        <f t="shared" si="9"/>
        <v>2024 NOV-DEC B1G2</v>
      </c>
      <c r="B99" s="8">
        <f t="shared" si="10"/>
        <v>46099</v>
      </c>
      <c r="C99" s="8">
        <f t="shared" si="11"/>
        <v>46113</v>
      </c>
      <c r="D99" s="33">
        <v>3272</v>
      </c>
      <c r="E99" s="33">
        <v>336</v>
      </c>
      <c r="F99" s="33">
        <v>4</v>
      </c>
      <c r="G99" s="33">
        <v>1</v>
      </c>
      <c r="H99" s="33">
        <v>81379</v>
      </c>
      <c r="I99" s="33" t="s">
        <v>104</v>
      </c>
      <c r="J99" s="33">
        <v>45645472</v>
      </c>
      <c r="K99" s="33" t="s">
        <v>2714</v>
      </c>
      <c r="L99" s="27" t="s">
        <v>2719</v>
      </c>
      <c r="M99" s="18">
        <v>159900</v>
      </c>
      <c r="N99" s="37" t="str">
        <f t="shared" ref="N99:N130" si="15">N98</f>
        <v>BXGY</v>
      </c>
      <c r="O99" s="34" t="str">
        <f t="shared" ref="O99:O130" si="16">O98</f>
        <v>B1G2</v>
      </c>
      <c r="P99" s="33" t="str">
        <f t="shared" ref="P99:P130" si="17">P98</f>
        <v>BXGY</v>
      </c>
    </row>
    <row r="100" spans="1:16" s="6" customFormat="1" x14ac:dyDescent="0.25">
      <c r="A100" s="33" t="str">
        <f t="shared" si="9"/>
        <v>2024 NOV-DEC B1G2</v>
      </c>
      <c r="B100" s="8">
        <f t="shared" si="10"/>
        <v>46099</v>
      </c>
      <c r="C100" s="8">
        <f t="shared" si="11"/>
        <v>46113</v>
      </c>
      <c r="D100" s="33">
        <v>3272</v>
      </c>
      <c r="E100" s="33">
        <v>336</v>
      </c>
      <c r="F100" s="33">
        <v>4</v>
      </c>
      <c r="G100" s="33">
        <v>1</v>
      </c>
      <c r="H100" s="33">
        <v>81379</v>
      </c>
      <c r="I100" s="33" t="s">
        <v>104</v>
      </c>
      <c r="J100" s="33">
        <v>45645481</v>
      </c>
      <c r="K100" s="33" t="s">
        <v>2714</v>
      </c>
      <c r="L100" s="27" t="s">
        <v>2720</v>
      </c>
      <c r="M100" s="18">
        <v>159900</v>
      </c>
      <c r="N100" s="37" t="str">
        <f t="shared" si="15"/>
        <v>BXGY</v>
      </c>
      <c r="O100" s="34" t="str">
        <f t="shared" si="16"/>
        <v>B1G2</v>
      </c>
      <c r="P100" s="33" t="str">
        <f t="shared" si="17"/>
        <v>BXGY</v>
      </c>
    </row>
    <row r="101" spans="1:16" s="6" customFormat="1" x14ac:dyDescent="0.25">
      <c r="A101" s="33" t="str">
        <f t="shared" si="9"/>
        <v>2024 NOV-DEC B1G2</v>
      </c>
      <c r="B101" s="8">
        <f t="shared" si="10"/>
        <v>46099</v>
      </c>
      <c r="C101" s="8">
        <f t="shared" si="11"/>
        <v>46113</v>
      </c>
      <c r="D101" s="33">
        <v>3272</v>
      </c>
      <c r="E101" s="33">
        <v>336</v>
      </c>
      <c r="F101" s="33">
        <v>4</v>
      </c>
      <c r="G101" s="33">
        <v>1</v>
      </c>
      <c r="H101" s="33">
        <v>81379</v>
      </c>
      <c r="I101" s="33" t="s">
        <v>104</v>
      </c>
      <c r="J101" s="33">
        <v>45645490</v>
      </c>
      <c r="K101" s="33" t="s">
        <v>2714</v>
      </c>
      <c r="L101" s="27" t="s">
        <v>2721</v>
      </c>
      <c r="M101" s="18">
        <v>159900</v>
      </c>
      <c r="N101" s="37" t="str">
        <f t="shared" si="15"/>
        <v>BXGY</v>
      </c>
      <c r="O101" s="34" t="str">
        <f t="shared" si="16"/>
        <v>B1G2</v>
      </c>
      <c r="P101" s="33" t="str">
        <f t="shared" si="17"/>
        <v>BXGY</v>
      </c>
    </row>
    <row r="102" spans="1:16" s="6" customFormat="1" x14ac:dyDescent="0.25">
      <c r="A102" s="33" t="str">
        <f t="shared" si="9"/>
        <v>2024 NOV-DEC B1G2</v>
      </c>
      <c r="B102" s="8">
        <f t="shared" si="10"/>
        <v>46099</v>
      </c>
      <c r="C102" s="8">
        <f t="shared" si="11"/>
        <v>46113</v>
      </c>
      <c r="D102" s="33">
        <v>3272</v>
      </c>
      <c r="E102" s="33">
        <v>336</v>
      </c>
      <c r="F102" s="33">
        <v>4</v>
      </c>
      <c r="G102" s="33">
        <v>1</v>
      </c>
      <c r="H102" s="33">
        <v>81379</v>
      </c>
      <c r="I102" s="33" t="s">
        <v>104</v>
      </c>
      <c r="J102" s="33">
        <v>45645507</v>
      </c>
      <c r="K102" s="33" t="s">
        <v>2714</v>
      </c>
      <c r="L102" s="27" t="s">
        <v>2722</v>
      </c>
      <c r="M102" s="18">
        <v>159900</v>
      </c>
      <c r="N102" s="37" t="str">
        <f t="shared" si="15"/>
        <v>BXGY</v>
      </c>
      <c r="O102" s="34" t="str">
        <f t="shared" si="16"/>
        <v>B1G2</v>
      </c>
      <c r="P102" s="33" t="str">
        <f t="shared" si="17"/>
        <v>BXGY</v>
      </c>
    </row>
    <row r="103" spans="1:16" s="6" customFormat="1" x14ac:dyDescent="0.25">
      <c r="A103" s="33" t="str">
        <f t="shared" si="9"/>
        <v>2024 NOV-DEC B1G2</v>
      </c>
      <c r="B103" s="8">
        <f t="shared" si="10"/>
        <v>46099</v>
      </c>
      <c r="C103" s="8">
        <f t="shared" si="11"/>
        <v>46113</v>
      </c>
      <c r="D103" s="33">
        <v>3272</v>
      </c>
      <c r="E103" s="33">
        <v>336</v>
      </c>
      <c r="F103" s="33">
        <v>4</v>
      </c>
      <c r="G103" s="33">
        <v>1</v>
      </c>
      <c r="H103" s="33">
        <v>81379</v>
      </c>
      <c r="I103" s="33" t="s">
        <v>104</v>
      </c>
      <c r="J103" s="33">
        <v>45645516</v>
      </c>
      <c r="K103" s="33" t="s">
        <v>2715</v>
      </c>
      <c r="L103" s="27" t="s">
        <v>2723</v>
      </c>
      <c r="M103" s="18">
        <v>239900</v>
      </c>
      <c r="N103" s="37" t="str">
        <f t="shared" si="15"/>
        <v>BXGY</v>
      </c>
      <c r="O103" s="34" t="str">
        <f t="shared" si="16"/>
        <v>B1G2</v>
      </c>
      <c r="P103" s="33" t="str">
        <f t="shared" si="17"/>
        <v>BXGY</v>
      </c>
    </row>
    <row r="104" spans="1:16" s="6" customFormat="1" x14ac:dyDescent="0.25">
      <c r="A104" s="33" t="str">
        <f t="shared" si="9"/>
        <v>2024 NOV-DEC B1G2</v>
      </c>
      <c r="B104" s="8">
        <f t="shared" si="10"/>
        <v>46099</v>
      </c>
      <c r="C104" s="8">
        <f t="shared" si="11"/>
        <v>46113</v>
      </c>
      <c r="D104" s="33">
        <v>3272</v>
      </c>
      <c r="E104" s="33">
        <v>336</v>
      </c>
      <c r="F104" s="33">
        <v>4</v>
      </c>
      <c r="G104" s="33">
        <v>1</v>
      </c>
      <c r="H104" s="33">
        <v>81379</v>
      </c>
      <c r="I104" s="33" t="s">
        <v>104</v>
      </c>
      <c r="J104" s="33">
        <v>45645525</v>
      </c>
      <c r="K104" s="33" t="s">
        <v>2715</v>
      </c>
      <c r="L104" s="27" t="s">
        <v>2724</v>
      </c>
      <c r="M104" s="18">
        <v>239900</v>
      </c>
      <c r="N104" s="37" t="str">
        <f t="shared" si="15"/>
        <v>BXGY</v>
      </c>
      <c r="O104" s="34" t="str">
        <f t="shared" si="16"/>
        <v>B1G2</v>
      </c>
      <c r="P104" s="33" t="str">
        <f t="shared" si="17"/>
        <v>BXGY</v>
      </c>
    </row>
    <row r="105" spans="1:16" s="6" customFormat="1" x14ac:dyDescent="0.25">
      <c r="A105" s="33" t="str">
        <f t="shared" si="9"/>
        <v>2024 NOV-DEC B1G2</v>
      </c>
      <c r="B105" s="8">
        <f t="shared" si="10"/>
        <v>46099</v>
      </c>
      <c r="C105" s="8">
        <f t="shared" si="11"/>
        <v>46113</v>
      </c>
      <c r="D105" s="33">
        <v>3272</v>
      </c>
      <c r="E105" s="33">
        <v>336</v>
      </c>
      <c r="F105" s="33">
        <v>4</v>
      </c>
      <c r="G105" s="33">
        <v>1</v>
      </c>
      <c r="H105" s="33">
        <v>81379</v>
      </c>
      <c r="I105" s="33" t="s">
        <v>104</v>
      </c>
      <c r="J105" s="33">
        <v>45645534</v>
      </c>
      <c r="K105" s="33" t="s">
        <v>2715</v>
      </c>
      <c r="L105" s="27" t="s">
        <v>2725</v>
      </c>
      <c r="M105" s="18">
        <v>239900</v>
      </c>
      <c r="N105" s="37" t="str">
        <f t="shared" si="15"/>
        <v>BXGY</v>
      </c>
      <c r="O105" s="34" t="str">
        <f t="shared" si="16"/>
        <v>B1G2</v>
      </c>
      <c r="P105" s="33" t="str">
        <f t="shared" si="17"/>
        <v>BXGY</v>
      </c>
    </row>
    <row r="106" spans="1:16" s="6" customFormat="1" x14ac:dyDescent="0.25">
      <c r="A106" s="33" t="str">
        <f t="shared" si="9"/>
        <v>2024 NOV-DEC B1G2</v>
      </c>
      <c r="B106" s="8">
        <f t="shared" si="10"/>
        <v>46099</v>
      </c>
      <c r="C106" s="8">
        <f t="shared" si="11"/>
        <v>46113</v>
      </c>
      <c r="D106" s="33">
        <v>3272</v>
      </c>
      <c r="E106" s="33">
        <v>336</v>
      </c>
      <c r="F106" s="33">
        <v>4</v>
      </c>
      <c r="G106" s="33">
        <v>1</v>
      </c>
      <c r="H106" s="33">
        <v>81379</v>
      </c>
      <c r="I106" s="33" t="s">
        <v>104</v>
      </c>
      <c r="J106" s="33">
        <v>45645543</v>
      </c>
      <c r="K106" s="33" t="s">
        <v>2715</v>
      </c>
      <c r="L106" s="27" t="s">
        <v>2726</v>
      </c>
      <c r="M106" s="18">
        <v>239900</v>
      </c>
      <c r="N106" s="37" t="str">
        <f t="shared" si="15"/>
        <v>BXGY</v>
      </c>
      <c r="O106" s="34" t="str">
        <f t="shared" si="16"/>
        <v>B1G2</v>
      </c>
      <c r="P106" s="33" t="str">
        <f t="shared" si="17"/>
        <v>BXGY</v>
      </c>
    </row>
    <row r="107" spans="1:16" s="6" customFormat="1" x14ac:dyDescent="0.25">
      <c r="A107" s="33" t="str">
        <f t="shared" si="9"/>
        <v>2024 NOV-DEC B1G2</v>
      </c>
      <c r="B107" s="8">
        <f t="shared" si="10"/>
        <v>46099</v>
      </c>
      <c r="C107" s="8">
        <f t="shared" si="11"/>
        <v>46113</v>
      </c>
      <c r="D107" s="33">
        <v>3272</v>
      </c>
      <c r="E107" s="33">
        <v>336</v>
      </c>
      <c r="F107" s="33">
        <v>4</v>
      </c>
      <c r="G107" s="33">
        <v>1</v>
      </c>
      <c r="H107" s="33">
        <v>81379</v>
      </c>
      <c r="I107" s="33" t="s">
        <v>104</v>
      </c>
      <c r="J107" s="33">
        <v>45645552</v>
      </c>
      <c r="K107" s="33" t="s">
        <v>2715</v>
      </c>
      <c r="L107" s="27" t="s">
        <v>2727</v>
      </c>
      <c r="M107" s="18">
        <v>239900</v>
      </c>
      <c r="N107" s="37" t="str">
        <f t="shared" si="15"/>
        <v>BXGY</v>
      </c>
      <c r="O107" s="34" t="str">
        <f t="shared" si="16"/>
        <v>B1G2</v>
      </c>
      <c r="P107" s="33" t="str">
        <f t="shared" si="17"/>
        <v>BXGY</v>
      </c>
    </row>
    <row r="108" spans="1:16" s="6" customFormat="1" x14ac:dyDescent="0.25">
      <c r="A108" s="33" t="str">
        <f t="shared" si="9"/>
        <v>2024 NOV-DEC B1G2</v>
      </c>
      <c r="B108" s="8">
        <f t="shared" si="10"/>
        <v>46099</v>
      </c>
      <c r="C108" s="8">
        <f t="shared" si="11"/>
        <v>46113</v>
      </c>
      <c r="D108" s="33">
        <v>3272</v>
      </c>
      <c r="E108" s="33">
        <v>336</v>
      </c>
      <c r="F108" s="33">
        <v>4</v>
      </c>
      <c r="G108" s="33">
        <v>1</v>
      </c>
      <c r="H108" s="33">
        <v>81379</v>
      </c>
      <c r="I108" s="33" t="s">
        <v>104</v>
      </c>
      <c r="J108" s="33">
        <v>45645561</v>
      </c>
      <c r="K108" s="33" t="s">
        <v>2355</v>
      </c>
      <c r="L108" s="27" t="s">
        <v>2356</v>
      </c>
      <c r="M108" s="18">
        <v>139900</v>
      </c>
      <c r="N108" s="37" t="str">
        <f t="shared" si="15"/>
        <v>BXGY</v>
      </c>
      <c r="O108" s="34" t="str">
        <f t="shared" si="16"/>
        <v>B1G2</v>
      </c>
      <c r="P108" s="33" t="str">
        <f t="shared" si="17"/>
        <v>BXGY</v>
      </c>
    </row>
    <row r="109" spans="1:16" s="6" customFormat="1" x14ac:dyDescent="0.25">
      <c r="A109" s="33" t="str">
        <f t="shared" si="9"/>
        <v>2024 NOV-DEC B1G2</v>
      </c>
      <c r="B109" s="8">
        <f t="shared" si="10"/>
        <v>46099</v>
      </c>
      <c r="C109" s="8">
        <f t="shared" si="11"/>
        <v>46113</v>
      </c>
      <c r="D109" s="33">
        <v>3272</v>
      </c>
      <c r="E109" s="33">
        <v>336</v>
      </c>
      <c r="F109" s="33">
        <v>4</v>
      </c>
      <c r="G109" s="33">
        <v>1</v>
      </c>
      <c r="H109" s="33">
        <v>81379</v>
      </c>
      <c r="I109" s="33" t="s">
        <v>104</v>
      </c>
      <c r="J109" s="33">
        <v>45645570</v>
      </c>
      <c r="K109" s="33" t="s">
        <v>2355</v>
      </c>
      <c r="L109" s="27" t="s">
        <v>2357</v>
      </c>
      <c r="M109" s="18">
        <v>139900</v>
      </c>
      <c r="N109" s="37" t="str">
        <f t="shared" si="15"/>
        <v>BXGY</v>
      </c>
      <c r="O109" s="34" t="str">
        <f t="shared" si="16"/>
        <v>B1G2</v>
      </c>
      <c r="P109" s="33" t="str">
        <f t="shared" si="17"/>
        <v>BXGY</v>
      </c>
    </row>
    <row r="110" spans="1:16" s="6" customFormat="1" x14ac:dyDescent="0.25">
      <c r="A110" s="33" t="str">
        <f t="shared" si="9"/>
        <v>2024 NOV-DEC B1G2</v>
      </c>
      <c r="B110" s="8">
        <f t="shared" si="10"/>
        <v>46099</v>
      </c>
      <c r="C110" s="8">
        <f t="shared" si="11"/>
        <v>46113</v>
      </c>
      <c r="D110" s="33">
        <v>3272</v>
      </c>
      <c r="E110" s="33">
        <v>336</v>
      </c>
      <c r="F110" s="33">
        <v>4</v>
      </c>
      <c r="G110" s="33">
        <v>1</v>
      </c>
      <c r="H110" s="33">
        <v>81379</v>
      </c>
      <c r="I110" s="33" t="s">
        <v>104</v>
      </c>
      <c r="J110" s="33">
        <v>45645589</v>
      </c>
      <c r="K110" s="33" t="s">
        <v>2355</v>
      </c>
      <c r="L110" s="27" t="s">
        <v>2358</v>
      </c>
      <c r="M110" s="18">
        <v>139900</v>
      </c>
      <c r="N110" s="37" t="str">
        <f t="shared" si="15"/>
        <v>BXGY</v>
      </c>
      <c r="O110" s="34" t="str">
        <f t="shared" si="16"/>
        <v>B1G2</v>
      </c>
      <c r="P110" s="33" t="str">
        <f t="shared" si="17"/>
        <v>BXGY</v>
      </c>
    </row>
    <row r="111" spans="1:16" s="6" customFormat="1" x14ac:dyDescent="0.25">
      <c r="A111" s="33" t="str">
        <f t="shared" si="9"/>
        <v>2024 NOV-DEC B1G2</v>
      </c>
      <c r="B111" s="8">
        <f t="shared" si="10"/>
        <v>46099</v>
      </c>
      <c r="C111" s="8">
        <f t="shared" si="11"/>
        <v>46113</v>
      </c>
      <c r="D111" s="33">
        <v>3272</v>
      </c>
      <c r="E111" s="33">
        <v>336</v>
      </c>
      <c r="F111" s="33">
        <v>4</v>
      </c>
      <c r="G111" s="33">
        <v>1</v>
      </c>
      <c r="H111" s="33">
        <v>81379</v>
      </c>
      <c r="I111" s="33" t="s">
        <v>104</v>
      </c>
      <c r="J111" s="33">
        <v>45645598</v>
      </c>
      <c r="K111" s="33" t="s">
        <v>2355</v>
      </c>
      <c r="L111" s="27" t="s">
        <v>2359</v>
      </c>
      <c r="M111" s="18">
        <v>139900</v>
      </c>
      <c r="N111" s="37" t="str">
        <f t="shared" si="15"/>
        <v>BXGY</v>
      </c>
      <c r="O111" s="34" t="str">
        <f t="shared" si="16"/>
        <v>B1G2</v>
      </c>
      <c r="P111" s="33" t="str">
        <f t="shared" si="17"/>
        <v>BXGY</v>
      </c>
    </row>
    <row r="112" spans="1:16" s="6" customFormat="1" x14ac:dyDescent="0.25">
      <c r="A112" s="33" t="str">
        <f t="shared" si="9"/>
        <v>2024 NOV-DEC B1G2</v>
      </c>
      <c r="B112" s="8">
        <f t="shared" si="10"/>
        <v>46099</v>
      </c>
      <c r="C112" s="8">
        <f t="shared" si="11"/>
        <v>46113</v>
      </c>
      <c r="D112" s="33">
        <v>3272</v>
      </c>
      <c r="E112" s="33">
        <v>336</v>
      </c>
      <c r="F112" s="33">
        <v>4</v>
      </c>
      <c r="G112" s="33">
        <v>1</v>
      </c>
      <c r="H112" s="33">
        <v>81379</v>
      </c>
      <c r="I112" s="33" t="s">
        <v>104</v>
      </c>
      <c r="J112" s="33">
        <v>45645605</v>
      </c>
      <c r="K112" s="33" t="s">
        <v>2355</v>
      </c>
      <c r="L112" s="27" t="s">
        <v>2360</v>
      </c>
      <c r="M112" s="18">
        <v>139900</v>
      </c>
      <c r="N112" s="37" t="str">
        <f t="shared" si="15"/>
        <v>BXGY</v>
      </c>
      <c r="O112" s="34" t="str">
        <f t="shared" si="16"/>
        <v>B1G2</v>
      </c>
      <c r="P112" s="33" t="str">
        <f t="shared" si="17"/>
        <v>BXGY</v>
      </c>
    </row>
    <row r="113" spans="1:16" s="6" customFormat="1" x14ac:dyDescent="0.25">
      <c r="A113" s="33" t="str">
        <f t="shared" si="9"/>
        <v>2024 NOV-DEC B1G2</v>
      </c>
      <c r="B113" s="8">
        <f t="shared" si="10"/>
        <v>46099</v>
      </c>
      <c r="C113" s="8">
        <f t="shared" si="11"/>
        <v>46113</v>
      </c>
      <c r="D113" s="33">
        <v>3272</v>
      </c>
      <c r="E113" s="33">
        <v>336</v>
      </c>
      <c r="F113" s="33">
        <v>4</v>
      </c>
      <c r="G113" s="33">
        <v>1</v>
      </c>
      <c r="H113" s="33">
        <v>81379</v>
      </c>
      <c r="I113" s="33" t="s">
        <v>104</v>
      </c>
      <c r="J113" s="33">
        <v>45645614</v>
      </c>
      <c r="K113" s="33" t="s">
        <v>2355</v>
      </c>
      <c r="L113" s="27" t="s">
        <v>2361</v>
      </c>
      <c r="M113" s="18">
        <v>139900</v>
      </c>
      <c r="N113" s="37" t="str">
        <f t="shared" si="15"/>
        <v>BXGY</v>
      </c>
      <c r="O113" s="34" t="str">
        <f t="shared" si="16"/>
        <v>B1G2</v>
      </c>
      <c r="P113" s="33" t="str">
        <f t="shared" si="17"/>
        <v>BXGY</v>
      </c>
    </row>
    <row r="114" spans="1:16" s="6" customFormat="1" x14ac:dyDescent="0.25">
      <c r="A114" s="33" t="str">
        <f t="shared" si="9"/>
        <v>2024 NOV-DEC B1G2</v>
      </c>
      <c r="B114" s="8">
        <f t="shared" si="10"/>
        <v>46099</v>
      </c>
      <c r="C114" s="8">
        <f t="shared" si="11"/>
        <v>46113</v>
      </c>
      <c r="D114" s="33">
        <v>3272</v>
      </c>
      <c r="E114" s="33">
        <v>336</v>
      </c>
      <c r="F114" s="33">
        <v>4</v>
      </c>
      <c r="G114" s="33">
        <v>1</v>
      </c>
      <c r="H114" s="33">
        <v>81379</v>
      </c>
      <c r="I114" s="33" t="s">
        <v>104</v>
      </c>
      <c r="J114" s="33">
        <v>45645623</v>
      </c>
      <c r="K114" s="33" t="s">
        <v>2355</v>
      </c>
      <c r="L114" s="27" t="s">
        <v>2362</v>
      </c>
      <c r="M114" s="18">
        <v>139900</v>
      </c>
      <c r="N114" s="37" t="str">
        <f t="shared" si="15"/>
        <v>BXGY</v>
      </c>
      <c r="O114" s="34" t="str">
        <f t="shared" si="16"/>
        <v>B1G2</v>
      </c>
      <c r="P114" s="33" t="str">
        <f t="shared" si="17"/>
        <v>BXGY</v>
      </c>
    </row>
    <row r="115" spans="1:16" s="6" customFormat="1" x14ac:dyDescent="0.25">
      <c r="A115" s="33" t="str">
        <f t="shared" si="9"/>
        <v>2024 NOV-DEC B1G2</v>
      </c>
      <c r="B115" s="8">
        <f t="shared" si="10"/>
        <v>46099</v>
      </c>
      <c r="C115" s="8">
        <f t="shared" si="11"/>
        <v>46113</v>
      </c>
      <c r="D115" s="33">
        <v>3272</v>
      </c>
      <c r="E115" s="33">
        <v>336</v>
      </c>
      <c r="F115" s="33">
        <v>4</v>
      </c>
      <c r="G115" s="33">
        <v>1</v>
      </c>
      <c r="H115" s="33">
        <v>81379</v>
      </c>
      <c r="I115" s="33" t="s">
        <v>104</v>
      </c>
      <c r="J115" s="33">
        <v>45645632</v>
      </c>
      <c r="K115" s="33" t="s">
        <v>2355</v>
      </c>
      <c r="L115" s="27" t="s">
        <v>2363</v>
      </c>
      <c r="M115" s="18">
        <v>139900</v>
      </c>
      <c r="N115" s="37" t="str">
        <f t="shared" si="15"/>
        <v>BXGY</v>
      </c>
      <c r="O115" s="34" t="str">
        <f t="shared" si="16"/>
        <v>B1G2</v>
      </c>
      <c r="P115" s="33" t="str">
        <f t="shared" si="17"/>
        <v>BXGY</v>
      </c>
    </row>
    <row r="116" spans="1:16" s="6" customFormat="1" x14ac:dyDescent="0.25">
      <c r="A116" s="33" t="str">
        <f t="shared" si="9"/>
        <v>2024 NOV-DEC B1G2</v>
      </c>
      <c r="B116" s="8">
        <f t="shared" si="10"/>
        <v>46099</v>
      </c>
      <c r="C116" s="8">
        <f t="shared" si="11"/>
        <v>46113</v>
      </c>
      <c r="D116" s="33">
        <v>3272</v>
      </c>
      <c r="E116" s="33">
        <v>336</v>
      </c>
      <c r="F116" s="33">
        <v>4</v>
      </c>
      <c r="G116" s="33">
        <v>1</v>
      </c>
      <c r="H116" s="33">
        <v>81379</v>
      </c>
      <c r="I116" s="33" t="s">
        <v>104</v>
      </c>
      <c r="J116" s="33">
        <v>45645641</v>
      </c>
      <c r="K116" s="33" t="s">
        <v>2334</v>
      </c>
      <c r="L116" s="27" t="s">
        <v>2335</v>
      </c>
      <c r="M116" s="18">
        <v>149900</v>
      </c>
      <c r="N116" s="37" t="str">
        <f t="shared" si="15"/>
        <v>BXGY</v>
      </c>
      <c r="O116" s="34" t="str">
        <f t="shared" si="16"/>
        <v>B1G2</v>
      </c>
      <c r="P116" s="33" t="str">
        <f t="shared" si="17"/>
        <v>BXGY</v>
      </c>
    </row>
    <row r="117" spans="1:16" s="6" customFormat="1" x14ac:dyDescent="0.25">
      <c r="A117" s="33" t="str">
        <f t="shared" si="9"/>
        <v>2024 NOV-DEC B1G2</v>
      </c>
      <c r="B117" s="8">
        <f t="shared" si="10"/>
        <v>46099</v>
      </c>
      <c r="C117" s="8">
        <f t="shared" si="11"/>
        <v>46113</v>
      </c>
      <c r="D117" s="33">
        <v>3272</v>
      </c>
      <c r="E117" s="33">
        <v>336</v>
      </c>
      <c r="F117" s="33">
        <v>4</v>
      </c>
      <c r="G117" s="33">
        <v>1</v>
      </c>
      <c r="H117" s="33">
        <v>81379</v>
      </c>
      <c r="I117" s="33" t="s">
        <v>104</v>
      </c>
      <c r="J117" s="33">
        <v>45645650</v>
      </c>
      <c r="K117" s="33" t="s">
        <v>2334</v>
      </c>
      <c r="L117" s="27" t="s">
        <v>2336</v>
      </c>
      <c r="M117" s="18">
        <v>149900</v>
      </c>
      <c r="N117" s="37" t="str">
        <f t="shared" si="15"/>
        <v>BXGY</v>
      </c>
      <c r="O117" s="34" t="str">
        <f t="shared" si="16"/>
        <v>B1G2</v>
      </c>
      <c r="P117" s="33" t="str">
        <f t="shared" si="17"/>
        <v>BXGY</v>
      </c>
    </row>
    <row r="118" spans="1:16" s="6" customFormat="1" x14ac:dyDescent="0.25">
      <c r="A118" s="33" t="str">
        <f t="shared" si="9"/>
        <v>2024 NOV-DEC B1G2</v>
      </c>
      <c r="B118" s="8">
        <f t="shared" si="10"/>
        <v>46099</v>
      </c>
      <c r="C118" s="8">
        <f t="shared" si="11"/>
        <v>46113</v>
      </c>
      <c r="D118" s="33">
        <v>3272</v>
      </c>
      <c r="E118" s="33">
        <v>336</v>
      </c>
      <c r="F118" s="33">
        <v>4</v>
      </c>
      <c r="G118" s="33">
        <v>1</v>
      </c>
      <c r="H118" s="33">
        <v>81379</v>
      </c>
      <c r="I118" s="33" t="s">
        <v>104</v>
      </c>
      <c r="J118" s="33">
        <v>45645669</v>
      </c>
      <c r="K118" s="33" t="s">
        <v>2334</v>
      </c>
      <c r="L118" s="27" t="s">
        <v>2337</v>
      </c>
      <c r="M118" s="18">
        <v>149900</v>
      </c>
      <c r="N118" s="37" t="str">
        <f t="shared" si="15"/>
        <v>BXGY</v>
      </c>
      <c r="O118" s="34" t="str">
        <f t="shared" si="16"/>
        <v>B1G2</v>
      </c>
      <c r="P118" s="33" t="str">
        <f t="shared" si="17"/>
        <v>BXGY</v>
      </c>
    </row>
    <row r="119" spans="1:16" s="6" customFormat="1" x14ac:dyDescent="0.25">
      <c r="A119" s="33" t="str">
        <f t="shared" si="9"/>
        <v>2024 NOV-DEC B1G2</v>
      </c>
      <c r="B119" s="8">
        <f t="shared" si="10"/>
        <v>46099</v>
      </c>
      <c r="C119" s="8">
        <f t="shared" si="11"/>
        <v>46113</v>
      </c>
      <c r="D119" s="33">
        <v>3272</v>
      </c>
      <c r="E119" s="33">
        <v>336</v>
      </c>
      <c r="F119" s="33">
        <v>4</v>
      </c>
      <c r="G119" s="33">
        <v>1</v>
      </c>
      <c r="H119" s="33">
        <v>81379</v>
      </c>
      <c r="I119" s="33" t="s">
        <v>104</v>
      </c>
      <c r="J119" s="33">
        <v>45645678</v>
      </c>
      <c r="K119" s="33" t="s">
        <v>2334</v>
      </c>
      <c r="L119" s="27" t="s">
        <v>2338</v>
      </c>
      <c r="M119" s="18">
        <v>149900</v>
      </c>
      <c r="N119" s="37" t="str">
        <f t="shared" si="15"/>
        <v>BXGY</v>
      </c>
      <c r="O119" s="34" t="str">
        <f t="shared" si="16"/>
        <v>B1G2</v>
      </c>
      <c r="P119" s="33" t="str">
        <f t="shared" si="17"/>
        <v>BXGY</v>
      </c>
    </row>
    <row r="120" spans="1:16" s="6" customFormat="1" x14ac:dyDescent="0.25">
      <c r="A120" s="33" t="str">
        <f t="shared" si="9"/>
        <v>2024 NOV-DEC B1G2</v>
      </c>
      <c r="B120" s="8">
        <f t="shared" si="10"/>
        <v>46099</v>
      </c>
      <c r="C120" s="8">
        <f t="shared" si="11"/>
        <v>46113</v>
      </c>
      <c r="D120" s="33">
        <v>3272</v>
      </c>
      <c r="E120" s="33">
        <v>336</v>
      </c>
      <c r="F120" s="33">
        <v>4</v>
      </c>
      <c r="G120" s="33">
        <v>1</v>
      </c>
      <c r="H120" s="33">
        <v>81379</v>
      </c>
      <c r="I120" s="33" t="s">
        <v>104</v>
      </c>
      <c r="J120" s="33">
        <v>45645687</v>
      </c>
      <c r="K120" s="33" t="s">
        <v>2334</v>
      </c>
      <c r="L120" s="27" t="s">
        <v>2339</v>
      </c>
      <c r="M120" s="18">
        <v>149900</v>
      </c>
      <c r="N120" s="37" t="str">
        <f t="shared" si="15"/>
        <v>BXGY</v>
      </c>
      <c r="O120" s="34" t="str">
        <f t="shared" si="16"/>
        <v>B1G2</v>
      </c>
      <c r="P120" s="33" t="str">
        <f t="shared" si="17"/>
        <v>BXGY</v>
      </c>
    </row>
    <row r="121" spans="1:16" s="6" customFormat="1" x14ac:dyDescent="0.25">
      <c r="A121" s="33" t="str">
        <f t="shared" si="9"/>
        <v>2024 NOV-DEC B1G2</v>
      </c>
      <c r="B121" s="8">
        <f t="shared" si="10"/>
        <v>46099</v>
      </c>
      <c r="C121" s="8">
        <f t="shared" si="11"/>
        <v>46113</v>
      </c>
      <c r="D121" s="33">
        <v>3272</v>
      </c>
      <c r="E121" s="33">
        <v>336</v>
      </c>
      <c r="F121" s="33">
        <v>4</v>
      </c>
      <c r="G121" s="33">
        <v>1</v>
      </c>
      <c r="H121" s="33">
        <v>81379</v>
      </c>
      <c r="I121" s="33" t="s">
        <v>104</v>
      </c>
      <c r="J121" s="33">
        <v>45645696</v>
      </c>
      <c r="K121" s="33" t="s">
        <v>2334</v>
      </c>
      <c r="L121" s="27" t="s">
        <v>2340</v>
      </c>
      <c r="M121" s="18">
        <v>149900</v>
      </c>
      <c r="N121" s="37" t="str">
        <f t="shared" si="15"/>
        <v>BXGY</v>
      </c>
      <c r="O121" s="34" t="str">
        <f t="shared" si="16"/>
        <v>B1G2</v>
      </c>
      <c r="P121" s="33" t="str">
        <f t="shared" si="17"/>
        <v>BXGY</v>
      </c>
    </row>
    <row r="122" spans="1:16" s="6" customFormat="1" x14ac:dyDescent="0.25">
      <c r="A122" s="33" t="str">
        <f t="shared" si="9"/>
        <v>2024 NOV-DEC B1G2</v>
      </c>
      <c r="B122" s="8">
        <f t="shared" si="10"/>
        <v>46099</v>
      </c>
      <c r="C122" s="8">
        <f t="shared" si="11"/>
        <v>46113</v>
      </c>
      <c r="D122" s="33">
        <v>3272</v>
      </c>
      <c r="E122" s="33">
        <v>336</v>
      </c>
      <c r="F122" s="33">
        <v>4</v>
      </c>
      <c r="G122" s="33">
        <v>1</v>
      </c>
      <c r="H122" s="33">
        <v>81379</v>
      </c>
      <c r="I122" s="33" t="s">
        <v>104</v>
      </c>
      <c r="J122" s="33">
        <v>45645703</v>
      </c>
      <c r="K122" s="33" t="s">
        <v>2334</v>
      </c>
      <c r="L122" s="27" t="s">
        <v>2341</v>
      </c>
      <c r="M122" s="18">
        <v>149900</v>
      </c>
      <c r="N122" s="37" t="str">
        <f t="shared" si="15"/>
        <v>BXGY</v>
      </c>
      <c r="O122" s="34" t="str">
        <f t="shared" si="16"/>
        <v>B1G2</v>
      </c>
      <c r="P122" s="33" t="str">
        <f t="shared" si="17"/>
        <v>BXGY</v>
      </c>
    </row>
    <row r="123" spans="1:16" s="6" customFormat="1" x14ac:dyDescent="0.25">
      <c r="A123" s="33" t="str">
        <f t="shared" si="9"/>
        <v>2024 NOV-DEC B1G2</v>
      </c>
      <c r="B123" s="8">
        <f t="shared" si="10"/>
        <v>46099</v>
      </c>
      <c r="C123" s="8">
        <f t="shared" si="11"/>
        <v>46113</v>
      </c>
      <c r="D123" s="33">
        <v>3272</v>
      </c>
      <c r="E123" s="33">
        <v>336</v>
      </c>
      <c r="F123" s="33">
        <v>4</v>
      </c>
      <c r="G123" s="33">
        <v>1</v>
      </c>
      <c r="H123" s="33">
        <v>81379</v>
      </c>
      <c r="I123" s="33" t="s">
        <v>104</v>
      </c>
      <c r="J123" s="33">
        <v>45645712</v>
      </c>
      <c r="K123" s="33" t="s">
        <v>2334</v>
      </c>
      <c r="L123" s="27" t="s">
        <v>2342</v>
      </c>
      <c r="M123" s="18">
        <v>149900</v>
      </c>
      <c r="N123" s="37" t="str">
        <f t="shared" si="15"/>
        <v>BXGY</v>
      </c>
      <c r="O123" s="34" t="str">
        <f t="shared" si="16"/>
        <v>B1G2</v>
      </c>
      <c r="P123" s="33" t="str">
        <f t="shared" si="17"/>
        <v>BXGY</v>
      </c>
    </row>
    <row r="124" spans="1:16" s="6" customFormat="1" x14ac:dyDescent="0.25">
      <c r="A124" s="33" t="str">
        <f t="shared" si="9"/>
        <v>2024 NOV-DEC B1G2</v>
      </c>
      <c r="B124" s="8">
        <f t="shared" si="10"/>
        <v>46099</v>
      </c>
      <c r="C124" s="8">
        <f t="shared" si="11"/>
        <v>46113</v>
      </c>
      <c r="D124" s="33">
        <v>3272</v>
      </c>
      <c r="E124" s="33">
        <v>336</v>
      </c>
      <c r="F124" s="33">
        <v>4</v>
      </c>
      <c r="G124" s="33">
        <v>4</v>
      </c>
      <c r="H124" s="33">
        <v>81379</v>
      </c>
      <c r="I124" s="33" t="s">
        <v>104</v>
      </c>
      <c r="J124" s="33">
        <v>45646471</v>
      </c>
      <c r="K124" s="33" t="s">
        <v>2279</v>
      </c>
      <c r="L124" s="27" t="s">
        <v>2280</v>
      </c>
      <c r="M124" s="18">
        <v>149900</v>
      </c>
      <c r="N124" s="37" t="str">
        <f t="shared" si="15"/>
        <v>BXGY</v>
      </c>
      <c r="O124" s="34" t="str">
        <f t="shared" si="16"/>
        <v>B1G2</v>
      </c>
      <c r="P124" s="33" t="str">
        <f t="shared" si="17"/>
        <v>BXGY</v>
      </c>
    </row>
    <row r="125" spans="1:16" s="6" customFormat="1" x14ac:dyDescent="0.25">
      <c r="A125" s="33" t="str">
        <f t="shared" si="9"/>
        <v>2024 NOV-DEC B1G2</v>
      </c>
      <c r="B125" s="8">
        <f t="shared" si="10"/>
        <v>46099</v>
      </c>
      <c r="C125" s="8">
        <f t="shared" si="11"/>
        <v>46113</v>
      </c>
      <c r="D125" s="33">
        <v>3272</v>
      </c>
      <c r="E125" s="33">
        <v>336</v>
      </c>
      <c r="F125" s="33">
        <v>4</v>
      </c>
      <c r="G125" s="33">
        <v>4</v>
      </c>
      <c r="H125" s="33">
        <v>81379</v>
      </c>
      <c r="I125" s="33" t="s">
        <v>104</v>
      </c>
      <c r="J125" s="33">
        <v>45646480</v>
      </c>
      <c r="K125" s="33" t="s">
        <v>2279</v>
      </c>
      <c r="L125" s="27" t="s">
        <v>2281</v>
      </c>
      <c r="M125" s="18">
        <v>149900</v>
      </c>
      <c r="N125" s="37" t="str">
        <f t="shared" si="15"/>
        <v>BXGY</v>
      </c>
      <c r="O125" s="34" t="str">
        <f t="shared" si="16"/>
        <v>B1G2</v>
      </c>
      <c r="P125" s="33" t="str">
        <f t="shared" si="17"/>
        <v>BXGY</v>
      </c>
    </row>
    <row r="126" spans="1:16" s="6" customFormat="1" x14ac:dyDescent="0.25">
      <c r="A126" s="33" t="str">
        <f t="shared" si="9"/>
        <v>2024 NOV-DEC B1G2</v>
      </c>
      <c r="B126" s="8">
        <f t="shared" si="10"/>
        <v>46099</v>
      </c>
      <c r="C126" s="8">
        <f t="shared" si="11"/>
        <v>46113</v>
      </c>
      <c r="D126" s="33">
        <v>3272</v>
      </c>
      <c r="E126" s="33">
        <v>336</v>
      </c>
      <c r="F126" s="33">
        <v>4</v>
      </c>
      <c r="G126" s="33">
        <v>4</v>
      </c>
      <c r="H126" s="33">
        <v>81379</v>
      </c>
      <c r="I126" s="33" t="s">
        <v>104</v>
      </c>
      <c r="J126" s="33">
        <v>45646499</v>
      </c>
      <c r="K126" s="33" t="s">
        <v>2279</v>
      </c>
      <c r="L126" s="27" t="s">
        <v>2282</v>
      </c>
      <c r="M126" s="18">
        <v>149900</v>
      </c>
      <c r="N126" s="37" t="str">
        <f t="shared" si="15"/>
        <v>BXGY</v>
      </c>
      <c r="O126" s="34" t="str">
        <f t="shared" si="16"/>
        <v>B1G2</v>
      </c>
      <c r="P126" s="33" t="str">
        <f t="shared" si="17"/>
        <v>BXGY</v>
      </c>
    </row>
    <row r="127" spans="1:16" s="6" customFormat="1" x14ac:dyDescent="0.25">
      <c r="A127" s="33" t="str">
        <f t="shared" si="9"/>
        <v>2024 NOV-DEC B1G2</v>
      </c>
      <c r="B127" s="8">
        <f t="shared" si="10"/>
        <v>46099</v>
      </c>
      <c r="C127" s="8">
        <f t="shared" si="11"/>
        <v>46113</v>
      </c>
      <c r="D127" s="33">
        <v>3272</v>
      </c>
      <c r="E127" s="33">
        <v>336</v>
      </c>
      <c r="F127" s="33">
        <v>4</v>
      </c>
      <c r="G127" s="33">
        <v>4</v>
      </c>
      <c r="H127" s="33">
        <v>81379</v>
      </c>
      <c r="I127" s="33" t="s">
        <v>104</v>
      </c>
      <c r="J127" s="33">
        <v>45646506</v>
      </c>
      <c r="K127" s="33" t="s">
        <v>2279</v>
      </c>
      <c r="L127" s="27" t="s">
        <v>2283</v>
      </c>
      <c r="M127" s="18">
        <v>149900</v>
      </c>
      <c r="N127" s="37" t="str">
        <f t="shared" si="15"/>
        <v>BXGY</v>
      </c>
      <c r="O127" s="34" t="str">
        <f t="shared" si="16"/>
        <v>B1G2</v>
      </c>
      <c r="P127" s="33" t="str">
        <f t="shared" si="17"/>
        <v>BXGY</v>
      </c>
    </row>
    <row r="128" spans="1:16" s="6" customFormat="1" x14ac:dyDescent="0.25">
      <c r="A128" s="33" t="str">
        <f t="shared" si="9"/>
        <v>2024 NOV-DEC B1G2</v>
      </c>
      <c r="B128" s="8">
        <f t="shared" si="10"/>
        <v>46099</v>
      </c>
      <c r="C128" s="8">
        <f t="shared" si="11"/>
        <v>46113</v>
      </c>
      <c r="D128" s="33">
        <v>3272</v>
      </c>
      <c r="E128" s="33">
        <v>336</v>
      </c>
      <c r="F128" s="33">
        <v>4</v>
      </c>
      <c r="G128" s="33">
        <v>4</v>
      </c>
      <c r="H128" s="33">
        <v>81379</v>
      </c>
      <c r="I128" s="33" t="s">
        <v>104</v>
      </c>
      <c r="J128" s="33">
        <v>45646515</v>
      </c>
      <c r="K128" s="33" t="s">
        <v>2279</v>
      </c>
      <c r="L128" s="27" t="s">
        <v>2284</v>
      </c>
      <c r="M128" s="18">
        <v>149900</v>
      </c>
      <c r="N128" s="37" t="str">
        <f t="shared" si="15"/>
        <v>BXGY</v>
      </c>
      <c r="O128" s="34" t="str">
        <f t="shared" si="16"/>
        <v>B1G2</v>
      </c>
      <c r="P128" s="33" t="str">
        <f t="shared" si="17"/>
        <v>BXGY</v>
      </c>
    </row>
    <row r="129" spans="1:16" s="6" customFormat="1" x14ac:dyDescent="0.25">
      <c r="A129" s="33" t="str">
        <f t="shared" si="9"/>
        <v>2024 NOV-DEC B1G2</v>
      </c>
      <c r="B129" s="8">
        <f t="shared" si="10"/>
        <v>46099</v>
      </c>
      <c r="C129" s="8">
        <f t="shared" si="11"/>
        <v>46113</v>
      </c>
      <c r="D129" s="33">
        <v>3272</v>
      </c>
      <c r="E129" s="33">
        <v>336</v>
      </c>
      <c r="F129" s="33">
        <v>4</v>
      </c>
      <c r="G129" s="33">
        <v>4</v>
      </c>
      <c r="H129" s="33">
        <v>81379</v>
      </c>
      <c r="I129" s="33" t="s">
        <v>104</v>
      </c>
      <c r="J129" s="33">
        <v>50036352</v>
      </c>
      <c r="K129" s="33" t="s">
        <v>2370</v>
      </c>
      <c r="L129" s="27" t="s">
        <v>2371</v>
      </c>
      <c r="M129" s="18">
        <v>139900</v>
      </c>
      <c r="N129" s="37" t="str">
        <f t="shared" si="15"/>
        <v>BXGY</v>
      </c>
      <c r="O129" s="34" t="str">
        <f t="shared" si="16"/>
        <v>B1G2</v>
      </c>
      <c r="P129" s="33" t="str">
        <f t="shared" si="17"/>
        <v>BXGY</v>
      </c>
    </row>
    <row r="130" spans="1:16" s="6" customFormat="1" x14ac:dyDescent="0.25">
      <c r="A130" s="33" t="str">
        <f t="shared" si="9"/>
        <v>2024 NOV-DEC B1G2</v>
      </c>
      <c r="B130" s="8">
        <f t="shared" si="10"/>
        <v>46099</v>
      </c>
      <c r="C130" s="8">
        <f t="shared" si="11"/>
        <v>46113</v>
      </c>
      <c r="D130" s="33">
        <v>3272</v>
      </c>
      <c r="E130" s="33">
        <v>336</v>
      </c>
      <c r="F130" s="33">
        <v>4</v>
      </c>
      <c r="G130" s="33">
        <v>4</v>
      </c>
      <c r="H130" s="33">
        <v>81379</v>
      </c>
      <c r="I130" s="33" t="s">
        <v>104</v>
      </c>
      <c r="J130" s="33">
        <v>50036361</v>
      </c>
      <c r="K130" s="33" t="s">
        <v>2370</v>
      </c>
      <c r="L130" s="27" t="s">
        <v>2372</v>
      </c>
      <c r="M130" s="18">
        <v>139900</v>
      </c>
      <c r="N130" s="37" t="str">
        <f t="shared" si="15"/>
        <v>BXGY</v>
      </c>
      <c r="O130" s="34" t="str">
        <f t="shared" si="16"/>
        <v>B1G2</v>
      </c>
      <c r="P130" s="33" t="str">
        <f t="shared" si="17"/>
        <v>BXGY</v>
      </c>
    </row>
    <row r="131" spans="1:16" s="6" customFormat="1" x14ac:dyDescent="0.25">
      <c r="A131" s="33" t="str">
        <f t="shared" ref="A131:A194" si="18">A130</f>
        <v>2024 NOV-DEC B1G2</v>
      </c>
      <c r="B131" s="8">
        <f t="shared" ref="B131:B194" si="19">B130</f>
        <v>46099</v>
      </c>
      <c r="C131" s="8">
        <f t="shared" ref="C131:C194" si="20">C130</f>
        <v>46113</v>
      </c>
      <c r="D131" s="33">
        <v>3272</v>
      </c>
      <c r="E131" s="33">
        <v>336</v>
      </c>
      <c r="F131" s="33">
        <v>4</v>
      </c>
      <c r="G131" s="33">
        <v>4</v>
      </c>
      <c r="H131" s="33">
        <v>81379</v>
      </c>
      <c r="I131" s="33" t="s">
        <v>104</v>
      </c>
      <c r="J131" s="33">
        <v>50036370</v>
      </c>
      <c r="K131" s="33" t="s">
        <v>2370</v>
      </c>
      <c r="L131" s="27" t="s">
        <v>2373</v>
      </c>
      <c r="M131" s="18">
        <v>139900</v>
      </c>
      <c r="N131" s="37" t="str">
        <f t="shared" ref="N131:N162" si="21">N130</f>
        <v>BXGY</v>
      </c>
      <c r="O131" s="34" t="str">
        <f t="shared" ref="O131:O162" si="22">O130</f>
        <v>B1G2</v>
      </c>
      <c r="P131" s="33" t="str">
        <f t="shared" ref="P131:P162" si="23">P130</f>
        <v>BXGY</v>
      </c>
    </row>
    <row r="132" spans="1:16" s="6" customFormat="1" x14ac:dyDescent="0.25">
      <c r="A132" s="33" t="str">
        <f t="shared" si="18"/>
        <v>2024 NOV-DEC B1G2</v>
      </c>
      <c r="B132" s="8">
        <f t="shared" si="19"/>
        <v>46099</v>
      </c>
      <c r="C132" s="8">
        <f t="shared" si="20"/>
        <v>46113</v>
      </c>
      <c r="D132" s="33">
        <v>3272</v>
      </c>
      <c r="E132" s="33">
        <v>336</v>
      </c>
      <c r="F132" s="33">
        <v>4</v>
      </c>
      <c r="G132" s="33">
        <v>4</v>
      </c>
      <c r="H132" s="33">
        <v>81379</v>
      </c>
      <c r="I132" s="33" t="s">
        <v>104</v>
      </c>
      <c r="J132" s="33">
        <v>50036389</v>
      </c>
      <c r="K132" s="33" t="s">
        <v>2370</v>
      </c>
      <c r="L132" s="27" t="s">
        <v>2374</v>
      </c>
      <c r="M132" s="18">
        <v>139900</v>
      </c>
      <c r="N132" s="37" t="str">
        <f t="shared" si="21"/>
        <v>BXGY</v>
      </c>
      <c r="O132" s="34" t="str">
        <f t="shared" si="22"/>
        <v>B1G2</v>
      </c>
      <c r="P132" s="33" t="str">
        <f t="shared" si="23"/>
        <v>BXGY</v>
      </c>
    </row>
    <row r="133" spans="1:16" s="6" customFormat="1" x14ac:dyDescent="0.25">
      <c r="A133" s="33" t="str">
        <f t="shared" si="18"/>
        <v>2024 NOV-DEC B1G2</v>
      </c>
      <c r="B133" s="8">
        <f t="shared" si="19"/>
        <v>46099</v>
      </c>
      <c r="C133" s="8">
        <f t="shared" si="20"/>
        <v>46113</v>
      </c>
      <c r="D133" s="33">
        <v>3272</v>
      </c>
      <c r="E133" s="33">
        <v>336</v>
      </c>
      <c r="F133" s="33">
        <v>4</v>
      </c>
      <c r="G133" s="33">
        <v>4</v>
      </c>
      <c r="H133" s="33">
        <v>81379</v>
      </c>
      <c r="I133" s="33" t="s">
        <v>104</v>
      </c>
      <c r="J133" s="33">
        <v>50036398</v>
      </c>
      <c r="K133" s="33" t="s">
        <v>2370</v>
      </c>
      <c r="L133" s="27" t="s">
        <v>2375</v>
      </c>
      <c r="M133" s="18">
        <v>139900</v>
      </c>
      <c r="N133" s="37" t="str">
        <f t="shared" si="21"/>
        <v>BXGY</v>
      </c>
      <c r="O133" s="34" t="str">
        <f t="shared" si="22"/>
        <v>B1G2</v>
      </c>
      <c r="P133" s="33" t="str">
        <f t="shared" si="23"/>
        <v>BXGY</v>
      </c>
    </row>
    <row r="134" spans="1:16" s="6" customFormat="1" x14ac:dyDescent="0.25">
      <c r="A134" s="33" t="str">
        <f t="shared" si="18"/>
        <v>2024 NOV-DEC B1G2</v>
      </c>
      <c r="B134" s="8">
        <f t="shared" si="19"/>
        <v>46099</v>
      </c>
      <c r="C134" s="8">
        <f t="shared" si="20"/>
        <v>46113</v>
      </c>
      <c r="D134" s="33">
        <v>3272</v>
      </c>
      <c r="E134" s="33">
        <v>336</v>
      </c>
      <c r="F134" s="33">
        <v>4</v>
      </c>
      <c r="G134" s="33">
        <v>5</v>
      </c>
      <c r="H134" s="33">
        <v>81379</v>
      </c>
      <c r="I134" s="33" t="s">
        <v>104</v>
      </c>
      <c r="J134" s="33">
        <v>50036405</v>
      </c>
      <c r="K134" s="33" t="s">
        <v>2717</v>
      </c>
      <c r="L134" s="27" t="s">
        <v>2733</v>
      </c>
      <c r="M134" s="18">
        <v>239900</v>
      </c>
      <c r="N134" s="37" t="str">
        <f t="shared" si="21"/>
        <v>BXGY</v>
      </c>
      <c r="O134" s="34" t="str">
        <f t="shared" si="22"/>
        <v>B1G2</v>
      </c>
      <c r="P134" s="33" t="str">
        <f t="shared" si="23"/>
        <v>BXGY</v>
      </c>
    </row>
    <row r="135" spans="1:16" s="6" customFormat="1" x14ac:dyDescent="0.25">
      <c r="A135" s="33" t="str">
        <f t="shared" si="18"/>
        <v>2024 NOV-DEC B1G2</v>
      </c>
      <c r="B135" s="8">
        <f t="shared" si="19"/>
        <v>46099</v>
      </c>
      <c r="C135" s="8">
        <f t="shared" si="20"/>
        <v>46113</v>
      </c>
      <c r="D135" s="33">
        <v>3272</v>
      </c>
      <c r="E135" s="33">
        <v>336</v>
      </c>
      <c r="F135" s="33">
        <v>4</v>
      </c>
      <c r="G135" s="33">
        <v>5</v>
      </c>
      <c r="H135" s="33">
        <v>81379</v>
      </c>
      <c r="I135" s="33" t="s">
        <v>104</v>
      </c>
      <c r="J135" s="33">
        <v>50036414</v>
      </c>
      <c r="K135" s="33" t="s">
        <v>2717</v>
      </c>
      <c r="L135" s="27" t="s">
        <v>2734</v>
      </c>
      <c r="M135" s="18">
        <v>239900</v>
      </c>
      <c r="N135" s="37" t="str">
        <f t="shared" si="21"/>
        <v>BXGY</v>
      </c>
      <c r="O135" s="34" t="str">
        <f t="shared" si="22"/>
        <v>B1G2</v>
      </c>
      <c r="P135" s="33" t="str">
        <f t="shared" si="23"/>
        <v>BXGY</v>
      </c>
    </row>
    <row r="136" spans="1:16" s="6" customFormat="1" x14ac:dyDescent="0.25">
      <c r="A136" s="33" t="str">
        <f t="shared" si="18"/>
        <v>2024 NOV-DEC B1G2</v>
      </c>
      <c r="B136" s="8">
        <f t="shared" si="19"/>
        <v>46099</v>
      </c>
      <c r="C136" s="8">
        <f t="shared" si="20"/>
        <v>46113</v>
      </c>
      <c r="D136" s="33">
        <v>3272</v>
      </c>
      <c r="E136" s="33">
        <v>336</v>
      </c>
      <c r="F136" s="33">
        <v>4</v>
      </c>
      <c r="G136" s="33">
        <v>5</v>
      </c>
      <c r="H136" s="33">
        <v>81379</v>
      </c>
      <c r="I136" s="33" t="s">
        <v>104</v>
      </c>
      <c r="J136" s="33">
        <v>50036423</v>
      </c>
      <c r="K136" s="33" t="s">
        <v>2717</v>
      </c>
      <c r="L136" s="27" t="s">
        <v>2735</v>
      </c>
      <c r="M136" s="18">
        <v>239900</v>
      </c>
      <c r="N136" s="37" t="str">
        <f t="shared" si="21"/>
        <v>BXGY</v>
      </c>
      <c r="O136" s="34" t="str">
        <f t="shared" si="22"/>
        <v>B1G2</v>
      </c>
      <c r="P136" s="33" t="str">
        <f t="shared" si="23"/>
        <v>BXGY</v>
      </c>
    </row>
    <row r="137" spans="1:16" s="6" customFormat="1" x14ac:dyDescent="0.25">
      <c r="A137" s="33" t="str">
        <f t="shared" si="18"/>
        <v>2024 NOV-DEC B1G2</v>
      </c>
      <c r="B137" s="8">
        <f t="shared" si="19"/>
        <v>46099</v>
      </c>
      <c r="C137" s="8">
        <f t="shared" si="20"/>
        <v>46113</v>
      </c>
      <c r="D137" s="33">
        <v>3272</v>
      </c>
      <c r="E137" s="33">
        <v>336</v>
      </c>
      <c r="F137" s="33">
        <v>4</v>
      </c>
      <c r="G137" s="33">
        <v>5</v>
      </c>
      <c r="H137" s="33">
        <v>81379</v>
      </c>
      <c r="I137" s="33" t="s">
        <v>104</v>
      </c>
      <c r="J137" s="33">
        <v>50036432</v>
      </c>
      <c r="K137" s="33" t="s">
        <v>2717</v>
      </c>
      <c r="L137" s="27" t="s">
        <v>2736</v>
      </c>
      <c r="M137" s="18">
        <v>239900</v>
      </c>
      <c r="N137" s="37" t="str">
        <f t="shared" si="21"/>
        <v>BXGY</v>
      </c>
      <c r="O137" s="34" t="str">
        <f t="shared" si="22"/>
        <v>B1G2</v>
      </c>
      <c r="P137" s="33" t="str">
        <f t="shared" si="23"/>
        <v>BXGY</v>
      </c>
    </row>
    <row r="138" spans="1:16" s="6" customFormat="1" x14ac:dyDescent="0.25">
      <c r="A138" s="33" t="str">
        <f t="shared" si="18"/>
        <v>2024 NOV-DEC B1G2</v>
      </c>
      <c r="B138" s="8">
        <f t="shared" si="19"/>
        <v>46099</v>
      </c>
      <c r="C138" s="8">
        <f t="shared" si="20"/>
        <v>46113</v>
      </c>
      <c r="D138" s="33">
        <v>3272</v>
      </c>
      <c r="E138" s="33">
        <v>336</v>
      </c>
      <c r="F138" s="33">
        <v>4</v>
      </c>
      <c r="G138" s="33">
        <v>5</v>
      </c>
      <c r="H138" s="33">
        <v>81379</v>
      </c>
      <c r="I138" s="33" t="s">
        <v>104</v>
      </c>
      <c r="J138" s="33">
        <v>50036441</v>
      </c>
      <c r="K138" s="33" t="s">
        <v>2717</v>
      </c>
      <c r="L138" s="27" t="s">
        <v>2737</v>
      </c>
      <c r="M138" s="18">
        <v>239900</v>
      </c>
      <c r="N138" s="37" t="str">
        <f t="shared" si="21"/>
        <v>BXGY</v>
      </c>
      <c r="O138" s="34" t="str">
        <f t="shared" si="22"/>
        <v>B1G2</v>
      </c>
      <c r="P138" s="33" t="str">
        <f t="shared" si="23"/>
        <v>BXGY</v>
      </c>
    </row>
    <row r="139" spans="1:16" s="6" customFormat="1" x14ac:dyDescent="0.25">
      <c r="A139" s="33" t="str">
        <f t="shared" si="18"/>
        <v>2024 NOV-DEC B1G2</v>
      </c>
      <c r="B139" s="8">
        <f t="shared" si="19"/>
        <v>46099</v>
      </c>
      <c r="C139" s="8">
        <f t="shared" si="20"/>
        <v>46113</v>
      </c>
      <c r="D139" s="33">
        <v>3272</v>
      </c>
      <c r="E139" s="33">
        <v>336</v>
      </c>
      <c r="F139" s="33">
        <v>4</v>
      </c>
      <c r="G139" s="33">
        <v>5</v>
      </c>
      <c r="H139" s="33">
        <v>81379</v>
      </c>
      <c r="I139" s="33" t="s">
        <v>104</v>
      </c>
      <c r="J139" s="33">
        <v>50036450</v>
      </c>
      <c r="K139" s="33" t="s">
        <v>2394</v>
      </c>
      <c r="L139" s="27" t="s">
        <v>2395</v>
      </c>
      <c r="M139" s="18">
        <v>149900</v>
      </c>
      <c r="N139" s="37" t="str">
        <f t="shared" si="21"/>
        <v>BXGY</v>
      </c>
      <c r="O139" s="34" t="str">
        <f t="shared" si="22"/>
        <v>B1G2</v>
      </c>
      <c r="P139" s="33" t="str">
        <f t="shared" si="23"/>
        <v>BXGY</v>
      </c>
    </row>
    <row r="140" spans="1:16" s="6" customFormat="1" x14ac:dyDescent="0.25">
      <c r="A140" s="33" t="str">
        <f t="shared" si="18"/>
        <v>2024 NOV-DEC B1G2</v>
      </c>
      <c r="B140" s="8">
        <f t="shared" si="19"/>
        <v>46099</v>
      </c>
      <c r="C140" s="8">
        <f t="shared" si="20"/>
        <v>46113</v>
      </c>
      <c r="D140" s="33">
        <v>3272</v>
      </c>
      <c r="E140" s="33">
        <v>336</v>
      </c>
      <c r="F140" s="33">
        <v>4</v>
      </c>
      <c r="G140" s="33">
        <v>5</v>
      </c>
      <c r="H140" s="33">
        <v>81379</v>
      </c>
      <c r="I140" s="33" t="s">
        <v>104</v>
      </c>
      <c r="J140" s="33">
        <v>50036469</v>
      </c>
      <c r="K140" s="33" t="s">
        <v>2394</v>
      </c>
      <c r="L140" s="27" t="s">
        <v>2396</v>
      </c>
      <c r="M140" s="18">
        <v>149900</v>
      </c>
      <c r="N140" s="37" t="str">
        <f t="shared" si="21"/>
        <v>BXGY</v>
      </c>
      <c r="O140" s="34" t="str">
        <f t="shared" si="22"/>
        <v>B1G2</v>
      </c>
      <c r="P140" s="33" t="str">
        <f t="shared" si="23"/>
        <v>BXGY</v>
      </c>
    </row>
    <row r="141" spans="1:16" s="6" customFormat="1" x14ac:dyDescent="0.25">
      <c r="A141" s="33" t="str">
        <f t="shared" si="18"/>
        <v>2024 NOV-DEC B1G2</v>
      </c>
      <c r="B141" s="8">
        <f t="shared" si="19"/>
        <v>46099</v>
      </c>
      <c r="C141" s="8">
        <f t="shared" si="20"/>
        <v>46113</v>
      </c>
      <c r="D141" s="33">
        <v>3272</v>
      </c>
      <c r="E141" s="33">
        <v>336</v>
      </c>
      <c r="F141" s="33">
        <v>4</v>
      </c>
      <c r="G141" s="33">
        <v>5</v>
      </c>
      <c r="H141" s="33">
        <v>81379</v>
      </c>
      <c r="I141" s="33" t="s">
        <v>104</v>
      </c>
      <c r="J141" s="33">
        <v>50036478</v>
      </c>
      <c r="K141" s="33" t="s">
        <v>2394</v>
      </c>
      <c r="L141" s="27" t="s">
        <v>2397</v>
      </c>
      <c r="M141" s="18">
        <v>149900</v>
      </c>
      <c r="N141" s="37" t="str">
        <f t="shared" si="21"/>
        <v>BXGY</v>
      </c>
      <c r="O141" s="34" t="str">
        <f t="shared" si="22"/>
        <v>B1G2</v>
      </c>
      <c r="P141" s="33" t="str">
        <f t="shared" si="23"/>
        <v>BXGY</v>
      </c>
    </row>
    <row r="142" spans="1:16" s="6" customFormat="1" x14ac:dyDescent="0.25">
      <c r="A142" s="33" t="str">
        <f t="shared" si="18"/>
        <v>2024 NOV-DEC B1G2</v>
      </c>
      <c r="B142" s="8">
        <f t="shared" si="19"/>
        <v>46099</v>
      </c>
      <c r="C142" s="8">
        <f t="shared" si="20"/>
        <v>46113</v>
      </c>
      <c r="D142" s="33">
        <v>3272</v>
      </c>
      <c r="E142" s="33">
        <v>336</v>
      </c>
      <c r="F142" s="33">
        <v>4</v>
      </c>
      <c r="G142" s="33">
        <v>5</v>
      </c>
      <c r="H142" s="33">
        <v>81379</v>
      </c>
      <c r="I142" s="33" t="s">
        <v>104</v>
      </c>
      <c r="J142" s="33">
        <v>50036487</v>
      </c>
      <c r="K142" s="33" t="s">
        <v>2394</v>
      </c>
      <c r="L142" s="27" t="s">
        <v>2398</v>
      </c>
      <c r="M142" s="18">
        <v>149900</v>
      </c>
      <c r="N142" s="37" t="str">
        <f t="shared" si="21"/>
        <v>BXGY</v>
      </c>
      <c r="O142" s="34" t="str">
        <f t="shared" si="22"/>
        <v>B1G2</v>
      </c>
      <c r="P142" s="33" t="str">
        <f t="shared" si="23"/>
        <v>BXGY</v>
      </c>
    </row>
    <row r="143" spans="1:16" s="6" customFormat="1" x14ac:dyDescent="0.25">
      <c r="A143" s="33" t="str">
        <f t="shared" si="18"/>
        <v>2024 NOV-DEC B1G2</v>
      </c>
      <c r="B143" s="8">
        <f t="shared" si="19"/>
        <v>46099</v>
      </c>
      <c r="C143" s="8">
        <f t="shared" si="20"/>
        <v>46113</v>
      </c>
      <c r="D143" s="33">
        <v>3272</v>
      </c>
      <c r="E143" s="33">
        <v>336</v>
      </c>
      <c r="F143" s="33">
        <v>4</v>
      </c>
      <c r="G143" s="33">
        <v>5</v>
      </c>
      <c r="H143" s="33">
        <v>81379</v>
      </c>
      <c r="I143" s="33" t="s">
        <v>104</v>
      </c>
      <c r="J143" s="33">
        <v>50036496</v>
      </c>
      <c r="K143" s="33" t="s">
        <v>2394</v>
      </c>
      <c r="L143" s="27" t="s">
        <v>2399</v>
      </c>
      <c r="M143" s="18">
        <v>149900</v>
      </c>
      <c r="N143" s="37" t="str">
        <f t="shared" si="21"/>
        <v>BXGY</v>
      </c>
      <c r="O143" s="34" t="str">
        <f t="shared" si="22"/>
        <v>B1G2</v>
      </c>
      <c r="P143" s="33" t="str">
        <f t="shared" si="23"/>
        <v>BXGY</v>
      </c>
    </row>
    <row r="144" spans="1:16" s="6" customFormat="1" x14ac:dyDescent="0.25">
      <c r="A144" s="33" t="str">
        <f t="shared" si="18"/>
        <v>2024 NOV-DEC B1G2</v>
      </c>
      <c r="B144" s="8">
        <f t="shared" si="19"/>
        <v>46099</v>
      </c>
      <c r="C144" s="8">
        <f t="shared" si="20"/>
        <v>46113</v>
      </c>
      <c r="D144" s="33">
        <v>3272</v>
      </c>
      <c r="E144" s="33">
        <v>336</v>
      </c>
      <c r="F144" s="33">
        <v>4</v>
      </c>
      <c r="G144" s="33">
        <v>1</v>
      </c>
      <c r="H144" s="33">
        <v>81588</v>
      </c>
      <c r="I144" s="33" t="s">
        <v>104</v>
      </c>
      <c r="J144" s="33">
        <v>45645721</v>
      </c>
      <c r="K144" s="33" t="s">
        <v>2973</v>
      </c>
      <c r="L144" s="27" t="s">
        <v>2974</v>
      </c>
      <c r="M144" s="18">
        <v>149900</v>
      </c>
      <c r="N144" s="37" t="str">
        <f t="shared" si="21"/>
        <v>BXGY</v>
      </c>
      <c r="O144" s="34" t="str">
        <f t="shared" si="22"/>
        <v>B1G2</v>
      </c>
      <c r="P144" s="33" t="str">
        <f t="shared" si="23"/>
        <v>BXGY</v>
      </c>
    </row>
    <row r="145" spans="1:16" s="6" customFormat="1" x14ac:dyDescent="0.25">
      <c r="A145" s="33" t="str">
        <f t="shared" si="18"/>
        <v>2024 NOV-DEC B1G2</v>
      </c>
      <c r="B145" s="8">
        <f t="shared" si="19"/>
        <v>46099</v>
      </c>
      <c r="C145" s="8">
        <f t="shared" si="20"/>
        <v>46113</v>
      </c>
      <c r="D145" s="33">
        <v>3272</v>
      </c>
      <c r="E145" s="33">
        <v>336</v>
      </c>
      <c r="F145" s="33">
        <v>4</v>
      </c>
      <c r="G145" s="33">
        <v>1</v>
      </c>
      <c r="H145" s="33">
        <v>81588</v>
      </c>
      <c r="I145" s="33" t="s">
        <v>104</v>
      </c>
      <c r="J145" s="33">
        <v>45645730</v>
      </c>
      <c r="K145" s="33" t="s">
        <v>2973</v>
      </c>
      <c r="L145" s="27" t="s">
        <v>2975</v>
      </c>
      <c r="M145" s="18">
        <v>149900</v>
      </c>
      <c r="N145" s="37" t="str">
        <f t="shared" si="21"/>
        <v>BXGY</v>
      </c>
      <c r="O145" s="34" t="str">
        <f t="shared" si="22"/>
        <v>B1G2</v>
      </c>
      <c r="P145" s="33" t="str">
        <f t="shared" si="23"/>
        <v>BXGY</v>
      </c>
    </row>
    <row r="146" spans="1:16" s="6" customFormat="1" x14ac:dyDescent="0.25">
      <c r="A146" s="33" t="str">
        <f t="shared" si="18"/>
        <v>2024 NOV-DEC B1G2</v>
      </c>
      <c r="B146" s="8">
        <f t="shared" si="19"/>
        <v>46099</v>
      </c>
      <c r="C146" s="8">
        <f t="shared" si="20"/>
        <v>46113</v>
      </c>
      <c r="D146" s="33">
        <v>3272</v>
      </c>
      <c r="E146" s="33">
        <v>336</v>
      </c>
      <c r="F146" s="33">
        <v>4</v>
      </c>
      <c r="G146" s="33">
        <v>1</v>
      </c>
      <c r="H146" s="33">
        <v>81588</v>
      </c>
      <c r="I146" s="33" t="s">
        <v>104</v>
      </c>
      <c r="J146" s="33">
        <v>45645749</v>
      </c>
      <c r="K146" s="33" t="s">
        <v>2973</v>
      </c>
      <c r="L146" s="27" t="s">
        <v>2976</v>
      </c>
      <c r="M146" s="18">
        <v>149900</v>
      </c>
      <c r="N146" s="37" t="str">
        <f t="shared" si="21"/>
        <v>BXGY</v>
      </c>
      <c r="O146" s="34" t="str">
        <f t="shared" si="22"/>
        <v>B1G2</v>
      </c>
      <c r="P146" s="33" t="str">
        <f t="shared" si="23"/>
        <v>BXGY</v>
      </c>
    </row>
    <row r="147" spans="1:16" s="6" customFormat="1" x14ac:dyDescent="0.25">
      <c r="A147" s="33" t="str">
        <f t="shared" si="18"/>
        <v>2024 NOV-DEC B1G2</v>
      </c>
      <c r="B147" s="8">
        <f t="shared" si="19"/>
        <v>46099</v>
      </c>
      <c r="C147" s="8">
        <f t="shared" si="20"/>
        <v>46113</v>
      </c>
      <c r="D147" s="33">
        <v>3272</v>
      </c>
      <c r="E147" s="33">
        <v>336</v>
      </c>
      <c r="F147" s="33">
        <v>4</v>
      </c>
      <c r="G147" s="33">
        <v>1</v>
      </c>
      <c r="H147" s="33">
        <v>81588</v>
      </c>
      <c r="I147" s="33" t="s">
        <v>104</v>
      </c>
      <c r="J147" s="33">
        <v>45645758</v>
      </c>
      <c r="K147" s="33" t="s">
        <v>2973</v>
      </c>
      <c r="L147" s="27" t="s">
        <v>2977</v>
      </c>
      <c r="M147" s="18">
        <v>149900</v>
      </c>
      <c r="N147" s="37" t="str">
        <f t="shared" si="21"/>
        <v>BXGY</v>
      </c>
      <c r="O147" s="34" t="str">
        <f t="shared" si="22"/>
        <v>B1G2</v>
      </c>
      <c r="P147" s="33" t="str">
        <f t="shared" si="23"/>
        <v>BXGY</v>
      </c>
    </row>
    <row r="148" spans="1:16" s="6" customFormat="1" x14ac:dyDescent="0.25">
      <c r="A148" s="33" t="str">
        <f t="shared" si="18"/>
        <v>2024 NOV-DEC B1G2</v>
      </c>
      <c r="B148" s="8">
        <f t="shared" si="19"/>
        <v>46099</v>
      </c>
      <c r="C148" s="8">
        <f t="shared" si="20"/>
        <v>46113</v>
      </c>
      <c r="D148" s="33">
        <v>3272</v>
      </c>
      <c r="E148" s="33">
        <v>336</v>
      </c>
      <c r="F148" s="33">
        <v>4</v>
      </c>
      <c r="G148" s="33">
        <v>1</v>
      </c>
      <c r="H148" s="33">
        <v>81588</v>
      </c>
      <c r="I148" s="33" t="s">
        <v>104</v>
      </c>
      <c r="J148" s="33">
        <v>45645767</v>
      </c>
      <c r="K148" s="33" t="s">
        <v>2973</v>
      </c>
      <c r="L148" s="27" t="s">
        <v>2978</v>
      </c>
      <c r="M148" s="18">
        <v>149900</v>
      </c>
      <c r="N148" s="37" t="str">
        <f t="shared" si="21"/>
        <v>BXGY</v>
      </c>
      <c r="O148" s="34" t="str">
        <f t="shared" si="22"/>
        <v>B1G2</v>
      </c>
      <c r="P148" s="33" t="str">
        <f t="shared" si="23"/>
        <v>BXGY</v>
      </c>
    </row>
    <row r="149" spans="1:16" s="6" customFormat="1" x14ac:dyDescent="0.25">
      <c r="A149" s="33" t="str">
        <f t="shared" si="18"/>
        <v>2024 NOV-DEC B1G2</v>
      </c>
      <c r="B149" s="8">
        <f t="shared" si="19"/>
        <v>46099</v>
      </c>
      <c r="C149" s="8">
        <f t="shared" si="20"/>
        <v>46113</v>
      </c>
      <c r="D149" s="33">
        <v>3272</v>
      </c>
      <c r="E149" s="33">
        <v>336</v>
      </c>
      <c r="F149" s="33">
        <v>4</v>
      </c>
      <c r="G149" s="33">
        <v>1</v>
      </c>
      <c r="H149" s="33">
        <v>81588</v>
      </c>
      <c r="I149" s="33" t="s">
        <v>104</v>
      </c>
      <c r="J149" s="33">
        <v>45645776</v>
      </c>
      <c r="K149" s="33" t="s">
        <v>2979</v>
      </c>
      <c r="L149" s="27" t="s">
        <v>2980</v>
      </c>
      <c r="M149" s="18">
        <v>139900</v>
      </c>
      <c r="N149" s="37" t="str">
        <f t="shared" si="21"/>
        <v>BXGY</v>
      </c>
      <c r="O149" s="34" t="str">
        <f t="shared" si="22"/>
        <v>B1G2</v>
      </c>
      <c r="P149" s="33" t="str">
        <f t="shared" si="23"/>
        <v>BXGY</v>
      </c>
    </row>
    <row r="150" spans="1:16" s="6" customFormat="1" x14ac:dyDescent="0.25">
      <c r="A150" s="33" t="str">
        <f t="shared" si="18"/>
        <v>2024 NOV-DEC B1G2</v>
      </c>
      <c r="B150" s="8">
        <f t="shared" si="19"/>
        <v>46099</v>
      </c>
      <c r="C150" s="8">
        <f t="shared" si="20"/>
        <v>46113</v>
      </c>
      <c r="D150" s="33">
        <v>3272</v>
      </c>
      <c r="E150" s="33">
        <v>336</v>
      </c>
      <c r="F150" s="33">
        <v>4</v>
      </c>
      <c r="G150" s="33">
        <v>1</v>
      </c>
      <c r="H150" s="33">
        <v>81588</v>
      </c>
      <c r="I150" s="33" t="s">
        <v>104</v>
      </c>
      <c r="J150" s="33">
        <v>45645785</v>
      </c>
      <c r="K150" s="33" t="s">
        <v>2979</v>
      </c>
      <c r="L150" s="27" t="s">
        <v>2981</v>
      </c>
      <c r="M150" s="18">
        <v>139900</v>
      </c>
      <c r="N150" s="37" t="str">
        <f t="shared" si="21"/>
        <v>BXGY</v>
      </c>
      <c r="O150" s="34" t="str">
        <f t="shared" si="22"/>
        <v>B1G2</v>
      </c>
      <c r="P150" s="33" t="str">
        <f t="shared" si="23"/>
        <v>BXGY</v>
      </c>
    </row>
    <row r="151" spans="1:16" s="6" customFormat="1" x14ac:dyDescent="0.25">
      <c r="A151" s="33" t="str">
        <f t="shared" si="18"/>
        <v>2024 NOV-DEC B1G2</v>
      </c>
      <c r="B151" s="8">
        <f t="shared" si="19"/>
        <v>46099</v>
      </c>
      <c r="C151" s="8">
        <f t="shared" si="20"/>
        <v>46113</v>
      </c>
      <c r="D151" s="33">
        <v>3272</v>
      </c>
      <c r="E151" s="33">
        <v>336</v>
      </c>
      <c r="F151" s="33">
        <v>4</v>
      </c>
      <c r="G151" s="33">
        <v>1</v>
      </c>
      <c r="H151" s="33">
        <v>81588</v>
      </c>
      <c r="I151" s="33" t="s">
        <v>104</v>
      </c>
      <c r="J151" s="33">
        <v>45645794</v>
      </c>
      <c r="K151" s="33" t="s">
        <v>2979</v>
      </c>
      <c r="L151" s="27" t="s">
        <v>2982</v>
      </c>
      <c r="M151" s="18">
        <v>139900</v>
      </c>
      <c r="N151" s="37" t="str">
        <f t="shared" si="21"/>
        <v>BXGY</v>
      </c>
      <c r="O151" s="34" t="str">
        <f t="shared" si="22"/>
        <v>B1G2</v>
      </c>
      <c r="P151" s="33" t="str">
        <f t="shared" si="23"/>
        <v>BXGY</v>
      </c>
    </row>
    <row r="152" spans="1:16" s="6" customFormat="1" x14ac:dyDescent="0.25">
      <c r="A152" s="33" t="str">
        <f t="shared" si="18"/>
        <v>2024 NOV-DEC B1G2</v>
      </c>
      <c r="B152" s="8">
        <f t="shared" si="19"/>
        <v>46099</v>
      </c>
      <c r="C152" s="8">
        <f t="shared" si="20"/>
        <v>46113</v>
      </c>
      <c r="D152" s="33">
        <v>3272</v>
      </c>
      <c r="E152" s="33">
        <v>336</v>
      </c>
      <c r="F152" s="33">
        <v>4</v>
      </c>
      <c r="G152" s="33">
        <v>1</v>
      </c>
      <c r="H152" s="33">
        <v>81588</v>
      </c>
      <c r="I152" s="33" t="s">
        <v>104</v>
      </c>
      <c r="J152" s="33">
        <v>45645801</v>
      </c>
      <c r="K152" s="33" t="s">
        <v>2979</v>
      </c>
      <c r="L152" s="27" t="s">
        <v>2983</v>
      </c>
      <c r="M152" s="18">
        <v>139900</v>
      </c>
      <c r="N152" s="37" t="str">
        <f t="shared" si="21"/>
        <v>BXGY</v>
      </c>
      <c r="O152" s="34" t="str">
        <f t="shared" si="22"/>
        <v>B1G2</v>
      </c>
      <c r="P152" s="33" t="str">
        <f t="shared" si="23"/>
        <v>BXGY</v>
      </c>
    </row>
    <row r="153" spans="1:16" s="6" customFormat="1" x14ac:dyDescent="0.25">
      <c r="A153" s="33" t="str">
        <f t="shared" si="18"/>
        <v>2024 NOV-DEC B1G2</v>
      </c>
      <c r="B153" s="8">
        <f t="shared" si="19"/>
        <v>46099</v>
      </c>
      <c r="C153" s="8">
        <f t="shared" si="20"/>
        <v>46113</v>
      </c>
      <c r="D153" s="33">
        <v>3272</v>
      </c>
      <c r="E153" s="33">
        <v>336</v>
      </c>
      <c r="F153" s="33">
        <v>4</v>
      </c>
      <c r="G153" s="33">
        <v>1</v>
      </c>
      <c r="H153" s="33">
        <v>81588</v>
      </c>
      <c r="I153" s="33" t="s">
        <v>104</v>
      </c>
      <c r="J153" s="33">
        <v>45645810</v>
      </c>
      <c r="K153" s="33" t="s">
        <v>2979</v>
      </c>
      <c r="L153" s="27" t="s">
        <v>2984</v>
      </c>
      <c r="M153" s="18">
        <v>139900</v>
      </c>
      <c r="N153" s="37" t="str">
        <f t="shared" si="21"/>
        <v>BXGY</v>
      </c>
      <c r="O153" s="34" t="str">
        <f t="shared" si="22"/>
        <v>B1G2</v>
      </c>
      <c r="P153" s="33" t="str">
        <f t="shared" si="23"/>
        <v>BXGY</v>
      </c>
    </row>
    <row r="154" spans="1:16" s="6" customFormat="1" x14ac:dyDescent="0.25">
      <c r="A154" s="33" t="str">
        <f t="shared" si="18"/>
        <v>2024 NOV-DEC B1G2</v>
      </c>
      <c r="B154" s="8">
        <f t="shared" si="19"/>
        <v>46099</v>
      </c>
      <c r="C154" s="8">
        <f t="shared" si="20"/>
        <v>46113</v>
      </c>
      <c r="D154" s="33">
        <v>3272</v>
      </c>
      <c r="E154" s="33">
        <v>336</v>
      </c>
      <c r="F154" s="33">
        <v>4</v>
      </c>
      <c r="G154" s="33">
        <v>1</v>
      </c>
      <c r="H154" s="33">
        <v>81588</v>
      </c>
      <c r="I154" s="33" t="s">
        <v>104</v>
      </c>
      <c r="J154" s="33">
        <v>45645927</v>
      </c>
      <c r="K154" s="33" t="s">
        <v>2991</v>
      </c>
      <c r="L154" s="27" t="s">
        <v>2992</v>
      </c>
      <c r="M154" s="18">
        <v>139900</v>
      </c>
      <c r="N154" s="37" t="str">
        <f t="shared" si="21"/>
        <v>BXGY</v>
      </c>
      <c r="O154" s="34" t="str">
        <f t="shared" si="22"/>
        <v>B1G2</v>
      </c>
      <c r="P154" s="33" t="str">
        <f t="shared" si="23"/>
        <v>BXGY</v>
      </c>
    </row>
    <row r="155" spans="1:16" s="6" customFormat="1" x14ac:dyDescent="0.25">
      <c r="A155" s="33" t="str">
        <f t="shared" si="18"/>
        <v>2024 NOV-DEC B1G2</v>
      </c>
      <c r="B155" s="8">
        <f t="shared" si="19"/>
        <v>46099</v>
      </c>
      <c r="C155" s="8">
        <f t="shared" si="20"/>
        <v>46113</v>
      </c>
      <c r="D155" s="33">
        <v>3272</v>
      </c>
      <c r="E155" s="33">
        <v>336</v>
      </c>
      <c r="F155" s="33">
        <v>4</v>
      </c>
      <c r="G155" s="33">
        <v>1</v>
      </c>
      <c r="H155" s="33">
        <v>81588</v>
      </c>
      <c r="I155" s="33" t="s">
        <v>104</v>
      </c>
      <c r="J155" s="33">
        <v>45645936</v>
      </c>
      <c r="K155" s="33" t="s">
        <v>2991</v>
      </c>
      <c r="L155" s="27" t="s">
        <v>2993</v>
      </c>
      <c r="M155" s="18">
        <v>139900</v>
      </c>
      <c r="N155" s="37" t="str">
        <f t="shared" si="21"/>
        <v>BXGY</v>
      </c>
      <c r="O155" s="34" t="str">
        <f t="shared" si="22"/>
        <v>B1G2</v>
      </c>
      <c r="P155" s="33" t="str">
        <f t="shared" si="23"/>
        <v>BXGY</v>
      </c>
    </row>
    <row r="156" spans="1:16" s="6" customFormat="1" x14ac:dyDescent="0.25">
      <c r="A156" s="33" t="str">
        <f t="shared" si="18"/>
        <v>2024 NOV-DEC B1G2</v>
      </c>
      <c r="B156" s="8">
        <f t="shared" si="19"/>
        <v>46099</v>
      </c>
      <c r="C156" s="8">
        <f t="shared" si="20"/>
        <v>46113</v>
      </c>
      <c r="D156" s="33">
        <v>3272</v>
      </c>
      <c r="E156" s="33">
        <v>336</v>
      </c>
      <c r="F156" s="33">
        <v>4</v>
      </c>
      <c r="G156" s="33">
        <v>1</v>
      </c>
      <c r="H156" s="33">
        <v>81588</v>
      </c>
      <c r="I156" s="33" t="s">
        <v>104</v>
      </c>
      <c r="J156" s="33">
        <v>45645945</v>
      </c>
      <c r="K156" s="33" t="s">
        <v>2991</v>
      </c>
      <c r="L156" s="27" t="s">
        <v>2994</v>
      </c>
      <c r="M156" s="18">
        <v>139900</v>
      </c>
      <c r="N156" s="37" t="str">
        <f t="shared" si="21"/>
        <v>BXGY</v>
      </c>
      <c r="O156" s="34" t="str">
        <f t="shared" si="22"/>
        <v>B1G2</v>
      </c>
      <c r="P156" s="33" t="str">
        <f t="shared" si="23"/>
        <v>BXGY</v>
      </c>
    </row>
    <row r="157" spans="1:16" s="6" customFormat="1" x14ac:dyDescent="0.25">
      <c r="A157" s="33" t="str">
        <f t="shared" si="18"/>
        <v>2024 NOV-DEC B1G2</v>
      </c>
      <c r="B157" s="8">
        <f t="shared" si="19"/>
        <v>46099</v>
      </c>
      <c r="C157" s="8">
        <f t="shared" si="20"/>
        <v>46113</v>
      </c>
      <c r="D157" s="33">
        <v>3272</v>
      </c>
      <c r="E157" s="33">
        <v>336</v>
      </c>
      <c r="F157" s="33">
        <v>4</v>
      </c>
      <c r="G157" s="33">
        <v>1</v>
      </c>
      <c r="H157" s="33">
        <v>81588</v>
      </c>
      <c r="I157" s="33" t="s">
        <v>104</v>
      </c>
      <c r="J157" s="33">
        <v>45645954</v>
      </c>
      <c r="K157" s="33" t="s">
        <v>2991</v>
      </c>
      <c r="L157" s="27" t="s">
        <v>2995</v>
      </c>
      <c r="M157" s="18">
        <v>139900</v>
      </c>
      <c r="N157" s="37" t="str">
        <f t="shared" si="21"/>
        <v>BXGY</v>
      </c>
      <c r="O157" s="34" t="str">
        <f t="shared" si="22"/>
        <v>B1G2</v>
      </c>
      <c r="P157" s="33" t="str">
        <f t="shared" si="23"/>
        <v>BXGY</v>
      </c>
    </row>
    <row r="158" spans="1:16" s="6" customFormat="1" x14ac:dyDescent="0.25">
      <c r="A158" s="33" t="str">
        <f t="shared" si="18"/>
        <v>2024 NOV-DEC B1G2</v>
      </c>
      <c r="B158" s="8">
        <f t="shared" si="19"/>
        <v>46099</v>
      </c>
      <c r="C158" s="8">
        <f t="shared" si="20"/>
        <v>46113</v>
      </c>
      <c r="D158" s="33">
        <v>3272</v>
      </c>
      <c r="E158" s="33">
        <v>336</v>
      </c>
      <c r="F158" s="33">
        <v>4</v>
      </c>
      <c r="G158" s="33">
        <v>1</v>
      </c>
      <c r="H158" s="33">
        <v>81588</v>
      </c>
      <c r="I158" s="33" t="s">
        <v>104</v>
      </c>
      <c r="J158" s="33">
        <v>45645963</v>
      </c>
      <c r="K158" s="33" t="s">
        <v>2991</v>
      </c>
      <c r="L158" s="27" t="s">
        <v>2996</v>
      </c>
      <c r="M158" s="18">
        <v>139900</v>
      </c>
      <c r="N158" s="37" t="str">
        <f t="shared" si="21"/>
        <v>BXGY</v>
      </c>
      <c r="O158" s="34" t="str">
        <f t="shared" si="22"/>
        <v>B1G2</v>
      </c>
      <c r="P158" s="33" t="str">
        <f t="shared" si="23"/>
        <v>BXGY</v>
      </c>
    </row>
    <row r="159" spans="1:16" s="6" customFormat="1" x14ac:dyDescent="0.25">
      <c r="A159" s="33" t="str">
        <f t="shared" si="18"/>
        <v>2024 NOV-DEC B1G2</v>
      </c>
      <c r="B159" s="8">
        <f t="shared" si="19"/>
        <v>46099</v>
      </c>
      <c r="C159" s="8">
        <f t="shared" si="20"/>
        <v>46113</v>
      </c>
      <c r="D159" s="33">
        <v>3272</v>
      </c>
      <c r="E159" s="33">
        <v>336</v>
      </c>
      <c r="F159" s="33">
        <v>4</v>
      </c>
      <c r="G159" s="33">
        <v>1</v>
      </c>
      <c r="H159" s="33">
        <v>81588</v>
      </c>
      <c r="I159" s="33" t="s">
        <v>104</v>
      </c>
      <c r="J159" s="33">
        <v>45645972</v>
      </c>
      <c r="K159" s="33" t="s">
        <v>2997</v>
      </c>
      <c r="L159" s="27" t="s">
        <v>2998</v>
      </c>
      <c r="M159" s="18">
        <v>139900</v>
      </c>
      <c r="N159" s="37" t="str">
        <f t="shared" si="21"/>
        <v>BXGY</v>
      </c>
      <c r="O159" s="34" t="str">
        <f t="shared" si="22"/>
        <v>B1G2</v>
      </c>
      <c r="P159" s="33" t="str">
        <f t="shared" si="23"/>
        <v>BXGY</v>
      </c>
    </row>
    <row r="160" spans="1:16" s="6" customFormat="1" x14ac:dyDescent="0.25">
      <c r="A160" s="33" t="str">
        <f t="shared" si="18"/>
        <v>2024 NOV-DEC B1G2</v>
      </c>
      <c r="B160" s="8">
        <f t="shared" si="19"/>
        <v>46099</v>
      </c>
      <c r="C160" s="8">
        <f t="shared" si="20"/>
        <v>46113</v>
      </c>
      <c r="D160" s="33">
        <v>3272</v>
      </c>
      <c r="E160" s="33">
        <v>336</v>
      </c>
      <c r="F160" s="33">
        <v>4</v>
      </c>
      <c r="G160" s="33">
        <v>1</v>
      </c>
      <c r="H160" s="33">
        <v>81588</v>
      </c>
      <c r="I160" s="33" t="s">
        <v>104</v>
      </c>
      <c r="J160" s="33">
        <v>45645981</v>
      </c>
      <c r="K160" s="33" t="s">
        <v>2997</v>
      </c>
      <c r="L160" s="27" t="s">
        <v>2999</v>
      </c>
      <c r="M160" s="18">
        <v>139900</v>
      </c>
      <c r="N160" s="37" t="str">
        <f t="shared" si="21"/>
        <v>BXGY</v>
      </c>
      <c r="O160" s="34" t="str">
        <f t="shared" si="22"/>
        <v>B1G2</v>
      </c>
      <c r="P160" s="33" t="str">
        <f t="shared" si="23"/>
        <v>BXGY</v>
      </c>
    </row>
    <row r="161" spans="1:16" s="6" customFormat="1" x14ac:dyDescent="0.25">
      <c r="A161" s="33" t="str">
        <f t="shared" si="18"/>
        <v>2024 NOV-DEC B1G2</v>
      </c>
      <c r="B161" s="8">
        <f t="shared" si="19"/>
        <v>46099</v>
      </c>
      <c r="C161" s="8">
        <f t="shared" si="20"/>
        <v>46113</v>
      </c>
      <c r="D161" s="33">
        <v>3272</v>
      </c>
      <c r="E161" s="33">
        <v>336</v>
      </c>
      <c r="F161" s="33">
        <v>4</v>
      </c>
      <c r="G161" s="33">
        <v>1</v>
      </c>
      <c r="H161" s="33">
        <v>81588</v>
      </c>
      <c r="I161" s="33" t="s">
        <v>104</v>
      </c>
      <c r="J161" s="33">
        <v>45645990</v>
      </c>
      <c r="K161" s="33" t="s">
        <v>2997</v>
      </c>
      <c r="L161" s="27" t="s">
        <v>3000</v>
      </c>
      <c r="M161" s="18">
        <v>139900</v>
      </c>
      <c r="N161" s="37" t="str">
        <f t="shared" si="21"/>
        <v>BXGY</v>
      </c>
      <c r="O161" s="34" t="str">
        <f t="shared" si="22"/>
        <v>B1G2</v>
      </c>
      <c r="P161" s="33" t="str">
        <f t="shared" si="23"/>
        <v>BXGY</v>
      </c>
    </row>
    <row r="162" spans="1:16" s="6" customFormat="1" x14ac:dyDescent="0.25">
      <c r="A162" s="33" t="str">
        <f t="shared" si="18"/>
        <v>2024 NOV-DEC B1G2</v>
      </c>
      <c r="B162" s="8">
        <f t="shared" si="19"/>
        <v>46099</v>
      </c>
      <c r="C162" s="8">
        <f t="shared" si="20"/>
        <v>46113</v>
      </c>
      <c r="D162" s="33">
        <v>3272</v>
      </c>
      <c r="E162" s="33">
        <v>336</v>
      </c>
      <c r="F162" s="33">
        <v>4</v>
      </c>
      <c r="G162" s="33">
        <v>1</v>
      </c>
      <c r="H162" s="33">
        <v>81588</v>
      </c>
      <c r="I162" s="33" t="s">
        <v>104</v>
      </c>
      <c r="J162" s="33">
        <v>45646006</v>
      </c>
      <c r="K162" s="33" t="s">
        <v>2997</v>
      </c>
      <c r="L162" s="27" t="s">
        <v>3001</v>
      </c>
      <c r="M162" s="18">
        <v>139900</v>
      </c>
      <c r="N162" s="37" t="str">
        <f t="shared" si="21"/>
        <v>BXGY</v>
      </c>
      <c r="O162" s="34" t="str">
        <f t="shared" si="22"/>
        <v>B1G2</v>
      </c>
      <c r="P162" s="33" t="str">
        <f t="shared" si="23"/>
        <v>BXGY</v>
      </c>
    </row>
    <row r="163" spans="1:16" s="6" customFormat="1" x14ac:dyDescent="0.25">
      <c r="A163" s="33" t="str">
        <f t="shared" si="18"/>
        <v>2024 NOV-DEC B1G2</v>
      </c>
      <c r="B163" s="8">
        <f t="shared" si="19"/>
        <v>46099</v>
      </c>
      <c r="C163" s="8">
        <f t="shared" si="20"/>
        <v>46113</v>
      </c>
      <c r="D163" s="33">
        <v>3272</v>
      </c>
      <c r="E163" s="33">
        <v>336</v>
      </c>
      <c r="F163" s="33">
        <v>4</v>
      </c>
      <c r="G163" s="33">
        <v>1</v>
      </c>
      <c r="H163" s="33">
        <v>81588</v>
      </c>
      <c r="I163" s="33" t="s">
        <v>104</v>
      </c>
      <c r="J163" s="33">
        <v>45646015</v>
      </c>
      <c r="K163" s="33" t="s">
        <v>2997</v>
      </c>
      <c r="L163" s="27" t="s">
        <v>3002</v>
      </c>
      <c r="M163" s="18">
        <v>139900</v>
      </c>
      <c r="N163" s="37" t="str">
        <f t="shared" ref="N163:N168" si="24">N162</f>
        <v>BXGY</v>
      </c>
      <c r="O163" s="34" t="str">
        <f t="shared" ref="O163:O168" si="25">O162</f>
        <v>B1G2</v>
      </c>
      <c r="P163" s="33" t="str">
        <f t="shared" ref="P163:P168" si="26">P162</f>
        <v>BXGY</v>
      </c>
    </row>
    <row r="164" spans="1:16" s="6" customFormat="1" x14ac:dyDescent="0.25">
      <c r="A164" s="33" t="str">
        <f t="shared" si="18"/>
        <v>2024 NOV-DEC B1G2</v>
      </c>
      <c r="B164" s="8">
        <f t="shared" si="19"/>
        <v>46099</v>
      </c>
      <c r="C164" s="8">
        <f t="shared" si="20"/>
        <v>46113</v>
      </c>
      <c r="D164" s="33">
        <v>3272</v>
      </c>
      <c r="E164" s="33">
        <v>336</v>
      </c>
      <c r="F164" s="33">
        <v>4</v>
      </c>
      <c r="G164" s="33">
        <v>1</v>
      </c>
      <c r="H164" s="33">
        <v>4953</v>
      </c>
      <c r="I164" s="33" t="s">
        <v>104</v>
      </c>
      <c r="J164" s="33">
        <v>45646275</v>
      </c>
      <c r="K164" s="33" t="s">
        <v>3020</v>
      </c>
      <c r="L164" s="27" t="s">
        <v>3021</v>
      </c>
      <c r="M164" s="18">
        <v>139900</v>
      </c>
      <c r="N164" s="37" t="str">
        <f t="shared" si="24"/>
        <v>BXGY</v>
      </c>
      <c r="O164" s="34" t="str">
        <f t="shared" si="25"/>
        <v>B1G2</v>
      </c>
      <c r="P164" s="33" t="str">
        <f t="shared" si="26"/>
        <v>BXGY</v>
      </c>
    </row>
    <row r="165" spans="1:16" s="6" customFormat="1" x14ac:dyDescent="0.25">
      <c r="A165" s="33" t="str">
        <f t="shared" si="18"/>
        <v>2024 NOV-DEC B1G2</v>
      </c>
      <c r="B165" s="8">
        <f t="shared" si="19"/>
        <v>46099</v>
      </c>
      <c r="C165" s="8">
        <f t="shared" si="20"/>
        <v>46113</v>
      </c>
      <c r="D165" s="33">
        <v>3272</v>
      </c>
      <c r="E165" s="33">
        <v>336</v>
      </c>
      <c r="F165" s="33">
        <v>4</v>
      </c>
      <c r="G165" s="33">
        <v>1</v>
      </c>
      <c r="H165" s="33">
        <v>4953</v>
      </c>
      <c r="I165" s="33" t="s">
        <v>104</v>
      </c>
      <c r="J165" s="33">
        <v>45646284</v>
      </c>
      <c r="K165" s="33" t="s">
        <v>3020</v>
      </c>
      <c r="L165" s="27" t="s">
        <v>3022</v>
      </c>
      <c r="M165" s="18">
        <v>139900</v>
      </c>
      <c r="N165" s="37" t="str">
        <f t="shared" si="24"/>
        <v>BXGY</v>
      </c>
      <c r="O165" s="34" t="str">
        <f t="shared" si="25"/>
        <v>B1G2</v>
      </c>
      <c r="P165" s="33" t="str">
        <f t="shared" si="26"/>
        <v>BXGY</v>
      </c>
    </row>
    <row r="166" spans="1:16" s="6" customFormat="1" x14ac:dyDescent="0.25">
      <c r="A166" s="33" t="str">
        <f t="shared" si="18"/>
        <v>2024 NOV-DEC B1G2</v>
      </c>
      <c r="B166" s="8">
        <f t="shared" si="19"/>
        <v>46099</v>
      </c>
      <c r="C166" s="8">
        <f t="shared" si="20"/>
        <v>46113</v>
      </c>
      <c r="D166" s="33">
        <v>3272</v>
      </c>
      <c r="E166" s="33">
        <v>336</v>
      </c>
      <c r="F166" s="33">
        <v>4</v>
      </c>
      <c r="G166" s="33">
        <v>1</v>
      </c>
      <c r="H166" s="33">
        <v>4953</v>
      </c>
      <c r="I166" s="33" t="s">
        <v>104</v>
      </c>
      <c r="J166" s="33">
        <v>45646293</v>
      </c>
      <c r="K166" s="33" t="s">
        <v>3020</v>
      </c>
      <c r="L166" s="27" t="s">
        <v>3023</v>
      </c>
      <c r="M166" s="18">
        <v>139900</v>
      </c>
      <c r="N166" s="37" t="str">
        <f t="shared" si="24"/>
        <v>BXGY</v>
      </c>
      <c r="O166" s="34" t="str">
        <f t="shared" si="25"/>
        <v>B1G2</v>
      </c>
      <c r="P166" s="33" t="str">
        <f t="shared" si="26"/>
        <v>BXGY</v>
      </c>
    </row>
    <row r="167" spans="1:16" s="6" customFormat="1" x14ac:dyDescent="0.25">
      <c r="A167" s="33" t="str">
        <f t="shared" si="18"/>
        <v>2024 NOV-DEC B1G2</v>
      </c>
      <c r="B167" s="8">
        <f t="shared" si="19"/>
        <v>46099</v>
      </c>
      <c r="C167" s="8">
        <f t="shared" si="20"/>
        <v>46113</v>
      </c>
      <c r="D167" s="33">
        <v>3272</v>
      </c>
      <c r="E167" s="33">
        <v>336</v>
      </c>
      <c r="F167" s="33">
        <v>4</v>
      </c>
      <c r="G167" s="33">
        <v>1</v>
      </c>
      <c r="H167" s="33">
        <v>4953</v>
      </c>
      <c r="I167" s="33" t="s">
        <v>104</v>
      </c>
      <c r="J167" s="33">
        <v>45646300</v>
      </c>
      <c r="K167" s="33" t="s">
        <v>3020</v>
      </c>
      <c r="L167" s="27" t="s">
        <v>3024</v>
      </c>
      <c r="M167" s="18">
        <v>139900</v>
      </c>
      <c r="N167" s="37" t="str">
        <f t="shared" si="24"/>
        <v>BXGY</v>
      </c>
      <c r="O167" s="34" t="str">
        <f t="shared" si="25"/>
        <v>B1G2</v>
      </c>
      <c r="P167" s="33" t="str">
        <f t="shared" si="26"/>
        <v>BXGY</v>
      </c>
    </row>
    <row r="168" spans="1:16" s="6" customFormat="1" x14ac:dyDescent="0.25">
      <c r="A168" s="33" t="str">
        <f t="shared" si="18"/>
        <v>2024 NOV-DEC B1G2</v>
      </c>
      <c r="B168" s="8">
        <f t="shared" si="19"/>
        <v>46099</v>
      </c>
      <c r="C168" s="8">
        <f t="shared" si="20"/>
        <v>46113</v>
      </c>
      <c r="D168" s="33">
        <v>3272</v>
      </c>
      <c r="E168" s="33">
        <v>336</v>
      </c>
      <c r="F168" s="33">
        <v>4</v>
      </c>
      <c r="G168" s="33">
        <v>1</v>
      </c>
      <c r="H168" s="33">
        <v>4953</v>
      </c>
      <c r="I168" s="33" t="s">
        <v>104</v>
      </c>
      <c r="J168" s="33">
        <v>45646319</v>
      </c>
      <c r="K168" s="33" t="s">
        <v>3020</v>
      </c>
      <c r="L168" s="27" t="s">
        <v>3025</v>
      </c>
      <c r="M168" s="18">
        <v>139900</v>
      </c>
      <c r="N168" s="37" t="str">
        <f t="shared" si="24"/>
        <v>BXGY</v>
      </c>
      <c r="O168" s="34" t="str">
        <f t="shared" si="25"/>
        <v>B1G2</v>
      </c>
      <c r="P168" s="33" t="str">
        <f t="shared" si="26"/>
        <v>BXGY</v>
      </c>
    </row>
    <row r="169" spans="1:16" s="6" customFormat="1" x14ac:dyDescent="0.25">
      <c r="A169" s="33" t="str">
        <f t="shared" si="18"/>
        <v>2024 NOV-DEC B1G2</v>
      </c>
      <c r="B169" s="8">
        <f t="shared" si="19"/>
        <v>46099</v>
      </c>
      <c r="C169" s="8">
        <f t="shared" si="20"/>
        <v>46113</v>
      </c>
      <c r="D169" s="33">
        <v>3272</v>
      </c>
      <c r="E169" s="33">
        <v>336</v>
      </c>
      <c r="F169" s="33">
        <v>4</v>
      </c>
      <c r="G169" s="33">
        <v>1</v>
      </c>
      <c r="H169" s="33">
        <v>81588</v>
      </c>
      <c r="I169" s="33" t="s">
        <v>104</v>
      </c>
      <c r="J169" s="33">
        <v>45646837</v>
      </c>
      <c r="K169" s="33" t="s">
        <v>2192</v>
      </c>
      <c r="L169" s="27" t="s">
        <v>2406</v>
      </c>
      <c r="M169" s="18">
        <v>149900</v>
      </c>
      <c r="N169" s="37" t="str">
        <f t="shared" ref="N169:N216" si="27">N168</f>
        <v>BXGY</v>
      </c>
      <c r="O169" s="34" t="s">
        <v>1496</v>
      </c>
      <c r="P169" s="33" t="str">
        <f t="shared" ref="P169:P216" si="28">P168</f>
        <v>BXGY</v>
      </c>
    </row>
    <row r="170" spans="1:16" s="6" customFormat="1" x14ac:dyDescent="0.25">
      <c r="A170" s="33" t="str">
        <f t="shared" si="18"/>
        <v>2024 NOV-DEC B1G2</v>
      </c>
      <c r="B170" s="8">
        <f t="shared" si="19"/>
        <v>46099</v>
      </c>
      <c r="C170" s="8">
        <f t="shared" si="20"/>
        <v>46113</v>
      </c>
      <c r="D170" s="33">
        <v>3272</v>
      </c>
      <c r="E170" s="33">
        <v>336</v>
      </c>
      <c r="F170" s="33">
        <v>4</v>
      </c>
      <c r="G170" s="33">
        <v>1</v>
      </c>
      <c r="H170" s="33">
        <v>81588</v>
      </c>
      <c r="I170" s="33" t="s">
        <v>104</v>
      </c>
      <c r="J170" s="33">
        <v>45646846</v>
      </c>
      <c r="K170" s="33" t="s">
        <v>2192</v>
      </c>
      <c r="L170" s="27" t="s">
        <v>2407</v>
      </c>
      <c r="M170" s="18">
        <v>149900</v>
      </c>
      <c r="N170" s="37" t="str">
        <f t="shared" si="27"/>
        <v>BXGY</v>
      </c>
      <c r="O170" s="34" t="str">
        <f t="shared" ref="O170:O216" si="29">O169</f>
        <v>B1G2</v>
      </c>
      <c r="P170" s="33" t="str">
        <f t="shared" si="28"/>
        <v>BXGY</v>
      </c>
    </row>
    <row r="171" spans="1:16" s="6" customFormat="1" x14ac:dyDescent="0.25">
      <c r="A171" s="33" t="str">
        <f t="shared" si="18"/>
        <v>2024 NOV-DEC B1G2</v>
      </c>
      <c r="B171" s="8">
        <f t="shared" si="19"/>
        <v>46099</v>
      </c>
      <c r="C171" s="8">
        <f t="shared" si="20"/>
        <v>46113</v>
      </c>
      <c r="D171" s="33">
        <v>3272</v>
      </c>
      <c r="E171" s="33">
        <v>336</v>
      </c>
      <c r="F171" s="33">
        <v>4</v>
      </c>
      <c r="G171" s="33">
        <v>1</v>
      </c>
      <c r="H171" s="33">
        <v>81588</v>
      </c>
      <c r="I171" s="33" t="s">
        <v>104</v>
      </c>
      <c r="J171" s="33">
        <v>45646855</v>
      </c>
      <c r="K171" s="33" t="s">
        <v>2192</v>
      </c>
      <c r="L171" s="27" t="s">
        <v>2408</v>
      </c>
      <c r="M171" s="18">
        <v>149900</v>
      </c>
      <c r="N171" s="37" t="str">
        <f t="shared" si="27"/>
        <v>BXGY</v>
      </c>
      <c r="O171" s="34" t="str">
        <f t="shared" si="29"/>
        <v>B1G2</v>
      </c>
      <c r="P171" s="33" t="str">
        <f t="shared" si="28"/>
        <v>BXGY</v>
      </c>
    </row>
    <row r="172" spans="1:16" s="6" customFormat="1" x14ac:dyDescent="0.25">
      <c r="A172" s="33" t="str">
        <f t="shared" si="18"/>
        <v>2024 NOV-DEC B1G2</v>
      </c>
      <c r="B172" s="8">
        <f t="shared" si="19"/>
        <v>46099</v>
      </c>
      <c r="C172" s="8">
        <f t="shared" si="20"/>
        <v>46113</v>
      </c>
      <c r="D172" s="33">
        <v>3272</v>
      </c>
      <c r="E172" s="33">
        <v>336</v>
      </c>
      <c r="F172" s="33">
        <v>4</v>
      </c>
      <c r="G172" s="33">
        <v>1</v>
      </c>
      <c r="H172" s="33">
        <v>81588</v>
      </c>
      <c r="I172" s="33" t="s">
        <v>104</v>
      </c>
      <c r="J172" s="33">
        <v>45646864</v>
      </c>
      <c r="K172" s="33" t="s">
        <v>2192</v>
      </c>
      <c r="L172" s="27" t="s">
        <v>2409</v>
      </c>
      <c r="M172" s="18">
        <v>149900</v>
      </c>
      <c r="N172" s="37" t="str">
        <f t="shared" si="27"/>
        <v>BXGY</v>
      </c>
      <c r="O172" s="34" t="str">
        <f t="shared" si="29"/>
        <v>B1G2</v>
      </c>
      <c r="P172" s="33" t="str">
        <f t="shared" si="28"/>
        <v>BXGY</v>
      </c>
    </row>
    <row r="173" spans="1:16" s="6" customFormat="1" x14ac:dyDescent="0.25">
      <c r="A173" s="33" t="str">
        <f t="shared" si="18"/>
        <v>2024 NOV-DEC B1G2</v>
      </c>
      <c r="B173" s="8">
        <f t="shared" si="19"/>
        <v>46099</v>
      </c>
      <c r="C173" s="8">
        <f t="shared" si="20"/>
        <v>46113</v>
      </c>
      <c r="D173" s="33">
        <v>3272</v>
      </c>
      <c r="E173" s="33">
        <v>336</v>
      </c>
      <c r="F173" s="33">
        <v>4</v>
      </c>
      <c r="G173" s="33">
        <v>1</v>
      </c>
      <c r="H173" s="33">
        <v>81588</v>
      </c>
      <c r="I173" s="33" t="s">
        <v>104</v>
      </c>
      <c r="J173" s="33">
        <v>45646873</v>
      </c>
      <c r="K173" s="33" t="s">
        <v>2192</v>
      </c>
      <c r="L173" s="27" t="s">
        <v>2410</v>
      </c>
      <c r="M173" s="18">
        <v>149900</v>
      </c>
      <c r="N173" s="37" t="str">
        <f t="shared" si="27"/>
        <v>BXGY</v>
      </c>
      <c r="O173" s="34" t="str">
        <f t="shared" si="29"/>
        <v>B1G2</v>
      </c>
      <c r="P173" s="33" t="str">
        <f t="shared" si="28"/>
        <v>BXGY</v>
      </c>
    </row>
    <row r="174" spans="1:16" s="6" customFormat="1" x14ac:dyDescent="0.25">
      <c r="A174" s="33" t="str">
        <f t="shared" si="18"/>
        <v>2024 NOV-DEC B1G2</v>
      </c>
      <c r="B174" s="8">
        <f t="shared" si="19"/>
        <v>46099</v>
      </c>
      <c r="C174" s="8">
        <f t="shared" si="20"/>
        <v>46113</v>
      </c>
      <c r="D174" s="33">
        <v>3272</v>
      </c>
      <c r="E174" s="33">
        <v>336</v>
      </c>
      <c r="F174" s="33">
        <v>4</v>
      </c>
      <c r="G174" s="33">
        <v>1</v>
      </c>
      <c r="H174" s="33">
        <v>81588</v>
      </c>
      <c r="I174" s="33" t="s">
        <v>104</v>
      </c>
      <c r="J174" s="33">
        <v>45646882</v>
      </c>
      <c r="K174" s="33" t="s">
        <v>2192</v>
      </c>
      <c r="L174" s="27" t="s">
        <v>2411</v>
      </c>
      <c r="M174" s="18">
        <v>149900</v>
      </c>
      <c r="N174" s="37" t="str">
        <f t="shared" si="27"/>
        <v>BXGY</v>
      </c>
      <c r="O174" s="34" t="str">
        <f t="shared" si="29"/>
        <v>B1G2</v>
      </c>
      <c r="P174" s="33" t="str">
        <f t="shared" si="28"/>
        <v>BXGY</v>
      </c>
    </row>
    <row r="175" spans="1:16" s="6" customFormat="1" x14ac:dyDescent="0.25">
      <c r="A175" s="33" t="str">
        <f t="shared" si="18"/>
        <v>2024 NOV-DEC B1G2</v>
      </c>
      <c r="B175" s="8">
        <f t="shared" si="19"/>
        <v>46099</v>
      </c>
      <c r="C175" s="8">
        <f t="shared" si="20"/>
        <v>46113</v>
      </c>
      <c r="D175" s="33">
        <v>3272</v>
      </c>
      <c r="E175" s="33">
        <v>336</v>
      </c>
      <c r="F175" s="33">
        <v>4</v>
      </c>
      <c r="G175" s="33">
        <v>1</v>
      </c>
      <c r="H175" s="33">
        <v>81588</v>
      </c>
      <c r="I175" s="33" t="s">
        <v>104</v>
      </c>
      <c r="J175" s="33">
        <v>45646891</v>
      </c>
      <c r="K175" s="33" t="s">
        <v>2192</v>
      </c>
      <c r="L175" s="27" t="s">
        <v>2412</v>
      </c>
      <c r="M175" s="18">
        <v>149900</v>
      </c>
      <c r="N175" s="37" t="str">
        <f t="shared" si="27"/>
        <v>BXGY</v>
      </c>
      <c r="O175" s="34" t="str">
        <f t="shared" si="29"/>
        <v>B1G2</v>
      </c>
      <c r="P175" s="33" t="str">
        <f t="shared" si="28"/>
        <v>BXGY</v>
      </c>
    </row>
    <row r="176" spans="1:16" s="6" customFormat="1" x14ac:dyDescent="0.25">
      <c r="A176" s="33" t="str">
        <f t="shared" si="18"/>
        <v>2024 NOV-DEC B1G2</v>
      </c>
      <c r="B176" s="8">
        <f t="shared" si="19"/>
        <v>46099</v>
      </c>
      <c r="C176" s="8">
        <f t="shared" si="20"/>
        <v>46113</v>
      </c>
      <c r="D176" s="33">
        <v>3272</v>
      </c>
      <c r="E176" s="33">
        <v>336</v>
      </c>
      <c r="F176" s="33">
        <v>4</v>
      </c>
      <c r="G176" s="33">
        <v>1</v>
      </c>
      <c r="H176" s="33">
        <v>81588</v>
      </c>
      <c r="I176" s="33" t="s">
        <v>104</v>
      </c>
      <c r="J176" s="33">
        <v>45646908</v>
      </c>
      <c r="K176" s="33" t="s">
        <v>2376</v>
      </c>
      <c r="L176" s="27" t="s">
        <v>2377</v>
      </c>
      <c r="M176" s="18">
        <v>139900</v>
      </c>
      <c r="N176" s="37" t="str">
        <f t="shared" si="27"/>
        <v>BXGY</v>
      </c>
      <c r="O176" s="34" t="str">
        <f t="shared" si="29"/>
        <v>B1G2</v>
      </c>
      <c r="P176" s="33" t="str">
        <f t="shared" si="28"/>
        <v>BXGY</v>
      </c>
    </row>
    <row r="177" spans="1:16" s="6" customFormat="1" x14ac:dyDescent="0.25">
      <c r="A177" s="33" t="str">
        <f t="shared" si="18"/>
        <v>2024 NOV-DEC B1G2</v>
      </c>
      <c r="B177" s="8">
        <f t="shared" si="19"/>
        <v>46099</v>
      </c>
      <c r="C177" s="8">
        <f t="shared" si="20"/>
        <v>46113</v>
      </c>
      <c r="D177" s="33">
        <v>3272</v>
      </c>
      <c r="E177" s="33">
        <v>336</v>
      </c>
      <c r="F177" s="33">
        <v>4</v>
      </c>
      <c r="G177" s="33">
        <v>1</v>
      </c>
      <c r="H177" s="33">
        <v>81588</v>
      </c>
      <c r="I177" s="33" t="s">
        <v>104</v>
      </c>
      <c r="J177" s="33">
        <v>45646917</v>
      </c>
      <c r="K177" s="33" t="s">
        <v>2376</v>
      </c>
      <c r="L177" s="27" t="s">
        <v>2378</v>
      </c>
      <c r="M177" s="18">
        <v>139900</v>
      </c>
      <c r="N177" s="37" t="str">
        <f t="shared" si="27"/>
        <v>BXGY</v>
      </c>
      <c r="O177" s="34" t="str">
        <f t="shared" si="29"/>
        <v>B1G2</v>
      </c>
      <c r="P177" s="33" t="str">
        <f t="shared" si="28"/>
        <v>BXGY</v>
      </c>
    </row>
    <row r="178" spans="1:16" s="6" customFormat="1" x14ac:dyDescent="0.25">
      <c r="A178" s="33" t="str">
        <f t="shared" si="18"/>
        <v>2024 NOV-DEC B1G2</v>
      </c>
      <c r="B178" s="8">
        <f t="shared" si="19"/>
        <v>46099</v>
      </c>
      <c r="C178" s="8">
        <f t="shared" si="20"/>
        <v>46113</v>
      </c>
      <c r="D178" s="33">
        <v>3272</v>
      </c>
      <c r="E178" s="33">
        <v>336</v>
      </c>
      <c r="F178" s="33">
        <v>4</v>
      </c>
      <c r="G178" s="33">
        <v>1</v>
      </c>
      <c r="H178" s="33">
        <v>81588</v>
      </c>
      <c r="I178" s="33" t="s">
        <v>104</v>
      </c>
      <c r="J178" s="33">
        <v>45646926</v>
      </c>
      <c r="K178" s="33" t="s">
        <v>2376</v>
      </c>
      <c r="L178" s="27" t="s">
        <v>2379</v>
      </c>
      <c r="M178" s="18">
        <v>139900</v>
      </c>
      <c r="N178" s="37" t="str">
        <f t="shared" si="27"/>
        <v>BXGY</v>
      </c>
      <c r="O178" s="34" t="str">
        <f t="shared" si="29"/>
        <v>B1G2</v>
      </c>
      <c r="P178" s="33" t="str">
        <f t="shared" si="28"/>
        <v>BXGY</v>
      </c>
    </row>
    <row r="179" spans="1:16" s="6" customFormat="1" x14ac:dyDescent="0.25">
      <c r="A179" s="33" t="str">
        <f t="shared" si="18"/>
        <v>2024 NOV-DEC B1G2</v>
      </c>
      <c r="B179" s="8">
        <f t="shared" si="19"/>
        <v>46099</v>
      </c>
      <c r="C179" s="8">
        <f t="shared" si="20"/>
        <v>46113</v>
      </c>
      <c r="D179" s="33">
        <v>3272</v>
      </c>
      <c r="E179" s="33">
        <v>336</v>
      </c>
      <c r="F179" s="33">
        <v>4</v>
      </c>
      <c r="G179" s="33">
        <v>1</v>
      </c>
      <c r="H179" s="33">
        <v>81588</v>
      </c>
      <c r="I179" s="33" t="s">
        <v>104</v>
      </c>
      <c r="J179" s="33">
        <v>45646935</v>
      </c>
      <c r="K179" s="33" t="s">
        <v>2376</v>
      </c>
      <c r="L179" s="27" t="s">
        <v>2380</v>
      </c>
      <c r="M179" s="18">
        <v>139900</v>
      </c>
      <c r="N179" s="37" t="str">
        <f t="shared" si="27"/>
        <v>BXGY</v>
      </c>
      <c r="O179" s="34" t="str">
        <f t="shared" si="29"/>
        <v>B1G2</v>
      </c>
      <c r="P179" s="33" t="str">
        <f t="shared" si="28"/>
        <v>BXGY</v>
      </c>
    </row>
    <row r="180" spans="1:16" s="6" customFormat="1" x14ac:dyDescent="0.25">
      <c r="A180" s="33" t="str">
        <f t="shared" si="18"/>
        <v>2024 NOV-DEC B1G2</v>
      </c>
      <c r="B180" s="8">
        <f t="shared" si="19"/>
        <v>46099</v>
      </c>
      <c r="C180" s="8">
        <f t="shared" si="20"/>
        <v>46113</v>
      </c>
      <c r="D180" s="33">
        <v>3272</v>
      </c>
      <c r="E180" s="33">
        <v>336</v>
      </c>
      <c r="F180" s="33">
        <v>4</v>
      </c>
      <c r="G180" s="33">
        <v>1</v>
      </c>
      <c r="H180" s="33">
        <v>81588</v>
      </c>
      <c r="I180" s="33" t="s">
        <v>104</v>
      </c>
      <c r="J180" s="33">
        <v>45646944</v>
      </c>
      <c r="K180" s="33" t="s">
        <v>2376</v>
      </c>
      <c r="L180" s="27" t="s">
        <v>2381</v>
      </c>
      <c r="M180" s="18">
        <v>139900</v>
      </c>
      <c r="N180" s="37" t="str">
        <f t="shared" si="27"/>
        <v>BXGY</v>
      </c>
      <c r="O180" s="34" t="str">
        <f t="shared" si="29"/>
        <v>B1G2</v>
      </c>
      <c r="P180" s="33" t="str">
        <f t="shared" si="28"/>
        <v>BXGY</v>
      </c>
    </row>
    <row r="181" spans="1:16" s="6" customFormat="1" x14ac:dyDescent="0.25">
      <c r="A181" s="33" t="str">
        <f t="shared" si="18"/>
        <v>2024 NOV-DEC B1G2</v>
      </c>
      <c r="B181" s="8">
        <f t="shared" si="19"/>
        <v>46099</v>
      </c>
      <c r="C181" s="8">
        <f t="shared" si="20"/>
        <v>46113</v>
      </c>
      <c r="D181" s="33">
        <v>3272</v>
      </c>
      <c r="E181" s="33">
        <v>336</v>
      </c>
      <c r="F181" s="33">
        <v>4</v>
      </c>
      <c r="G181" s="33">
        <v>1</v>
      </c>
      <c r="H181" s="33">
        <v>81588</v>
      </c>
      <c r="I181" s="33" t="s">
        <v>104</v>
      </c>
      <c r="J181" s="33">
        <v>45646953</v>
      </c>
      <c r="K181" s="33" t="s">
        <v>2376</v>
      </c>
      <c r="L181" s="27" t="s">
        <v>2382</v>
      </c>
      <c r="M181" s="18">
        <v>139900</v>
      </c>
      <c r="N181" s="37" t="str">
        <f t="shared" si="27"/>
        <v>BXGY</v>
      </c>
      <c r="O181" s="34" t="str">
        <f t="shared" si="29"/>
        <v>B1G2</v>
      </c>
      <c r="P181" s="33" t="str">
        <f t="shared" si="28"/>
        <v>BXGY</v>
      </c>
    </row>
    <row r="182" spans="1:16" s="6" customFormat="1" x14ac:dyDescent="0.25">
      <c r="A182" s="33" t="str">
        <f t="shared" si="18"/>
        <v>2024 NOV-DEC B1G2</v>
      </c>
      <c r="B182" s="8">
        <f t="shared" si="19"/>
        <v>46099</v>
      </c>
      <c r="C182" s="8">
        <f t="shared" si="20"/>
        <v>46113</v>
      </c>
      <c r="D182" s="33">
        <v>3272</v>
      </c>
      <c r="E182" s="33">
        <v>336</v>
      </c>
      <c r="F182" s="33">
        <v>4</v>
      </c>
      <c r="G182" s="33">
        <v>1</v>
      </c>
      <c r="H182" s="33">
        <v>81588</v>
      </c>
      <c r="I182" s="33" t="s">
        <v>104</v>
      </c>
      <c r="J182" s="33">
        <v>45646962</v>
      </c>
      <c r="K182" s="33" t="s">
        <v>2376</v>
      </c>
      <c r="L182" s="27" t="s">
        <v>2383</v>
      </c>
      <c r="M182" s="18">
        <v>139900</v>
      </c>
      <c r="N182" s="37" t="str">
        <f t="shared" si="27"/>
        <v>BXGY</v>
      </c>
      <c r="O182" s="34" t="str">
        <f t="shared" si="29"/>
        <v>B1G2</v>
      </c>
      <c r="P182" s="33" t="str">
        <f t="shared" si="28"/>
        <v>BXGY</v>
      </c>
    </row>
    <row r="183" spans="1:16" s="6" customFormat="1" x14ac:dyDescent="0.25">
      <c r="A183" s="33" t="str">
        <f t="shared" si="18"/>
        <v>2024 NOV-DEC B1G2</v>
      </c>
      <c r="B183" s="8">
        <f t="shared" si="19"/>
        <v>46099</v>
      </c>
      <c r="C183" s="8">
        <f t="shared" si="20"/>
        <v>46113</v>
      </c>
      <c r="D183" s="33">
        <v>3272</v>
      </c>
      <c r="E183" s="33">
        <v>336</v>
      </c>
      <c r="F183" s="33">
        <v>4</v>
      </c>
      <c r="G183" s="33">
        <v>1</v>
      </c>
      <c r="H183" s="33">
        <v>81588</v>
      </c>
      <c r="I183" s="33" t="s">
        <v>104</v>
      </c>
      <c r="J183" s="33">
        <v>45646971</v>
      </c>
      <c r="K183" s="33" t="s">
        <v>2376</v>
      </c>
      <c r="L183" s="27" t="s">
        <v>2384</v>
      </c>
      <c r="M183" s="18">
        <v>139900</v>
      </c>
      <c r="N183" s="37" t="str">
        <f t="shared" si="27"/>
        <v>BXGY</v>
      </c>
      <c r="O183" s="34" t="str">
        <f t="shared" si="29"/>
        <v>B1G2</v>
      </c>
      <c r="P183" s="33" t="str">
        <f t="shared" si="28"/>
        <v>BXGY</v>
      </c>
    </row>
    <row r="184" spans="1:16" s="6" customFormat="1" x14ac:dyDescent="0.25">
      <c r="A184" s="33" t="str">
        <f t="shared" si="18"/>
        <v>2024 NOV-DEC B1G2</v>
      </c>
      <c r="B184" s="8">
        <f t="shared" si="19"/>
        <v>46099</v>
      </c>
      <c r="C184" s="8">
        <f t="shared" si="20"/>
        <v>46113</v>
      </c>
      <c r="D184" s="33">
        <v>3272</v>
      </c>
      <c r="E184" s="33">
        <v>336</v>
      </c>
      <c r="F184" s="33">
        <v>4</v>
      </c>
      <c r="G184" s="33">
        <v>1</v>
      </c>
      <c r="H184" s="33">
        <v>81588</v>
      </c>
      <c r="I184" s="33" t="s">
        <v>104</v>
      </c>
      <c r="J184" s="33">
        <v>45646980</v>
      </c>
      <c r="K184" s="33" t="s">
        <v>2385</v>
      </c>
      <c r="L184" s="27" t="s">
        <v>2386</v>
      </c>
      <c r="M184" s="18">
        <v>149900</v>
      </c>
      <c r="N184" s="37" t="str">
        <f t="shared" si="27"/>
        <v>BXGY</v>
      </c>
      <c r="O184" s="34" t="str">
        <f t="shared" si="29"/>
        <v>B1G2</v>
      </c>
      <c r="P184" s="33" t="str">
        <f t="shared" si="28"/>
        <v>BXGY</v>
      </c>
    </row>
    <row r="185" spans="1:16" s="6" customFormat="1" x14ac:dyDescent="0.25">
      <c r="A185" s="33" t="str">
        <f t="shared" si="18"/>
        <v>2024 NOV-DEC B1G2</v>
      </c>
      <c r="B185" s="8">
        <f t="shared" si="19"/>
        <v>46099</v>
      </c>
      <c r="C185" s="8">
        <f t="shared" si="20"/>
        <v>46113</v>
      </c>
      <c r="D185" s="33">
        <v>3272</v>
      </c>
      <c r="E185" s="33">
        <v>336</v>
      </c>
      <c r="F185" s="33">
        <v>4</v>
      </c>
      <c r="G185" s="33">
        <v>1</v>
      </c>
      <c r="H185" s="33">
        <v>81588</v>
      </c>
      <c r="I185" s="33" t="s">
        <v>104</v>
      </c>
      <c r="J185" s="33">
        <v>45646999</v>
      </c>
      <c r="K185" s="33" t="s">
        <v>2385</v>
      </c>
      <c r="L185" s="27" t="s">
        <v>2387</v>
      </c>
      <c r="M185" s="18">
        <v>149900</v>
      </c>
      <c r="N185" s="37" t="str">
        <f t="shared" si="27"/>
        <v>BXGY</v>
      </c>
      <c r="O185" s="34" t="str">
        <f t="shared" si="29"/>
        <v>B1G2</v>
      </c>
      <c r="P185" s="33" t="str">
        <f t="shared" si="28"/>
        <v>BXGY</v>
      </c>
    </row>
    <row r="186" spans="1:16" s="6" customFormat="1" x14ac:dyDescent="0.25">
      <c r="A186" s="33" t="str">
        <f t="shared" si="18"/>
        <v>2024 NOV-DEC B1G2</v>
      </c>
      <c r="B186" s="8">
        <f t="shared" si="19"/>
        <v>46099</v>
      </c>
      <c r="C186" s="8">
        <f t="shared" si="20"/>
        <v>46113</v>
      </c>
      <c r="D186" s="33">
        <v>3272</v>
      </c>
      <c r="E186" s="33">
        <v>336</v>
      </c>
      <c r="F186" s="33">
        <v>4</v>
      </c>
      <c r="G186" s="33">
        <v>1</v>
      </c>
      <c r="H186" s="33">
        <v>81588</v>
      </c>
      <c r="I186" s="33" t="s">
        <v>104</v>
      </c>
      <c r="J186" s="33">
        <v>45647005</v>
      </c>
      <c r="K186" s="33" t="s">
        <v>2385</v>
      </c>
      <c r="L186" s="27" t="s">
        <v>2388</v>
      </c>
      <c r="M186" s="18">
        <v>149900</v>
      </c>
      <c r="N186" s="37" t="str">
        <f t="shared" si="27"/>
        <v>BXGY</v>
      </c>
      <c r="O186" s="34" t="str">
        <f t="shared" si="29"/>
        <v>B1G2</v>
      </c>
      <c r="P186" s="33" t="str">
        <f t="shared" si="28"/>
        <v>BXGY</v>
      </c>
    </row>
    <row r="187" spans="1:16" s="6" customFormat="1" x14ac:dyDescent="0.25">
      <c r="A187" s="33" t="str">
        <f t="shared" si="18"/>
        <v>2024 NOV-DEC B1G2</v>
      </c>
      <c r="B187" s="8">
        <f t="shared" si="19"/>
        <v>46099</v>
      </c>
      <c r="C187" s="8">
        <f t="shared" si="20"/>
        <v>46113</v>
      </c>
      <c r="D187" s="33">
        <v>3272</v>
      </c>
      <c r="E187" s="33">
        <v>336</v>
      </c>
      <c r="F187" s="33">
        <v>4</v>
      </c>
      <c r="G187" s="33">
        <v>1</v>
      </c>
      <c r="H187" s="33">
        <v>81588</v>
      </c>
      <c r="I187" s="33" t="s">
        <v>104</v>
      </c>
      <c r="J187" s="33">
        <v>45647014</v>
      </c>
      <c r="K187" s="33" t="s">
        <v>2385</v>
      </c>
      <c r="L187" s="27" t="s">
        <v>2389</v>
      </c>
      <c r="M187" s="18">
        <v>149900</v>
      </c>
      <c r="N187" s="37" t="str">
        <f t="shared" si="27"/>
        <v>BXGY</v>
      </c>
      <c r="O187" s="34" t="str">
        <f t="shared" si="29"/>
        <v>B1G2</v>
      </c>
      <c r="P187" s="33" t="str">
        <f t="shared" si="28"/>
        <v>BXGY</v>
      </c>
    </row>
    <row r="188" spans="1:16" s="6" customFormat="1" x14ac:dyDescent="0.25">
      <c r="A188" s="33" t="str">
        <f t="shared" si="18"/>
        <v>2024 NOV-DEC B1G2</v>
      </c>
      <c r="B188" s="8">
        <f t="shared" si="19"/>
        <v>46099</v>
      </c>
      <c r="C188" s="8">
        <f t="shared" si="20"/>
        <v>46113</v>
      </c>
      <c r="D188" s="33">
        <v>3272</v>
      </c>
      <c r="E188" s="33">
        <v>336</v>
      </c>
      <c r="F188" s="33">
        <v>4</v>
      </c>
      <c r="G188" s="33">
        <v>1</v>
      </c>
      <c r="H188" s="33">
        <v>81588</v>
      </c>
      <c r="I188" s="33" t="s">
        <v>104</v>
      </c>
      <c r="J188" s="33">
        <v>45647023</v>
      </c>
      <c r="K188" s="33" t="s">
        <v>2385</v>
      </c>
      <c r="L188" s="27" t="s">
        <v>2390</v>
      </c>
      <c r="M188" s="18">
        <v>149900</v>
      </c>
      <c r="N188" s="37" t="str">
        <f t="shared" si="27"/>
        <v>BXGY</v>
      </c>
      <c r="O188" s="34" t="str">
        <f t="shared" si="29"/>
        <v>B1G2</v>
      </c>
      <c r="P188" s="33" t="str">
        <f t="shared" si="28"/>
        <v>BXGY</v>
      </c>
    </row>
    <row r="189" spans="1:16" s="6" customFormat="1" x14ac:dyDescent="0.25">
      <c r="A189" s="33" t="str">
        <f t="shared" si="18"/>
        <v>2024 NOV-DEC B1G2</v>
      </c>
      <c r="B189" s="8">
        <f t="shared" si="19"/>
        <v>46099</v>
      </c>
      <c r="C189" s="8">
        <f t="shared" si="20"/>
        <v>46113</v>
      </c>
      <c r="D189" s="33">
        <v>3272</v>
      </c>
      <c r="E189" s="33">
        <v>336</v>
      </c>
      <c r="F189" s="33">
        <v>4</v>
      </c>
      <c r="G189" s="33">
        <v>1</v>
      </c>
      <c r="H189" s="33">
        <v>81588</v>
      </c>
      <c r="I189" s="33" t="s">
        <v>104</v>
      </c>
      <c r="J189" s="33">
        <v>45647032</v>
      </c>
      <c r="K189" s="33" t="s">
        <v>2385</v>
      </c>
      <c r="L189" s="27" t="s">
        <v>2391</v>
      </c>
      <c r="M189" s="18">
        <v>149900</v>
      </c>
      <c r="N189" s="37" t="str">
        <f t="shared" si="27"/>
        <v>BXGY</v>
      </c>
      <c r="O189" s="34" t="str">
        <f t="shared" si="29"/>
        <v>B1G2</v>
      </c>
      <c r="P189" s="33" t="str">
        <f t="shared" si="28"/>
        <v>BXGY</v>
      </c>
    </row>
    <row r="190" spans="1:16" s="6" customFormat="1" x14ac:dyDescent="0.25">
      <c r="A190" s="33" t="str">
        <f t="shared" si="18"/>
        <v>2024 NOV-DEC B1G2</v>
      </c>
      <c r="B190" s="8">
        <f t="shared" si="19"/>
        <v>46099</v>
      </c>
      <c r="C190" s="8">
        <f t="shared" si="20"/>
        <v>46113</v>
      </c>
      <c r="D190" s="33">
        <v>3272</v>
      </c>
      <c r="E190" s="33">
        <v>336</v>
      </c>
      <c r="F190" s="33">
        <v>4</v>
      </c>
      <c r="G190" s="33">
        <v>1</v>
      </c>
      <c r="H190" s="33">
        <v>81588</v>
      </c>
      <c r="I190" s="33" t="s">
        <v>104</v>
      </c>
      <c r="J190" s="33">
        <v>45647041</v>
      </c>
      <c r="K190" s="33" t="s">
        <v>2385</v>
      </c>
      <c r="L190" s="27" t="s">
        <v>2392</v>
      </c>
      <c r="M190" s="18">
        <v>149900</v>
      </c>
      <c r="N190" s="37" t="str">
        <f t="shared" si="27"/>
        <v>BXGY</v>
      </c>
      <c r="O190" s="34" t="str">
        <f t="shared" si="29"/>
        <v>B1G2</v>
      </c>
      <c r="P190" s="33" t="str">
        <f t="shared" si="28"/>
        <v>BXGY</v>
      </c>
    </row>
    <row r="191" spans="1:16" s="6" customFormat="1" x14ac:dyDescent="0.25">
      <c r="A191" s="33" t="str">
        <f t="shared" si="18"/>
        <v>2024 NOV-DEC B1G2</v>
      </c>
      <c r="B191" s="8">
        <f t="shared" si="19"/>
        <v>46099</v>
      </c>
      <c r="C191" s="8">
        <f t="shared" si="20"/>
        <v>46113</v>
      </c>
      <c r="D191" s="33">
        <v>3272</v>
      </c>
      <c r="E191" s="33">
        <v>336</v>
      </c>
      <c r="F191" s="33">
        <v>4</v>
      </c>
      <c r="G191" s="33">
        <v>1</v>
      </c>
      <c r="H191" s="33">
        <v>81588</v>
      </c>
      <c r="I191" s="33" t="s">
        <v>104</v>
      </c>
      <c r="J191" s="33">
        <v>45647050</v>
      </c>
      <c r="K191" s="33" t="s">
        <v>2385</v>
      </c>
      <c r="L191" s="27" t="s">
        <v>2393</v>
      </c>
      <c r="M191" s="18">
        <v>149900</v>
      </c>
      <c r="N191" s="37" t="str">
        <f t="shared" si="27"/>
        <v>BXGY</v>
      </c>
      <c r="O191" s="34" t="str">
        <f t="shared" si="29"/>
        <v>B1G2</v>
      </c>
      <c r="P191" s="33" t="str">
        <f t="shared" si="28"/>
        <v>BXGY</v>
      </c>
    </row>
    <row r="192" spans="1:16" s="6" customFormat="1" x14ac:dyDescent="0.25">
      <c r="A192" s="33" t="str">
        <f t="shared" si="18"/>
        <v>2024 NOV-DEC B1G2</v>
      </c>
      <c r="B192" s="8">
        <f t="shared" si="19"/>
        <v>46099</v>
      </c>
      <c r="C192" s="8">
        <f t="shared" si="20"/>
        <v>46113</v>
      </c>
      <c r="D192" s="33">
        <v>3272</v>
      </c>
      <c r="E192" s="33">
        <v>336</v>
      </c>
      <c r="F192" s="33">
        <v>4</v>
      </c>
      <c r="G192" s="33">
        <v>1</v>
      </c>
      <c r="H192" s="33">
        <v>81676</v>
      </c>
      <c r="I192" s="33" t="s">
        <v>104</v>
      </c>
      <c r="J192" s="33">
        <v>45647783</v>
      </c>
      <c r="K192" s="33" t="s">
        <v>2425</v>
      </c>
      <c r="L192" s="27" t="s">
        <v>2426</v>
      </c>
      <c r="M192" s="18">
        <v>139900</v>
      </c>
      <c r="N192" s="37" t="str">
        <f t="shared" si="27"/>
        <v>BXGY</v>
      </c>
      <c r="O192" s="34" t="str">
        <f t="shared" si="29"/>
        <v>B1G2</v>
      </c>
      <c r="P192" s="33" t="str">
        <f t="shared" si="28"/>
        <v>BXGY</v>
      </c>
    </row>
    <row r="193" spans="1:16" s="6" customFormat="1" x14ac:dyDescent="0.25">
      <c r="A193" s="33" t="str">
        <f t="shared" si="18"/>
        <v>2024 NOV-DEC B1G2</v>
      </c>
      <c r="B193" s="8">
        <f t="shared" si="19"/>
        <v>46099</v>
      </c>
      <c r="C193" s="8">
        <f t="shared" si="20"/>
        <v>46113</v>
      </c>
      <c r="D193" s="33">
        <v>3272</v>
      </c>
      <c r="E193" s="33">
        <v>336</v>
      </c>
      <c r="F193" s="33">
        <v>4</v>
      </c>
      <c r="G193" s="33">
        <v>1</v>
      </c>
      <c r="H193" s="33">
        <v>81676</v>
      </c>
      <c r="I193" s="33" t="s">
        <v>104</v>
      </c>
      <c r="J193" s="33">
        <v>45647792</v>
      </c>
      <c r="K193" s="33" t="s">
        <v>2425</v>
      </c>
      <c r="L193" s="27" t="s">
        <v>2427</v>
      </c>
      <c r="M193" s="18">
        <v>139900</v>
      </c>
      <c r="N193" s="37" t="str">
        <f t="shared" si="27"/>
        <v>BXGY</v>
      </c>
      <c r="O193" s="34" t="str">
        <f t="shared" si="29"/>
        <v>B1G2</v>
      </c>
      <c r="P193" s="33" t="str">
        <f t="shared" si="28"/>
        <v>BXGY</v>
      </c>
    </row>
    <row r="194" spans="1:16" s="6" customFormat="1" x14ac:dyDescent="0.25">
      <c r="A194" s="33" t="str">
        <f t="shared" si="18"/>
        <v>2024 NOV-DEC B1G2</v>
      </c>
      <c r="B194" s="8">
        <f t="shared" si="19"/>
        <v>46099</v>
      </c>
      <c r="C194" s="8">
        <f t="shared" si="20"/>
        <v>46113</v>
      </c>
      <c r="D194" s="33">
        <v>3272</v>
      </c>
      <c r="E194" s="33">
        <v>336</v>
      </c>
      <c r="F194" s="33">
        <v>4</v>
      </c>
      <c r="G194" s="33">
        <v>1</v>
      </c>
      <c r="H194" s="33">
        <v>81676</v>
      </c>
      <c r="I194" s="33" t="s">
        <v>104</v>
      </c>
      <c r="J194" s="33">
        <v>45647809</v>
      </c>
      <c r="K194" s="33" t="s">
        <v>2425</v>
      </c>
      <c r="L194" s="27" t="s">
        <v>2428</v>
      </c>
      <c r="M194" s="18">
        <v>139900</v>
      </c>
      <c r="N194" s="37" t="str">
        <f t="shared" si="27"/>
        <v>BXGY</v>
      </c>
      <c r="O194" s="34" t="str">
        <f t="shared" si="29"/>
        <v>B1G2</v>
      </c>
      <c r="P194" s="33" t="str">
        <f t="shared" si="28"/>
        <v>BXGY</v>
      </c>
    </row>
    <row r="195" spans="1:16" s="6" customFormat="1" x14ac:dyDescent="0.25">
      <c r="A195" s="33" t="str">
        <f t="shared" ref="A195:A216" si="30">A194</f>
        <v>2024 NOV-DEC B1G2</v>
      </c>
      <c r="B195" s="8">
        <f t="shared" ref="B195:B216" si="31">B194</f>
        <v>46099</v>
      </c>
      <c r="C195" s="8">
        <f t="shared" ref="C195:C216" si="32">C194</f>
        <v>46113</v>
      </c>
      <c r="D195" s="33">
        <v>3272</v>
      </c>
      <c r="E195" s="33">
        <v>336</v>
      </c>
      <c r="F195" s="33">
        <v>4</v>
      </c>
      <c r="G195" s="33">
        <v>1</v>
      </c>
      <c r="H195" s="33">
        <v>81676</v>
      </c>
      <c r="I195" s="33" t="s">
        <v>104</v>
      </c>
      <c r="J195" s="33">
        <v>45647818</v>
      </c>
      <c r="K195" s="33" t="s">
        <v>2425</v>
      </c>
      <c r="L195" s="27" t="s">
        <v>2429</v>
      </c>
      <c r="M195" s="18">
        <v>139900</v>
      </c>
      <c r="N195" s="37" t="str">
        <f t="shared" si="27"/>
        <v>BXGY</v>
      </c>
      <c r="O195" s="34" t="str">
        <f t="shared" si="29"/>
        <v>B1G2</v>
      </c>
      <c r="P195" s="33" t="str">
        <f t="shared" si="28"/>
        <v>BXGY</v>
      </c>
    </row>
    <row r="196" spans="1:16" s="6" customFormat="1" x14ac:dyDescent="0.25">
      <c r="A196" s="33" t="str">
        <f t="shared" si="30"/>
        <v>2024 NOV-DEC B1G2</v>
      </c>
      <c r="B196" s="8">
        <f t="shared" si="31"/>
        <v>46099</v>
      </c>
      <c r="C196" s="8">
        <f t="shared" si="32"/>
        <v>46113</v>
      </c>
      <c r="D196" s="33">
        <v>3272</v>
      </c>
      <c r="E196" s="33">
        <v>336</v>
      </c>
      <c r="F196" s="33">
        <v>4</v>
      </c>
      <c r="G196" s="33">
        <v>1</v>
      </c>
      <c r="H196" s="33">
        <v>81676</v>
      </c>
      <c r="I196" s="33" t="s">
        <v>104</v>
      </c>
      <c r="J196" s="33">
        <v>45647827</v>
      </c>
      <c r="K196" s="33" t="s">
        <v>2425</v>
      </c>
      <c r="L196" s="27" t="s">
        <v>2430</v>
      </c>
      <c r="M196" s="18">
        <v>139900</v>
      </c>
      <c r="N196" s="37" t="str">
        <f t="shared" si="27"/>
        <v>BXGY</v>
      </c>
      <c r="O196" s="34" t="str">
        <f t="shared" si="29"/>
        <v>B1G2</v>
      </c>
      <c r="P196" s="33" t="str">
        <f t="shared" si="28"/>
        <v>BXGY</v>
      </c>
    </row>
    <row r="197" spans="1:16" s="6" customFormat="1" x14ac:dyDescent="0.25">
      <c r="A197" s="33" t="str">
        <f t="shared" si="30"/>
        <v>2024 NOV-DEC B1G2</v>
      </c>
      <c r="B197" s="8">
        <f t="shared" si="31"/>
        <v>46099</v>
      </c>
      <c r="C197" s="8">
        <f t="shared" si="32"/>
        <v>46113</v>
      </c>
      <c r="D197" s="33">
        <v>3272</v>
      </c>
      <c r="E197" s="33">
        <v>336</v>
      </c>
      <c r="F197" s="33">
        <v>4</v>
      </c>
      <c r="G197" s="33">
        <v>1</v>
      </c>
      <c r="H197" s="33">
        <v>81379</v>
      </c>
      <c r="I197" s="33" t="s">
        <v>104</v>
      </c>
      <c r="J197" s="33">
        <v>50036503</v>
      </c>
      <c r="K197" s="33" t="s">
        <v>2400</v>
      </c>
      <c r="L197" s="27" t="s">
        <v>2401</v>
      </c>
      <c r="M197" s="18">
        <v>149900</v>
      </c>
      <c r="N197" s="37" t="str">
        <f t="shared" si="27"/>
        <v>BXGY</v>
      </c>
      <c r="O197" s="34" t="str">
        <f t="shared" si="29"/>
        <v>B1G2</v>
      </c>
      <c r="P197" s="33" t="str">
        <f t="shared" si="28"/>
        <v>BXGY</v>
      </c>
    </row>
    <row r="198" spans="1:16" s="6" customFormat="1" x14ac:dyDescent="0.25">
      <c r="A198" s="33" t="str">
        <f t="shared" si="30"/>
        <v>2024 NOV-DEC B1G2</v>
      </c>
      <c r="B198" s="8">
        <f t="shared" si="31"/>
        <v>46099</v>
      </c>
      <c r="C198" s="8">
        <f t="shared" si="32"/>
        <v>46113</v>
      </c>
      <c r="D198" s="33">
        <v>3272</v>
      </c>
      <c r="E198" s="33">
        <v>336</v>
      </c>
      <c r="F198" s="33">
        <v>4</v>
      </c>
      <c r="G198" s="33">
        <v>1</v>
      </c>
      <c r="H198" s="33">
        <v>81379</v>
      </c>
      <c r="I198" s="33" t="s">
        <v>104</v>
      </c>
      <c r="J198" s="33">
        <v>50036512</v>
      </c>
      <c r="K198" s="33" t="s">
        <v>2400</v>
      </c>
      <c r="L198" s="27" t="s">
        <v>2402</v>
      </c>
      <c r="M198" s="18">
        <v>149900</v>
      </c>
      <c r="N198" s="37" t="str">
        <f t="shared" si="27"/>
        <v>BXGY</v>
      </c>
      <c r="O198" s="34" t="str">
        <f t="shared" si="29"/>
        <v>B1G2</v>
      </c>
      <c r="P198" s="33" t="str">
        <f t="shared" si="28"/>
        <v>BXGY</v>
      </c>
    </row>
    <row r="199" spans="1:16" s="6" customFormat="1" x14ac:dyDescent="0.25">
      <c r="A199" s="33" t="str">
        <f t="shared" si="30"/>
        <v>2024 NOV-DEC B1G2</v>
      </c>
      <c r="B199" s="8">
        <f t="shared" si="31"/>
        <v>46099</v>
      </c>
      <c r="C199" s="8">
        <f t="shared" si="32"/>
        <v>46113</v>
      </c>
      <c r="D199" s="33">
        <v>3272</v>
      </c>
      <c r="E199" s="33">
        <v>336</v>
      </c>
      <c r="F199" s="33">
        <v>4</v>
      </c>
      <c r="G199" s="33">
        <v>1</v>
      </c>
      <c r="H199" s="33">
        <v>81379</v>
      </c>
      <c r="I199" s="33" t="s">
        <v>104</v>
      </c>
      <c r="J199" s="33">
        <v>50036521</v>
      </c>
      <c r="K199" s="33" t="s">
        <v>2400</v>
      </c>
      <c r="L199" s="27" t="s">
        <v>2403</v>
      </c>
      <c r="M199" s="18">
        <v>149900</v>
      </c>
      <c r="N199" s="37" t="str">
        <f t="shared" si="27"/>
        <v>BXGY</v>
      </c>
      <c r="O199" s="34" t="str">
        <f t="shared" si="29"/>
        <v>B1G2</v>
      </c>
      <c r="P199" s="33" t="str">
        <f t="shared" si="28"/>
        <v>BXGY</v>
      </c>
    </row>
    <row r="200" spans="1:16" s="6" customFormat="1" x14ac:dyDescent="0.25">
      <c r="A200" s="33" t="str">
        <f t="shared" si="30"/>
        <v>2024 NOV-DEC B1G2</v>
      </c>
      <c r="B200" s="8">
        <f t="shared" si="31"/>
        <v>46099</v>
      </c>
      <c r="C200" s="8">
        <f t="shared" si="32"/>
        <v>46113</v>
      </c>
      <c r="D200" s="33">
        <v>3272</v>
      </c>
      <c r="E200" s="33">
        <v>336</v>
      </c>
      <c r="F200" s="33">
        <v>4</v>
      </c>
      <c r="G200" s="33">
        <v>1</v>
      </c>
      <c r="H200" s="33">
        <v>81379</v>
      </c>
      <c r="I200" s="33" t="s">
        <v>104</v>
      </c>
      <c r="J200" s="33">
        <v>50036530</v>
      </c>
      <c r="K200" s="33" t="s">
        <v>2400</v>
      </c>
      <c r="L200" s="27" t="s">
        <v>2404</v>
      </c>
      <c r="M200" s="18">
        <v>149900</v>
      </c>
      <c r="N200" s="37" t="str">
        <f t="shared" si="27"/>
        <v>BXGY</v>
      </c>
      <c r="O200" s="34" t="str">
        <f t="shared" si="29"/>
        <v>B1G2</v>
      </c>
      <c r="P200" s="33" t="str">
        <f t="shared" si="28"/>
        <v>BXGY</v>
      </c>
    </row>
    <row r="201" spans="1:16" s="6" customFormat="1" x14ac:dyDescent="0.25">
      <c r="A201" s="33" t="str">
        <f t="shared" si="30"/>
        <v>2024 NOV-DEC B1G2</v>
      </c>
      <c r="B201" s="8">
        <f t="shared" si="31"/>
        <v>46099</v>
      </c>
      <c r="C201" s="8">
        <f t="shared" si="32"/>
        <v>46113</v>
      </c>
      <c r="D201" s="33">
        <v>3272</v>
      </c>
      <c r="E201" s="33">
        <v>336</v>
      </c>
      <c r="F201" s="33">
        <v>4</v>
      </c>
      <c r="G201" s="33">
        <v>1</v>
      </c>
      <c r="H201" s="33">
        <v>81379</v>
      </c>
      <c r="I201" s="33" t="s">
        <v>104</v>
      </c>
      <c r="J201" s="33">
        <v>50036549</v>
      </c>
      <c r="K201" s="33" t="s">
        <v>2400</v>
      </c>
      <c r="L201" s="27" t="s">
        <v>2405</v>
      </c>
      <c r="M201" s="18">
        <v>149900</v>
      </c>
      <c r="N201" s="37" t="str">
        <f t="shared" si="27"/>
        <v>BXGY</v>
      </c>
      <c r="O201" s="34" t="str">
        <f t="shared" si="29"/>
        <v>B1G2</v>
      </c>
      <c r="P201" s="33" t="str">
        <f t="shared" si="28"/>
        <v>BXGY</v>
      </c>
    </row>
    <row r="202" spans="1:16" s="6" customFormat="1" x14ac:dyDescent="0.25">
      <c r="A202" s="33" t="str">
        <f t="shared" si="30"/>
        <v>2024 NOV-DEC B1G2</v>
      </c>
      <c r="B202" s="8">
        <f t="shared" si="31"/>
        <v>46099</v>
      </c>
      <c r="C202" s="8">
        <f t="shared" si="32"/>
        <v>46113</v>
      </c>
      <c r="D202" s="33">
        <v>3272</v>
      </c>
      <c r="E202" s="33">
        <v>336</v>
      </c>
      <c r="F202" s="33">
        <v>4</v>
      </c>
      <c r="G202" s="33">
        <v>1</v>
      </c>
      <c r="H202" s="33">
        <v>81379</v>
      </c>
      <c r="I202" s="33" t="s">
        <v>104</v>
      </c>
      <c r="J202" s="33">
        <v>51503390</v>
      </c>
      <c r="K202" s="33" t="s">
        <v>2413</v>
      </c>
      <c r="L202" s="27" t="s">
        <v>2414</v>
      </c>
      <c r="M202" s="18">
        <v>139900</v>
      </c>
      <c r="N202" s="37" t="str">
        <f t="shared" si="27"/>
        <v>BXGY</v>
      </c>
      <c r="O202" s="34" t="str">
        <f t="shared" si="29"/>
        <v>B1G2</v>
      </c>
      <c r="P202" s="33" t="str">
        <f t="shared" si="28"/>
        <v>BXGY</v>
      </c>
    </row>
    <row r="203" spans="1:16" s="6" customFormat="1" x14ac:dyDescent="0.25">
      <c r="A203" s="33" t="str">
        <f t="shared" si="30"/>
        <v>2024 NOV-DEC B1G2</v>
      </c>
      <c r="B203" s="8">
        <f t="shared" si="31"/>
        <v>46099</v>
      </c>
      <c r="C203" s="8">
        <f t="shared" si="32"/>
        <v>46113</v>
      </c>
      <c r="D203" s="33">
        <v>3272</v>
      </c>
      <c r="E203" s="33">
        <v>336</v>
      </c>
      <c r="F203" s="33">
        <v>4</v>
      </c>
      <c r="G203" s="33">
        <v>1</v>
      </c>
      <c r="H203" s="33">
        <v>81379</v>
      </c>
      <c r="I203" s="33" t="s">
        <v>104</v>
      </c>
      <c r="J203" s="33">
        <v>51503407</v>
      </c>
      <c r="K203" s="33" t="s">
        <v>2413</v>
      </c>
      <c r="L203" s="27" t="s">
        <v>2415</v>
      </c>
      <c r="M203" s="18">
        <v>139900</v>
      </c>
      <c r="N203" s="37" t="str">
        <f t="shared" si="27"/>
        <v>BXGY</v>
      </c>
      <c r="O203" s="34" t="str">
        <f t="shared" si="29"/>
        <v>B1G2</v>
      </c>
      <c r="P203" s="33" t="str">
        <f t="shared" si="28"/>
        <v>BXGY</v>
      </c>
    </row>
    <row r="204" spans="1:16" s="6" customFormat="1" x14ac:dyDescent="0.25">
      <c r="A204" s="33" t="str">
        <f t="shared" si="30"/>
        <v>2024 NOV-DEC B1G2</v>
      </c>
      <c r="B204" s="8">
        <f t="shared" si="31"/>
        <v>46099</v>
      </c>
      <c r="C204" s="8">
        <f t="shared" si="32"/>
        <v>46113</v>
      </c>
      <c r="D204" s="33">
        <v>3272</v>
      </c>
      <c r="E204" s="33">
        <v>336</v>
      </c>
      <c r="F204" s="33">
        <v>4</v>
      </c>
      <c r="G204" s="33">
        <v>1</v>
      </c>
      <c r="H204" s="33">
        <v>81379</v>
      </c>
      <c r="I204" s="33" t="s">
        <v>104</v>
      </c>
      <c r="J204" s="33">
        <v>51503416</v>
      </c>
      <c r="K204" s="33" t="s">
        <v>2413</v>
      </c>
      <c r="L204" s="27" t="s">
        <v>2416</v>
      </c>
      <c r="M204" s="18">
        <v>139900</v>
      </c>
      <c r="N204" s="37" t="str">
        <f t="shared" si="27"/>
        <v>BXGY</v>
      </c>
      <c r="O204" s="34" t="str">
        <f t="shared" si="29"/>
        <v>B1G2</v>
      </c>
      <c r="P204" s="33" t="str">
        <f t="shared" si="28"/>
        <v>BXGY</v>
      </c>
    </row>
    <row r="205" spans="1:16" s="6" customFormat="1" x14ac:dyDescent="0.25">
      <c r="A205" s="33" t="str">
        <f t="shared" si="30"/>
        <v>2024 NOV-DEC B1G2</v>
      </c>
      <c r="B205" s="8">
        <f t="shared" si="31"/>
        <v>46099</v>
      </c>
      <c r="C205" s="8">
        <f t="shared" si="32"/>
        <v>46113</v>
      </c>
      <c r="D205" s="33">
        <v>3272</v>
      </c>
      <c r="E205" s="33">
        <v>336</v>
      </c>
      <c r="F205" s="33">
        <v>4</v>
      </c>
      <c r="G205" s="33">
        <v>1</v>
      </c>
      <c r="H205" s="33">
        <v>81379</v>
      </c>
      <c r="I205" s="33" t="s">
        <v>104</v>
      </c>
      <c r="J205" s="33">
        <v>51503425</v>
      </c>
      <c r="K205" s="33" t="s">
        <v>2413</v>
      </c>
      <c r="L205" s="27" t="s">
        <v>2417</v>
      </c>
      <c r="M205" s="18">
        <v>139900</v>
      </c>
      <c r="N205" s="37" t="str">
        <f t="shared" si="27"/>
        <v>BXGY</v>
      </c>
      <c r="O205" s="34" t="str">
        <f t="shared" si="29"/>
        <v>B1G2</v>
      </c>
      <c r="P205" s="33" t="str">
        <f t="shared" si="28"/>
        <v>BXGY</v>
      </c>
    </row>
    <row r="206" spans="1:16" s="6" customFormat="1" x14ac:dyDescent="0.25">
      <c r="A206" s="33" t="str">
        <f t="shared" si="30"/>
        <v>2024 NOV-DEC B1G2</v>
      </c>
      <c r="B206" s="8">
        <f t="shared" si="31"/>
        <v>46099</v>
      </c>
      <c r="C206" s="8">
        <f t="shared" si="32"/>
        <v>46113</v>
      </c>
      <c r="D206" s="33">
        <v>3272</v>
      </c>
      <c r="E206" s="33">
        <v>336</v>
      </c>
      <c r="F206" s="33">
        <v>4</v>
      </c>
      <c r="G206" s="33">
        <v>1</v>
      </c>
      <c r="H206" s="33">
        <v>81379</v>
      </c>
      <c r="I206" s="33" t="s">
        <v>104</v>
      </c>
      <c r="J206" s="33">
        <v>51503434</v>
      </c>
      <c r="K206" s="33" t="s">
        <v>2413</v>
      </c>
      <c r="L206" s="27" t="s">
        <v>2418</v>
      </c>
      <c r="M206" s="18">
        <v>139900</v>
      </c>
      <c r="N206" s="37" t="str">
        <f t="shared" si="27"/>
        <v>BXGY</v>
      </c>
      <c r="O206" s="34" t="str">
        <f t="shared" si="29"/>
        <v>B1G2</v>
      </c>
      <c r="P206" s="33" t="str">
        <f t="shared" si="28"/>
        <v>BXGY</v>
      </c>
    </row>
    <row r="207" spans="1:16" s="6" customFormat="1" x14ac:dyDescent="0.25">
      <c r="A207" s="33" t="str">
        <f t="shared" si="30"/>
        <v>2024 NOV-DEC B1G2</v>
      </c>
      <c r="B207" s="8">
        <f t="shared" si="31"/>
        <v>46099</v>
      </c>
      <c r="C207" s="8">
        <f t="shared" si="32"/>
        <v>46113</v>
      </c>
      <c r="D207" s="33">
        <v>3272</v>
      </c>
      <c r="E207" s="33">
        <v>336</v>
      </c>
      <c r="F207" s="33">
        <v>4</v>
      </c>
      <c r="G207" s="33">
        <v>1</v>
      </c>
      <c r="H207" s="33">
        <v>81379</v>
      </c>
      <c r="I207" s="33" t="s">
        <v>104</v>
      </c>
      <c r="J207" s="33">
        <v>51503443</v>
      </c>
      <c r="K207" s="33" t="s">
        <v>2419</v>
      </c>
      <c r="L207" s="27" t="s">
        <v>2420</v>
      </c>
      <c r="M207" s="18">
        <v>139900</v>
      </c>
      <c r="N207" s="37" t="str">
        <f t="shared" si="27"/>
        <v>BXGY</v>
      </c>
      <c r="O207" s="34" t="str">
        <f t="shared" si="29"/>
        <v>B1G2</v>
      </c>
      <c r="P207" s="33" t="str">
        <f t="shared" si="28"/>
        <v>BXGY</v>
      </c>
    </row>
    <row r="208" spans="1:16" s="6" customFormat="1" x14ac:dyDescent="0.25">
      <c r="A208" s="33" t="str">
        <f t="shared" si="30"/>
        <v>2024 NOV-DEC B1G2</v>
      </c>
      <c r="B208" s="8">
        <f t="shared" si="31"/>
        <v>46099</v>
      </c>
      <c r="C208" s="8">
        <f t="shared" si="32"/>
        <v>46113</v>
      </c>
      <c r="D208" s="33">
        <v>3272</v>
      </c>
      <c r="E208" s="33">
        <v>336</v>
      </c>
      <c r="F208" s="33">
        <v>4</v>
      </c>
      <c r="G208" s="33">
        <v>1</v>
      </c>
      <c r="H208" s="33">
        <v>81379</v>
      </c>
      <c r="I208" s="33" t="s">
        <v>104</v>
      </c>
      <c r="J208" s="33">
        <v>51503452</v>
      </c>
      <c r="K208" s="33" t="s">
        <v>2419</v>
      </c>
      <c r="L208" s="27" t="s">
        <v>2421</v>
      </c>
      <c r="M208" s="18">
        <v>139900</v>
      </c>
      <c r="N208" s="37" t="str">
        <f t="shared" si="27"/>
        <v>BXGY</v>
      </c>
      <c r="O208" s="34" t="str">
        <f t="shared" si="29"/>
        <v>B1G2</v>
      </c>
      <c r="P208" s="33" t="str">
        <f t="shared" si="28"/>
        <v>BXGY</v>
      </c>
    </row>
    <row r="209" spans="1:16" s="6" customFormat="1" x14ac:dyDescent="0.25">
      <c r="A209" s="33" t="str">
        <f t="shared" si="30"/>
        <v>2024 NOV-DEC B1G2</v>
      </c>
      <c r="B209" s="8">
        <f t="shared" si="31"/>
        <v>46099</v>
      </c>
      <c r="C209" s="8">
        <f t="shared" si="32"/>
        <v>46113</v>
      </c>
      <c r="D209" s="33">
        <v>3272</v>
      </c>
      <c r="E209" s="33">
        <v>336</v>
      </c>
      <c r="F209" s="33">
        <v>4</v>
      </c>
      <c r="G209" s="33">
        <v>1</v>
      </c>
      <c r="H209" s="33">
        <v>81379</v>
      </c>
      <c r="I209" s="33" t="s">
        <v>104</v>
      </c>
      <c r="J209" s="33">
        <v>51503461</v>
      </c>
      <c r="K209" s="33" t="s">
        <v>2419</v>
      </c>
      <c r="L209" s="27" t="s">
        <v>2422</v>
      </c>
      <c r="M209" s="18">
        <v>139900</v>
      </c>
      <c r="N209" s="37" t="str">
        <f t="shared" si="27"/>
        <v>BXGY</v>
      </c>
      <c r="O209" s="34" t="str">
        <f t="shared" si="29"/>
        <v>B1G2</v>
      </c>
      <c r="P209" s="33" t="str">
        <f t="shared" si="28"/>
        <v>BXGY</v>
      </c>
    </row>
    <row r="210" spans="1:16" s="6" customFormat="1" x14ac:dyDescent="0.25">
      <c r="A210" s="33" t="str">
        <f t="shared" si="30"/>
        <v>2024 NOV-DEC B1G2</v>
      </c>
      <c r="B210" s="8">
        <f t="shared" si="31"/>
        <v>46099</v>
      </c>
      <c r="C210" s="8">
        <f t="shared" si="32"/>
        <v>46113</v>
      </c>
      <c r="D210" s="33">
        <v>3272</v>
      </c>
      <c r="E210" s="33">
        <v>336</v>
      </c>
      <c r="F210" s="33">
        <v>4</v>
      </c>
      <c r="G210" s="33">
        <v>1</v>
      </c>
      <c r="H210" s="33">
        <v>81379</v>
      </c>
      <c r="I210" s="33" t="s">
        <v>104</v>
      </c>
      <c r="J210" s="33">
        <v>51503470</v>
      </c>
      <c r="K210" s="33" t="s">
        <v>2419</v>
      </c>
      <c r="L210" s="27" t="s">
        <v>2423</v>
      </c>
      <c r="M210" s="18">
        <v>139900</v>
      </c>
      <c r="N210" s="37" t="str">
        <f t="shared" si="27"/>
        <v>BXGY</v>
      </c>
      <c r="O210" s="34" t="str">
        <f t="shared" si="29"/>
        <v>B1G2</v>
      </c>
      <c r="P210" s="33" t="str">
        <f t="shared" si="28"/>
        <v>BXGY</v>
      </c>
    </row>
    <row r="211" spans="1:16" s="6" customFormat="1" x14ac:dyDescent="0.25">
      <c r="A211" s="33" t="str">
        <f t="shared" si="30"/>
        <v>2024 NOV-DEC B1G2</v>
      </c>
      <c r="B211" s="8">
        <f t="shared" si="31"/>
        <v>46099</v>
      </c>
      <c r="C211" s="8">
        <f t="shared" si="32"/>
        <v>46113</v>
      </c>
      <c r="D211" s="33">
        <v>3272</v>
      </c>
      <c r="E211" s="33">
        <v>336</v>
      </c>
      <c r="F211" s="33">
        <v>4</v>
      </c>
      <c r="G211" s="33">
        <v>1</v>
      </c>
      <c r="H211" s="33">
        <v>81379</v>
      </c>
      <c r="I211" s="33" t="s">
        <v>104</v>
      </c>
      <c r="J211" s="33">
        <v>51503489</v>
      </c>
      <c r="K211" s="33" t="s">
        <v>2419</v>
      </c>
      <c r="L211" s="27" t="s">
        <v>2424</v>
      </c>
      <c r="M211" s="18">
        <v>139900</v>
      </c>
      <c r="N211" s="37" t="str">
        <f t="shared" si="27"/>
        <v>BXGY</v>
      </c>
      <c r="O211" s="34" t="str">
        <f t="shared" si="29"/>
        <v>B1G2</v>
      </c>
      <c r="P211" s="33" t="str">
        <f t="shared" si="28"/>
        <v>BXGY</v>
      </c>
    </row>
    <row r="212" spans="1:16" s="6" customFormat="1" x14ac:dyDescent="0.25">
      <c r="A212" s="33" t="str">
        <f t="shared" si="30"/>
        <v>2024 NOV-DEC B1G2</v>
      </c>
      <c r="B212" s="8">
        <f t="shared" si="31"/>
        <v>46099</v>
      </c>
      <c r="C212" s="8">
        <f t="shared" si="32"/>
        <v>46113</v>
      </c>
      <c r="D212" s="33">
        <v>3272</v>
      </c>
      <c r="E212" s="33">
        <v>336</v>
      </c>
      <c r="F212" s="33">
        <v>4</v>
      </c>
      <c r="G212" s="33">
        <v>3</v>
      </c>
      <c r="H212" s="33">
        <v>81379</v>
      </c>
      <c r="I212" s="33" t="s">
        <v>104</v>
      </c>
      <c r="J212" s="33">
        <v>45646579</v>
      </c>
      <c r="K212" s="33" t="s">
        <v>2743</v>
      </c>
      <c r="L212" s="27" t="s">
        <v>2738</v>
      </c>
      <c r="M212" s="19">
        <v>279900</v>
      </c>
      <c r="N212" s="37" t="str">
        <f t="shared" si="27"/>
        <v>BXGY</v>
      </c>
      <c r="O212" s="34" t="str">
        <f t="shared" si="29"/>
        <v>B1G2</v>
      </c>
      <c r="P212" s="33" t="str">
        <f t="shared" si="28"/>
        <v>BXGY</v>
      </c>
    </row>
    <row r="213" spans="1:16" s="6" customFormat="1" x14ac:dyDescent="0.25">
      <c r="A213" s="33" t="str">
        <f t="shared" si="30"/>
        <v>2024 NOV-DEC B1G2</v>
      </c>
      <c r="B213" s="8">
        <f t="shared" si="31"/>
        <v>46099</v>
      </c>
      <c r="C213" s="8">
        <f t="shared" si="32"/>
        <v>46113</v>
      </c>
      <c r="D213" s="33">
        <v>3272</v>
      </c>
      <c r="E213" s="33">
        <v>336</v>
      </c>
      <c r="F213" s="33">
        <v>4</v>
      </c>
      <c r="G213" s="33">
        <v>3</v>
      </c>
      <c r="H213" s="33">
        <v>81379</v>
      </c>
      <c r="I213" s="33" t="s">
        <v>104</v>
      </c>
      <c r="J213" s="33">
        <v>45646588</v>
      </c>
      <c r="K213" s="33" t="s">
        <v>2743</v>
      </c>
      <c r="L213" s="27" t="s">
        <v>2739</v>
      </c>
      <c r="M213" s="19">
        <v>279900</v>
      </c>
      <c r="N213" s="37" t="str">
        <f t="shared" si="27"/>
        <v>BXGY</v>
      </c>
      <c r="O213" s="34" t="str">
        <f t="shared" si="29"/>
        <v>B1G2</v>
      </c>
      <c r="P213" s="33" t="str">
        <f t="shared" si="28"/>
        <v>BXGY</v>
      </c>
    </row>
    <row r="214" spans="1:16" s="6" customFormat="1" x14ac:dyDescent="0.25">
      <c r="A214" s="33" t="str">
        <f t="shared" si="30"/>
        <v>2024 NOV-DEC B1G2</v>
      </c>
      <c r="B214" s="8">
        <f t="shared" si="31"/>
        <v>46099</v>
      </c>
      <c r="C214" s="8">
        <f t="shared" si="32"/>
        <v>46113</v>
      </c>
      <c r="D214" s="33">
        <v>3272</v>
      </c>
      <c r="E214" s="33">
        <v>336</v>
      </c>
      <c r="F214" s="33">
        <v>4</v>
      </c>
      <c r="G214" s="33">
        <v>3</v>
      </c>
      <c r="H214" s="33">
        <v>81379</v>
      </c>
      <c r="I214" s="33" t="s">
        <v>104</v>
      </c>
      <c r="J214" s="33">
        <v>45646597</v>
      </c>
      <c r="K214" s="33" t="s">
        <v>2743</v>
      </c>
      <c r="L214" s="27" t="s">
        <v>2740</v>
      </c>
      <c r="M214" s="19">
        <v>279900</v>
      </c>
      <c r="N214" s="37" t="str">
        <f t="shared" si="27"/>
        <v>BXGY</v>
      </c>
      <c r="O214" s="34" t="str">
        <f t="shared" si="29"/>
        <v>B1G2</v>
      </c>
      <c r="P214" s="33" t="str">
        <f t="shared" si="28"/>
        <v>BXGY</v>
      </c>
    </row>
    <row r="215" spans="1:16" s="6" customFormat="1" x14ac:dyDescent="0.25">
      <c r="A215" s="33" t="str">
        <f t="shared" si="30"/>
        <v>2024 NOV-DEC B1G2</v>
      </c>
      <c r="B215" s="8">
        <f t="shared" si="31"/>
        <v>46099</v>
      </c>
      <c r="C215" s="8">
        <f t="shared" si="32"/>
        <v>46113</v>
      </c>
      <c r="D215" s="33">
        <v>3272</v>
      </c>
      <c r="E215" s="33">
        <v>336</v>
      </c>
      <c r="F215" s="33">
        <v>4</v>
      </c>
      <c r="G215" s="33">
        <v>3</v>
      </c>
      <c r="H215" s="33">
        <v>81379</v>
      </c>
      <c r="I215" s="33" t="s">
        <v>104</v>
      </c>
      <c r="J215" s="33">
        <v>45646604</v>
      </c>
      <c r="K215" s="33" t="s">
        <v>2743</v>
      </c>
      <c r="L215" s="27" t="s">
        <v>2741</v>
      </c>
      <c r="M215" s="19">
        <v>279900</v>
      </c>
      <c r="N215" s="37" t="str">
        <f t="shared" si="27"/>
        <v>BXGY</v>
      </c>
      <c r="O215" s="34" t="str">
        <f t="shared" si="29"/>
        <v>B1G2</v>
      </c>
      <c r="P215" s="33" t="str">
        <f t="shared" si="28"/>
        <v>BXGY</v>
      </c>
    </row>
    <row r="216" spans="1:16" s="6" customFormat="1" x14ac:dyDescent="0.25">
      <c r="A216" s="33" t="str">
        <f t="shared" si="30"/>
        <v>2024 NOV-DEC B1G2</v>
      </c>
      <c r="B216" s="8">
        <f t="shared" si="31"/>
        <v>46099</v>
      </c>
      <c r="C216" s="8">
        <f t="shared" si="32"/>
        <v>46113</v>
      </c>
      <c r="D216" s="33">
        <v>3272</v>
      </c>
      <c r="E216" s="33">
        <v>336</v>
      </c>
      <c r="F216" s="33">
        <v>4</v>
      </c>
      <c r="G216" s="33">
        <v>3</v>
      </c>
      <c r="H216" s="33">
        <v>81379</v>
      </c>
      <c r="I216" s="33" t="s">
        <v>104</v>
      </c>
      <c r="J216" s="33">
        <v>45646613</v>
      </c>
      <c r="K216" s="33" t="s">
        <v>2743</v>
      </c>
      <c r="L216" s="27" t="s">
        <v>2742</v>
      </c>
      <c r="M216" s="19">
        <v>279900</v>
      </c>
      <c r="N216" s="37" t="str">
        <f t="shared" si="27"/>
        <v>BXGY</v>
      </c>
      <c r="O216" s="34" t="str">
        <f t="shared" si="29"/>
        <v>B1G2</v>
      </c>
      <c r="P216" s="33" t="str">
        <f t="shared" si="28"/>
        <v>BXGY</v>
      </c>
    </row>
  </sheetData>
  <conditionalFormatting sqref="J1">
    <cfRule type="duplicateValues" dxfId="70" priority="4"/>
  </conditionalFormatting>
  <conditionalFormatting sqref="J2:J168">
    <cfRule type="duplicateValues" dxfId="69" priority="3"/>
  </conditionalFormatting>
  <conditionalFormatting sqref="J169:J216">
    <cfRule type="duplicateValues" dxfId="68" priority="1"/>
    <cfRule type="duplicateValues" dxfId="67" priority="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A4B7-FC74-4915-9292-983F9C90B372}">
  <dimension ref="A1:P568"/>
  <sheetViews>
    <sheetView zoomScale="95" zoomScaleNormal="95" workbookViewId="0">
      <selection activeCell="L35" sqref="L35"/>
    </sheetView>
  </sheetViews>
  <sheetFormatPr defaultColWidth="8.7109375" defaultRowHeight="15" x14ac:dyDescent="0.25"/>
  <cols>
    <col min="1" max="1" width="25.85546875" style="24" customWidth="1"/>
    <col min="2" max="2" width="15.7109375" style="24" bestFit="1" customWidth="1"/>
    <col min="3" max="3" width="10.7109375" style="24" bestFit="1" customWidth="1"/>
    <col min="4" max="4" width="5.28515625" style="24" bestFit="1" customWidth="1"/>
    <col min="5" max="5" width="7.28515625" style="24" bestFit="1" customWidth="1"/>
    <col min="6" max="6" width="8.42578125" style="24" bestFit="1" customWidth="1"/>
    <col min="7" max="7" width="5.7109375" style="24" bestFit="1" customWidth="1"/>
    <col min="8" max="8" width="8.7109375" style="24" bestFit="1" customWidth="1"/>
    <col min="9" max="9" width="14.28515625" style="24" bestFit="1" customWidth="1"/>
    <col min="10" max="10" width="9.28515625" style="24" bestFit="1" customWidth="1"/>
    <col min="11" max="11" width="10" style="24" bestFit="1" customWidth="1"/>
    <col min="12" max="12" width="114.85546875" style="24" bestFit="1" customWidth="1"/>
    <col min="13" max="13" width="14.7109375" style="24" bestFit="1" customWidth="1"/>
    <col min="14" max="14" width="10.42578125" style="24" bestFit="1" customWidth="1"/>
    <col min="15" max="15" width="14" style="24" bestFit="1" customWidth="1"/>
    <col min="16" max="16" width="14.28515625" style="24" bestFit="1" customWidth="1"/>
    <col min="17" max="16384" width="8.7109375" style="24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3714</v>
      </c>
      <c r="B2" s="8">
        <f>'2019 ALL D95'!B2</f>
        <v>46099</v>
      </c>
      <c r="C2" s="8">
        <f>'2019 ALL D95'!C2</f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15500273</v>
      </c>
      <c r="K2" s="7" t="s">
        <v>1581</v>
      </c>
      <c r="L2" s="7" t="s">
        <v>1582</v>
      </c>
      <c r="M2" s="9">
        <v>149900</v>
      </c>
      <c r="N2" s="14" t="s">
        <v>618</v>
      </c>
      <c r="O2" s="14" t="s">
        <v>1496</v>
      </c>
      <c r="P2" s="14" t="s">
        <v>618</v>
      </c>
    </row>
    <row r="3" spans="1:16" x14ac:dyDescent="0.25">
      <c r="A3" s="7" t="str">
        <f t="shared" ref="A3:A66" si="0">A2</f>
        <v>2025 JAN-APR B1G2</v>
      </c>
      <c r="B3" s="8">
        <f t="shared" ref="B3:B66" si="1">B2</f>
        <v>46099</v>
      </c>
      <c r="C3" s="8">
        <f t="shared" ref="C3:C66" si="2"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15500282</v>
      </c>
      <c r="K3" s="7" t="s">
        <v>1581</v>
      </c>
      <c r="L3" s="7" t="s">
        <v>1583</v>
      </c>
      <c r="M3" s="9">
        <v>149900</v>
      </c>
      <c r="N3" s="14" t="s">
        <v>618</v>
      </c>
      <c r="O3" s="14" t="str">
        <f t="shared" ref="O3:O66" si="3">O2</f>
        <v>B1G2</v>
      </c>
      <c r="P3" s="14" t="s">
        <v>618</v>
      </c>
    </row>
    <row r="4" spans="1:16" x14ac:dyDescent="0.25">
      <c r="A4" s="7" t="str">
        <f t="shared" si="0"/>
        <v>2025 JAN-APR B1G2</v>
      </c>
      <c r="B4" s="8">
        <f t="shared" si="1"/>
        <v>46099</v>
      </c>
      <c r="C4" s="8">
        <f t="shared" si="2"/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15500291</v>
      </c>
      <c r="K4" s="7" t="s">
        <v>1581</v>
      </c>
      <c r="L4" s="7" t="s">
        <v>1584</v>
      </c>
      <c r="M4" s="9">
        <v>149900</v>
      </c>
      <c r="N4" s="14" t="s">
        <v>618</v>
      </c>
      <c r="O4" s="14" t="str">
        <f t="shared" si="3"/>
        <v>B1G2</v>
      </c>
      <c r="P4" s="14" t="s">
        <v>618</v>
      </c>
    </row>
    <row r="5" spans="1:16" x14ac:dyDescent="0.25">
      <c r="A5" s="7" t="str">
        <f t="shared" si="0"/>
        <v>2025 JAN-APR B1G2</v>
      </c>
      <c r="B5" s="8">
        <f t="shared" si="1"/>
        <v>46099</v>
      </c>
      <c r="C5" s="8">
        <f t="shared" si="2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15500308</v>
      </c>
      <c r="K5" s="7" t="s">
        <v>1581</v>
      </c>
      <c r="L5" s="7" t="s">
        <v>1585</v>
      </c>
      <c r="M5" s="9">
        <v>149900</v>
      </c>
      <c r="N5" s="14" t="s">
        <v>618</v>
      </c>
      <c r="O5" s="14" t="str">
        <f t="shared" si="3"/>
        <v>B1G2</v>
      </c>
      <c r="P5" s="14" t="s">
        <v>618</v>
      </c>
    </row>
    <row r="6" spans="1:16" x14ac:dyDescent="0.25">
      <c r="A6" s="7" t="str">
        <f t="shared" si="0"/>
        <v>2025 JAN-APR B1G2</v>
      </c>
      <c r="B6" s="8">
        <f t="shared" si="1"/>
        <v>46099</v>
      </c>
      <c r="C6" s="8">
        <f t="shared" si="2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15500317</v>
      </c>
      <c r="K6" s="7" t="s">
        <v>1581</v>
      </c>
      <c r="L6" s="7" t="s">
        <v>1586</v>
      </c>
      <c r="M6" s="9">
        <v>149900</v>
      </c>
      <c r="N6" s="14" t="s">
        <v>618</v>
      </c>
      <c r="O6" s="14" t="str">
        <f t="shared" si="3"/>
        <v>B1G2</v>
      </c>
      <c r="P6" s="14" t="s">
        <v>618</v>
      </c>
    </row>
    <row r="7" spans="1:16" x14ac:dyDescent="0.25">
      <c r="A7" s="7" t="str">
        <f t="shared" si="0"/>
        <v>2025 JAN-APR B1G2</v>
      </c>
      <c r="B7" s="8">
        <f t="shared" si="1"/>
        <v>46099</v>
      </c>
      <c r="C7" s="8">
        <f t="shared" si="2"/>
        <v>46113</v>
      </c>
      <c r="D7" s="7">
        <v>3272</v>
      </c>
      <c r="E7" s="7">
        <v>336</v>
      </c>
      <c r="F7" s="7">
        <v>4</v>
      </c>
      <c r="G7" s="7">
        <v>1</v>
      </c>
      <c r="H7" s="7">
        <v>4953</v>
      </c>
      <c r="I7" s="7" t="s">
        <v>104</v>
      </c>
      <c r="J7" s="7">
        <v>45646328</v>
      </c>
      <c r="K7" s="7" t="s">
        <v>2321</v>
      </c>
      <c r="L7" s="7" t="s">
        <v>2322</v>
      </c>
      <c r="M7" s="9">
        <v>139900</v>
      </c>
      <c r="N7" s="14" t="s">
        <v>618</v>
      </c>
      <c r="O7" s="14" t="str">
        <f t="shared" si="3"/>
        <v>B1G2</v>
      </c>
      <c r="P7" s="14" t="s">
        <v>618</v>
      </c>
    </row>
    <row r="8" spans="1:16" x14ac:dyDescent="0.25">
      <c r="A8" s="7" t="str">
        <f t="shared" si="0"/>
        <v>2025 JAN-APR B1G2</v>
      </c>
      <c r="B8" s="8">
        <f t="shared" si="1"/>
        <v>46099</v>
      </c>
      <c r="C8" s="8">
        <f t="shared" si="2"/>
        <v>46113</v>
      </c>
      <c r="D8" s="7">
        <v>3272</v>
      </c>
      <c r="E8" s="7">
        <v>336</v>
      </c>
      <c r="F8" s="7">
        <v>4</v>
      </c>
      <c r="G8" s="7">
        <v>1</v>
      </c>
      <c r="H8" s="7">
        <v>4953</v>
      </c>
      <c r="I8" s="7" t="s">
        <v>104</v>
      </c>
      <c r="J8" s="7">
        <v>45646337</v>
      </c>
      <c r="K8" s="7" t="s">
        <v>2321</v>
      </c>
      <c r="L8" s="7" t="s">
        <v>2323</v>
      </c>
      <c r="M8" s="9">
        <v>139900</v>
      </c>
      <c r="N8" s="14" t="s">
        <v>618</v>
      </c>
      <c r="O8" s="14" t="str">
        <f t="shared" si="3"/>
        <v>B1G2</v>
      </c>
      <c r="P8" s="14" t="s">
        <v>618</v>
      </c>
    </row>
    <row r="9" spans="1:16" x14ac:dyDescent="0.25">
      <c r="A9" s="7" t="str">
        <f t="shared" si="0"/>
        <v>2025 JAN-APR B1G2</v>
      </c>
      <c r="B9" s="8">
        <f t="shared" si="1"/>
        <v>46099</v>
      </c>
      <c r="C9" s="8">
        <f t="shared" si="2"/>
        <v>46113</v>
      </c>
      <c r="D9" s="7">
        <v>3272</v>
      </c>
      <c r="E9" s="7">
        <v>336</v>
      </c>
      <c r="F9" s="7">
        <v>4</v>
      </c>
      <c r="G9" s="7">
        <v>1</v>
      </c>
      <c r="H9" s="7">
        <v>4953</v>
      </c>
      <c r="I9" s="7" t="s">
        <v>104</v>
      </c>
      <c r="J9" s="7">
        <v>45646346</v>
      </c>
      <c r="K9" s="7" t="s">
        <v>2321</v>
      </c>
      <c r="L9" s="7" t="s">
        <v>2324</v>
      </c>
      <c r="M9" s="9">
        <v>139900</v>
      </c>
      <c r="N9" s="14" t="s">
        <v>618</v>
      </c>
      <c r="O9" s="14" t="str">
        <f t="shared" si="3"/>
        <v>B1G2</v>
      </c>
      <c r="P9" s="14" t="s">
        <v>618</v>
      </c>
    </row>
    <row r="10" spans="1:16" x14ac:dyDescent="0.25">
      <c r="A10" s="7" t="str">
        <f t="shared" si="0"/>
        <v>2025 JAN-APR B1G2</v>
      </c>
      <c r="B10" s="8">
        <f t="shared" si="1"/>
        <v>46099</v>
      </c>
      <c r="C10" s="8">
        <f t="shared" si="2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4953</v>
      </c>
      <c r="I10" s="7" t="s">
        <v>104</v>
      </c>
      <c r="J10" s="7">
        <v>45646355</v>
      </c>
      <c r="K10" s="7" t="s">
        <v>2321</v>
      </c>
      <c r="L10" s="7" t="s">
        <v>2325</v>
      </c>
      <c r="M10" s="9">
        <v>139900</v>
      </c>
      <c r="N10" s="14" t="s">
        <v>618</v>
      </c>
      <c r="O10" s="14" t="str">
        <f t="shared" si="3"/>
        <v>B1G2</v>
      </c>
      <c r="P10" s="14" t="s">
        <v>618</v>
      </c>
    </row>
    <row r="11" spans="1:16" x14ac:dyDescent="0.25">
      <c r="A11" s="7" t="str">
        <f t="shared" si="0"/>
        <v>2025 JAN-APR B1G2</v>
      </c>
      <c r="B11" s="8">
        <f t="shared" si="1"/>
        <v>46099</v>
      </c>
      <c r="C11" s="8">
        <f t="shared" si="2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4953</v>
      </c>
      <c r="I11" s="7" t="s">
        <v>104</v>
      </c>
      <c r="J11" s="7">
        <v>45646364</v>
      </c>
      <c r="K11" s="7" t="s">
        <v>2321</v>
      </c>
      <c r="L11" s="7" t="s">
        <v>2326</v>
      </c>
      <c r="M11" s="9">
        <v>139900</v>
      </c>
      <c r="N11" s="14" t="s">
        <v>618</v>
      </c>
      <c r="O11" s="14" t="str">
        <f t="shared" si="3"/>
        <v>B1G2</v>
      </c>
      <c r="P11" s="14" t="s">
        <v>618</v>
      </c>
    </row>
    <row r="12" spans="1:16" x14ac:dyDescent="0.25">
      <c r="A12" s="7" t="str">
        <f t="shared" si="0"/>
        <v>2025 JAN-APR B1G2</v>
      </c>
      <c r="B12" s="8">
        <f t="shared" si="1"/>
        <v>46099</v>
      </c>
      <c r="C12" s="8">
        <f t="shared" si="2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104</v>
      </c>
      <c r="J12" s="7">
        <v>45647069</v>
      </c>
      <c r="K12" s="7" t="s">
        <v>2489</v>
      </c>
      <c r="L12" s="7" t="s">
        <v>2473</v>
      </c>
      <c r="M12" s="9">
        <v>139900</v>
      </c>
      <c r="N12" s="14" t="s">
        <v>618</v>
      </c>
      <c r="O12" s="14" t="str">
        <f t="shared" si="3"/>
        <v>B1G2</v>
      </c>
      <c r="P12" s="14" t="s">
        <v>618</v>
      </c>
    </row>
    <row r="13" spans="1:16" x14ac:dyDescent="0.25">
      <c r="A13" s="7" t="str">
        <f t="shared" si="0"/>
        <v>2025 JAN-APR B1G2</v>
      </c>
      <c r="B13" s="8">
        <f t="shared" si="1"/>
        <v>46099</v>
      </c>
      <c r="C13" s="8">
        <f t="shared" si="2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104</v>
      </c>
      <c r="J13" s="7">
        <v>45647078</v>
      </c>
      <c r="K13" s="7" t="s">
        <v>2489</v>
      </c>
      <c r="L13" s="7" t="s">
        <v>2474</v>
      </c>
      <c r="M13" s="9">
        <v>139900</v>
      </c>
      <c r="N13" s="14" t="s">
        <v>618</v>
      </c>
      <c r="O13" s="14" t="str">
        <f t="shared" si="3"/>
        <v>B1G2</v>
      </c>
      <c r="P13" s="14" t="s">
        <v>618</v>
      </c>
    </row>
    <row r="14" spans="1:16" x14ac:dyDescent="0.25">
      <c r="A14" s="7" t="str">
        <f t="shared" si="0"/>
        <v>2025 JAN-APR B1G2</v>
      </c>
      <c r="B14" s="8">
        <f t="shared" si="1"/>
        <v>46099</v>
      </c>
      <c r="C14" s="8">
        <f t="shared" si="2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104</v>
      </c>
      <c r="J14" s="7">
        <v>45647087</v>
      </c>
      <c r="K14" s="7" t="s">
        <v>2489</v>
      </c>
      <c r="L14" s="7" t="s">
        <v>2475</v>
      </c>
      <c r="M14" s="9">
        <v>139900</v>
      </c>
      <c r="N14" s="14" t="s">
        <v>618</v>
      </c>
      <c r="O14" s="14" t="str">
        <f t="shared" si="3"/>
        <v>B1G2</v>
      </c>
      <c r="P14" s="14" t="s">
        <v>618</v>
      </c>
    </row>
    <row r="15" spans="1:16" x14ac:dyDescent="0.25">
      <c r="A15" s="7" t="str">
        <f t="shared" si="0"/>
        <v>2025 JAN-APR B1G2</v>
      </c>
      <c r="B15" s="8">
        <f t="shared" si="1"/>
        <v>46099</v>
      </c>
      <c r="C15" s="8">
        <f t="shared" si="2"/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81588</v>
      </c>
      <c r="I15" s="7" t="s">
        <v>104</v>
      </c>
      <c r="J15" s="7">
        <v>45647096</v>
      </c>
      <c r="K15" s="7" t="s">
        <v>2489</v>
      </c>
      <c r="L15" s="7" t="s">
        <v>2476</v>
      </c>
      <c r="M15" s="9">
        <v>149900</v>
      </c>
      <c r="N15" s="14" t="s">
        <v>618</v>
      </c>
      <c r="O15" s="14" t="str">
        <f t="shared" si="3"/>
        <v>B1G2</v>
      </c>
      <c r="P15" s="14" t="s">
        <v>618</v>
      </c>
    </row>
    <row r="16" spans="1:16" x14ac:dyDescent="0.25">
      <c r="A16" s="7" t="str">
        <f t="shared" si="0"/>
        <v>2025 JAN-APR B1G2</v>
      </c>
      <c r="B16" s="8">
        <f t="shared" si="1"/>
        <v>46099</v>
      </c>
      <c r="C16" s="8">
        <f t="shared" si="2"/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81588</v>
      </c>
      <c r="I16" s="7" t="s">
        <v>104</v>
      </c>
      <c r="J16" s="7">
        <v>45647103</v>
      </c>
      <c r="K16" s="7" t="s">
        <v>2489</v>
      </c>
      <c r="L16" s="7" t="s">
        <v>2477</v>
      </c>
      <c r="M16" s="9">
        <v>149900</v>
      </c>
      <c r="N16" s="14" t="s">
        <v>618</v>
      </c>
      <c r="O16" s="14" t="str">
        <f t="shared" si="3"/>
        <v>B1G2</v>
      </c>
      <c r="P16" s="14" t="s">
        <v>618</v>
      </c>
    </row>
    <row r="17" spans="1:16" x14ac:dyDescent="0.25">
      <c r="A17" s="7" t="str">
        <f t="shared" si="0"/>
        <v>2025 JAN-APR B1G2</v>
      </c>
      <c r="B17" s="8">
        <f t="shared" si="1"/>
        <v>46099</v>
      </c>
      <c r="C17" s="8">
        <f t="shared" si="2"/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81588</v>
      </c>
      <c r="I17" s="7" t="s">
        <v>104</v>
      </c>
      <c r="J17" s="7">
        <v>45647112</v>
      </c>
      <c r="K17" s="7" t="s">
        <v>2489</v>
      </c>
      <c r="L17" s="7" t="s">
        <v>2478</v>
      </c>
      <c r="M17" s="9">
        <v>149900</v>
      </c>
      <c r="N17" s="14" t="s">
        <v>618</v>
      </c>
      <c r="O17" s="14" t="str">
        <f t="shared" si="3"/>
        <v>B1G2</v>
      </c>
      <c r="P17" s="14" t="s">
        <v>618</v>
      </c>
    </row>
    <row r="18" spans="1:16" x14ac:dyDescent="0.25">
      <c r="A18" s="7" t="str">
        <f t="shared" si="0"/>
        <v>2025 JAN-APR B1G2</v>
      </c>
      <c r="B18" s="8">
        <f t="shared" si="1"/>
        <v>46099</v>
      </c>
      <c r="C18" s="8">
        <f t="shared" si="2"/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81588</v>
      </c>
      <c r="I18" s="7" t="s">
        <v>104</v>
      </c>
      <c r="J18" s="7">
        <v>45647121</v>
      </c>
      <c r="K18" s="7" t="s">
        <v>2489</v>
      </c>
      <c r="L18" s="7" t="s">
        <v>2479</v>
      </c>
      <c r="M18" s="9">
        <v>149900</v>
      </c>
      <c r="N18" s="14" t="s">
        <v>618</v>
      </c>
      <c r="O18" s="14" t="str">
        <f t="shared" si="3"/>
        <v>B1G2</v>
      </c>
      <c r="P18" s="14" t="s">
        <v>618</v>
      </c>
    </row>
    <row r="19" spans="1:16" x14ac:dyDescent="0.25">
      <c r="A19" s="7" t="str">
        <f t="shared" si="0"/>
        <v>2025 JAN-APR B1G2</v>
      </c>
      <c r="B19" s="8">
        <f t="shared" si="1"/>
        <v>46099</v>
      </c>
      <c r="C19" s="8">
        <f t="shared" si="2"/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81588</v>
      </c>
      <c r="I19" s="7" t="s">
        <v>104</v>
      </c>
      <c r="J19" s="7">
        <v>45647130</v>
      </c>
      <c r="K19" s="7" t="s">
        <v>2489</v>
      </c>
      <c r="L19" s="7" t="s">
        <v>2480</v>
      </c>
      <c r="M19" s="9">
        <v>149900</v>
      </c>
      <c r="N19" s="14" t="s">
        <v>618</v>
      </c>
      <c r="O19" s="14" t="str">
        <f t="shared" si="3"/>
        <v>B1G2</v>
      </c>
      <c r="P19" s="14" t="s">
        <v>618</v>
      </c>
    </row>
    <row r="20" spans="1:16" x14ac:dyDescent="0.25">
      <c r="A20" s="7" t="str">
        <f t="shared" si="0"/>
        <v>2025 JAN-APR B1G2</v>
      </c>
      <c r="B20" s="8">
        <f t="shared" si="1"/>
        <v>46099</v>
      </c>
      <c r="C20" s="8">
        <f t="shared" si="2"/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45647149</v>
      </c>
      <c r="K20" s="7" t="s">
        <v>2491</v>
      </c>
      <c r="L20" s="7" t="s">
        <v>2519</v>
      </c>
      <c r="M20" s="9">
        <v>149900</v>
      </c>
      <c r="N20" s="14" t="s">
        <v>618</v>
      </c>
      <c r="O20" s="14" t="str">
        <f t="shared" si="3"/>
        <v>B1G2</v>
      </c>
      <c r="P20" s="14" t="s">
        <v>618</v>
      </c>
    </row>
    <row r="21" spans="1:16" x14ac:dyDescent="0.25">
      <c r="A21" s="7" t="str">
        <f t="shared" si="0"/>
        <v>2025 JAN-APR B1G2</v>
      </c>
      <c r="B21" s="8">
        <f t="shared" si="1"/>
        <v>46099</v>
      </c>
      <c r="C21" s="8">
        <f t="shared" si="2"/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45647158</v>
      </c>
      <c r="K21" s="7" t="s">
        <v>2491</v>
      </c>
      <c r="L21" s="7" t="s">
        <v>2520</v>
      </c>
      <c r="M21" s="9">
        <v>149900</v>
      </c>
      <c r="N21" s="14" t="s">
        <v>618</v>
      </c>
      <c r="O21" s="14" t="str">
        <f t="shared" si="3"/>
        <v>B1G2</v>
      </c>
      <c r="P21" s="14" t="s">
        <v>618</v>
      </c>
    </row>
    <row r="22" spans="1:16" x14ac:dyDescent="0.25">
      <c r="A22" s="7" t="str">
        <f t="shared" si="0"/>
        <v>2025 JAN-APR B1G2</v>
      </c>
      <c r="B22" s="8">
        <f t="shared" si="1"/>
        <v>46099</v>
      </c>
      <c r="C22" s="8">
        <f t="shared" si="2"/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45647167</v>
      </c>
      <c r="K22" s="7" t="s">
        <v>2491</v>
      </c>
      <c r="L22" s="7" t="s">
        <v>2521</v>
      </c>
      <c r="M22" s="9">
        <v>149900</v>
      </c>
      <c r="N22" s="14" t="s">
        <v>618</v>
      </c>
      <c r="O22" s="14" t="str">
        <f t="shared" si="3"/>
        <v>B1G2</v>
      </c>
      <c r="P22" s="14" t="s">
        <v>618</v>
      </c>
    </row>
    <row r="23" spans="1:16" x14ac:dyDescent="0.25">
      <c r="A23" s="7" t="str">
        <f t="shared" si="0"/>
        <v>2025 JAN-APR B1G2</v>
      </c>
      <c r="B23" s="8">
        <f t="shared" si="1"/>
        <v>46099</v>
      </c>
      <c r="C23" s="8">
        <f t="shared" si="2"/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45647176</v>
      </c>
      <c r="K23" s="7" t="s">
        <v>2491</v>
      </c>
      <c r="L23" s="7" t="s">
        <v>2522</v>
      </c>
      <c r="M23" s="9">
        <v>149900</v>
      </c>
      <c r="N23" s="14" t="s">
        <v>618</v>
      </c>
      <c r="O23" s="14" t="str">
        <f t="shared" si="3"/>
        <v>B1G2</v>
      </c>
      <c r="P23" s="14" t="s">
        <v>618</v>
      </c>
    </row>
    <row r="24" spans="1:16" x14ac:dyDescent="0.25">
      <c r="A24" s="7" t="str">
        <f t="shared" si="0"/>
        <v>2025 JAN-APR B1G2</v>
      </c>
      <c r="B24" s="8">
        <f t="shared" si="1"/>
        <v>46099</v>
      </c>
      <c r="C24" s="8">
        <f t="shared" si="2"/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45647185</v>
      </c>
      <c r="K24" s="7" t="s">
        <v>2491</v>
      </c>
      <c r="L24" s="7" t="s">
        <v>2523</v>
      </c>
      <c r="M24" s="9">
        <v>149900</v>
      </c>
      <c r="N24" s="14" t="s">
        <v>618</v>
      </c>
      <c r="O24" s="14" t="str">
        <f t="shared" si="3"/>
        <v>B1G2</v>
      </c>
      <c r="P24" s="14" t="s">
        <v>618</v>
      </c>
    </row>
    <row r="25" spans="1:16" x14ac:dyDescent="0.25">
      <c r="A25" s="7" t="str">
        <f t="shared" si="0"/>
        <v>2025 JAN-APR B1G2</v>
      </c>
      <c r="B25" s="8">
        <f t="shared" si="1"/>
        <v>46099</v>
      </c>
      <c r="C25" s="8">
        <f t="shared" si="2"/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45647194</v>
      </c>
      <c r="K25" s="7" t="s">
        <v>2491</v>
      </c>
      <c r="L25" s="7" t="s">
        <v>2524</v>
      </c>
      <c r="M25" s="9">
        <v>149900</v>
      </c>
      <c r="N25" s="14" t="s">
        <v>618</v>
      </c>
      <c r="O25" s="14" t="str">
        <f t="shared" si="3"/>
        <v>B1G2</v>
      </c>
      <c r="P25" s="14" t="s">
        <v>618</v>
      </c>
    </row>
    <row r="26" spans="1:16" x14ac:dyDescent="0.25">
      <c r="A26" s="7" t="str">
        <f t="shared" si="0"/>
        <v>2025 JAN-APR B1G2</v>
      </c>
      <c r="B26" s="8">
        <f t="shared" si="1"/>
        <v>46099</v>
      </c>
      <c r="C26" s="8">
        <f t="shared" si="2"/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45647201</v>
      </c>
      <c r="K26" s="7" t="s">
        <v>2491</v>
      </c>
      <c r="L26" s="7" t="s">
        <v>2525</v>
      </c>
      <c r="M26" s="9">
        <v>149900</v>
      </c>
      <c r="N26" s="14" t="s">
        <v>618</v>
      </c>
      <c r="O26" s="14" t="str">
        <f t="shared" si="3"/>
        <v>B1G2</v>
      </c>
      <c r="P26" s="14" t="s">
        <v>618</v>
      </c>
    </row>
    <row r="27" spans="1:16" x14ac:dyDescent="0.25">
      <c r="A27" s="7" t="str">
        <f t="shared" si="0"/>
        <v>2025 JAN-APR B1G2</v>
      </c>
      <c r="B27" s="8">
        <f t="shared" si="1"/>
        <v>46099</v>
      </c>
      <c r="C27" s="8">
        <f t="shared" si="2"/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45647210</v>
      </c>
      <c r="K27" s="7" t="s">
        <v>2491</v>
      </c>
      <c r="L27" s="7" t="s">
        <v>2526</v>
      </c>
      <c r="M27" s="9">
        <v>149900</v>
      </c>
      <c r="N27" s="14" t="s">
        <v>618</v>
      </c>
      <c r="O27" s="14" t="str">
        <f t="shared" si="3"/>
        <v>B1G2</v>
      </c>
      <c r="P27" s="14" t="s">
        <v>618</v>
      </c>
    </row>
    <row r="28" spans="1:16" x14ac:dyDescent="0.25">
      <c r="A28" s="7" t="str">
        <f t="shared" si="0"/>
        <v>2025 JAN-APR B1G2</v>
      </c>
      <c r="B28" s="8">
        <f t="shared" si="1"/>
        <v>46099</v>
      </c>
      <c r="C28" s="8">
        <f t="shared" si="2"/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45647309</v>
      </c>
      <c r="K28" s="7" t="s">
        <v>2492</v>
      </c>
      <c r="L28" s="7" t="s">
        <v>2527</v>
      </c>
      <c r="M28" s="9">
        <v>149900</v>
      </c>
      <c r="N28" s="14" t="s">
        <v>618</v>
      </c>
      <c r="O28" s="14" t="str">
        <f t="shared" si="3"/>
        <v>B1G2</v>
      </c>
      <c r="P28" s="14" t="s">
        <v>618</v>
      </c>
    </row>
    <row r="29" spans="1:16" x14ac:dyDescent="0.25">
      <c r="A29" s="7" t="str">
        <f t="shared" si="0"/>
        <v>2025 JAN-APR B1G2</v>
      </c>
      <c r="B29" s="8">
        <f t="shared" si="1"/>
        <v>46099</v>
      </c>
      <c r="C29" s="8">
        <f t="shared" si="2"/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45647318</v>
      </c>
      <c r="K29" s="7" t="s">
        <v>2492</v>
      </c>
      <c r="L29" s="7" t="s">
        <v>2528</v>
      </c>
      <c r="M29" s="9">
        <v>149900</v>
      </c>
      <c r="N29" s="14" t="s">
        <v>618</v>
      </c>
      <c r="O29" s="14" t="str">
        <f t="shared" si="3"/>
        <v>B1G2</v>
      </c>
      <c r="P29" s="14" t="s">
        <v>618</v>
      </c>
    </row>
    <row r="30" spans="1:16" x14ac:dyDescent="0.25">
      <c r="A30" s="7" t="str">
        <f t="shared" si="0"/>
        <v>2025 JAN-APR B1G2</v>
      </c>
      <c r="B30" s="8">
        <f t="shared" si="1"/>
        <v>46099</v>
      </c>
      <c r="C30" s="8">
        <f t="shared" si="2"/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45647327</v>
      </c>
      <c r="K30" s="7" t="s">
        <v>2492</v>
      </c>
      <c r="L30" s="7" t="s">
        <v>2529</v>
      </c>
      <c r="M30" s="9">
        <v>149900</v>
      </c>
      <c r="N30" s="14" t="s">
        <v>618</v>
      </c>
      <c r="O30" s="14" t="str">
        <f t="shared" si="3"/>
        <v>B1G2</v>
      </c>
      <c r="P30" s="14" t="s">
        <v>618</v>
      </c>
    </row>
    <row r="31" spans="1:16" x14ac:dyDescent="0.25">
      <c r="A31" s="7" t="str">
        <f t="shared" si="0"/>
        <v>2025 JAN-APR B1G2</v>
      </c>
      <c r="B31" s="8">
        <f t="shared" si="1"/>
        <v>46099</v>
      </c>
      <c r="C31" s="8">
        <f t="shared" si="2"/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45647336</v>
      </c>
      <c r="K31" s="7" t="s">
        <v>2492</v>
      </c>
      <c r="L31" s="7" t="s">
        <v>2530</v>
      </c>
      <c r="M31" s="9">
        <v>149900</v>
      </c>
      <c r="N31" s="14" t="s">
        <v>618</v>
      </c>
      <c r="O31" s="14" t="str">
        <f t="shared" si="3"/>
        <v>B1G2</v>
      </c>
      <c r="P31" s="14" t="s">
        <v>618</v>
      </c>
    </row>
    <row r="32" spans="1:16" x14ac:dyDescent="0.25">
      <c r="A32" s="7" t="str">
        <f t="shared" si="0"/>
        <v>2025 JAN-APR B1G2</v>
      </c>
      <c r="B32" s="8">
        <f t="shared" si="1"/>
        <v>46099</v>
      </c>
      <c r="C32" s="8">
        <f t="shared" si="2"/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45647345</v>
      </c>
      <c r="K32" s="7" t="s">
        <v>2492</v>
      </c>
      <c r="L32" s="7" t="s">
        <v>2531</v>
      </c>
      <c r="M32" s="9">
        <v>149900</v>
      </c>
      <c r="N32" s="14" t="s">
        <v>618</v>
      </c>
      <c r="O32" s="14" t="str">
        <f t="shared" si="3"/>
        <v>B1G2</v>
      </c>
      <c r="P32" s="14" t="s">
        <v>618</v>
      </c>
    </row>
    <row r="33" spans="1:16" x14ac:dyDescent="0.25">
      <c r="A33" s="7" t="str">
        <f t="shared" si="0"/>
        <v>2025 JAN-APR B1G2</v>
      </c>
      <c r="B33" s="8">
        <f t="shared" si="1"/>
        <v>46099</v>
      </c>
      <c r="C33" s="8">
        <f t="shared" si="2"/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45647354</v>
      </c>
      <c r="K33" s="7" t="s">
        <v>2492</v>
      </c>
      <c r="L33" s="7" t="s">
        <v>2532</v>
      </c>
      <c r="M33" s="9">
        <v>149900</v>
      </c>
      <c r="N33" s="14" t="s">
        <v>618</v>
      </c>
      <c r="O33" s="14" t="str">
        <f t="shared" si="3"/>
        <v>B1G2</v>
      </c>
      <c r="P33" s="14" t="s">
        <v>618</v>
      </c>
    </row>
    <row r="34" spans="1:16" x14ac:dyDescent="0.25">
      <c r="A34" s="7" t="str">
        <f t="shared" si="0"/>
        <v>2025 JAN-APR B1G2</v>
      </c>
      <c r="B34" s="8">
        <f t="shared" si="1"/>
        <v>46099</v>
      </c>
      <c r="C34" s="8">
        <f t="shared" si="2"/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45647363</v>
      </c>
      <c r="K34" s="7" t="s">
        <v>2492</v>
      </c>
      <c r="L34" s="7" t="s">
        <v>2533</v>
      </c>
      <c r="M34" s="9">
        <v>149900</v>
      </c>
      <c r="N34" s="14" t="s">
        <v>618</v>
      </c>
      <c r="O34" s="14" t="str">
        <f t="shared" si="3"/>
        <v>B1G2</v>
      </c>
      <c r="P34" s="14" t="s">
        <v>618</v>
      </c>
    </row>
    <row r="35" spans="1:16" x14ac:dyDescent="0.25">
      <c r="A35" s="7" t="str">
        <f t="shared" si="0"/>
        <v>2025 JAN-APR B1G2</v>
      </c>
      <c r="B35" s="8">
        <f t="shared" si="1"/>
        <v>46099</v>
      </c>
      <c r="C35" s="8">
        <f t="shared" si="2"/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45647372</v>
      </c>
      <c r="K35" s="7" t="s">
        <v>2492</v>
      </c>
      <c r="L35" s="7" t="s">
        <v>2534</v>
      </c>
      <c r="M35" s="9">
        <v>149900</v>
      </c>
      <c r="N35" s="14" t="s">
        <v>618</v>
      </c>
      <c r="O35" s="14" t="str">
        <f t="shared" si="3"/>
        <v>B1G2</v>
      </c>
      <c r="P35" s="14" t="s">
        <v>618</v>
      </c>
    </row>
    <row r="36" spans="1:16" x14ac:dyDescent="0.25">
      <c r="A36" s="7" t="str">
        <f t="shared" si="0"/>
        <v>2025 JAN-APR B1G2</v>
      </c>
      <c r="B36" s="8">
        <f t="shared" si="1"/>
        <v>46099</v>
      </c>
      <c r="C36" s="8">
        <f t="shared" si="2"/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45647381</v>
      </c>
      <c r="K36" s="7" t="s">
        <v>2490</v>
      </c>
      <c r="L36" s="7" t="s">
        <v>2481</v>
      </c>
      <c r="M36" s="9">
        <v>149900</v>
      </c>
      <c r="N36" s="14" t="s">
        <v>618</v>
      </c>
      <c r="O36" s="14" t="str">
        <f t="shared" si="3"/>
        <v>B1G2</v>
      </c>
      <c r="P36" s="14" t="s">
        <v>618</v>
      </c>
    </row>
    <row r="37" spans="1:16" x14ac:dyDescent="0.25">
      <c r="A37" s="7" t="str">
        <f t="shared" si="0"/>
        <v>2025 JAN-APR B1G2</v>
      </c>
      <c r="B37" s="8">
        <f t="shared" si="1"/>
        <v>46099</v>
      </c>
      <c r="C37" s="8">
        <f t="shared" si="2"/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45647390</v>
      </c>
      <c r="K37" s="7" t="s">
        <v>2490</v>
      </c>
      <c r="L37" s="7" t="s">
        <v>2482</v>
      </c>
      <c r="M37" s="9">
        <v>149900</v>
      </c>
      <c r="N37" s="14" t="s">
        <v>618</v>
      </c>
      <c r="O37" s="14" t="str">
        <f t="shared" si="3"/>
        <v>B1G2</v>
      </c>
      <c r="P37" s="14" t="s">
        <v>618</v>
      </c>
    </row>
    <row r="38" spans="1:16" x14ac:dyDescent="0.25">
      <c r="A38" s="7" t="str">
        <f t="shared" si="0"/>
        <v>2025 JAN-APR B1G2</v>
      </c>
      <c r="B38" s="8">
        <f t="shared" si="1"/>
        <v>46099</v>
      </c>
      <c r="C38" s="8">
        <f t="shared" si="2"/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45647407</v>
      </c>
      <c r="K38" s="7" t="s">
        <v>2490</v>
      </c>
      <c r="L38" s="7" t="s">
        <v>2483</v>
      </c>
      <c r="M38" s="9">
        <v>149900</v>
      </c>
      <c r="N38" s="14" t="s">
        <v>618</v>
      </c>
      <c r="O38" s="14" t="str">
        <f t="shared" si="3"/>
        <v>B1G2</v>
      </c>
      <c r="P38" s="14" t="s">
        <v>618</v>
      </c>
    </row>
    <row r="39" spans="1:16" x14ac:dyDescent="0.25">
      <c r="A39" s="7" t="str">
        <f t="shared" si="0"/>
        <v>2025 JAN-APR B1G2</v>
      </c>
      <c r="B39" s="8">
        <f t="shared" si="1"/>
        <v>46099</v>
      </c>
      <c r="C39" s="8">
        <f t="shared" si="2"/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45647416</v>
      </c>
      <c r="K39" s="7" t="s">
        <v>2490</v>
      </c>
      <c r="L39" s="7" t="s">
        <v>2484</v>
      </c>
      <c r="M39" s="9">
        <v>149900</v>
      </c>
      <c r="N39" s="14" t="s">
        <v>618</v>
      </c>
      <c r="O39" s="14" t="str">
        <f t="shared" si="3"/>
        <v>B1G2</v>
      </c>
      <c r="P39" s="14" t="s">
        <v>618</v>
      </c>
    </row>
    <row r="40" spans="1:16" x14ac:dyDescent="0.25">
      <c r="A40" s="7" t="str">
        <f t="shared" si="0"/>
        <v>2025 JAN-APR B1G2</v>
      </c>
      <c r="B40" s="8">
        <f t="shared" si="1"/>
        <v>46099</v>
      </c>
      <c r="C40" s="8">
        <f t="shared" si="2"/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45647425</v>
      </c>
      <c r="K40" s="7" t="s">
        <v>2490</v>
      </c>
      <c r="L40" s="7" t="s">
        <v>2485</v>
      </c>
      <c r="M40" s="9">
        <v>149900</v>
      </c>
      <c r="N40" s="14" t="s">
        <v>618</v>
      </c>
      <c r="O40" s="14" t="str">
        <f t="shared" si="3"/>
        <v>B1G2</v>
      </c>
      <c r="P40" s="14" t="s">
        <v>618</v>
      </c>
    </row>
    <row r="41" spans="1:16" x14ac:dyDescent="0.25">
      <c r="A41" s="7" t="str">
        <f t="shared" si="0"/>
        <v>2025 JAN-APR B1G2</v>
      </c>
      <c r="B41" s="8">
        <f t="shared" si="1"/>
        <v>46099</v>
      </c>
      <c r="C41" s="8">
        <f t="shared" si="2"/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45647434</v>
      </c>
      <c r="K41" s="7" t="s">
        <v>2490</v>
      </c>
      <c r="L41" s="7" t="s">
        <v>2486</v>
      </c>
      <c r="M41" s="9">
        <v>149900</v>
      </c>
      <c r="N41" s="14" t="s">
        <v>618</v>
      </c>
      <c r="O41" s="14" t="str">
        <f t="shared" si="3"/>
        <v>B1G2</v>
      </c>
      <c r="P41" s="14" t="s">
        <v>618</v>
      </c>
    </row>
    <row r="42" spans="1:16" x14ac:dyDescent="0.25">
      <c r="A42" s="7" t="str">
        <f t="shared" si="0"/>
        <v>2025 JAN-APR B1G2</v>
      </c>
      <c r="B42" s="8">
        <f t="shared" si="1"/>
        <v>46099</v>
      </c>
      <c r="C42" s="8">
        <f t="shared" si="2"/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45647443</v>
      </c>
      <c r="K42" s="7" t="s">
        <v>2490</v>
      </c>
      <c r="L42" s="7" t="s">
        <v>2487</v>
      </c>
      <c r="M42" s="9">
        <v>149900</v>
      </c>
      <c r="N42" s="14" t="s">
        <v>618</v>
      </c>
      <c r="O42" s="14" t="str">
        <f t="shared" si="3"/>
        <v>B1G2</v>
      </c>
      <c r="P42" s="14" t="s">
        <v>618</v>
      </c>
    </row>
    <row r="43" spans="1:16" x14ac:dyDescent="0.25">
      <c r="A43" s="7" t="str">
        <f t="shared" si="0"/>
        <v>2025 JAN-APR B1G2</v>
      </c>
      <c r="B43" s="8">
        <f t="shared" si="1"/>
        <v>46099</v>
      </c>
      <c r="C43" s="8">
        <f t="shared" si="2"/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45647452</v>
      </c>
      <c r="K43" s="7" t="s">
        <v>2490</v>
      </c>
      <c r="L43" s="7" t="s">
        <v>2488</v>
      </c>
      <c r="M43" s="9">
        <v>149900</v>
      </c>
      <c r="N43" s="14" t="s">
        <v>618</v>
      </c>
      <c r="O43" s="14" t="str">
        <f t="shared" si="3"/>
        <v>B1G2</v>
      </c>
      <c r="P43" s="14" t="s">
        <v>618</v>
      </c>
    </row>
    <row r="44" spans="1:16" x14ac:dyDescent="0.25">
      <c r="A44" s="7" t="str">
        <f t="shared" si="0"/>
        <v>2025 JAN-APR B1G2</v>
      </c>
      <c r="B44" s="8">
        <f t="shared" si="1"/>
        <v>46099</v>
      </c>
      <c r="C44" s="8">
        <f t="shared" si="2"/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45647461</v>
      </c>
      <c r="K44" s="7" t="s">
        <v>2493</v>
      </c>
      <c r="L44" s="7" t="s">
        <v>2535</v>
      </c>
      <c r="M44" s="9">
        <v>149900</v>
      </c>
      <c r="N44" s="14" t="s">
        <v>618</v>
      </c>
      <c r="O44" s="14" t="str">
        <f t="shared" si="3"/>
        <v>B1G2</v>
      </c>
      <c r="P44" s="14" t="s">
        <v>618</v>
      </c>
    </row>
    <row r="45" spans="1:16" x14ac:dyDescent="0.25">
      <c r="A45" s="7" t="str">
        <f t="shared" si="0"/>
        <v>2025 JAN-APR B1G2</v>
      </c>
      <c r="B45" s="8">
        <f t="shared" si="1"/>
        <v>46099</v>
      </c>
      <c r="C45" s="8">
        <f t="shared" si="2"/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45647470</v>
      </c>
      <c r="K45" s="7" t="s">
        <v>2493</v>
      </c>
      <c r="L45" s="7" t="s">
        <v>2536</v>
      </c>
      <c r="M45" s="9">
        <v>149900</v>
      </c>
      <c r="N45" s="14" t="s">
        <v>618</v>
      </c>
      <c r="O45" s="14" t="str">
        <f t="shared" si="3"/>
        <v>B1G2</v>
      </c>
      <c r="P45" s="14" t="s">
        <v>618</v>
      </c>
    </row>
    <row r="46" spans="1:16" x14ac:dyDescent="0.25">
      <c r="A46" s="7" t="str">
        <f t="shared" si="0"/>
        <v>2025 JAN-APR B1G2</v>
      </c>
      <c r="B46" s="8">
        <f t="shared" si="1"/>
        <v>46099</v>
      </c>
      <c r="C46" s="8">
        <f t="shared" si="2"/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45647489</v>
      </c>
      <c r="K46" s="7" t="s">
        <v>2493</v>
      </c>
      <c r="L46" s="7" t="s">
        <v>2537</v>
      </c>
      <c r="M46" s="9">
        <v>149900</v>
      </c>
      <c r="N46" s="14" t="s">
        <v>618</v>
      </c>
      <c r="O46" s="14" t="str">
        <f t="shared" si="3"/>
        <v>B1G2</v>
      </c>
      <c r="P46" s="14" t="s">
        <v>618</v>
      </c>
    </row>
    <row r="47" spans="1:16" x14ac:dyDescent="0.25">
      <c r="A47" s="7" t="str">
        <f t="shared" si="0"/>
        <v>2025 JAN-APR B1G2</v>
      </c>
      <c r="B47" s="8">
        <f t="shared" si="1"/>
        <v>46099</v>
      </c>
      <c r="C47" s="8">
        <f t="shared" si="2"/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45647498</v>
      </c>
      <c r="K47" s="7" t="s">
        <v>2493</v>
      </c>
      <c r="L47" s="7" t="s">
        <v>2538</v>
      </c>
      <c r="M47" s="9">
        <v>139900</v>
      </c>
      <c r="N47" s="14" t="s">
        <v>618</v>
      </c>
      <c r="O47" s="14" t="str">
        <f t="shared" si="3"/>
        <v>B1G2</v>
      </c>
      <c r="P47" s="14" t="s">
        <v>618</v>
      </c>
    </row>
    <row r="48" spans="1:16" x14ac:dyDescent="0.25">
      <c r="A48" s="7" t="str">
        <f t="shared" si="0"/>
        <v>2025 JAN-APR B1G2</v>
      </c>
      <c r="B48" s="8">
        <f t="shared" si="1"/>
        <v>46099</v>
      </c>
      <c r="C48" s="8">
        <f t="shared" si="2"/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45647505</v>
      </c>
      <c r="K48" s="7" t="s">
        <v>2493</v>
      </c>
      <c r="L48" s="7" t="s">
        <v>2539</v>
      </c>
      <c r="M48" s="9">
        <v>139900</v>
      </c>
      <c r="N48" s="14" t="s">
        <v>618</v>
      </c>
      <c r="O48" s="14" t="str">
        <f t="shared" si="3"/>
        <v>B1G2</v>
      </c>
      <c r="P48" s="14" t="s">
        <v>618</v>
      </c>
    </row>
    <row r="49" spans="1:16" x14ac:dyDescent="0.25">
      <c r="A49" s="7" t="str">
        <f t="shared" si="0"/>
        <v>2025 JAN-APR B1G2</v>
      </c>
      <c r="B49" s="8">
        <f t="shared" si="1"/>
        <v>46099</v>
      </c>
      <c r="C49" s="8">
        <f t="shared" si="2"/>
        <v>46113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45647514</v>
      </c>
      <c r="K49" s="7" t="s">
        <v>2493</v>
      </c>
      <c r="L49" s="7" t="s">
        <v>2540</v>
      </c>
      <c r="M49" s="9">
        <v>139900</v>
      </c>
      <c r="N49" s="14" t="s">
        <v>618</v>
      </c>
      <c r="O49" s="14" t="str">
        <f t="shared" si="3"/>
        <v>B1G2</v>
      </c>
      <c r="P49" s="14" t="s">
        <v>618</v>
      </c>
    </row>
    <row r="50" spans="1:16" x14ac:dyDescent="0.25">
      <c r="A50" s="7" t="str">
        <f t="shared" si="0"/>
        <v>2025 JAN-APR B1G2</v>
      </c>
      <c r="B50" s="8">
        <f t="shared" si="1"/>
        <v>46099</v>
      </c>
      <c r="C50" s="8">
        <f t="shared" si="2"/>
        <v>46113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45647523</v>
      </c>
      <c r="K50" s="7" t="s">
        <v>2493</v>
      </c>
      <c r="L50" s="7" t="s">
        <v>2541</v>
      </c>
      <c r="M50" s="9">
        <v>139900</v>
      </c>
      <c r="N50" s="14" t="s">
        <v>618</v>
      </c>
      <c r="O50" s="14" t="str">
        <f t="shared" si="3"/>
        <v>B1G2</v>
      </c>
      <c r="P50" s="14" t="s">
        <v>618</v>
      </c>
    </row>
    <row r="51" spans="1:16" x14ac:dyDescent="0.25">
      <c r="A51" s="7" t="str">
        <f t="shared" si="0"/>
        <v>2025 JAN-APR B1G2</v>
      </c>
      <c r="B51" s="8">
        <f t="shared" si="1"/>
        <v>46099</v>
      </c>
      <c r="C51" s="8">
        <f t="shared" si="2"/>
        <v>46113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45647532</v>
      </c>
      <c r="K51" s="7" t="s">
        <v>2493</v>
      </c>
      <c r="L51" s="7" t="s">
        <v>2542</v>
      </c>
      <c r="M51" s="9">
        <v>139900</v>
      </c>
      <c r="N51" s="14" t="s">
        <v>618</v>
      </c>
      <c r="O51" s="14" t="str">
        <f t="shared" si="3"/>
        <v>B1G2</v>
      </c>
      <c r="P51" s="14" t="s">
        <v>618</v>
      </c>
    </row>
    <row r="52" spans="1:16" x14ac:dyDescent="0.25">
      <c r="A52" s="7" t="str">
        <f t="shared" si="0"/>
        <v>2025 JAN-APR B1G2</v>
      </c>
      <c r="B52" s="8">
        <f t="shared" si="1"/>
        <v>46099</v>
      </c>
      <c r="C52" s="8">
        <f t="shared" si="2"/>
        <v>46113</v>
      </c>
      <c r="D52" s="7">
        <v>3272</v>
      </c>
      <c r="E52" s="7">
        <v>336</v>
      </c>
      <c r="F52" s="7">
        <v>4</v>
      </c>
      <c r="G52" s="7">
        <v>3</v>
      </c>
      <c r="H52" s="7">
        <v>81379</v>
      </c>
      <c r="I52" s="7" t="s">
        <v>104</v>
      </c>
      <c r="J52" s="7">
        <v>45647541</v>
      </c>
      <c r="K52" s="7" t="s">
        <v>2746</v>
      </c>
      <c r="L52" s="7" t="s">
        <v>2781</v>
      </c>
      <c r="M52" s="9">
        <v>139900</v>
      </c>
      <c r="N52" s="14" t="s">
        <v>618</v>
      </c>
      <c r="O52" s="14" t="str">
        <f t="shared" si="3"/>
        <v>B1G2</v>
      </c>
      <c r="P52" s="14" t="s">
        <v>618</v>
      </c>
    </row>
    <row r="53" spans="1:16" x14ac:dyDescent="0.25">
      <c r="A53" s="7" t="str">
        <f t="shared" si="0"/>
        <v>2025 JAN-APR B1G2</v>
      </c>
      <c r="B53" s="8">
        <f t="shared" si="1"/>
        <v>46099</v>
      </c>
      <c r="C53" s="8">
        <f t="shared" si="2"/>
        <v>46113</v>
      </c>
      <c r="D53" s="7">
        <v>3272</v>
      </c>
      <c r="E53" s="7">
        <v>336</v>
      </c>
      <c r="F53" s="7">
        <v>4</v>
      </c>
      <c r="G53" s="7">
        <v>3</v>
      </c>
      <c r="H53" s="7">
        <v>81379</v>
      </c>
      <c r="I53" s="7" t="s">
        <v>104</v>
      </c>
      <c r="J53" s="7">
        <v>45647550</v>
      </c>
      <c r="K53" s="7" t="s">
        <v>2746</v>
      </c>
      <c r="L53" s="7" t="s">
        <v>2782</v>
      </c>
      <c r="M53" s="9">
        <v>139900</v>
      </c>
      <c r="N53" s="14" t="s">
        <v>618</v>
      </c>
      <c r="O53" s="14" t="str">
        <f t="shared" si="3"/>
        <v>B1G2</v>
      </c>
      <c r="P53" s="14" t="s">
        <v>618</v>
      </c>
    </row>
    <row r="54" spans="1:16" x14ac:dyDescent="0.25">
      <c r="A54" s="7" t="str">
        <f t="shared" si="0"/>
        <v>2025 JAN-APR B1G2</v>
      </c>
      <c r="B54" s="8">
        <f t="shared" si="1"/>
        <v>46099</v>
      </c>
      <c r="C54" s="8">
        <f t="shared" si="2"/>
        <v>46113</v>
      </c>
      <c r="D54" s="7">
        <v>3272</v>
      </c>
      <c r="E54" s="7">
        <v>336</v>
      </c>
      <c r="F54" s="7">
        <v>4</v>
      </c>
      <c r="G54" s="7">
        <v>3</v>
      </c>
      <c r="H54" s="7">
        <v>81379</v>
      </c>
      <c r="I54" s="7" t="s">
        <v>104</v>
      </c>
      <c r="J54" s="7">
        <v>45647569</v>
      </c>
      <c r="K54" s="7" t="s">
        <v>2746</v>
      </c>
      <c r="L54" s="7" t="s">
        <v>2783</v>
      </c>
      <c r="M54" s="9">
        <v>139900</v>
      </c>
      <c r="N54" s="14" t="s">
        <v>618</v>
      </c>
      <c r="O54" s="14" t="str">
        <f t="shared" si="3"/>
        <v>B1G2</v>
      </c>
      <c r="P54" s="14" t="s">
        <v>618</v>
      </c>
    </row>
    <row r="55" spans="1:16" x14ac:dyDescent="0.25">
      <c r="A55" s="7" t="str">
        <f t="shared" si="0"/>
        <v>2025 JAN-APR B1G2</v>
      </c>
      <c r="B55" s="8">
        <f t="shared" si="1"/>
        <v>46099</v>
      </c>
      <c r="C55" s="8">
        <f t="shared" si="2"/>
        <v>46113</v>
      </c>
      <c r="D55" s="7">
        <v>3272</v>
      </c>
      <c r="E55" s="7">
        <v>336</v>
      </c>
      <c r="F55" s="7">
        <v>4</v>
      </c>
      <c r="G55" s="7">
        <v>3</v>
      </c>
      <c r="H55" s="7">
        <v>81379</v>
      </c>
      <c r="I55" s="7" t="s">
        <v>104</v>
      </c>
      <c r="J55" s="7">
        <v>45647578</v>
      </c>
      <c r="K55" s="7" t="s">
        <v>2746</v>
      </c>
      <c r="L55" s="7" t="s">
        <v>2784</v>
      </c>
      <c r="M55" s="9">
        <v>139900</v>
      </c>
      <c r="N55" s="14" t="s">
        <v>618</v>
      </c>
      <c r="O55" s="14" t="str">
        <f t="shared" si="3"/>
        <v>B1G2</v>
      </c>
      <c r="P55" s="14" t="s">
        <v>618</v>
      </c>
    </row>
    <row r="56" spans="1:16" x14ac:dyDescent="0.25">
      <c r="A56" s="7" t="str">
        <f t="shared" si="0"/>
        <v>2025 JAN-APR B1G2</v>
      </c>
      <c r="B56" s="8">
        <f t="shared" si="1"/>
        <v>46099</v>
      </c>
      <c r="C56" s="8">
        <f t="shared" si="2"/>
        <v>46113</v>
      </c>
      <c r="D56" s="7">
        <v>3272</v>
      </c>
      <c r="E56" s="7">
        <v>336</v>
      </c>
      <c r="F56" s="7">
        <v>4</v>
      </c>
      <c r="G56" s="7">
        <v>3</v>
      </c>
      <c r="H56" s="7">
        <v>81379</v>
      </c>
      <c r="I56" s="7" t="s">
        <v>104</v>
      </c>
      <c r="J56" s="7">
        <v>45647587</v>
      </c>
      <c r="K56" s="7" t="s">
        <v>2746</v>
      </c>
      <c r="L56" s="7" t="s">
        <v>2785</v>
      </c>
      <c r="M56" s="9">
        <v>139900</v>
      </c>
      <c r="N56" s="14" t="s">
        <v>618</v>
      </c>
      <c r="O56" s="14" t="str">
        <f t="shared" si="3"/>
        <v>B1G2</v>
      </c>
      <c r="P56" s="14" t="s">
        <v>618</v>
      </c>
    </row>
    <row r="57" spans="1:16" x14ac:dyDescent="0.25">
      <c r="A57" s="7" t="str">
        <f t="shared" si="0"/>
        <v>2025 JAN-APR B1G2</v>
      </c>
      <c r="B57" s="8">
        <f t="shared" si="1"/>
        <v>46099</v>
      </c>
      <c r="C57" s="8">
        <f t="shared" si="2"/>
        <v>46113</v>
      </c>
      <c r="D57" s="7">
        <v>3272</v>
      </c>
      <c r="E57" s="7">
        <v>336</v>
      </c>
      <c r="F57" s="7">
        <v>4</v>
      </c>
      <c r="G57" s="7">
        <v>3</v>
      </c>
      <c r="H57" s="7">
        <v>81379</v>
      </c>
      <c r="I57" s="7" t="s">
        <v>104</v>
      </c>
      <c r="J57" s="7">
        <v>45647596</v>
      </c>
      <c r="K57" s="7" t="s">
        <v>2746</v>
      </c>
      <c r="L57" s="7" t="s">
        <v>2786</v>
      </c>
      <c r="M57" s="9">
        <v>139900</v>
      </c>
      <c r="N57" s="14" t="s">
        <v>618</v>
      </c>
      <c r="O57" s="14" t="str">
        <f t="shared" si="3"/>
        <v>B1G2</v>
      </c>
      <c r="P57" s="14" t="s">
        <v>618</v>
      </c>
    </row>
    <row r="58" spans="1:16" x14ac:dyDescent="0.25">
      <c r="A58" s="7" t="str">
        <f t="shared" si="0"/>
        <v>2025 JAN-APR B1G2</v>
      </c>
      <c r="B58" s="8">
        <f t="shared" si="1"/>
        <v>46099</v>
      </c>
      <c r="C58" s="8">
        <f t="shared" si="2"/>
        <v>46113</v>
      </c>
      <c r="D58" s="7">
        <v>3272</v>
      </c>
      <c r="E58" s="7">
        <v>336</v>
      </c>
      <c r="F58" s="7">
        <v>4</v>
      </c>
      <c r="G58" s="7">
        <v>3</v>
      </c>
      <c r="H58" s="7">
        <v>81379</v>
      </c>
      <c r="I58" s="7" t="s">
        <v>104</v>
      </c>
      <c r="J58" s="7">
        <v>45647603</v>
      </c>
      <c r="K58" s="7" t="s">
        <v>2746</v>
      </c>
      <c r="L58" s="7" t="s">
        <v>2787</v>
      </c>
      <c r="M58" s="9">
        <v>139900</v>
      </c>
      <c r="N58" s="14" t="s">
        <v>618</v>
      </c>
      <c r="O58" s="14" t="str">
        <f t="shared" si="3"/>
        <v>B1G2</v>
      </c>
      <c r="P58" s="14" t="s">
        <v>618</v>
      </c>
    </row>
    <row r="59" spans="1:16" x14ac:dyDescent="0.25">
      <c r="A59" s="7" t="str">
        <f t="shared" si="0"/>
        <v>2025 JAN-APR B1G2</v>
      </c>
      <c r="B59" s="8">
        <f t="shared" si="1"/>
        <v>46099</v>
      </c>
      <c r="C59" s="8">
        <f t="shared" si="2"/>
        <v>46113</v>
      </c>
      <c r="D59" s="7">
        <v>3272</v>
      </c>
      <c r="E59" s="7">
        <v>336</v>
      </c>
      <c r="F59" s="7">
        <v>4</v>
      </c>
      <c r="G59" s="7">
        <v>3</v>
      </c>
      <c r="H59" s="7">
        <v>81379</v>
      </c>
      <c r="I59" s="7" t="s">
        <v>104</v>
      </c>
      <c r="J59" s="7">
        <v>45647612</v>
      </c>
      <c r="K59" s="7" t="s">
        <v>2746</v>
      </c>
      <c r="L59" s="7" t="s">
        <v>2788</v>
      </c>
      <c r="M59" s="9">
        <v>139900</v>
      </c>
      <c r="N59" s="14" t="s">
        <v>618</v>
      </c>
      <c r="O59" s="14" t="str">
        <f t="shared" si="3"/>
        <v>B1G2</v>
      </c>
      <c r="P59" s="14" t="s">
        <v>618</v>
      </c>
    </row>
    <row r="60" spans="1:16" x14ac:dyDescent="0.25">
      <c r="A60" s="7" t="str">
        <f t="shared" si="0"/>
        <v>2025 JAN-APR B1G2</v>
      </c>
      <c r="B60" s="8">
        <f t="shared" si="1"/>
        <v>46099</v>
      </c>
      <c r="C60" s="8">
        <f t="shared" si="2"/>
        <v>46113</v>
      </c>
      <c r="D60" s="7">
        <v>3272</v>
      </c>
      <c r="E60" s="7">
        <v>336</v>
      </c>
      <c r="F60" s="7">
        <v>4</v>
      </c>
      <c r="G60" s="7">
        <v>5</v>
      </c>
      <c r="H60" s="7">
        <v>81379</v>
      </c>
      <c r="I60" s="7" t="s">
        <v>104</v>
      </c>
      <c r="J60" s="7">
        <v>45647701</v>
      </c>
      <c r="K60" s="7" t="s">
        <v>2747</v>
      </c>
      <c r="L60" s="7" t="s">
        <v>2789</v>
      </c>
      <c r="M60" s="9">
        <v>139900</v>
      </c>
      <c r="N60" s="14" t="s">
        <v>618</v>
      </c>
      <c r="O60" s="14" t="str">
        <f t="shared" si="3"/>
        <v>B1G2</v>
      </c>
      <c r="P60" s="14" t="s">
        <v>618</v>
      </c>
    </row>
    <row r="61" spans="1:16" x14ac:dyDescent="0.25">
      <c r="A61" s="7" t="str">
        <f t="shared" si="0"/>
        <v>2025 JAN-APR B1G2</v>
      </c>
      <c r="B61" s="8">
        <f t="shared" si="1"/>
        <v>46099</v>
      </c>
      <c r="C61" s="8">
        <f t="shared" si="2"/>
        <v>46113</v>
      </c>
      <c r="D61" s="7">
        <v>3272</v>
      </c>
      <c r="E61" s="7">
        <v>336</v>
      </c>
      <c r="F61" s="7">
        <v>4</v>
      </c>
      <c r="G61" s="7">
        <v>5</v>
      </c>
      <c r="H61" s="7">
        <v>81379</v>
      </c>
      <c r="I61" s="7" t="s">
        <v>104</v>
      </c>
      <c r="J61" s="7">
        <v>45647710</v>
      </c>
      <c r="K61" s="7" t="s">
        <v>2747</v>
      </c>
      <c r="L61" s="7" t="s">
        <v>2790</v>
      </c>
      <c r="M61" s="9">
        <v>139900</v>
      </c>
      <c r="N61" s="14" t="s">
        <v>618</v>
      </c>
      <c r="O61" s="14" t="str">
        <f t="shared" si="3"/>
        <v>B1G2</v>
      </c>
      <c r="P61" s="14" t="s">
        <v>618</v>
      </c>
    </row>
    <row r="62" spans="1:16" x14ac:dyDescent="0.25">
      <c r="A62" s="7" t="str">
        <f t="shared" si="0"/>
        <v>2025 JAN-APR B1G2</v>
      </c>
      <c r="B62" s="8">
        <f t="shared" si="1"/>
        <v>46099</v>
      </c>
      <c r="C62" s="8">
        <f t="shared" si="2"/>
        <v>46113</v>
      </c>
      <c r="D62" s="7">
        <v>3272</v>
      </c>
      <c r="E62" s="7">
        <v>336</v>
      </c>
      <c r="F62" s="7">
        <v>4</v>
      </c>
      <c r="G62" s="7">
        <v>5</v>
      </c>
      <c r="H62" s="7">
        <v>81379</v>
      </c>
      <c r="I62" s="7" t="s">
        <v>104</v>
      </c>
      <c r="J62" s="7">
        <v>45647729</v>
      </c>
      <c r="K62" s="7" t="s">
        <v>2747</v>
      </c>
      <c r="L62" s="7" t="s">
        <v>2791</v>
      </c>
      <c r="M62" s="9">
        <v>149900</v>
      </c>
      <c r="N62" s="14" t="s">
        <v>618</v>
      </c>
      <c r="O62" s="14" t="str">
        <f t="shared" si="3"/>
        <v>B1G2</v>
      </c>
      <c r="P62" s="14" t="s">
        <v>618</v>
      </c>
    </row>
    <row r="63" spans="1:16" x14ac:dyDescent="0.25">
      <c r="A63" s="7" t="str">
        <f t="shared" si="0"/>
        <v>2025 JAN-APR B1G2</v>
      </c>
      <c r="B63" s="8">
        <f t="shared" si="1"/>
        <v>46099</v>
      </c>
      <c r="C63" s="8">
        <f t="shared" si="2"/>
        <v>46113</v>
      </c>
      <c r="D63" s="7">
        <v>3272</v>
      </c>
      <c r="E63" s="7">
        <v>336</v>
      </c>
      <c r="F63" s="7">
        <v>4</v>
      </c>
      <c r="G63" s="7">
        <v>5</v>
      </c>
      <c r="H63" s="7">
        <v>81379</v>
      </c>
      <c r="I63" s="7" t="s">
        <v>104</v>
      </c>
      <c r="J63" s="7">
        <v>45647738</v>
      </c>
      <c r="K63" s="7" t="s">
        <v>2747</v>
      </c>
      <c r="L63" s="7" t="s">
        <v>2792</v>
      </c>
      <c r="M63" s="9">
        <v>149900</v>
      </c>
      <c r="N63" s="14" t="s">
        <v>618</v>
      </c>
      <c r="O63" s="14" t="str">
        <f t="shared" si="3"/>
        <v>B1G2</v>
      </c>
      <c r="P63" s="14" t="s">
        <v>618</v>
      </c>
    </row>
    <row r="64" spans="1:16" x14ac:dyDescent="0.25">
      <c r="A64" s="7" t="str">
        <f t="shared" si="0"/>
        <v>2025 JAN-APR B1G2</v>
      </c>
      <c r="B64" s="8">
        <f t="shared" si="1"/>
        <v>46099</v>
      </c>
      <c r="C64" s="8">
        <f t="shared" si="2"/>
        <v>46113</v>
      </c>
      <c r="D64" s="7">
        <v>3272</v>
      </c>
      <c r="E64" s="7">
        <v>336</v>
      </c>
      <c r="F64" s="7">
        <v>4</v>
      </c>
      <c r="G64" s="7">
        <v>5</v>
      </c>
      <c r="H64" s="7">
        <v>81379</v>
      </c>
      <c r="I64" s="7" t="s">
        <v>104</v>
      </c>
      <c r="J64" s="7">
        <v>45647747</v>
      </c>
      <c r="K64" s="7" t="s">
        <v>2747</v>
      </c>
      <c r="L64" s="7" t="s">
        <v>2793</v>
      </c>
      <c r="M64" s="9">
        <v>149900</v>
      </c>
      <c r="N64" s="14" t="s">
        <v>618</v>
      </c>
      <c r="O64" s="14" t="str">
        <f t="shared" si="3"/>
        <v>B1G2</v>
      </c>
      <c r="P64" s="14" t="s">
        <v>618</v>
      </c>
    </row>
    <row r="65" spans="1:16" x14ac:dyDescent="0.25">
      <c r="A65" s="7" t="str">
        <f t="shared" si="0"/>
        <v>2025 JAN-APR B1G2</v>
      </c>
      <c r="B65" s="8">
        <f t="shared" si="1"/>
        <v>46099</v>
      </c>
      <c r="C65" s="8">
        <f t="shared" si="2"/>
        <v>46113</v>
      </c>
      <c r="D65" s="7">
        <v>3272</v>
      </c>
      <c r="E65" s="7">
        <v>336</v>
      </c>
      <c r="F65" s="7">
        <v>4</v>
      </c>
      <c r="G65" s="7">
        <v>5</v>
      </c>
      <c r="H65" s="7">
        <v>81379</v>
      </c>
      <c r="I65" s="7" t="s">
        <v>104</v>
      </c>
      <c r="J65" s="7">
        <v>45647756</v>
      </c>
      <c r="K65" s="7" t="s">
        <v>2747</v>
      </c>
      <c r="L65" s="7" t="s">
        <v>2794</v>
      </c>
      <c r="M65" s="9">
        <v>149900</v>
      </c>
      <c r="N65" s="14" t="s">
        <v>618</v>
      </c>
      <c r="O65" s="14" t="str">
        <f t="shared" si="3"/>
        <v>B1G2</v>
      </c>
      <c r="P65" s="14" t="s">
        <v>618</v>
      </c>
    </row>
    <row r="66" spans="1:16" x14ac:dyDescent="0.25">
      <c r="A66" s="7" t="str">
        <f t="shared" si="0"/>
        <v>2025 JAN-APR B1G2</v>
      </c>
      <c r="B66" s="8">
        <f t="shared" si="1"/>
        <v>46099</v>
      </c>
      <c r="C66" s="8">
        <f t="shared" si="2"/>
        <v>46113</v>
      </c>
      <c r="D66" s="7">
        <v>3272</v>
      </c>
      <c r="E66" s="7">
        <v>336</v>
      </c>
      <c r="F66" s="7">
        <v>4</v>
      </c>
      <c r="G66" s="7">
        <v>5</v>
      </c>
      <c r="H66" s="7">
        <v>81379</v>
      </c>
      <c r="I66" s="7" t="s">
        <v>104</v>
      </c>
      <c r="J66" s="7">
        <v>45647765</v>
      </c>
      <c r="K66" s="7" t="s">
        <v>2747</v>
      </c>
      <c r="L66" s="7" t="s">
        <v>2795</v>
      </c>
      <c r="M66" s="9">
        <v>149900</v>
      </c>
      <c r="N66" s="14" t="s">
        <v>618</v>
      </c>
      <c r="O66" s="14" t="str">
        <f t="shared" si="3"/>
        <v>B1G2</v>
      </c>
      <c r="P66" s="14" t="s">
        <v>618</v>
      </c>
    </row>
    <row r="67" spans="1:16" x14ac:dyDescent="0.25">
      <c r="A67" s="7" t="str">
        <f t="shared" ref="A67:A130" si="4">A66</f>
        <v>2025 JAN-APR B1G2</v>
      </c>
      <c r="B67" s="8">
        <f t="shared" ref="B67:B130" si="5">B66</f>
        <v>46099</v>
      </c>
      <c r="C67" s="8">
        <f t="shared" ref="C67:C130" si="6">C66</f>
        <v>46113</v>
      </c>
      <c r="D67" s="7">
        <v>3272</v>
      </c>
      <c r="E67" s="7">
        <v>336</v>
      </c>
      <c r="F67" s="7">
        <v>4</v>
      </c>
      <c r="G67" s="7">
        <v>5</v>
      </c>
      <c r="H67" s="7">
        <v>81379</v>
      </c>
      <c r="I67" s="7" t="s">
        <v>104</v>
      </c>
      <c r="J67" s="7">
        <v>45647774</v>
      </c>
      <c r="K67" s="7" t="s">
        <v>2747</v>
      </c>
      <c r="L67" s="7" t="s">
        <v>2796</v>
      </c>
      <c r="M67" s="9">
        <v>149900</v>
      </c>
      <c r="N67" s="14" t="s">
        <v>618</v>
      </c>
      <c r="O67" s="14" t="str">
        <f t="shared" ref="O67:O130" si="7">O66</f>
        <v>B1G2</v>
      </c>
      <c r="P67" s="14" t="s">
        <v>618</v>
      </c>
    </row>
    <row r="68" spans="1:16" x14ac:dyDescent="0.25">
      <c r="A68" s="7" t="str">
        <f t="shared" si="4"/>
        <v>2025 JAN-APR B1G2</v>
      </c>
      <c r="B68" s="8">
        <f t="shared" si="5"/>
        <v>46099</v>
      </c>
      <c r="C68" s="8">
        <f t="shared" si="6"/>
        <v>46113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45647836</v>
      </c>
      <c r="K68" s="7" t="s">
        <v>2455</v>
      </c>
      <c r="L68" s="7" t="s">
        <v>2456</v>
      </c>
      <c r="M68" s="9">
        <v>149900</v>
      </c>
      <c r="N68" s="14" t="s">
        <v>618</v>
      </c>
      <c r="O68" s="14" t="str">
        <f t="shared" si="7"/>
        <v>B1G2</v>
      </c>
      <c r="P68" s="14" t="s">
        <v>618</v>
      </c>
    </row>
    <row r="69" spans="1:16" x14ac:dyDescent="0.25">
      <c r="A69" s="7" t="str">
        <f t="shared" si="4"/>
        <v>2025 JAN-APR B1G2</v>
      </c>
      <c r="B69" s="8">
        <f t="shared" si="5"/>
        <v>46099</v>
      </c>
      <c r="C69" s="8">
        <f t="shared" si="6"/>
        <v>46113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45647845</v>
      </c>
      <c r="K69" s="7" t="s">
        <v>2455</v>
      </c>
      <c r="L69" s="7" t="s">
        <v>2457</v>
      </c>
      <c r="M69" s="9">
        <v>149900</v>
      </c>
      <c r="N69" s="14" t="s">
        <v>618</v>
      </c>
      <c r="O69" s="14" t="str">
        <f t="shared" si="7"/>
        <v>B1G2</v>
      </c>
      <c r="P69" s="14" t="s">
        <v>618</v>
      </c>
    </row>
    <row r="70" spans="1:16" x14ac:dyDescent="0.25">
      <c r="A70" s="7" t="str">
        <f t="shared" si="4"/>
        <v>2025 JAN-APR B1G2</v>
      </c>
      <c r="B70" s="8">
        <f t="shared" si="5"/>
        <v>46099</v>
      </c>
      <c r="C70" s="8">
        <f t="shared" si="6"/>
        <v>46113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45647854</v>
      </c>
      <c r="K70" s="7" t="s">
        <v>2455</v>
      </c>
      <c r="L70" s="7" t="s">
        <v>2458</v>
      </c>
      <c r="M70" s="9">
        <v>149900</v>
      </c>
      <c r="N70" s="14" t="s">
        <v>618</v>
      </c>
      <c r="O70" s="14" t="str">
        <f t="shared" si="7"/>
        <v>B1G2</v>
      </c>
      <c r="P70" s="14" t="s">
        <v>618</v>
      </c>
    </row>
    <row r="71" spans="1:16" x14ac:dyDescent="0.25">
      <c r="A71" s="7" t="str">
        <f t="shared" si="4"/>
        <v>2025 JAN-APR B1G2</v>
      </c>
      <c r="B71" s="8">
        <f t="shared" si="5"/>
        <v>46099</v>
      </c>
      <c r="C71" s="8">
        <f t="shared" si="6"/>
        <v>46113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45647863</v>
      </c>
      <c r="K71" s="7" t="s">
        <v>2455</v>
      </c>
      <c r="L71" s="7" t="s">
        <v>2459</v>
      </c>
      <c r="M71" s="9">
        <v>149900</v>
      </c>
      <c r="N71" s="14" t="s">
        <v>618</v>
      </c>
      <c r="O71" s="14" t="str">
        <f t="shared" si="7"/>
        <v>B1G2</v>
      </c>
      <c r="P71" s="14" t="s">
        <v>618</v>
      </c>
    </row>
    <row r="72" spans="1:16" x14ac:dyDescent="0.25">
      <c r="A72" s="7" t="str">
        <f t="shared" si="4"/>
        <v>2025 JAN-APR B1G2</v>
      </c>
      <c r="B72" s="8">
        <f t="shared" si="5"/>
        <v>46099</v>
      </c>
      <c r="C72" s="8">
        <f t="shared" si="6"/>
        <v>46113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45647872</v>
      </c>
      <c r="K72" s="7" t="s">
        <v>2455</v>
      </c>
      <c r="L72" s="7" t="s">
        <v>2460</v>
      </c>
      <c r="M72" s="9">
        <v>139900</v>
      </c>
      <c r="N72" s="14" t="s">
        <v>618</v>
      </c>
      <c r="O72" s="14" t="str">
        <f t="shared" si="7"/>
        <v>B1G2</v>
      </c>
      <c r="P72" s="14" t="s">
        <v>618</v>
      </c>
    </row>
    <row r="73" spans="1:16" x14ac:dyDescent="0.25">
      <c r="A73" s="7" t="str">
        <f t="shared" si="4"/>
        <v>2025 JAN-APR B1G2</v>
      </c>
      <c r="B73" s="8">
        <f t="shared" si="5"/>
        <v>46099</v>
      </c>
      <c r="C73" s="8">
        <f t="shared" si="6"/>
        <v>46113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45647881</v>
      </c>
      <c r="K73" s="7" t="s">
        <v>2461</v>
      </c>
      <c r="L73" s="7" t="s">
        <v>2462</v>
      </c>
      <c r="M73" s="9">
        <v>139900</v>
      </c>
      <c r="N73" s="14" t="s">
        <v>618</v>
      </c>
      <c r="O73" s="14" t="str">
        <f t="shared" si="7"/>
        <v>B1G2</v>
      </c>
      <c r="P73" s="14" t="s">
        <v>618</v>
      </c>
    </row>
    <row r="74" spans="1:16" x14ac:dyDescent="0.25">
      <c r="A74" s="7" t="str">
        <f t="shared" si="4"/>
        <v>2025 JAN-APR B1G2</v>
      </c>
      <c r="B74" s="8">
        <f t="shared" si="5"/>
        <v>46099</v>
      </c>
      <c r="C74" s="8">
        <f t="shared" si="6"/>
        <v>46113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45647890</v>
      </c>
      <c r="K74" s="7" t="s">
        <v>2461</v>
      </c>
      <c r="L74" s="7" t="s">
        <v>2463</v>
      </c>
      <c r="M74" s="9">
        <v>139900</v>
      </c>
      <c r="N74" s="14" t="s">
        <v>618</v>
      </c>
      <c r="O74" s="14" t="str">
        <f t="shared" si="7"/>
        <v>B1G2</v>
      </c>
      <c r="P74" s="14" t="s">
        <v>618</v>
      </c>
    </row>
    <row r="75" spans="1:16" x14ac:dyDescent="0.25">
      <c r="A75" s="7" t="str">
        <f t="shared" si="4"/>
        <v>2025 JAN-APR B1G2</v>
      </c>
      <c r="B75" s="8">
        <f t="shared" si="5"/>
        <v>46099</v>
      </c>
      <c r="C75" s="8">
        <f t="shared" si="6"/>
        <v>46113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45647907</v>
      </c>
      <c r="K75" s="7" t="s">
        <v>2461</v>
      </c>
      <c r="L75" s="7" t="s">
        <v>2464</v>
      </c>
      <c r="M75" s="9">
        <v>139900</v>
      </c>
      <c r="N75" s="14" t="s">
        <v>618</v>
      </c>
      <c r="O75" s="14" t="str">
        <f t="shared" si="7"/>
        <v>B1G2</v>
      </c>
      <c r="P75" s="14" t="s">
        <v>618</v>
      </c>
    </row>
    <row r="76" spans="1:16" x14ac:dyDescent="0.25">
      <c r="A76" s="7" t="str">
        <f t="shared" si="4"/>
        <v>2025 JAN-APR B1G2</v>
      </c>
      <c r="B76" s="8">
        <f t="shared" si="5"/>
        <v>46099</v>
      </c>
      <c r="C76" s="8">
        <f t="shared" si="6"/>
        <v>46113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45647916</v>
      </c>
      <c r="K76" s="7" t="s">
        <v>2461</v>
      </c>
      <c r="L76" s="7" t="s">
        <v>2465</v>
      </c>
      <c r="M76" s="9">
        <v>139900</v>
      </c>
      <c r="N76" s="14" t="s">
        <v>618</v>
      </c>
      <c r="O76" s="14" t="str">
        <f t="shared" si="7"/>
        <v>B1G2</v>
      </c>
      <c r="P76" s="14" t="s">
        <v>618</v>
      </c>
    </row>
    <row r="77" spans="1:16" x14ac:dyDescent="0.25">
      <c r="A77" s="7" t="str">
        <f t="shared" si="4"/>
        <v>2025 JAN-APR B1G2</v>
      </c>
      <c r="B77" s="8">
        <f t="shared" si="5"/>
        <v>46099</v>
      </c>
      <c r="C77" s="8">
        <f t="shared" si="6"/>
        <v>46113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45647925</v>
      </c>
      <c r="K77" s="7" t="s">
        <v>2461</v>
      </c>
      <c r="L77" s="7" t="s">
        <v>2466</v>
      </c>
      <c r="M77" s="9">
        <v>149900</v>
      </c>
      <c r="N77" s="14" t="s">
        <v>618</v>
      </c>
      <c r="O77" s="14" t="str">
        <f t="shared" si="7"/>
        <v>B1G2</v>
      </c>
      <c r="P77" s="14" t="s">
        <v>618</v>
      </c>
    </row>
    <row r="78" spans="1:16" x14ac:dyDescent="0.25">
      <c r="A78" s="7" t="str">
        <f t="shared" si="4"/>
        <v>2025 JAN-APR B1G2</v>
      </c>
      <c r="B78" s="8">
        <f t="shared" si="5"/>
        <v>46099</v>
      </c>
      <c r="C78" s="8">
        <f t="shared" si="6"/>
        <v>46113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45647934</v>
      </c>
      <c r="K78" s="7" t="s">
        <v>2467</v>
      </c>
      <c r="L78" s="7" t="s">
        <v>2468</v>
      </c>
      <c r="M78" s="9">
        <v>149900</v>
      </c>
      <c r="N78" s="14" t="s">
        <v>618</v>
      </c>
      <c r="O78" s="14" t="str">
        <f t="shared" si="7"/>
        <v>B1G2</v>
      </c>
      <c r="P78" s="14" t="s">
        <v>618</v>
      </c>
    </row>
    <row r="79" spans="1:16" x14ac:dyDescent="0.25">
      <c r="A79" s="7" t="str">
        <f t="shared" si="4"/>
        <v>2025 JAN-APR B1G2</v>
      </c>
      <c r="B79" s="8">
        <f t="shared" si="5"/>
        <v>46099</v>
      </c>
      <c r="C79" s="8">
        <f t="shared" si="6"/>
        <v>46113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45647943</v>
      </c>
      <c r="K79" s="7" t="s">
        <v>2467</v>
      </c>
      <c r="L79" s="7" t="s">
        <v>2469</v>
      </c>
      <c r="M79" s="9">
        <v>149900</v>
      </c>
      <c r="N79" s="14" t="s">
        <v>618</v>
      </c>
      <c r="O79" s="14" t="str">
        <f t="shared" si="7"/>
        <v>B1G2</v>
      </c>
      <c r="P79" s="14" t="s">
        <v>618</v>
      </c>
    </row>
    <row r="80" spans="1:16" x14ac:dyDescent="0.25">
      <c r="A80" s="7" t="str">
        <f t="shared" si="4"/>
        <v>2025 JAN-APR B1G2</v>
      </c>
      <c r="B80" s="8">
        <f t="shared" si="5"/>
        <v>46099</v>
      </c>
      <c r="C80" s="8">
        <f t="shared" si="6"/>
        <v>46113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45647952</v>
      </c>
      <c r="K80" s="7" t="s">
        <v>2467</v>
      </c>
      <c r="L80" s="7" t="s">
        <v>2470</v>
      </c>
      <c r="M80" s="9">
        <v>149900</v>
      </c>
      <c r="N80" s="14" t="s">
        <v>618</v>
      </c>
      <c r="O80" s="14" t="str">
        <f t="shared" si="7"/>
        <v>B1G2</v>
      </c>
      <c r="P80" s="14" t="s">
        <v>618</v>
      </c>
    </row>
    <row r="81" spans="1:16" x14ac:dyDescent="0.25">
      <c r="A81" s="7" t="str">
        <f t="shared" si="4"/>
        <v>2025 JAN-APR B1G2</v>
      </c>
      <c r="B81" s="8">
        <f t="shared" si="5"/>
        <v>46099</v>
      </c>
      <c r="C81" s="8">
        <f t="shared" si="6"/>
        <v>46113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45647961</v>
      </c>
      <c r="K81" s="7" t="s">
        <v>2467</v>
      </c>
      <c r="L81" s="7" t="s">
        <v>2471</v>
      </c>
      <c r="M81" s="9">
        <v>149900</v>
      </c>
      <c r="N81" s="14" t="s">
        <v>618</v>
      </c>
      <c r="O81" s="14" t="str">
        <f t="shared" si="7"/>
        <v>B1G2</v>
      </c>
      <c r="P81" s="14" t="s">
        <v>618</v>
      </c>
    </row>
    <row r="82" spans="1:16" x14ac:dyDescent="0.25">
      <c r="A82" s="7" t="str">
        <f t="shared" si="4"/>
        <v>2025 JAN-APR B1G2</v>
      </c>
      <c r="B82" s="8">
        <f t="shared" si="5"/>
        <v>46099</v>
      </c>
      <c r="C82" s="8">
        <f t="shared" si="6"/>
        <v>46113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45647970</v>
      </c>
      <c r="K82" s="7" t="s">
        <v>2467</v>
      </c>
      <c r="L82" s="7" t="s">
        <v>2472</v>
      </c>
      <c r="M82" s="9">
        <v>139900</v>
      </c>
      <c r="N82" s="14" t="s">
        <v>618</v>
      </c>
      <c r="O82" s="14" t="str">
        <f t="shared" si="7"/>
        <v>B1G2</v>
      </c>
      <c r="P82" s="14" t="s">
        <v>618</v>
      </c>
    </row>
    <row r="83" spans="1:16" x14ac:dyDescent="0.25">
      <c r="A83" s="7" t="str">
        <f t="shared" si="4"/>
        <v>2025 JAN-APR B1G2</v>
      </c>
      <c r="B83" s="8">
        <f t="shared" si="5"/>
        <v>46099</v>
      </c>
      <c r="C83" s="8">
        <f t="shared" si="6"/>
        <v>46113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51502917</v>
      </c>
      <c r="K83" s="7" t="s">
        <v>2431</v>
      </c>
      <c r="L83" s="7" t="s">
        <v>2432</v>
      </c>
      <c r="M83" s="9">
        <v>139900</v>
      </c>
      <c r="N83" s="14" t="s">
        <v>618</v>
      </c>
      <c r="O83" s="14" t="str">
        <f t="shared" si="7"/>
        <v>B1G2</v>
      </c>
      <c r="P83" s="14" t="s">
        <v>618</v>
      </c>
    </row>
    <row r="84" spans="1:16" x14ac:dyDescent="0.25">
      <c r="A84" s="7" t="str">
        <f t="shared" si="4"/>
        <v>2025 JAN-APR B1G2</v>
      </c>
      <c r="B84" s="8">
        <f t="shared" si="5"/>
        <v>46099</v>
      </c>
      <c r="C84" s="8">
        <f t="shared" si="6"/>
        <v>46113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51502926</v>
      </c>
      <c r="K84" s="7" t="s">
        <v>2431</v>
      </c>
      <c r="L84" s="7" t="s">
        <v>2433</v>
      </c>
      <c r="M84" s="9">
        <v>139900</v>
      </c>
      <c r="N84" s="14" t="s">
        <v>618</v>
      </c>
      <c r="O84" s="14" t="str">
        <f t="shared" si="7"/>
        <v>B1G2</v>
      </c>
      <c r="P84" s="14" t="s">
        <v>618</v>
      </c>
    </row>
    <row r="85" spans="1:16" x14ac:dyDescent="0.25">
      <c r="A85" s="7" t="str">
        <f t="shared" si="4"/>
        <v>2025 JAN-APR B1G2</v>
      </c>
      <c r="B85" s="8">
        <f t="shared" si="5"/>
        <v>46099</v>
      </c>
      <c r="C85" s="8">
        <f t="shared" si="6"/>
        <v>46113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51502935</v>
      </c>
      <c r="K85" s="7" t="s">
        <v>2431</v>
      </c>
      <c r="L85" s="7" t="s">
        <v>2434</v>
      </c>
      <c r="M85" s="9">
        <v>139900</v>
      </c>
      <c r="N85" s="14" t="s">
        <v>618</v>
      </c>
      <c r="O85" s="14" t="str">
        <f t="shared" si="7"/>
        <v>B1G2</v>
      </c>
      <c r="P85" s="14" t="s">
        <v>618</v>
      </c>
    </row>
    <row r="86" spans="1:16" x14ac:dyDescent="0.25">
      <c r="A86" s="7" t="str">
        <f t="shared" si="4"/>
        <v>2025 JAN-APR B1G2</v>
      </c>
      <c r="B86" s="8">
        <f t="shared" si="5"/>
        <v>46099</v>
      </c>
      <c r="C86" s="8">
        <f t="shared" si="6"/>
        <v>46113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51502944</v>
      </c>
      <c r="K86" s="7" t="s">
        <v>2431</v>
      </c>
      <c r="L86" s="7" t="s">
        <v>2435</v>
      </c>
      <c r="M86" s="9">
        <v>139900</v>
      </c>
      <c r="N86" s="14" t="s">
        <v>618</v>
      </c>
      <c r="O86" s="14" t="str">
        <f t="shared" si="7"/>
        <v>B1G2</v>
      </c>
      <c r="P86" s="14" t="s">
        <v>618</v>
      </c>
    </row>
    <row r="87" spans="1:16" x14ac:dyDescent="0.25">
      <c r="A87" s="7" t="str">
        <f t="shared" si="4"/>
        <v>2025 JAN-APR B1G2</v>
      </c>
      <c r="B87" s="8">
        <f t="shared" si="5"/>
        <v>46099</v>
      </c>
      <c r="C87" s="8">
        <f t="shared" si="6"/>
        <v>46113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51502953</v>
      </c>
      <c r="K87" s="7" t="s">
        <v>2431</v>
      </c>
      <c r="L87" s="7" t="s">
        <v>2436</v>
      </c>
      <c r="M87" s="9">
        <v>139900</v>
      </c>
      <c r="N87" s="14" t="s">
        <v>618</v>
      </c>
      <c r="O87" s="14" t="str">
        <f t="shared" si="7"/>
        <v>B1G2</v>
      </c>
      <c r="P87" s="14" t="s">
        <v>618</v>
      </c>
    </row>
    <row r="88" spans="1:16" x14ac:dyDescent="0.25">
      <c r="A88" s="7" t="str">
        <f t="shared" si="4"/>
        <v>2025 JAN-APR B1G2</v>
      </c>
      <c r="B88" s="8">
        <f t="shared" si="5"/>
        <v>46099</v>
      </c>
      <c r="C88" s="8">
        <f t="shared" si="6"/>
        <v>46113</v>
      </c>
      <c r="D88" s="7">
        <v>3272</v>
      </c>
      <c r="E88" s="7">
        <v>336</v>
      </c>
      <c r="F88" s="7">
        <v>4</v>
      </c>
      <c r="G88" s="7">
        <v>4</v>
      </c>
      <c r="H88" s="7">
        <v>81379</v>
      </c>
      <c r="I88" s="7" t="s">
        <v>104</v>
      </c>
      <c r="J88" s="7">
        <v>51503014</v>
      </c>
      <c r="K88" s="7" t="s">
        <v>2748</v>
      </c>
      <c r="L88" s="7" t="s">
        <v>2797</v>
      </c>
      <c r="M88" s="9">
        <v>139900</v>
      </c>
      <c r="N88" s="14" t="s">
        <v>618</v>
      </c>
      <c r="O88" s="14" t="str">
        <f t="shared" si="7"/>
        <v>B1G2</v>
      </c>
      <c r="P88" s="14" t="s">
        <v>618</v>
      </c>
    </row>
    <row r="89" spans="1:16" x14ac:dyDescent="0.25">
      <c r="A89" s="7" t="str">
        <f t="shared" si="4"/>
        <v>2025 JAN-APR B1G2</v>
      </c>
      <c r="B89" s="8">
        <f t="shared" si="5"/>
        <v>46099</v>
      </c>
      <c r="C89" s="8">
        <f t="shared" si="6"/>
        <v>46113</v>
      </c>
      <c r="D89" s="7">
        <v>3272</v>
      </c>
      <c r="E89" s="7">
        <v>336</v>
      </c>
      <c r="F89" s="7">
        <v>4</v>
      </c>
      <c r="G89" s="7">
        <v>4</v>
      </c>
      <c r="H89" s="7">
        <v>81379</v>
      </c>
      <c r="I89" s="7" t="s">
        <v>104</v>
      </c>
      <c r="J89" s="7">
        <v>51503023</v>
      </c>
      <c r="K89" s="7" t="s">
        <v>2748</v>
      </c>
      <c r="L89" s="7" t="s">
        <v>2798</v>
      </c>
      <c r="M89" s="9">
        <v>139900</v>
      </c>
      <c r="N89" s="14" t="s">
        <v>618</v>
      </c>
      <c r="O89" s="14" t="str">
        <f t="shared" si="7"/>
        <v>B1G2</v>
      </c>
      <c r="P89" s="14" t="s">
        <v>618</v>
      </c>
    </row>
    <row r="90" spans="1:16" x14ac:dyDescent="0.25">
      <c r="A90" s="7" t="str">
        <f t="shared" si="4"/>
        <v>2025 JAN-APR B1G2</v>
      </c>
      <c r="B90" s="8">
        <f t="shared" si="5"/>
        <v>46099</v>
      </c>
      <c r="C90" s="8">
        <f t="shared" si="6"/>
        <v>46113</v>
      </c>
      <c r="D90" s="7">
        <v>3272</v>
      </c>
      <c r="E90" s="7">
        <v>336</v>
      </c>
      <c r="F90" s="7">
        <v>4</v>
      </c>
      <c r="G90" s="7">
        <v>4</v>
      </c>
      <c r="H90" s="7">
        <v>81379</v>
      </c>
      <c r="I90" s="7" t="s">
        <v>104</v>
      </c>
      <c r="J90" s="7">
        <v>51503032</v>
      </c>
      <c r="K90" s="7" t="s">
        <v>2748</v>
      </c>
      <c r="L90" s="7" t="s">
        <v>2799</v>
      </c>
      <c r="M90" s="9">
        <v>139900</v>
      </c>
      <c r="N90" s="14" t="s">
        <v>618</v>
      </c>
      <c r="O90" s="14" t="str">
        <f t="shared" si="7"/>
        <v>B1G2</v>
      </c>
      <c r="P90" s="14" t="s">
        <v>618</v>
      </c>
    </row>
    <row r="91" spans="1:16" x14ac:dyDescent="0.25">
      <c r="A91" s="7" t="str">
        <f t="shared" si="4"/>
        <v>2025 JAN-APR B1G2</v>
      </c>
      <c r="B91" s="8">
        <f t="shared" si="5"/>
        <v>46099</v>
      </c>
      <c r="C91" s="8">
        <f t="shared" si="6"/>
        <v>46113</v>
      </c>
      <c r="D91" s="7">
        <v>3272</v>
      </c>
      <c r="E91" s="7">
        <v>336</v>
      </c>
      <c r="F91" s="7">
        <v>4</v>
      </c>
      <c r="G91" s="7">
        <v>4</v>
      </c>
      <c r="H91" s="7">
        <v>81379</v>
      </c>
      <c r="I91" s="7" t="s">
        <v>104</v>
      </c>
      <c r="J91" s="7">
        <v>51503041</v>
      </c>
      <c r="K91" s="7" t="s">
        <v>2748</v>
      </c>
      <c r="L91" s="7" t="s">
        <v>2800</v>
      </c>
      <c r="M91" s="9">
        <v>139900</v>
      </c>
      <c r="N91" s="14" t="s">
        <v>618</v>
      </c>
      <c r="O91" s="14" t="str">
        <f t="shared" si="7"/>
        <v>B1G2</v>
      </c>
      <c r="P91" s="14" t="s">
        <v>618</v>
      </c>
    </row>
    <row r="92" spans="1:16" x14ac:dyDescent="0.25">
      <c r="A92" s="7" t="str">
        <f t="shared" si="4"/>
        <v>2025 JAN-APR B1G2</v>
      </c>
      <c r="B92" s="8">
        <f t="shared" si="5"/>
        <v>46099</v>
      </c>
      <c r="C92" s="8">
        <f t="shared" si="6"/>
        <v>46113</v>
      </c>
      <c r="D92" s="7">
        <v>3272</v>
      </c>
      <c r="E92" s="7">
        <v>336</v>
      </c>
      <c r="F92" s="7">
        <v>4</v>
      </c>
      <c r="G92" s="7">
        <v>4</v>
      </c>
      <c r="H92" s="7">
        <v>81379</v>
      </c>
      <c r="I92" s="7" t="s">
        <v>104</v>
      </c>
      <c r="J92" s="7">
        <v>51503050</v>
      </c>
      <c r="K92" s="7" t="s">
        <v>2748</v>
      </c>
      <c r="L92" s="7" t="s">
        <v>2801</v>
      </c>
      <c r="M92" s="9">
        <v>139900</v>
      </c>
      <c r="N92" s="14" t="s">
        <v>618</v>
      </c>
      <c r="O92" s="14" t="str">
        <f t="shared" si="7"/>
        <v>B1G2</v>
      </c>
      <c r="P92" s="14" t="s">
        <v>618</v>
      </c>
    </row>
    <row r="93" spans="1:16" x14ac:dyDescent="0.25">
      <c r="A93" s="7" t="str">
        <f t="shared" si="4"/>
        <v>2025 JAN-APR B1G2</v>
      </c>
      <c r="B93" s="8">
        <f t="shared" si="5"/>
        <v>46099</v>
      </c>
      <c r="C93" s="8">
        <f t="shared" si="6"/>
        <v>46113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51503069</v>
      </c>
      <c r="K93" s="7" t="s">
        <v>2494</v>
      </c>
      <c r="L93" s="7" t="s">
        <v>2543</v>
      </c>
      <c r="M93" s="9">
        <v>139900</v>
      </c>
      <c r="N93" s="14" t="s">
        <v>618</v>
      </c>
      <c r="O93" s="14" t="str">
        <f t="shared" si="7"/>
        <v>B1G2</v>
      </c>
      <c r="P93" s="14" t="s">
        <v>618</v>
      </c>
    </row>
    <row r="94" spans="1:16" x14ac:dyDescent="0.25">
      <c r="A94" s="7" t="str">
        <f t="shared" si="4"/>
        <v>2025 JAN-APR B1G2</v>
      </c>
      <c r="B94" s="8">
        <f t="shared" si="5"/>
        <v>46099</v>
      </c>
      <c r="C94" s="8">
        <f t="shared" si="6"/>
        <v>46113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51503078</v>
      </c>
      <c r="K94" s="7" t="s">
        <v>2494</v>
      </c>
      <c r="L94" s="7" t="s">
        <v>2544</v>
      </c>
      <c r="M94" s="9">
        <v>139900</v>
      </c>
      <c r="N94" s="14" t="s">
        <v>618</v>
      </c>
      <c r="O94" s="14" t="str">
        <f t="shared" si="7"/>
        <v>B1G2</v>
      </c>
      <c r="P94" s="14" t="s">
        <v>618</v>
      </c>
    </row>
    <row r="95" spans="1:16" x14ac:dyDescent="0.25">
      <c r="A95" s="7" t="str">
        <f t="shared" si="4"/>
        <v>2025 JAN-APR B1G2</v>
      </c>
      <c r="B95" s="8">
        <f t="shared" si="5"/>
        <v>46099</v>
      </c>
      <c r="C95" s="8">
        <f t="shared" si="6"/>
        <v>46113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51503087</v>
      </c>
      <c r="K95" s="7" t="s">
        <v>2494</v>
      </c>
      <c r="L95" s="7" t="s">
        <v>2545</v>
      </c>
      <c r="M95" s="9">
        <v>139900</v>
      </c>
      <c r="N95" s="14" t="s">
        <v>618</v>
      </c>
      <c r="O95" s="14" t="str">
        <f t="shared" si="7"/>
        <v>B1G2</v>
      </c>
      <c r="P95" s="14" t="s">
        <v>618</v>
      </c>
    </row>
    <row r="96" spans="1:16" x14ac:dyDescent="0.25">
      <c r="A96" s="7" t="str">
        <f t="shared" si="4"/>
        <v>2025 JAN-APR B1G2</v>
      </c>
      <c r="B96" s="8">
        <f t="shared" si="5"/>
        <v>46099</v>
      </c>
      <c r="C96" s="8">
        <f t="shared" si="6"/>
        <v>46113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51503096</v>
      </c>
      <c r="K96" s="7" t="s">
        <v>2494</v>
      </c>
      <c r="L96" s="7" t="s">
        <v>2546</v>
      </c>
      <c r="M96" s="9">
        <v>139900</v>
      </c>
      <c r="N96" s="14" t="s">
        <v>618</v>
      </c>
      <c r="O96" s="14" t="str">
        <f t="shared" si="7"/>
        <v>B1G2</v>
      </c>
      <c r="P96" s="14" t="s">
        <v>618</v>
      </c>
    </row>
    <row r="97" spans="1:16" x14ac:dyDescent="0.25">
      <c r="A97" s="7" t="str">
        <f t="shared" si="4"/>
        <v>2025 JAN-APR B1G2</v>
      </c>
      <c r="B97" s="8">
        <f t="shared" si="5"/>
        <v>46099</v>
      </c>
      <c r="C97" s="8">
        <f t="shared" si="6"/>
        <v>46113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51503103</v>
      </c>
      <c r="K97" s="7" t="s">
        <v>2494</v>
      </c>
      <c r="L97" s="7" t="s">
        <v>2547</v>
      </c>
      <c r="M97" s="9">
        <v>139900</v>
      </c>
      <c r="N97" s="14" t="s">
        <v>618</v>
      </c>
      <c r="O97" s="14" t="str">
        <f t="shared" si="7"/>
        <v>B1G2</v>
      </c>
      <c r="P97" s="14" t="s">
        <v>618</v>
      </c>
    </row>
    <row r="98" spans="1:16" x14ac:dyDescent="0.25">
      <c r="A98" s="7" t="str">
        <f t="shared" si="4"/>
        <v>2025 JAN-APR B1G2</v>
      </c>
      <c r="B98" s="8">
        <f t="shared" si="5"/>
        <v>46099</v>
      </c>
      <c r="C98" s="8">
        <f t="shared" si="6"/>
        <v>46113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51503112</v>
      </c>
      <c r="K98" s="7" t="s">
        <v>2437</v>
      </c>
      <c r="L98" s="7" t="s">
        <v>2438</v>
      </c>
      <c r="M98" s="9">
        <v>139900</v>
      </c>
      <c r="N98" s="14" t="s">
        <v>618</v>
      </c>
      <c r="O98" s="14" t="str">
        <f t="shared" si="7"/>
        <v>B1G2</v>
      </c>
      <c r="P98" s="14" t="s">
        <v>618</v>
      </c>
    </row>
    <row r="99" spans="1:16" x14ac:dyDescent="0.25">
      <c r="A99" s="7" t="str">
        <f t="shared" si="4"/>
        <v>2025 JAN-APR B1G2</v>
      </c>
      <c r="B99" s="8">
        <f t="shared" si="5"/>
        <v>46099</v>
      </c>
      <c r="C99" s="8">
        <f t="shared" si="6"/>
        <v>46113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51503121</v>
      </c>
      <c r="K99" s="7" t="s">
        <v>2437</v>
      </c>
      <c r="L99" s="7" t="s">
        <v>2439</v>
      </c>
      <c r="M99" s="9">
        <v>139900</v>
      </c>
      <c r="N99" s="14" t="s">
        <v>618</v>
      </c>
      <c r="O99" s="14" t="str">
        <f t="shared" si="7"/>
        <v>B1G2</v>
      </c>
      <c r="P99" s="14" t="s">
        <v>618</v>
      </c>
    </row>
    <row r="100" spans="1:16" x14ac:dyDescent="0.25">
      <c r="A100" s="7" t="str">
        <f t="shared" si="4"/>
        <v>2025 JAN-APR B1G2</v>
      </c>
      <c r="B100" s="8">
        <f t="shared" si="5"/>
        <v>46099</v>
      </c>
      <c r="C100" s="8">
        <f t="shared" si="6"/>
        <v>46113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51503130</v>
      </c>
      <c r="K100" s="7" t="s">
        <v>2437</v>
      </c>
      <c r="L100" s="7" t="s">
        <v>2440</v>
      </c>
      <c r="M100" s="9">
        <v>149900</v>
      </c>
      <c r="N100" s="14" t="s">
        <v>618</v>
      </c>
      <c r="O100" s="14" t="str">
        <f t="shared" si="7"/>
        <v>B1G2</v>
      </c>
      <c r="P100" s="14" t="s">
        <v>618</v>
      </c>
    </row>
    <row r="101" spans="1:16" x14ac:dyDescent="0.25">
      <c r="A101" s="7" t="str">
        <f t="shared" si="4"/>
        <v>2025 JAN-APR B1G2</v>
      </c>
      <c r="B101" s="8">
        <f t="shared" si="5"/>
        <v>46099</v>
      </c>
      <c r="C101" s="8">
        <f t="shared" si="6"/>
        <v>46113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51503149</v>
      </c>
      <c r="K101" s="7" t="s">
        <v>2437</v>
      </c>
      <c r="L101" s="7" t="s">
        <v>2441</v>
      </c>
      <c r="M101" s="9">
        <v>149900</v>
      </c>
      <c r="N101" s="14" t="s">
        <v>618</v>
      </c>
      <c r="O101" s="14" t="str">
        <f t="shared" si="7"/>
        <v>B1G2</v>
      </c>
      <c r="P101" s="14" t="s">
        <v>618</v>
      </c>
    </row>
    <row r="102" spans="1:16" x14ac:dyDescent="0.25">
      <c r="A102" s="7" t="str">
        <f t="shared" si="4"/>
        <v>2025 JAN-APR B1G2</v>
      </c>
      <c r="B102" s="8">
        <f t="shared" si="5"/>
        <v>46099</v>
      </c>
      <c r="C102" s="8">
        <f t="shared" si="6"/>
        <v>46113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51503158</v>
      </c>
      <c r="K102" s="7" t="s">
        <v>2437</v>
      </c>
      <c r="L102" s="7" t="s">
        <v>2442</v>
      </c>
      <c r="M102" s="9">
        <v>149900</v>
      </c>
      <c r="N102" s="14" t="s">
        <v>618</v>
      </c>
      <c r="O102" s="14" t="str">
        <f t="shared" si="7"/>
        <v>B1G2</v>
      </c>
      <c r="P102" s="14" t="s">
        <v>618</v>
      </c>
    </row>
    <row r="103" spans="1:16" x14ac:dyDescent="0.25">
      <c r="A103" s="7" t="str">
        <f t="shared" si="4"/>
        <v>2025 JAN-APR B1G2</v>
      </c>
      <c r="B103" s="8">
        <f t="shared" si="5"/>
        <v>46099</v>
      </c>
      <c r="C103" s="8">
        <f t="shared" si="6"/>
        <v>46113</v>
      </c>
      <c r="D103" s="7">
        <v>3272</v>
      </c>
      <c r="E103" s="7">
        <v>336</v>
      </c>
      <c r="F103" s="7">
        <v>4</v>
      </c>
      <c r="G103" s="7">
        <v>1</v>
      </c>
      <c r="H103" s="7">
        <v>81676</v>
      </c>
      <c r="I103" s="7" t="s">
        <v>104</v>
      </c>
      <c r="J103" s="7">
        <v>51503210</v>
      </c>
      <c r="K103" s="7" t="s">
        <v>2495</v>
      </c>
      <c r="L103" s="7" t="s">
        <v>2548</v>
      </c>
      <c r="M103" s="9">
        <v>149900</v>
      </c>
      <c r="N103" s="14" t="s">
        <v>618</v>
      </c>
      <c r="O103" s="14" t="str">
        <f t="shared" si="7"/>
        <v>B1G2</v>
      </c>
      <c r="P103" s="14" t="s">
        <v>618</v>
      </c>
    </row>
    <row r="104" spans="1:16" x14ac:dyDescent="0.25">
      <c r="A104" s="7" t="str">
        <f t="shared" si="4"/>
        <v>2025 JAN-APR B1G2</v>
      </c>
      <c r="B104" s="8">
        <f t="shared" si="5"/>
        <v>46099</v>
      </c>
      <c r="C104" s="8">
        <f t="shared" si="6"/>
        <v>46113</v>
      </c>
      <c r="D104" s="7">
        <v>3272</v>
      </c>
      <c r="E104" s="7">
        <v>336</v>
      </c>
      <c r="F104" s="7">
        <v>4</v>
      </c>
      <c r="G104" s="7">
        <v>1</v>
      </c>
      <c r="H104" s="7">
        <v>81676</v>
      </c>
      <c r="I104" s="7" t="s">
        <v>104</v>
      </c>
      <c r="J104" s="7">
        <v>51503229</v>
      </c>
      <c r="K104" s="7" t="s">
        <v>2495</v>
      </c>
      <c r="L104" s="7" t="s">
        <v>2549</v>
      </c>
      <c r="M104" s="9">
        <v>149900</v>
      </c>
      <c r="N104" s="14" t="s">
        <v>618</v>
      </c>
      <c r="O104" s="14" t="str">
        <f t="shared" si="7"/>
        <v>B1G2</v>
      </c>
      <c r="P104" s="14" t="s">
        <v>618</v>
      </c>
    </row>
    <row r="105" spans="1:16" x14ac:dyDescent="0.25">
      <c r="A105" s="7" t="str">
        <f t="shared" si="4"/>
        <v>2025 JAN-APR B1G2</v>
      </c>
      <c r="B105" s="8">
        <f t="shared" si="5"/>
        <v>46099</v>
      </c>
      <c r="C105" s="8">
        <f t="shared" si="6"/>
        <v>46113</v>
      </c>
      <c r="D105" s="7">
        <v>3272</v>
      </c>
      <c r="E105" s="7">
        <v>336</v>
      </c>
      <c r="F105" s="7">
        <v>4</v>
      </c>
      <c r="G105" s="7">
        <v>1</v>
      </c>
      <c r="H105" s="7">
        <v>81676</v>
      </c>
      <c r="I105" s="7" t="s">
        <v>104</v>
      </c>
      <c r="J105" s="7">
        <v>51503238</v>
      </c>
      <c r="K105" s="7" t="s">
        <v>2495</v>
      </c>
      <c r="L105" s="7" t="s">
        <v>2550</v>
      </c>
      <c r="M105" s="9">
        <v>149900</v>
      </c>
      <c r="N105" s="14" t="s">
        <v>618</v>
      </c>
      <c r="O105" s="14" t="str">
        <f t="shared" si="7"/>
        <v>B1G2</v>
      </c>
      <c r="P105" s="14" t="s">
        <v>618</v>
      </c>
    </row>
    <row r="106" spans="1:16" x14ac:dyDescent="0.25">
      <c r="A106" s="7" t="str">
        <f t="shared" si="4"/>
        <v>2025 JAN-APR B1G2</v>
      </c>
      <c r="B106" s="8">
        <f t="shared" si="5"/>
        <v>46099</v>
      </c>
      <c r="C106" s="8">
        <f t="shared" si="6"/>
        <v>46113</v>
      </c>
      <c r="D106" s="7">
        <v>3272</v>
      </c>
      <c r="E106" s="7">
        <v>336</v>
      </c>
      <c r="F106" s="7">
        <v>4</v>
      </c>
      <c r="G106" s="7">
        <v>1</v>
      </c>
      <c r="H106" s="7">
        <v>81676</v>
      </c>
      <c r="I106" s="7" t="s">
        <v>104</v>
      </c>
      <c r="J106" s="7">
        <v>51503247</v>
      </c>
      <c r="K106" s="7" t="s">
        <v>2495</v>
      </c>
      <c r="L106" s="7" t="s">
        <v>2551</v>
      </c>
      <c r="M106" s="9">
        <v>149900</v>
      </c>
      <c r="N106" s="14" t="s">
        <v>618</v>
      </c>
      <c r="O106" s="14" t="str">
        <f t="shared" si="7"/>
        <v>B1G2</v>
      </c>
      <c r="P106" s="14" t="s">
        <v>618</v>
      </c>
    </row>
    <row r="107" spans="1:16" x14ac:dyDescent="0.25">
      <c r="A107" s="7" t="str">
        <f t="shared" si="4"/>
        <v>2025 JAN-APR B1G2</v>
      </c>
      <c r="B107" s="8">
        <f t="shared" si="5"/>
        <v>46099</v>
      </c>
      <c r="C107" s="8">
        <f t="shared" si="6"/>
        <v>46113</v>
      </c>
      <c r="D107" s="7">
        <v>3272</v>
      </c>
      <c r="E107" s="7">
        <v>336</v>
      </c>
      <c r="F107" s="7">
        <v>4</v>
      </c>
      <c r="G107" s="7">
        <v>1</v>
      </c>
      <c r="H107" s="7">
        <v>81676</v>
      </c>
      <c r="I107" s="7" t="s">
        <v>104</v>
      </c>
      <c r="J107" s="7">
        <v>51503256</v>
      </c>
      <c r="K107" s="7" t="s">
        <v>2495</v>
      </c>
      <c r="L107" s="7" t="s">
        <v>2552</v>
      </c>
      <c r="M107" s="9">
        <v>149900</v>
      </c>
      <c r="N107" s="14" t="s">
        <v>618</v>
      </c>
      <c r="O107" s="14" t="str">
        <f t="shared" si="7"/>
        <v>B1G2</v>
      </c>
      <c r="P107" s="14" t="s">
        <v>618</v>
      </c>
    </row>
    <row r="108" spans="1:16" x14ac:dyDescent="0.25">
      <c r="A108" s="7" t="str">
        <f t="shared" si="4"/>
        <v>2025 JAN-APR B1G2</v>
      </c>
      <c r="B108" s="8">
        <f t="shared" si="5"/>
        <v>46099</v>
      </c>
      <c r="C108" s="8">
        <f t="shared" si="6"/>
        <v>46113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51503318</v>
      </c>
      <c r="K108" s="7" t="s">
        <v>2496</v>
      </c>
      <c r="L108" s="7" t="s">
        <v>2553</v>
      </c>
      <c r="M108" s="9">
        <v>149900</v>
      </c>
      <c r="N108" s="14" t="s">
        <v>618</v>
      </c>
      <c r="O108" s="14" t="str">
        <f t="shared" si="7"/>
        <v>B1G2</v>
      </c>
      <c r="P108" s="14" t="s">
        <v>618</v>
      </c>
    </row>
    <row r="109" spans="1:16" x14ac:dyDescent="0.25">
      <c r="A109" s="7" t="str">
        <f t="shared" si="4"/>
        <v>2025 JAN-APR B1G2</v>
      </c>
      <c r="B109" s="8">
        <f t="shared" si="5"/>
        <v>46099</v>
      </c>
      <c r="C109" s="8">
        <f t="shared" si="6"/>
        <v>46113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51503327</v>
      </c>
      <c r="K109" s="7" t="s">
        <v>2496</v>
      </c>
      <c r="L109" s="7" t="s">
        <v>2554</v>
      </c>
      <c r="M109" s="9">
        <v>149900</v>
      </c>
      <c r="N109" s="14" t="s">
        <v>618</v>
      </c>
      <c r="O109" s="14" t="str">
        <f t="shared" si="7"/>
        <v>B1G2</v>
      </c>
      <c r="P109" s="14" t="s">
        <v>618</v>
      </c>
    </row>
    <row r="110" spans="1:16" x14ac:dyDescent="0.25">
      <c r="A110" s="7" t="str">
        <f t="shared" si="4"/>
        <v>2025 JAN-APR B1G2</v>
      </c>
      <c r="B110" s="8">
        <f t="shared" si="5"/>
        <v>46099</v>
      </c>
      <c r="C110" s="8">
        <f t="shared" si="6"/>
        <v>46113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51503336</v>
      </c>
      <c r="K110" s="7" t="s">
        <v>2496</v>
      </c>
      <c r="L110" s="7" t="s">
        <v>2555</v>
      </c>
      <c r="M110" s="9">
        <v>149900</v>
      </c>
      <c r="N110" s="14" t="s">
        <v>618</v>
      </c>
      <c r="O110" s="14" t="str">
        <f t="shared" si="7"/>
        <v>B1G2</v>
      </c>
      <c r="P110" s="14" t="s">
        <v>618</v>
      </c>
    </row>
    <row r="111" spans="1:16" x14ac:dyDescent="0.25">
      <c r="A111" s="7" t="str">
        <f t="shared" si="4"/>
        <v>2025 JAN-APR B1G2</v>
      </c>
      <c r="B111" s="8">
        <f t="shared" si="5"/>
        <v>46099</v>
      </c>
      <c r="C111" s="8">
        <f t="shared" si="6"/>
        <v>46113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51503345</v>
      </c>
      <c r="K111" s="7" t="s">
        <v>2496</v>
      </c>
      <c r="L111" s="7" t="s">
        <v>2556</v>
      </c>
      <c r="M111" s="9">
        <v>149900</v>
      </c>
      <c r="N111" s="14" t="s">
        <v>618</v>
      </c>
      <c r="O111" s="14" t="str">
        <f t="shared" si="7"/>
        <v>B1G2</v>
      </c>
      <c r="P111" s="14" t="s">
        <v>618</v>
      </c>
    </row>
    <row r="112" spans="1:16" x14ac:dyDescent="0.25">
      <c r="A112" s="7" t="str">
        <f t="shared" si="4"/>
        <v>2025 JAN-APR B1G2</v>
      </c>
      <c r="B112" s="8">
        <f t="shared" si="5"/>
        <v>46099</v>
      </c>
      <c r="C112" s="8">
        <f t="shared" si="6"/>
        <v>46113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51503354</v>
      </c>
      <c r="K112" s="7" t="s">
        <v>2496</v>
      </c>
      <c r="L112" s="7" t="s">
        <v>2557</v>
      </c>
      <c r="M112" s="9">
        <v>149900</v>
      </c>
      <c r="N112" s="14" t="s">
        <v>618</v>
      </c>
      <c r="O112" s="14" t="str">
        <f t="shared" si="7"/>
        <v>B1G2</v>
      </c>
      <c r="P112" s="14" t="s">
        <v>618</v>
      </c>
    </row>
    <row r="113" spans="1:16" x14ac:dyDescent="0.25">
      <c r="A113" s="7" t="str">
        <f t="shared" si="4"/>
        <v>2025 JAN-APR B1G2</v>
      </c>
      <c r="B113" s="8">
        <f t="shared" si="5"/>
        <v>46099</v>
      </c>
      <c r="C113" s="8">
        <f t="shared" si="6"/>
        <v>46113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51503363</v>
      </c>
      <c r="K113" s="7" t="s">
        <v>2496</v>
      </c>
      <c r="L113" s="7" t="s">
        <v>2558</v>
      </c>
      <c r="M113" s="9">
        <v>149900</v>
      </c>
      <c r="N113" s="14" t="s">
        <v>618</v>
      </c>
      <c r="O113" s="14" t="str">
        <f t="shared" si="7"/>
        <v>B1G2</v>
      </c>
      <c r="P113" s="14" t="s">
        <v>618</v>
      </c>
    </row>
    <row r="114" spans="1:16" x14ac:dyDescent="0.25">
      <c r="A114" s="7" t="str">
        <f t="shared" si="4"/>
        <v>2025 JAN-APR B1G2</v>
      </c>
      <c r="B114" s="8">
        <f t="shared" si="5"/>
        <v>46099</v>
      </c>
      <c r="C114" s="8">
        <f t="shared" si="6"/>
        <v>46113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51503372</v>
      </c>
      <c r="K114" s="7" t="s">
        <v>2496</v>
      </c>
      <c r="L114" s="7" t="s">
        <v>2559</v>
      </c>
      <c r="M114" s="9">
        <v>149900</v>
      </c>
      <c r="N114" s="14" t="s">
        <v>618</v>
      </c>
      <c r="O114" s="14" t="str">
        <f t="shared" si="7"/>
        <v>B1G2</v>
      </c>
      <c r="P114" s="14" t="s">
        <v>618</v>
      </c>
    </row>
    <row r="115" spans="1:16" x14ac:dyDescent="0.25">
      <c r="A115" s="7" t="str">
        <f t="shared" si="4"/>
        <v>2025 JAN-APR B1G2</v>
      </c>
      <c r="B115" s="8">
        <f t="shared" si="5"/>
        <v>46099</v>
      </c>
      <c r="C115" s="8">
        <f t="shared" si="6"/>
        <v>46113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51503381</v>
      </c>
      <c r="K115" s="7" t="s">
        <v>2496</v>
      </c>
      <c r="L115" s="7" t="s">
        <v>2560</v>
      </c>
      <c r="M115" s="9">
        <v>139900</v>
      </c>
      <c r="N115" s="14" t="s">
        <v>618</v>
      </c>
      <c r="O115" s="14" t="str">
        <f t="shared" si="7"/>
        <v>B1G2</v>
      </c>
      <c r="P115" s="14" t="s">
        <v>618</v>
      </c>
    </row>
    <row r="116" spans="1:16" x14ac:dyDescent="0.25">
      <c r="A116" s="7" t="str">
        <f t="shared" si="4"/>
        <v>2025 JAN-APR B1G2</v>
      </c>
      <c r="B116" s="8">
        <f t="shared" si="5"/>
        <v>46099</v>
      </c>
      <c r="C116" s="8">
        <f t="shared" si="6"/>
        <v>46113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51503498</v>
      </c>
      <c r="K116" s="7" t="s">
        <v>2497</v>
      </c>
      <c r="L116" s="7" t="s">
        <v>2561</v>
      </c>
      <c r="M116" s="9">
        <v>139900</v>
      </c>
      <c r="N116" s="14" t="s">
        <v>618</v>
      </c>
      <c r="O116" s="14" t="str">
        <f t="shared" si="7"/>
        <v>B1G2</v>
      </c>
      <c r="P116" s="14" t="s">
        <v>618</v>
      </c>
    </row>
    <row r="117" spans="1:16" x14ac:dyDescent="0.25">
      <c r="A117" s="7" t="str">
        <f t="shared" si="4"/>
        <v>2025 JAN-APR B1G2</v>
      </c>
      <c r="B117" s="8">
        <f t="shared" si="5"/>
        <v>46099</v>
      </c>
      <c r="C117" s="8">
        <f t="shared" si="6"/>
        <v>46113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51503505</v>
      </c>
      <c r="K117" s="7" t="s">
        <v>2497</v>
      </c>
      <c r="L117" s="7" t="s">
        <v>2562</v>
      </c>
      <c r="M117" s="9">
        <v>139900</v>
      </c>
      <c r="N117" s="14" t="s">
        <v>618</v>
      </c>
      <c r="O117" s="14" t="str">
        <f t="shared" si="7"/>
        <v>B1G2</v>
      </c>
      <c r="P117" s="14" t="s">
        <v>618</v>
      </c>
    </row>
    <row r="118" spans="1:16" x14ac:dyDescent="0.25">
      <c r="A118" s="7" t="str">
        <f t="shared" si="4"/>
        <v>2025 JAN-APR B1G2</v>
      </c>
      <c r="B118" s="8">
        <f t="shared" si="5"/>
        <v>46099</v>
      </c>
      <c r="C118" s="8">
        <f t="shared" si="6"/>
        <v>46113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51503514</v>
      </c>
      <c r="K118" s="7" t="s">
        <v>2497</v>
      </c>
      <c r="L118" s="7" t="s">
        <v>2563</v>
      </c>
      <c r="M118" s="9">
        <v>139900</v>
      </c>
      <c r="N118" s="14" t="s">
        <v>618</v>
      </c>
      <c r="O118" s="14" t="str">
        <f t="shared" si="7"/>
        <v>B1G2</v>
      </c>
      <c r="P118" s="14" t="s">
        <v>618</v>
      </c>
    </row>
    <row r="119" spans="1:16" x14ac:dyDescent="0.25">
      <c r="A119" s="7" t="str">
        <f t="shared" si="4"/>
        <v>2025 JAN-APR B1G2</v>
      </c>
      <c r="B119" s="8">
        <f t="shared" si="5"/>
        <v>46099</v>
      </c>
      <c r="C119" s="8">
        <f t="shared" si="6"/>
        <v>46113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51503523</v>
      </c>
      <c r="K119" s="7" t="s">
        <v>2497</v>
      </c>
      <c r="L119" s="7" t="s">
        <v>2564</v>
      </c>
      <c r="M119" s="9">
        <v>139900</v>
      </c>
      <c r="N119" s="14" t="s">
        <v>618</v>
      </c>
      <c r="O119" s="14" t="str">
        <f t="shared" si="7"/>
        <v>B1G2</v>
      </c>
      <c r="P119" s="14" t="s">
        <v>618</v>
      </c>
    </row>
    <row r="120" spans="1:16" x14ac:dyDescent="0.25">
      <c r="A120" s="7" t="str">
        <f t="shared" si="4"/>
        <v>2025 JAN-APR B1G2</v>
      </c>
      <c r="B120" s="8">
        <f t="shared" si="5"/>
        <v>46099</v>
      </c>
      <c r="C120" s="8">
        <f t="shared" si="6"/>
        <v>46113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51503532</v>
      </c>
      <c r="K120" s="7" t="s">
        <v>2497</v>
      </c>
      <c r="L120" s="7" t="s">
        <v>2565</v>
      </c>
      <c r="M120" s="9">
        <v>149900</v>
      </c>
      <c r="N120" s="14" t="s">
        <v>618</v>
      </c>
      <c r="O120" s="14" t="str">
        <f t="shared" si="7"/>
        <v>B1G2</v>
      </c>
      <c r="P120" s="14" t="s">
        <v>618</v>
      </c>
    </row>
    <row r="121" spans="1:16" x14ac:dyDescent="0.25">
      <c r="A121" s="7" t="str">
        <f t="shared" si="4"/>
        <v>2025 JAN-APR B1G2</v>
      </c>
      <c r="B121" s="8">
        <f t="shared" si="5"/>
        <v>46099</v>
      </c>
      <c r="C121" s="8">
        <f t="shared" si="6"/>
        <v>46113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51503541</v>
      </c>
      <c r="K121" s="7" t="s">
        <v>2443</v>
      </c>
      <c r="L121" s="7" t="s">
        <v>2444</v>
      </c>
      <c r="M121" s="9">
        <v>149900</v>
      </c>
      <c r="N121" s="14" t="s">
        <v>618</v>
      </c>
      <c r="O121" s="14" t="str">
        <f t="shared" si="7"/>
        <v>B1G2</v>
      </c>
      <c r="P121" s="14" t="s">
        <v>618</v>
      </c>
    </row>
    <row r="122" spans="1:16" x14ac:dyDescent="0.25">
      <c r="A122" s="7" t="str">
        <f t="shared" si="4"/>
        <v>2025 JAN-APR B1G2</v>
      </c>
      <c r="B122" s="8">
        <f t="shared" si="5"/>
        <v>46099</v>
      </c>
      <c r="C122" s="8">
        <f t="shared" si="6"/>
        <v>46113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51503550</v>
      </c>
      <c r="K122" s="7" t="s">
        <v>2443</v>
      </c>
      <c r="L122" s="7" t="s">
        <v>2445</v>
      </c>
      <c r="M122" s="9">
        <v>149900</v>
      </c>
      <c r="N122" s="14" t="s">
        <v>618</v>
      </c>
      <c r="O122" s="14" t="str">
        <f t="shared" si="7"/>
        <v>B1G2</v>
      </c>
      <c r="P122" s="14" t="s">
        <v>618</v>
      </c>
    </row>
    <row r="123" spans="1:16" x14ac:dyDescent="0.25">
      <c r="A123" s="7" t="str">
        <f t="shared" si="4"/>
        <v>2025 JAN-APR B1G2</v>
      </c>
      <c r="B123" s="8">
        <f t="shared" si="5"/>
        <v>46099</v>
      </c>
      <c r="C123" s="8">
        <f t="shared" si="6"/>
        <v>46113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51503569</v>
      </c>
      <c r="K123" s="7" t="s">
        <v>2443</v>
      </c>
      <c r="L123" s="7" t="s">
        <v>2446</v>
      </c>
      <c r="M123" s="9">
        <v>149900</v>
      </c>
      <c r="N123" s="14" t="s">
        <v>618</v>
      </c>
      <c r="O123" s="14" t="str">
        <f t="shared" si="7"/>
        <v>B1G2</v>
      </c>
      <c r="P123" s="14" t="s">
        <v>618</v>
      </c>
    </row>
    <row r="124" spans="1:16" x14ac:dyDescent="0.25">
      <c r="A124" s="7" t="str">
        <f t="shared" si="4"/>
        <v>2025 JAN-APR B1G2</v>
      </c>
      <c r="B124" s="8">
        <f t="shared" si="5"/>
        <v>46099</v>
      </c>
      <c r="C124" s="8">
        <f t="shared" si="6"/>
        <v>46113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51503578</v>
      </c>
      <c r="K124" s="7" t="s">
        <v>2443</v>
      </c>
      <c r="L124" s="7" t="s">
        <v>2447</v>
      </c>
      <c r="M124" s="9">
        <v>149900</v>
      </c>
      <c r="N124" s="14" t="s">
        <v>618</v>
      </c>
      <c r="O124" s="14" t="str">
        <f t="shared" si="7"/>
        <v>B1G2</v>
      </c>
      <c r="P124" s="14" t="s">
        <v>618</v>
      </c>
    </row>
    <row r="125" spans="1:16" x14ac:dyDescent="0.25">
      <c r="A125" s="7" t="str">
        <f t="shared" si="4"/>
        <v>2025 JAN-APR B1G2</v>
      </c>
      <c r="B125" s="8">
        <f t="shared" si="5"/>
        <v>46099</v>
      </c>
      <c r="C125" s="8">
        <f t="shared" si="6"/>
        <v>46113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51503587</v>
      </c>
      <c r="K125" s="7" t="s">
        <v>2443</v>
      </c>
      <c r="L125" s="7" t="s">
        <v>2448</v>
      </c>
      <c r="M125" s="9">
        <v>149900</v>
      </c>
      <c r="N125" s="14" t="s">
        <v>618</v>
      </c>
      <c r="O125" s="14" t="str">
        <f t="shared" si="7"/>
        <v>B1G2</v>
      </c>
      <c r="P125" s="14" t="s">
        <v>618</v>
      </c>
    </row>
    <row r="126" spans="1:16" x14ac:dyDescent="0.25">
      <c r="A126" s="7" t="str">
        <f t="shared" si="4"/>
        <v>2025 JAN-APR B1G2</v>
      </c>
      <c r="B126" s="8">
        <f t="shared" si="5"/>
        <v>46099</v>
      </c>
      <c r="C126" s="8">
        <f t="shared" si="6"/>
        <v>46113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51503596</v>
      </c>
      <c r="K126" s="7" t="s">
        <v>2498</v>
      </c>
      <c r="L126" s="7" t="s">
        <v>2566</v>
      </c>
      <c r="M126" s="9">
        <v>149900</v>
      </c>
      <c r="N126" s="14" t="s">
        <v>618</v>
      </c>
      <c r="O126" s="14" t="str">
        <f t="shared" si="7"/>
        <v>B1G2</v>
      </c>
      <c r="P126" s="14" t="s">
        <v>618</v>
      </c>
    </row>
    <row r="127" spans="1:16" x14ac:dyDescent="0.25">
      <c r="A127" s="7" t="str">
        <f t="shared" si="4"/>
        <v>2025 JAN-APR B1G2</v>
      </c>
      <c r="B127" s="8">
        <f t="shared" si="5"/>
        <v>46099</v>
      </c>
      <c r="C127" s="8">
        <f t="shared" si="6"/>
        <v>46113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51503603</v>
      </c>
      <c r="K127" s="7" t="s">
        <v>2498</v>
      </c>
      <c r="L127" s="7" t="s">
        <v>2567</v>
      </c>
      <c r="M127" s="9">
        <v>149900</v>
      </c>
      <c r="N127" s="14" t="s">
        <v>618</v>
      </c>
      <c r="O127" s="14" t="str">
        <f t="shared" si="7"/>
        <v>B1G2</v>
      </c>
      <c r="P127" s="14" t="s">
        <v>618</v>
      </c>
    </row>
    <row r="128" spans="1:16" x14ac:dyDescent="0.25">
      <c r="A128" s="7" t="str">
        <f t="shared" si="4"/>
        <v>2025 JAN-APR B1G2</v>
      </c>
      <c r="B128" s="8">
        <f t="shared" si="5"/>
        <v>46099</v>
      </c>
      <c r="C128" s="8">
        <f t="shared" si="6"/>
        <v>46113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51503612</v>
      </c>
      <c r="K128" s="7" t="s">
        <v>2498</v>
      </c>
      <c r="L128" s="7" t="s">
        <v>2568</v>
      </c>
      <c r="M128" s="9">
        <v>149900</v>
      </c>
      <c r="N128" s="14" t="s">
        <v>618</v>
      </c>
      <c r="O128" s="14" t="str">
        <f t="shared" si="7"/>
        <v>B1G2</v>
      </c>
      <c r="P128" s="14" t="s">
        <v>618</v>
      </c>
    </row>
    <row r="129" spans="1:16" x14ac:dyDescent="0.25">
      <c r="A129" s="7" t="str">
        <f t="shared" si="4"/>
        <v>2025 JAN-APR B1G2</v>
      </c>
      <c r="B129" s="8">
        <f t="shared" si="5"/>
        <v>46099</v>
      </c>
      <c r="C129" s="8">
        <f t="shared" si="6"/>
        <v>46113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51503621</v>
      </c>
      <c r="K129" s="7" t="s">
        <v>2498</v>
      </c>
      <c r="L129" s="7" t="s">
        <v>2569</v>
      </c>
      <c r="M129" s="9">
        <v>149900</v>
      </c>
      <c r="N129" s="14" t="s">
        <v>618</v>
      </c>
      <c r="O129" s="14" t="str">
        <f t="shared" si="7"/>
        <v>B1G2</v>
      </c>
      <c r="P129" s="14" t="s">
        <v>618</v>
      </c>
    </row>
    <row r="130" spans="1:16" x14ac:dyDescent="0.25">
      <c r="A130" s="7" t="str">
        <f t="shared" si="4"/>
        <v>2025 JAN-APR B1G2</v>
      </c>
      <c r="B130" s="8">
        <f t="shared" si="5"/>
        <v>46099</v>
      </c>
      <c r="C130" s="8">
        <f t="shared" si="6"/>
        <v>46113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51503630</v>
      </c>
      <c r="K130" s="7" t="s">
        <v>2498</v>
      </c>
      <c r="L130" s="7" t="s">
        <v>2570</v>
      </c>
      <c r="M130" s="9">
        <v>149900</v>
      </c>
      <c r="N130" s="14" t="s">
        <v>618</v>
      </c>
      <c r="O130" s="14" t="str">
        <f t="shared" si="7"/>
        <v>B1G2</v>
      </c>
      <c r="P130" s="14" t="s">
        <v>618</v>
      </c>
    </row>
    <row r="131" spans="1:16" x14ac:dyDescent="0.25">
      <c r="A131" s="7" t="str">
        <f t="shared" ref="A131:A194" si="8">A130</f>
        <v>2025 JAN-APR B1G2</v>
      </c>
      <c r="B131" s="8">
        <f t="shared" ref="B131:B194" si="9">B130</f>
        <v>46099</v>
      </c>
      <c r="C131" s="8">
        <f t="shared" ref="C131:C194" si="10">C130</f>
        <v>46113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51503649</v>
      </c>
      <c r="K131" s="7" t="s">
        <v>2449</v>
      </c>
      <c r="L131" s="7" t="s">
        <v>2450</v>
      </c>
      <c r="M131" s="9">
        <v>149900</v>
      </c>
      <c r="N131" s="14" t="s">
        <v>618</v>
      </c>
      <c r="O131" s="14" t="str">
        <f t="shared" ref="O131:O194" si="11">O130</f>
        <v>B1G2</v>
      </c>
      <c r="P131" s="14" t="s">
        <v>618</v>
      </c>
    </row>
    <row r="132" spans="1:16" x14ac:dyDescent="0.25">
      <c r="A132" s="7" t="str">
        <f t="shared" si="8"/>
        <v>2025 JAN-APR B1G2</v>
      </c>
      <c r="B132" s="8">
        <f t="shared" si="9"/>
        <v>46099</v>
      </c>
      <c r="C132" s="8">
        <f t="shared" si="10"/>
        <v>46113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51503658</v>
      </c>
      <c r="K132" s="7" t="s">
        <v>2449</v>
      </c>
      <c r="L132" s="7" t="s">
        <v>2451</v>
      </c>
      <c r="M132" s="9">
        <v>149900</v>
      </c>
      <c r="N132" s="14" t="s">
        <v>618</v>
      </c>
      <c r="O132" s="14" t="str">
        <f t="shared" si="11"/>
        <v>B1G2</v>
      </c>
      <c r="P132" s="14" t="s">
        <v>618</v>
      </c>
    </row>
    <row r="133" spans="1:16" x14ac:dyDescent="0.25">
      <c r="A133" s="7" t="str">
        <f t="shared" si="8"/>
        <v>2025 JAN-APR B1G2</v>
      </c>
      <c r="B133" s="8">
        <f t="shared" si="9"/>
        <v>46099</v>
      </c>
      <c r="C133" s="8">
        <f t="shared" si="10"/>
        <v>46113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51503667</v>
      </c>
      <c r="K133" s="7" t="s">
        <v>2449</v>
      </c>
      <c r="L133" s="7" t="s">
        <v>2452</v>
      </c>
      <c r="M133" s="9">
        <v>149900</v>
      </c>
      <c r="N133" s="14" t="s">
        <v>618</v>
      </c>
      <c r="O133" s="14" t="str">
        <f t="shared" si="11"/>
        <v>B1G2</v>
      </c>
      <c r="P133" s="14" t="s">
        <v>618</v>
      </c>
    </row>
    <row r="134" spans="1:16" x14ac:dyDescent="0.25">
      <c r="A134" s="7" t="str">
        <f t="shared" si="8"/>
        <v>2025 JAN-APR B1G2</v>
      </c>
      <c r="B134" s="8">
        <f t="shared" si="9"/>
        <v>46099</v>
      </c>
      <c r="C134" s="8">
        <f t="shared" si="10"/>
        <v>46113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51503676</v>
      </c>
      <c r="K134" s="7" t="s">
        <v>2449</v>
      </c>
      <c r="L134" s="7" t="s">
        <v>2453</v>
      </c>
      <c r="M134" s="9">
        <v>149900</v>
      </c>
      <c r="N134" s="14" t="s">
        <v>618</v>
      </c>
      <c r="O134" s="14" t="str">
        <f t="shared" si="11"/>
        <v>B1G2</v>
      </c>
      <c r="P134" s="14" t="s">
        <v>618</v>
      </c>
    </row>
    <row r="135" spans="1:16" x14ac:dyDescent="0.25">
      <c r="A135" s="7" t="str">
        <f t="shared" si="8"/>
        <v>2025 JAN-APR B1G2</v>
      </c>
      <c r="B135" s="8">
        <f t="shared" si="9"/>
        <v>46099</v>
      </c>
      <c r="C135" s="8">
        <f t="shared" si="10"/>
        <v>46113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104</v>
      </c>
      <c r="J135" s="7">
        <v>51503685</v>
      </c>
      <c r="K135" s="7" t="s">
        <v>2449</v>
      </c>
      <c r="L135" s="7" t="s">
        <v>2454</v>
      </c>
      <c r="M135" s="9">
        <v>149900</v>
      </c>
      <c r="N135" s="14" t="s">
        <v>618</v>
      </c>
      <c r="O135" s="14" t="str">
        <f t="shared" si="11"/>
        <v>B1G2</v>
      </c>
      <c r="P135" s="14" t="s">
        <v>618</v>
      </c>
    </row>
    <row r="136" spans="1:16" x14ac:dyDescent="0.25">
      <c r="A136" s="7" t="str">
        <f t="shared" si="8"/>
        <v>2025 JAN-APR B1G2</v>
      </c>
      <c r="B136" s="8">
        <f t="shared" si="9"/>
        <v>46099</v>
      </c>
      <c r="C136" s="8">
        <f t="shared" si="10"/>
        <v>46113</v>
      </c>
      <c r="D136" s="7">
        <v>3272</v>
      </c>
      <c r="E136" s="7">
        <v>336</v>
      </c>
      <c r="F136" s="7">
        <v>4</v>
      </c>
      <c r="G136" s="7">
        <v>3</v>
      </c>
      <c r="H136" s="7">
        <v>81379</v>
      </c>
      <c r="I136" s="7" t="s">
        <v>104</v>
      </c>
      <c r="J136" s="7">
        <v>51503694</v>
      </c>
      <c r="K136" s="7" t="s">
        <v>2750</v>
      </c>
      <c r="L136" s="7" t="s">
        <v>2807</v>
      </c>
      <c r="M136" s="9">
        <v>149900</v>
      </c>
      <c r="N136" s="14" t="s">
        <v>618</v>
      </c>
      <c r="O136" s="14" t="str">
        <f t="shared" si="11"/>
        <v>B1G2</v>
      </c>
      <c r="P136" s="14" t="s">
        <v>618</v>
      </c>
    </row>
    <row r="137" spans="1:16" x14ac:dyDescent="0.25">
      <c r="A137" s="7" t="str">
        <f t="shared" si="8"/>
        <v>2025 JAN-APR B1G2</v>
      </c>
      <c r="B137" s="8">
        <f t="shared" si="9"/>
        <v>46099</v>
      </c>
      <c r="C137" s="8">
        <f t="shared" si="10"/>
        <v>46113</v>
      </c>
      <c r="D137" s="7">
        <v>3272</v>
      </c>
      <c r="E137" s="7">
        <v>336</v>
      </c>
      <c r="F137" s="7">
        <v>4</v>
      </c>
      <c r="G137" s="7">
        <v>3</v>
      </c>
      <c r="H137" s="7">
        <v>81379</v>
      </c>
      <c r="I137" s="7" t="s">
        <v>104</v>
      </c>
      <c r="J137" s="7">
        <v>51503701</v>
      </c>
      <c r="K137" s="7" t="s">
        <v>2750</v>
      </c>
      <c r="L137" s="7" t="s">
        <v>2808</v>
      </c>
      <c r="M137" s="9">
        <v>149900</v>
      </c>
      <c r="N137" s="14" t="s">
        <v>618</v>
      </c>
      <c r="O137" s="14" t="str">
        <f t="shared" si="11"/>
        <v>B1G2</v>
      </c>
      <c r="P137" s="14" t="s">
        <v>618</v>
      </c>
    </row>
    <row r="138" spans="1:16" x14ac:dyDescent="0.25">
      <c r="A138" s="7" t="str">
        <f t="shared" si="8"/>
        <v>2025 JAN-APR B1G2</v>
      </c>
      <c r="B138" s="8">
        <f t="shared" si="9"/>
        <v>46099</v>
      </c>
      <c r="C138" s="8">
        <f t="shared" si="10"/>
        <v>46113</v>
      </c>
      <c r="D138" s="7">
        <v>3272</v>
      </c>
      <c r="E138" s="7">
        <v>336</v>
      </c>
      <c r="F138" s="7">
        <v>4</v>
      </c>
      <c r="G138" s="7">
        <v>3</v>
      </c>
      <c r="H138" s="7">
        <v>81379</v>
      </c>
      <c r="I138" s="7" t="s">
        <v>104</v>
      </c>
      <c r="J138" s="7">
        <v>51503710</v>
      </c>
      <c r="K138" s="7" t="s">
        <v>2750</v>
      </c>
      <c r="L138" s="7" t="s">
        <v>2809</v>
      </c>
      <c r="M138" s="9">
        <v>139900</v>
      </c>
      <c r="N138" s="14" t="s">
        <v>618</v>
      </c>
      <c r="O138" s="14" t="str">
        <f t="shared" si="11"/>
        <v>B1G2</v>
      </c>
      <c r="P138" s="14" t="s">
        <v>618</v>
      </c>
    </row>
    <row r="139" spans="1:16" x14ac:dyDescent="0.25">
      <c r="A139" s="7" t="str">
        <f t="shared" si="8"/>
        <v>2025 JAN-APR B1G2</v>
      </c>
      <c r="B139" s="8">
        <f t="shared" si="9"/>
        <v>46099</v>
      </c>
      <c r="C139" s="8">
        <f t="shared" si="10"/>
        <v>46113</v>
      </c>
      <c r="D139" s="7">
        <v>3272</v>
      </c>
      <c r="E139" s="7">
        <v>336</v>
      </c>
      <c r="F139" s="7">
        <v>4</v>
      </c>
      <c r="G139" s="7">
        <v>3</v>
      </c>
      <c r="H139" s="7">
        <v>81379</v>
      </c>
      <c r="I139" s="7" t="s">
        <v>104</v>
      </c>
      <c r="J139" s="7">
        <v>51503729</v>
      </c>
      <c r="K139" s="7" t="s">
        <v>2750</v>
      </c>
      <c r="L139" s="7" t="s">
        <v>2810</v>
      </c>
      <c r="M139" s="9">
        <v>139900</v>
      </c>
      <c r="N139" s="14" t="s">
        <v>618</v>
      </c>
      <c r="O139" s="14" t="str">
        <f t="shared" si="11"/>
        <v>B1G2</v>
      </c>
      <c r="P139" s="14" t="s">
        <v>618</v>
      </c>
    </row>
    <row r="140" spans="1:16" x14ac:dyDescent="0.25">
      <c r="A140" s="7" t="str">
        <f t="shared" si="8"/>
        <v>2025 JAN-APR B1G2</v>
      </c>
      <c r="B140" s="8">
        <f t="shared" si="9"/>
        <v>46099</v>
      </c>
      <c r="C140" s="8">
        <f t="shared" si="10"/>
        <v>46113</v>
      </c>
      <c r="D140" s="7">
        <v>3272</v>
      </c>
      <c r="E140" s="7">
        <v>336</v>
      </c>
      <c r="F140" s="7">
        <v>4</v>
      </c>
      <c r="G140" s="7">
        <v>3</v>
      </c>
      <c r="H140" s="7">
        <v>81379</v>
      </c>
      <c r="I140" s="7" t="s">
        <v>104</v>
      </c>
      <c r="J140" s="7">
        <v>51503738</v>
      </c>
      <c r="K140" s="7" t="s">
        <v>2750</v>
      </c>
      <c r="L140" s="7" t="s">
        <v>2811</v>
      </c>
      <c r="M140" s="9">
        <v>139900</v>
      </c>
      <c r="N140" s="14" t="s">
        <v>618</v>
      </c>
      <c r="O140" s="14" t="str">
        <f t="shared" si="11"/>
        <v>B1G2</v>
      </c>
      <c r="P140" s="14" t="s">
        <v>618</v>
      </c>
    </row>
    <row r="141" spans="1:16" x14ac:dyDescent="0.25">
      <c r="A141" s="7" t="str">
        <f t="shared" si="8"/>
        <v>2025 JAN-APR B1G2</v>
      </c>
      <c r="B141" s="8">
        <f t="shared" si="9"/>
        <v>46099</v>
      </c>
      <c r="C141" s="8">
        <f t="shared" si="10"/>
        <v>46113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51510908</v>
      </c>
      <c r="K141" s="7" t="s">
        <v>2501</v>
      </c>
      <c r="L141" s="7" t="s">
        <v>2581</v>
      </c>
      <c r="M141" s="9">
        <v>149900</v>
      </c>
      <c r="N141" s="14" t="s">
        <v>618</v>
      </c>
      <c r="O141" s="14" t="str">
        <f t="shared" si="11"/>
        <v>B1G2</v>
      </c>
      <c r="P141" s="14" t="s">
        <v>618</v>
      </c>
    </row>
    <row r="142" spans="1:16" x14ac:dyDescent="0.25">
      <c r="A142" s="7" t="str">
        <f t="shared" si="8"/>
        <v>2025 JAN-APR B1G2</v>
      </c>
      <c r="B142" s="8">
        <f t="shared" si="9"/>
        <v>46099</v>
      </c>
      <c r="C142" s="8">
        <f t="shared" si="10"/>
        <v>46113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51510917</v>
      </c>
      <c r="K142" s="7" t="s">
        <v>2501</v>
      </c>
      <c r="L142" s="7" t="s">
        <v>2582</v>
      </c>
      <c r="M142" s="9">
        <v>149900</v>
      </c>
      <c r="N142" s="14" t="s">
        <v>618</v>
      </c>
      <c r="O142" s="14" t="str">
        <f t="shared" si="11"/>
        <v>B1G2</v>
      </c>
      <c r="P142" s="14" t="s">
        <v>618</v>
      </c>
    </row>
    <row r="143" spans="1:16" x14ac:dyDescent="0.25">
      <c r="A143" s="7" t="str">
        <f t="shared" si="8"/>
        <v>2025 JAN-APR B1G2</v>
      </c>
      <c r="B143" s="8">
        <f t="shared" si="9"/>
        <v>46099</v>
      </c>
      <c r="C143" s="8">
        <f t="shared" si="10"/>
        <v>46113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51510926</v>
      </c>
      <c r="K143" s="7" t="s">
        <v>2501</v>
      </c>
      <c r="L143" s="7" t="s">
        <v>2583</v>
      </c>
      <c r="M143" s="9">
        <v>149900</v>
      </c>
      <c r="N143" s="14" t="s">
        <v>618</v>
      </c>
      <c r="O143" s="14" t="str">
        <f t="shared" si="11"/>
        <v>B1G2</v>
      </c>
      <c r="P143" s="14" t="s">
        <v>618</v>
      </c>
    </row>
    <row r="144" spans="1:16" x14ac:dyDescent="0.25">
      <c r="A144" s="7" t="str">
        <f t="shared" si="8"/>
        <v>2025 JAN-APR B1G2</v>
      </c>
      <c r="B144" s="8">
        <f t="shared" si="9"/>
        <v>46099</v>
      </c>
      <c r="C144" s="8">
        <f t="shared" si="10"/>
        <v>46113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51510935</v>
      </c>
      <c r="K144" s="7" t="s">
        <v>2501</v>
      </c>
      <c r="L144" s="7" t="s">
        <v>2584</v>
      </c>
      <c r="M144" s="9">
        <v>149900</v>
      </c>
      <c r="N144" s="14" t="s">
        <v>618</v>
      </c>
      <c r="O144" s="14" t="str">
        <f t="shared" si="11"/>
        <v>B1G2</v>
      </c>
      <c r="P144" s="14" t="s">
        <v>618</v>
      </c>
    </row>
    <row r="145" spans="1:16" x14ac:dyDescent="0.25">
      <c r="A145" s="7" t="str">
        <f t="shared" si="8"/>
        <v>2025 JAN-APR B1G2</v>
      </c>
      <c r="B145" s="8">
        <f t="shared" si="9"/>
        <v>46099</v>
      </c>
      <c r="C145" s="8">
        <f t="shared" si="10"/>
        <v>46113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51510944</v>
      </c>
      <c r="K145" s="7" t="s">
        <v>2501</v>
      </c>
      <c r="L145" s="7" t="s">
        <v>2585</v>
      </c>
      <c r="M145" s="9">
        <v>149900</v>
      </c>
      <c r="N145" s="14" t="s">
        <v>618</v>
      </c>
      <c r="O145" s="14" t="str">
        <f t="shared" si="11"/>
        <v>B1G2</v>
      </c>
      <c r="P145" s="14" t="s">
        <v>618</v>
      </c>
    </row>
    <row r="146" spans="1:16" x14ac:dyDescent="0.25">
      <c r="A146" s="7" t="str">
        <f t="shared" si="8"/>
        <v>2025 JAN-APR B1G2</v>
      </c>
      <c r="B146" s="8">
        <f t="shared" si="9"/>
        <v>46099</v>
      </c>
      <c r="C146" s="8">
        <f t="shared" si="10"/>
        <v>46113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51510953</v>
      </c>
      <c r="K146" s="7" t="s">
        <v>2501</v>
      </c>
      <c r="L146" s="7" t="s">
        <v>2586</v>
      </c>
      <c r="M146" s="9">
        <v>149900</v>
      </c>
      <c r="N146" s="14" t="s">
        <v>618</v>
      </c>
      <c r="O146" s="14" t="str">
        <f t="shared" si="11"/>
        <v>B1G2</v>
      </c>
      <c r="P146" s="14" t="s">
        <v>618</v>
      </c>
    </row>
    <row r="147" spans="1:16" x14ac:dyDescent="0.25">
      <c r="A147" s="7" t="str">
        <f t="shared" si="8"/>
        <v>2025 JAN-APR B1G2</v>
      </c>
      <c r="B147" s="8">
        <f t="shared" si="9"/>
        <v>46099</v>
      </c>
      <c r="C147" s="8">
        <f t="shared" si="10"/>
        <v>46113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51510962</v>
      </c>
      <c r="K147" s="7" t="s">
        <v>2501</v>
      </c>
      <c r="L147" s="7" t="s">
        <v>2587</v>
      </c>
      <c r="M147" s="9">
        <v>139900</v>
      </c>
      <c r="N147" s="14" t="s">
        <v>618</v>
      </c>
      <c r="O147" s="14" t="str">
        <f t="shared" si="11"/>
        <v>B1G2</v>
      </c>
      <c r="P147" s="14" t="s">
        <v>618</v>
      </c>
    </row>
    <row r="148" spans="1:16" x14ac:dyDescent="0.25">
      <c r="A148" s="7" t="str">
        <f t="shared" si="8"/>
        <v>2025 JAN-APR B1G2</v>
      </c>
      <c r="B148" s="8">
        <f t="shared" si="9"/>
        <v>46099</v>
      </c>
      <c r="C148" s="8">
        <f t="shared" si="10"/>
        <v>46113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51510971</v>
      </c>
      <c r="K148" s="7" t="s">
        <v>2501</v>
      </c>
      <c r="L148" s="7" t="s">
        <v>2588</v>
      </c>
      <c r="M148" s="9">
        <v>139900</v>
      </c>
      <c r="N148" s="14" t="s">
        <v>618</v>
      </c>
      <c r="O148" s="14" t="str">
        <f t="shared" si="11"/>
        <v>B1G2</v>
      </c>
      <c r="P148" s="14" t="s">
        <v>618</v>
      </c>
    </row>
    <row r="149" spans="1:16" x14ac:dyDescent="0.25">
      <c r="A149" s="7" t="str">
        <f t="shared" si="8"/>
        <v>2025 JAN-APR B1G2</v>
      </c>
      <c r="B149" s="8">
        <f t="shared" si="9"/>
        <v>46099</v>
      </c>
      <c r="C149" s="8">
        <f t="shared" si="10"/>
        <v>46113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51510980</v>
      </c>
      <c r="K149" s="7" t="s">
        <v>2502</v>
      </c>
      <c r="L149" s="7" t="s">
        <v>2589</v>
      </c>
      <c r="M149" s="9">
        <v>139900</v>
      </c>
      <c r="N149" s="14" t="s">
        <v>618</v>
      </c>
      <c r="O149" s="14" t="str">
        <f t="shared" si="11"/>
        <v>B1G2</v>
      </c>
      <c r="P149" s="14" t="s">
        <v>618</v>
      </c>
    </row>
    <row r="150" spans="1:16" x14ac:dyDescent="0.25">
      <c r="A150" s="7" t="str">
        <f t="shared" si="8"/>
        <v>2025 JAN-APR B1G2</v>
      </c>
      <c r="B150" s="8">
        <f t="shared" si="9"/>
        <v>46099</v>
      </c>
      <c r="C150" s="8">
        <f t="shared" si="10"/>
        <v>46113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51510999</v>
      </c>
      <c r="K150" s="7" t="s">
        <v>2502</v>
      </c>
      <c r="L150" s="7" t="s">
        <v>2590</v>
      </c>
      <c r="M150" s="9">
        <v>139900</v>
      </c>
      <c r="N150" s="14" t="s">
        <v>618</v>
      </c>
      <c r="O150" s="14" t="str">
        <f t="shared" si="11"/>
        <v>B1G2</v>
      </c>
      <c r="P150" s="14" t="s">
        <v>618</v>
      </c>
    </row>
    <row r="151" spans="1:16" x14ac:dyDescent="0.25">
      <c r="A151" s="7" t="str">
        <f t="shared" si="8"/>
        <v>2025 JAN-APR B1G2</v>
      </c>
      <c r="B151" s="8">
        <f t="shared" si="9"/>
        <v>46099</v>
      </c>
      <c r="C151" s="8">
        <f t="shared" si="10"/>
        <v>46113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51511005</v>
      </c>
      <c r="K151" s="7" t="s">
        <v>2502</v>
      </c>
      <c r="L151" s="7" t="s">
        <v>2591</v>
      </c>
      <c r="M151" s="9">
        <v>139900</v>
      </c>
      <c r="N151" s="14" t="s">
        <v>618</v>
      </c>
      <c r="O151" s="14" t="str">
        <f t="shared" si="11"/>
        <v>B1G2</v>
      </c>
      <c r="P151" s="14" t="s">
        <v>618</v>
      </c>
    </row>
    <row r="152" spans="1:16" x14ac:dyDescent="0.25">
      <c r="A152" s="7" t="str">
        <f t="shared" si="8"/>
        <v>2025 JAN-APR B1G2</v>
      </c>
      <c r="B152" s="8">
        <f t="shared" si="9"/>
        <v>46099</v>
      </c>
      <c r="C152" s="8">
        <f t="shared" si="10"/>
        <v>46113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51511014</v>
      </c>
      <c r="K152" s="7" t="s">
        <v>2502</v>
      </c>
      <c r="L152" s="7" t="s">
        <v>2592</v>
      </c>
      <c r="M152" s="9">
        <v>139900</v>
      </c>
      <c r="N152" s="14" t="s">
        <v>618</v>
      </c>
      <c r="O152" s="14" t="str">
        <f t="shared" si="11"/>
        <v>B1G2</v>
      </c>
      <c r="P152" s="14" t="s">
        <v>618</v>
      </c>
    </row>
    <row r="153" spans="1:16" x14ac:dyDescent="0.25">
      <c r="A153" s="7" t="str">
        <f t="shared" si="8"/>
        <v>2025 JAN-APR B1G2</v>
      </c>
      <c r="B153" s="8">
        <f t="shared" si="9"/>
        <v>46099</v>
      </c>
      <c r="C153" s="8">
        <f t="shared" si="10"/>
        <v>46113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51511023</v>
      </c>
      <c r="K153" s="7" t="s">
        <v>2502</v>
      </c>
      <c r="L153" s="7" t="s">
        <v>2593</v>
      </c>
      <c r="M153" s="9">
        <v>139900</v>
      </c>
      <c r="N153" s="14" t="s">
        <v>618</v>
      </c>
      <c r="O153" s="14" t="str">
        <f t="shared" si="11"/>
        <v>B1G2</v>
      </c>
      <c r="P153" s="14" t="s">
        <v>618</v>
      </c>
    </row>
    <row r="154" spans="1:16" x14ac:dyDescent="0.25">
      <c r="A154" s="7" t="str">
        <f t="shared" si="8"/>
        <v>2025 JAN-APR B1G2</v>
      </c>
      <c r="B154" s="8">
        <f t="shared" si="9"/>
        <v>46099</v>
      </c>
      <c r="C154" s="8">
        <f t="shared" si="10"/>
        <v>46113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51511032</v>
      </c>
      <c r="K154" s="7" t="s">
        <v>2502</v>
      </c>
      <c r="L154" s="7" t="s">
        <v>2594</v>
      </c>
      <c r="M154" s="9">
        <v>139900</v>
      </c>
      <c r="N154" s="14" t="s">
        <v>618</v>
      </c>
      <c r="O154" s="14" t="str">
        <f t="shared" si="11"/>
        <v>B1G2</v>
      </c>
      <c r="P154" s="14" t="s">
        <v>618</v>
      </c>
    </row>
    <row r="155" spans="1:16" x14ac:dyDescent="0.25">
      <c r="A155" s="7" t="str">
        <f t="shared" si="8"/>
        <v>2025 JAN-APR B1G2</v>
      </c>
      <c r="B155" s="8">
        <f t="shared" si="9"/>
        <v>46099</v>
      </c>
      <c r="C155" s="8">
        <f t="shared" si="10"/>
        <v>46113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51511041</v>
      </c>
      <c r="K155" s="7" t="s">
        <v>2502</v>
      </c>
      <c r="L155" s="7" t="s">
        <v>2595</v>
      </c>
      <c r="M155" s="9">
        <v>139900</v>
      </c>
      <c r="N155" s="14" t="s">
        <v>618</v>
      </c>
      <c r="O155" s="14" t="str">
        <f t="shared" si="11"/>
        <v>B1G2</v>
      </c>
      <c r="P155" s="14" t="s">
        <v>618</v>
      </c>
    </row>
    <row r="156" spans="1:16" x14ac:dyDescent="0.25">
      <c r="A156" s="7" t="str">
        <f t="shared" si="8"/>
        <v>2025 JAN-APR B1G2</v>
      </c>
      <c r="B156" s="8">
        <f t="shared" si="9"/>
        <v>46099</v>
      </c>
      <c r="C156" s="8">
        <f t="shared" si="10"/>
        <v>46113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51511050</v>
      </c>
      <c r="K156" s="7" t="s">
        <v>2502</v>
      </c>
      <c r="L156" s="7" t="s">
        <v>2596</v>
      </c>
      <c r="M156" s="9">
        <v>139900</v>
      </c>
      <c r="N156" s="14" t="s">
        <v>618</v>
      </c>
      <c r="O156" s="14" t="str">
        <f t="shared" si="11"/>
        <v>B1G2</v>
      </c>
      <c r="P156" s="14" t="s">
        <v>618</v>
      </c>
    </row>
    <row r="157" spans="1:16" x14ac:dyDescent="0.25">
      <c r="A157" s="7" t="str">
        <f t="shared" si="8"/>
        <v>2025 JAN-APR B1G2</v>
      </c>
      <c r="B157" s="8">
        <f t="shared" si="9"/>
        <v>46099</v>
      </c>
      <c r="C157" s="8">
        <f t="shared" si="10"/>
        <v>46113</v>
      </c>
      <c r="D157" s="7">
        <v>3272</v>
      </c>
      <c r="E157" s="7">
        <v>336</v>
      </c>
      <c r="F157" s="7">
        <v>4</v>
      </c>
      <c r="G157" s="7">
        <v>5</v>
      </c>
      <c r="H157" s="7">
        <v>81379</v>
      </c>
      <c r="I157" s="7" t="s">
        <v>104</v>
      </c>
      <c r="J157" s="7">
        <v>51511309</v>
      </c>
      <c r="K157" s="7" t="s">
        <v>2755</v>
      </c>
      <c r="L157" s="7" t="s">
        <v>2835</v>
      </c>
      <c r="M157" s="9">
        <v>149900</v>
      </c>
      <c r="N157" s="14" t="s">
        <v>618</v>
      </c>
      <c r="O157" s="14" t="str">
        <f t="shared" si="11"/>
        <v>B1G2</v>
      </c>
      <c r="P157" s="14" t="s">
        <v>618</v>
      </c>
    </row>
    <row r="158" spans="1:16" x14ac:dyDescent="0.25">
      <c r="A158" s="7" t="str">
        <f t="shared" si="8"/>
        <v>2025 JAN-APR B1G2</v>
      </c>
      <c r="B158" s="8">
        <f t="shared" si="9"/>
        <v>46099</v>
      </c>
      <c r="C158" s="8">
        <f t="shared" si="10"/>
        <v>46113</v>
      </c>
      <c r="D158" s="7">
        <v>3272</v>
      </c>
      <c r="E158" s="7">
        <v>336</v>
      </c>
      <c r="F158" s="7">
        <v>4</v>
      </c>
      <c r="G158" s="7">
        <v>5</v>
      </c>
      <c r="H158" s="7">
        <v>81379</v>
      </c>
      <c r="I158" s="7" t="s">
        <v>104</v>
      </c>
      <c r="J158" s="7">
        <v>51511318</v>
      </c>
      <c r="K158" s="7" t="s">
        <v>2755</v>
      </c>
      <c r="L158" s="7" t="s">
        <v>2836</v>
      </c>
      <c r="M158" s="9">
        <v>149900</v>
      </c>
      <c r="N158" s="14" t="s">
        <v>618</v>
      </c>
      <c r="O158" s="14" t="str">
        <f t="shared" si="11"/>
        <v>B1G2</v>
      </c>
      <c r="P158" s="14" t="s">
        <v>618</v>
      </c>
    </row>
    <row r="159" spans="1:16" x14ac:dyDescent="0.25">
      <c r="A159" s="7" t="str">
        <f t="shared" si="8"/>
        <v>2025 JAN-APR B1G2</v>
      </c>
      <c r="B159" s="8">
        <f t="shared" si="9"/>
        <v>46099</v>
      </c>
      <c r="C159" s="8">
        <f t="shared" si="10"/>
        <v>46113</v>
      </c>
      <c r="D159" s="7">
        <v>3272</v>
      </c>
      <c r="E159" s="7">
        <v>336</v>
      </c>
      <c r="F159" s="7">
        <v>4</v>
      </c>
      <c r="G159" s="7">
        <v>5</v>
      </c>
      <c r="H159" s="7">
        <v>81379</v>
      </c>
      <c r="I159" s="7" t="s">
        <v>104</v>
      </c>
      <c r="J159" s="7">
        <v>51511327</v>
      </c>
      <c r="K159" s="7" t="s">
        <v>2755</v>
      </c>
      <c r="L159" s="7" t="s">
        <v>2837</v>
      </c>
      <c r="M159" s="9">
        <v>149900</v>
      </c>
      <c r="N159" s="14" t="s">
        <v>618</v>
      </c>
      <c r="O159" s="14" t="str">
        <f t="shared" si="11"/>
        <v>B1G2</v>
      </c>
      <c r="P159" s="14" t="s">
        <v>618</v>
      </c>
    </row>
    <row r="160" spans="1:16" x14ac:dyDescent="0.25">
      <c r="A160" s="7" t="str">
        <f t="shared" si="8"/>
        <v>2025 JAN-APR B1G2</v>
      </c>
      <c r="B160" s="8">
        <f t="shared" si="9"/>
        <v>46099</v>
      </c>
      <c r="C160" s="8">
        <f t="shared" si="10"/>
        <v>46113</v>
      </c>
      <c r="D160" s="7">
        <v>3272</v>
      </c>
      <c r="E160" s="7">
        <v>336</v>
      </c>
      <c r="F160" s="7">
        <v>4</v>
      </c>
      <c r="G160" s="7">
        <v>5</v>
      </c>
      <c r="H160" s="7">
        <v>81379</v>
      </c>
      <c r="I160" s="7" t="s">
        <v>104</v>
      </c>
      <c r="J160" s="7">
        <v>51511336</v>
      </c>
      <c r="K160" s="7" t="s">
        <v>2755</v>
      </c>
      <c r="L160" s="7" t="s">
        <v>2838</v>
      </c>
      <c r="M160" s="9">
        <v>149900</v>
      </c>
      <c r="N160" s="14" t="s">
        <v>618</v>
      </c>
      <c r="O160" s="14" t="str">
        <f t="shared" si="11"/>
        <v>B1G2</v>
      </c>
      <c r="P160" s="14" t="s">
        <v>618</v>
      </c>
    </row>
    <row r="161" spans="1:16" x14ac:dyDescent="0.25">
      <c r="A161" s="7" t="str">
        <f t="shared" si="8"/>
        <v>2025 JAN-APR B1G2</v>
      </c>
      <c r="B161" s="8">
        <f t="shared" si="9"/>
        <v>46099</v>
      </c>
      <c r="C161" s="8">
        <f t="shared" si="10"/>
        <v>46113</v>
      </c>
      <c r="D161" s="7">
        <v>3272</v>
      </c>
      <c r="E161" s="7">
        <v>336</v>
      </c>
      <c r="F161" s="7">
        <v>4</v>
      </c>
      <c r="G161" s="7">
        <v>5</v>
      </c>
      <c r="H161" s="7">
        <v>81379</v>
      </c>
      <c r="I161" s="7" t="s">
        <v>104</v>
      </c>
      <c r="J161" s="7">
        <v>51511345</v>
      </c>
      <c r="K161" s="7" t="s">
        <v>2755</v>
      </c>
      <c r="L161" s="7" t="s">
        <v>2839</v>
      </c>
      <c r="M161" s="9">
        <v>149900</v>
      </c>
      <c r="N161" s="14" t="s">
        <v>618</v>
      </c>
      <c r="O161" s="14" t="str">
        <f t="shared" si="11"/>
        <v>B1G2</v>
      </c>
      <c r="P161" s="14" t="s">
        <v>618</v>
      </c>
    </row>
    <row r="162" spans="1:16" x14ac:dyDescent="0.25">
      <c r="A162" s="7" t="str">
        <f t="shared" si="8"/>
        <v>2025 JAN-APR B1G2</v>
      </c>
      <c r="B162" s="8">
        <f t="shared" si="9"/>
        <v>46099</v>
      </c>
      <c r="C162" s="8">
        <f t="shared" si="10"/>
        <v>46113</v>
      </c>
      <c r="D162" s="7">
        <v>3272</v>
      </c>
      <c r="E162" s="7">
        <v>336</v>
      </c>
      <c r="F162" s="7">
        <v>4</v>
      </c>
      <c r="G162" s="7">
        <v>5</v>
      </c>
      <c r="H162" s="7">
        <v>81379</v>
      </c>
      <c r="I162" s="7" t="s">
        <v>104</v>
      </c>
      <c r="J162" s="7">
        <v>51511354</v>
      </c>
      <c r="K162" s="7" t="s">
        <v>2755</v>
      </c>
      <c r="L162" s="7" t="s">
        <v>2840</v>
      </c>
      <c r="M162" s="9">
        <v>149900</v>
      </c>
      <c r="N162" s="14" t="s">
        <v>618</v>
      </c>
      <c r="O162" s="14" t="str">
        <f t="shared" si="11"/>
        <v>B1G2</v>
      </c>
      <c r="P162" s="14" t="s">
        <v>618</v>
      </c>
    </row>
    <row r="163" spans="1:16" x14ac:dyDescent="0.25">
      <c r="A163" s="7" t="str">
        <f t="shared" si="8"/>
        <v>2025 JAN-APR B1G2</v>
      </c>
      <c r="B163" s="8">
        <f t="shared" si="9"/>
        <v>46099</v>
      </c>
      <c r="C163" s="8">
        <f t="shared" si="10"/>
        <v>46113</v>
      </c>
      <c r="D163" s="7">
        <v>3272</v>
      </c>
      <c r="E163" s="7">
        <v>336</v>
      </c>
      <c r="F163" s="7">
        <v>4</v>
      </c>
      <c r="G163" s="7">
        <v>5</v>
      </c>
      <c r="H163" s="7">
        <v>81379</v>
      </c>
      <c r="I163" s="7" t="s">
        <v>104</v>
      </c>
      <c r="J163" s="7">
        <v>51511363</v>
      </c>
      <c r="K163" s="7" t="s">
        <v>2755</v>
      </c>
      <c r="L163" s="7" t="s">
        <v>2841</v>
      </c>
      <c r="M163" s="9">
        <v>139900</v>
      </c>
      <c r="N163" s="14" t="s">
        <v>618</v>
      </c>
      <c r="O163" s="14" t="str">
        <f t="shared" si="11"/>
        <v>B1G2</v>
      </c>
      <c r="P163" s="14" t="s">
        <v>618</v>
      </c>
    </row>
    <row r="164" spans="1:16" x14ac:dyDescent="0.25">
      <c r="A164" s="7" t="str">
        <f t="shared" si="8"/>
        <v>2025 JAN-APR B1G2</v>
      </c>
      <c r="B164" s="8">
        <f t="shared" si="9"/>
        <v>46099</v>
      </c>
      <c r="C164" s="8">
        <f t="shared" si="10"/>
        <v>46113</v>
      </c>
      <c r="D164" s="7">
        <v>3272</v>
      </c>
      <c r="E164" s="7">
        <v>336</v>
      </c>
      <c r="F164" s="7">
        <v>4</v>
      </c>
      <c r="G164" s="7">
        <v>5</v>
      </c>
      <c r="H164" s="7">
        <v>81379</v>
      </c>
      <c r="I164" s="7" t="s">
        <v>104</v>
      </c>
      <c r="J164" s="7">
        <v>51511372</v>
      </c>
      <c r="K164" s="7" t="s">
        <v>2755</v>
      </c>
      <c r="L164" s="7" t="s">
        <v>2842</v>
      </c>
      <c r="M164" s="9">
        <v>139900</v>
      </c>
      <c r="N164" s="14" t="s">
        <v>618</v>
      </c>
      <c r="O164" s="14" t="str">
        <f t="shared" si="11"/>
        <v>B1G2</v>
      </c>
      <c r="P164" s="14" t="s">
        <v>618</v>
      </c>
    </row>
    <row r="165" spans="1:16" x14ac:dyDescent="0.25">
      <c r="A165" s="7" t="str">
        <f t="shared" si="8"/>
        <v>2025 JAN-APR B1G2</v>
      </c>
      <c r="B165" s="8">
        <f t="shared" si="9"/>
        <v>46099</v>
      </c>
      <c r="C165" s="8">
        <f t="shared" si="10"/>
        <v>46113</v>
      </c>
      <c r="D165" s="7">
        <v>3272</v>
      </c>
      <c r="E165" s="7">
        <v>336</v>
      </c>
      <c r="F165" s="7">
        <v>4</v>
      </c>
      <c r="G165" s="7">
        <v>1</v>
      </c>
      <c r="H165" s="7">
        <v>81588</v>
      </c>
      <c r="I165" s="7" t="s">
        <v>104</v>
      </c>
      <c r="J165" s="7">
        <v>51511649</v>
      </c>
      <c r="K165" s="7" t="s">
        <v>2503</v>
      </c>
      <c r="L165" s="7" t="s">
        <v>2597</v>
      </c>
      <c r="M165" s="9">
        <v>139900</v>
      </c>
      <c r="N165" s="14" t="s">
        <v>618</v>
      </c>
      <c r="O165" s="14" t="str">
        <f t="shared" si="11"/>
        <v>B1G2</v>
      </c>
      <c r="P165" s="14" t="s">
        <v>618</v>
      </c>
    </row>
    <row r="166" spans="1:16" x14ac:dyDescent="0.25">
      <c r="A166" s="7" t="str">
        <f t="shared" si="8"/>
        <v>2025 JAN-APR B1G2</v>
      </c>
      <c r="B166" s="8">
        <f t="shared" si="9"/>
        <v>46099</v>
      </c>
      <c r="C166" s="8">
        <f t="shared" si="10"/>
        <v>46113</v>
      </c>
      <c r="D166" s="7">
        <v>3272</v>
      </c>
      <c r="E166" s="7">
        <v>336</v>
      </c>
      <c r="F166" s="7">
        <v>4</v>
      </c>
      <c r="G166" s="7">
        <v>1</v>
      </c>
      <c r="H166" s="7">
        <v>81588</v>
      </c>
      <c r="I166" s="7" t="s">
        <v>104</v>
      </c>
      <c r="J166" s="7">
        <v>51511658</v>
      </c>
      <c r="K166" s="7" t="s">
        <v>2503</v>
      </c>
      <c r="L166" s="7" t="s">
        <v>2598</v>
      </c>
      <c r="M166" s="9">
        <v>139900</v>
      </c>
      <c r="N166" s="14" t="s">
        <v>618</v>
      </c>
      <c r="O166" s="14" t="str">
        <f t="shared" si="11"/>
        <v>B1G2</v>
      </c>
      <c r="P166" s="14" t="s">
        <v>618</v>
      </c>
    </row>
    <row r="167" spans="1:16" x14ac:dyDescent="0.25">
      <c r="A167" s="7" t="str">
        <f t="shared" si="8"/>
        <v>2025 JAN-APR B1G2</v>
      </c>
      <c r="B167" s="8">
        <f t="shared" si="9"/>
        <v>46099</v>
      </c>
      <c r="C167" s="8">
        <f t="shared" si="10"/>
        <v>46113</v>
      </c>
      <c r="D167" s="7">
        <v>3272</v>
      </c>
      <c r="E167" s="7">
        <v>336</v>
      </c>
      <c r="F167" s="7">
        <v>4</v>
      </c>
      <c r="G167" s="7">
        <v>1</v>
      </c>
      <c r="H167" s="7">
        <v>81588</v>
      </c>
      <c r="I167" s="7" t="s">
        <v>104</v>
      </c>
      <c r="J167" s="7">
        <v>51511667</v>
      </c>
      <c r="K167" s="7" t="s">
        <v>2503</v>
      </c>
      <c r="L167" s="7" t="s">
        <v>2599</v>
      </c>
      <c r="M167" s="9">
        <v>149900</v>
      </c>
      <c r="N167" s="14" t="s">
        <v>618</v>
      </c>
      <c r="O167" s="14" t="str">
        <f t="shared" si="11"/>
        <v>B1G2</v>
      </c>
      <c r="P167" s="14" t="s">
        <v>618</v>
      </c>
    </row>
    <row r="168" spans="1:16" x14ac:dyDescent="0.25">
      <c r="A168" s="7" t="str">
        <f t="shared" si="8"/>
        <v>2025 JAN-APR B1G2</v>
      </c>
      <c r="B168" s="8">
        <f t="shared" si="9"/>
        <v>46099</v>
      </c>
      <c r="C168" s="8">
        <f t="shared" si="10"/>
        <v>46113</v>
      </c>
      <c r="D168" s="7">
        <v>3272</v>
      </c>
      <c r="E168" s="7">
        <v>336</v>
      </c>
      <c r="F168" s="7">
        <v>4</v>
      </c>
      <c r="G168" s="7">
        <v>1</v>
      </c>
      <c r="H168" s="7">
        <v>81588</v>
      </c>
      <c r="I168" s="7" t="s">
        <v>104</v>
      </c>
      <c r="J168" s="7">
        <v>51511676</v>
      </c>
      <c r="K168" s="7" t="s">
        <v>2503</v>
      </c>
      <c r="L168" s="7" t="s">
        <v>2600</v>
      </c>
      <c r="M168" s="9">
        <v>149900</v>
      </c>
      <c r="N168" s="14" t="s">
        <v>618</v>
      </c>
      <c r="O168" s="14" t="str">
        <f t="shared" si="11"/>
        <v>B1G2</v>
      </c>
      <c r="P168" s="14" t="s">
        <v>618</v>
      </c>
    </row>
    <row r="169" spans="1:16" x14ac:dyDescent="0.25">
      <c r="A169" s="7" t="str">
        <f t="shared" si="8"/>
        <v>2025 JAN-APR B1G2</v>
      </c>
      <c r="B169" s="8">
        <f t="shared" si="9"/>
        <v>46099</v>
      </c>
      <c r="C169" s="8">
        <f t="shared" si="10"/>
        <v>46113</v>
      </c>
      <c r="D169" s="7">
        <v>3272</v>
      </c>
      <c r="E169" s="7">
        <v>336</v>
      </c>
      <c r="F169" s="7">
        <v>4</v>
      </c>
      <c r="G169" s="7">
        <v>1</v>
      </c>
      <c r="H169" s="7">
        <v>81588</v>
      </c>
      <c r="I169" s="7" t="s">
        <v>104</v>
      </c>
      <c r="J169" s="7">
        <v>51511685</v>
      </c>
      <c r="K169" s="7" t="s">
        <v>2503</v>
      </c>
      <c r="L169" s="7" t="s">
        <v>2601</v>
      </c>
      <c r="M169" s="9">
        <v>149900</v>
      </c>
      <c r="N169" s="14" t="s">
        <v>618</v>
      </c>
      <c r="O169" s="14" t="str">
        <f t="shared" si="11"/>
        <v>B1G2</v>
      </c>
      <c r="P169" s="14" t="s">
        <v>618</v>
      </c>
    </row>
    <row r="170" spans="1:16" x14ac:dyDescent="0.25">
      <c r="A170" s="7" t="str">
        <f t="shared" si="8"/>
        <v>2025 JAN-APR B1G2</v>
      </c>
      <c r="B170" s="8">
        <f t="shared" si="9"/>
        <v>46099</v>
      </c>
      <c r="C170" s="8">
        <f t="shared" si="10"/>
        <v>46113</v>
      </c>
      <c r="D170" s="7">
        <v>3272</v>
      </c>
      <c r="E170" s="7">
        <v>336</v>
      </c>
      <c r="F170" s="7">
        <v>4</v>
      </c>
      <c r="G170" s="7">
        <v>1</v>
      </c>
      <c r="H170" s="7">
        <v>81588</v>
      </c>
      <c r="I170" s="7" t="s">
        <v>104</v>
      </c>
      <c r="J170" s="7">
        <v>51511694</v>
      </c>
      <c r="K170" s="7" t="s">
        <v>2503</v>
      </c>
      <c r="L170" s="7" t="s">
        <v>2602</v>
      </c>
      <c r="M170" s="9">
        <v>149900</v>
      </c>
      <c r="N170" s="14" t="s">
        <v>618</v>
      </c>
      <c r="O170" s="14" t="str">
        <f t="shared" si="11"/>
        <v>B1G2</v>
      </c>
      <c r="P170" s="14" t="s">
        <v>618</v>
      </c>
    </row>
    <row r="171" spans="1:16" x14ac:dyDescent="0.25">
      <c r="A171" s="7" t="str">
        <f t="shared" si="8"/>
        <v>2025 JAN-APR B1G2</v>
      </c>
      <c r="B171" s="8">
        <f t="shared" si="9"/>
        <v>46099</v>
      </c>
      <c r="C171" s="8">
        <f t="shared" si="10"/>
        <v>46113</v>
      </c>
      <c r="D171" s="7">
        <v>3272</v>
      </c>
      <c r="E171" s="7">
        <v>336</v>
      </c>
      <c r="F171" s="7">
        <v>4</v>
      </c>
      <c r="G171" s="7">
        <v>1</v>
      </c>
      <c r="H171" s="7">
        <v>81588</v>
      </c>
      <c r="I171" s="7" t="s">
        <v>104</v>
      </c>
      <c r="J171" s="7">
        <v>51511701</v>
      </c>
      <c r="K171" s="7" t="s">
        <v>2504</v>
      </c>
      <c r="L171" s="7" t="s">
        <v>2603</v>
      </c>
      <c r="M171" s="9">
        <v>149900</v>
      </c>
      <c r="N171" s="14" t="s">
        <v>618</v>
      </c>
      <c r="O171" s="14" t="str">
        <f t="shared" si="11"/>
        <v>B1G2</v>
      </c>
      <c r="P171" s="14" t="s">
        <v>618</v>
      </c>
    </row>
    <row r="172" spans="1:16" x14ac:dyDescent="0.25">
      <c r="A172" s="7" t="str">
        <f t="shared" si="8"/>
        <v>2025 JAN-APR B1G2</v>
      </c>
      <c r="B172" s="8">
        <f t="shared" si="9"/>
        <v>46099</v>
      </c>
      <c r="C172" s="8">
        <f t="shared" si="10"/>
        <v>46113</v>
      </c>
      <c r="D172" s="7">
        <v>3272</v>
      </c>
      <c r="E172" s="7">
        <v>336</v>
      </c>
      <c r="F172" s="7">
        <v>4</v>
      </c>
      <c r="G172" s="7">
        <v>1</v>
      </c>
      <c r="H172" s="7">
        <v>81588</v>
      </c>
      <c r="I172" s="7" t="s">
        <v>104</v>
      </c>
      <c r="J172" s="7">
        <v>51511710</v>
      </c>
      <c r="K172" s="7" t="s">
        <v>2504</v>
      </c>
      <c r="L172" s="7" t="s">
        <v>2604</v>
      </c>
      <c r="M172" s="9">
        <v>149900</v>
      </c>
      <c r="N172" s="14" t="s">
        <v>618</v>
      </c>
      <c r="O172" s="14" t="str">
        <f t="shared" si="11"/>
        <v>B1G2</v>
      </c>
      <c r="P172" s="14" t="s">
        <v>618</v>
      </c>
    </row>
    <row r="173" spans="1:16" x14ac:dyDescent="0.25">
      <c r="A173" s="7" t="str">
        <f t="shared" si="8"/>
        <v>2025 JAN-APR B1G2</v>
      </c>
      <c r="B173" s="8">
        <f t="shared" si="9"/>
        <v>46099</v>
      </c>
      <c r="C173" s="8">
        <f t="shared" si="10"/>
        <v>46113</v>
      </c>
      <c r="D173" s="7">
        <v>3272</v>
      </c>
      <c r="E173" s="7">
        <v>336</v>
      </c>
      <c r="F173" s="7">
        <v>4</v>
      </c>
      <c r="G173" s="7">
        <v>1</v>
      </c>
      <c r="H173" s="7">
        <v>81588</v>
      </c>
      <c r="I173" s="7" t="s">
        <v>104</v>
      </c>
      <c r="J173" s="7">
        <v>51511729</v>
      </c>
      <c r="K173" s="7" t="s">
        <v>2504</v>
      </c>
      <c r="L173" s="7" t="s">
        <v>2605</v>
      </c>
      <c r="M173" s="9">
        <v>149900</v>
      </c>
      <c r="N173" s="14" t="s">
        <v>618</v>
      </c>
      <c r="O173" s="14" t="str">
        <f t="shared" si="11"/>
        <v>B1G2</v>
      </c>
      <c r="P173" s="14" t="s">
        <v>618</v>
      </c>
    </row>
    <row r="174" spans="1:16" x14ac:dyDescent="0.25">
      <c r="A174" s="7" t="str">
        <f t="shared" si="8"/>
        <v>2025 JAN-APR B1G2</v>
      </c>
      <c r="B174" s="8">
        <f t="shared" si="9"/>
        <v>46099</v>
      </c>
      <c r="C174" s="8">
        <f t="shared" si="10"/>
        <v>46113</v>
      </c>
      <c r="D174" s="7">
        <v>3272</v>
      </c>
      <c r="E174" s="7">
        <v>336</v>
      </c>
      <c r="F174" s="7">
        <v>4</v>
      </c>
      <c r="G174" s="7">
        <v>1</v>
      </c>
      <c r="H174" s="7">
        <v>81588</v>
      </c>
      <c r="I174" s="7" t="s">
        <v>104</v>
      </c>
      <c r="J174" s="7">
        <v>51511738</v>
      </c>
      <c r="K174" s="7" t="s">
        <v>2504</v>
      </c>
      <c r="L174" s="7" t="s">
        <v>2606</v>
      </c>
      <c r="M174" s="9">
        <v>149900</v>
      </c>
      <c r="N174" s="14" t="s">
        <v>618</v>
      </c>
      <c r="O174" s="14" t="str">
        <f t="shared" si="11"/>
        <v>B1G2</v>
      </c>
      <c r="P174" s="14" t="s">
        <v>618</v>
      </c>
    </row>
    <row r="175" spans="1:16" x14ac:dyDescent="0.25">
      <c r="A175" s="7" t="str">
        <f t="shared" si="8"/>
        <v>2025 JAN-APR B1G2</v>
      </c>
      <c r="B175" s="8">
        <f t="shared" si="9"/>
        <v>46099</v>
      </c>
      <c r="C175" s="8">
        <f t="shared" si="10"/>
        <v>46113</v>
      </c>
      <c r="D175" s="7">
        <v>3272</v>
      </c>
      <c r="E175" s="7">
        <v>336</v>
      </c>
      <c r="F175" s="7">
        <v>4</v>
      </c>
      <c r="G175" s="7">
        <v>1</v>
      </c>
      <c r="H175" s="7">
        <v>81588</v>
      </c>
      <c r="I175" s="7" t="s">
        <v>104</v>
      </c>
      <c r="J175" s="7">
        <v>51511747</v>
      </c>
      <c r="K175" s="7" t="s">
        <v>2504</v>
      </c>
      <c r="L175" s="7" t="s">
        <v>2607</v>
      </c>
      <c r="M175" s="9">
        <v>149900</v>
      </c>
      <c r="N175" s="14" t="s">
        <v>618</v>
      </c>
      <c r="O175" s="14" t="str">
        <f t="shared" si="11"/>
        <v>B1G2</v>
      </c>
      <c r="P175" s="14" t="s">
        <v>618</v>
      </c>
    </row>
    <row r="176" spans="1:16" x14ac:dyDescent="0.25">
      <c r="A176" s="7" t="str">
        <f t="shared" si="8"/>
        <v>2025 JAN-APR B1G2</v>
      </c>
      <c r="B176" s="8">
        <f t="shared" si="9"/>
        <v>46099</v>
      </c>
      <c r="C176" s="8">
        <f t="shared" si="10"/>
        <v>46113</v>
      </c>
      <c r="D176" s="7">
        <v>3272</v>
      </c>
      <c r="E176" s="7">
        <v>336</v>
      </c>
      <c r="F176" s="7">
        <v>4</v>
      </c>
      <c r="G176" s="7">
        <v>1</v>
      </c>
      <c r="H176" s="7">
        <v>81588</v>
      </c>
      <c r="I176" s="7" t="s">
        <v>104</v>
      </c>
      <c r="J176" s="7">
        <v>51511756</v>
      </c>
      <c r="K176" s="7" t="s">
        <v>2504</v>
      </c>
      <c r="L176" s="7" t="s">
        <v>2608</v>
      </c>
      <c r="M176" s="9">
        <v>149900</v>
      </c>
      <c r="N176" s="14" t="s">
        <v>618</v>
      </c>
      <c r="O176" s="14" t="str">
        <f t="shared" si="11"/>
        <v>B1G2</v>
      </c>
      <c r="P176" s="14" t="s">
        <v>618</v>
      </c>
    </row>
    <row r="177" spans="1:16" x14ac:dyDescent="0.25">
      <c r="A177" s="7" t="str">
        <f t="shared" si="8"/>
        <v>2025 JAN-APR B1G2</v>
      </c>
      <c r="B177" s="8">
        <f t="shared" si="9"/>
        <v>46099</v>
      </c>
      <c r="C177" s="8">
        <f t="shared" si="10"/>
        <v>46113</v>
      </c>
      <c r="D177" s="7">
        <v>3272</v>
      </c>
      <c r="E177" s="7">
        <v>336</v>
      </c>
      <c r="F177" s="7">
        <v>4</v>
      </c>
      <c r="G177" s="7">
        <v>1</v>
      </c>
      <c r="H177" s="7">
        <v>81588</v>
      </c>
      <c r="I177" s="7" t="s">
        <v>104</v>
      </c>
      <c r="J177" s="7">
        <v>51511765</v>
      </c>
      <c r="K177" s="7" t="s">
        <v>2505</v>
      </c>
      <c r="L177" s="7" t="s">
        <v>2609</v>
      </c>
      <c r="M177" s="9">
        <v>149900</v>
      </c>
      <c r="N177" s="14" t="s">
        <v>618</v>
      </c>
      <c r="O177" s="14" t="str">
        <f t="shared" si="11"/>
        <v>B1G2</v>
      </c>
      <c r="P177" s="14" t="s">
        <v>618</v>
      </c>
    </row>
    <row r="178" spans="1:16" x14ac:dyDescent="0.25">
      <c r="A178" s="7" t="str">
        <f t="shared" si="8"/>
        <v>2025 JAN-APR B1G2</v>
      </c>
      <c r="B178" s="8">
        <f t="shared" si="9"/>
        <v>46099</v>
      </c>
      <c r="C178" s="8">
        <f t="shared" si="10"/>
        <v>46113</v>
      </c>
      <c r="D178" s="7">
        <v>3272</v>
      </c>
      <c r="E178" s="7">
        <v>336</v>
      </c>
      <c r="F178" s="7">
        <v>4</v>
      </c>
      <c r="G178" s="7">
        <v>1</v>
      </c>
      <c r="H178" s="7">
        <v>81588</v>
      </c>
      <c r="I178" s="7" t="s">
        <v>104</v>
      </c>
      <c r="J178" s="7">
        <v>51511774</v>
      </c>
      <c r="K178" s="7" t="s">
        <v>2505</v>
      </c>
      <c r="L178" s="7" t="s">
        <v>2610</v>
      </c>
      <c r="M178" s="9">
        <v>149900</v>
      </c>
      <c r="N178" s="14" t="s">
        <v>618</v>
      </c>
      <c r="O178" s="14" t="str">
        <f t="shared" si="11"/>
        <v>B1G2</v>
      </c>
      <c r="P178" s="14" t="s">
        <v>618</v>
      </c>
    </row>
    <row r="179" spans="1:16" x14ac:dyDescent="0.25">
      <c r="A179" s="7" t="str">
        <f t="shared" si="8"/>
        <v>2025 JAN-APR B1G2</v>
      </c>
      <c r="B179" s="8">
        <f t="shared" si="9"/>
        <v>46099</v>
      </c>
      <c r="C179" s="8">
        <f t="shared" si="10"/>
        <v>46113</v>
      </c>
      <c r="D179" s="7">
        <v>3272</v>
      </c>
      <c r="E179" s="7">
        <v>336</v>
      </c>
      <c r="F179" s="7">
        <v>4</v>
      </c>
      <c r="G179" s="7">
        <v>1</v>
      </c>
      <c r="H179" s="7">
        <v>81588</v>
      </c>
      <c r="I179" s="7" t="s">
        <v>104</v>
      </c>
      <c r="J179" s="7">
        <v>51511783</v>
      </c>
      <c r="K179" s="7" t="s">
        <v>2505</v>
      </c>
      <c r="L179" s="7" t="s">
        <v>2611</v>
      </c>
      <c r="M179" s="9">
        <v>149900</v>
      </c>
      <c r="N179" s="14" t="s">
        <v>618</v>
      </c>
      <c r="O179" s="14" t="str">
        <f t="shared" si="11"/>
        <v>B1G2</v>
      </c>
      <c r="P179" s="14" t="s">
        <v>618</v>
      </c>
    </row>
    <row r="180" spans="1:16" x14ac:dyDescent="0.25">
      <c r="A180" s="7" t="str">
        <f t="shared" si="8"/>
        <v>2025 JAN-APR B1G2</v>
      </c>
      <c r="B180" s="8">
        <f t="shared" si="9"/>
        <v>46099</v>
      </c>
      <c r="C180" s="8">
        <f t="shared" si="10"/>
        <v>46113</v>
      </c>
      <c r="D180" s="7">
        <v>3272</v>
      </c>
      <c r="E180" s="7">
        <v>336</v>
      </c>
      <c r="F180" s="7">
        <v>4</v>
      </c>
      <c r="G180" s="7">
        <v>1</v>
      </c>
      <c r="H180" s="7">
        <v>81588</v>
      </c>
      <c r="I180" s="7" t="s">
        <v>104</v>
      </c>
      <c r="J180" s="7">
        <v>51511792</v>
      </c>
      <c r="K180" s="7" t="s">
        <v>2505</v>
      </c>
      <c r="L180" s="7" t="s">
        <v>2612</v>
      </c>
      <c r="M180" s="9">
        <v>149900</v>
      </c>
      <c r="N180" s="14" t="s">
        <v>618</v>
      </c>
      <c r="O180" s="14" t="str">
        <f t="shared" si="11"/>
        <v>B1G2</v>
      </c>
      <c r="P180" s="14" t="s">
        <v>618</v>
      </c>
    </row>
    <row r="181" spans="1:16" x14ac:dyDescent="0.25">
      <c r="A181" s="7" t="str">
        <f t="shared" si="8"/>
        <v>2025 JAN-APR B1G2</v>
      </c>
      <c r="B181" s="8">
        <f t="shared" si="9"/>
        <v>46099</v>
      </c>
      <c r="C181" s="8">
        <f t="shared" si="10"/>
        <v>46113</v>
      </c>
      <c r="D181" s="7">
        <v>3272</v>
      </c>
      <c r="E181" s="7">
        <v>336</v>
      </c>
      <c r="F181" s="7">
        <v>4</v>
      </c>
      <c r="G181" s="7">
        <v>1</v>
      </c>
      <c r="H181" s="7">
        <v>81588</v>
      </c>
      <c r="I181" s="7" t="s">
        <v>104</v>
      </c>
      <c r="J181" s="7">
        <v>51511809</v>
      </c>
      <c r="K181" s="7" t="s">
        <v>2505</v>
      </c>
      <c r="L181" s="7" t="s">
        <v>2613</v>
      </c>
      <c r="M181" s="9">
        <v>149900</v>
      </c>
      <c r="N181" s="14" t="s">
        <v>618</v>
      </c>
      <c r="O181" s="14" t="str">
        <f t="shared" si="11"/>
        <v>B1G2</v>
      </c>
      <c r="P181" s="14" t="s">
        <v>618</v>
      </c>
    </row>
    <row r="182" spans="1:16" x14ac:dyDescent="0.25">
      <c r="A182" s="7" t="str">
        <f t="shared" si="8"/>
        <v>2025 JAN-APR B1G2</v>
      </c>
      <c r="B182" s="8">
        <f t="shared" si="9"/>
        <v>46099</v>
      </c>
      <c r="C182" s="8">
        <f t="shared" si="10"/>
        <v>46113</v>
      </c>
      <c r="D182" s="7">
        <v>3272</v>
      </c>
      <c r="E182" s="7">
        <v>336</v>
      </c>
      <c r="F182" s="7">
        <v>4</v>
      </c>
      <c r="G182" s="7">
        <v>1</v>
      </c>
      <c r="H182" s="7">
        <v>81588</v>
      </c>
      <c r="I182" s="7" t="s">
        <v>104</v>
      </c>
      <c r="J182" s="7">
        <v>51511818</v>
      </c>
      <c r="K182" s="7" t="s">
        <v>2505</v>
      </c>
      <c r="L182" s="7" t="s">
        <v>2614</v>
      </c>
      <c r="M182" s="9">
        <v>149900</v>
      </c>
      <c r="N182" s="14" t="s">
        <v>618</v>
      </c>
      <c r="O182" s="14" t="str">
        <f t="shared" si="11"/>
        <v>B1G2</v>
      </c>
      <c r="P182" s="14" t="s">
        <v>618</v>
      </c>
    </row>
    <row r="183" spans="1:16" x14ac:dyDescent="0.25">
      <c r="A183" s="7" t="str">
        <f t="shared" si="8"/>
        <v>2025 JAN-APR B1G2</v>
      </c>
      <c r="B183" s="8">
        <f t="shared" si="9"/>
        <v>46099</v>
      </c>
      <c r="C183" s="8">
        <f t="shared" si="10"/>
        <v>46113</v>
      </c>
      <c r="D183" s="7">
        <v>3272</v>
      </c>
      <c r="E183" s="7">
        <v>336</v>
      </c>
      <c r="F183" s="7">
        <v>4</v>
      </c>
      <c r="G183" s="7">
        <v>1</v>
      </c>
      <c r="H183" s="7">
        <v>81588</v>
      </c>
      <c r="I183" s="7" t="s">
        <v>104</v>
      </c>
      <c r="J183" s="7">
        <v>51511881</v>
      </c>
      <c r="K183" s="7" t="s">
        <v>2506</v>
      </c>
      <c r="L183" s="7" t="s">
        <v>2615</v>
      </c>
      <c r="M183" s="9">
        <v>139900</v>
      </c>
      <c r="N183" s="14" t="s">
        <v>618</v>
      </c>
      <c r="O183" s="14" t="str">
        <f t="shared" si="11"/>
        <v>B1G2</v>
      </c>
      <c r="P183" s="14" t="s">
        <v>618</v>
      </c>
    </row>
    <row r="184" spans="1:16" x14ac:dyDescent="0.25">
      <c r="A184" s="7" t="str">
        <f t="shared" si="8"/>
        <v>2025 JAN-APR B1G2</v>
      </c>
      <c r="B184" s="8">
        <f t="shared" si="9"/>
        <v>46099</v>
      </c>
      <c r="C184" s="8">
        <f t="shared" si="10"/>
        <v>46113</v>
      </c>
      <c r="D184" s="7">
        <v>3272</v>
      </c>
      <c r="E184" s="7">
        <v>336</v>
      </c>
      <c r="F184" s="7">
        <v>4</v>
      </c>
      <c r="G184" s="7">
        <v>1</v>
      </c>
      <c r="H184" s="7">
        <v>81588</v>
      </c>
      <c r="I184" s="7" t="s">
        <v>104</v>
      </c>
      <c r="J184" s="7">
        <v>51511890</v>
      </c>
      <c r="K184" s="7" t="s">
        <v>2506</v>
      </c>
      <c r="L184" s="7" t="s">
        <v>2616</v>
      </c>
      <c r="M184" s="9">
        <v>139900</v>
      </c>
      <c r="N184" s="14" t="s">
        <v>618</v>
      </c>
      <c r="O184" s="14" t="str">
        <f t="shared" si="11"/>
        <v>B1G2</v>
      </c>
      <c r="P184" s="14" t="s">
        <v>618</v>
      </c>
    </row>
    <row r="185" spans="1:16" x14ac:dyDescent="0.25">
      <c r="A185" s="7" t="str">
        <f t="shared" si="8"/>
        <v>2025 JAN-APR B1G2</v>
      </c>
      <c r="B185" s="8">
        <f t="shared" si="9"/>
        <v>46099</v>
      </c>
      <c r="C185" s="8">
        <f t="shared" si="10"/>
        <v>46113</v>
      </c>
      <c r="D185" s="7">
        <v>3272</v>
      </c>
      <c r="E185" s="7">
        <v>336</v>
      </c>
      <c r="F185" s="7">
        <v>4</v>
      </c>
      <c r="G185" s="7">
        <v>1</v>
      </c>
      <c r="H185" s="7">
        <v>81588</v>
      </c>
      <c r="I185" s="7" t="s">
        <v>104</v>
      </c>
      <c r="J185" s="7">
        <v>51511907</v>
      </c>
      <c r="K185" s="7" t="s">
        <v>2506</v>
      </c>
      <c r="L185" s="7" t="s">
        <v>2617</v>
      </c>
      <c r="M185" s="9">
        <v>139900</v>
      </c>
      <c r="N185" s="14" t="s">
        <v>618</v>
      </c>
      <c r="O185" s="14" t="str">
        <f t="shared" si="11"/>
        <v>B1G2</v>
      </c>
      <c r="P185" s="14" t="s">
        <v>618</v>
      </c>
    </row>
    <row r="186" spans="1:16" x14ac:dyDescent="0.25">
      <c r="A186" s="7" t="str">
        <f t="shared" si="8"/>
        <v>2025 JAN-APR B1G2</v>
      </c>
      <c r="B186" s="8">
        <f t="shared" si="9"/>
        <v>46099</v>
      </c>
      <c r="C186" s="8">
        <f t="shared" si="10"/>
        <v>46113</v>
      </c>
      <c r="D186" s="7">
        <v>3272</v>
      </c>
      <c r="E186" s="7">
        <v>336</v>
      </c>
      <c r="F186" s="7">
        <v>4</v>
      </c>
      <c r="G186" s="7">
        <v>1</v>
      </c>
      <c r="H186" s="7">
        <v>81588</v>
      </c>
      <c r="I186" s="7" t="s">
        <v>104</v>
      </c>
      <c r="J186" s="7">
        <v>51511916</v>
      </c>
      <c r="K186" s="7" t="s">
        <v>2506</v>
      </c>
      <c r="L186" s="7" t="s">
        <v>2618</v>
      </c>
      <c r="M186" s="9">
        <v>139900</v>
      </c>
      <c r="N186" s="14" t="s">
        <v>618</v>
      </c>
      <c r="O186" s="14" t="str">
        <f t="shared" si="11"/>
        <v>B1G2</v>
      </c>
      <c r="P186" s="14" t="s">
        <v>618</v>
      </c>
    </row>
    <row r="187" spans="1:16" x14ac:dyDescent="0.25">
      <c r="A187" s="7" t="str">
        <f t="shared" si="8"/>
        <v>2025 JAN-APR B1G2</v>
      </c>
      <c r="B187" s="8">
        <f t="shared" si="9"/>
        <v>46099</v>
      </c>
      <c r="C187" s="8">
        <f t="shared" si="10"/>
        <v>46113</v>
      </c>
      <c r="D187" s="7">
        <v>3272</v>
      </c>
      <c r="E187" s="7">
        <v>336</v>
      </c>
      <c r="F187" s="7">
        <v>4</v>
      </c>
      <c r="G187" s="7">
        <v>1</v>
      </c>
      <c r="H187" s="7">
        <v>81588</v>
      </c>
      <c r="I187" s="7" t="s">
        <v>104</v>
      </c>
      <c r="J187" s="7">
        <v>51511925</v>
      </c>
      <c r="K187" s="7" t="s">
        <v>2506</v>
      </c>
      <c r="L187" s="7" t="s">
        <v>2619</v>
      </c>
      <c r="M187" s="9">
        <v>139900</v>
      </c>
      <c r="N187" s="14" t="s">
        <v>618</v>
      </c>
      <c r="O187" s="14" t="str">
        <f t="shared" si="11"/>
        <v>B1G2</v>
      </c>
      <c r="P187" s="14" t="s">
        <v>618</v>
      </c>
    </row>
    <row r="188" spans="1:16" x14ac:dyDescent="0.25">
      <c r="A188" s="7" t="str">
        <f t="shared" si="8"/>
        <v>2025 JAN-APR B1G2</v>
      </c>
      <c r="B188" s="8">
        <f t="shared" si="9"/>
        <v>46099</v>
      </c>
      <c r="C188" s="8">
        <f t="shared" si="10"/>
        <v>46113</v>
      </c>
      <c r="D188" s="7">
        <v>3272</v>
      </c>
      <c r="E188" s="7">
        <v>336</v>
      </c>
      <c r="F188" s="7">
        <v>4</v>
      </c>
      <c r="G188" s="7">
        <v>1</v>
      </c>
      <c r="H188" s="7">
        <v>81588</v>
      </c>
      <c r="I188" s="7" t="s">
        <v>104</v>
      </c>
      <c r="J188" s="7">
        <v>51511934</v>
      </c>
      <c r="K188" s="7" t="s">
        <v>2506</v>
      </c>
      <c r="L188" s="7" t="s">
        <v>2620</v>
      </c>
      <c r="M188" s="9">
        <v>139900</v>
      </c>
      <c r="N188" s="14" t="s">
        <v>618</v>
      </c>
      <c r="O188" s="14" t="str">
        <f t="shared" si="11"/>
        <v>B1G2</v>
      </c>
      <c r="P188" s="14" t="s">
        <v>618</v>
      </c>
    </row>
    <row r="189" spans="1:16" x14ac:dyDescent="0.25">
      <c r="A189" s="7" t="str">
        <f t="shared" si="8"/>
        <v>2025 JAN-APR B1G2</v>
      </c>
      <c r="B189" s="8">
        <f t="shared" si="9"/>
        <v>46099</v>
      </c>
      <c r="C189" s="8">
        <f t="shared" si="10"/>
        <v>46113</v>
      </c>
      <c r="D189" s="7">
        <v>3272</v>
      </c>
      <c r="E189" s="7">
        <v>336</v>
      </c>
      <c r="F189" s="7">
        <v>4</v>
      </c>
      <c r="G189" s="7">
        <v>1</v>
      </c>
      <c r="H189" s="7">
        <v>81588</v>
      </c>
      <c r="I189" s="7" t="s">
        <v>104</v>
      </c>
      <c r="J189" s="7">
        <v>51511943</v>
      </c>
      <c r="K189" s="7" t="s">
        <v>2507</v>
      </c>
      <c r="L189" s="7" t="s">
        <v>2621</v>
      </c>
      <c r="M189" s="9">
        <v>139900</v>
      </c>
      <c r="N189" s="14" t="s">
        <v>618</v>
      </c>
      <c r="O189" s="14" t="str">
        <f t="shared" si="11"/>
        <v>B1G2</v>
      </c>
      <c r="P189" s="14" t="s">
        <v>618</v>
      </c>
    </row>
    <row r="190" spans="1:16" x14ac:dyDescent="0.25">
      <c r="A190" s="7" t="str">
        <f t="shared" si="8"/>
        <v>2025 JAN-APR B1G2</v>
      </c>
      <c r="B190" s="8">
        <f t="shared" si="9"/>
        <v>46099</v>
      </c>
      <c r="C190" s="8">
        <f t="shared" si="10"/>
        <v>46113</v>
      </c>
      <c r="D190" s="7">
        <v>3272</v>
      </c>
      <c r="E190" s="7">
        <v>336</v>
      </c>
      <c r="F190" s="7">
        <v>4</v>
      </c>
      <c r="G190" s="7">
        <v>1</v>
      </c>
      <c r="H190" s="7">
        <v>81588</v>
      </c>
      <c r="I190" s="7" t="s">
        <v>104</v>
      </c>
      <c r="J190" s="7">
        <v>51511952</v>
      </c>
      <c r="K190" s="7" t="s">
        <v>2507</v>
      </c>
      <c r="L190" s="7" t="s">
        <v>2622</v>
      </c>
      <c r="M190" s="9">
        <v>139900</v>
      </c>
      <c r="N190" s="14" t="s">
        <v>618</v>
      </c>
      <c r="O190" s="14" t="str">
        <f t="shared" si="11"/>
        <v>B1G2</v>
      </c>
      <c r="P190" s="14" t="s">
        <v>618</v>
      </c>
    </row>
    <row r="191" spans="1:16" x14ac:dyDescent="0.25">
      <c r="A191" s="7" t="str">
        <f t="shared" si="8"/>
        <v>2025 JAN-APR B1G2</v>
      </c>
      <c r="B191" s="8">
        <f t="shared" si="9"/>
        <v>46099</v>
      </c>
      <c r="C191" s="8">
        <f t="shared" si="10"/>
        <v>46113</v>
      </c>
      <c r="D191" s="7">
        <v>3272</v>
      </c>
      <c r="E191" s="7">
        <v>336</v>
      </c>
      <c r="F191" s="7">
        <v>4</v>
      </c>
      <c r="G191" s="7">
        <v>1</v>
      </c>
      <c r="H191" s="7">
        <v>81588</v>
      </c>
      <c r="I191" s="7" t="s">
        <v>104</v>
      </c>
      <c r="J191" s="7">
        <v>51511961</v>
      </c>
      <c r="K191" s="7" t="s">
        <v>2507</v>
      </c>
      <c r="L191" s="7" t="s">
        <v>2623</v>
      </c>
      <c r="M191" s="9">
        <v>139900</v>
      </c>
      <c r="N191" s="14" t="s">
        <v>618</v>
      </c>
      <c r="O191" s="14" t="str">
        <f t="shared" si="11"/>
        <v>B1G2</v>
      </c>
      <c r="P191" s="14" t="s">
        <v>618</v>
      </c>
    </row>
    <row r="192" spans="1:16" x14ac:dyDescent="0.25">
      <c r="A192" s="7" t="str">
        <f t="shared" si="8"/>
        <v>2025 JAN-APR B1G2</v>
      </c>
      <c r="B192" s="8">
        <f t="shared" si="9"/>
        <v>46099</v>
      </c>
      <c r="C192" s="8">
        <f t="shared" si="10"/>
        <v>46113</v>
      </c>
      <c r="D192" s="7">
        <v>3272</v>
      </c>
      <c r="E192" s="7">
        <v>336</v>
      </c>
      <c r="F192" s="7">
        <v>4</v>
      </c>
      <c r="G192" s="7">
        <v>1</v>
      </c>
      <c r="H192" s="7">
        <v>81588</v>
      </c>
      <c r="I192" s="7" t="s">
        <v>104</v>
      </c>
      <c r="J192" s="7">
        <v>51511970</v>
      </c>
      <c r="K192" s="7" t="s">
        <v>2507</v>
      </c>
      <c r="L192" s="7" t="s">
        <v>2624</v>
      </c>
      <c r="M192" s="9">
        <v>139900</v>
      </c>
      <c r="N192" s="14" t="s">
        <v>618</v>
      </c>
      <c r="O192" s="14" t="str">
        <f t="shared" si="11"/>
        <v>B1G2</v>
      </c>
      <c r="P192" s="14" t="s">
        <v>618</v>
      </c>
    </row>
    <row r="193" spans="1:16" x14ac:dyDescent="0.25">
      <c r="A193" s="7" t="str">
        <f t="shared" si="8"/>
        <v>2025 JAN-APR B1G2</v>
      </c>
      <c r="B193" s="8">
        <f t="shared" si="9"/>
        <v>46099</v>
      </c>
      <c r="C193" s="8">
        <f t="shared" si="10"/>
        <v>46113</v>
      </c>
      <c r="D193" s="7">
        <v>3272</v>
      </c>
      <c r="E193" s="7">
        <v>336</v>
      </c>
      <c r="F193" s="7">
        <v>4</v>
      </c>
      <c r="G193" s="7">
        <v>1</v>
      </c>
      <c r="H193" s="7">
        <v>81588</v>
      </c>
      <c r="I193" s="7" t="s">
        <v>104</v>
      </c>
      <c r="J193" s="7">
        <v>51511989</v>
      </c>
      <c r="K193" s="7" t="s">
        <v>2507</v>
      </c>
      <c r="L193" s="7" t="s">
        <v>2625</v>
      </c>
      <c r="M193" s="9">
        <v>139900</v>
      </c>
      <c r="N193" s="14" t="s">
        <v>618</v>
      </c>
      <c r="O193" s="14" t="str">
        <f t="shared" si="11"/>
        <v>B1G2</v>
      </c>
      <c r="P193" s="14" t="s">
        <v>618</v>
      </c>
    </row>
    <row r="194" spans="1:16" x14ac:dyDescent="0.25">
      <c r="A194" s="7" t="str">
        <f t="shared" si="8"/>
        <v>2025 JAN-APR B1G2</v>
      </c>
      <c r="B194" s="8">
        <f t="shared" si="9"/>
        <v>46099</v>
      </c>
      <c r="C194" s="8">
        <f t="shared" si="10"/>
        <v>46113</v>
      </c>
      <c r="D194" s="7">
        <v>3272</v>
      </c>
      <c r="E194" s="7">
        <v>336</v>
      </c>
      <c r="F194" s="7">
        <v>4</v>
      </c>
      <c r="G194" s="7">
        <v>1</v>
      </c>
      <c r="H194" s="7">
        <v>81588</v>
      </c>
      <c r="I194" s="7" t="s">
        <v>104</v>
      </c>
      <c r="J194" s="7">
        <v>51511998</v>
      </c>
      <c r="K194" s="7" t="s">
        <v>2507</v>
      </c>
      <c r="L194" s="7" t="s">
        <v>2626</v>
      </c>
      <c r="M194" s="9">
        <v>139900</v>
      </c>
      <c r="N194" s="14" t="s">
        <v>618</v>
      </c>
      <c r="O194" s="14" t="str">
        <f t="shared" si="11"/>
        <v>B1G2</v>
      </c>
      <c r="P194" s="14" t="s">
        <v>618</v>
      </c>
    </row>
    <row r="195" spans="1:16" x14ac:dyDescent="0.25">
      <c r="A195" s="7" t="str">
        <f t="shared" ref="A195:A258" si="12">A194</f>
        <v>2025 JAN-APR B1G2</v>
      </c>
      <c r="B195" s="8">
        <f t="shared" ref="B195:B258" si="13">B194</f>
        <v>46099</v>
      </c>
      <c r="C195" s="8">
        <f t="shared" ref="C195:C258" si="14">C194</f>
        <v>46113</v>
      </c>
      <c r="D195" s="7">
        <v>3272</v>
      </c>
      <c r="E195" s="7">
        <v>336</v>
      </c>
      <c r="F195" s="7">
        <v>4</v>
      </c>
      <c r="G195" s="7">
        <v>5</v>
      </c>
      <c r="H195" s="7">
        <v>81588</v>
      </c>
      <c r="I195" s="7" t="s">
        <v>104</v>
      </c>
      <c r="J195" s="7">
        <v>51512120</v>
      </c>
      <c r="K195" s="7" t="s">
        <v>2759</v>
      </c>
      <c r="L195" s="7" t="s">
        <v>2861</v>
      </c>
      <c r="M195" s="9">
        <v>139900</v>
      </c>
      <c r="N195" s="14" t="s">
        <v>618</v>
      </c>
      <c r="O195" s="14" t="str">
        <f t="shared" ref="O195:O258" si="15">O194</f>
        <v>B1G2</v>
      </c>
      <c r="P195" s="14" t="s">
        <v>618</v>
      </c>
    </row>
    <row r="196" spans="1:16" x14ac:dyDescent="0.25">
      <c r="A196" s="7" t="str">
        <f t="shared" si="12"/>
        <v>2025 JAN-APR B1G2</v>
      </c>
      <c r="B196" s="8">
        <f t="shared" si="13"/>
        <v>46099</v>
      </c>
      <c r="C196" s="8">
        <f t="shared" si="14"/>
        <v>46113</v>
      </c>
      <c r="D196" s="7">
        <v>3272</v>
      </c>
      <c r="E196" s="7">
        <v>336</v>
      </c>
      <c r="F196" s="7">
        <v>4</v>
      </c>
      <c r="G196" s="7">
        <v>5</v>
      </c>
      <c r="H196" s="7">
        <v>81588</v>
      </c>
      <c r="I196" s="7" t="s">
        <v>104</v>
      </c>
      <c r="J196" s="7">
        <v>51512139</v>
      </c>
      <c r="K196" s="7" t="s">
        <v>2759</v>
      </c>
      <c r="L196" s="7" t="s">
        <v>2862</v>
      </c>
      <c r="M196" s="9">
        <v>139900</v>
      </c>
      <c r="N196" s="14" t="s">
        <v>618</v>
      </c>
      <c r="O196" s="14" t="str">
        <f t="shared" si="15"/>
        <v>B1G2</v>
      </c>
      <c r="P196" s="14" t="s">
        <v>618</v>
      </c>
    </row>
    <row r="197" spans="1:16" x14ac:dyDescent="0.25">
      <c r="A197" s="7" t="str">
        <f t="shared" si="12"/>
        <v>2025 JAN-APR B1G2</v>
      </c>
      <c r="B197" s="8">
        <f t="shared" si="13"/>
        <v>46099</v>
      </c>
      <c r="C197" s="8">
        <f t="shared" si="14"/>
        <v>46113</v>
      </c>
      <c r="D197" s="7">
        <v>3272</v>
      </c>
      <c r="E197" s="7">
        <v>336</v>
      </c>
      <c r="F197" s="7">
        <v>4</v>
      </c>
      <c r="G197" s="7">
        <v>5</v>
      </c>
      <c r="H197" s="7">
        <v>81588</v>
      </c>
      <c r="I197" s="7" t="s">
        <v>104</v>
      </c>
      <c r="J197" s="7">
        <v>51512148</v>
      </c>
      <c r="K197" s="7" t="s">
        <v>2759</v>
      </c>
      <c r="L197" s="7" t="s">
        <v>2863</v>
      </c>
      <c r="M197" s="9">
        <v>139900</v>
      </c>
      <c r="N197" s="14" t="s">
        <v>618</v>
      </c>
      <c r="O197" s="14" t="str">
        <f t="shared" si="15"/>
        <v>B1G2</v>
      </c>
      <c r="P197" s="14" t="s">
        <v>618</v>
      </c>
    </row>
    <row r="198" spans="1:16" x14ac:dyDescent="0.25">
      <c r="A198" s="7" t="str">
        <f t="shared" si="12"/>
        <v>2025 JAN-APR B1G2</v>
      </c>
      <c r="B198" s="8">
        <f t="shared" si="13"/>
        <v>46099</v>
      </c>
      <c r="C198" s="8">
        <f t="shared" si="14"/>
        <v>46113</v>
      </c>
      <c r="D198" s="7">
        <v>3272</v>
      </c>
      <c r="E198" s="7">
        <v>336</v>
      </c>
      <c r="F198" s="7">
        <v>4</v>
      </c>
      <c r="G198" s="7">
        <v>5</v>
      </c>
      <c r="H198" s="7">
        <v>81588</v>
      </c>
      <c r="I198" s="7" t="s">
        <v>104</v>
      </c>
      <c r="J198" s="7">
        <v>51512157</v>
      </c>
      <c r="K198" s="7" t="s">
        <v>2759</v>
      </c>
      <c r="L198" s="7" t="s">
        <v>2864</v>
      </c>
      <c r="M198" s="9">
        <v>139900</v>
      </c>
      <c r="N198" s="14" t="s">
        <v>618</v>
      </c>
      <c r="O198" s="14" t="str">
        <f t="shared" si="15"/>
        <v>B1G2</v>
      </c>
      <c r="P198" s="14" t="s">
        <v>618</v>
      </c>
    </row>
    <row r="199" spans="1:16" x14ac:dyDescent="0.25">
      <c r="A199" s="7" t="str">
        <f t="shared" si="12"/>
        <v>2025 JAN-APR B1G2</v>
      </c>
      <c r="B199" s="8">
        <f t="shared" si="13"/>
        <v>46099</v>
      </c>
      <c r="C199" s="8">
        <f t="shared" si="14"/>
        <v>46113</v>
      </c>
      <c r="D199" s="7">
        <v>3272</v>
      </c>
      <c r="E199" s="7">
        <v>336</v>
      </c>
      <c r="F199" s="7">
        <v>4</v>
      </c>
      <c r="G199" s="7">
        <v>5</v>
      </c>
      <c r="H199" s="7">
        <v>81588</v>
      </c>
      <c r="I199" s="7" t="s">
        <v>104</v>
      </c>
      <c r="J199" s="7">
        <v>51512166</v>
      </c>
      <c r="K199" s="7" t="s">
        <v>2759</v>
      </c>
      <c r="L199" s="7" t="s">
        <v>2865</v>
      </c>
      <c r="M199" s="9">
        <v>139900</v>
      </c>
      <c r="N199" s="14" t="s">
        <v>618</v>
      </c>
      <c r="O199" s="14" t="str">
        <f t="shared" si="15"/>
        <v>B1G2</v>
      </c>
      <c r="P199" s="14" t="s">
        <v>618</v>
      </c>
    </row>
    <row r="200" spans="1:16" x14ac:dyDescent="0.25">
      <c r="A200" s="7" t="str">
        <f t="shared" si="12"/>
        <v>2025 JAN-APR B1G2</v>
      </c>
      <c r="B200" s="8">
        <f t="shared" si="13"/>
        <v>46099</v>
      </c>
      <c r="C200" s="8">
        <f t="shared" si="14"/>
        <v>46113</v>
      </c>
      <c r="D200" s="7">
        <v>3272</v>
      </c>
      <c r="E200" s="7">
        <v>336</v>
      </c>
      <c r="F200" s="7">
        <v>4</v>
      </c>
      <c r="G200" s="7">
        <v>5</v>
      </c>
      <c r="H200" s="7">
        <v>81588</v>
      </c>
      <c r="I200" s="7" t="s">
        <v>104</v>
      </c>
      <c r="J200" s="7">
        <v>51512175</v>
      </c>
      <c r="K200" s="7" t="s">
        <v>2759</v>
      </c>
      <c r="L200" s="7" t="s">
        <v>2866</v>
      </c>
      <c r="M200" s="9">
        <v>139900</v>
      </c>
      <c r="N200" s="14" t="s">
        <v>618</v>
      </c>
      <c r="O200" s="14" t="str">
        <f t="shared" si="15"/>
        <v>B1G2</v>
      </c>
      <c r="P200" s="14" t="s">
        <v>618</v>
      </c>
    </row>
    <row r="201" spans="1:16" x14ac:dyDescent="0.25">
      <c r="A201" s="7" t="str">
        <f t="shared" si="12"/>
        <v>2025 JAN-APR B1G2</v>
      </c>
      <c r="B201" s="8">
        <f t="shared" si="13"/>
        <v>46099</v>
      </c>
      <c r="C201" s="8">
        <f t="shared" si="14"/>
        <v>46113</v>
      </c>
      <c r="D201" s="7">
        <v>3272</v>
      </c>
      <c r="E201" s="7">
        <v>336</v>
      </c>
      <c r="F201" s="7">
        <v>4</v>
      </c>
      <c r="G201" s="7">
        <v>1</v>
      </c>
      <c r="H201" s="7">
        <v>81588</v>
      </c>
      <c r="I201" s="7" t="s">
        <v>104</v>
      </c>
      <c r="J201" s="7">
        <v>51522922</v>
      </c>
      <c r="K201" s="7" t="s">
        <v>2508</v>
      </c>
      <c r="L201" s="7" t="s">
        <v>2627</v>
      </c>
      <c r="M201" s="9">
        <v>139900</v>
      </c>
      <c r="N201" s="14" t="s">
        <v>618</v>
      </c>
      <c r="O201" s="14" t="str">
        <f t="shared" si="15"/>
        <v>B1G2</v>
      </c>
      <c r="P201" s="14" t="s">
        <v>618</v>
      </c>
    </row>
    <row r="202" spans="1:16" x14ac:dyDescent="0.25">
      <c r="A202" s="7" t="str">
        <f t="shared" si="12"/>
        <v>2025 JAN-APR B1G2</v>
      </c>
      <c r="B202" s="8">
        <f t="shared" si="13"/>
        <v>46099</v>
      </c>
      <c r="C202" s="8">
        <f t="shared" si="14"/>
        <v>46113</v>
      </c>
      <c r="D202" s="7">
        <v>3272</v>
      </c>
      <c r="E202" s="7">
        <v>336</v>
      </c>
      <c r="F202" s="7">
        <v>4</v>
      </c>
      <c r="G202" s="7">
        <v>1</v>
      </c>
      <c r="H202" s="7">
        <v>81588</v>
      </c>
      <c r="I202" s="7" t="s">
        <v>104</v>
      </c>
      <c r="J202" s="7">
        <v>51522931</v>
      </c>
      <c r="K202" s="7" t="s">
        <v>2508</v>
      </c>
      <c r="L202" s="7" t="s">
        <v>2628</v>
      </c>
      <c r="M202" s="9">
        <v>139900</v>
      </c>
      <c r="N202" s="14" t="s">
        <v>618</v>
      </c>
      <c r="O202" s="14" t="str">
        <f t="shared" si="15"/>
        <v>B1G2</v>
      </c>
      <c r="P202" s="14" t="s">
        <v>618</v>
      </c>
    </row>
    <row r="203" spans="1:16" x14ac:dyDescent="0.25">
      <c r="A203" s="7" t="str">
        <f t="shared" si="12"/>
        <v>2025 JAN-APR B1G2</v>
      </c>
      <c r="B203" s="8">
        <f t="shared" si="13"/>
        <v>46099</v>
      </c>
      <c r="C203" s="8">
        <f t="shared" si="14"/>
        <v>46113</v>
      </c>
      <c r="D203" s="7">
        <v>3272</v>
      </c>
      <c r="E203" s="7">
        <v>336</v>
      </c>
      <c r="F203" s="7">
        <v>4</v>
      </c>
      <c r="G203" s="7">
        <v>1</v>
      </c>
      <c r="H203" s="7">
        <v>81588</v>
      </c>
      <c r="I203" s="7" t="s">
        <v>104</v>
      </c>
      <c r="J203" s="7">
        <v>51522940</v>
      </c>
      <c r="K203" s="7" t="s">
        <v>2508</v>
      </c>
      <c r="L203" s="7" t="s">
        <v>2629</v>
      </c>
      <c r="M203" s="9">
        <v>139900</v>
      </c>
      <c r="N203" s="14" t="s">
        <v>618</v>
      </c>
      <c r="O203" s="14" t="str">
        <f t="shared" si="15"/>
        <v>B1G2</v>
      </c>
      <c r="P203" s="14" t="s">
        <v>618</v>
      </c>
    </row>
    <row r="204" spans="1:16" x14ac:dyDescent="0.25">
      <c r="A204" s="7" t="str">
        <f t="shared" si="12"/>
        <v>2025 JAN-APR B1G2</v>
      </c>
      <c r="B204" s="8">
        <f t="shared" si="13"/>
        <v>46099</v>
      </c>
      <c r="C204" s="8">
        <f t="shared" si="14"/>
        <v>46113</v>
      </c>
      <c r="D204" s="7">
        <v>3272</v>
      </c>
      <c r="E204" s="7">
        <v>336</v>
      </c>
      <c r="F204" s="7">
        <v>4</v>
      </c>
      <c r="G204" s="7">
        <v>1</v>
      </c>
      <c r="H204" s="7">
        <v>81588</v>
      </c>
      <c r="I204" s="7" t="s">
        <v>104</v>
      </c>
      <c r="J204" s="7">
        <v>51522959</v>
      </c>
      <c r="K204" s="7" t="s">
        <v>2508</v>
      </c>
      <c r="L204" s="7" t="s">
        <v>2630</v>
      </c>
      <c r="M204" s="9">
        <v>139900</v>
      </c>
      <c r="N204" s="14" t="s">
        <v>618</v>
      </c>
      <c r="O204" s="14" t="str">
        <f t="shared" si="15"/>
        <v>B1G2</v>
      </c>
      <c r="P204" s="14" t="s">
        <v>618</v>
      </c>
    </row>
    <row r="205" spans="1:16" x14ac:dyDescent="0.25">
      <c r="A205" s="7" t="str">
        <f t="shared" si="12"/>
        <v>2025 JAN-APR B1G2</v>
      </c>
      <c r="B205" s="8">
        <f t="shared" si="13"/>
        <v>46099</v>
      </c>
      <c r="C205" s="8">
        <f t="shared" si="14"/>
        <v>46113</v>
      </c>
      <c r="D205" s="7">
        <v>3272</v>
      </c>
      <c r="E205" s="7">
        <v>336</v>
      </c>
      <c r="F205" s="7">
        <v>4</v>
      </c>
      <c r="G205" s="7">
        <v>1</v>
      </c>
      <c r="H205" s="7">
        <v>81588</v>
      </c>
      <c r="I205" s="7" t="s">
        <v>104</v>
      </c>
      <c r="J205" s="7">
        <v>51522968</v>
      </c>
      <c r="K205" s="7" t="s">
        <v>2508</v>
      </c>
      <c r="L205" s="7" t="s">
        <v>2631</v>
      </c>
      <c r="M205" s="9">
        <v>139900</v>
      </c>
      <c r="N205" s="14" t="s">
        <v>618</v>
      </c>
      <c r="O205" s="14" t="str">
        <f t="shared" si="15"/>
        <v>B1G2</v>
      </c>
      <c r="P205" s="14" t="s">
        <v>618</v>
      </c>
    </row>
    <row r="206" spans="1:16" x14ac:dyDescent="0.25">
      <c r="A206" s="7" t="str">
        <f t="shared" si="12"/>
        <v>2025 JAN-APR B1G2</v>
      </c>
      <c r="B206" s="8">
        <f t="shared" si="13"/>
        <v>46099</v>
      </c>
      <c r="C206" s="8">
        <f t="shared" si="14"/>
        <v>46113</v>
      </c>
      <c r="D206" s="7">
        <v>3272</v>
      </c>
      <c r="E206" s="7">
        <v>336</v>
      </c>
      <c r="F206" s="7">
        <v>4</v>
      </c>
      <c r="G206" s="7">
        <v>1</v>
      </c>
      <c r="H206" s="7">
        <v>81588</v>
      </c>
      <c r="I206" s="7" t="s">
        <v>104</v>
      </c>
      <c r="J206" s="7">
        <v>51522977</v>
      </c>
      <c r="K206" s="7" t="s">
        <v>2508</v>
      </c>
      <c r="L206" s="7" t="s">
        <v>2632</v>
      </c>
      <c r="M206" s="9">
        <v>139900</v>
      </c>
      <c r="N206" s="14" t="s">
        <v>618</v>
      </c>
      <c r="O206" s="14" t="str">
        <f t="shared" si="15"/>
        <v>B1G2</v>
      </c>
      <c r="P206" s="14" t="s">
        <v>618</v>
      </c>
    </row>
    <row r="207" spans="1:16" x14ac:dyDescent="0.25">
      <c r="A207" s="7" t="str">
        <f t="shared" si="12"/>
        <v>2025 JAN-APR B1G2</v>
      </c>
      <c r="B207" s="8">
        <f t="shared" si="13"/>
        <v>46099</v>
      </c>
      <c r="C207" s="8">
        <f t="shared" si="14"/>
        <v>46113</v>
      </c>
      <c r="D207" s="7">
        <v>3272</v>
      </c>
      <c r="E207" s="7">
        <v>336</v>
      </c>
      <c r="F207" s="7">
        <v>4</v>
      </c>
      <c r="G207" s="7">
        <v>1</v>
      </c>
      <c r="H207" s="7">
        <v>81588</v>
      </c>
      <c r="I207" s="7" t="s">
        <v>104</v>
      </c>
      <c r="J207" s="7">
        <v>51522986</v>
      </c>
      <c r="K207" s="7" t="s">
        <v>2508</v>
      </c>
      <c r="L207" s="7" t="s">
        <v>2633</v>
      </c>
      <c r="M207" s="9">
        <v>149900</v>
      </c>
      <c r="N207" s="14" t="s">
        <v>618</v>
      </c>
      <c r="O207" s="14" t="str">
        <f t="shared" si="15"/>
        <v>B1G2</v>
      </c>
      <c r="P207" s="14" t="s">
        <v>618</v>
      </c>
    </row>
    <row r="208" spans="1:16" x14ac:dyDescent="0.25">
      <c r="A208" s="7" t="str">
        <f t="shared" si="12"/>
        <v>2025 JAN-APR B1G2</v>
      </c>
      <c r="B208" s="8">
        <f t="shared" si="13"/>
        <v>46099</v>
      </c>
      <c r="C208" s="8">
        <f t="shared" si="14"/>
        <v>46113</v>
      </c>
      <c r="D208" s="7">
        <v>3272</v>
      </c>
      <c r="E208" s="7">
        <v>336</v>
      </c>
      <c r="F208" s="7">
        <v>4</v>
      </c>
      <c r="G208" s="7">
        <v>1</v>
      </c>
      <c r="H208" s="7">
        <v>81588</v>
      </c>
      <c r="I208" s="7" t="s">
        <v>104</v>
      </c>
      <c r="J208" s="7">
        <v>51522995</v>
      </c>
      <c r="K208" s="7" t="s">
        <v>2508</v>
      </c>
      <c r="L208" s="7" t="s">
        <v>2634</v>
      </c>
      <c r="M208" s="9">
        <v>149900</v>
      </c>
      <c r="N208" s="14" t="s">
        <v>618</v>
      </c>
      <c r="O208" s="14" t="str">
        <f t="shared" si="15"/>
        <v>B1G2</v>
      </c>
      <c r="P208" s="14" t="s">
        <v>618</v>
      </c>
    </row>
    <row r="209" spans="1:16" x14ac:dyDescent="0.25">
      <c r="A209" s="7" t="str">
        <f t="shared" si="12"/>
        <v>2025 JAN-APR B1G2</v>
      </c>
      <c r="B209" s="8">
        <f t="shared" si="13"/>
        <v>46099</v>
      </c>
      <c r="C209" s="8">
        <f t="shared" si="14"/>
        <v>46113</v>
      </c>
      <c r="D209" s="7">
        <v>3272</v>
      </c>
      <c r="E209" s="7">
        <v>336</v>
      </c>
      <c r="F209" s="7">
        <v>4</v>
      </c>
      <c r="G209" s="7">
        <v>1</v>
      </c>
      <c r="H209" s="7">
        <v>81588</v>
      </c>
      <c r="I209" s="7" t="s">
        <v>104</v>
      </c>
      <c r="J209" s="7">
        <v>51523083</v>
      </c>
      <c r="K209" s="7" t="s">
        <v>2509</v>
      </c>
      <c r="L209" s="7" t="s">
        <v>2635</v>
      </c>
      <c r="M209" s="9">
        <v>149900</v>
      </c>
      <c r="N209" s="14" t="s">
        <v>618</v>
      </c>
      <c r="O209" s="14" t="str">
        <f t="shared" si="15"/>
        <v>B1G2</v>
      </c>
      <c r="P209" s="14" t="s">
        <v>618</v>
      </c>
    </row>
    <row r="210" spans="1:16" x14ac:dyDescent="0.25">
      <c r="A210" s="7" t="str">
        <f t="shared" si="12"/>
        <v>2025 JAN-APR B1G2</v>
      </c>
      <c r="B210" s="8">
        <f t="shared" si="13"/>
        <v>46099</v>
      </c>
      <c r="C210" s="8">
        <f t="shared" si="14"/>
        <v>46113</v>
      </c>
      <c r="D210" s="7">
        <v>3272</v>
      </c>
      <c r="E210" s="7">
        <v>336</v>
      </c>
      <c r="F210" s="7">
        <v>4</v>
      </c>
      <c r="G210" s="7">
        <v>1</v>
      </c>
      <c r="H210" s="7">
        <v>81588</v>
      </c>
      <c r="I210" s="7" t="s">
        <v>104</v>
      </c>
      <c r="J210" s="7">
        <v>51523092</v>
      </c>
      <c r="K210" s="7" t="s">
        <v>2509</v>
      </c>
      <c r="L210" s="7" t="s">
        <v>2636</v>
      </c>
      <c r="M210" s="9">
        <v>149900</v>
      </c>
      <c r="N210" s="14" t="s">
        <v>618</v>
      </c>
      <c r="O210" s="14" t="str">
        <f t="shared" si="15"/>
        <v>B1G2</v>
      </c>
      <c r="P210" s="14" t="s">
        <v>618</v>
      </c>
    </row>
    <row r="211" spans="1:16" x14ac:dyDescent="0.25">
      <c r="A211" s="7" t="str">
        <f t="shared" si="12"/>
        <v>2025 JAN-APR B1G2</v>
      </c>
      <c r="B211" s="8">
        <f t="shared" si="13"/>
        <v>46099</v>
      </c>
      <c r="C211" s="8">
        <f t="shared" si="14"/>
        <v>46113</v>
      </c>
      <c r="D211" s="7">
        <v>3272</v>
      </c>
      <c r="E211" s="7">
        <v>336</v>
      </c>
      <c r="F211" s="7">
        <v>4</v>
      </c>
      <c r="G211" s="7">
        <v>1</v>
      </c>
      <c r="H211" s="7">
        <v>81588</v>
      </c>
      <c r="I211" s="7" t="s">
        <v>104</v>
      </c>
      <c r="J211" s="7">
        <v>51523109</v>
      </c>
      <c r="K211" s="7" t="s">
        <v>2509</v>
      </c>
      <c r="L211" s="7" t="s">
        <v>2637</v>
      </c>
      <c r="M211" s="9">
        <v>149900</v>
      </c>
      <c r="N211" s="14" t="s">
        <v>618</v>
      </c>
      <c r="O211" s="14" t="str">
        <f t="shared" si="15"/>
        <v>B1G2</v>
      </c>
      <c r="P211" s="14" t="s">
        <v>618</v>
      </c>
    </row>
    <row r="212" spans="1:16" x14ac:dyDescent="0.25">
      <c r="A212" s="7" t="str">
        <f t="shared" si="12"/>
        <v>2025 JAN-APR B1G2</v>
      </c>
      <c r="B212" s="8">
        <f t="shared" si="13"/>
        <v>46099</v>
      </c>
      <c r="C212" s="8">
        <f t="shared" si="14"/>
        <v>46113</v>
      </c>
      <c r="D212" s="7">
        <v>3272</v>
      </c>
      <c r="E212" s="7">
        <v>336</v>
      </c>
      <c r="F212" s="7">
        <v>4</v>
      </c>
      <c r="G212" s="7">
        <v>1</v>
      </c>
      <c r="H212" s="7">
        <v>81588</v>
      </c>
      <c r="I212" s="7" t="s">
        <v>104</v>
      </c>
      <c r="J212" s="7">
        <v>51523118</v>
      </c>
      <c r="K212" s="7" t="s">
        <v>2509</v>
      </c>
      <c r="L212" s="7" t="s">
        <v>2638</v>
      </c>
      <c r="M212" s="9">
        <v>149900</v>
      </c>
      <c r="N212" s="14" t="s">
        <v>618</v>
      </c>
      <c r="O212" s="14" t="str">
        <f t="shared" si="15"/>
        <v>B1G2</v>
      </c>
      <c r="P212" s="14" t="s">
        <v>618</v>
      </c>
    </row>
    <row r="213" spans="1:16" x14ac:dyDescent="0.25">
      <c r="A213" s="7" t="str">
        <f t="shared" si="12"/>
        <v>2025 JAN-APR B1G2</v>
      </c>
      <c r="B213" s="8">
        <f t="shared" si="13"/>
        <v>46099</v>
      </c>
      <c r="C213" s="8">
        <f t="shared" si="14"/>
        <v>46113</v>
      </c>
      <c r="D213" s="7">
        <v>3272</v>
      </c>
      <c r="E213" s="7">
        <v>336</v>
      </c>
      <c r="F213" s="7">
        <v>4</v>
      </c>
      <c r="G213" s="7">
        <v>1</v>
      </c>
      <c r="H213" s="7">
        <v>81588</v>
      </c>
      <c r="I213" s="7" t="s">
        <v>104</v>
      </c>
      <c r="J213" s="7">
        <v>51523127</v>
      </c>
      <c r="K213" s="7" t="s">
        <v>2509</v>
      </c>
      <c r="L213" s="7" t="s">
        <v>2639</v>
      </c>
      <c r="M213" s="9">
        <v>149900</v>
      </c>
      <c r="N213" s="14" t="s">
        <v>618</v>
      </c>
      <c r="O213" s="14" t="str">
        <f t="shared" si="15"/>
        <v>B1G2</v>
      </c>
      <c r="P213" s="14" t="s">
        <v>618</v>
      </c>
    </row>
    <row r="214" spans="1:16" x14ac:dyDescent="0.25">
      <c r="A214" s="7" t="str">
        <f t="shared" si="12"/>
        <v>2025 JAN-APR B1G2</v>
      </c>
      <c r="B214" s="8">
        <f t="shared" si="13"/>
        <v>46099</v>
      </c>
      <c r="C214" s="8">
        <f t="shared" si="14"/>
        <v>46113</v>
      </c>
      <c r="D214" s="7">
        <v>3272</v>
      </c>
      <c r="E214" s="7">
        <v>336</v>
      </c>
      <c r="F214" s="7">
        <v>4</v>
      </c>
      <c r="G214" s="7">
        <v>1</v>
      </c>
      <c r="H214" s="7">
        <v>81588</v>
      </c>
      <c r="I214" s="7" t="s">
        <v>104</v>
      </c>
      <c r="J214" s="7">
        <v>51523136</v>
      </c>
      <c r="K214" s="7" t="s">
        <v>2509</v>
      </c>
      <c r="L214" s="7" t="s">
        <v>2640</v>
      </c>
      <c r="M214" s="9">
        <v>149900</v>
      </c>
      <c r="N214" s="14" t="s">
        <v>618</v>
      </c>
      <c r="O214" s="14" t="str">
        <f t="shared" si="15"/>
        <v>B1G2</v>
      </c>
      <c r="P214" s="14" t="s">
        <v>618</v>
      </c>
    </row>
    <row r="215" spans="1:16" x14ac:dyDescent="0.25">
      <c r="A215" s="7" t="str">
        <f t="shared" si="12"/>
        <v>2025 JAN-APR B1G2</v>
      </c>
      <c r="B215" s="8">
        <f t="shared" si="13"/>
        <v>46099</v>
      </c>
      <c r="C215" s="8">
        <f t="shared" si="14"/>
        <v>46113</v>
      </c>
      <c r="D215" s="7">
        <v>3272</v>
      </c>
      <c r="E215" s="7">
        <v>336</v>
      </c>
      <c r="F215" s="7">
        <v>4</v>
      </c>
      <c r="G215" s="7">
        <v>1</v>
      </c>
      <c r="H215" s="7">
        <v>81588</v>
      </c>
      <c r="I215" s="7" t="s">
        <v>104</v>
      </c>
      <c r="J215" s="7">
        <v>51523145</v>
      </c>
      <c r="K215" s="7" t="s">
        <v>2509</v>
      </c>
      <c r="L215" s="7" t="s">
        <v>2641</v>
      </c>
      <c r="M215" s="9">
        <v>139900</v>
      </c>
      <c r="N215" s="14" t="s">
        <v>618</v>
      </c>
      <c r="O215" s="14" t="str">
        <f t="shared" si="15"/>
        <v>B1G2</v>
      </c>
      <c r="P215" s="14" t="s">
        <v>618</v>
      </c>
    </row>
    <row r="216" spans="1:16" x14ac:dyDescent="0.25">
      <c r="A216" s="7" t="str">
        <f t="shared" si="12"/>
        <v>2025 JAN-APR B1G2</v>
      </c>
      <c r="B216" s="8">
        <f t="shared" si="13"/>
        <v>46099</v>
      </c>
      <c r="C216" s="8">
        <f t="shared" si="14"/>
        <v>46113</v>
      </c>
      <c r="D216" s="7">
        <v>3272</v>
      </c>
      <c r="E216" s="7">
        <v>336</v>
      </c>
      <c r="F216" s="7">
        <v>4</v>
      </c>
      <c r="G216" s="7">
        <v>1</v>
      </c>
      <c r="H216" s="7">
        <v>81588</v>
      </c>
      <c r="I216" s="7" t="s">
        <v>104</v>
      </c>
      <c r="J216" s="7">
        <v>51523154</v>
      </c>
      <c r="K216" s="7" t="s">
        <v>2509</v>
      </c>
      <c r="L216" s="7" t="s">
        <v>2642</v>
      </c>
      <c r="M216" s="9">
        <v>139900</v>
      </c>
      <c r="N216" s="14" t="s">
        <v>618</v>
      </c>
      <c r="O216" s="14" t="str">
        <f t="shared" si="15"/>
        <v>B1G2</v>
      </c>
      <c r="P216" s="14" t="s">
        <v>618</v>
      </c>
    </row>
    <row r="217" spans="1:16" x14ac:dyDescent="0.25">
      <c r="A217" s="7" t="str">
        <f t="shared" si="12"/>
        <v>2025 JAN-APR B1G2</v>
      </c>
      <c r="B217" s="8">
        <f t="shared" si="13"/>
        <v>46099</v>
      </c>
      <c r="C217" s="8">
        <f t="shared" si="14"/>
        <v>46113</v>
      </c>
      <c r="D217" s="7">
        <v>3272</v>
      </c>
      <c r="E217" s="7">
        <v>336</v>
      </c>
      <c r="F217" s="7">
        <v>4</v>
      </c>
      <c r="G217" s="7">
        <v>1</v>
      </c>
      <c r="H217" s="7">
        <v>81588</v>
      </c>
      <c r="I217" s="7" t="s">
        <v>104</v>
      </c>
      <c r="J217" s="7">
        <v>51523163</v>
      </c>
      <c r="K217" s="7" t="s">
        <v>2510</v>
      </c>
      <c r="L217" s="7" t="s">
        <v>2643</v>
      </c>
      <c r="M217" s="9">
        <v>139900</v>
      </c>
      <c r="N217" s="14" t="s">
        <v>618</v>
      </c>
      <c r="O217" s="14" t="str">
        <f t="shared" si="15"/>
        <v>B1G2</v>
      </c>
      <c r="P217" s="14" t="s">
        <v>618</v>
      </c>
    </row>
    <row r="218" spans="1:16" x14ac:dyDescent="0.25">
      <c r="A218" s="7" t="str">
        <f t="shared" si="12"/>
        <v>2025 JAN-APR B1G2</v>
      </c>
      <c r="B218" s="8">
        <f t="shared" si="13"/>
        <v>46099</v>
      </c>
      <c r="C218" s="8">
        <f t="shared" si="14"/>
        <v>46113</v>
      </c>
      <c r="D218" s="7">
        <v>3272</v>
      </c>
      <c r="E218" s="7">
        <v>336</v>
      </c>
      <c r="F218" s="7">
        <v>4</v>
      </c>
      <c r="G218" s="7">
        <v>1</v>
      </c>
      <c r="H218" s="7">
        <v>81588</v>
      </c>
      <c r="I218" s="7" t="s">
        <v>104</v>
      </c>
      <c r="J218" s="7">
        <v>51523172</v>
      </c>
      <c r="K218" s="7" t="s">
        <v>2510</v>
      </c>
      <c r="L218" s="7" t="s">
        <v>2644</v>
      </c>
      <c r="M218" s="9">
        <v>139900</v>
      </c>
      <c r="N218" s="14" t="s">
        <v>618</v>
      </c>
      <c r="O218" s="14" t="str">
        <f t="shared" si="15"/>
        <v>B1G2</v>
      </c>
      <c r="P218" s="14" t="s">
        <v>618</v>
      </c>
    </row>
    <row r="219" spans="1:16" x14ac:dyDescent="0.25">
      <c r="A219" s="7" t="str">
        <f t="shared" si="12"/>
        <v>2025 JAN-APR B1G2</v>
      </c>
      <c r="B219" s="8">
        <f t="shared" si="13"/>
        <v>46099</v>
      </c>
      <c r="C219" s="8">
        <f t="shared" si="14"/>
        <v>46113</v>
      </c>
      <c r="D219" s="7">
        <v>3272</v>
      </c>
      <c r="E219" s="7">
        <v>336</v>
      </c>
      <c r="F219" s="7">
        <v>4</v>
      </c>
      <c r="G219" s="7">
        <v>1</v>
      </c>
      <c r="H219" s="7">
        <v>81588</v>
      </c>
      <c r="I219" s="7" t="s">
        <v>104</v>
      </c>
      <c r="J219" s="7">
        <v>51523181</v>
      </c>
      <c r="K219" s="7" t="s">
        <v>2510</v>
      </c>
      <c r="L219" s="7" t="s">
        <v>2645</v>
      </c>
      <c r="M219" s="9">
        <v>139900</v>
      </c>
      <c r="N219" s="14" t="s">
        <v>618</v>
      </c>
      <c r="O219" s="14" t="str">
        <f t="shared" si="15"/>
        <v>B1G2</v>
      </c>
      <c r="P219" s="14" t="s">
        <v>618</v>
      </c>
    </row>
    <row r="220" spans="1:16" x14ac:dyDescent="0.25">
      <c r="A220" s="7" t="str">
        <f t="shared" si="12"/>
        <v>2025 JAN-APR B1G2</v>
      </c>
      <c r="B220" s="8">
        <f t="shared" si="13"/>
        <v>46099</v>
      </c>
      <c r="C220" s="8">
        <f t="shared" si="14"/>
        <v>46113</v>
      </c>
      <c r="D220" s="7">
        <v>3272</v>
      </c>
      <c r="E220" s="7">
        <v>336</v>
      </c>
      <c r="F220" s="7">
        <v>4</v>
      </c>
      <c r="G220" s="7">
        <v>1</v>
      </c>
      <c r="H220" s="7">
        <v>81588</v>
      </c>
      <c r="I220" s="7" t="s">
        <v>104</v>
      </c>
      <c r="J220" s="7">
        <v>51523190</v>
      </c>
      <c r="K220" s="7" t="s">
        <v>2510</v>
      </c>
      <c r="L220" s="7" t="s">
        <v>2646</v>
      </c>
      <c r="M220" s="9">
        <v>139900</v>
      </c>
      <c r="N220" s="14" t="s">
        <v>618</v>
      </c>
      <c r="O220" s="14" t="str">
        <f t="shared" si="15"/>
        <v>B1G2</v>
      </c>
      <c r="P220" s="14" t="s">
        <v>618</v>
      </c>
    </row>
    <row r="221" spans="1:16" x14ac:dyDescent="0.25">
      <c r="A221" s="7" t="str">
        <f t="shared" si="12"/>
        <v>2025 JAN-APR B1G2</v>
      </c>
      <c r="B221" s="8">
        <f t="shared" si="13"/>
        <v>46099</v>
      </c>
      <c r="C221" s="8">
        <f t="shared" si="14"/>
        <v>46113</v>
      </c>
      <c r="D221" s="7">
        <v>3272</v>
      </c>
      <c r="E221" s="7">
        <v>336</v>
      </c>
      <c r="F221" s="7">
        <v>4</v>
      </c>
      <c r="G221" s="7">
        <v>1</v>
      </c>
      <c r="H221" s="7">
        <v>81588</v>
      </c>
      <c r="I221" s="7" t="s">
        <v>104</v>
      </c>
      <c r="J221" s="7">
        <v>51523207</v>
      </c>
      <c r="K221" s="7" t="s">
        <v>2510</v>
      </c>
      <c r="L221" s="7" t="s">
        <v>2647</v>
      </c>
      <c r="M221" s="9">
        <v>139900</v>
      </c>
      <c r="N221" s="14" t="s">
        <v>618</v>
      </c>
      <c r="O221" s="14" t="str">
        <f t="shared" si="15"/>
        <v>B1G2</v>
      </c>
      <c r="P221" s="14" t="s">
        <v>618</v>
      </c>
    </row>
    <row r="222" spans="1:16" x14ac:dyDescent="0.25">
      <c r="A222" s="7" t="str">
        <f t="shared" si="12"/>
        <v>2025 JAN-APR B1G2</v>
      </c>
      <c r="B222" s="8">
        <f t="shared" si="13"/>
        <v>46099</v>
      </c>
      <c r="C222" s="8">
        <f t="shared" si="14"/>
        <v>46113</v>
      </c>
      <c r="D222" s="7">
        <v>3272</v>
      </c>
      <c r="E222" s="7">
        <v>336</v>
      </c>
      <c r="F222" s="7">
        <v>4</v>
      </c>
      <c r="G222" s="7">
        <v>1</v>
      </c>
      <c r="H222" s="7">
        <v>81588</v>
      </c>
      <c r="I222" s="7" t="s">
        <v>104</v>
      </c>
      <c r="J222" s="7">
        <v>51523216</v>
      </c>
      <c r="K222" s="7" t="s">
        <v>2510</v>
      </c>
      <c r="L222" s="7" t="s">
        <v>2648</v>
      </c>
      <c r="M222" s="9">
        <v>139900</v>
      </c>
      <c r="N222" s="14" t="s">
        <v>618</v>
      </c>
      <c r="O222" s="14" t="str">
        <f t="shared" si="15"/>
        <v>B1G2</v>
      </c>
      <c r="P222" s="14" t="s">
        <v>618</v>
      </c>
    </row>
    <row r="223" spans="1:16" x14ac:dyDescent="0.25">
      <c r="A223" s="7" t="str">
        <f t="shared" si="12"/>
        <v>2025 JAN-APR B1G2</v>
      </c>
      <c r="B223" s="8">
        <f t="shared" si="13"/>
        <v>46099</v>
      </c>
      <c r="C223" s="8">
        <f t="shared" si="14"/>
        <v>46113</v>
      </c>
      <c r="D223" s="7">
        <v>3272</v>
      </c>
      <c r="E223" s="7">
        <v>336</v>
      </c>
      <c r="F223" s="7">
        <v>4</v>
      </c>
      <c r="G223" s="7">
        <v>1</v>
      </c>
      <c r="H223" s="7">
        <v>81588</v>
      </c>
      <c r="I223" s="7" t="s">
        <v>104</v>
      </c>
      <c r="J223" s="7">
        <v>51523225</v>
      </c>
      <c r="K223" s="7" t="s">
        <v>2510</v>
      </c>
      <c r="L223" s="7" t="s">
        <v>2649</v>
      </c>
      <c r="M223" s="9">
        <v>149900</v>
      </c>
      <c r="N223" s="14" t="s">
        <v>618</v>
      </c>
      <c r="O223" s="14" t="str">
        <f t="shared" si="15"/>
        <v>B1G2</v>
      </c>
      <c r="P223" s="14" t="s">
        <v>618</v>
      </c>
    </row>
    <row r="224" spans="1:16" x14ac:dyDescent="0.25">
      <c r="A224" s="7" t="str">
        <f t="shared" si="12"/>
        <v>2025 JAN-APR B1G2</v>
      </c>
      <c r="B224" s="8">
        <f t="shared" si="13"/>
        <v>46099</v>
      </c>
      <c r="C224" s="8">
        <f t="shared" si="14"/>
        <v>46113</v>
      </c>
      <c r="D224" s="7">
        <v>3272</v>
      </c>
      <c r="E224" s="7">
        <v>336</v>
      </c>
      <c r="F224" s="7">
        <v>4</v>
      </c>
      <c r="G224" s="7">
        <v>1</v>
      </c>
      <c r="H224" s="7">
        <v>81588</v>
      </c>
      <c r="I224" s="7" t="s">
        <v>104</v>
      </c>
      <c r="J224" s="7">
        <v>51523234</v>
      </c>
      <c r="K224" s="7" t="s">
        <v>2510</v>
      </c>
      <c r="L224" s="7" t="s">
        <v>2650</v>
      </c>
      <c r="M224" s="9">
        <v>149900</v>
      </c>
      <c r="N224" s="14" t="s">
        <v>618</v>
      </c>
      <c r="O224" s="14" t="str">
        <f t="shared" si="15"/>
        <v>B1G2</v>
      </c>
      <c r="P224" s="14" t="s">
        <v>618</v>
      </c>
    </row>
    <row r="225" spans="1:16" x14ac:dyDescent="0.25">
      <c r="A225" s="7" t="str">
        <f t="shared" si="12"/>
        <v>2025 JAN-APR B1G2</v>
      </c>
      <c r="B225" s="8">
        <f t="shared" si="13"/>
        <v>46099</v>
      </c>
      <c r="C225" s="8">
        <f t="shared" si="14"/>
        <v>46113</v>
      </c>
      <c r="D225" s="7">
        <v>3272</v>
      </c>
      <c r="E225" s="7">
        <v>336</v>
      </c>
      <c r="F225" s="7">
        <v>4</v>
      </c>
      <c r="G225" s="7">
        <v>3</v>
      </c>
      <c r="H225" s="7">
        <v>81588</v>
      </c>
      <c r="I225" s="7" t="s">
        <v>104</v>
      </c>
      <c r="J225" s="7">
        <v>51523323</v>
      </c>
      <c r="K225" s="7" t="s">
        <v>2760</v>
      </c>
      <c r="L225" s="7" t="s">
        <v>2867</v>
      </c>
      <c r="M225" s="9">
        <v>149900</v>
      </c>
      <c r="N225" s="14" t="s">
        <v>618</v>
      </c>
      <c r="O225" s="14" t="str">
        <f t="shared" si="15"/>
        <v>B1G2</v>
      </c>
      <c r="P225" s="14" t="s">
        <v>618</v>
      </c>
    </row>
    <row r="226" spans="1:16" x14ac:dyDescent="0.25">
      <c r="A226" s="7" t="str">
        <f t="shared" si="12"/>
        <v>2025 JAN-APR B1G2</v>
      </c>
      <c r="B226" s="8">
        <f t="shared" si="13"/>
        <v>46099</v>
      </c>
      <c r="C226" s="8">
        <f t="shared" si="14"/>
        <v>46113</v>
      </c>
      <c r="D226" s="7">
        <v>3272</v>
      </c>
      <c r="E226" s="7">
        <v>336</v>
      </c>
      <c r="F226" s="7">
        <v>4</v>
      </c>
      <c r="G226" s="7">
        <v>3</v>
      </c>
      <c r="H226" s="7">
        <v>81588</v>
      </c>
      <c r="I226" s="7" t="s">
        <v>104</v>
      </c>
      <c r="J226" s="7">
        <v>51523332</v>
      </c>
      <c r="K226" s="7" t="s">
        <v>2760</v>
      </c>
      <c r="L226" s="7" t="s">
        <v>2868</v>
      </c>
      <c r="M226" s="9">
        <v>149900</v>
      </c>
      <c r="N226" s="14" t="s">
        <v>618</v>
      </c>
      <c r="O226" s="14" t="str">
        <f t="shared" si="15"/>
        <v>B1G2</v>
      </c>
      <c r="P226" s="14" t="s">
        <v>618</v>
      </c>
    </row>
    <row r="227" spans="1:16" x14ac:dyDescent="0.25">
      <c r="A227" s="7" t="str">
        <f t="shared" si="12"/>
        <v>2025 JAN-APR B1G2</v>
      </c>
      <c r="B227" s="8">
        <f t="shared" si="13"/>
        <v>46099</v>
      </c>
      <c r="C227" s="8">
        <f t="shared" si="14"/>
        <v>46113</v>
      </c>
      <c r="D227" s="16">
        <f t="shared" ref="D227:D258" si="16">D226</f>
        <v>3272</v>
      </c>
      <c r="E227" s="16">
        <f t="shared" ref="E227:E258" si="17">E226</f>
        <v>336</v>
      </c>
      <c r="F227" s="16">
        <f t="shared" ref="F227:F258" si="18">F226</f>
        <v>4</v>
      </c>
      <c r="G227" s="7">
        <v>3</v>
      </c>
      <c r="H227" s="7">
        <v>81588</v>
      </c>
      <c r="I227" s="7" t="s">
        <v>104</v>
      </c>
      <c r="J227" s="7">
        <v>51523341</v>
      </c>
      <c r="K227" s="7" t="s">
        <v>2760</v>
      </c>
      <c r="L227" s="7" t="s">
        <v>2869</v>
      </c>
      <c r="M227" s="9">
        <v>149900</v>
      </c>
      <c r="N227" s="14" t="s">
        <v>618</v>
      </c>
      <c r="O227" s="14" t="str">
        <f t="shared" si="15"/>
        <v>B1G2</v>
      </c>
      <c r="P227" s="14" t="s">
        <v>618</v>
      </c>
    </row>
    <row r="228" spans="1:16" x14ac:dyDescent="0.25">
      <c r="A228" s="7" t="str">
        <f t="shared" si="12"/>
        <v>2025 JAN-APR B1G2</v>
      </c>
      <c r="B228" s="8">
        <f t="shared" si="13"/>
        <v>46099</v>
      </c>
      <c r="C228" s="8">
        <f t="shared" si="14"/>
        <v>46113</v>
      </c>
      <c r="D228" s="16">
        <f t="shared" si="16"/>
        <v>3272</v>
      </c>
      <c r="E228" s="16">
        <f t="shared" si="17"/>
        <v>336</v>
      </c>
      <c r="F228" s="16">
        <f t="shared" si="18"/>
        <v>4</v>
      </c>
      <c r="G228" s="7">
        <v>3</v>
      </c>
      <c r="H228" s="7">
        <v>81588</v>
      </c>
      <c r="I228" s="7" t="s">
        <v>104</v>
      </c>
      <c r="J228" s="7">
        <v>51523350</v>
      </c>
      <c r="K228" s="7" t="s">
        <v>2760</v>
      </c>
      <c r="L228" s="7" t="s">
        <v>2870</v>
      </c>
      <c r="M228" s="9">
        <v>139900</v>
      </c>
      <c r="N228" s="14" t="s">
        <v>618</v>
      </c>
      <c r="O228" s="14" t="str">
        <f t="shared" si="15"/>
        <v>B1G2</v>
      </c>
      <c r="P228" s="14" t="s">
        <v>618</v>
      </c>
    </row>
    <row r="229" spans="1:16" x14ac:dyDescent="0.25">
      <c r="A229" s="7" t="str">
        <f t="shared" si="12"/>
        <v>2025 JAN-APR B1G2</v>
      </c>
      <c r="B229" s="8">
        <f t="shared" si="13"/>
        <v>46099</v>
      </c>
      <c r="C229" s="8">
        <f t="shared" si="14"/>
        <v>46113</v>
      </c>
      <c r="D229" s="16">
        <f t="shared" si="16"/>
        <v>3272</v>
      </c>
      <c r="E229" s="16">
        <f t="shared" si="17"/>
        <v>336</v>
      </c>
      <c r="F229" s="16">
        <f t="shared" si="18"/>
        <v>4</v>
      </c>
      <c r="G229" s="7">
        <v>3</v>
      </c>
      <c r="H229" s="7">
        <v>81588</v>
      </c>
      <c r="I229" s="7" t="s">
        <v>104</v>
      </c>
      <c r="J229" s="7">
        <v>51523369</v>
      </c>
      <c r="K229" s="7" t="s">
        <v>2760</v>
      </c>
      <c r="L229" s="7" t="s">
        <v>2871</v>
      </c>
      <c r="M229" s="9">
        <v>139900</v>
      </c>
      <c r="N229" s="14" t="s">
        <v>618</v>
      </c>
      <c r="O229" s="14" t="str">
        <f t="shared" si="15"/>
        <v>B1G2</v>
      </c>
      <c r="P229" s="14" t="s">
        <v>618</v>
      </c>
    </row>
    <row r="230" spans="1:16" x14ac:dyDescent="0.25">
      <c r="A230" s="7" t="str">
        <f t="shared" si="12"/>
        <v>2025 JAN-APR B1G2</v>
      </c>
      <c r="B230" s="8">
        <f t="shared" si="13"/>
        <v>46099</v>
      </c>
      <c r="C230" s="8">
        <f t="shared" si="14"/>
        <v>46113</v>
      </c>
      <c r="D230" s="16">
        <f t="shared" si="16"/>
        <v>3272</v>
      </c>
      <c r="E230" s="16">
        <f t="shared" si="17"/>
        <v>336</v>
      </c>
      <c r="F230" s="16">
        <f t="shared" si="18"/>
        <v>4</v>
      </c>
      <c r="G230" s="7">
        <v>3</v>
      </c>
      <c r="H230" s="7">
        <v>81588</v>
      </c>
      <c r="I230" s="7" t="s">
        <v>104</v>
      </c>
      <c r="J230" s="7">
        <v>51523378</v>
      </c>
      <c r="K230" s="7" t="s">
        <v>2760</v>
      </c>
      <c r="L230" s="7" t="s">
        <v>2872</v>
      </c>
      <c r="M230" s="9">
        <v>139900</v>
      </c>
      <c r="N230" s="14" t="s">
        <v>618</v>
      </c>
      <c r="O230" s="14" t="str">
        <f t="shared" si="15"/>
        <v>B1G2</v>
      </c>
      <c r="P230" s="14" t="s">
        <v>618</v>
      </c>
    </row>
    <row r="231" spans="1:16" x14ac:dyDescent="0.25">
      <c r="A231" s="7" t="str">
        <f t="shared" si="12"/>
        <v>2025 JAN-APR B1G2</v>
      </c>
      <c r="B231" s="8">
        <f t="shared" si="13"/>
        <v>46099</v>
      </c>
      <c r="C231" s="8">
        <f t="shared" si="14"/>
        <v>46113</v>
      </c>
      <c r="D231" s="16">
        <f t="shared" si="16"/>
        <v>3272</v>
      </c>
      <c r="E231" s="16">
        <f t="shared" si="17"/>
        <v>336</v>
      </c>
      <c r="F231" s="16">
        <f t="shared" si="18"/>
        <v>4</v>
      </c>
      <c r="G231" s="7">
        <v>4</v>
      </c>
      <c r="H231" s="7">
        <v>81588</v>
      </c>
      <c r="I231" s="7" t="s">
        <v>104</v>
      </c>
      <c r="J231" s="7">
        <v>51523547</v>
      </c>
      <c r="K231" s="7" t="s">
        <v>2761</v>
      </c>
      <c r="L231" s="7" t="s">
        <v>2873</v>
      </c>
      <c r="M231" s="9">
        <v>139900</v>
      </c>
      <c r="N231" s="14" t="s">
        <v>618</v>
      </c>
      <c r="O231" s="14" t="str">
        <f t="shared" si="15"/>
        <v>B1G2</v>
      </c>
      <c r="P231" s="14" t="s">
        <v>618</v>
      </c>
    </row>
    <row r="232" spans="1:16" x14ac:dyDescent="0.25">
      <c r="A232" s="7" t="str">
        <f t="shared" si="12"/>
        <v>2025 JAN-APR B1G2</v>
      </c>
      <c r="B232" s="8">
        <f t="shared" si="13"/>
        <v>46099</v>
      </c>
      <c r="C232" s="8">
        <f t="shared" si="14"/>
        <v>46113</v>
      </c>
      <c r="D232" s="16">
        <f t="shared" si="16"/>
        <v>3272</v>
      </c>
      <c r="E232" s="16">
        <f t="shared" si="17"/>
        <v>336</v>
      </c>
      <c r="F232" s="16">
        <f t="shared" si="18"/>
        <v>4</v>
      </c>
      <c r="G232" s="7">
        <v>4</v>
      </c>
      <c r="H232" s="7">
        <v>81588</v>
      </c>
      <c r="I232" s="7" t="s">
        <v>104</v>
      </c>
      <c r="J232" s="7">
        <v>51523556</v>
      </c>
      <c r="K232" s="7" t="s">
        <v>2761</v>
      </c>
      <c r="L232" s="7" t="s">
        <v>2874</v>
      </c>
      <c r="M232" s="9">
        <v>139900</v>
      </c>
      <c r="N232" s="14" t="s">
        <v>618</v>
      </c>
      <c r="O232" s="14" t="str">
        <f t="shared" si="15"/>
        <v>B1G2</v>
      </c>
      <c r="P232" s="14" t="s">
        <v>618</v>
      </c>
    </row>
    <row r="233" spans="1:16" x14ac:dyDescent="0.25">
      <c r="A233" s="7" t="str">
        <f t="shared" si="12"/>
        <v>2025 JAN-APR B1G2</v>
      </c>
      <c r="B233" s="8">
        <f t="shared" si="13"/>
        <v>46099</v>
      </c>
      <c r="C233" s="8">
        <f t="shared" si="14"/>
        <v>46113</v>
      </c>
      <c r="D233" s="16">
        <f t="shared" si="16"/>
        <v>3272</v>
      </c>
      <c r="E233" s="16">
        <f t="shared" si="17"/>
        <v>336</v>
      </c>
      <c r="F233" s="16">
        <f t="shared" si="18"/>
        <v>4</v>
      </c>
      <c r="G233" s="7">
        <v>4</v>
      </c>
      <c r="H233" s="7">
        <v>81588</v>
      </c>
      <c r="I233" s="7" t="s">
        <v>104</v>
      </c>
      <c r="J233" s="7">
        <v>51523565</v>
      </c>
      <c r="K233" s="7" t="s">
        <v>2761</v>
      </c>
      <c r="L233" s="7" t="s">
        <v>2875</v>
      </c>
      <c r="M233" s="9">
        <v>139900</v>
      </c>
      <c r="N233" s="14" t="s">
        <v>618</v>
      </c>
      <c r="O233" s="14" t="str">
        <f t="shared" si="15"/>
        <v>B1G2</v>
      </c>
      <c r="P233" s="14" t="s">
        <v>618</v>
      </c>
    </row>
    <row r="234" spans="1:16" x14ac:dyDescent="0.25">
      <c r="A234" s="7" t="str">
        <f t="shared" si="12"/>
        <v>2025 JAN-APR B1G2</v>
      </c>
      <c r="B234" s="8">
        <f t="shared" si="13"/>
        <v>46099</v>
      </c>
      <c r="C234" s="8">
        <f t="shared" si="14"/>
        <v>46113</v>
      </c>
      <c r="D234" s="16">
        <f t="shared" si="16"/>
        <v>3272</v>
      </c>
      <c r="E234" s="16">
        <f t="shared" si="17"/>
        <v>336</v>
      </c>
      <c r="F234" s="16">
        <f t="shared" si="18"/>
        <v>4</v>
      </c>
      <c r="G234" s="7">
        <v>4</v>
      </c>
      <c r="H234" s="7">
        <v>81588</v>
      </c>
      <c r="I234" s="7" t="s">
        <v>104</v>
      </c>
      <c r="J234" s="7">
        <v>51523574</v>
      </c>
      <c r="K234" s="7" t="s">
        <v>2761</v>
      </c>
      <c r="L234" s="7" t="s">
        <v>2876</v>
      </c>
      <c r="M234" s="9">
        <v>139900</v>
      </c>
      <c r="N234" s="14" t="s">
        <v>618</v>
      </c>
      <c r="O234" s="14" t="str">
        <f t="shared" si="15"/>
        <v>B1G2</v>
      </c>
      <c r="P234" s="14" t="s">
        <v>618</v>
      </c>
    </row>
    <row r="235" spans="1:16" x14ac:dyDescent="0.25">
      <c r="A235" s="7" t="str">
        <f t="shared" si="12"/>
        <v>2025 JAN-APR B1G2</v>
      </c>
      <c r="B235" s="8">
        <f t="shared" si="13"/>
        <v>46099</v>
      </c>
      <c r="C235" s="8">
        <f t="shared" si="14"/>
        <v>46113</v>
      </c>
      <c r="D235" s="16">
        <f t="shared" si="16"/>
        <v>3272</v>
      </c>
      <c r="E235" s="16">
        <f t="shared" si="17"/>
        <v>336</v>
      </c>
      <c r="F235" s="16">
        <f t="shared" si="18"/>
        <v>4</v>
      </c>
      <c r="G235" s="7">
        <v>4</v>
      </c>
      <c r="H235" s="7">
        <v>81588</v>
      </c>
      <c r="I235" s="7" t="s">
        <v>104</v>
      </c>
      <c r="J235" s="7">
        <v>51523583</v>
      </c>
      <c r="K235" s="7" t="s">
        <v>2761</v>
      </c>
      <c r="L235" s="7" t="s">
        <v>2877</v>
      </c>
      <c r="M235" s="9">
        <v>139900</v>
      </c>
      <c r="N235" s="14" t="s">
        <v>618</v>
      </c>
      <c r="O235" s="14" t="str">
        <f t="shared" si="15"/>
        <v>B1G2</v>
      </c>
      <c r="P235" s="14" t="s">
        <v>618</v>
      </c>
    </row>
    <row r="236" spans="1:16" x14ac:dyDescent="0.25">
      <c r="A236" s="7" t="str">
        <f t="shared" si="12"/>
        <v>2025 JAN-APR B1G2</v>
      </c>
      <c r="B236" s="8">
        <f t="shared" si="13"/>
        <v>46099</v>
      </c>
      <c r="C236" s="8">
        <f t="shared" si="14"/>
        <v>46113</v>
      </c>
      <c r="D236" s="16">
        <f t="shared" si="16"/>
        <v>3272</v>
      </c>
      <c r="E236" s="16">
        <f t="shared" si="17"/>
        <v>336</v>
      </c>
      <c r="F236" s="16">
        <f t="shared" si="18"/>
        <v>4</v>
      </c>
      <c r="G236" s="7">
        <v>4</v>
      </c>
      <c r="H236" s="7">
        <v>81588</v>
      </c>
      <c r="I236" s="7" t="s">
        <v>104</v>
      </c>
      <c r="J236" s="7">
        <v>51523592</v>
      </c>
      <c r="K236" s="7" t="s">
        <v>2761</v>
      </c>
      <c r="L236" s="7" t="s">
        <v>2878</v>
      </c>
      <c r="M236" s="9">
        <v>139900</v>
      </c>
      <c r="N236" s="14" t="s">
        <v>618</v>
      </c>
      <c r="O236" s="14" t="str">
        <f t="shared" si="15"/>
        <v>B1G2</v>
      </c>
      <c r="P236" s="14" t="s">
        <v>618</v>
      </c>
    </row>
    <row r="237" spans="1:16" x14ac:dyDescent="0.25">
      <c r="A237" s="7" t="str">
        <f t="shared" si="12"/>
        <v>2025 JAN-APR B1G2</v>
      </c>
      <c r="B237" s="8">
        <f t="shared" si="13"/>
        <v>46099</v>
      </c>
      <c r="C237" s="8">
        <f t="shared" si="14"/>
        <v>46113</v>
      </c>
      <c r="D237" s="16">
        <f t="shared" si="16"/>
        <v>3272</v>
      </c>
      <c r="E237" s="16">
        <f t="shared" si="17"/>
        <v>336</v>
      </c>
      <c r="F237" s="16">
        <f t="shared" si="18"/>
        <v>4</v>
      </c>
      <c r="G237" s="7">
        <v>4</v>
      </c>
      <c r="H237" s="7">
        <v>81588</v>
      </c>
      <c r="I237" s="7" t="s">
        <v>104</v>
      </c>
      <c r="J237" s="7">
        <v>51523609</v>
      </c>
      <c r="K237" s="7" t="s">
        <v>2761</v>
      </c>
      <c r="L237" s="7" t="s">
        <v>2879</v>
      </c>
      <c r="M237" s="9">
        <v>139900</v>
      </c>
      <c r="N237" s="14" t="s">
        <v>618</v>
      </c>
      <c r="O237" s="14" t="str">
        <f t="shared" si="15"/>
        <v>B1G2</v>
      </c>
      <c r="P237" s="14" t="s">
        <v>618</v>
      </c>
    </row>
    <row r="238" spans="1:16" x14ac:dyDescent="0.25">
      <c r="A238" s="7" t="str">
        <f t="shared" si="12"/>
        <v>2025 JAN-APR B1G2</v>
      </c>
      <c r="B238" s="8">
        <f t="shared" si="13"/>
        <v>46099</v>
      </c>
      <c r="C238" s="8">
        <f t="shared" si="14"/>
        <v>46113</v>
      </c>
      <c r="D238" s="16">
        <f t="shared" si="16"/>
        <v>3272</v>
      </c>
      <c r="E238" s="16">
        <f t="shared" si="17"/>
        <v>336</v>
      </c>
      <c r="F238" s="16">
        <f t="shared" si="18"/>
        <v>4</v>
      </c>
      <c r="G238" s="7">
        <v>4</v>
      </c>
      <c r="H238" s="7">
        <v>81588</v>
      </c>
      <c r="I238" s="7" t="s">
        <v>104</v>
      </c>
      <c r="J238" s="7">
        <v>51523618</v>
      </c>
      <c r="K238" s="7" t="s">
        <v>2761</v>
      </c>
      <c r="L238" s="7" t="s">
        <v>2880</v>
      </c>
      <c r="M238" s="9">
        <v>139900</v>
      </c>
      <c r="N238" s="14" t="s">
        <v>618</v>
      </c>
      <c r="O238" s="14" t="str">
        <f t="shared" si="15"/>
        <v>B1G2</v>
      </c>
      <c r="P238" s="14" t="s">
        <v>618</v>
      </c>
    </row>
    <row r="239" spans="1:16" x14ac:dyDescent="0.25">
      <c r="A239" s="7" t="str">
        <f t="shared" si="12"/>
        <v>2025 JAN-APR B1G2</v>
      </c>
      <c r="B239" s="8">
        <f t="shared" si="13"/>
        <v>46099</v>
      </c>
      <c r="C239" s="8">
        <f t="shared" si="14"/>
        <v>46113</v>
      </c>
      <c r="D239" s="16">
        <f t="shared" si="16"/>
        <v>3272</v>
      </c>
      <c r="E239" s="16">
        <f t="shared" si="17"/>
        <v>336</v>
      </c>
      <c r="F239" s="16">
        <f t="shared" si="18"/>
        <v>4</v>
      </c>
      <c r="G239" s="7">
        <v>4</v>
      </c>
      <c r="H239" s="7">
        <v>81588</v>
      </c>
      <c r="I239" s="7" t="s">
        <v>104</v>
      </c>
      <c r="J239" s="7">
        <v>51523627</v>
      </c>
      <c r="K239" s="7" t="s">
        <v>2762</v>
      </c>
      <c r="L239" s="7" t="s">
        <v>2881</v>
      </c>
      <c r="M239" s="9">
        <v>139900</v>
      </c>
      <c r="N239" s="14" t="s">
        <v>618</v>
      </c>
      <c r="O239" s="14" t="str">
        <f t="shared" si="15"/>
        <v>B1G2</v>
      </c>
      <c r="P239" s="14" t="s">
        <v>618</v>
      </c>
    </row>
    <row r="240" spans="1:16" x14ac:dyDescent="0.25">
      <c r="A240" s="7" t="str">
        <f t="shared" si="12"/>
        <v>2025 JAN-APR B1G2</v>
      </c>
      <c r="B240" s="8">
        <f t="shared" si="13"/>
        <v>46099</v>
      </c>
      <c r="C240" s="8">
        <f t="shared" si="14"/>
        <v>46113</v>
      </c>
      <c r="D240" s="16">
        <f t="shared" si="16"/>
        <v>3272</v>
      </c>
      <c r="E240" s="16">
        <f t="shared" si="17"/>
        <v>336</v>
      </c>
      <c r="F240" s="16">
        <f t="shared" si="18"/>
        <v>4</v>
      </c>
      <c r="G240" s="7">
        <v>4</v>
      </c>
      <c r="H240" s="7">
        <v>81588</v>
      </c>
      <c r="I240" s="7" t="s">
        <v>104</v>
      </c>
      <c r="J240" s="7">
        <v>51523636</v>
      </c>
      <c r="K240" s="7" t="s">
        <v>2762</v>
      </c>
      <c r="L240" s="7" t="s">
        <v>2882</v>
      </c>
      <c r="M240" s="9">
        <v>139900</v>
      </c>
      <c r="N240" s="14" t="s">
        <v>618</v>
      </c>
      <c r="O240" s="14" t="str">
        <f t="shared" si="15"/>
        <v>B1G2</v>
      </c>
      <c r="P240" s="14" t="s">
        <v>618</v>
      </c>
    </row>
    <row r="241" spans="1:16" x14ac:dyDescent="0.25">
      <c r="A241" s="7" t="str">
        <f t="shared" si="12"/>
        <v>2025 JAN-APR B1G2</v>
      </c>
      <c r="B241" s="8">
        <f t="shared" si="13"/>
        <v>46099</v>
      </c>
      <c r="C241" s="8">
        <f t="shared" si="14"/>
        <v>46113</v>
      </c>
      <c r="D241" s="16">
        <f t="shared" si="16"/>
        <v>3272</v>
      </c>
      <c r="E241" s="16">
        <f t="shared" si="17"/>
        <v>336</v>
      </c>
      <c r="F241" s="16">
        <f t="shared" si="18"/>
        <v>4</v>
      </c>
      <c r="G241" s="7">
        <v>4</v>
      </c>
      <c r="H241" s="7">
        <v>81588</v>
      </c>
      <c r="I241" s="7" t="s">
        <v>104</v>
      </c>
      <c r="J241" s="7">
        <v>51523645</v>
      </c>
      <c r="K241" s="7" t="s">
        <v>2762</v>
      </c>
      <c r="L241" s="7" t="s">
        <v>2883</v>
      </c>
      <c r="M241" s="9">
        <v>139900</v>
      </c>
      <c r="N241" s="14" t="s">
        <v>618</v>
      </c>
      <c r="O241" s="14" t="str">
        <f t="shared" si="15"/>
        <v>B1G2</v>
      </c>
      <c r="P241" s="14" t="s">
        <v>618</v>
      </c>
    </row>
    <row r="242" spans="1:16" x14ac:dyDescent="0.25">
      <c r="A242" s="7" t="str">
        <f t="shared" si="12"/>
        <v>2025 JAN-APR B1G2</v>
      </c>
      <c r="B242" s="8">
        <f t="shared" si="13"/>
        <v>46099</v>
      </c>
      <c r="C242" s="8">
        <f t="shared" si="14"/>
        <v>46113</v>
      </c>
      <c r="D242" s="16">
        <f t="shared" si="16"/>
        <v>3272</v>
      </c>
      <c r="E242" s="16">
        <f t="shared" si="17"/>
        <v>336</v>
      </c>
      <c r="F242" s="16">
        <f t="shared" si="18"/>
        <v>4</v>
      </c>
      <c r="G242" s="7">
        <v>4</v>
      </c>
      <c r="H242" s="7">
        <v>81588</v>
      </c>
      <c r="I242" s="7" t="s">
        <v>104</v>
      </c>
      <c r="J242" s="7">
        <v>51523654</v>
      </c>
      <c r="K242" s="7" t="s">
        <v>2762</v>
      </c>
      <c r="L242" s="7" t="s">
        <v>2884</v>
      </c>
      <c r="M242" s="9">
        <v>139900</v>
      </c>
      <c r="N242" s="14" t="s">
        <v>618</v>
      </c>
      <c r="O242" s="14" t="str">
        <f t="shared" si="15"/>
        <v>B1G2</v>
      </c>
      <c r="P242" s="14" t="s">
        <v>618</v>
      </c>
    </row>
    <row r="243" spans="1:16" x14ac:dyDescent="0.25">
      <c r="A243" s="7" t="str">
        <f t="shared" si="12"/>
        <v>2025 JAN-APR B1G2</v>
      </c>
      <c r="B243" s="8">
        <f t="shared" si="13"/>
        <v>46099</v>
      </c>
      <c r="C243" s="8">
        <f t="shared" si="14"/>
        <v>46113</v>
      </c>
      <c r="D243" s="16">
        <f t="shared" si="16"/>
        <v>3272</v>
      </c>
      <c r="E243" s="16">
        <f t="shared" si="17"/>
        <v>336</v>
      </c>
      <c r="F243" s="16">
        <f t="shared" si="18"/>
        <v>4</v>
      </c>
      <c r="G243" s="7">
        <v>4</v>
      </c>
      <c r="H243" s="7">
        <v>81588</v>
      </c>
      <c r="I243" s="7" t="s">
        <v>104</v>
      </c>
      <c r="J243" s="7">
        <v>51523663</v>
      </c>
      <c r="K243" s="7" t="s">
        <v>2762</v>
      </c>
      <c r="L243" s="7" t="s">
        <v>2885</v>
      </c>
      <c r="M243" s="9">
        <v>139900</v>
      </c>
      <c r="N243" s="14" t="s">
        <v>618</v>
      </c>
      <c r="O243" s="14" t="str">
        <f t="shared" si="15"/>
        <v>B1G2</v>
      </c>
      <c r="P243" s="14" t="s">
        <v>618</v>
      </c>
    </row>
    <row r="244" spans="1:16" x14ac:dyDescent="0.25">
      <c r="A244" s="7" t="str">
        <f t="shared" si="12"/>
        <v>2025 JAN-APR B1G2</v>
      </c>
      <c r="B244" s="8">
        <f t="shared" si="13"/>
        <v>46099</v>
      </c>
      <c r="C244" s="8">
        <f t="shared" si="14"/>
        <v>46113</v>
      </c>
      <c r="D244" s="16">
        <f t="shared" si="16"/>
        <v>3272</v>
      </c>
      <c r="E244" s="16">
        <f t="shared" si="17"/>
        <v>336</v>
      </c>
      <c r="F244" s="16">
        <f t="shared" si="18"/>
        <v>4</v>
      </c>
      <c r="G244" s="7">
        <v>4</v>
      </c>
      <c r="H244" s="7">
        <v>81588</v>
      </c>
      <c r="I244" s="7" t="s">
        <v>104</v>
      </c>
      <c r="J244" s="7">
        <v>51523672</v>
      </c>
      <c r="K244" s="7" t="s">
        <v>2762</v>
      </c>
      <c r="L244" s="7" t="s">
        <v>2886</v>
      </c>
      <c r="M244" s="9">
        <v>139900</v>
      </c>
      <c r="N244" s="14" t="s">
        <v>618</v>
      </c>
      <c r="O244" s="14" t="str">
        <f t="shared" si="15"/>
        <v>B1G2</v>
      </c>
      <c r="P244" s="14" t="s">
        <v>618</v>
      </c>
    </row>
    <row r="245" spans="1:16" x14ac:dyDescent="0.25">
      <c r="A245" s="7" t="str">
        <f t="shared" si="12"/>
        <v>2025 JAN-APR B1G2</v>
      </c>
      <c r="B245" s="8">
        <f t="shared" si="13"/>
        <v>46099</v>
      </c>
      <c r="C245" s="8">
        <f t="shared" si="14"/>
        <v>46113</v>
      </c>
      <c r="D245" s="16">
        <f t="shared" si="16"/>
        <v>3272</v>
      </c>
      <c r="E245" s="16">
        <f t="shared" si="17"/>
        <v>336</v>
      </c>
      <c r="F245" s="16">
        <f t="shared" si="18"/>
        <v>4</v>
      </c>
      <c r="G245" s="7">
        <v>4</v>
      </c>
      <c r="H245" s="7">
        <v>81588</v>
      </c>
      <c r="I245" s="7" t="s">
        <v>104</v>
      </c>
      <c r="J245" s="7">
        <v>51523681</v>
      </c>
      <c r="K245" s="7" t="s">
        <v>2762</v>
      </c>
      <c r="L245" s="7" t="s">
        <v>2887</v>
      </c>
      <c r="M245" s="9">
        <v>139900</v>
      </c>
      <c r="N245" s="14" t="s">
        <v>618</v>
      </c>
      <c r="O245" s="14" t="str">
        <f t="shared" si="15"/>
        <v>B1G2</v>
      </c>
      <c r="P245" s="14" t="s">
        <v>618</v>
      </c>
    </row>
    <row r="246" spans="1:16" x14ac:dyDescent="0.25">
      <c r="A246" s="7" t="str">
        <f t="shared" si="12"/>
        <v>2025 JAN-APR B1G2</v>
      </c>
      <c r="B246" s="8">
        <f t="shared" si="13"/>
        <v>46099</v>
      </c>
      <c r="C246" s="8">
        <f t="shared" si="14"/>
        <v>46113</v>
      </c>
      <c r="D246" s="16">
        <f t="shared" si="16"/>
        <v>3272</v>
      </c>
      <c r="E246" s="16">
        <f t="shared" si="17"/>
        <v>336</v>
      </c>
      <c r="F246" s="16">
        <f t="shared" si="18"/>
        <v>4</v>
      </c>
      <c r="G246" s="7">
        <v>4</v>
      </c>
      <c r="H246" s="7">
        <v>81588</v>
      </c>
      <c r="I246" s="7" t="s">
        <v>104</v>
      </c>
      <c r="J246" s="7">
        <v>51523690</v>
      </c>
      <c r="K246" s="7" t="s">
        <v>2762</v>
      </c>
      <c r="L246" s="7" t="s">
        <v>2888</v>
      </c>
      <c r="M246" s="9">
        <v>139900</v>
      </c>
      <c r="N246" s="14" t="s">
        <v>618</v>
      </c>
      <c r="O246" s="14" t="str">
        <f t="shared" si="15"/>
        <v>B1G2</v>
      </c>
      <c r="P246" s="14" t="s">
        <v>618</v>
      </c>
    </row>
    <row r="247" spans="1:16" x14ac:dyDescent="0.25">
      <c r="A247" s="7" t="str">
        <f t="shared" si="12"/>
        <v>2025 JAN-APR B1G2</v>
      </c>
      <c r="B247" s="8">
        <f t="shared" si="13"/>
        <v>46099</v>
      </c>
      <c r="C247" s="8">
        <f t="shared" si="14"/>
        <v>46113</v>
      </c>
      <c r="D247" s="16">
        <f t="shared" si="16"/>
        <v>3272</v>
      </c>
      <c r="E247" s="16">
        <f t="shared" si="17"/>
        <v>336</v>
      </c>
      <c r="F247" s="16">
        <f t="shared" si="18"/>
        <v>4</v>
      </c>
      <c r="G247" s="7">
        <v>1</v>
      </c>
      <c r="H247" s="7">
        <v>81588</v>
      </c>
      <c r="I247" s="7" t="s">
        <v>104</v>
      </c>
      <c r="J247" s="7">
        <v>51523789</v>
      </c>
      <c r="K247" s="7" t="s">
        <v>2511</v>
      </c>
      <c r="L247" s="7" t="s">
        <v>2651</v>
      </c>
      <c r="M247" s="9">
        <v>129900</v>
      </c>
      <c r="N247" s="14" t="s">
        <v>618</v>
      </c>
      <c r="O247" s="14" t="str">
        <f t="shared" si="15"/>
        <v>B1G2</v>
      </c>
      <c r="P247" s="14" t="s">
        <v>618</v>
      </c>
    </row>
    <row r="248" spans="1:16" x14ac:dyDescent="0.25">
      <c r="A248" s="7" t="str">
        <f t="shared" si="12"/>
        <v>2025 JAN-APR B1G2</v>
      </c>
      <c r="B248" s="8">
        <f t="shared" si="13"/>
        <v>46099</v>
      </c>
      <c r="C248" s="8">
        <f t="shared" si="14"/>
        <v>46113</v>
      </c>
      <c r="D248" s="16">
        <f t="shared" si="16"/>
        <v>3272</v>
      </c>
      <c r="E248" s="16">
        <f t="shared" si="17"/>
        <v>336</v>
      </c>
      <c r="F248" s="16">
        <f t="shared" si="18"/>
        <v>4</v>
      </c>
      <c r="G248" s="7">
        <v>1</v>
      </c>
      <c r="H248" s="7">
        <v>81588</v>
      </c>
      <c r="I248" s="7" t="s">
        <v>104</v>
      </c>
      <c r="J248" s="7">
        <v>51523798</v>
      </c>
      <c r="K248" s="7" t="s">
        <v>2511</v>
      </c>
      <c r="L248" s="7" t="s">
        <v>2652</v>
      </c>
      <c r="M248" s="9">
        <v>129900</v>
      </c>
      <c r="N248" s="14" t="s">
        <v>618</v>
      </c>
      <c r="O248" s="14" t="str">
        <f t="shared" si="15"/>
        <v>B1G2</v>
      </c>
      <c r="P248" s="14" t="s">
        <v>618</v>
      </c>
    </row>
    <row r="249" spans="1:16" x14ac:dyDescent="0.25">
      <c r="A249" s="7" t="str">
        <f t="shared" si="12"/>
        <v>2025 JAN-APR B1G2</v>
      </c>
      <c r="B249" s="8">
        <f t="shared" si="13"/>
        <v>46099</v>
      </c>
      <c r="C249" s="8">
        <f t="shared" si="14"/>
        <v>46113</v>
      </c>
      <c r="D249" s="16">
        <f t="shared" si="16"/>
        <v>3272</v>
      </c>
      <c r="E249" s="16">
        <f t="shared" si="17"/>
        <v>336</v>
      </c>
      <c r="F249" s="16">
        <f t="shared" si="18"/>
        <v>4</v>
      </c>
      <c r="G249" s="7">
        <v>1</v>
      </c>
      <c r="H249" s="7">
        <v>81588</v>
      </c>
      <c r="I249" s="7" t="s">
        <v>104</v>
      </c>
      <c r="J249" s="7">
        <v>51523805</v>
      </c>
      <c r="K249" s="7" t="s">
        <v>2511</v>
      </c>
      <c r="L249" s="7" t="s">
        <v>2653</v>
      </c>
      <c r="M249" s="9">
        <v>129900</v>
      </c>
      <c r="N249" s="14" t="s">
        <v>618</v>
      </c>
      <c r="O249" s="14" t="str">
        <f t="shared" si="15"/>
        <v>B1G2</v>
      </c>
      <c r="P249" s="14" t="s">
        <v>618</v>
      </c>
    </row>
    <row r="250" spans="1:16" x14ac:dyDescent="0.25">
      <c r="A250" s="7" t="str">
        <f t="shared" si="12"/>
        <v>2025 JAN-APR B1G2</v>
      </c>
      <c r="B250" s="8">
        <f t="shared" si="13"/>
        <v>46099</v>
      </c>
      <c r="C250" s="8">
        <f t="shared" si="14"/>
        <v>46113</v>
      </c>
      <c r="D250" s="16">
        <f t="shared" si="16"/>
        <v>3272</v>
      </c>
      <c r="E250" s="16">
        <f t="shared" si="17"/>
        <v>336</v>
      </c>
      <c r="F250" s="16">
        <f t="shared" si="18"/>
        <v>4</v>
      </c>
      <c r="G250" s="7">
        <v>1</v>
      </c>
      <c r="H250" s="7">
        <v>81588</v>
      </c>
      <c r="I250" s="7" t="s">
        <v>104</v>
      </c>
      <c r="J250" s="7">
        <v>51523814</v>
      </c>
      <c r="K250" s="7" t="s">
        <v>2511</v>
      </c>
      <c r="L250" s="7" t="s">
        <v>2654</v>
      </c>
      <c r="M250" s="9">
        <v>129900</v>
      </c>
      <c r="N250" s="14" t="s">
        <v>618</v>
      </c>
      <c r="O250" s="14" t="str">
        <f t="shared" si="15"/>
        <v>B1G2</v>
      </c>
      <c r="P250" s="14" t="s">
        <v>618</v>
      </c>
    </row>
    <row r="251" spans="1:16" x14ac:dyDescent="0.25">
      <c r="A251" s="7" t="str">
        <f t="shared" si="12"/>
        <v>2025 JAN-APR B1G2</v>
      </c>
      <c r="B251" s="8">
        <f t="shared" si="13"/>
        <v>46099</v>
      </c>
      <c r="C251" s="8">
        <f t="shared" si="14"/>
        <v>46113</v>
      </c>
      <c r="D251" s="16">
        <f t="shared" si="16"/>
        <v>3272</v>
      </c>
      <c r="E251" s="16">
        <f t="shared" si="17"/>
        <v>336</v>
      </c>
      <c r="F251" s="16">
        <f t="shared" si="18"/>
        <v>4</v>
      </c>
      <c r="G251" s="7">
        <v>1</v>
      </c>
      <c r="H251" s="7">
        <v>81588</v>
      </c>
      <c r="I251" s="7" t="s">
        <v>104</v>
      </c>
      <c r="J251" s="7">
        <v>51523823</v>
      </c>
      <c r="K251" s="7" t="s">
        <v>2511</v>
      </c>
      <c r="L251" s="7" t="s">
        <v>2655</v>
      </c>
      <c r="M251" s="9">
        <v>129900</v>
      </c>
      <c r="N251" s="14" t="s">
        <v>618</v>
      </c>
      <c r="O251" s="14" t="str">
        <f t="shared" si="15"/>
        <v>B1G2</v>
      </c>
      <c r="P251" s="14" t="s">
        <v>618</v>
      </c>
    </row>
    <row r="252" spans="1:16" x14ac:dyDescent="0.25">
      <c r="A252" s="7" t="str">
        <f t="shared" si="12"/>
        <v>2025 JAN-APR B1G2</v>
      </c>
      <c r="B252" s="8">
        <f t="shared" si="13"/>
        <v>46099</v>
      </c>
      <c r="C252" s="8">
        <f t="shared" si="14"/>
        <v>46113</v>
      </c>
      <c r="D252" s="16">
        <f t="shared" si="16"/>
        <v>3272</v>
      </c>
      <c r="E252" s="16">
        <f t="shared" si="17"/>
        <v>336</v>
      </c>
      <c r="F252" s="16">
        <f t="shared" si="18"/>
        <v>4</v>
      </c>
      <c r="G252" s="7">
        <v>1</v>
      </c>
      <c r="H252" s="7">
        <v>81588</v>
      </c>
      <c r="I252" s="7" t="s">
        <v>104</v>
      </c>
      <c r="J252" s="7">
        <v>51523832</v>
      </c>
      <c r="K252" s="7" t="s">
        <v>2511</v>
      </c>
      <c r="L252" s="7" t="s">
        <v>2656</v>
      </c>
      <c r="M252" s="9">
        <v>129900</v>
      </c>
      <c r="N252" s="14" t="s">
        <v>618</v>
      </c>
      <c r="O252" s="14" t="str">
        <f t="shared" si="15"/>
        <v>B1G2</v>
      </c>
      <c r="P252" s="14" t="s">
        <v>618</v>
      </c>
    </row>
    <row r="253" spans="1:16" x14ac:dyDescent="0.25">
      <c r="A253" s="7" t="str">
        <f t="shared" si="12"/>
        <v>2025 JAN-APR B1G2</v>
      </c>
      <c r="B253" s="8">
        <f t="shared" si="13"/>
        <v>46099</v>
      </c>
      <c r="C253" s="8">
        <f t="shared" si="14"/>
        <v>46113</v>
      </c>
      <c r="D253" s="16">
        <f t="shared" si="16"/>
        <v>3272</v>
      </c>
      <c r="E253" s="16">
        <f t="shared" si="17"/>
        <v>336</v>
      </c>
      <c r="F253" s="16">
        <f t="shared" si="18"/>
        <v>4</v>
      </c>
      <c r="G253" s="7">
        <v>1</v>
      </c>
      <c r="H253" s="7">
        <v>81588</v>
      </c>
      <c r="I253" s="7" t="s">
        <v>104</v>
      </c>
      <c r="J253" s="7">
        <v>51523841</v>
      </c>
      <c r="K253" s="7" t="s">
        <v>2511</v>
      </c>
      <c r="L253" s="7" t="s">
        <v>2657</v>
      </c>
      <c r="M253" s="9">
        <v>129900</v>
      </c>
      <c r="N253" s="14" t="s">
        <v>618</v>
      </c>
      <c r="O253" s="14" t="str">
        <f t="shared" si="15"/>
        <v>B1G2</v>
      </c>
      <c r="P253" s="14" t="s">
        <v>618</v>
      </c>
    </row>
    <row r="254" spans="1:16" x14ac:dyDescent="0.25">
      <c r="A254" s="7" t="str">
        <f t="shared" si="12"/>
        <v>2025 JAN-APR B1G2</v>
      </c>
      <c r="B254" s="8">
        <f t="shared" si="13"/>
        <v>46099</v>
      </c>
      <c r="C254" s="8">
        <f t="shared" si="14"/>
        <v>46113</v>
      </c>
      <c r="D254" s="16">
        <f t="shared" si="16"/>
        <v>3272</v>
      </c>
      <c r="E254" s="16">
        <f t="shared" si="17"/>
        <v>336</v>
      </c>
      <c r="F254" s="16">
        <f t="shared" si="18"/>
        <v>4</v>
      </c>
      <c r="G254" s="7">
        <v>1</v>
      </c>
      <c r="H254" s="7">
        <v>81588</v>
      </c>
      <c r="I254" s="7" t="s">
        <v>104</v>
      </c>
      <c r="J254" s="7">
        <v>51523850</v>
      </c>
      <c r="K254" s="7" t="s">
        <v>2511</v>
      </c>
      <c r="L254" s="7" t="s">
        <v>2658</v>
      </c>
      <c r="M254" s="9">
        <v>129900</v>
      </c>
      <c r="N254" s="14" t="s">
        <v>618</v>
      </c>
      <c r="O254" s="14" t="str">
        <f t="shared" si="15"/>
        <v>B1G2</v>
      </c>
      <c r="P254" s="14" t="s">
        <v>618</v>
      </c>
    </row>
    <row r="255" spans="1:16" x14ac:dyDescent="0.25">
      <c r="A255" s="7" t="str">
        <f t="shared" si="12"/>
        <v>2025 JAN-APR B1G2</v>
      </c>
      <c r="B255" s="8">
        <f t="shared" si="13"/>
        <v>46099</v>
      </c>
      <c r="C255" s="8">
        <f t="shared" si="14"/>
        <v>46113</v>
      </c>
      <c r="D255" s="16">
        <f t="shared" si="16"/>
        <v>3272</v>
      </c>
      <c r="E255" s="16">
        <f t="shared" si="17"/>
        <v>336</v>
      </c>
      <c r="F255" s="16">
        <f t="shared" si="18"/>
        <v>4</v>
      </c>
      <c r="G255" s="7">
        <v>4</v>
      </c>
      <c r="H255" s="7">
        <v>81379</v>
      </c>
      <c r="I255" s="7" t="s">
        <v>104</v>
      </c>
      <c r="J255" s="7">
        <v>51562095</v>
      </c>
      <c r="K255" s="7" t="s">
        <v>2763</v>
      </c>
      <c r="L255" s="7" t="s">
        <v>2889</v>
      </c>
      <c r="M255" s="9">
        <v>149900</v>
      </c>
      <c r="N255" s="14" t="s">
        <v>618</v>
      </c>
      <c r="O255" s="14" t="str">
        <f t="shared" si="15"/>
        <v>B1G2</v>
      </c>
      <c r="P255" s="14" t="s">
        <v>618</v>
      </c>
    </row>
    <row r="256" spans="1:16" x14ac:dyDescent="0.25">
      <c r="A256" s="7" t="str">
        <f t="shared" si="12"/>
        <v>2025 JAN-APR B1G2</v>
      </c>
      <c r="B256" s="8">
        <f t="shared" si="13"/>
        <v>46099</v>
      </c>
      <c r="C256" s="8">
        <f t="shared" si="14"/>
        <v>46113</v>
      </c>
      <c r="D256" s="16">
        <f t="shared" si="16"/>
        <v>3272</v>
      </c>
      <c r="E256" s="16">
        <f t="shared" si="17"/>
        <v>336</v>
      </c>
      <c r="F256" s="16">
        <f t="shared" si="18"/>
        <v>4</v>
      </c>
      <c r="G256" s="7">
        <v>4</v>
      </c>
      <c r="H256" s="7">
        <v>81379</v>
      </c>
      <c r="I256" s="7" t="s">
        <v>104</v>
      </c>
      <c r="J256" s="7">
        <v>51562102</v>
      </c>
      <c r="K256" s="7" t="s">
        <v>2763</v>
      </c>
      <c r="L256" s="7" t="s">
        <v>2890</v>
      </c>
      <c r="M256" s="9">
        <v>149900</v>
      </c>
      <c r="N256" s="14" t="s">
        <v>618</v>
      </c>
      <c r="O256" s="14" t="str">
        <f t="shared" si="15"/>
        <v>B1G2</v>
      </c>
      <c r="P256" s="14" t="s">
        <v>618</v>
      </c>
    </row>
    <row r="257" spans="1:16" x14ac:dyDescent="0.25">
      <c r="A257" s="7" t="str">
        <f t="shared" si="12"/>
        <v>2025 JAN-APR B1G2</v>
      </c>
      <c r="B257" s="8">
        <f t="shared" si="13"/>
        <v>46099</v>
      </c>
      <c r="C257" s="8">
        <f t="shared" si="14"/>
        <v>46113</v>
      </c>
      <c r="D257" s="16">
        <f t="shared" si="16"/>
        <v>3272</v>
      </c>
      <c r="E257" s="16">
        <f t="shared" si="17"/>
        <v>336</v>
      </c>
      <c r="F257" s="16">
        <f t="shared" si="18"/>
        <v>4</v>
      </c>
      <c r="G257" s="7">
        <v>4</v>
      </c>
      <c r="H257" s="7">
        <v>81379</v>
      </c>
      <c r="I257" s="7" t="s">
        <v>104</v>
      </c>
      <c r="J257" s="7">
        <v>51562111</v>
      </c>
      <c r="K257" s="7" t="s">
        <v>2763</v>
      </c>
      <c r="L257" s="7" t="s">
        <v>2891</v>
      </c>
      <c r="M257" s="9">
        <v>149900</v>
      </c>
      <c r="N257" s="14" t="s">
        <v>618</v>
      </c>
      <c r="O257" s="14" t="str">
        <f t="shared" si="15"/>
        <v>B1G2</v>
      </c>
      <c r="P257" s="14" t="s">
        <v>618</v>
      </c>
    </row>
    <row r="258" spans="1:16" x14ac:dyDescent="0.25">
      <c r="A258" s="7" t="str">
        <f t="shared" si="12"/>
        <v>2025 JAN-APR B1G2</v>
      </c>
      <c r="B258" s="8">
        <f t="shared" si="13"/>
        <v>46099</v>
      </c>
      <c r="C258" s="8">
        <f t="shared" si="14"/>
        <v>46113</v>
      </c>
      <c r="D258" s="16">
        <f t="shared" si="16"/>
        <v>3272</v>
      </c>
      <c r="E258" s="16">
        <f t="shared" si="17"/>
        <v>336</v>
      </c>
      <c r="F258" s="16">
        <f t="shared" si="18"/>
        <v>4</v>
      </c>
      <c r="G258" s="7">
        <v>4</v>
      </c>
      <c r="H258" s="7">
        <v>81379</v>
      </c>
      <c r="I258" s="7" t="s">
        <v>104</v>
      </c>
      <c r="J258" s="7">
        <v>51562120</v>
      </c>
      <c r="K258" s="7" t="s">
        <v>2763</v>
      </c>
      <c r="L258" s="7" t="s">
        <v>2892</v>
      </c>
      <c r="M258" s="9">
        <v>149900</v>
      </c>
      <c r="N258" s="14" t="s">
        <v>618</v>
      </c>
      <c r="O258" s="14" t="str">
        <f t="shared" si="15"/>
        <v>B1G2</v>
      </c>
      <c r="P258" s="14" t="s">
        <v>618</v>
      </c>
    </row>
    <row r="259" spans="1:16" x14ac:dyDescent="0.25">
      <c r="A259" s="7" t="str">
        <f t="shared" ref="A259:A322" si="19">A258</f>
        <v>2025 JAN-APR B1G2</v>
      </c>
      <c r="B259" s="8">
        <f t="shared" ref="B259:B322" si="20">B258</f>
        <v>46099</v>
      </c>
      <c r="C259" s="8">
        <f t="shared" ref="C259:C322" si="21">C258</f>
        <v>46113</v>
      </c>
      <c r="D259" s="16">
        <f t="shared" ref="D259:D290" si="22">D258</f>
        <v>3272</v>
      </c>
      <c r="E259" s="16">
        <f t="shared" ref="E259:E290" si="23">E258</f>
        <v>336</v>
      </c>
      <c r="F259" s="16">
        <f t="shared" ref="F259:F290" si="24">F258</f>
        <v>4</v>
      </c>
      <c r="G259" s="7">
        <v>4</v>
      </c>
      <c r="H259" s="7">
        <v>81379</v>
      </c>
      <c r="I259" s="7" t="s">
        <v>104</v>
      </c>
      <c r="J259" s="7">
        <v>51562139</v>
      </c>
      <c r="K259" s="7" t="s">
        <v>2763</v>
      </c>
      <c r="L259" s="7" t="s">
        <v>2893</v>
      </c>
      <c r="M259" s="9">
        <v>149900</v>
      </c>
      <c r="N259" s="14" t="s">
        <v>618</v>
      </c>
      <c r="O259" s="14" t="str">
        <f t="shared" ref="O259:O322" si="25">O258</f>
        <v>B1G2</v>
      </c>
      <c r="P259" s="14" t="s">
        <v>618</v>
      </c>
    </row>
    <row r="260" spans="1:16" x14ac:dyDescent="0.25">
      <c r="A260" s="7" t="str">
        <f t="shared" si="19"/>
        <v>2025 JAN-APR B1G2</v>
      </c>
      <c r="B260" s="8">
        <f t="shared" si="20"/>
        <v>46099</v>
      </c>
      <c r="C260" s="8">
        <f t="shared" si="21"/>
        <v>46113</v>
      </c>
      <c r="D260" s="16">
        <f t="shared" si="22"/>
        <v>3272</v>
      </c>
      <c r="E260" s="16">
        <f t="shared" si="23"/>
        <v>336</v>
      </c>
      <c r="F260" s="16">
        <f t="shared" si="24"/>
        <v>4</v>
      </c>
      <c r="G260" s="7">
        <v>4</v>
      </c>
      <c r="H260" s="7">
        <v>81379</v>
      </c>
      <c r="I260" s="7" t="s">
        <v>104</v>
      </c>
      <c r="J260" s="7">
        <v>51562148</v>
      </c>
      <c r="K260" s="7" t="s">
        <v>2763</v>
      </c>
      <c r="L260" s="7" t="s">
        <v>2894</v>
      </c>
      <c r="M260" s="9">
        <v>149900</v>
      </c>
      <c r="N260" s="14" t="s">
        <v>618</v>
      </c>
      <c r="O260" s="14" t="str">
        <f t="shared" si="25"/>
        <v>B1G2</v>
      </c>
      <c r="P260" s="14" t="s">
        <v>618</v>
      </c>
    </row>
    <row r="261" spans="1:16" x14ac:dyDescent="0.25">
      <c r="A261" s="7" t="str">
        <f t="shared" si="19"/>
        <v>2025 JAN-APR B1G2</v>
      </c>
      <c r="B261" s="8">
        <f t="shared" si="20"/>
        <v>46099</v>
      </c>
      <c r="C261" s="8">
        <f t="shared" si="21"/>
        <v>46113</v>
      </c>
      <c r="D261" s="16">
        <f t="shared" si="22"/>
        <v>3272</v>
      </c>
      <c r="E261" s="16">
        <f t="shared" si="23"/>
        <v>336</v>
      </c>
      <c r="F261" s="16">
        <f t="shared" si="24"/>
        <v>4</v>
      </c>
      <c r="G261" s="7">
        <v>4</v>
      </c>
      <c r="H261" s="7">
        <v>81379</v>
      </c>
      <c r="I261" s="7" t="s">
        <v>104</v>
      </c>
      <c r="J261" s="7">
        <v>51562157</v>
      </c>
      <c r="K261" s="7" t="s">
        <v>2763</v>
      </c>
      <c r="L261" s="7" t="s">
        <v>2895</v>
      </c>
      <c r="M261" s="9">
        <v>149900</v>
      </c>
      <c r="N261" s="14" t="s">
        <v>618</v>
      </c>
      <c r="O261" s="14" t="str">
        <f t="shared" si="25"/>
        <v>B1G2</v>
      </c>
      <c r="P261" s="14" t="s">
        <v>618</v>
      </c>
    </row>
    <row r="262" spans="1:16" x14ac:dyDescent="0.25">
      <c r="A262" s="7" t="str">
        <f t="shared" si="19"/>
        <v>2025 JAN-APR B1G2</v>
      </c>
      <c r="B262" s="8">
        <f t="shared" si="20"/>
        <v>46099</v>
      </c>
      <c r="C262" s="8">
        <f t="shared" si="21"/>
        <v>46113</v>
      </c>
      <c r="D262" s="16">
        <f t="shared" si="22"/>
        <v>3272</v>
      </c>
      <c r="E262" s="16">
        <f t="shared" si="23"/>
        <v>336</v>
      </c>
      <c r="F262" s="16">
        <f t="shared" si="24"/>
        <v>4</v>
      </c>
      <c r="G262" s="7">
        <v>4</v>
      </c>
      <c r="H262" s="7">
        <v>81379</v>
      </c>
      <c r="I262" s="7" t="s">
        <v>104</v>
      </c>
      <c r="J262" s="7">
        <v>51562166</v>
      </c>
      <c r="K262" s="7" t="s">
        <v>2763</v>
      </c>
      <c r="L262" s="7" t="s">
        <v>2896</v>
      </c>
      <c r="M262" s="9">
        <v>149900</v>
      </c>
      <c r="N262" s="14" t="s">
        <v>618</v>
      </c>
      <c r="O262" s="14" t="str">
        <f t="shared" si="25"/>
        <v>B1G2</v>
      </c>
      <c r="P262" s="14" t="s">
        <v>618</v>
      </c>
    </row>
    <row r="263" spans="1:16" x14ac:dyDescent="0.25">
      <c r="A263" s="7" t="str">
        <f t="shared" si="19"/>
        <v>2025 JAN-APR B1G2</v>
      </c>
      <c r="B263" s="8">
        <f t="shared" si="20"/>
        <v>46099</v>
      </c>
      <c r="C263" s="8">
        <f t="shared" si="21"/>
        <v>46113</v>
      </c>
      <c r="D263" s="16">
        <f t="shared" si="22"/>
        <v>3272</v>
      </c>
      <c r="E263" s="16">
        <f t="shared" si="23"/>
        <v>336</v>
      </c>
      <c r="F263" s="16">
        <f t="shared" si="24"/>
        <v>4</v>
      </c>
      <c r="G263" s="7">
        <v>1</v>
      </c>
      <c r="H263" s="7">
        <v>81379</v>
      </c>
      <c r="I263" s="7" t="s">
        <v>104</v>
      </c>
      <c r="J263" s="7">
        <v>51562175</v>
      </c>
      <c r="K263" s="7" t="s">
        <v>2512</v>
      </c>
      <c r="L263" s="7" t="s">
        <v>2659</v>
      </c>
      <c r="M263" s="9">
        <v>139900</v>
      </c>
      <c r="N263" s="14" t="s">
        <v>618</v>
      </c>
      <c r="O263" s="14" t="str">
        <f t="shared" si="25"/>
        <v>B1G2</v>
      </c>
      <c r="P263" s="14" t="s">
        <v>618</v>
      </c>
    </row>
    <row r="264" spans="1:16" x14ac:dyDescent="0.25">
      <c r="A264" s="7" t="str">
        <f t="shared" si="19"/>
        <v>2025 JAN-APR B1G2</v>
      </c>
      <c r="B264" s="8">
        <f t="shared" si="20"/>
        <v>46099</v>
      </c>
      <c r="C264" s="8">
        <f t="shared" si="21"/>
        <v>46113</v>
      </c>
      <c r="D264" s="16">
        <f t="shared" si="22"/>
        <v>3272</v>
      </c>
      <c r="E264" s="16">
        <f t="shared" si="23"/>
        <v>336</v>
      </c>
      <c r="F264" s="16">
        <f t="shared" si="24"/>
        <v>4</v>
      </c>
      <c r="G264" s="7">
        <v>1</v>
      </c>
      <c r="H264" s="7">
        <v>81379</v>
      </c>
      <c r="I264" s="7" t="s">
        <v>104</v>
      </c>
      <c r="J264" s="7">
        <v>51562184</v>
      </c>
      <c r="K264" s="7" t="s">
        <v>2512</v>
      </c>
      <c r="L264" s="7" t="s">
        <v>2660</v>
      </c>
      <c r="M264" s="9">
        <v>139900</v>
      </c>
      <c r="N264" s="14" t="s">
        <v>618</v>
      </c>
      <c r="O264" s="14" t="str">
        <f t="shared" si="25"/>
        <v>B1G2</v>
      </c>
      <c r="P264" s="14" t="s">
        <v>618</v>
      </c>
    </row>
    <row r="265" spans="1:16" x14ac:dyDescent="0.25">
      <c r="A265" s="7" t="str">
        <f t="shared" si="19"/>
        <v>2025 JAN-APR B1G2</v>
      </c>
      <c r="B265" s="8">
        <f t="shared" si="20"/>
        <v>46099</v>
      </c>
      <c r="C265" s="8">
        <f t="shared" si="21"/>
        <v>46113</v>
      </c>
      <c r="D265" s="16">
        <f t="shared" si="22"/>
        <v>3272</v>
      </c>
      <c r="E265" s="16">
        <f t="shared" si="23"/>
        <v>336</v>
      </c>
      <c r="F265" s="16">
        <f t="shared" si="24"/>
        <v>4</v>
      </c>
      <c r="G265" s="7">
        <v>1</v>
      </c>
      <c r="H265" s="7">
        <v>81379</v>
      </c>
      <c r="I265" s="7" t="s">
        <v>104</v>
      </c>
      <c r="J265" s="7">
        <v>51562193</v>
      </c>
      <c r="K265" s="7" t="s">
        <v>2512</v>
      </c>
      <c r="L265" s="7" t="s">
        <v>2661</v>
      </c>
      <c r="M265" s="9">
        <v>139900</v>
      </c>
      <c r="N265" s="14" t="s">
        <v>618</v>
      </c>
      <c r="O265" s="14" t="str">
        <f t="shared" si="25"/>
        <v>B1G2</v>
      </c>
      <c r="P265" s="14" t="s">
        <v>618</v>
      </c>
    </row>
    <row r="266" spans="1:16" x14ac:dyDescent="0.25">
      <c r="A266" s="7" t="str">
        <f t="shared" si="19"/>
        <v>2025 JAN-APR B1G2</v>
      </c>
      <c r="B266" s="8">
        <f t="shared" si="20"/>
        <v>46099</v>
      </c>
      <c r="C266" s="8">
        <f t="shared" si="21"/>
        <v>46113</v>
      </c>
      <c r="D266" s="16">
        <f t="shared" si="22"/>
        <v>3272</v>
      </c>
      <c r="E266" s="16">
        <f t="shared" si="23"/>
        <v>336</v>
      </c>
      <c r="F266" s="16">
        <f t="shared" si="24"/>
        <v>4</v>
      </c>
      <c r="G266" s="7">
        <v>1</v>
      </c>
      <c r="H266" s="7">
        <v>81379</v>
      </c>
      <c r="I266" s="7" t="s">
        <v>104</v>
      </c>
      <c r="J266" s="7">
        <v>51562200</v>
      </c>
      <c r="K266" s="7" t="s">
        <v>2512</v>
      </c>
      <c r="L266" s="7" t="s">
        <v>2662</v>
      </c>
      <c r="M266" s="9">
        <v>139900</v>
      </c>
      <c r="N266" s="14" t="s">
        <v>618</v>
      </c>
      <c r="O266" s="14" t="str">
        <f t="shared" si="25"/>
        <v>B1G2</v>
      </c>
      <c r="P266" s="14" t="s">
        <v>618</v>
      </c>
    </row>
    <row r="267" spans="1:16" x14ac:dyDescent="0.25">
      <c r="A267" s="7" t="str">
        <f t="shared" si="19"/>
        <v>2025 JAN-APR B1G2</v>
      </c>
      <c r="B267" s="8">
        <f t="shared" si="20"/>
        <v>46099</v>
      </c>
      <c r="C267" s="8">
        <f t="shared" si="21"/>
        <v>46113</v>
      </c>
      <c r="D267" s="16">
        <f t="shared" si="22"/>
        <v>3272</v>
      </c>
      <c r="E267" s="16">
        <f t="shared" si="23"/>
        <v>336</v>
      </c>
      <c r="F267" s="16">
        <f t="shared" si="24"/>
        <v>4</v>
      </c>
      <c r="G267" s="7">
        <v>1</v>
      </c>
      <c r="H267" s="7">
        <v>81379</v>
      </c>
      <c r="I267" s="7" t="s">
        <v>104</v>
      </c>
      <c r="J267" s="7">
        <v>51562219</v>
      </c>
      <c r="K267" s="7" t="s">
        <v>2512</v>
      </c>
      <c r="L267" s="7" t="s">
        <v>2663</v>
      </c>
      <c r="M267" s="9">
        <v>139900</v>
      </c>
      <c r="N267" s="14" t="s">
        <v>618</v>
      </c>
      <c r="O267" s="14" t="str">
        <f t="shared" si="25"/>
        <v>B1G2</v>
      </c>
      <c r="P267" s="14" t="s">
        <v>618</v>
      </c>
    </row>
    <row r="268" spans="1:16" x14ac:dyDescent="0.25">
      <c r="A268" s="7" t="str">
        <f t="shared" si="19"/>
        <v>2025 JAN-APR B1G2</v>
      </c>
      <c r="B268" s="8">
        <f t="shared" si="20"/>
        <v>46099</v>
      </c>
      <c r="C268" s="8">
        <f t="shared" si="21"/>
        <v>46113</v>
      </c>
      <c r="D268" s="16">
        <f t="shared" si="22"/>
        <v>3272</v>
      </c>
      <c r="E268" s="16">
        <f t="shared" si="23"/>
        <v>336</v>
      </c>
      <c r="F268" s="16">
        <f t="shared" si="24"/>
        <v>4</v>
      </c>
      <c r="G268" s="7">
        <v>1</v>
      </c>
      <c r="H268" s="7">
        <v>81379</v>
      </c>
      <c r="I268" s="7" t="s">
        <v>104</v>
      </c>
      <c r="J268" s="7">
        <v>51562228</v>
      </c>
      <c r="K268" s="7" t="s">
        <v>2512</v>
      </c>
      <c r="L268" s="7" t="s">
        <v>2664</v>
      </c>
      <c r="M268" s="9">
        <v>139900</v>
      </c>
      <c r="N268" s="14" t="s">
        <v>618</v>
      </c>
      <c r="O268" s="14" t="str">
        <f t="shared" si="25"/>
        <v>B1G2</v>
      </c>
      <c r="P268" s="14" t="s">
        <v>618</v>
      </c>
    </row>
    <row r="269" spans="1:16" x14ac:dyDescent="0.25">
      <c r="A269" s="7" t="str">
        <f t="shared" si="19"/>
        <v>2025 JAN-APR B1G2</v>
      </c>
      <c r="B269" s="8">
        <f t="shared" si="20"/>
        <v>46099</v>
      </c>
      <c r="C269" s="8">
        <f t="shared" si="21"/>
        <v>46113</v>
      </c>
      <c r="D269" s="16">
        <f t="shared" si="22"/>
        <v>3272</v>
      </c>
      <c r="E269" s="16">
        <f t="shared" si="23"/>
        <v>336</v>
      </c>
      <c r="F269" s="16">
        <f t="shared" si="24"/>
        <v>4</v>
      </c>
      <c r="G269" s="7">
        <v>1</v>
      </c>
      <c r="H269" s="7">
        <v>81379</v>
      </c>
      <c r="I269" s="7" t="s">
        <v>104</v>
      </c>
      <c r="J269" s="7">
        <v>51562237</v>
      </c>
      <c r="K269" s="7" t="s">
        <v>2512</v>
      </c>
      <c r="L269" s="7" t="s">
        <v>2665</v>
      </c>
      <c r="M269" s="9">
        <v>139900</v>
      </c>
      <c r="N269" s="14" t="s">
        <v>618</v>
      </c>
      <c r="O269" s="14" t="str">
        <f t="shared" si="25"/>
        <v>B1G2</v>
      </c>
      <c r="P269" s="14" t="s">
        <v>618</v>
      </c>
    </row>
    <row r="270" spans="1:16" x14ac:dyDescent="0.25">
      <c r="A270" s="7" t="str">
        <f t="shared" si="19"/>
        <v>2025 JAN-APR B1G2</v>
      </c>
      <c r="B270" s="8">
        <f t="shared" si="20"/>
        <v>46099</v>
      </c>
      <c r="C270" s="8">
        <f t="shared" si="21"/>
        <v>46113</v>
      </c>
      <c r="D270" s="16">
        <f t="shared" si="22"/>
        <v>3272</v>
      </c>
      <c r="E270" s="16">
        <f t="shared" si="23"/>
        <v>336</v>
      </c>
      <c r="F270" s="16">
        <f t="shared" si="24"/>
        <v>4</v>
      </c>
      <c r="G270" s="7">
        <v>1</v>
      </c>
      <c r="H270" s="7">
        <v>81379</v>
      </c>
      <c r="I270" s="7" t="s">
        <v>104</v>
      </c>
      <c r="J270" s="7">
        <v>51562246</v>
      </c>
      <c r="K270" s="7" t="s">
        <v>2512</v>
      </c>
      <c r="L270" s="7" t="s">
        <v>2666</v>
      </c>
      <c r="M270" s="9">
        <v>139900</v>
      </c>
      <c r="N270" s="14" t="s">
        <v>618</v>
      </c>
      <c r="O270" s="14" t="str">
        <f t="shared" si="25"/>
        <v>B1G2</v>
      </c>
      <c r="P270" s="14" t="s">
        <v>618</v>
      </c>
    </row>
    <row r="271" spans="1:16" x14ac:dyDescent="0.25">
      <c r="A271" s="7" t="str">
        <f t="shared" si="19"/>
        <v>2025 JAN-APR B1G2</v>
      </c>
      <c r="B271" s="8">
        <f t="shared" si="20"/>
        <v>46099</v>
      </c>
      <c r="C271" s="8">
        <f t="shared" si="21"/>
        <v>46113</v>
      </c>
      <c r="D271" s="16">
        <f t="shared" si="22"/>
        <v>3272</v>
      </c>
      <c r="E271" s="16">
        <f t="shared" si="23"/>
        <v>336</v>
      </c>
      <c r="F271" s="16">
        <f t="shared" si="24"/>
        <v>4</v>
      </c>
      <c r="G271" s="7">
        <v>1</v>
      </c>
      <c r="H271" s="7">
        <v>81379</v>
      </c>
      <c r="I271" s="7" t="s">
        <v>104</v>
      </c>
      <c r="J271" s="7">
        <v>51562255</v>
      </c>
      <c r="K271" s="7" t="s">
        <v>2513</v>
      </c>
      <c r="L271" s="7" t="s">
        <v>2667</v>
      </c>
      <c r="M271" s="9">
        <v>149900</v>
      </c>
      <c r="N271" s="14" t="s">
        <v>618</v>
      </c>
      <c r="O271" s="14" t="str">
        <f t="shared" si="25"/>
        <v>B1G2</v>
      </c>
      <c r="P271" s="14" t="s">
        <v>618</v>
      </c>
    </row>
    <row r="272" spans="1:16" x14ac:dyDescent="0.25">
      <c r="A272" s="7" t="str">
        <f t="shared" si="19"/>
        <v>2025 JAN-APR B1G2</v>
      </c>
      <c r="B272" s="8">
        <f t="shared" si="20"/>
        <v>46099</v>
      </c>
      <c r="C272" s="8">
        <f t="shared" si="21"/>
        <v>46113</v>
      </c>
      <c r="D272" s="16">
        <f t="shared" si="22"/>
        <v>3272</v>
      </c>
      <c r="E272" s="16">
        <f t="shared" si="23"/>
        <v>336</v>
      </c>
      <c r="F272" s="16">
        <f t="shared" si="24"/>
        <v>4</v>
      </c>
      <c r="G272" s="7">
        <v>1</v>
      </c>
      <c r="H272" s="7">
        <v>81379</v>
      </c>
      <c r="I272" s="7" t="s">
        <v>104</v>
      </c>
      <c r="J272" s="7">
        <v>51562264</v>
      </c>
      <c r="K272" s="7" t="s">
        <v>2513</v>
      </c>
      <c r="L272" s="7" t="s">
        <v>2668</v>
      </c>
      <c r="M272" s="9">
        <v>149900</v>
      </c>
      <c r="N272" s="14" t="s">
        <v>618</v>
      </c>
      <c r="O272" s="14" t="str">
        <f t="shared" si="25"/>
        <v>B1G2</v>
      </c>
      <c r="P272" s="14" t="s">
        <v>618</v>
      </c>
    </row>
    <row r="273" spans="1:16" x14ac:dyDescent="0.25">
      <c r="A273" s="7" t="str">
        <f t="shared" si="19"/>
        <v>2025 JAN-APR B1G2</v>
      </c>
      <c r="B273" s="8">
        <f t="shared" si="20"/>
        <v>46099</v>
      </c>
      <c r="C273" s="8">
        <f t="shared" si="21"/>
        <v>46113</v>
      </c>
      <c r="D273" s="16">
        <f t="shared" si="22"/>
        <v>3272</v>
      </c>
      <c r="E273" s="16">
        <f t="shared" si="23"/>
        <v>336</v>
      </c>
      <c r="F273" s="16">
        <f t="shared" si="24"/>
        <v>4</v>
      </c>
      <c r="G273" s="7">
        <v>1</v>
      </c>
      <c r="H273" s="7">
        <v>81379</v>
      </c>
      <c r="I273" s="7" t="s">
        <v>104</v>
      </c>
      <c r="J273" s="7">
        <v>51562273</v>
      </c>
      <c r="K273" s="7" t="s">
        <v>2513</v>
      </c>
      <c r="L273" s="7" t="s">
        <v>2669</v>
      </c>
      <c r="M273" s="9">
        <v>149900</v>
      </c>
      <c r="N273" s="14" t="s">
        <v>618</v>
      </c>
      <c r="O273" s="14" t="str">
        <f t="shared" si="25"/>
        <v>B1G2</v>
      </c>
      <c r="P273" s="14" t="s">
        <v>618</v>
      </c>
    </row>
    <row r="274" spans="1:16" x14ac:dyDescent="0.25">
      <c r="A274" s="7" t="str">
        <f t="shared" si="19"/>
        <v>2025 JAN-APR B1G2</v>
      </c>
      <c r="B274" s="8">
        <f t="shared" si="20"/>
        <v>46099</v>
      </c>
      <c r="C274" s="8">
        <f t="shared" si="21"/>
        <v>46113</v>
      </c>
      <c r="D274" s="16">
        <f t="shared" si="22"/>
        <v>3272</v>
      </c>
      <c r="E274" s="16">
        <f t="shared" si="23"/>
        <v>336</v>
      </c>
      <c r="F274" s="16">
        <f t="shared" si="24"/>
        <v>4</v>
      </c>
      <c r="G274" s="7">
        <v>1</v>
      </c>
      <c r="H274" s="7">
        <v>81379</v>
      </c>
      <c r="I274" s="7" t="s">
        <v>104</v>
      </c>
      <c r="J274" s="7">
        <v>51562282</v>
      </c>
      <c r="K274" s="7" t="s">
        <v>2513</v>
      </c>
      <c r="L274" s="7" t="s">
        <v>2670</v>
      </c>
      <c r="M274" s="9">
        <v>149900</v>
      </c>
      <c r="N274" s="14" t="s">
        <v>618</v>
      </c>
      <c r="O274" s="14" t="str">
        <f t="shared" si="25"/>
        <v>B1G2</v>
      </c>
      <c r="P274" s="14" t="s">
        <v>618</v>
      </c>
    </row>
    <row r="275" spans="1:16" x14ac:dyDescent="0.25">
      <c r="A275" s="7" t="str">
        <f t="shared" si="19"/>
        <v>2025 JAN-APR B1G2</v>
      </c>
      <c r="B275" s="8">
        <f t="shared" si="20"/>
        <v>46099</v>
      </c>
      <c r="C275" s="8">
        <f t="shared" si="21"/>
        <v>46113</v>
      </c>
      <c r="D275" s="16">
        <f t="shared" si="22"/>
        <v>3272</v>
      </c>
      <c r="E275" s="16">
        <f t="shared" si="23"/>
        <v>336</v>
      </c>
      <c r="F275" s="16">
        <f t="shared" si="24"/>
        <v>4</v>
      </c>
      <c r="G275" s="7">
        <v>1</v>
      </c>
      <c r="H275" s="7">
        <v>81379</v>
      </c>
      <c r="I275" s="7" t="s">
        <v>104</v>
      </c>
      <c r="J275" s="7">
        <v>51562291</v>
      </c>
      <c r="K275" s="7" t="s">
        <v>2513</v>
      </c>
      <c r="L275" s="7" t="s">
        <v>2671</v>
      </c>
      <c r="M275" s="9">
        <v>149900</v>
      </c>
      <c r="N275" s="14" t="s">
        <v>618</v>
      </c>
      <c r="O275" s="14" t="str">
        <f t="shared" si="25"/>
        <v>B1G2</v>
      </c>
      <c r="P275" s="14" t="s">
        <v>618</v>
      </c>
    </row>
    <row r="276" spans="1:16" x14ac:dyDescent="0.25">
      <c r="A276" s="7" t="str">
        <f t="shared" si="19"/>
        <v>2025 JAN-APR B1G2</v>
      </c>
      <c r="B276" s="8">
        <f t="shared" si="20"/>
        <v>46099</v>
      </c>
      <c r="C276" s="8">
        <f t="shared" si="21"/>
        <v>46113</v>
      </c>
      <c r="D276" s="16">
        <f t="shared" si="22"/>
        <v>3272</v>
      </c>
      <c r="E276" s="16">
        <f t="shared" si="23"/>
        <v>336</v>
      </c>
      <c r="F276" s="16">
        <f t="shared" si="24"/>
        <v>4</v>
      </c>
      <c r="G276" s="7">
        <v>1</v>
      </c>
      <c r="H276" s="7">
        <v>81379</v>
      </c>
      <c r="I276" s="7" t="s">
        <v>104</v>
      </c>
      <c r="J276" s="7">
        <v>51562308</v>
      </c>
      <c r="K276" s="7" t="s">
        <v>2513</v>
      </c>
      <c r="L276" s="7" t="s">
        <v>2672</v>
      </c>
      <c r="M276" s="9">
        <v>149900</v>
      </c>
      <c r="N276" s="14" t="s">
        <v>618</v>
      </c>
      <c r="O276" s="14" t="str">
        <f t="shared" si="25"/>
        <v>B1G2</v>
      </c>
      <c r="P276" s="14" t="s">
        <v>618</v>
      </c>
    </row>
    <row r="277" spans="1:16" x14ac:dyDescent="0.25">
      <c r="A277" s="7" t="str">
        <f t="shared" si="19"/>
        <v>2025 JAN-APR B1G2</v>
      </c>
      <c r="B277" s="8">
        <f t="shared" si="20"/>
        <v>46099</v>
      </c>
      <c r="C277" s="8">
        <f t="shared" si="21"/>
        <v>46113</v>
      </c>
      <c r="D277" s="16">
        <f t="shared" si="22"/>
        <v>3272</v>
      </c>
      <c r="E277" s="16">
        <f t="shared" si="23"/>
        <v>336</v>
      </c>
      <c r="F277" s="16">
        <f t="shared" si="24"/>
        <v>4</v>
      </c>
      <c r="G277" s="7">
        <v>1</v>
      </c>
      <c r="H277" s="7">
        <v>81379</v>
      </c>
      <c r="I277" s="7" t="s">
        <v>104</v>
      </c>
      <c r="J277" s="7">
        <v>51562317</v>
      </c>
      <c r="K277" s="7" t="s">
        <v>2513</v>
      </c>
      <c r="L277" s="7" t="s">
        <v>2673</v>
      </c>
      <c r="M277" s="9">
        <v>149900</v>
      </c>
      <c r="N277" s="14" t="s">
        <v>618</v>
      </c>
      <c r="O277" s="14" t="str">
        <f t="shared" si="25"/>
        <v>B1G2</v>
      </c>
      <c r="P277" s="14" t="s">
        <v>618</v>
      </c>
    </row>
    <row r="278" spans="1:16" x14ac:dyDescent="0.25">
      <c r="A278" s="7" t="str">
        <f t="shared" si="19"/>
        <v>2025 JAN-APR B1G2</v>
      </c>
      <c r="B278" s="8">
        <f t="shared" si="20"/>
        <v>46099</v>
      </c>
      <c r="C278" s="8">
        <f t="shared" si="21"/>
        <v>46113</v>
      </c>
      <c r="D278" s="16">
        <f t="shared" si="22"/>
        <v>3272</v>
      </c>
      <c r="E278" s="16">
        <f t="shared" si="23"/>
        <v>336</v>
      </c>
      <c r="F278" s="16">
        <f t="shared" si="24"/>
        <v>4</v>
      </c>
      <c r="G278" s="7">
        <v>1</v>
      </c>
      <c r="H278" s="7">
        <v>81379</v>
      </c>
      <c r="I278" s="7" t="s">
        <v>104</v>
      </c>
      <c r="J278" s="7">
        <v>51562326</v>
      </c>
      <c r="K278" s="7" t="s">
        <v>2513</v>
      </c>
      <c r="L278" s="7" t="s">
        <v>2674</v>
      </c>
      <c r="M278" s="9">
        <v>149900</v>
      </c>
      <c r="N278" s="14" t="s">
        <v>618</v>
      </c>
      <c r="O278" s="14" t="str">
        <f t="shared" si="25"/>
        <v>B1G2</v>
      </c>
      <c r="P278" s="14" t="s">
        <v>618</v>
      </c>
    </row>
    <row r="279" spans="1:16" x14ac:dyDescent="0.25">
      <c r="A279" s="7" t="str">
        <f t="shared" si="19"/>
        <v>2025 JAN-APR B1G2</v>
      </c>
      <c r="B279" s="8">
        <f t="shared" si="20"/>
        <v>46099</v>
      </c>
      <c r="C279" s="8">
        <f t="shared" si="21"/>
        <v>46113</v>
      </c>
      <c r="D279" s="16">
        <f t="shared" si="22"/>
        <v>3272</v>
      </c>
      <c r="E279" s="16">
        <f t="shared" si="23"/>
        <v>336</v>
      </c>
      <c r="F279" s="16">
        <f t="shared" si="24"/>
        <v>4</v>
      </c>
      <c r="G279" s="7">
        <v>1</v>
      </c>
      <c r="H279" s="7">
        <v>81379</v>
      </c>
      <c r="I279" s="7" t="s">
        <v>104</v>
      </c>
      <c r="J279" s="7">
        <v>51562335</v>
      </c>
      <c r="K279" s="7" t="s">
        <v>2514</v>
      </c>
      <c r="L279" s="7" t="s">
        <v>2675</v>
      </c>
      <c r="M279" s="9">
        <v>139900</v>
      </c>
      <c r="N279" s="14" t="s">
        <v>618</v>
      </c>
      <c r="O279" s="14" t="str">
        <f t="shared" si="25"/>
        <v>B1G2</v>
      </c>
      <c r="P279" s="14" t="s">
        <v>618</v>
      </c>
    </row>
    <row r="280" spans="1:16" x14ac:dyDescent="0.25">
      <c r="A280" s="7" t="str">
        <f t="shared" si="19"/>
        <v>2025 JAN-APR B1G2</v>
      </c>
      <c r="B280" s="8">
        <f t="shared" si="20"/>
        <v>46099</v>
      </c>
      <c r="C280" s="8">
        <f t="shared" si="21"/>
        <v>46113</v>
      </c>
      <c r="D280" s="16">
        <f t="shared" si="22"/>
        <v>3272</v>
      </c>
      <c r="E280" s="16">
        <f t="shared" si="23"/>
        <v>336</v>
      </c>
      <c r="F280" s="16">
        <f t="shared" si="24"/>
        <v>4</v>
      </c>
      <c r="G280" s="7">
        <v>1</v>
      </c>
      <c r="H280" s="7">
        <v>81379</v>
      </c>
      <c r="I280" s="7" t="s">
        <v>104</v>
      </c>
      <c r="J280" s="7">
        <v>51562344</v>
      </c>
      <c r="K280" s="7" t="s">
        <v>2514</v>
      </c>
      <c r="L280" s="7" t="s">
        <v>2676</v>
      </c>
      <c r="M280" s="9">
        <v>139900</v>
      </c>
      <c r="N280" s="14" t="s">
        <v>618</v>
      </c>
      <c r="O280" s="14" t="str">
        <f t="shared" si="25"/>
        <v>B1G2</v>
      </c>
      <c r="P280" s="14" t="s">
        <v>618</v>
      </c>
    </row>
    <row r="281" spans="1:16" x14ac:dyDescent="0.25">
      <c r="A281" s="7" t="str">
        <f t="shared" si="19"/>
        <v>2025 JAN-APR B1G2</v>
      </c>
      <c r="B281" s="8">
        <f t="shared" si="20"/>
        <v>46099</v>
      </c>
      <c r="C281" s="8">
        <f t="shared" si="21"/>
        <v>46113</v>
      </c>
      <c r="D281" s="16">
        <f t="shared" si="22"/>
        <v>3272</v>
      </c>
      <c r="E281" s="16">
        <f t="shared" si="23"/>
        <v>336</v>
      </c>
      <c r="F281" s="16">
        <f t="shared" si="24"/>
        <v>4</v>
      </c>
      <c r="G281" s="7">
        <v>1</v>
      </c>
      <c r="H281" s="7">
        <v>81379</v>
      </c>
      <c r="I281" s="7" t="s">
        <v>104</v>
      </c>
      <c r="J281" s="7">
        <v>51562353</v>
      </c>
      <c r="K281" s="7" t="s">
        <v>2514</v>
      </c>
      <c r="L281" s="7" t="s">
        <v>2677</v>
      </c>
      <c r="M281" s="9">
        <v>139900</v>
      </c>
      <c r="N281" s="14" t="s">
        <v>618</v>
      </c>
      <c r="O281" s="14" t="str">
        <f t="shared" si="25"/>
        <v>B1G2</v>
      </c>
      <c r="P281" s="14" t="s">
        <v>618</v>
      </c>
    </row>
    <row r="282" spans="1:16" x14ac:dyDescent="0.25">
      <c r="A282" s="7" t="str">
        <f t="shared" si="19"/>
        <v>2025 JAN-APR B1G2</v>
      </c>
      <c r="B282" s="8">
        <f t="shared" si="20"/>
        <v>46099</v>
      </c>
      <c r="C282" s="8">
        <f t="shared" si="21"/>
        <v>46113</v>
      </c>
      <c r="D282" s="16">
        <f t="shared" si="22"/>
        <v>3272</v>
      </c>
      <c r="E282" s="16">
        <f t="shared" si="23"/>
        <v>336</v>
      </c>
      <c r="F282" s="16">
        <f t="shared" si="24"/>
        <v>4</v>
      </c>
      <c r="G282" s="7">
        <v>1</v>
      </c>
      <c r="H282" s="7">
        <v>81379</v>
      </c>
      <c r="I282" s="7" t="s">
        <v>104</v>
      </c>
      <c r="J282" s="7">
        <v>51562362</v>
      </c>
      <c r="K282" s="7" t="s">
        <v>2514</v>
      </c>
      <c r="L282" s="7" t="s">
        <v>2678</v>
      </c>
      <c r="M282" s="9">
        <v>139900</v>
      </c>
      <c r="N282" s="14" t="s">
        <v>618</v>
      </c>
      <c r="O282" s="14" t="str">
        <f t="shared" si="25"/>
        <v>B1G2</v>
      </c>
      <c r="P282" s="14" t="s">
        <v>618</v>
      </c>
    </row>
    <row r="283" spans="1:16" x14ac:dyDescent="0.25">
      <c r="A283" s="7" t="str">
        <f t="shared" si="19"/>
        <v>2025 JAN-APR B1G2</v>
      </c>
      <c r="B283" s="8">
        <f t="shared" si="20"/>
        <v>46099</v>
      </c>
      <c r="C283" s="8">
        <f t="shared" si="21"/>
        <v>46113</v>
      </c>
      <c r="D283" s="16">
        <f t="shared" si="22"/>
        <v>3272</v>
      </c>
      <c r="E283" s="16">
        <f t="shared" si="23"/>
        <v>336</v>
      </c>
      <c r="F283" s="16">
        <f t="shared" si="24"/>
        <v>4</v>
      </c>
      <c r="G283" s="7">
        <v>1</v>
      </c>
      <c r="H283" s="7">
        <v>81379</v>
      </c>
      <c r="I283" s="7" t="s">
        <v>104</v>
      </c>
      <c r="J283" s="7">
        <v>51562371</v>
      </c>
      <c r="K283" s="7" t="s">
        <v>2514</v>
      </c>
      <c r="L283" s="7" t="s">
        <v>2679</v>
      </c>
      <c r="M283" s="9">
        <v>139900</v>
      </c>
      <c r="N283" s="14" t="s">
        <v>618</v>
      </c>
      <c r="O283" s="14" t="str">
        <f t="shared" si="25"/>
        <v>B1G2</v>
      </c>
      <c r="P283" s="14" t="s">
        <v>618</v>
      </c>
    </row>
    <row r="284" spans="1:16" x14ac:dyDescent="0.25">
      <c r="A284" s="7" t="str">
        <f t="shared" si="19"/>
        <v>2025 JAN-APR B1G2</v>
      </c>
      <c r="B284" s="8">
        <f t="shared" si="20"/>
        <v>46099</v>
      </c>
      <c r="C284" s="8">
        <f t="shared" si="21"/>
        <v>46113</v>
      </c>
      <c r="D284" s="16">
        <f t="shared" si="22"/>
        <v>3272</v>
      </c>
      <c r="E284" s="16">
        <f t="shared" si="23"/>
        <v>336</v>
      </c>
      <c r="F284" s="16">
        <f t="shared" si="24"/>
        <v>4</v>
      </c>
      <c r="G284" s="7">
        <v>1</v>
      </c>
      <c r="H284" s="7">
        <v>81379</v>
      </c>
      <c r="I284" s="7" t="s">
        <v>104</v>
      </c>
      <c r="J284" s="7">
        <v>51562380</v>
      </c>
      <c r="K284" s="7" t="s">
        <v>2514</v>
      </c>
      <c r="L284" s="7" t="s">
        <v>2680</v>
      </c>
      <c r="M284" s="9">
        <v>139900</v>
      </c>
      <c r="N284" s="14" t="s">
        <v>618</v>
      </c>
      <c r="O284" s="14" t="str">
        <f t="shared" si="25"/>
        <v>B1G2</v>
      </c>
      <c r="P284" s="14" t="s">
        <v>618</v>
      </c>
    </row>
    <row r="285" spans="1:16" x14ac:dyDescent="0.25">
      <c r="A285" s="7" t="str">
        <f t="shared" si="19"/>
        <v>2025 JAN-APR B1G2</v>
      </c>
      <c r="B285" s="8">
        <f t="shared" si="20"/>
        <v>46099</v>
      </c>
      <c r="C285" s="8">
        <f t="shared" si="21"/>
        <v>46113</v>
      </c>
      <c r="D285" s="16">
        <f t="shared" si="22"/>
        <v>3272</v>
      </c>
      <c r="E285" s="16">
        <f t="shared" si="23"/>
        <v>336</v>
      </c>
      <c r="F285" s="16">
        <f t="shared" si="24"/>
        <v>4</v>
      </c>
      <c r="G285" s="7">
        <v>1</v>
      </c>
      <c r="H285" s="7">
        <v>81379</v>
      </c>
      <c r="I285" s="7" t="s">
        <v>104</v>
      </c>
      <c r="J285" s="7">
        <v>51562399</v>
      </c>
      <c r="K285" s="7" t="s">
        <v>2514</v>
      </c>
      <c r="L285" s="7" t="s">
        <v>2681</v>
      </c>
      <c r="M285" s="9">
        <v>139900</v>
      </c>
      <c r="N285" s="14" t="s">
        <v>618</v>
      </c>
      <c r="O285" s="14" t="str">
        <f t="shared" si="25"/>
        <v>B1G2</v>
      </c>
      <c r="P285" s="14" t="s">
        <v>618</v>
      </c>
    </row>
    <row r="286" spans="1:16" x14ac:dyDescent="0.25">
      <c r="A286" s="7" t="str">
        <f t="shared" si="19"/>
        <v>2025 JAN-APR B1G2</v>
      </c>
      <c r="B286" s="8">
        <f t="shared" si="20"/>
        <v>46099</v>
      </c>
      <c r="C286" s="8">
        <f t="shared" si="21"/>
        <v>46113</v>
      </c>
      <c r="D286" s="16">
        <f t="shared" si="22"/>
        <v>3272</v>
      </c>
      <c r="E286" s="16">
        <f t="shared" si="23"/>
        <v>336</v>
      </c>
      <c r="F286" s="16">
        <f t="shared" si="24"/>
        <v>4</v>
      </c>
      <c r="G286" s="7">
        <v>1</v>
      </c>
      <c r="H286" s="7">
        <v>81379</v>
      </c>
      <c r="I286" s="7" t="s">
        <v>104</v>
      </c>
      <c r="J286" s="7">
        <v>51562406</v>
      </c>
      <c r="K286" s="7" t="s">
        <v>2514</v>
      </c>
      <c r="L286" s="7" t="s">
        <v>2682</v>
      </c>
      <c r="M286" s="9">
        <v>139900</v>
      </c>
      <c r="N286" s="14" t="s">
        <v>618</v>
      </c>
      <c r="O286" s="14" t="str">
        <f t="shared" si="25"/>
        <v>B1G2</v>
      </c>
      <c r="P286" s="14" t="s">
        <v>618</v>
      </c>
    </row>
    <row r="287" spans="1:16" x14ac:dyDescent="0.25">
      <c r="A287" s="7" t="str">
        <f t="shared" si="19"/>
        <v>2025 JAN-APR B1G2</v>
      </c>
      <c r="B287" s="8">
        <f t="shared" si="20"/>
        <v>46099</v>
      </c>
      <c r="C287" s="8">
        <f t="shared" si="21"/>
        <v>46113</v>
      </c>
      <c r="D287" s="16">
        <f t="shared" si="22"/>
        <v>3272</v>
      </c>
      <c r="E287" s="16">
        <f t="shared" si="23"/>
        <v>336</v>
      </c>
      <c r="F287" s="16">
        <f t="shared" si="24"/>
        <v>4</v>
      </c>
      <c r="G287" s="7">
        <v>1</v>
      </c>
      <c r="H287" s="7">
        <v>81676</v>
      </c>
      <c r="I287" s="7" t="s">
        <v>104</v>
      </c>
      <c r="J287" s="7">
        <v>51562415</v>
      </c>
      <c r="K287" s="7" t="s">
        <v>2515</v>
      </c>
      <c r="L287" s="7" t="s">
        <v>2683</v>
      </c>
      <c r="M287" s="9">
        <v>139900</v>
      </c>
      <c r="N287" s="14" t="s">
        <v>618</v>
      </c>
      <c r="O287" s="14" t="str">
        <f t="shared" si="25"/>
        <v>B1G2</v>
      </c>
      <c r="P287" s="14" t="s">
        <v>618</v>
      </c>
    </row>
    <row r="288" spans="1:16" x14ac:dyDescent="0.25">
      <c r="A288" s="7" t="str">
        <f t="shared" si="19"/>
        <v>2025 JAN-APR B1G2</v>
      </c>
      <c r="B288" s="8">
        <f t="shared" si="20"/>
        <v>46099</v>
      </c>
      <c r="C288" s="8">
        <f t="shared" si="21"/>
        <v>46113</v>
      </c>
      <c r="D288" s="16">
        <f t="shared" si="22"/>
        <v>3272</v>
      </c>
      <c r="E288" s="16">
        <f t="shared" si="23"/>
        <v>336</v>
      </c>
      <c r="F288" s="16">
        <f t="shared" si="24"/>
        <v>4</v>
      </c>
      <c r="G288" s="7">
        <v>1</v>
      </c>
      <c r="H288" s="7">
        <v>81676</v>
      </c>
      <c r="I288" s="7" t="s">
        <v>104</v>
      </c>
      <c r="J288" s="7">
        <v>51562424</v>
      </c>
      <c r="K288" s="7" t="s">
        <v>2515</v>
      </c>
      <c r="L288" s="7" t="s">
        <v>2684</v>
      </c>
      <c r="M288" s="9">
        <v>139900</v>
      </c>
      <c r="N288" s="14" t="s">
        <v>618</v>
      </c>
      <c r="O288" s="14" t="str">
        <f t="shared" si="25"/>
        <v>B1G2</v>
      </c>
      <c r="P288" s="14" t="s">
        <v>618</v>
      </c>
    </row>
    <row r="289" spans="1:16" x14ac:dyDescent="0.25">
      <c r="A289" s="7" t="str">
        <f t="shared" si="19"/>
        <v>2025 JAN-APR B1G2</v>
      </c>
      <c r="B289" s="8">
        <f t="shared" si="20"/>
        <v>46099</v>
      </c>
      <c r="C289" s="8">
        <f t="shared" si="21"/>
        <v>46113</v>
      </c>
      <c r="D289" s="16">
        <f t="shared" si="22"/>
        <v>3272</v>
      </c>
      <c r="E289" s="16">
        <f t="shared" si="23"/>
        <v>336</v>
      </c>
      <c r="F289" s="16">
        <f t="shared" si="24"/>
        <v>4</v>
      </c>
      <c r="G289" s="7">
        <v>1</v>
      </c>
      <c r="H289" s="7">
        <v>81676</v>
      </c>
      <c r="I289" s="7" t="s">
        <v>104</v>
      </c>
      <c r="J289" s="7">
        <v>51562433</v>
      </c>
      <c r="K289" s="7" t="s">
        <v>2515</v>
      </c>
      <c r="L289" s="7" t="s">
        <v>2685</v>
      </c>
      <c r="M289" s="9">
        <v>139900</v>
      </c>
      <c r="N289" s="14" t="s">
        <v>618</v>
      </c>
      <c r="O289" s="14" t="str">
        <f t="shared" si="25"/>
        <v>B1G2</v>
      </c>
      <c r="P289" s="14" t="s">
        <v>618</v>
      </c>
    </row>
    <row r="290" spans="1:16" x14ac:dyDescent="0.25">
      <c r="A290" s="7" t="str">
        <f t="shared" si="19"/>
        <v>2025 JAN-APR B1G2</v>
      </c>
      <c r="B290" s="8">
        <f t="shared" si="20"/>
        <v>46099</v>
      </c>
      <c r="C290" s="8">
        <f t="shared" si="21"/>
        <v>46113</v>
      </c>
      <c r="D290" s="16">
        <f t="shared" si="22"/>
        <v>3272</v>
      </c>
      <c r="E290" s="16">
        <f t="shared" si="23"/>
        <v>336</v>
      </c>
      <c r="F290" s="16">
        <f t="shared" si="24"/>
        <v>4</v>
      </c>
      <c r="G290" s="7">
        <v>1</v>
      </c>
      <c r="H290" s="7">
        <v>81676</v>
      </c>
      <c r="I290" s="7" t="s">
        <v>104</v>
      </c>
      <c r="J290" s="7">
        <v>51562442</v>
      </c>
      <c r="K290" s="7" t="s">
        <v>2515</v>
      </c>
      <c r="L290" s="7" t="s">
        <v>2686</v>
      </c>
      <c r="M290" s="9">
        <v>139900</v>
      </c>
      <c r="N290" s="14" t="s">
        <v>618</v>
      </c>
      <c r="O290" s="14" t="str">
        <f t="shared" si="25"/>
        <v>B1G2</v>
      </c>
      <c r="P290" s="14" t="s">
        <v>618</v>
      </c>
    </row>
    <row r="291" spans="1:16" x14ac:dyDescent="0.25">
      <c r="A291" s="7" t="str">
        <f t="shared" si="19"/>
        <v>2025 JAN-APR B1G2</v>
      </c>
      <c r="B291" s="8">
        <f t="shared" si="20"/>
        <v>46099</v>
      </c>
      <c r="C291" s="8">
        <f t="shared" si="21"/>
        <v>46113</v>
      </c>
      <c r="D291" s="16">
        <f t="shared" ref="D291:D309" si="26">D290</f>
        <v>3272</v>
      </c>
      <c r="E291" s="16">
        <f t="shared" ref="E291:E309" si="27">E290</f>
        <v>336</v>
      </c>
      <c r="F291" s="16">
        <f t="shared" ref="F291:F309" si="28">F290</f>
        <v>4</v>
      </c>
      <c r="G291" s="7">
        <v>1</v>
      </c>
      <c r="H291" s="7">
        <v>81676</v>
      </c>
      <c r="I291" s="7" t="s">
        <v>104</v>
      </c>
      <c r="J291" s="7">
        <v>51562451</v>
      </c>
      <c r="K291" s="7" t="s">
        <v>2515</v>
      </c>
      <c r="L291" s="7" t="s">
        <v>2687</v>
      </c>
      <c r="M291" s="9">
        <v>139900</v>
      </c>
      <c r="N291" s="14" t="s">
        <v>618</v>
      </c>
      <c r="O291" s="14" t="str">
        <f t="shared" si="25"/>
        <v>B1G2</v>
      </c>
      <c r="P291" s="14" t="s">
        <v>618</v>
      </c>
    </row>
    <row r="292" spans="1:16" x14ac:dyDescent="0.25">
      <c r="A292" s="7" t="str">
        <f t="shared" si="19"/>
        <v>2025 JAN-APR B1G2</v>
      </c>
      <c r="B292" s="8">
        <f t="shared" si="20"/>
        <v>46099</v>
      </c>
      <c r="C292" s="8">
        <f t="shared" si="21"/>
        <v>46113</v>
      </c>
      <c r="D292" s="16">
        <f t="shared" si="26"/>
        <v>3272</v>
      </c>
      <c r="E292" s="16">
        <f t="shared" si="27"/>
        <v>336</v>
      </c>
      <c r="F292" s="16">
        <f t="shared" si="28"/>
        <v>4</v>
      </c>
      <c r="G292" s="7">
        <v>1</v>
      </c>
      <c r="H292" s="7">
        <v>81676</v>
      </c>
      <c r="I292" s="7" t="s">
        <v>104</v>
      </c>
      <c r="J292" s="7">
        <v>51563003</v>
      </c>
      <c r="K292" s="7" t="s">
        <v>2768</v>
      </c>
      <c r="L292" s="7" t="s">
        <v>2927</v>
      </c>
      <c r="M292" s="9">
        <v>139900</v>
      </c>
      <c r="N292" s="14" t="s">
        <v>618</v>
      </c>
      <c r="O292" s="14" t="str">
        <f t="shared" si="25"/>
        <v>B1G2</v>
      </c>
      <c r="P292" s="14" t="s">
        <v>618</v>
      </c>
    </row>
    <row r="293" spans="1:16" x14ac:dyDescent="0.25">
      <c r="A293" s="7" t="str">
        <f t="shared" si="19"/>
        <v>2025 JAN-APR B1G2</v>
      </c>
      <c r="B293" s="8">
        <f t="shared" si="20"/>
        <v>46099</v>
      </c>
      <c r="C293" s="8">
        <f t="shared" si="21"/>
        <v>46113</v>
      </c>
      <c r="D293" s="16">
        <f t="shared" si="26"/>
        <v>3272</v>
      </c>
      <c r="E293" s="16">
        <f t="shared" si="27"/>
        <v>336</v>
      </c>
      <c r="F293" s="16">
        <f t="shared" si="28"/>
        <v>4</v>
      </c>
      <c r="G293" s="7">
        <v>1</v>
      </c>
      <c r="H293" s="7">
        <v>81676</v>
      </c>
      <c r="I293" s="7" t="s">
        <v>104</v>
      </c>
      <c r="J293" s="7">
        <v>51563012</v>
      </c>
      <c r="K293" s="7" t="s">
        <v>2768</v>
      </c>
      <c r="L293" s="7" t="s">
        <v>2928</v>
      </c>
      <c r="M293" s="9">
        <v>139900</v>
      </c>
      <c r="N293" s="14" t="s">
        <v>618</v>
      </c>
      <c r="O293" s="14" t="str">
        <f t="shared" si="25"/>
        <v>B1G2</v>
      </c>
      <c r="P293" s="14" t="s">
        <v>618</v>
      </c>
    </row>
    <row r="294" spans="1:16" x14ac:dyDescent="0.25">
      <c r="A294" s="7" t="str">
        <f t="shared" si="19"/>
        <v>2025 JAN-APR B1G2</v>
      </c>
      <c r="B294" s="8">
        <f t="shared" si="20"/>
        <v>46099</v>
      </c>
      <c r="C294" s="8">
        <f t="shared" si="21"/>
        <v>46113</v>
      </c>
      <c r="D294" s="16">
        <f t="shared" si="26"/>
        <v>3272</v>
      </c>
      <c r="E294" s="16">
        <f t="shared" si="27"/>
        <v>336</v>
      </c>
      <c r="F294" s="16">
        <f t="shared" si="28"/>
        <v>4</v>
      </c>
      <c r="G294" s="7">
        <v>1</v>
      </c>
      <c r="H294" s="7">
        <v>81676</v>
      </c>
      <c r="I294" s="7" t="s">
        <v>104</v>
      </c>
      <c r="J294" s="7">
        <v>51563021</v>
      </c>
      <c r="K294" s="7" t="s">
        <v>2768</v>
      </c>
      <c r="L294" s="7" t="s">
        <v>2929</v>
      </c>
      <c r="M294" s="9">
        <v>139900</v>
      </c>
      <c r="N294" s="14" t="s">
        <v>618</v>
      </c>
      <c r="O294" s="14" t="str">
        <f t="shared" si="25"/>
        <v>B1G2</v>
      </c>
      <c r="P294" s="14" t="s">
        <v>618</v>
      </c>
    </row>
    <row r="295" spans="1:16" x14ac:dyDescent="0.25">
      <c r="A295" s="7" t="str">
        <f t="shared" si="19"/>
        <v>2025 JAN-APR B1G2</v>
      </c>
      <c r="B295" s="8">
        <f t="shared" si="20"/>
        <v>46099</v>
      </c>
      <c r="C295" s="8">
        <f t="shared" si="21"/>
        <v>46113</v>
      </c>
      <c r="D295" s="16">
        <f t="shared" si="26"/>
        <v>3272</v>
      </c>
      <c r="E295" s="16">
        <f t="shared" si="27"/>
        <v>336</v>
      </c>
      <c r="F295" s="16">
        <f t="shared" si="28"/>
        <v>4</v>
      </c>
      <c r="G295" s="7">
        <v>1</v>
      </c>
      <c r="H295" s="7">
        <v>81676</v>
      </c>
      <c r="I295" s="7" t="s">
        <v>104</v>
      </c>
      <c r="J295" s="7">
        <v>51563030</v>
      </c>
      <c r="K295" s="7" t="s">
        <v>2768</v>
      </c>
      <c r="L295" s="7" t="s">
        <v>2930</v>
      </c>
      <c r="M295" s="9">
        <v>139900</v>
      </c>
      <c r="N295" s="14" t="s">
        <v>618</v>
      </c>
      <c r="O295" s="14" t="str">
        <f t="shared" si="25"/>
        <v>B1G2</v>
      </c>
      <c r="P295" s="14" t="s">
        <v>618</v>
      </c>
    </row>
    <row r="296" spans="1:16" x14ac:dyDescent="0.25">
      <c r="A296" s="7" t="str">
        <f t="shared" si="19"/>
        <v>2025 JAN-APR B1G2</v>
      </c>
      <c r="B296" s="8">
        <f t="shared" si="20"/>
        <v>46099</v>
      </c>
      <c r="C296" s="8">
        <f t="shared" si="21"/>
        <v>46113</v>
      </c>
      <c r="D296" s="16">
        <f t="shared" si="26"/>
        <v>3272</v>
      </c>
      <c r="E296" s="16">
        <f t="shared" si="27"/>
        <v>336</v>
      </c>
      <c r="F296" s="16">
        <f t="shared" si="28"/>
        <v>4</v>
      </c>
      <c r="G296" s="7">
        <v>1</v>
      </c>
      <c r="H296" s="7">
        <v>81676</v>
      </c>
      <c r="I296" s="7" t="s">
        <v>104</v>
      </c>
      <c r="J296" s="7">
        <v>51563049</v>
      </c>
      <c r="K296" s="7" t="s">
        <v>2768</v>
      </c>
      <c r="L296" s="7" t="s">
        <v>2931</v>
      </c>
      <c r="M296" s="9">
        <v>139900</v>
      </c>
      <c r="N296" s="14" t="s">
        <v>618</v>
      </c>
      <c r="O296" s="14" t="str">
        <f t="shared" si="25"/>
        <v>B1G2</v>
      </c>
      <c r="P296" s="14" t="s">
        <v>618</v>
      </c>
    </row>
    <row r="297" spans="1:16" x14ac:dyDescent="0.25">
      <c r="A297" s="7" t="str">
        <f t="shared" si="19"/>
        <v>2025 JAN-APR B1G2</v>
      </c>
      <c r="B297" s="8">
        <f t="shared" si="20"/>
        <v>46099</v>
      </c>
      <c r="C297" s="8">
        <f t="shared" si="21"/>
        <v>46113</v>
      </c>
      <c r="D297" s="16">
        <f t="shared" si="26"/>
        <v>3272</v>
      </c>
      <c r="E297" s="16">
        <f t="shared" si="27"/>
        <v>336</v>
      </c>
      <c r="F297" s="16">
        <f t="shared" si="28"/>
        <v>4</v>
      </c>
      <c r="G297" s="7">
        <v>1</v>
      </c>
      <c r="H297" s="7">
        <v>81676</v>
      </c>
      <c r="I297" s="7" t="s">
        <v>104</v>
      </c>
      <c r="J297" s="7">
        <v>51563101</v>
      </c>
      <c r="K297" s="7" t="s">
        <v>2516</v>
      </c>
      <c r="L297" s="7" t="s">
        <v>2688</v>
      </c>
      <c r="M297" s="9">
        <v>139900</v>
      </c>
      <c r="N297" s="14" t="s">
        <v>618</v>
      </c>
      <c r="O297" s="14" t="str">
        <f t="shared" si="25"/>
        <v>B1G2</v>
      </c>
      <c r="P297" s="14" t="s">
        <v>618</v>
      </c>
    </row>
    <row r="298" spans="1:16" x14ac:dyDescent="0.25">
      <c r="A298" s="7" t="str">
        <f t="shared" si="19"/>
        <v>2025 JAN-APR B1G2</v>
      </c>
      <c r="B298" s="8">
        <f t="shared" si="20"/>
        <v>46099</v>
      </c>
      <c r="C298" s="8">
        <f t="shared" si="21"/>
        <v>46113</v>
      </c>
      <c r="D298" s="16">
        <f t="shared" si="26"/>
        <v>3272</v>
      </c>
      <c r="E298" s="16">
        <f t="shared" si="27"/>
        <v>336</v>
      </c>
      <c r="F298" s="16">
        <f t="shared" si="28"/>
        <v>4</v>
      </c>
      <c r="G298" s="7">
        <v>1</v>
      </c>
      <c r="H298" s="7">
        <v>81676</v>
      </c>
      <c r="I298" s="7" t="s">
        <v>104</v>
      </c>
      <c r="J298" s="7">
        <v>51563110</v>
      </c>
      <c r="K298" s="7" t="s">
        <v>2516</v>
      </c>
      <c r="L298" s="7" t="s">
        <v>2689</v>
      </c>
      <c r="M298" s="9">
        <v>139900</v>
      </c>
      <c r="N298" s="14" t="s">
        <v>618</v>
      </c>
      <c r="O298" s="14" t="str">
        <f t="shared" si="25"/>
        <v>B1G2</v>
      </c>
      <c r="P298" s="14" t="s">
        <v>618</v>
      </c>
    </row>
    <row r="299" spans="1:16" x14ac:dyDescent="0.25">
      <c r="A299" s="7" t="str">
        <f t="shared" si="19"/>
        <v>2025 JAN-APR B1G2</v>
      </c>
      <c r="B299" s="8">
        <f t="shared" si="20"/>
        <v>46099</v>
      </c>
      <c r="C299" s="8">
        <f t="shared" si="21"/>
        <v>46113</v>
      </c>
      <c r="D299" s="16">
        <f t="shared" si="26"/>
        <v>3272</v>
      </c>
      <c r="E299" s="16">
        <f t="shared" si="27"/>
        <v>336</v>
      </c>
      <c r="F299" s="16">
        <f t="shared" si="28"/>
        <v>4</v>
      </c>
      <c r="G299" s="7">
        <v>1</v>
      </c>
      <c r="H299" s="7">
        <v>81676</v>
      </c>
      <c r="I299" s="7" t="s">
        <v>104</v>
      </c>
      <c r="J299" s="7">
        <v>51563129</v>
      </c>
      <c r="K299" s="7" t="s">
        <v>2516</v>
      </c>
      <c r="L299" s="7" t="s">
        <v>2690</v>
      </c>
      <c r="M299" s="9">
        <v>139900</v>
      </c>
      <c r="N299" s="14" t="s">
        <v>618</v>
      </c>
      <c r="O299" s="14" t="str">
        <f t="shared" si="25"/>
        <v>B1G2</v>
      </c>
      <c r="P299" s="14" t="s">
        <v>618</v>
      </c>
    </row>
    <row r="300" spans="1:16" x14ac:dyDescent="0.25">
      <c r="A300" s="7" t="str">
        <f t="shared" si="19"/>
        <v>2025 JAN-APR B1G2</v>
      </c>
      <c r="B300" s="8">
        <f t="shared" si="20"/>
        <v>46099</v>
      </c>
      <c r="C300" s="8">
        <f t="shared" si="21"/>
        <v>46113</v>
      </c>
      <c r="D300" s="16">
        <f t="shared" si="26"/>
        <v>3272</v>
      </c>
      <c r="E300" s="16">
        <f t="shared" si="27"/>
        <v>336</v>
      </c>
      <c r="F300" s="16">
        <f t="shared" si="28"/>
        <v>4</v>
      </c>
      <c r="G300" s="7">
        <v>1</v>
      </c>
      <c r="H300" s="7">
        <v>81676</v>
      </c>
      <c r="I300" s="7" t="s">
        <v>104</v>
      </c>
      <c r="J300" s="7">
        <v>51563138</v>
      </c>
      <c r="K300" s="7" t="s">
        <v>2516</v>
      </c>
      <c r="L300" s="7" t="s">
        <v>2691</v>
      </c>
      <c r="M300" s="9">
        <v>139900</v>
      </c>
      <c r="N300" s="14" t="s">
        <v>618</v>
      </c>
      <c r="O300" s="14" t="str">
        <f t="shared" si="25"/>
        <v>B1G2</v>
      </c>
      <c r="P300" s="14" t="s">
        <v>618</v>
      </c>
    </row>
    <row r="301" spans="1:16" x14ac:dyDescent="0.25">
      <c r="A301" s="7" t="str">
        <f t="shared" si="19"/>
        <v>2025 JAN-APR B1G2</v>
      </c>
      <c r="B301" s="8">
        <f t="shared" si="20"/>
        <v>46099</v>
      </c>
      <c r="C301" s="8">
        <f t="shared" si="21"/>
        <v>46113</v>
      </c>
      <c r="D301" s="16">
        <f t="shared" si="26"/>
        <v>3272</v>
      </c>
      <c r="E301" s="16">
        <f t="shared" si="27"/>
        <v>336</v>
      </c>
      <c r="F301" s="16">
        <f t="shared" si="28"/>
        <v>4</v>
      </c>
      <c r="G301" s="7">
        <v>1</v>
      </c>
      <c r="H301" s="7">
        <v>81676</v>
      </c>
      <c r="I301" s="7" t="s">
        <v>104</v>
      </c>
      <c r="J301" s="7">
        <v>51563147</v>
      </c>
      <c r="K301" s="7" t="s">
        <v>2516</v>
      </c>
      <c r="L301" s="7" t="s">
        <v>2692</v>
      </c>
      <c r="M301" s="9">
        <v>139900</v>
      </c>
      <c r="N301" s="14" t="s">
        <v>618</v>
      </c>
      <c r="O301" s="14" t="str">
        <f t="shared" si="25"/>
        <v>B1G2</v>
      </c>
      <c r="P301" s="14" t="s">
        <v>618</v>
      </c>
    </row>
    <row r="302" spans="1:16" x14ac:dyDescent="0.25">
      <c r="A302" s="7" t="str">
        <f t="shared" si="19"/>
        <v>2025 JAN-APR B1G2</v>
      </c>
      <c r="B302" s="8">
        <f t="shared" si="20"/>
        <v>46099</v>
      </c>
      <c r="C302" s="8">
        <f t="shared" si="21"/>
        <v>46113</v>
      </c>
      <c r="D302" s="16">
        <f t="shared" si="26"/>
        <v>3272</v>
      </c>
      <c r="E302" s="16">
        <f t="shared" si="27"/>
        <v>336</v>
      </c>
      <c r="F302" s="16">
        <f t="shared" si="28"/>
        <v>4</v>
      </c>
      <c r="G302" s="7">
        <v>1</v>
      </c>
      <c r="H302" s="7">
        <v>81676</v>
      </c>
      <c r="I302" s="7" t="s">
        <v>104</v>
      </c>
      <c r="J302" s="7">
        <v>51563156</v>
      </c>
      <c r="K302" s="7" t="s">
        <v>2516</v>
      </c>
      <c r="L302" s="7" t="s">
        <v>2693</v>
      </c>
      <c r="M302" s="9">
        <v>139900</v>
      </c>
      <c r="N302" s="14" t="s">
        <v>618</v>
      </c>
      <c r="O302" s="14" t="str">
        <f t="shared" si="25"/>
        <v>B1G2</v>
      </c>
      <c r="P302" s="14" t="s">
        <v>618</v>
      </c>
    </row>
    <row r="303" spans="1:16" x14ac:dyDescent="0.25">
      <c r="A303" s="7" t="str">
        <f t="shared" si="19"/>
        <v>2025 JAN-APR B1G2</v>
      </c>
      <c r="B303" s="8">
        <f t="shared" si="20"/>
        <v>46099</v>
      </c>
      <c r="C303" s="8">
        <f t="shared" si="21"/>
        <v>46113</v>
      </c>
      <c r="D303" s="16">
        <f t="shared" si="26"/>
        <v>3272</v>
      </c>
      <c r="E303" s="16">
        <f t="shared" si="27"/>
        <v>336</v>
      </c>
      <c r="F303" s="16">
        <f t="shared" si="28"/>
        <v>4</v>
      </c>
      <c r="G303" s="7">
        <v>1</v>
      </c>
      <c r="H303" s="7">
        <v>81676</v>
      </c>
      <c r="I303" s="7" t="s">
        <v>104</v>
      </c>
      <c r="J303" s="7">
        <v>51563165</v>
      </c>
      <c r="K303" s="7" t="s">
        <v>2516</v>
      </c>
      <c r="L303" s="7" t="s">
        <v>2694</v>
      </c>
      <c r="M303" s="9">
        <v>139900</v>
      </c>
      <c r="N303" s="14" t="s">
        <v>618</v>
      </c>
      <c r="O303" s="14" t="str">
        <f t="shared" si="25"/>
        <v>B1G2</v>
      </c>
      <c r="P303" s="14" t="s">
        <v>618</v>
      </c>
    </row>
    <row r="304" spans="1:16" x14ac:dyDescent="0.25">
      <c r="A304" s="7" t="str">
        <f t="shared" si="19"/>
        <v>2025 JAN-APR B1G2</v>
      </c>
      <c r="B304" s="8">
        <f t="shared" si="20"/>
        <v>46099</v>
      </c>
      <c r="C304" s="8">
        <f t="shared" si="21"/>
        <v>46113</v>
      </c>
      <c r="D304" s="16">
        <f t="shared" si="26"/>
        <v>3272</v>
      </c>
      <c r="E304" s="16">
        <f t="shared" si="27"/>
        <v>336</v>
      </c>
      <c r="F304" s="16">
        <f t="shared" si="28"/>
        <v>4</v>
      </c>
      <c r="G304" s="7">
        <v>1</v>
      </c>
      <c r="H304" s="7">
        <v>81676</v>
      </c>
      <c r="I304" s="7" t="s">
        <v>104</v>
      </c>
      <c r="J304" s="7">
        <v>51563174</v>
      </c>
      <c r="K304" s="7" t="s">
        <v>2516</v>
      </c>
      <c r="L304" s="7" t="s">
        <v>2695</v>
      </c>
      <c r="M304" s="9">
        <v>139900</v>
      </c>
      <c r="N304" s="14" t="s">
        <v>618</v>
      </c>
      <c r="O304" s="14" t="str">
        <f t="shared" si="25"/>
        <v>B1G2</v>
      </c>
      <c r="P304" s="14" t="s">
        <v>618</v>
      </c>
    </row>
    <row r="305" spans="1:16" x14ac:dyDescent="0.25">
      <c r="A305" s="7" t="str">
        <f t="shared" si="19"/>
        <v>2025 JAN-APR B1G2</v>
      </c>
      <c r="B305" s="8">
        <f t="shared" si="20"/>
        <v>46099</v>
      </c>
      <c r="C305" s="8">
        <f t="shared" si="21"/>
        <v>46113</v>
      </c>
      <c r="D305" s="16">
        <f t="shared" si="26"/>
        <v>3272</v>
      </c>
      <c r="E305" s="16">
        <f t="shared" si="27"/>
        <v>336</v>
      </c>
      <c r="F305" s="16">
        <f t="shared" si="28"/>
        <v>4</v>
      </c>
      <c r="G305" s="7">
        <v>1</v>
      </c>
      <c r="H305" s="7">
        <v>81676</v>
      </c>
      <c r="I305" s="7" t="s">
        <v>104</v>
      </c>
      <c r="J305" s="7">
        <v>51563183</v>
      </c>
      <c r="K305" s="7" t="s">
        <v>2517</v>
      </c>
      <c r="L305" s="7" t="s">
        <v>2696</v>
      </c>
      <c r="M305" s="9">
        <v>139900</v>
      </c>
      <c r="N305" s="14" t="s">
        <v>618</v>
      </c>
      <c r="O305" s="14" t="str">
        <f t="shared" si="25"/>
        <v>B1G2</v>
      </c>
      <c r="P305" s="14" t="s">
        <v>618</v>
      </c>
    </row>
    <row r="306" spans="1:16" x14ac:dyDescent="0.25">
      <c r="A306" s="7" t="str">
        <f t="shared" si="19"/>
        <v>2025 JAN-APR B1G2</v>
      </c>
      <c r="B306" s="8">
        <f t="shared" si="20"/>
        <v>46099</v>
      </c>
      <c r="C306" s="8">
        <f t="shared" si="21"/>
        <v>46113</v>
      </c>
      <c r="D306" s="16">
        <f t="shared" si="26"/>
        <v>3272</v>
      </c>
      <c r="E306" s="16">
        <f t="shared" si="27"/>
        <v>336</v>
      </c>
      <c r="F306" s="16">
        <f t="shared" si="28"/>
        <v>4</v>
      </c>
      <c r="G306" s="7">
        <v>1</v>
      </c>
      <c r="H306" s="7">
        <v>81676</v>
      </c>
      <c r="I306" s="7" t="s">
        <v>104</v>
      </c>
      <c r="J306" s="7">
        <v>51563192</v>
      </c>
      <c r="K306" s="7" t="s">
        <v>2517</v>
      </c>
      <c r="L306" s="7" t="s">
        <v>2697</v>
      </c>
      <c r="M306" s="9">
        <v>139900</v>
      </c>
      <c r="N306" s="14" t="s">
        <v>618</v>
      </c>
      <c r="O306" s="14" t="str">
        <f t="shared" si="25"/>
        <v>B1G2</v>
      </c>
      <c r="P306" s="14" t="s">
        <v>618</v>
      </c>
    </row>
    <row r="307" spans="1:16" x14ac:dyDescent="0.25">
      <c r="A307" s="7" t="str">
        <f t="shared" si="19"/>
        <v>2025 JAN-APR B1G2</v>
      </c>
      <c r="B307" s="8">
        <f t="shared" si="20"/>
        <v>46099</v>
      </c>
      <c r="C307" s="8">
        <f t="shared" si="21"/>
        <v>46113</v>
      </c>
      <c r="D307" s="16">
        <f t="shared" si="26"/>
        <v>3272</v>
      </c>
      <c r="E307" s="16">
        <f t="shared" si="27"/>
        <v>336</v>
      </c>
      <c r="F307" s="16">
        <f t="shared" si="28"/>
        <v>4</v>
      </c>
      <c r="G307" s="7">
        <v>1</v>
      </c>
      <c r="H307" s="7">
        <v>81676</v>
      </c>
      <c r="I307" s="7" t="s">
        <v>104</v>
      </c>
      <c r="J307" s="7">
        <v>51563209</v>
      </c>
      <c r="K307" s="7" t="s">
        <v>2517</v>
      </c>
      <c r="L307" s="7" t="s">
        <v>2698</v>
      </c>
      <c r="M307" s="9">
        <v>139900</v>
      </c>
      <c r="N307" s="14" t="s">
        <v>618</v>
      </c>
      <c r="O307" s="14" t="str">
        <f t="shared" si="25"/>
        <v>B1G2</v>
      </c>
      <c r="P307" s="14" t="s">
        <v>618</v>
      </c>
    </row>
    <row r="308" spans="1:16" x14ac:dyDescent="0.25">
      <c r="A308" s="7" t="str">
        <f t="shared" si="19"/>
        <v>2025 JAN-APR B1G2</v>
      </c>
      <c r="B308" s="8">
        <f t="shared" si="20"/>
        <v>46099</v>
      </c>
      <c r="C308" s="8">
        <f t="shared" si="21"/>
        <v>46113</v>
      </c>
      <c r="D308" s="16">
        <f t="shared" si="26"/>
        <v>3272</v>
      </c>
      <c r="E308" s="16">
        <f t="shared" si="27"/>
        <v>336</v>
      </c>
      <c r="F308" s="16">
        <f t="shared" si="28"/>
        <v>4</v>
      </c>
      <c r="G308" s="7">
        <v>1</v>
      </c>
      <c r="H308" s="7">
        <v>81676</v>
      </c>
      <c r="I308" s="7" t="s">
        <v>104</v>
      </c>
      <c r="J308" s="7">
        <v>51563218</v>
      </c>
      <c r="K308" s="7" t="s">
        <v>2517</v>
      </c>
      <c r="L308" s="7" t="s">
        <v>2699</v>
      </c>
      <c r="M308" s="9">
        <v>149900</v>
      </c>
      <c r="N308" s="14" t="s">
        <v>618</v>
      </c>
      <c r="O308" s="14" t="str">
        <f t="shared" si="25"/>
        <v>B1G2</v>
      </c>
      <c r="P308" s="14" t="s">
        <v>618</v>
      </c>
    </row>
    <row r="309" spans="1:16" x14ac:dyDescent="0.25">
      <c r="A309" s="7" t="str">
        <f t="shared" si="19"/>
        <v>2025 JAN-APR B1G2</v>
      </c>
      <c r="B309" s="8">
        <f t="shared" si="20"/>
        <v>46099</v>
      </c>
      <c r="C309" s="8">
        <f t="shared" si="21"/>
        <v>46113</v>
      </c>
      <c r="D309" s="16">
        <f t="shared" si="26"/>
        <v>3272</v>
      </c>
      <c r="E309" s="16">
        <f t="shared" si="27"/>
        <v>336</v>
      </c>
      <c r="F309" s="16">
        <f t="shared" si="28"/>
        <v>4</v>
      </c>
      <c r="G309" s="7">
        <v>1</v>
      </c>
      <c r="H309" s="7">
        <v>81676</v>
      </c>
      <c r="I309" s="7" t="s">
        <v>104</v>
      </c>
      <c r="J309" s="7">
        <v>51563227</v>
      </c>
      <c r="K309" s="7" t="s">
        <v>2517</v>
      </c>
      <c r="L309" s="7" t="s">
        <v>2700</v>
      </c>
      <c r="M309" s="9">
        <v>149900</v>
      </c>
      <c r="N309" s="14" t="s">
        <v>618</v>
      </c>
      <c r="O309" s="14" t="str">
        <f t="shared" si="25"/>
        <v>B1G2</v>
      </c>
      <c r="P309" s="14" t="s">
        <v>618</v>
      </c>
    </row>
    <row r="310" spans="1:16" x14ac:dyDescent="0.25">
      <c r="A310" s="7" t="str">
        <f t="shared" si="19"/>
        <v>2025 JAN-APR B1G2</v>
      </c>
      <c r="B310" s="8">
        <f t="shared" si="20"/>
        <v>46099</v>
      </c>
      <c r="C310" s="8">
        <f t="shared" si="21"/>
        <v>46113</v>
      </c>
      <c r="D310" s="7">
        <v>3272</v>
      </c>
      <c r="E310" s="7">
        <v>336</v>
      </c>
      <c r="F310" s="7">
        <v>4</v>
      </c>
      <c r="G310" s="7">
        <v>1</v>
      </c>
      <c r="H310" s="7">
        <v>81588</v>
      </c>
      <c r="I310" s="7" t="s">
        <v>104</v>
      </c>
      <c r="J310" s="7">
        <v>45644973</v>
      </c>
      <c r="K310" s="7" t="s">
        <v>2744</v>
      </c>
      <c r="L310" s="7" t="s">
        <v>2771</v>
      </c>
      <c r="M310" s="9">
        <v>149900</v>
      </c>
      <c r="N310" s="14" t="s">
        <v>618</v>
      </c>
      <c r="O310" s="14" t="str">
        <f t="shared" si="25"/>
        <v>B1G2</v>
      </c>
      <c r="P310" s="14" t="str">
        <f t="shared" ref="P310:P341" si="29">P309</f>
        <v>BXGY</v>
      </c>
    </row>
    <row r="311" spans="1:16" x14ac:dyDescent="0.25">
      <c r="A311" s="7" t="str">
        <f t="shared" si="19"/>
        <v>2025 JAN-APR B1G2</v>
      </c>
      <c r="B311" s="8">
        <f t="shared" si="20"/>
        <v>46099</v>
      </c>
      <c r="C311" s="8">
        <f t="shared" si="21"/>
        <v>46113</v>
      </c>
      <c r="D311" s="7">
        <v>3272</v>
      </c>
      <c r="E311" s="7">
        <v>336</v>
      </c>
      <c r="F311" s="7">
        <v>4</v>
      </c>
      <c r="G311" s="7">
        <v>1</v>
      </c>
      <c r="H311" s="7">
        <v>81588</v>
      </c>
      <c r="I311" s="7" t="s">
        <v>104</v>
      </c>
      <c r="J311" s="7">
        <v>45644982</v>
      </c>
      <c r="K311" s="7" t="s">
        <v>2744</v>
      </c>
      <c r="L311" s="7" t="s">
        <v>2772</v>
      </c>
      <c r="M311" s="9">
        <v>149900</v>
      </c>
      <c r="N311" s="14" t="s">
        <v>618</v>
      </c>
      <c r="O311" s="14" t="str">
        <f t="shared" si="25"/>
        <v>B1G2</v>
      </c>
      <c r="P311" s="14" t="str">
        <f t="shared" si="29"/>
        <v>BXGY</v>
      </c>
    </row>
    <row r="312" spans="1:16" x14ac:dyDescent="0.25">
      <c r="A312" s="7" t="str">
        <f t="shared" si="19"/>
        <v>2025 JAN-APR B1G2</v>
      </c>
      <c r="B312" s="8">
        <f t="shared" si="20"/>
        <v>46099</v>
      </c>
      <c r="C312" s="8">
        <f t="shared" si="21"/>
        <v>46113</v>
      </c>
      <c r="D312" s="7">
        <v>3272</v>
      </c>
      <c r="E312" s="7">
        <v>336</v>
      </c>
      <c r="F312" s="7">
        <v>4</v>
      </c>
      <c r="G312" s="7">
        <v>1</v>
      </c>
      <c r="H312" s="7">
        <v>81588</v>
      </c>
      <c r="I312" s="7" t="s">
        <v>104</v>
      </c>
      <c r="J312" s="7">
        <v>45644991</v>
      </c>
      <c r="K312" s="7" t="s">
        <v>2744</v>
      </c>
      <c r="L312" s="7" t="s">
        <v>2773</v>
      </c>
      <c r="M312" s="9">
        <v>149900</v>
      </c>
      <c r="N312" s="14" t="s">
        <v>618</v>
      </c>
      <c r="O312" s="14" t="str">
        <f t="shared" si="25"/>
        <v>B1G2</v>
      </c>
      <c r="P312" s="14" t="str">
        <f t="shared" si="29"/>
        <v>BXGY</v>
      </c>
    </row>
    <row r="313" spans="1:16" x14ac:dyDescent="0.25">
      <c r="A313" s="7" t="str">
        <f t="shared" si="19"/>
        <v>2025 JAN-APR B1G2</v>
      </c>
      <c r="B313" s="8">
        <f t="shared" si="20"/>
        <v>46099</v>
      </c>
      <c r="C313" s="8">
        <f t="shared" si="21"/>
        <v>46113</v>
      </c>
      <c r="D313" s="7">
        <v>3272</v>
      </c>
      <c r="E313" s="7">
        <v>336</v>
      </c>
      <c r="F313" s="7">
        <v>4</v>
      </c>
      <c r="G313" s="7">
        <v>1</v>
      </c>
      <c r="H313" s="7">
        <v>81588</v>
      </c>
      <c r="I313" s="7" t="s">
        <v>104</v>
      </c>
      <c r="J313" s="7">
        <v>45645007</v>
      </c>
      <c r="K313" s="7" t="s">
        <v>2744</v>
      </c>
      <c r="L313" s="7" t="s">
        <v>2774</v>
      </c>
      <c r="M313" s="9">
        <v>149900</v>
      </c>
      <c r="N313" s="14" t="s">
        <v>618</v>
      </c>
      <c r="O313" s="14" t="str">
        <f t="shared" si="25"/>
        <v>B1G2</v>
      </c>
      <c r="P313" s="14" t="str">
        <f t="shared" si="29"/>
        <v>BXGY</v>
      </c>
    </row>
    <row r="314" spans="1:16" x14ac:dyDescent="0.25">
      <c r="A314" s="7" t="str">
        <f t="shared" si="19"/>
        <v>2025 JAN-APR B1G2</v>
      </c>
      <c r="B314" s="8">
        <f t="shared" si="20"/>
        <v>46099</v>
      </c>
      <c r="C314" s="8">
        <f t="shared" si="21"/>
        <v>46113</v>
      </c>
      <c r="D314" s="7">
        <v>3272</v>
      </c>
      <c r="E314" s="7">
        <v>336</v>
      </c>
      <c r="F314" s="7">
        <v>4</v>
      </c>
      <c r="G314" s="7">
        <v>1</v>
      </c>
      <c r="H314" s="7">
        <v>81588</v>
      </c>
      <c r="I314" s="7" t="s">
        <v>104</v>
      </c>
      <c r="J314" s="7">
        <v>45645016</v>
      </c>
      <c r="K314" s="7" t="s">
        <v>2744</v>
      </c>
      <c r="L314" s="7" t="s">
        <v>2775</v>
      </c>
      <c r="M314" s="9">
        <v>149900</v>
      </c>
      <c r="N314" s="14" t="s">
        <v>618</v>
      </c>
      <c r="O314" s="14" t="str">
        <f t="shared" si="25"/>
        <v>B1G2</v>
      </c>
      <c r="P314" s="14" t="str">
        <f t="shared" si="29"/>
        <v>BXGY</v>
      </c>
    </row>
    <row r="315" spans="1:16" x14ac:dyDescent="0.25">
      <c r="A315" s="7" t="str">
        <f t="shared" si="19"/>
        <v>2025 JAN-APR B1G2</v>
      </c>
      <c r="B315" s="8">
        <f t="shared" si="20"/>
        <v>46099</v>
      </c>
      <c r="C315" s="8">
        <f t="shared" si="21"/>
        <v>46113</v>
      </c>
      <c r="D315" s="7">
        <v>3272</v>
      </c>
      <c r="E315" s="7">
        <v>336</v>
      </c>
      <c r="F315" s="7">
        <v>4</v>
      </c>
      <c r="G315" s="7">
        <v>1</v>
      </c>
      <c r="H315" s="7">
        <v>81588</v>
      </c>
      <c r="I315" s="7" t="s">
        <v>104</v>
      </c>
      <c r="J315" s="7">
        <v>45645025</v>
      </c>
      <c r="K315" s="7" t="s">
        <v>2745</v>
      </c>
      <c r="L315" s="7" t="s">
        <v>2776</v>
      </c>
      <c r="M315" s="9">
        <v>149900</v>
      </c>
      <c r="N315" s="14" t="s">
        <v>618</v>
      </c>
      <c r="O315" s="14" t="str">
        <f t="shared" si="25"/>
        <v>B1G2</v>
      </c>
      <c r="P315" s="14" t="str">
        <f t="shared" si="29"/>
        <v>BXGY</v>
      </c>
    </row>
    <row r="316" spans="1:16" x14ac:dyDescent="0.25">
      <c r="A316" s="7" t="str">
        <f t="shared" si="19"/>
        <v>2025 JAN-APR B1G2</v>
      </c>
      <c r="B316" s="8">
        <f t="shared" si="20"/>
        <v>46099</v>
      </c>
      <c r="C316" s="8">
        <f t="shared" si="21"/>
        <v>46113</v>
      </c>
      <c r="D316" s="7">
        <v>3272</v>
      </c>
      <c r="E316" s="7">
        <v>336</v>
      </c>
      <c r="F316" s="7">
        <v>4</v>
      </c>
      <c r="G316" s="7">
        <v>1</v>
      </c>
      <c r="H316" s="7">
        <v>81588</v>
      </c>
      <c r="I316" s="7" t="s">
        <v>104</v>
      </c>
      <c r="J316" s="7">
        <v>45645034</v>
      </c>
      <c r="K316" s="7" t="s">
        <v>2745</v>
      </c>
      <c r="L316" s="7" t="s">
        <v>2777</v>
      </c>
      <c r="M316" s="9">
        <v>149900</v>
      </c>
      <c r="N316" s="14" t="s">
        <v>618</v>
      </c>
      <c r="O316" s="14" t="str">
        <f t="shared" si="25"/>
        <v>B1G2</v>
      </c>
      <c r="P316" s="14" t="str">
        <f t="shared" si="29"/>
        <v>BXGY</v>
      </c>
    </row>
    <row r="317" spans="1:16" x14ac:dyDescent="0.25">
      <c r="A317" s="7" t="str">
        <f t="shared" si="19"/>
        <v>2025 JAN-APR B1G2</v>
      </c>
      <c r="B317" s="8">
        <f t="shared" si="20"/>
        <v>46099</v>
      </c>
      <c r="C317" s="8">
        <f t="shared" si="21"/>
        <v>46113</v>
      </c>
      <c r="D317" s="7">
        <v>3272</v>
      </c>
      <c r="E317" s="7">
        <v>336</v>
      </c>
      <c r="F317" s="7">
        <v>4</v>
      </c>
      <c r="G317" s="7">
        <v>1</v>
      </c>
      <c r="H317" s="7">
        <v>81588</v>
      </c>
      <c r="I317" s="7" t="s">
        <v>104</v>
      </c>
      <c r="J317" s="7">
        <v>45645043</v>
      </c>
      <c r="K317" s="7" t="s">
        <v>2745</v>
      </c>
      <c r="L317" s="7" t="s">
        <v>2778</v>
      </c>
      <c r="M317" s="9">
        <v>149900</v>
      </c>
      <c r="N317" s="14" t="s">
        <v>618</v>
      </c>
      <c r="O317" s="14" t="str">
        <f t="shared" si="25"/>
        <v>B1G2</v>
      </c>
      <c r="P317" s="14" t="str">
        <f t="shared" si="29"/>
        <v>BXGY</v>
      </c>
    </row>
    <row r="318" spans="1:16" x14ac:dyDescent="0.25">
      <c r="A318" s="7" t="str">
        <f t="shared" si="19"/>
        <v>2025 JAN-APR B1G2</v>
      </c>
      <c r="B318" s="8">
        <f t="shared" si="20"/>
        <v>46099</v>
      </c>
      <c r="C318" s="8">
        <f t="shared" si="21"/>
        <v>46113</v>
      </c>
      <c r="D318" s="7">
        <v>3272</v>
      </c>
      <c r="E318" s="7">
        <v>336</v>
      </c>
      <c r="F318" s="7">
        <v>4</v>
      </c>
      <c r="G318" s="7">
        <v>1</v>
      </c>
      <c r="H318" s="7">
        <v>81588</v>
      </c>
      <c r="I318" s="7" t="s">
        <v>104</v>
      </c>
      <c r="J318" s="7">
        <v>45645052</v>
      </c>
      <c r="K318" s="7" t="s">
        <v>2745</v>
      </c>
      <c r="L318" s="7" t="s">
        <v>2779</v>
      </c>
      <c r="M318" s="9">
        <v>149900</v>
      </c>
      <c r="N318" s="14" t="s">
        <v>618</v>
      </c>
      <c r="O318" s="14" t="str">
        <f t="shared" si="25"/>
        <v>B1G2</v>
      </c>
      <c r="P318" s="14" t="str">
        <f t="shared" si="29"/>
        <v>BXGY</v>
      </c>
    </row>
    <row r="319" spans="1:16" x14ac:dyDescent="0.25">
      <c r="A319" s="7" t="str">
        <f t="shared" si="19"/>
        <v>2025 JAN-APR B1G2</v>
      </c>
      <c r="B319" s="8">
        <f t="shared" si="20"/>
        <v>46099</v>
      </c>
      <c r="C319" s="8">
        <f t="shared" si="21"/>
        <v>46113</v>
      </c>
      <c r="D319" s="7">
        <v>3272</v>
      </c>
      <c r="E319" s="7">
        <v>336</v>
      </c>
      <c r="F319" s="7">
        <v>4</v>
      </c>
      <c r="G319" s="7">
        <v>1</v>
      </c>
      <c r="H319" s="7">
        <v>81588</v>
      </c>
      <c r="I319" s="7" t="s">
        <v>104</v>
      </c>
      <c r="J319" s="7">
        <v>45645061</v>
      </c>
      <c r="K319" s="7" t="s">
        <v>2745</v>
      </c>
      <c r="L319" s="7" t="s">
        <v>2780</v>
      </c>
      <c r="M319" s="9">
        <v>149900</v>
      </c>
      <c r="N319" s="14" t="s">
        <v>618</v>
      </c>
      <c r="O319" s="14" t="str">
        <f t="shared" si="25"/>
        <v>B1G2</v>
      </c>
      <c r="P319" s="14" t="str">
        <f t="shared" si="29"/>
        <v>BXGY</v>
      </c>
    </row>
    <row r="320" spans="1:16" x14ac:dyDescent="0.25">
      <c r="A320" s="7" t="str">
        <f t="shared" si="19"/>
        <v>2025 JAN-APR B1G2</v>
      </c>
      <c r="B320" s="8">
        <f t="shared" si="20"/>
        <v>46099</v>
      </c>
      <c r="C320" s="8">
        <f t="shared" si="21"/>
        <v>46113</v>
      </c>
      <c r="D320" s="7">
        <v>3272</v>
      </c>
      <c r="E320" s="7">
        <v>336</v>
      </c>
      <c r="F320" s="7">
        <v>4</v>
      </c>
      <c r="G320" s="7">
        <v>1</v>
      </c>
      <c r="H320" s="7">
        <v>81588</v>
      </c>
      <c r="I320" s="7" t="s">
        <v>104</v>
      </c>
      <c r="J320" s="7">
        <v>45646122</v>
      </c>
      <c r="K320" s="7" t="s">
        <v>2716</v>
      </c>
      <c r="L320" s="7" t="s">
        <v>2728</v>
      </c>
      <c r="M320" s="9">
        <v>139900</v>
      </c>
      <c r="N320" s="14" t="s">
        <v>618</v>
      </c>
      <c r="O320" s="14" t="str">
        <f t="shared" si="25"/>
        <v>B1G2</v>
      </c>
      <c r="P320" s="14" t="str">
        <f t="shared" si="29"/>
        <v>BXGY</v>
      </c>
    </row>
    <row r="321" spans="1:16" x14ac:dyDescent="0.25">
      <c r="A321" s="7" t="str">
        <f t="shared" si="19"/>
        <v>2025 JAN-APR B1G2</v>
      </c>
      <c r="B321" s="8">
        <f t="shared" si="20"/>
        <v>46099</v>
      </c>
      <c r="C321" s="8">
        <f t="shared" si="21"/>
        <v>46113</v>
      </c>
      <c r="D321" s="7">
        <v>3272</v>
      </c>
      <c r="E321" s="7">
        <v>336</v>
      </c>
      <c r="F321" s="7">
        <v>4</v>
      </c>
      <c r="G321" s="7">
        <v>1</v>
      </c>
      <c r="H321" s="7">
        <v>81588</v>
      </c>
      <c r="I321" s="7" t="s">
        <v>104</v>
      </c>
      <c r="J321" s="7">
        <v>45646131</v>
      </c>
      <c r="K321" s="7" t="s">
        <v>2716</v>
      </c>
      <c r="L321" s="7" t="s">
        <v>2729</v>
      </c>
      <c r="M321" s="9">
        <v>139900</v>
      </c>
      <c r="N321" s="14" t="s">
        <v>618</v>
      </c>
      <c r="O321" s="14" t="str">
        <f t="shared" si="25"/>
        <v>B1G2</v>
      </c>
      <c r="P321" s="14" t="str">
        <f t="shared" si="29"/>
        <v>BXGY</v>
      </c>
    </row>
    <row r="322" spans="1:16" x14ac:dyDescent="0.25">
      <c r="A322" s="7" t="str">
        <f t="shared" si="19"/>
        <v>2025 JAN-APR B1G2</v>
      </c>
      <c r="B322" s="8">
        <f t="shared" si="20"/>
        <v>46099</v>
      </c>
      <c r="C322" s="8">
        <f t="shared" si="21"/>
        <v>46113</v>
      </c>
      <c r="D322" s="7">
        <v>3272</v>
      </c>
      <c r="E322" s="7">
        <v>336</v>
      </c>
      <c r="F322" s="7">
        <v>4</v>
      </c>
      <c r="G322" s="7">
        <v>1</v>
      </c>
      <c r="H322" s="7">
        <v>81588</v>
      </c>
      <c r="I322" s="7" t="s">
        <v>104</v>
      </c>
      <c r="J322" s="7">
        <v>45646140</v>
      </c>
      <c r="K322" s="7" t="s">
        <v>2716</v>
      </c>
      <c r="L322" s="7" t="s">
        <v>2730</v>
      </c>
      <c r="M322" s="9">
        <v>139900</v>
      </c>
      <c r="N322" s="14" t="s">
        <v>618</v>
      </c>
      <c r="O322" s="14" t="str">
        <f t="shared" si="25"/>
        <v>B1G2</v>
      </c>
      <c r="P322" s="14" t="str">
        <f t="shared" si="29"/>
        <v>BXGY</v>
      </c>
    </row>
    <row r="323" spans="1:16" x14ac:dyDescent="0.25">
      <c r="A323" s="7" t="str">
        <f t="shared" ref="A323:A386" si="30">A322</f>
        <v>2025 JAN-APR B1G2</v>
      </c>
      <c r="B323" s="8">
        <f t="shared" ref="B323:B386" si="31">B322</f>
        <v>46099</v>
      </c>
      <c r="C323" s="8">
        <f t="shared" ref="C323:C386" si="32">C322</f>
        <v>46113</v>
      </c>
      <c r="D323" s="7">
        <v>3272</v>
      </c>
      <c r="E323" s="7">
        <v>336</v>
      </c>
      <c r="F323" s="7">
        <v>4</v>
      </c>
      <c r="G323" s="7">
        <v>1</v>
      </c>
      <c r="H323" s="7">
        <v>81588</v>
      </c>
      <c r="I323" s="7" t="s">
        <v>104</v>
      </c>
      <c r="J323" s="7">
        <v>45646159</v>
      </c>
      <c r="K323" s="7" t="s">
        <v>2716</v>
      </c>
      <c r="L323" s="7" t="s">
        <v>2731</v>
      </c>
      <c r="M323" s="9">
        <v>139900</v>
      </c>
      <c r="N323" s="14" t="s">
        <v>618</v>
      </c>
      <c r="O323" s="14" t="str">
        <f t="shared" ref="O323:O386" si="33">O322</f>
        <v>B1G2</v>
      </c>
      <c r="P323" s="14" t="str">
        <f t="shared" si="29"/>
        <v>BXGY</v>
      </c>
    </row>
    <row r="324" spans="1:16" x14ac:dyDescent="0.25">
      <c r="A324" s="7" t="str">
        <f t="shared" si="30"/>
        <v>2025 JAN-APR B1G2</v>
      </c>
      <c r="B324" s="8">
        <f t="shared" si="31"/>
        <v>46099</v>
      </c>
      <c r="C324" s="8">
        <f t="shared" si="32"/>
        <v>46113</v>
      </c>
      <c r="D324" s="7">
        <v>3272</v>
      </c>
      <c r="E324" s="7">
        <v>336</v>
      </c>
      <c r="F324" s="7">
        <v>4</v>
      </c>
      <c r="G324" s="7">
        <v>1</v>
      </c>
      <c r="H324" s="7">
        <v>81588</v>
      </c>
      <c r="I324" s="7" t="s">
        <v>104</v>
      </c>
      <c r="J324" s="7">
        <v>45646168</v>
      </c>
      <c r="K324" s="7" t="s">
        <v>2716</v>
      </c>
      <c r="L324" s="7" t="s">
        <v>2732</v>
      </c>
      <c r="M324" s="9">
        <v>139900</v>
      </c>
      <c r="N324" s="14" t="s">
        <v>618</v>
      </c>
      <c r="O324" s="14" t="str">
        <f t="shared" si="33"/>
        <v>B1G2</v>
      </c>
      <c r="P324" s="14" t="str">
        <f t="shared" si="29"/>
        <v>BXGY</v>
      </c>
    </row>
    <row r="325" spans="1:16" x14ac:dyDescent="0.25">
      <c r="A325" s="7" t="str">
        <f t="shared" si="30"/>
        <v>2025 JAN-APR B1G2</v>
      </c>
      <c r="B325" s="8">
        <f t="shared" si="31"/>
        <v>46099</v>
      </c>
      <c r="C325" s="8">
        <f t="shared" si="32"/>
        <v>46113</v>
      </c>
      <c r="D325" s="7">
        <v>3272</v>
      </c>
      <c r="E325" s="7">
        <v>336</v>
      </c>
      <c r="F325" s="7">
        <v>4</v>
      </c>
      <c r="G325" s="7">
        <v>1</v>
      </c>
      <c r="H325" s="7">
        <v>81676</v>
      </c>
      <c r="I325" s="7" t="s">
        <v>104</v>
      </c>
      <c r="J325" s="7">
        <v>51503167</v>
      </c>
      <c r="K325" s="7" t="s">
        <v>2749</v>
      </c>
      <c r="L325" s="7" t="s">
        <v>2802</v>
      </c>
      <c r="M325" s="9">
        <v>149900</v>
      </c>
      <c r="N325" s="14" t="s">
        <v>618</v>
      </c>
      <c r="O325" s="14" t="str">
        <f t="shared" si="33"/>
        <v>B1G2</v>
      </c>
      <c r="P325" s="14" t="str">
        <f t="shared" si="29"/>
        <v>BXGY</v>
      </c>
    </row>
    <row r="326" spans="1:16" x14ac:dyDescent="0.25">
      <c r="A326" s="7" t="str">
        <f t="shared" si="30"/>
        <v>2025 JAN-APR B1G2</v>
      </c>
      <c r="B326" s="8">
        <f t="shared" si="31"/>
        <v>46099</v>
      </c>
      <c r="C326" s="8">
        <f t="shared" si="32"/>
        <v>46113</v>
      </c>
      <c r="D326" s="7">
        <v>3272</v>
      </c>
      <c r="E326" s="7">
        <v>336</v>
      </c>
      <c r="F326" s="7">
        <v>4</v>
      </c>
      <c r="G326" s="7">
        <v>1</v>
      </c>
      <c r="H326" s="7">
        <v>81676</v>
      </c>
      <c r="I326" s="7" t="s">
        <v>104</v>
      </c>
      <c r="J326" s="7">
        <v>51503176</v>
      </c>
      <c r="K326" s="7" t="s">
        <v>2749</v>
      </c>
      <c r="L326" s="7" t="s">
        <v>2803</v>
      </c>
      <c r="M326" s="9">
        <v>149900</v>
      </c>
      <c r="N326" s="14" t="s">
        <v>618</v>
      </c>
      <c r="O326" s="14" t="str">
        <f t="shared" si="33"/>
        <v>B1G2</v>
      </c>
      <c r="P326" s="14" t="str">
        <f t="shared" si="29"/>
        <v>BXGY</v>
      </c>
    </row>
    <row r="327" spans="1:16" x14ac:dyDescent="0.25">
      <c r="A327" s="7" t="str">
        <f t="shared" si="30"/>
        <v>2025 JAN-APR B1G2</v>
      </c>
      <c r="B327" s="8">
        <f t="shared" si="31"/>
        <v>46099</v>
      </c>
      <c r="C327" s="8">
        <f t="shared" si="32"/>
        <v>46113</v>
      </c>
      <c r="D327" s="7">
        <v>3272</v>
      </c>
      <c r="E327" s="7">
        <v>336</v>
      </c>
      <c r="F327" s="7">
        <v>4</v>
      </c>
      <c r="G327" s="7">
        <v>1</v>
      </c>
      <c r="H327" s="7">
        <v>81676</v>
      </c>
      <c r="I327" s="7" t="s">
        <v>104</v>
      </c>
      <c r="J327" s="7">
        <v>51503185</v>
      </c>
      <c r="K327" s="7" t="s">
        <v>2749</v>
      </c>
      <c r="L327" s="7" t="s">
        <v>2804</v>
      </c>
      <c r="M327" s="9">
        <v>149900</v>
      </c>
      <c r="N327" s="14" t="s">
        <v>618</v>
      </c>
      <c r="O327" s="14" t="str">
        <f t="shared" si="33"/>
        <v>B1G2</v>
      </c>
      <c r="P327" s="14" t="str">
        <f t="shared" si="29"/>
        <v>BXGY</v>
      </c>
    </row>
    <row r="328" spans="1:16" x14ac:dyDescent="0.25">
      <c r="A328" s="7" t="str">
        <f t="shared" si="30"/>
        <v>2025 JAN-APR B1G2</v>
      </c>
      <c r="B328" s="8">
        <f t="shared" si="31"/>
        <v>46099</v>
      </c>
      <c r="C328" s="8">
        <f t="shared" si="32"/>
        <v>46113</v>
      </c>
      <c r="D328" s="7">
        <v>3272</v>
      </c>
      <c r="E328" s="7">
        <v>336</v>
      </c>
      <c r="F328" s="7">
        <v>4</v>
      </c>
      <c r="G328" s="7">
        <v>1</v>
      </c>
      <c r="H328" s="7">
        <v>81676</v>
      </c>
      <c r="I328" s="7" t="s">
        <v>104</v>
      </c>
      <c r="J328" s="7">
        <v>51503194</v>
      </c>
      <c r="K328" s="7" t="s">
        <v>2749</v>
      </c>
      <c r="L328" s="7" t="s">
        <v>2805</v>
      </c>
      <c r="M328" s="9">
        <v>149900</v>
      </c>
      <c r="N328" s="14" t="s">
        <v>618</v>
      </c>
      <c r="O328" s="14" t="str">
        <f t="shared" si="33"/>
        <v>B1G2</v>
      </c>
      <c r="P328" s="14" t="str">
        <f t="shared" si="29"/>
        <v>BXGY</v>
      </c>
    </row>
    <row r="329" spans="1:16" x14ac:dyDescent="0.25">
      <c r="A329" s="7" t="str">
        <f t="shared" si="30"/>
        <v>2025 JAN-APR B1G2</v>
      </c>
      <c r="B329" s="8">
        <f t="shared" si="31"/>
        <v>46099</v>
      </c>
      <c r="C329" s="8">
        <f t="shared" si="32"/>
        <v>46113</v>
      </c>
      <c r="D329" s="7">
        <v>3272</v>
      </c>
      <c r="E329" s="7">
        <v>336</v>
      </c>
      <c r="F329" s="7">
        <v>4</v>
      </c>
      <c r="G329" s="7">
        <v>1</v>
      </c>
      <c r="H329" s="7">
        <v>81676</v>
      </c>
      <c r="I329" s="7" t="s">
        <v>104</v>
      </c>
      <c r="J329" s="7">
        <v>51503201</v>
      </c>
      <c r="K329" s="7" t="s">
        <v>2749</v>
      </c>
      <c r="L329" s="7" t="s">
        <v>2806</v>
      </c>
      <c r="M329" s="9">
        <v>149900</v>
      </c>
      <c r="N329" s="14" t="s">
        <v>618</v>
      </c>
      <c r="O329" s="14" t="str">
        <f t="shared" si="33"/>
        <v>B1G2</v>
      </c>
      <c r="P329" s="14" t="str">
        <f t="shared" si="29"/>
        <v>BXGY</v>
      </c>
    </row>
    <row r="330" spans="1:16" x14ac:dyDescent="0.25">
      <c r="A330" s="7" t="str">
        <f t="shared" si="30"/>
        <v>2025 JAN-APR B1G2</v>
      </c>
      <c r="B330" s="8">
        <f t="shared" si="31"/>
        <v>46099</v>
      </c>
      <c r="C330" s="8">
        <f t="shared" si="32"/>
        <v>46113</v>
      </c>
      <c r="D330" s="7">
        <v>3272</v>
      </c>
      <c r="E330" s="7">
        <v>336</v>
      </c>
      <c r="F330" s="7">
        <v>4</v>
      </c>
      <c r="G330" s="7">
        <v>1</v>
      </c>
      <c r="H330" s="7">
        <v>81676</v>
      </c>
      <c r="I330" s="7" t="s">
        <v>104</v>
      </c>
      <c r="J330" s="7">
        <v>51503845</v>
      </c>
      <c r="K330" s="7" t="s">
        <v>2752</v>
      </c>
      <c r="L330" s="7" t="s">
        <v>2817</v>
      </c>
      <c r="M330" s="9">
        <v>149900</v>
      </c>
      <c r="N330" s="14" t="s">
        <v>618</v>
      </c>
      <c r="O330" s="14" t="str">
        <f t="shared" si="33"/>
        <v>B1G2</v>
      </c>
      <c r="P330" s="14" t="str">
        <f t="shared" si="29"/>
        <v>BXGY</v>
      </c>
    </row>
    <row r="331" spans="1:16" x14ac:dyDescent="0.25">
      <c r="A331" s="7" t="str">
        <f t="shared" si="30"/>
        <v>2025 JAN-APR B1G2</v>
      </c>
      <c r="B331" s="8">
        <f t="shared" si="31"/>
        <v>46099</v>
      </c>
      <c r="C331" s="8">
        <f t="shared" si="32"/>
        <v>46113</v>
      </c>
      <c r="D331" s="7">
        <v>3272</v>
      </c>
      <c r="E331" s="7">
        <v>336</v>
      </c>
      <c r="F331" s="7">
        <v>4</v>
      </c>
      <c r="G331" s="7">
        <v>1</v>
      </c>
      <c r="H331" s="7">
        <v>81676</v>
      </c>
      <c r="I331" s="7" t="s">
        <v>104</v>
      </c>
      <c r="J331" s="7">
        <v>51503854</v>
      </c>
      <c r="K331" s="7" t="s">
        <v>2752</v>
      </c>
      <c r="L331" s="7" t="s">
        <v>2818</v>
      </c>
      <c r="M331" s="9">
        <v>149900</v>
      </c>
      <c r="N331" s="14" t="s">
        <v>618</v>
      </c>
      <c r="O331" s="14" t="str">
        <f t="shared" si="33"/>
        <v>B1G2</v>
      </c>
      <c r="P331" s="14" t="str">
        <f t="shared" si="29"/>
        <v>BXGY</v>
      </c>
    </row>
    <row r="332" spans="1:16" x14ac:dyDescent="0.25">
      <c r="A332" s="7" t="str">
        <f t="shared" si="30"/>
        <v>2025 JAN-APR B1G2</v>
      </c>
      <c r="B332" s="8">
        <f t="shared" si="31"/>
        <v>46099</v>
      </c>
      <c r="C332" s="8">
        <f t="shared" si="32"/>
        <v>46113</v>
      </c>
      <c r="D332" s="7">
        <v>3272</v>
      </c>
      <c r="E332" s="7">
        <v>336</v>
      </c>
      <c r="F332" s="7">
        <v>4</v>
      </c>
      <c r="G332" s="7">
        <v>1</v>
      </c>
      <c r="H332" s="7">
        <v>81676</v>
      </c>
      <c r="I332" s="7" t="s">
        <v>104</v>
      </c>
      <c r="J332" s="7">
        <v>51503863</v>
      </c>
      <c r="K332" s="7" t="s">
        <v>2752</v>
      </c>
      <c r="L332" s="7" t="s">
        <v>2819</v>
      </c>
      <c r="M332" s="9">
        <v>149900</v>
      </c>
      <c r="N332" s="14" t="s">
        <v>618</v>
      </c>
      <c r="O332" s="14" t="str">
        <f t="shared" si="33"/>
        <v>B1G2</v>
      </c>
      <c r="P332" s="14" t="str">
        <f t="shared" si="29"/>
        <v>BXGY</v>
      </c>
    </row>
    <row r="333" spans="1:16" x14ac:dyDescent="0.25">
      <c r="A333" s="7" t="str">
        <f t="shared" si="30"/>
        <v>2025 JAN-APR B1G2</v>
      </c>
      <c r="B333" s="8">
        <f t="shared" si="31"/>
        <v>46099</v>
      </c>
      <c r="C333" s="8">
        <f t="shared" si="32"/>
        <v>46113</v>
      </c>
      <c r="D333" s="7">
        <v>3272</v>
      </c>
      <c r="E333" s="7">
        <v>336</v>
      </c>
      <c r="F333" s="7">
        <v>4</v>
      </c>
      <c r="G333" s="7">
        <v>1</v>
      </c>
      <c r="H333" s="7">
        <v>81676</v>
      </c>
      <c r="I333" s="7" t="s">
        <v>104</v>
      </c>
      <c r="J333" s="7">
        <v>51503872</v>
      </c>
      <c r="K333" s="7" t="s">
        <v>2752</v>
      </c>
      <c r="L333" s="7" t="s">
        <v>2820</v>
      </c>
      <c r="M333" s="9">
        <v>149900</v>
      </c>
      <c r="N333" s="14" t="s">
        <v>618</v>
      </c>
      <c r="O333" s="14" t="str">
        <f t="shared" si="33"/>
        <v>B1G2</v>
      </c>
      <c r="P333" s="14" t="str">
        <f t="shared" si="29"/>
        <v>BXGY</v>
      </c>
    </row>
    <row r="334" spans="1:16" x14ac:dyDescent="0.25">
      <c r="A334" s="7" t="str">
        <f t="shared" si="30"/>
        <v>2025 JAN-APR B1G2</v>
      </c>
      <c r="B334" s="8">
        <f t="shared" si="31"/>
        <v>46099</v>
      </c>
      <c r="C334" s="8">
        <f t="shared" si="32"/>
        <v>46113</v>
      </c>
      <c r="D334" s="7">
        <v>3272</v>
      </c>
      <c r="E334" s="7">
        <v>336</v>
      </c>
      <c r="F334" s="7">
        <v>4</v>
      </c>
      <c r="G334" s="7">
        <v>1</v>
      </c>
      <c r="H334" s="7">
        <v>81676</v>
      </c>
      <c r="I334" s="7" t="s">
        <v>104</v>
      </c>
      <c r="J334" s="7">
        <v>51503881</v>
      </c>
      <c r="K334" s="7" t="s">
        <v>2752</v>
      </c>
      <c r="L334" s="7" t="s">
        <v>2821</v>
      </c>
      <c r="M334" s="9">
        <v>149900</v>
      </c>
      <c r="N334" s="14" t="s">
        <v>618</v>
      </c>
      <c r="O334" s="14" t="str">
        <f t="shared" si="33"/>
        <v>B1G2</v>
      </c>
      <c r="P334" s="14" t="str">
        <f t="shared" si="29"/>
        <v>BXGY</v>
      </c>
    </row>
    <row r="335" spans="1:16" x14ac:dyDescent="0.25">
      <c r="A335" s="7" t="str">
        <f t="shared" si="30"/>
        <v>2025 JAN-APR B1G2</v>
      </c>
      <c r="B335" s="8">
        <f t="shared" si="31"/>
        <v>46099</v>
      </c>
      <c r="C335" s="8">
        <f t="shared" si="32"/>
        <v>46113</v>
      </c>
      <c r="D335" s="7">
        <v>3272</v>
      </c>
      <c r="E335" s="7">
        <v>336</v>
      </c>
      <c r="F335" s="7">
        <v>4</v>
      </c>
      <c r="G335" s="7">
        <v>1</v>
      </c>
      <c r="H335" s="7">
        <v>81676</v>
      </c>
      <c r="I335" s="7" t="s">
        <v>104</v>
      </c>
      <c r="J335" s="7">
        <v>51503943</v>
      </c>
      <c r="K335" s="7" t="s">
        <v>2753</v>
      </c>
      <c r="L335" s="7" t="s">
        <v>2822</v>
      </c>
      <c r="M335" s="9">
        <v>139900</v>
      </c>
      <c r="N335" s="14" t="s">
        <v>618</v>
      </c>
      <c r="O335" s="14" t="str">
        <f t="shared" si="33"/>
        <v>B1G2</v>
      </c>
      <c r="P335" s="14" t="str">
        <f t="shared" si="29"/>
        <v>BXGY</v>
      </c>
    </row>
    <row r="336" spans="1:16" x14ac:dyDescent="0.25">
      <c r="A336" s="7" t="str">
        <f t="shared" si="30"/>
        <v>2025 JAN-APR B1G2</v>
      </c>
      <c r="B336" s="8">
        <f t="shared" si="31"/>
        <v>46099</v>
      </c>
      <c r="C336" s="8">
        <f t="shared" si="32"/>
        <v>46113</v>
      </c>
      <c r="D336" s="7">
        <v>3272</v>
      </c>
      <c r="E336" s="7">
        <v>336</v>
      </c>
      <c r="F336" s="7">
        <v>4</v>
      </c>
      <c r="G336" s="7">
        <v>1</v>
      </c>
      <c r="H336" s="7">
        <v>81676</v>
      </c>
      <c r="I336" s="7" t="s">
        <v>104</v>
      </c>
      <c r="J336" s="7">
        <v>51503952</v>
      </c>
      <c r="K336" s="7" t="s">
        <v>2753</v>
      </c>
      <c r="L336" s="7" t="s">
        <v>2823</v>
      </c>
      <c r="M336" s="9">
        <v>139900</v>
      </c>
      <c r="N336" s="14" t="s">
        <v>618</v>
      </c>
      <c r="O336" s="14" t="str">
        <f t="shared" si="33"/>
        <v>B1G2</v>
      </c>
      <c r="P336" s="14" t="str">
        <f t="shared" si="29"/>
        <v>BXGY</v>
      </c>
    </row>
    <row r="337" spans="1:16" x14ac:dyDescent="0.25">
      <c r="A337" s="7" t="str">
        <f t="shared" si="30"/>
        <v>2025 JAN-APR B1G2</v>
      </c>
      <c r="B337" s="8">
        <f t="shared" si="31"/>
        <v>46099</v>
      </c>
      <c r="C337" s="8">
        <f t="shared" si="32"/>
        <v>46113</v>
      </c>
      <c r="D337" s="7">
        <v>3272</v>
      </c>
      <c r="E337" s="7">
        <v>336</v>
      </c>
      <c r="F337" s="7">
        <v>4</v>
      </c>
      <c r="G337" s="7">
        <v>1</v>
      </c>
      <c r="H337" s="7">
        <v>81676</v>
      </c>
      <c r="I337" s="7" t="s">
        <v>104</v>
      </c>
      <c r="J337" s="7">
        <v>51503961</v>
      </c>
      <c r="K337" s="7" t="s">
        <v>2753</v>
      </c>
      <c r="L337" s="7" t="s">
        <v>2824</v>
      </c>
      <c r="M337" s="9">
        <v>139900</v>
      </c>
      <c r="N337" s="14" t="s">
        <v>618</v>
      </c>
      <c r="O337" s="14" t="str">
        <f t="shared" si="33"/>
        <v>B1G2</v>
      </c>
      <c r="P337" s="14" t="str">
        <f t="shared" si="29"/>
        <v>BXGY</v>
      </c>
    </row>
    <row r="338" spans="1:16" x14ac:dyDescent="0.25">
      <c r="A338" s="7" t="str">
        <f t="shared" si="30"/>
        <v>2025 JAN-APR B1G2</v>
      </c>
      <c r="B338" s="8">
        <f t="shared" si="31"/>
        <v>46099</v>
      </c>
      <c r="C338" s="8">
        <f t="shared" si="32"/>
        <v>46113</v>
      </c>
      <c r="D338" s="7">
        <v>3272</v>
      </c>
      <c r="E338" s="7">
        <v>336</v>
      </c>
      <c r="F338" s="7">
        <v>4</v>
      </c>
      <c r="G338" s="7">
        <v>1</v>
      </c>
      <c r="H338" s="7">
        <v>81676</v>
      </c>
      <c r="I338" s="7" t="s">
        <v>104</v>
      </c>
      <c r="J338" s="7">
        <v>51503970</v>
      </c>
      <c r="K338" s="7" t="s">
        <v>2753</v>
      </c>
      <c r="L338" s="7" t="s">
        <v>2825</v>
      </c>
      <c r="M338" s="9">
        <v>139900</v>
      </c>
      <c r="N338" s="14" t="s">
        <v>618</v>
      </c>
      <c r="O338" s="14" t="str">
        <f t="shared" si="33"/>
        <v>B1G2</v>
      </c>
      <c r="P338" s="14" t="str">
        <f t="shared" si="29"/>
        <v>BXGY</v>
      </c>
    </row>
    <row r="339" spans="1:16" x14ac:dyDescent="0.25">
      <c r="A339" s="7" t="str">
        <f t="shared" si="30"/>
        <v>2025 JAN-APR B1G2</v>
      </c>
      <c r="B339" s="8">
        <f t="shared" si="31"/>
        <v>46099</v>
      </c>
      <c r="C339" s="8">
        <f t="shared" si="32"/>
        <v>46113</v>
      </c>
      <c r="D339" s="7">
        <v>3272</v>
      </c>
      <c r="E339" s="7">
        <v>336</v>
      </c>
      <c r="F339" s="7">
        <v>4</v>
      </c>
      <c r="G339" s="7">
        <v>1</v>
      </c>
      <c r="H339" s="7">
        <v>81676</v>
      </c>
      <c r="I339" s="7" t="s">
        <v>104</v>
      </c>
      <c r="J339" s="7">
        <v>51503989</v>
      </c>
      <c r="K339" s="7" t="s">
        <v>2753</v>
      </c>
      <c r="L339" s="7" t="s">
        <v>2826</v>
      </c>
      <c r="M339" s="9">
        <v>139900</v>
      </c>
      <c r="N339" s="14" t="s">
        <v>618</v>
      </c>
      <c r="O339" s="14" t="str">
        <f t="shared" si="33"/>
        <v>B1G2</v>
      </c>
      <c r="P339" s="14" t="str">
        <f t="shared" si="29"/>
        <v>BXGY</v>
      </c>
    </row>
    <row r="340" spans="1:16" x14ac:dyDescent="0.25">
      <c r="A340" s="7" t="str">
        <f t="shared" si="30"/>
        <v>2025 JAN-APR B1G2</v>
      </c>
      <c r="B340" s="8">
        <f t="shared" si="31"/>
        <v>46099</v>
      </c>
      <c r="C340" s="8">
        <f t="shared" si="32"/>
        <v>46113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104</v>
      </c>
      <c r="J340" s="7">
        <v>51511149</v>
      </c>
      <c r="K340" s="7" t="s">
        <v>2754</v>
      </c>
      <c r="L340" s="7" t="s">
        <v>2827</v>
      </c>
      <c r="M340" s="9">
        <v>139900</v>
      </c>
      <c r="N340" s="14" t="s">
        <v>618</v>
      </c>
      <c r="O340" s="14" t="str">
        <f t="shared" si="33"/>
        <v>B1G2</v>
      </c>
      <c r="P340" s="14" t="str">
        <f t="shared" si="29"/>
        <v>BXGY</v>
      </c>
    </row>
    <row r="341" spans="1:16" x14ac:dyDescent="0.25">
      <c r="A341" s="7" t="str">
        <f t="shared" si="30"/>
        <v>2025 JAN-APR B1G2</v>
      </c>
      <c r="B341" s="8">
        <f t="shared" si="31"/>
        <v>46099</v>
      </c>
      <c r="C341" s="8">
        <f t="shared" si="32"/>
        <v>46113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104</v>
      </c>
      <c r="J341" s="7">
        <v>51511158</v>
      </c>
      <c r="K341" s="7" t="s">
        <v>2754</v>
      </c>
      <c r="L341" s="7" t="s">
        <v>2828</v>
      </c>
      <c r="M341" s="9">
        <v>139900</v>
      </c>
      <c r="N341" s="14" t="s">
        <v>618</v>
      </c>
      <c r="O341" s="14" t="str">
        <f t="shared" si="33"/>
        <v>B1G2</v>
      </c>
      <c r="P341" s="14" t="str">
        <f t="shared" si="29"/>
        <v>BXGY</v>
      </c>
    </row>
    <row r="342" spans="1:16" x14ac:dyDescent="0.25">
      <c r="A342" s="7" t="str">
        <f t="shared" si="30"/>
        <v>2025 JAN-APR B1G2</v>
      </c>
      <c r="B342" s="8">
        <f t="shared" si="31"/>
        <v>46099</v>
      </c>
      <c r="C342" s="8">
        <f t="shared" si="32"/>
        <v>46113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104</v>
      </c>
      <c r="J342" s="7">
        <v>51511167</v>
      </c>
      <c r="K342" s="7" t="s">
        <v>2754</v>
      </c>
      <c r="L342" s="7" t="s">
        <v>2829</v>
      </c>
      <c r="M342" s="9">
        <v>139900</v>
      </c>
      <c r="N342" s="14" t="s">
        <v>618</v>
      </c>
      <c r="O342" s="14" t="str">
        <f t="shared" si="33"/>
        <v>B1G2</v>
      </c>
      <c r="P342" s="14" t="str">
        <f t="shared" ref="P342:P373" si="34">P341</f>
        <v>BXGY</v>
      </c>
    </row>
    <row r="343" spans="1:16" x14ac:dyDescent="0.25">
      <c r="A343" s="7" t="str">
        <f t="shared" si="30"/>
        <v>2025 JAN-APR B1G2</v>
      </c>
      <c r="B343" s="8">
        <f t="shared" si="31"/>
        <v>46099</v>
      </c>
      <c r="C343" s="8">
        <f t="shared" si="32"/>
        <v>46113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104</v>
      </c>
      <c r="J343" s="7">
        <v>51511176</v>
      </c>
      <c r="K343" s="7" t="s">
        <v>2754</v>
      </c>
      <c r="L343" s="7" t="s">
        <v>2830</v>
      </c>
      <c r="M343" s="9">
        <v>139900</v>
      </c>
      <c r="N343" s="14" t="s">
        <v>618</v>
      </c>
      <c r="O343" s="14" t="str">
        <f t="shared" si="33"/>
        <v>B1G2</v>
      </c>
      <c r="P343" s="14" t="str">
        <f t="shared" si="34"/>
        <v>BXGY</v>
      </c>
    </row>
    <row r="344" spans="1:16" x14ac:dyDescent="0.25">
      <c r="A344" s="7" t="str">
        <f t="shared" si="30"/>
        <v>2025 JAN-APR B1G2</v>
      </c>
      <c r="B344" s="8">
        <f t="shared" si="31"/>
        <v>46099</v>
      </c>
      <c r="C344" s="8">
        <f t="shared" si="32"/>
        <v>46113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104</v>
      </c>
      <c r="J344" s="7">
        <v>51511185</v>
      </c>
      <c r="K344" s="7" t="s">
        <v>2754</v>
      </c>
      <c r="L344" s="7" t="s">
        <v>2831</v>
      </c>
      <c r="M344" s="9">
        <v>139900</v>
      </c>
      <c r="N344" s="14" t="s">
        <v>618</v>
      </c>
      <c r="O344" s="14" t="str">
        <f t="shared" si="33"/>
        <v>B1G2</v>
      </c>
      <c r="P344" s="14" t="str">
        <f t="shared" si="34"/>
        <v>BXGY</v>
      </c>
    </row>
    <row r="345" spans="1:16" x14ac:dyDescent="0.25">
      <c r="A345" s="7" t="str">
        <f t="shared" si="30"/>
        <v>2025 JAN-APR B1G2</v>
      </c>
      <c r="B345" s="8">
        <f t="shared" si="31"/>
        <v>46099</v>
      </c>
      <c r="C345" s="8">
        <f t="shared" si="32"/>
        <v>46113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104</v>
      </c>
      <c r="J345" s="7">
        <v>51511194</v>
      </c>
      <c r="K345" s="7" t="s">
        <v>2754</v>
      </c>
      <c r="L345" s="7" t="s">
        <v>2832</v>
      </c>
      <c r="M345" s="9">
        <v>139900</v>
      </c>
      <c r="N345" s="14" t="s">
        <v>618</v>
      </c>
      <c r="O345" s="14" t="str">
        <f t="shared" si="33"/>
        <v>B1G2</v>
      </c>
      <c r="P345" s="14" t="str">
        <f t="shared" si="34"/>
        <v>BXGY</v>
      </c>
    </row>
    <row r="346" spans="1:16" x14ac:dyDescent="0.25">
      <c r="A346" s="7" t="str">
        <f t="shared" si="30"/>
        <v>2025 JAN-APR B1G2</v>
      </c>
      <c r="B346" s="8">
        <f t="shared" si="31"/>
        <v>46099</v>
      </c>
      <c r="C346" s="8">
        <f t="shared" si="32"/>
        <v>46113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104</v>
      </c>
      <c r="J346" s="7">
        <v>51511201</v>
      </c>
      <c r="K346" s="7" t="s">
        <v>2754</v>
      </c>
      <c r="L346" s="7" t="s">
        <v>2833</v>
      </c>
      <c r="M346" s="9">
        <v>139900</v>
      </c>
      <c r="N346" s="14" t="s">
        <v>618</v>
      </c>
      <c r="O346" s="14" t="str">
        <f t="shared" si="33"/>
        <v>B1G2</v>
      </c>
      <c r="P346" s="14" t="str">
        <f t="shared" si="34"/>
        <v>BXGY</v>
      </c>
    </row>
    <row r="347" spans="1:16" x14ac:dyDescent="0.25">
      <c r="A347" s="7" t="str">
        <f t="shared" si="30"/>
        <v>2025 JAN-APR B1G2</v>
      </c>
      <c r="B347" s="8">
        <f t="shared" si="31"/>
        <v>46099</v>
      </c>
      <c r="C347" s="8">
        <f t="shared" si="32"/>
        <v>46113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104</v>
      </c>
      <c r="J347" s="7">
        <v>51511210</v>
      </c>
      <c r="K347" s="7" t="s">
        <v>2754</v>
      </c>
      <c r="L347" s="7" t="s">
        <v>2834</v>
      </c>
      <c r="M347" s="9">
        <v>139900</v>
      </c>
      <c r="N347" s="14" t="s">
        <v>618</v>
      </c>
      <c r="O347" s="14" t="str">
        <f t="shared" si="33"/>
        <v>B1G2</v>
      </c>
      <c r="P347" s="14" t="str">
        <f t="shared" si="34"/>
        <v>BXGY</v>
      </c>
    </row>
    <row r="348" spans="1:16" x14ac:dyDescent="0.25">
      <c r="A348" s="7" t="str">
        <f t="shared" si="30"/>
        <v>2025 JAN-APR B1G2</v>
      </c>
      <c r="B348" s="8">
        <f t="shared" si="31"/>
        <v>46099</v>
      </c>
      <c r="C348" s="8">
        <f t="shared" si="32"/>
        <v>46113</v>
      </c>
      <c r="D348" s="7">
        <v>3272</v>
      </c>
      <c r="E348" s="7">
        <v>336</v>
      </c>
      <c r="F348" s="7">
        <v>4</v>
      </c>
      <c r="G348" s="7">
        <v>1</v>
      </c>
      <c r="H348" s="7">
        <v>81588</v>
      </c>
      <c r="I348" s="7" t="s">
        <v>104</v>
      </c>
      <c r="J348" s="7">
        <v>51511461</v>
      </c>
      <c r="K348" s="7" t="s">
        <v>2756</v>
      </c>
      <c r="L348" s="7" t="s">
        <v>2843</v>
      </c>
      <c r="M348" s="9">
        <v>139900</v>
      </c>
      <c r="N348" s="14" t="s">
        <v>618</v>
      </c>
      <c r="O348" s="14" t="str">
        <f t="shared" si="33"/>
        <v>B1G2</v>
      </c>
      <c r="P348" s="14" t="str">
        <f t="shared" si="34"/>
        <v>BXGY</v>
      </c>
    </row>
    <row r="349" spans="1:16" x14ac:dyDescent="0.25">
      <c r="A349" s="7" t="str">
        <f t="shared" si="30"/>
        <v>2025 JAN-APR B1G2</v>
      </c>
      <c r="B349" s="8">
        <f t="shared" si="31"/>
        <v>46099</v>
      </c>
      <c r="C349" s="8">
        <f t="shared" si="32"/>
        <v>46113</v>
      </c>
      <c r="D349" s="7">
        <v>3272</v>
      </c>
      <c r="E349" s="7">
        <v>336</v>
      </c>
      <c r="F349" s="7">
        <v>4</v>
      </c>
      <c r="G349" s="7">
        <v>1</v>
      </c>
      <c r="H349" s="7">
        <v>81588</v>
      </c>
      <c r="I349" s="7" t="s">
        <v>104</v>
      </c>
      <c r="J349" s="7">
        <v>51511470</v>
      </c>
      <c r="K349" s="7" t="s">
        <v>2756</v>
      </c>
      <c r="L349" s="7" t="s">
        <v>2844</v>
      </c>
      <c r="M349" s="9">
        <v>139900</v>
      </c>
      <c r="N349" s="14" t="s">
        <v>618</v>
      </c>
      <c r="O349" s="14" t="str">
        <f t="shared" si="33"/>
        <v>B1G2</v>
      </c>
      <c r="P349" s="14" t="str">
        <f t="shared" si="34"/>
        <v>BXGY</v>
      </c>
    </row>
    <row r="350" spans="1:16" x14ac:dyDescent="0.25">
      <c r="A350" s="7" t="str">
        <f t="shared" si="30"/>
        <v>2025 JAN-APR B1G2</v>
      </c>
      <c r="B350" s="8">
        <f t="shared" si="31"/>
        <v>46099</v>
      </c>
      <c r="C350" s="8">
        <f t="shared" si="32"/>
        <v>46113</v>
      </c>
      <c r="D350" s="7">
        <v>3272</v>
      </c>
      <c r="E350" s="7">
        <v>336</v>
      </c>
      <c r="F350" s="7">
        <v>4</v>
      </c>
      <c r="G350" s="7">
        <v>1</v>
      </c>
      <c r="H350" s="7">
        <v>81588</v>
      </c>
      <c r="I350" s="7" t="s">
        <v>104</v>
      </c>
      <c r="J350" s="7">
        <v>51511489</v>
      </c>
      <c r="K350" s="7" t="s">
        <v>2756</v>
      </c>
      <c r="L350" s="7" t="s">
        <v>2845</v>
      </c>
      <c r="M350" s="9">
        <v>139900</v>
      </c>
      <c r="N350" s="14" t="s">
        <v>618</v>
      </c>
      <c r="O350" s="14" t="str">
        <f t="shared" si="33"/>
        <v>B1G2</v>
      </c>
      <c r="P350" s="14" t="str">
        <f t="shared" si="34"/>
        <v>BXGY</v>
      </c>
    </row>
    <row r="351" spans="1:16" x14ac:dyDescent="0.25">
      <c r="A351" s="7" t="str">
        <f t="shared" si="30"/>
        <v>2025 JAN-APR B1G2</v>
      </c>
      <c r="B351" s="8">
        <f t="shared" si="31"/>
        <v>46099</v>
      </c>
      <c r="C351" s="8">
        <f t="shared" si="32"/>
        <v>46113</v>
      </c>
      <c r="D351" s="7">
        <v>3272</v>
      </c>
      <c r="E351" s="7">
        <v>336</v>
      </c>
      <c r="F351" s="7">
        <v>4</v>
      </c>
      <c r="G351" s="7">
        <v>1</v>
      </c>
      <c r="H351" s="7">
        <v>81588</v>
      </c>
      <c r="I351" s="7" t="s">
        <v>104</v>
      </c>
      <c r="J351" s="7">
        <v>51511498</v>
      </c>
      <c r="K351" s="7" t="s">
        <v>2756</v>
      </c>
      <c r="L351" s="7" t="s">
        <v>2846</v>
      </c>
      <c r="M351" s="9">
        <v>139900</v>
      </c>
      <c r="N351" s="14" t="s">
        <v>618</v>
      </c>
      <c r="O351" s="14" t="str">
        <f t="shared" si="33"/>
        <v>B1G2</v>
      </c>
      <c r="P351" s="14" t="str">
        <f t="shared" si="34"/>
        <v>BXGY</v>
      </c>
    </row>
    <row r="352" spans="1:16" x14ac:dyDescent="0.25">
      <c r="A352" s="7" t="str">
        <f t="shared" si="30"/>
        <v>2025 JAN-APR B1G2</v>
      </c>
      <c r="B352" s="8">
        <f t="shared" si="31"/>
        <v>46099</v>
      </c>
      <c r="C352" s="8">
        <f t="shared" si="32"/>
        <v>46113</v>
      </c>
      <c r="D352" s="7">
        <v>3272</v>
      </c>
      <c r="E352" s="7">
        <v>336</v>
      </c>
      <c r="F352" s="7">
        <v>4</v>
      </c>
      <c r="G352" s="7">
        <v>1</v>
      </c>
      <c r="H352" s="7">
        <v>81588</v>
      </c>
      <c r="I352" s="7" t="s">
        <v>104</v>
      </c>
      <c r="J352" s="7">
        <v>51511505</v>
      </c>
      <c r="K352" s="7" t="s">
        <v>2756</v>
      </c>
      <c r="L352" s="7" t="s">
        <v>2847</v>
      </c>
      <c r="M352" s="9">
        <v>139900</v>
      </c>
      <c r="N352" s="14" t="s">
        <v>618</v>
      </c>
      <c r="O352" s="14" t="str">
        <f t="shared" si="33"/>
        <v>B1G2</v>
      </c>
      <c r="P352" s="14" t="str">
        <f t="shared" si="34"/>
        <v>BXGY</v>
      </c>
    </row>
    <row r="353" spans="1:16" x14ac:dyDescent="0.25">
      <c r="A353" s="7" t="str">
        <f t="shared" si="30"/>
        <v>2025 JAN-APR B1G2</v>
      </c>
      <c r="B353" s="8">
        <f t="shared" si="31"/>
        <v>46099</v>
      </c>
      <c r="C353" s="8">
        <f t="shared" si="32"/>
        <v>46113</v>
      </c>
      <c r="D353" s="7">
        <v>3272</v>
      </c>
      <c r="E353" s="7">
        <v>336</v>
      </c>
      <c r="F353" s="7">
        <v>4</v>
      </c>
      <c r="G353" s="7">
        <v>1</v>
      </c>
      <c r="H353" s="7">
        <v>81588</v>
      </c>
      <c r="I353" s="7" t="s">
        <v>104</v>
      </c>
      <c r="J353" s="7">
        <v>51511514</v>
      </c>
      <c r="K353" s="7" t="s">
        <v>2756</v>
      </c>
      <c r="L353" s="7" t="s">
        <v>2848</v>
      </c>
      <c r="M353" s="9">
        <v>139900</v>
      </c>
      <c r="N353" s="14" t="s">
        <v>618</v>
      </c>
      <c r="O353" s="14" t="str">
        <f t="shared" si="33"/>
        <v>B1G2</v>
      </c>
      <c r="P353" s="14" t="str">
        <f t="shared" si="34"/>
        <v>BXGY</v>
      </c>
    </row>
    <row r="354" spans="1:16" x14ac:dyDescent="0.25">
      <c r="A354" s="7" t="str">
        <f t="shared" si="30"/>
        <v>2025 JAN-APR B1G2</v>
      </c>
      <c r="B354" s="8">
        <f t="shared" si="31"/>
        <v>46099</v>
      </c>
      <c r="C354" s="8">
        <f t="shared" si="32"/>
        <v>46113</v>
      </c>
      <c r="D354" s="7">
        <v>3272</v>
      </c>
      <c r="E354" s="7">
        <v>336</v>
      </c>
      <c r="F354" s="7">
        <v>4</v>
      </c>
      <c r="G354" s="7">
        <v>1</v>
      </c>
      <c r="H354" s="7">
        <v>81588</v>
      </c>
      <c r="I354" s="7" t="s">
        <v>104</v>
      </c>
      <c r="J354" s="7">
        <v>51511523</v>
      </c>
      <c r="K354" s="7" t="s">
        <v>2757</v>
      </c>
      <c r="L354" s="7" t="s">
        <v>2849</v>
      </c>
      <c r="M354" s="9">
        <v>139900</v>
      </c>
      <c r="N354" s="14" t="s">
        <v>618</v>
      </c>
      <c r="O354" s="14" t="str">
        <f t="shared" si="33"/>
        <v>B1G2</v>
      </c>
      <c r="P354" s="14" t="str">
        <f t="shared" si="34"/>
        <v>BXGY</v>
      </c>
    </row>
    <row r="355" spans="1:16" x14ac:dyDescent="0.25">
      <c r="A355" s="7" t="str">
        <f t="shared" si="30"/>
        <v>2025 JAN-APR B1G2</v>
      </c>
      <c r="B355" s="8">
        <f t="shared" si="31"/>
        <v>46099</v>
      </c>
      <c r="C355" s="8">
        <f t="shared" si="32"/>
        <v>46113</v>
      </c>
      <c r="D355" s="7">
        <v>3272</v>
      </c>
      <c r="E355" s="7">
        <v>336</v>
      </c>
      <c r="F355" s="7">
        <v>4</v>
      </c>
      <c r="G355" s="7">
        <v>1</v>
      </c>
      <c r="H355" s="7">
        <v>81588</v>
      </c>
      <c r="I355" s="7" t="s">
        <v>104</v>
      </c>
      <c r="J355" s="7">
        <v>51511532</v>
      </c>
      <c r="K355" s="7" t="s">
        <v>2757</v>
      </c>
      <c r="L355" s="7" t="s">
        <v>2850</v>
      </c>
      <c r="M355" s="9">
        <v>139900</v>
      </c>
      <c r="N355" s="14" t="s">
        <v>618</v>
      </c>
      <c r="O355" s="14" t="str">
        <f t="shared" si="33"/>
        <v>B1G2</v>
      </c>
      <c r="P355" s="14" t="str">
        <f t="shared" si="34"/>
        <v>BXGY</v>
      </c>
    </row>
    <row r="356" spans="1:16" x14ac:dyDescent="0.25">
      <c r="A356" s="7" t="str">
        <f t="shared" si="30"/>
        <v>2025 JAN-APR B1G2</v>
      </c>
      <c r="B356" s="8">
        <f t="shared" si="31"/>
        <v>46099</v>
      </c>
      <c r="C356" s="8">
        <f t="shared" si="32"/>
        <v>46113</v>
      </c>
      <c r="D356" s="7">
        <v>3272</v>
      </c>
      <c r="E356" s="7">
        <v>336</v>
      </c>
      <c r="F356" s="7">
        <v>4</v>
      </c>
      <c r="G356" s="7">
        <v>1</v>
      </c>
      <c r="H356" s="7">
        <v>81588</v>
      </c>
      <c r="I356" s="7" t="s">
        <v>104</v>
      </c>
      <c r="J356" s="7">
        <v>51511541</v>
      </c>
      <c r="K356" s="7" t="s">
        <v>2757</v>
      </c>
      <c r="L356" s="7" t="s">
        <v>2851</v>
      </c>
      <c r="M356" s="9">
        <v>139900</v>
      </c>
      <c r="N356" s="14" t="s">
        <v>618</v>
      </c>
      <c r="O356" s="14" t="str">
        <f t="shared" si="33"/>
        <v>B1G2</v>
      </c>
      <c r="P356" s="14" t="str">
        <f t="shared" si="34"/>
        <v>BXGY</v>
      </c>
    </row>
    <row r="357" spans="1:16" x14ac:dyDescent="0.25">
      <c r="A357" s="7" t="str">
        <f t="shared" si="30"/>
        <v>2025 JAN-APR B1G2</v>
      </c>
      <c r="B357" s="8">
        <f t="shared" si="31"/>
        <v>46099</v>
      </c>
      <c r="C357" s="8">
        <f t="shared" si="32"/>
        <v>46113</v>
      </c>
      <c r="D357" s="7">
        <v>3272</v>
      </c>
      <c r="E357" s="7">
        <v>336</v>
      </c>
      <c r="F357" s="7">
        <v>4</v>
      </c>
      <c r="G357" s="7">
        <v>1</v>
      </c>
      <c r="H357" s="7">
        <v>81588</v>
      </c>
      <c r="I357" s="7" t="s">
        <v>104</v>
      </c>
      <c r="J357" s="7">
        <v>51511550</v>
      </c>
      <c r="K357" s="7" t="s">
        <v>2757</v>
      </c>
      <c r="L357" s="7" t="s">
        <v>2852</v>
      </c>
      <c r="M357" s="9">
        <v>139900</v>
      </c>
      <c r="N357" s="14" t="s">
        <v>618</v>
      </c>
      <c r="O357" s="14" t="str">
        <f t="shared" si="33"/>
        <v>B1G2</v>
      </c>
      <c r="P357" s="14" t="str">
        <f t="shared" si="34"/>
        <v>BXGY</v>
      </c>
    </row>
    <row r="358" spans="1:16" x14ac:dyDescent="0.25">
      <c r="A358" s="7" t="str">
        <f t="shared" si="30"/>
        <v>2025 JAN-APR B1G2</v>
      </c>
      <c r="B358" s="8">
        <f t="shared" si="31"/>
        <v>46099</v>
      </c>
      <c r="C358" s="8">
        <f t="shared" si="32"/>
        <v>46113</v>
      </c>
      <c r="D358" s="7">
        <v>3272</v>
      </c>
      <c r="E358" s="7">
        <v>336</v>
      </c>
      <c r="F358" s="7">
        <v>4</v>
      </c>
      <c r="G358" s="7">
        <v>1</v>
      </c>
      <c r="H358" s="7">
        <v>81588</v>
      </c>
      <c r="I358" s="7" t="s">
        <v>104</v>
      </c>
      <c r="J358" s="7">
        <v>51511569</v>
      </c>
      <c r="K358" s="7" t="s">
        <v>2757</v>
      </c>
      <c r="L358" s="7" t="s">
        <v>2853</v>
      </c>
      <c r="M358" s="9">
        <v>139900</v>
      </c>
      <c r="N358" s="14" t="s">
        <v>618</v>
      </c>
      <c r="O358" s="14" t="str">
        <f t="shared" si="33"/>
        <v>B1G2</v>
      </c>
      <c r="P358" s="14" t="str">
        <f t="shared" si="34"/>
        <v>BXGY</v>
      </c>
    </row>
    <row r="359" spans="1:16" x14ac:dyDescent="0.25">
      <c r="A359" s="7" t="str">
        <f t="shared" si="30"/>
        <v>2025 JAN-APR B1G2</v>
      </c>
      <c r="B359" s="8">
        <f t="shared" si="31"/>
        <v>46099</v>
      </c>
      <c r="C359" s="8">
        <f t="shared" si="32"/>
        <v>46113</v>
      </c>
      <c r="D359" s="7">
        <v>3272</v>
      </c>
      <c r="E359" s="7">
        <v>336</v>
      </c>
      <c r="F359" s="7">
        <v>4</v>
      </c>
      <c r="G359" s="7">
        <v>1</v>
      </c>
      <c r="H359" s="7">
        <v>81588</v>
      </c>
      <c r="I359" s="7" t="s">
        <v>104</v>
      </c>
      <c r="J359" s="7">
        <v>51511578</v>
      </c>
      <c r="K359" s="7" t="s">
        <v>2757</v>
      </c>
      <c r="L359" s="7" t="s">
        <v>2854</v>
      </c>
      <c r="M359" s="9">
        <v>139900</v>
      </c>
      <c r="N359" s="14" t="s">
        <v>618</v>
      </c>
      <c r="O359" s="14" t="str">
        <f t="shared" si="33"/>
        <v>B1G2</v>
      </c>
      <c r="P359" s="14" t="str">
        <f t="shared" si="34"/>
        <v>BXGY</v>
      </c>
    </row>
    <row r="360" spans="1:16" x14ac:dyDescent="0.25">
      <c r="A360" s="7" t="str">
        <f t="shared" si="30"/>
        <v>2025 JAN-APR B1G2</v>
      </c>
      <c r="B360" s="8">
        <f t="shared" si="31"/>
        <v>46099</v>
      </c>
      <c r="C360" s="8">
        <f t="shared" si="32"/>
        <v>46113</v>
      </c>
      <c r="D360" s="7">
        <v>3272</v>
      </c>
      <c r="E360" s="7">
        <v>336</v>
      </c>
      <c r="F360" s="7">
        <v>4</v>
      </c>
      <c r="G360" s="7">
        <v>1</v>
      </c>
      <c r="H360" s="7">
        <v>81588</v>
      </c>
      <c r="I360" s="7" t="s">
        <v>104</v>
      </c>
      <c r="J360" s="7">
        <v>51511587</v>
      </c>
      <c r="K360" s="7" t="s">
        <v>2758</v>
      </c>
      <c r="L360" s="7" t="s">
        <v>2855</v>
      </c>
      <c r="M360" s="9">
        <v>139900</v>
      </c>
      <c r="N360" s="14" t="s">
        <v>618</v>
      </c>
      <c r="O360" s="14" t="str">
        <f t="shared" si="33"/>
        <v>B1G2</v>
      </c>
      <c r="P360" s="14" t="str">
        <f t="shared" si="34"/>
        <v>BXGY</v>
      </c>
    </row>
    <row r="361" spans="1:16" x14ac:dyDescent="0.25">
      <c r="A361" s="7" t="str">
        <f t="shared" si="30"/>
        <v>2025 JAN-APR B1G2</v>
      </c>
      <c r="B361" s="8">
        <f t="shared" si="31"/>
        <v>46099</v>
      </c>
      <c r="C361" s="8">
        <f t="shared" si="32"/>
        <v>46113</v>
      </c>
      <c r="D361" s="7">
        <v>3272</v>
      </c>
      <c r="E361" s="7">
        <v>336</v>
      </c>
      <c r="F361" s="7">
        <v>4</v>
      </c>
      <c r="G361" s="7">
        <v>1</v>
      </c>
      <c r="H361" s="7">
        <v>81588</v>
      </c>
      <c r="I361" s="7" t="s">
        <v>104</v>
      </c>
      <c r="J361" s="7">
        <v>51511596</v>
      </c>
      <c r="K361" s="7" t="s">
        <v>2758</v>
      </c>
      <c r="L361" s="7" t="s">
        <v>2856</v>
      </c>
      <c r="M361" s="9">
        <v>139900</v>
      </c>
      <c r="N361" s="14" t="s">
        <v>618</v>
      </c>
      <c r="O361" s="14" t="str">
        <f t="shared" si="33"/>
        <v>B1G2</v>
      </c>
      <c r="P361" s="14" t="str">
        <f t="shared" si="34"/>
        <v>BXGY</v>
      </c>
    </row>
    <row r="362" spans="1:16" x14ac:dyDescent="0.25">
      <c r="A362" s="7" t="str">
        <f t="shared" si="30"/>
        <v>2025 JAN-APR B1G2</v>
      </c>
      <c r="B362" s="8">
        <f t="shared" si="31"/>
        <v>46099</v>
      </c>
      <c r="C362" s="8">
        <f t="shared" si="32"/>
        <v>46113</v>
      </c>
      <c r="D362" s="7">
        <v>3272</v>
      </c>
      <c r="E362" s="7">
        <v>336</v>
      </c>
      <c r="F362" s="7">
        <v>4</v>
      </c>
      <c r="G362" s="7">
        <v>1</v>
      </c>
      <c r="H362" s="7">
        <v>81588</v>
      </c>
      <c r="I362" s="7" t="s">
        <v>104</v>
      </c>
      <c r="J362" s="7">
        <v>51511603</v>
      </c>
      <c r="K362" s="7" t="s">
        <v>2758</v>
      </c>
      <c r="L362" s="7" t="s">
        <v>2857</v>
      </c>
      <c r="M362" s="9">
        <v>139900</v>
      </c>
      <c r="N362" s="14" t="s">
        <v>618</v>
      </c>
      <c r="O362" s="14" t="str">
        <f t="shared" si="33"/>
        <v>B1G2</v>
      </c>
      <c r="P362" s="14" t="str">
        <f t="shared" si="34"/>
        <v>BXGY</v>
      </c>
    </row>
    <row r="363" spans="1:16" x14ac:dyDescent="0.25">
      <c r="A363" s="7" t="str">
        <f t="shared" si="30"/>
        <v>2025 JAN-APR B1G2</v>
      </c>
      <c r="B363" s="8">
        <f t="shared" si="31"/>
        <v>46099</v>
      </c>
      <c r="C363" s="8">
        <f t="shared" si="32"/>
        <v>46113</v>
      </c>
      <c r="D363" s="7">
        <v>3272</v>
      </c>
      <c r="E363" s="7">
        <v>336</v>
      </c>
      <c r="F363" s="7">
        <v>4</v>
      </c>
      <c r="G363" s="7">
        <v>1</v>
      </c>
      <c r="H363" s="7">
        <v>81588</v>
      </c>
      <c r="I363" s="7" t="s">
        <v>104</v>
      </c>
      <c r="J363" s="7">
        <v>51511612</v>
      </c>
      <c r="K363" s="7" t="s">
        <v>2758</v>
      </c>
      <c r="L363" s="7" t="s">
        <v>2858</v>
      </c>
      <c r="M363" s="9">
        <v>139900</v>
      </c>
      <c r="N363" s="14" t="s">
        <v>618</v>
      </c>
      <c r="O363" s="14" t="str">
        <f t="shared" si="33"/>
        <v>B1G2</v>
      </c>
      <c r="P363" s="14" t="str">
        <f t="shared" si="34"/>
        <v>BXGY</v>
      </c>
    </row>
    <row r="364" spans="1:16" x14ac:dyDescent="0.25">
      <c r="A364" s="7" t="str">
        <f t="shared" si="30"/>
        <v>2025 JAN-APR B1G2</v>
      </c>
      <c r="B364" s="8">
        <f t="shared" si="31"/>
        <v>46099</v>
      </c>
      <c r="C364" s="8">
        <f t="shared" si="32"/>
        <v>46113</v>
      </c>
      <c r="D364" s="7">
        <v>3272</v>
      </c>
      <c r="E364" s="7">
        <v>336</v>
      </c>
      <c r="F364" s="7">
        <v>4</v>
      </c>
      <c r="G364" s="7">
        <v>1</v>
      </c>
      <c r="H364" s="7">
        <v>81588</v>
      </c>
      <c r="I364" s="7" t="s">
        <v>104</v>
      </c>
      <c r="J364" s="7">
        <v>51511621</v>
      </c>
      <c r="K364" s="7" t="s">
        <v>2758</v>
      </c>
      <c r="L364" s="7" t="s">
        <v>2859</v>
      </c>
      <c r="M364" s="9">
        <v>139900</v>
      </c>
      <c r="N364" s="14" t="s">
        <v>618</v>
      </c>
      <c r="O364" s="14" t="str">
        <f t="shared" si="33"/>
        <v>B1G2</v>
      </c>
      <c r="P364" s="14" t="str">
        <f t="shared" si="34"/>
        <v>BXGY</v>
      </c>
    </row>
    <row r="365" spans="1:16" x14ac:dyDescent="0.25">
      <c r="A365" s="7" t="str">
        <f t="shared" si="30"/>
        <v>2025 JAN-APR B1G2</v>
      </c>
      <c r="B365" s="8">
        <f t="shared" si="31"/>
        <v>46099</v>
      </c>
      <c r="C365" s="8">
        <f t="shared" si="32"/>
        <v>46113</v>
      </c>
      <c r="D365" s="7">
        <v>3272</v>
      </c>
      <c r="E365" s="7">
        <v>336</v>
      </c>
      <c r="F365" s="7">
        <v>4</v>
      </c>
      <c r="G365" s="7">
        <v>1</v>
      </c>
      <c r="H365" s="7">
        <v>81588</v>
      </c>
      <c r="I365" s="7" t="s">
        <v>104</v>
      </c>
      <c r="J365" s="7">
        <v>51511630</v>
      </c>
      <c r="K365" s="7" t="s">
        <v>2758</v>
      </c>
      <c r="L365" s="7" t="s">
        <v>2860</v>
      </c>
      <c r="M365" s="9">
        <v>139900</v>
      </c>
      <c r="N365" s="14" t="s">
        <v>618</v>
      </c>
      <c r="O365" s="14" t="str">
        <f t="shared" si="33"/>
        <v>B1G2</v>
      </c>
      <c r="P365" s="14" t="str">
        <f t="shared" si="34"/>
        <v>BXGY</v>
      </c>
    </row>
    <row r="366" spans="1:16" x14ac:dyDescent="0.25">
      <c r="A366" s="7" t="str">
        <f t="shared" si="30"/>
        <v>2025 JAN-APR B1G2</v>
      </c>
      <c r="B366" s="8">
        <f t="shared" si="31"/>
        <v>46099</v>
      </c>
      <c r="C366" s="8">
        <f t="shared" si="32"/>
        <v>46113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104</v>
      </c>
      <c r="J366" s="7">
        <v>51562460</v>
      </c>
      <c r="K366" s="7" t="s">
        <v>2764</v>
      </c>
      <c r="L366" s="7" t="s">
        <v>2897</v>
      </c>
      <c r="M366" s="9">
        <v>139900</v>
      </c>
      <c r="N366" s="14" t="s">
        <v>618</v>
      </c>
      <c r="O366" s="14" t="str">
        <f t="shared" si="33"/>
        <v>B1G2</v>
      </c>
      <c r="P366" s="14" t="str">
        <f t="shared" si="34"/>
        <v>BXGY</v>
      </c>
    </row>
    <row r="367" spans="1:16" x14ac:dyDescent="0.25">
      <c r="A367" s="7" t="str">
        <f t="shared" si="30"/>
        <v>2025 JAN-APR B1G2</v>
      </c>
      <c r="B367" s="8">
        <f t="shared" si="31"/>
        <v>46099</v>
      </c>
      <c r="C367" s="8">
        <f t="shared" si="32"/>
        <v>46113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104</v>
      </c>
      <c r="J367" s="7">
        <v>51562479</v>
      </c>
      <c r="K367" s="7" t="s">
        <v>2764</v>
      </c>
      <c r="L367" s="7" t="s">
        <v>2898</v>
      </c>
      <c r="M367" s="9">
        <v>139900</v>
      </c>
      <c r="N367" s="14" t="s">
        <v>618</v>
      </c>
      <c r="O367" s="14" t="str">
        <f t="shared" si="33"/>
        <v>B1G2</v>
      </c>
      <c r="P367" s="14" t="str">
        <f t="shared" si="34"/>
        <v>BXGY</v>
      </c>
    </row>
    <row r="368" spans="1:16" x14ac:dyDescent="0.25">
      <c r="A368" s="7" t="str">
        <f t="shared" si="30"/>
        <v>2025 JAN-APR B1G2</v>
      </c>
      <c r="B368" s="8">
        <f t="shared" si="31"/>
        <v>46099</v>
      </c>
      <c r="C368" s="8">
        <f t="shared" si="32"/>
        <v>46113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104</v>
      </c>
      <c r="J368" s="7">
        <v>51562488</v>
      </c>
      <c r="K368" s="7" t="s">
        <v>2764</v>
      </c>
      <c r="L368" s="7" t="s">
        <v>2899</v>
      </c>
      <c r="M368" s="9">
        <v>139900</v>
      </c>
      <c r="N368" s="14" t="s">
        <v>618</v>
      </c>
      <c r="O368" s="14" t="str">
        <f t="shared" si="33"/>
        <v>B1G2</v>
      </c>
      <c r="P368" s="14" t="str">
        <f t="shared" si="34"/>
        <v>BXGY</v>
      </c>
    </row>
    <row r="369" spans="1:16" x14ac:dyDescent="0.25">
      <c r="A369" s="7" t="str">
        <f t="shared" si="30"/>
        <v>2025 JAN-APR B1G2</v>
      </c>
      <c r="B369" s="8">
        <f t="shared" si="31"/>
        <v>46099</v>
      </c>
      <c r="C369" s="8">
        <f t="shared" si="32"/>
        <v>46113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104</v>
      </c>
      <c r="J369" s="7">
        <v>51562497</v>
      </c>
      <c r="K369" s="7" t="s">
        <v>2764</v>
      </c>
      <c r="L369" s="7" t="s">
        <v>2900</v>
      </c>
      <c r="M369" s="9">
        <v>139900</v>
      </c>
      <c r="N369" s="14" t="s">
        <v>618</v>
      </c>
      <c r="O369" s="14" t="str">
        <f t="shared" si="33"/>
        <v>B1G2</v>
      </c>
      <c r="P369" s="14" t="str">
        <f t="shared" si="34"/>
        <v>BXGY</v>
      </c>
    </row>
    <row r="370" spans="1:16" x14ac:dyDescent="0.25">
      <c r="A370" s="7" t="str">
        <f t="shared" si="30"/>
        <v>2025 JAN-APR B1G2</v>
      </c>
      <c r="B370" s="8">
        <f t="shared" si="31"/>
        <v>46099</v>
      </c>
      <c r="C370" s="8">
        <f t="shared" si="32"/>
        <v>46113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104</v>
      </c>
      <c r="J370" s="7">
        <v>51562504</v>
      </c>
      <c r="K370" s="7" t="s">
        <v>2764</v>
      </c>
      <c r="L370" s="7" t="s">
        <v>2901</v>
      </c>
      <c r="M370" s="9">
        <v>139900</v>
      </c>
      <c r="N370" s="14" t="s">
        <v>618</v>
      </c>
      <c r="O370" s="14" t="str">
        <f t="shared" si="33"/>
        <v>B1G2</v>
      </c>
      <c r="P370" s="14" t="str">
        <f t="shared" si="34"/>
        <v>BXGY</v>
      </c>
    </row>
    <row r="371" spans="1:16" x14ac:dyDescent="0.25">
      <c r="A371" s="7" t="str">
        <f t="shared" si="30"/>
        <v>2025 JAN-APR B1G2</v>
      </c>
      <c r="B371" s="8">
        <f t="shared" si="31"/>
        <v>46099</v>
      </c>
      <c r="C371" s="8">
        <f t="shared" si="32"/>
        <v>46113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104</v>
      </c>
      <c r="J371" s="7">
        <v>51562513</v>
      </c>
      <c r="K371" s="7" t="s">
        <v>2764</v>
      </c>
      <c r="L371" s="7" t="s">
        <v>2902</v>
      </c>
      <c r="M371" s="9">
        <v>139900</v>
      </c>
      <c r="N371" s="14" t="s">
        <v>618</v>
      </c>
      <c r="O371" s="14" t="str">
        <f t="shared" si="33"/>
        <v>B1G2</v>
      </c>
      <c r="P371" s="14" t="str">
        <f t="shared" si="34"/>
        <v>BXGY</v>
      </c>
    </row>
    <row r="372" spans="1:16" x14ac:dyDescent="0.25">
      <c r="A372" s="7" t="str">
        <f t="shared" si="30"/>
        <v>2025 JAN-APR B1G2</v>
      </c>
      <c r="B372" s="8">
        <f t="shared" si="31"/>
        <v>46099</v>
      </c>
      <c r="C372" s="8">
        <f t="shared" si="32"/>
        <v>46113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104</v>
      </c>
      <c r="J372" s="7">
        <v>51562522</v>
      </c>
      <c r="K372" s="7" t="s">
        <v>2765</v>
      </c>
      <c r="L372" s="7" t="s">
        <v>2903</v>
      </c>
      <c r="M372" s="9">
        <v>139900</v>
      </c>
      <c r="N372" s="14" t="s">
        <v>618</v>
      </c>
      <c r="O372" s="14" t="str">
        <f t="shared" si="33"/>
        <v>B1G2</v>
      </c>
      <c r="P372" s="14" t="str">
        <f t="shared" si="34"/>
        <v>BXGY</v>
      </c>
    </row>
    <row r="373" spans="1:16" x14ac:dyDescent="0.25">
      <c r="A373" s="7" t="str">
        <f t="shared" si="30"/>
        <v>2025 JAN-APR B1G2</v>
      </c>
      <c r="B373" s="8">
        <f t="shared" si="31"/>
        <v>46099</v>
      </c>
      <c r="C373" s="8">
        <f t="shared" si="32"/>
        <v>46113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104</v>
      </c>
      <c r="J373" s="7">
        <v>51562531</v>
      </c>
      <c r="K373" s="7" t="s">
        <v>2765</v>
      </c>
      <c r="L373" s="7" t="s">
        <v>2904</v>
      </c>
      <c r="M373" s="9">
        <v>139900</v>
      </c>
      <c r="N373" s="14" t="s">
        <v>618</v>
      </c>
      <c r="O373" s="14" t="str">
        <f t="shared" si="33"/>
        <v>B1G2</v>
      </c>
      <c r="P373" s="14" t="str">
        <f t="shared" si="34"/>
        <v>BXGY</v>
      </c>
    </row>
    <row r="374" spans="1:16" x14ac:dyDescent="0.25">
      <c r="A374" s="7" t="str">
        <f t="shared" si="30"/>
        <v>2025 JAN-APR B1G2</v>
      </c>
      <c r="B374" s="8">
        <f t="shared" si="31"/>
        <v>46099</v>
      </c>
      <c r="C374" s="8">
        <f t="shared" si="32"/>
        <v>46113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104</v>
      </c>
      <c r="J374" s="7">
        <v>51562540</v>
      </c>
      <c r="K374" s="7" t="s">
        <v>2765</v>
      </c>
      <c r="L374" s="7" t="s">
        <v>2905</v>
      </c>
      <c r="M374" s="9">
        <v>139900</v>
      </c>
      <c r="N374" s="14" t="s">
        <v>618</v>
      </c>
      <c r="O374" s="14" t="str">
        <f t="shared" si="33"/>
        <v>B1G2</v>
      </c>
      <c r="P374" s="14" t="str">
        <f t="shared" ref="P374:P405" si="35">P373</f>
        <v>BXGY</v>
      </c>
    </row>
    <row r="375" spans="1:16" x14ac:dyDescent="0.25">
      <c r="A375" s="7" t="str">
        <f t="shared" si="30"/>
        <v>2025 JAN-APR B1G2</v>
      </c>
      <c r="B375" s="8">
        <f t="shared" si="31"/>
        <v>46099</v>
      </c>
      <c r="C375" s="8">
        <f t="shared" si="32"/>
        <v>46113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104</v>
      </c>
      <c r="J375" s="7">
        <v>51562559</v>
      </c>
      <c r="K375" s="7" t="s">
        <v>2765</v>
      </c>
      <c r="L375" s="7" t="s">
        <v>2906</v>
      </c>
      <c r="M375" s="9">
        <v>139900</v>
      </c>
      <c r="N375" s="14" t="s">
        <v>618</v>
      </c>
      <c r="O375" s="14" t="str">
        <f t="shared" si="33"/>
        <v>B1G2</v>
      </c>
      <c r="P375" s="14" t="str">
        <f t="shared" si="35"/>
        <v>BXGY</v>
      </c>
    </row>
    <row r="376" spans="1:16" x14ac:dyDescent="0.25">
      <c r="A376" s="7" t="str">
        <f t="shared" si="30"/>
        <v>2025 JAN-APR B1G2</v>
      </c>
      <c r="B376" s="8">
        <f t="shared" si="31"/>
        <v>46099</v>
      </c>
      <c r="C376" s="8">
        <f t="shared" si="32"/>
        <v>46113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104</v>
      </c>
      <c r="J376" s="7">
        <v>51562568</v>
      </c>
      <c r="K376" s="7" t="s">
        <v>2765</v>
      </c>
      <c r="L376" s="7" t="s">
        <v>2907</v>
      </c>
      <c r="M376" s="9">
        <v>139900</v>
      </c>
      <c r="N376" s="14" t="s">
        <v>618</v>
      </c>
      <c r="O376" s="14" t="str">
        <f t="shared" si="33"/>
        <v>B1G2</v>
      </c>
      <c r="P376" s="14" t="str">
        <f t="shared" si="35"/>
        <v>BXGY</v>
      </c>
    </row>
    <row r="377" spans="1:16" x14ac:dyDescent="0.25">
      <c r="A377" s="7" t="str">
        <f t="shared" si="30"/>
        <v>2025 JAN-APR B1G2</v>
      </c>
      <c r="B377" s="8">
        <f t="shared" si="31"/>
        <v>46099</v>
      </c>
      <c r="C377" s="8">
        <f t="shared" si="32"/>
        <v>46113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104</v>
      </c>
      <c r="J377" s="7">
        <v>51562577</v>
      </c>
      <c r="K377" s="7" t="s">
        <v>2765</v>
      </c>
      <c r="L377" s="7" t="s">
        <v>2908</v>
      </c>
      <c r="M377" s="9">
        <v>139900</v>
      </c>
      <c r="N377" s="14" t="s">
        <v>618</v>
      </c>
      <c r="O377" s="14" t="str">
        <f t="shared" si="33"/>
        <v>B1G2</v>
      </c>
      <c r="P377" s="14" t="str">
        <f t="shared" si="35"/>
        <v>BXGY</v>
      </c>
    </row>
    <row r="378" spans="1:16" x14ac:dyDescent="0.25">
      <c r="A378" s="7" t="str">
        <f t="shared" si="30"/>
        <v>2025 JAN-APR B1G2</v>
      </c>
      <c r="B378" s="8">
        <f t="shared" si="31"/>
        <v>46099</v>
      </c>
      <c r="C378" s="8">
        <f t="shared" si="32"/>
        <v>46113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104</v>
      </c>
      <c r="J378" s="7">
        <v>51562586</v>
      </c>
      <c r="K378" s="7" t="s">
        <v>2765</v>
      </c>
      <c r="L378" s="7" t="s">
        <v>2909</v>
      </c>
      <c r="M378" s="9">
        <v>139900</v>
      </c>
      <c r="N378" s="14" t="s">
        <v>618</v>
      </c>
      <c r="O378" s="14" t="str">
        <f t="shared" si="33"/>
        <v>B1G2</v>
      </c>
      <c r="P378" s="14" t="str">
        <f t="shared" si="35"/>
        <v>BXGY</v>
      </c>
    </row>
    <row r="379" spans="1:16" x14ac:dyDescent="0.25">
      <c r="A379" s="7" t="str">
        <f t="shared" si="30"/>
        <v>2025 JAN-APR B1G2</v>
      </c>
      <c r="B379" s="8">
        <f t="shared" si="31"/>
        <v>46099</v>
      </c>
      <c r="C379" s="8">
        <f t="shared" si="32"/>
        <v>46113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104</v>
      </c>
      <c r="J379" s="7">
        <v>51562595</v>
      </c>
      <c r="K379" s="7" t="s">
        <v>2765</v>
      </c>
      <c r="L379" s="7" t="s">
        <v>2910</v>
      </c>
      <c r="M379" s="9">
        <v>139900</v>
      </c>
      <c r="N379" s="14" t="s">
        <v>618</v>
      </c>
      <c r="O379" s="14" t="str">
        <f t="shared" si="33"/>
        <v>B1G2</v>
      </c>
      <c r="P379" s="14" t="str">
        <f t="shared" si="35"/>
        <v>BXGY</v>
      </c>
    </row>
    <row r="380" spans="1:16" x14ac:dyDescent="0.25">
      <c r="A380" s="7" t="str">
        <f t="shared" si="30"/>
        <v>2025 JAN-APR B1G2</v>
      </c>
      <c r="B380" s="8">
        <f t="shared" si="31"/>
        <v>46099</v>
      </c>
      <c r="C380" s="8">
        <f t="shared" si="32"/>
        <v>46113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104</v>
      </c>
      <c r="J380" s="7">
        <v>51562764</v>
      </c>
      <c r="K380" s="7" t="s">
        <v>2766</v>
      </c>
      <c r="L380" s="7" t="s">
        <v>2911</v>
      </c>
      <c r="M380" s="9">
        <v>139900</v>
      </c>
      <c r="N380" s="14" t="s">
        <v>618</v>
      </c>
      <c r="O380" s="14" t="str">
        <f t="shared" si="33"/>
        <v>B1G2</v>
      </c>
      <c r="P380" s="14" t="str">
        <f t="shared" si="35"/>
        <v>BXGY</v>
      </c>
    </row>
    <row r="381" spans="1:16" x14ac:dyDescent="0.25">
      <c r="A381" s="7" t="str">
        <f t="shared" si="30"/>
        <v>2025 JAN-APR B1G2</v>
      </c>
      <c r="B381" s="8">
        <f t="shared" si="31"/>
        <v>46099</v>
      </c>
      <c r="C381" s="8">
        <f t="shared" si="32"/>
        <v>46113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104</v>
      </c>
      <c r="J381" s="7">
        <v>51562773</v>
      </c>
      <c r="K381" s="7" t="s">
        <v>2766</v>
      </c>
      <c r="L381" s="7" t="s">
        <v>2912</v>
      </c>
      <c r="M381" s="9">
        <v>139900</v>
      </c>
      <c r="N381" s="14" t="s">
        <v>618</v>
      </c>
      <c r="O381" s="14" t="str">
        <f t="shared" si="33"/>
        <v>B1G2</v>
      </c>
      <c r="P381" s="14" t="str">
        <f t="shared" si="35"/>
        <v>BXGY</v>
      </c>
    </row>
    <row r="382" spans="1:16" x14ac:dyDescent="0.25">
      <c r="A382" s="7" t="str">
        <f t="shared" si="30"/>
        <v>2025 JAN-APR B1G2</v>
      </c>
      <c r="B382" s="8">
        <f t="shared" si="31"/>
        <v>46099</v>
      </c>
      <c r="C382" s="8">
        <f t="shared" si="32"/>
        <v>46113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104</v>
      </c>
      <c r="J382" s="7">
        <v>51562782</v>
      </c>
      <c r="K382" s="7" t="s">
        <v>2766</v>
      </c>
      <c r="L382" s="7" t="s">
        <v>2913</v>
      </c>
      <c r="M382" s="9">
        <v>139900</v>
      </c>
      <c r="N382" s="14" t="s">
        <v>618</v>
      </c>
      <c r="O382" s="14" t="str">
        <f t="shared" si="33"/>
        <v>B1G2</v>
      </c>
      <c r="P382" s="14" t="str">
        <f t="shared" si="35"/>
        <v>BXGY</v>
      </c>
    </row>
    <row r="383" spans="1:16" x14ac:dyDescent="0.25">
      <c r="A383" s="7" t="str">
        <f t="shared" si="30"/>
        <v>2025 JAN-APR B1G2</v>
      </c>
      <c r="B383" s="8">
        <f t="shared" si="31"/>
        <v>46099</v>
      </c>
      <c r="C383" s="8">
        <f t="shared" si="32"/>
        <v>46113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104</v>
      </c>
      <c r="J383" s="7">
        <v>51562791</v>
      </c>
      <c r="K383" s="7" t="s">
        <v>2766</v>
      </c>
      <c r="L383" s="7" t="s">
        <v>2914</v>
      </c>
      <c r="M383" s="9">
        <v>139900</v>
      </c>
      <c r="N383" s="14" t="s">
        <v>618</v>
      </c>
      <c r="O383" s="14" t="str">
        <f t="shared" si="33"/>
        <v>B1G2</v>
      </c>
      <c r="P383" s="14" t="str">
        <f t="shared" si="35"/>
        <v>BXGY</v>
      </c>
    </row>
    <row r="384" spans="1:16" x14ac:dyDescent="0.25">
      <c r="A384" s="7" t="str">
        <f t="shared" si="30"/>
        <v>2025 JAN-APR B1G2</v>
      </c>
      <c r="B384" s="8">
        <f t="shared" si="31"/>
        <v>46099</v>
      </c>
      <c r="C384" s="8">
        <f t="shared" si="32"/>
        <v>46113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104</v>
      </c>
      <c r="J384" s="7">
        <v>51562808</v>
      </c>
      <c r="K384" s="7" t="s">
        <v>2766</v>
      </c>
      <c r="L384" s="7" t="s">
        <v>2915</v>
      </c>
      <c r="M384" s="9">
        <v>139900</v>
      </c>
      <c r="N384" s="14" t="s">
        <v>618</v>
      </c>
      <c r="O384" s="14" t="str">
        <f t="shared" si="33"/>
        <v>B1G2</v>
      </c>
      <c r="P384" s="14" t="str">
        <f t="shared" si="35"/>
        <v>BXGY</v>
      </c>
    </row>
    <row r="385" spans="1:16" x14ac:dyDescent="0.25">
      <c r="A385" s="7" t="str">
        <f t="shared" si="30"/>
        <v>2025 JAN-APR B1G2</v>
      </c>
      <c r="B385" s="8">
        <f t="shared" si="31"/>
        <v>46099</v>
      </c>
      <c r="C385" s="8">
        <f t="shared" si="32"/>
        <v>46113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104</v>
      </c>
      <c r="J385" s="7">
        <v>51562817</v>
      </c>
      <c r="K385" s="7" t="s">
        <v>2766</v>
      </c>
      <c r="L385" s="7" t="s">
        <v>2916</v>
      </c>
      <c r="M385" s="9">
        <v>149900</v>
      </c>
      <c r="N385" s="14" t="s">
        <v>618</v>
      </c>
      <c r="O385" s="14" t="str">
        <f t="shared" si="33"/>
        <v>B1G2</v>
      </c>
      <c r="P385" s="14" t="str">
        <f t="shared" si="35"/>
        <v>BXGY</v>
      </c>
    </row>
    <row r="386" spans="1:16" x14ac:dyDescent="0.25">
      <c r="A386" s="7" t="str">
        <f t="shared" si="30"/>
        <v>2025 JAN-APR B1G2</v>
      </c>
      <c r="B386" s="8">
        <f t="shared" si="31"/>
        <v>46099</v>
      </c>
      <c r="C386" s="8">
        <f t="shared" si="32"/>
        <v>46113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104</v>
      </c>
      <c r="J386" s="7">
        <v>51562826</v>
      </c>
      <c r="K386" s="7" t="s">
        <v>2766</v>
      </c>
      <c r="L386" s="7" t="s">
        <v>2917</v>
      </c>
      <c r="M386" s="9">
        <v>149900</v>
      </c>
      <c r="N386" s="14" t="s">
        <v>618</v>
      </c>
      <c r="O386" s="14" t="str">
        <f t="shared" si="33"/>
        <v>B1G2</v>
      </c>
      <c r="P386" s="14" t="str">
        <f t="shared" si="35"/>
        <v>BXGY</v>
      </c>
    </row>
    <row r="387" spans="1:16" x14ac:dyDescent="0.25">
      <c r="A387" s="7" t="str">
        <f t="shared" ref="A387:A450" si="36">A386</f>
        <v>2025 JAN-APR B1G2</v>
      </c>
      <c r="B387" s="8">
        <f t="shared" ref="B387:B450" si="37">B386</f>
        <v>46099</v>
      </c>
      <c r="C387" s="8">
        <f t="shared" ref="C387:C450" si="38">C386</f>
        <v>46113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104</v>
      </c>
      <c r="J387" s="7">
        <v>51562835</v>
      </c>
      <c r="K387" s="7" t="s">
        <v>2766</v>
      </c>
      <c r="L387" s="7" t="s">
        <v>2918</v>
      </c>
      <c r="M387" s="9">
        <v>149900</v>
      </c>
      <c r="N387" s="14" t="s">
        <v>618</v>
      </c>
      <c r="O387" s="14" t="str">
        <f t="shared" ref="O387:O450" si="39">O386</f>
        <v>B1G2</v>
      </c>
      <c r="P387" s="14" t="str">
        <f t="shared" si="35"/>
        <v>BXGY</v>
      </c>
    </row>
    <row r="388" spans="1:16" x14ac:dyDescent="0.25">
      <c r="A388" s="7" t="str">
        <f t="shared" si="36"/>
        <v>2025 JAN-APR B1G2</v>
      </c>
      <c r="B388" s="8">
        <f t="shared" si="37"/>
        <v>46099</v>
      </c>
      <c r="C388" s="8">
        <f t="shared" si="38"/>
        <v>46113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104</v>
      </c>
      <c r="J388" s="7">
        <v>51562924</v>
      </c>
      <c r="K388" s="7" t="s">
        <v>2767</v>
      </c>
      <c r="L388" s="7" t="s">
        <v>2919</v>
      </c>
      <c r="M388" s="9">
        <v>149900</v>
      </c>
      <c r="N388" s="14" t="s">
        <v>618</v>
      </c>
      <c r="O388" s="14" t="str">
        <f t="shared" si="39"/>
        <v>B1G2</v>
      </c>
      <c r="P388" s="14" t="str">
        <f t="shared" si="35"/>
        <v>BXGY</v>
      </c>
    </row>
    <row r="389" spans="1:16" x14ac:dyDescent="0.25">
      <c r="A389" s="7" t="str">
        <f t="shared" si="36"/>
        <v>2025 JAN-APR B1G2</v>
      </c>
      <c r="B389" s="8">
        <f t="shared" si="37"/>
        <v>46099</v>
      </c>
      <c r="C389" s="8">
        <f t="shared" si="38"/>
        <v>46113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104</v>
      </c>
      <c r="J389" s="7">
        <v>51562933</v>
      </c>
      <c r="K389" s="7" t="s">
        <v>2767</v>
      </c>
      <c r="L389" s="7" t="s">
        <v>2920</v>
      </c>
      <c r="M389" s="9">
        <v>149900</v>
      </c>
      <c r="N389" s="14" t="s">
        <v>618</v>
      </c>
      <c r="O389" s="14" t="str">
        <f t="shared" si="39"/>
        <v>B1G2</v>
      </c>
      <c r="P389" s="14" t="str">
        <f t="shared" si="35"/>
        <v>BXGY</v>
      </c>
    </row>
    <row r="390" spans="1:16" x14ac:dyDescent="0.25">
      <c r="A390" s="7" t="str">
        <f t="shared" si="36"/>
        <v>2025 JAN-APR B1G2</v>
      </c>
      <c r="B390" s="8">
        <f t="shared" si="37"/>
        <v>46099</v>
      </c>
      <c r="C390" s="8">
        <f t="shared" si="38"/>
        <v>46113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104</v>
      </c>
      <c r="J390" s="7">
        <v>51562942</v>
      </c>
      <c r="K390" s="7" t="s">
        <v>2767</v>
      </c>
      <c r="L390" s="7" t="s">
        <v>2921</v>
      </c>
      <c r="M390" s="9">
        <v>149900</v>
      </c>
      <c r="N390" s="14" t="s">
        <v>618</v>
      </c>
      <c r="O390" s="14" t="str">
        <f t="shared" si="39"/>
        <v>B1G2</v>
      </c>
      <c r="P390" s="14" t="str">
        <f t="shared" si="35"/>
        <v>BXGY</v>
      </c>
    </row>
    <row r="391" spans="1:16" x14ac:dyDescent="0.25">
      <c r="A391" s="7" t="str">
        <f t="shared" si="36"/>
        <v>2025 JAN-APR B1G2</v>
      </c>
      <c r="B391" s="8">
        <f t="shared" si="37"/>
        <v>46099</v>
      </c>
      <c r="C391" s="8">
        <f t="shared" si="38"/>
        <v>46113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104</v>
      </c>
      <c r="J391" s="7">
        <v>51562951</v>
      </c>
      <c r="K391" s="7" t="s">
        <v>2767</v>
      </c>
      <c r="L391" s="7" t="s">
        <v>2922</v>
      </c>
      <c r="M391" s="9">
        <v>149900</v>
      </c>
      <c r="N391" s="14" t="s">
        <v>618</v>
      </c>
      <c r="O391" s="14" t="str">
        <f t="shared" si="39"/>
        <v>B1G2</v>
      </c>
      <c r="P391" s="14" t="str">
        <f t="shared" si="35"/>
        <v>BXGY</v>
      </c>
    </row>
    <row r="392" spans="1:16" x14ac:dyDescent="0.25">
      <c r="A392" s="7" t="str">
        <f t="shared" si="36"/>
        <v>2025 JAN-APR B1G2</v>
      </c>
      <c r="B392" s="8">
        <f t="shared" si="37"/>
        <v>46099</v>
      </c>
      <c r="C392" s="8">
        <f t="shared" si="38"/>
        <v>46113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104</v>
      </c>
      <c r="J392" s="7">
        <v>51562960</v>
      </c>
      <c r="K392" s="7" t="s">
        <v>2767</v>
      </c>
      <c r="L392" s="7" t="s">
        <v>2923</v>
      </c>
      <c r="M392" s="9">
        <v>149900</v>
      </c>
      <c r="N392" s="14" t="s">
        <v>618</v>
      </c>
      <c r="O392" s="14" t="str">
        <f t="shared" si="39"/>
        <v>B1G2</v>
      </c>
      <c r="P392" s="14" t="str">
        <f t="shared" si="35"/>
        <v>BXGY</v>
      </c>
    </row>
    <row r="393" spans="1:16" x14ac:dyDescent="0.25">
      <c r="A393" s="7" t="str">
        <f t="shared" si="36"/>
        <v>2025 JAN-APR B1G2</v>
      </c>
      <c r="B393" s="8">
        <f t="shared" si="37"/>
        <v>46099</v>
      </c>
      <c r="C393" s="8">
        <f t="shared" si="38"/>
        <v>46113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104</v>
      </c>
      <c r="J393" s="7">
        <v>51562979</v>
      </c>
      <c r="K393" s="7" t="s">
        <v>2767</v>
      </c>
      <c r="L393" s="7" t="s">
        <v>2924</v>
      </c>
      <c r="M393" s="9">
        <v>139900</v>
      </c>
      <c r="N393" s="14" t="s">
        <v>618</v>
      </c>
      <c r="O393" s="14" t="str">
        <f t="shared" si="39"/>
        <v>B1G2</v>
      </c>
      <c r="P393" s="14" t="str">
        <f t="shared" si="35"/>
        <v>BXGY</v>
      </c>
    </row>
    <row r="394" spans="1:16" x14ac:dyDescent="0.25">
      <c r="A394" s="7" t="str">
        <f t="shared" si="36"/>
        <v>2025 JAN-APR B1G2</v>
      </c>
      <c r="B394" s="8">
        <f t="shared" si="37"/>
        <v>46099</v>
      </c>
      <c r="C394" s="8">
        <f t="shared" si="38"/>
        <v>46113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104</v>
      </c>
      <c r="J394" s="7">
        <v>51562988</v>
      </c>
      <c r="K394" s="7" t="s">
        <v>2767</v>
      </c>
      <c r="L394" s="7" t="s">
        <v>2925</v>
      </c>
      <c r="M394" s="9">
        <v>139900</v>
      </c>
      <c r="N394" s="14" t="s">
        <v>618</v>
      </c>
      <c r="O394" s="14" t="str">
        <f t="shared" si="39"/>
        <v>B1G2</v>
      </c>
      <c r="P394" s="14" t="str">
        <f t="shared" si="35"/>
        <v>BXGY</v>
      </c>
    </row>
    <row r="395" spans="1:16" x14ac:dyDescent="0.25">
      <c r="A395" s="7" t="str">
        <f t="shared" si="36"/>
        <v>2025 JAN-APR B1G2</v>
      </c>
      <c r="B395" s="8">
        <f t="shared" si="37"/>
        <v>46099</v>
      </c>
      <c r="C395" s="8">
        <f t="shared" si="38"/>
        <v>46113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104</v>
      </c>
      <c r="J395" s="7">
        <v>51562997</v>
      </c>
      <c r="K395" s="7" t="s">
        <v>2767</v>
      </c>
      <c r="L395" s="7" t="s">
        <v>2926</v>
      </c>
      <c r="M395" s="9">
        <v>139900</v>
      </c>
      <c r="N395" s="14" t="s">
        <v>618</v>
      </c>
      <c r="O395" s="14" t="str">
        <f t="shared" si="39"/>
        <v>B1G2</v>
      </c>
      <c r="P395" s="14" t="str">
        <f t="shared" si="35"/>
        <v>BXGY</v>
      </c>
    </row>
    <row r="396" spans="1:16" x14ac:dyDescent="0.25">
      <c r="A396" s="7" t="str">
        <f t="shared" si="36"/>
        <v>2025 JAN-APR B1G2</v>
      </c>
      <c r="B396" s="8">
        <f t="shared" si="37"/>
        <v>46099</v>
      </c>
      <c r="C396" s="8">
        <f t="shared" si="38"/>
        <v>46113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104</v>
      </c>
      <c r="J396" s="7">
        <v>52176180</v>
      </c>
      <c r="K396" s="7" t="s">
        <v>2467</v>
      </c>
      <c r="L396" s="7" t="s">
        <v>2701</v>
      </c>
      <c r="M396" s="9">
        <v>169900</v>
      </c>
      <c r="N396" s="14" t="s">
        <v>618</v>
      </c>
      <c r="O396" s="14" t="str">
        <f t="shared" si="39"/>
        <v>B1G2</v>
      </c>
      <c r="P396" s="14" t="str">
        <f t="shared" si="35"/>
        <v>BXGY</v>
      </c>
    </row>
    <row r="397" spans="1:16" x14ac:dyDescent="0.25">
      <c r="A397" s="7" t="str">
        <f t="shared" si="36"/>
        <v>2025 JAN-APR B1G2</v>
      </c>
      <c r="B397" s="8">
        <f t="shared" si="37"/>
        <v>46099</v>
      </c>
      <c r="C397" s="8">
        <f t="shared" si="38"/>
        <v>46113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104</v>
      </c>
      <c r="J397" s="7">
        <v>52176199</v>
      </c>
      <c r="K397" s="7" t="s">
        <v>2467</v>
      </c>
      <c r="L397" s="7" t="s">
        <v>2702</v>
      </c>
      <c r="M397" s="9">
        <v>169900</v>
      </c>
      <c r="N397" s="14" t="s">
        <v>618</v>
      </c>
      <c r="O397" s="14" t="str">
        <f t="shared" si="39"/>
        <v>B1G2</v>
      </c>
      <c r="P397" s="14" t="str">
        <f t="shared" si="35"/>
        <v>BXGY</v>
      </c>
    </row>
    <row r="398" spans="1:16" x14ac:dyDescent="0.25">
      <c r="A398" s="7" t="str">
        <f t="shared" si="36"/>
        <v>2025 JAN-APR B1G2</v>
      </c>
      <c r="B398" s="8">
        <f t="shared" si="37"/>
        <v>46099</v>
      </c>
      <c r="C398" s="8">
        <f t="shared" si="38"/>
        <v>46113</v>
      </c>
      <c r="D398" s="7">
        <v>3272</v>
      </c>
      <c r="E398" s="7">
        <v>336</v>
      </c>
      <c r="F398" s="7">
        <v>4</v>
      </c>
      <c r="G398" s="7">
        <v>1</v>
      </c>
      <c r="H398" s="7">
        <v>81588</v>
      </c>
      <c r="I398" s="7" t="s">
        <v>104</v>
      </c>
      <c r="J398" s="7">
        <v>52176206</v>
      </c>
      <c r="K398" s="7" t="s">
        <v>2518</v>
      </c>
      <c r="L398" s="7" t="s">
        <v>2703</v>
      </c>
      <c r="M398" s="9">
        <v>169900</v>
      </c>
      <c r="N398" s="14" t="s">
        <v>618</v>
      </c>
      <c r="O398" s="14" t="str">
        <f t="shared" si="39"/>
        <v>B1G2</v>
      </c>
      <c r="P398" s="14" t="str">
        <f t="shared" si="35"/>
        <v>BXGY</v>
      </c>
    </row>
    <row r="399" spans="1:16" x14ac:dyDescent="0.25">
      <c r="A399" s="7" t="str">
        <f t="shared" si="36"/>
        <v>2025 JAN-APR B1G2</v>
      </c>
      <c r="B399" s="8">
        <f t="shared" si="37"/>
        <v>46099</v>
      </c>
      <c r="C399" s="8">
        <f t="shared" si="38"/>
        <v>46113</v>
      </c>
      <c r="D399" s="7">
        <v>3272</v>
      </c>
      <c r="E399" s="7">
        <v>336</v>
      </c>
      <c r="F399" s="7">
        <v>4</v>
      </c>
      <c r="G399" s="7">
        <v>1</v>
      </c>
      <c r="H399" s="7">
        <v>81588</v>
      </c>
      <c r="I399" s="7" t="s">
        <v>104</v>
      </c>
      <c r="J399" s="7">
        <v>52176215</v>
      </c>
      <c r="K399" s="7" t="s">
        <v>2518</v>
      </c>
      <c r="L399" s="7" t="s">
        <v>2704</v>
      </c>
      <c r="M399" s="9">
        <v>169900</v>
      </c>
      <c r="N399" s="14" t="s">
        <v>618</v>
      </c>
      <c r="O399" s="14" t="str">
        <f t="shared" si="39"/>
        <v>B1G2</v>
      </c>
      <c r="P399" s="14" t="str">
        <f t="shared" si="35"/>
        <v>BXGY</v>
      </c>
    </row>
    <row r="400" spans="1:16" x14ac:dyDescent="0.25">
      <c r="A400" s="7" t="str">
        <f t="shared" si="36"/>
        <v>2025 JAN-APR B1G2</v>
      </c>
      <c r="B400" s="8">
        <f t="shared" si="37"/>
        <v>46099</v>
      </c>
      <c r="C400" s="8">
        <f t="shared" si="38"/>
        <v>46113</v>
      </c>
      <c r="D400" s="7">
        <v>3272</v>
      </c>
      <c r="E400" s="7">
        <v>336</v>
      </c>
      <c r="F400" s="7">
        <v>4</v>
      </c>
      <c r="G400" s="7">
        <v>1</v>
      </c>
      <c r="H400" s="7">
        <v>81588</v>
      </c>
      <c r="I400" s="7" t="s">
        <v>104</v>
      </c>
      <c r="J400" s="7">
        <v>52176224</v>
      </c>
      <c r="K400" s="7" t="s">
        <v>2518</v>
      </c>
      <c r="L400" s="7" t="s">
        <v>2705</v>
      </c>
      <c r="M400" s="9">
        <v>169900</v>
      </c>
      <c r="N400" s="14" t="s">
        <v>618</v>
      </c>
      <c r="O400" s="14" t="str">
        <f t="shared" si="39"/>
        <v>B1G2</v>
      </c>
      <c r="P400" s="14" t="str">
        <f t="shared" si="35"/>
        <v>BXGY</v>
      </c>
    </row>
    <row r="401" spans="1:16" x14ac:dyDescent="0.25">
      <c r="A401" s="7" t="str">
        <f t="shared" si="36"/>
        <v>2025 JAN-APR B1G2</v>
      </c>
      <c r="B401" s="8">
        <f t="shared" si="37"/>
        <v>46099</v>
      </c>
      <c r="C401" s="8">
        <f t="shared" si="38"/>
        <v>46113</v>
      </c>
      <c r="D401" s="7">
        <v>3272</v>
      </c>
      <c r="E401" s="7">
        <v>336</v>
      </c>
      <c r="F401" s="7">
        <v>4</v>
      </c>
      <c r="G401" s="7">
        <v>1</v>
      </c>
      <c r="H401" s="7">
        <v>81588</v>
      </c>
      <c r="I401" s="7" t="s">
        <v>104</v>
      </c>
      <c r="J401" s="7">
        <v>52176233</v>
      </c>
      <c r="K401" s="7" t="s">
        <v>2518</v>
      </c>
      <c r="L401" s="7" t="s">
        <v>2706</v>
      </c>
      <c r="M401" s="9">
        <v>169900</v>
      </c>
      <c r="N401" s="14" t="s">
        <v>618</v>
      </c>
      <c r="O401" s="14" t="str">
        <f t="shared" si="39"/>
        <v>B1G2</v>
      </c>
      <c r="P401" s="14" t="str">
        <f t="shared" si="35"/>
        <v>BXGY</v>
      </c>
    </row>
    <row r="402" spans="1:16" x14ac:dyDescent="0.25">
      <c r="A402" s="7" t="str">
        <f t="shared" si="36"/>
        <v>2025 JAN-APR B1G2</v>
      </c>
      <c r="B402" s="8">
        <f t="shared" si="37"/>
        <v>46099</v>
      </c>
      <c r="C402" s="8">
        <f t="shared" si="38"/>
        <v>46113</v>
      </c>
      <c r="D402" s="7">
        <v>3272</v>
      </c>
      <c r="E402" s="7">
        <v>336</v>
      </c>
      <c r="F402" s="7">
        <v>4</v>
      </c>
      <c r="G402" s="7">
        <v>1</v>
      </c>
      <c r="H402" s="7">
        <v>81588</v>
      </c>
      <c r="I402" s="7" t="s">
        <v>104</v>
      </c>
      <c r="J402" s="7">
        <v>52176242</v>
      </c>
      <c r="K402" s="7" t="s">
        <v>2518</v>
      </c>
      <c r="L402" s="7" t="s">
        <v>2707</v>
      </c>
      <c r="M402" s="9">
        <v>169900</v>
      </c>
      <c r="N402" s="14" t="s">
        <v>618</v>
      </c>
      <c r="O402" s="14" t="str">
        <f t="shared" si="39"/>
        <v>B1G2</v>
      </c>
      <c r="P402" s="14" t="str">
        <f t="shared" si="35"/>
        <v>BXGY</v>
      </c>
    </row>
    <row r="403" spans="1:16" x14ac:dyDescent="0.25">
      <c r="A403" s="7" t="str">
        <f t="shared" si="36"/>
        <v>2025 JAN-APR B1G2</v>
      </c>
      <c r="B403" s="8">
        <f t="shared" si="37"/>
        <v>46099</v>
      </c>
      <c r="C403" s="8">
        <f t="shared" si="38"/>
        <v>46113</v>
      </c>
      <c r="D403" s="7">
        <v>3272</v>
      </c>
      <c r="E403" s="7">
        <v>336</v>
      </c>
      <c r="F403" s="7">
        <v>4</v>
      </c>
      <c r="G403" s="7">
        <v>1</v>
      </c>
      <c r="H403" s="7">
        <v>81588</v>
      </c>
      <c r="I403" s="7" t="s">
        <v>104</v>
      </c>
      <c r="J403" s="7">
        <v>52176251</v>
      </c>
      <c r="K403" s="7" t="s">
        <v>2327</v>
      </c>
      <c r="L403" s="7" t="s">
        <v>2708</v>
      </c>
      <c r="M403" s="9">
        <v>169900</v>
      </c>
      <c r="N403" s="14" t="s">
        <v>618</v>
      </c>
      <c r="O403" s="14" t="str">
        <f t="shared" si="39"/>
        <v>B1G2</v>
      </c>
      <c r="P403" s="14" t="str">
        <f t="shared" si="35"/>
        <v>BXGY</v>
      </c>
    </row>
    <row r="404" spans="1:16" x14ac:dyDescent="0.25">
      <c r="A404" s="7" t="str">
        <f t="shared" si="36"/>
        <v>2025 JAN-APR B1G2</v>
      </c>
      <c r="B404" s="8">
        <f t="shared" si="37"/>
        <v>46099</v>
      </c>
      <c r="C404" s="8">
        <f t="shared" si="38"/>
        <v>46113</v>
      </c>
      <c r="D404" s="7">
        <v>3272</v>
      </c>
      <c r="E404" s="7">
        <v>336</v>
      </c>
      <c r="F404" s="7">
        <v>4</v>
      </c>
      <c r="G404" s="7">
        <v>1</v>
      </c>
      <c r="H404" s="7">
        <v>81588</v>
      </c>
      <c r="I404" s="7" t="s">
        <v>104</v>
      </c>
      <c r="J404" s="7">
        <v>52176260</v>
      </c>
      <c r="K404" s="7" t="s">
        <v>2327</v>
      </c>
      <c r="L404" s="7" t="s">
        <v>2709</v>
      </c>
      <c r="M404" s="9">
        <v>169900</v>
      </c>
      <c r="N404" s="14" t="s">
        <v>618</v>
      </c>
      <c r="O404" s="14" t="str">
        <f t="shared" si="39"/>
        <v>B1G2</v>
      </c>
      <c r="P404" s="14" t="str">
        <f t="shared" si="35"/>
        <v>BXGY</v>
      </c>
    </row>
    <row r="405" spans="1:16" x14ac:dyDescent="0.25">
      <c r="A405" s="7" t="str">
        <f t="shared" si="36"/>
        <v>2025 JAN-APR B1G2</v>
      </c>
      <c r="B405" s="8">
        <f t="shared" si="37"/>
        <v>46099</v>
      </c>
      <c r="C405" s="8">
        <f t="shared" si="38"/>
        <v>46113</v>
      </c>
      <c r="D405" s="7">
        <v>3272</v>
      </c>
      <c r="E405" s="7">
        <v>336</v>
      </c>
      <c r="F405" s="7">
        <v>4</v>
      </c>
      <c r="G405" s="7">
        <v>1</v>
      </c>
      <c r="H405" s="7">
        <v>81588</v>
      </c>
      <c r="I405" s="7" t="s">
        <v>104</v>
      </c>
      <c r="J405" s="7">
        <v>52176279</v>
      </c>
      <c r="K405" s="7" t="s">
        <v>2327</v>
      </c>
      <c r="L405" s="7" t="s">
        <v>2710</v>
      </c>
      <c r="M405" s="9">
        <v>169900</v>
      </c>
      <c r="N405" s="14" t="s">
        <v>618</v>
      </c>
      <c r="O405" s="14" t="str">
        <f t="shared" si="39"/>
        <v>B1G2</v>
      </c>
      <c r="P405" s="14" t="str">
        <f t="shared" si="35"/>
        <v>BXGY</v>
      </c>
    </row>
    <row r="406" spans="1:16" x14ac:dyDescent="0.25">
      <c r="A406" s="7" t="str">
        <f t="shared" si="36"/>
        <v>2025 JAN-APR B1G2</v>
      </c>
      <c r="B406" s="8">
        <f t="shared" si="37"/>
        <v>46099</v>
      </c>
      <c r="C406" s="8">
        <f t="shared" si="38"/>
        <v>46113</v>
      </c>
      <c r="D406" s="7">
        <v>3272</v>
      </c>
      <c r="E406" s="7">
        <v>336</v>
      </c>
      <c r="F406" s="7">
        <v>4</v>
      </c>
      <c r="G406" s="7">
        <v>1</v>
      </c>
      <c r="H406" s="7">
        <v>81588</v>
      </c>
      <c r="I406" s="7" t="s">
        <v>104</v>
      </c>
      <c r="J406" s="7">
        <v>52176288</v>
      </c>
      <c r="K406" s="7" t="s">
        <v>2327</v>
      </c>
      <c r="L406" s="7" t="s">
        <v>2711</v>
      </c>
      <c r="M406" s="9">
        <v>169900</v>
      </c>
      <c r="N406" s="14" t="s">
        <v>618</v>
      </c>
      <c r="O406" s="14" t="str">
        <f t="shared" si="39"/>
        <v>B1G2</v>
      </c>
      <c r="P406" s="14" t="str">
        <f t="shared" ref="P406:P437" si="40">P405</f>
        <v>BXGY</v>
      </c>
    </row>
    <row r="407" spans="1:16" x14ac:dyDescent="0.25">
      <c r="A407" s="7" t="str">
        <f t="shared" si="36"/>
        <v>2025 JAN-APR B1G2</v>
      </c>
      <c r="B407" s="8">
        <f t="shared" si="37"/>
        <v>46099</v>
      </c>
      <c r="C407" s="8">
        <f t="shared" si="38"/>
        <v>46113</v>
      </c>
      <c r="D407" s="7">
        <v>3272</v>
      </c>
      <c r="E407" s="7">
        <v>336</v>
      </c>
      <c r="F407" s="7">
        <v>4</v>
      </c>
      <c r="G407" s="7">
        <v>1</v>
      </c>
      <c r="H407" s="7">
        <v>81588</v>
      </c>
      <c r="I407" s="7" t="s">
        <v>104</v>
      </c>
      <c r="J407" s="7">
        <v>52176297</v>
      </c>
      <c r="K407" s="7" t="s">
        <v>2327</v>
      </c>
      <c r="L407" s="7" t="s">
        <v>2712</v>
      </c>
      <c r="M407" s="9">
        <v>249900</v>
      </c>
      <c r="N407" s="14" t="s">
        <v>618</v>
      </c>
      <c r="O407" s="14" t="str">
        <f t="shared" si="39"/>
        <v>B1G2</v>
      </c>
      <c r="P407" s="14" t="str">
        <f t="shared" si="40"/>
        <v>BXGY</v>
      </c>
    </row>
    <row r="408" spans="1:16" x14ac:dyDescent="0.25">
      <c r="A408" s="7" t="str">
        <f t="shared" si="36"/>
        <v>2025 JAN-APR B1G2</v>
      </c>
      <c r="B408" s="8">
        <f t="shared" si="37"/>
        <v>46099</v>
      </c>
      <c r="C408" s="8">
        <f t="shared" si="38"/>
        <v>46113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104</v>
      </c>
      <c r="J408" s="7">
        <v>52655493</v>
      </c>
      <c r="K408" s="7" t="s">
        <v>2467</v>
      </c>
      <c r="L408" s="7" t="s">
        <v>2713</v>
      </c>
      <c r="M408" s="9">
        <v>249900</v>
      </c>
      <c r="N408" s="14" t="s">
        <v>618</v>
      </c>
      <c r="O408" s="14" t="str">
        <f t="shared" si="39"/>
        <v>B1G2</v>
      </c>
      <c r="P408" s="14" t="str">
        <f t="shared" si="40"/>
        <v>BXGY</v>
      </c>
    </row>
    <row r="409" spans="1:16" x14ac:dyDescent="0.25">
      <c r="A409" s="7" t="str">
        <f t="shared" si="36"/>
        <v>2025 JAN-APR B1G2</v>
      </c>
      <c r="B409" s="8">
        <f t="shared" si="37"/>
        <v>46099</v>
      </c>
      <c r="C409" s="8">
        <f t="shared" si="38"/>
        <v>46113</v>
      </c>
      <c r="D409" s="7">
        <v>3272</v>
      </c>
      <c r="E409" s="7">
        <v>336</v>
      </c>
      <c r="F409" s="7">
        <v>4</v>
      </c>
      <c r="G409" s="7">
        <v>1</v>
      </c>
      <c r="H409" s="7">
        <v>81588</v>
      </c>
      <c r="I409" s="7" t="s">
        <v>104</v>
      </c>
      <c r="J409" s="7">
        <v>45645874</v>
      </c>
      <c r="K409" s="7" t="s">
        <v>2945</v>
      </c>
      <c r="L409" s="7" t="s">
        <v>2946</v>
      </c>
      <c r="M409" s="9">
        <v>149900</v>
      </c>
      <c r="N409" s="14" t="s">
        <v>618</v>
      </c>
      <c r="O409" s="14" t="str">
        <f t="shared" si="39"/>
        <v>B1G2</v>
      </c>
      <c r="P409" s="14" t="str">
        <f t="shared" si="40"/>
        <v>BXGY</v>
      </c>
    </row>
    <row r="410" spans="1:16" x14ac:dyDescent="0.25">
      <c r="A410" s="7" t="str">
        <f t="shared" si="36"/>
        <v>2025 JAN-APR B1G2</v>
      </c>
      <c r="B410" s="8">
        <f t="shared" si="37"/>
        <v>46099</v>
      </c>
      <c r="C410" s="8">
        <f t="shared" si="38"/>
        <v>46113</v>
      </c>
      <c r="D410" s="7">
        <v>3272</v>
      </c>
      <c r="E410" s="7">
        <v>336</v>
      </c>
      <c r="F410" s="7">
        <v>4</v>
      </c>
      <c r="G410" s="7">
        <v>1</v>
      </c>
      <c r="H410" s="7">
        <v>81588</v>
      </c>
      <c r="I410" s="7" t="s">
        <v>104</v>
      </c>
      <c r="J410" s="7">
        <v>45645883</v>
      </c>
      <c r="K410" s="7" t="s">
        <v>2945</v>
      </c>
      <c r="L410" s="7" t="s">
        <v>2947</v>
      </c>
      <c r="M410" s="9">
        <v>149900</v>
      </c>
      <c r="N410" s="14" t="s">
        <v>618</v>
      </c>
      <c r="O410" s="14" t="str">
        <f t="shared" si="39"/>
        <v>B1G2</v>
      </c>
      <c r="P410" s="14" t="str">
        <f t="shared" si="40"/>
        <v>BXGY</v>
      </c>
    </row>
    <row r="411" spans="1:16" x14ac:dyDescent="0.25">
      <c r="A411" s="7" t="str">
        <f t="shared" si="36"/>
        <v>2025 JAN-APR B1G2</v>
      </c>
      <c r="B411" s="8">
        <f t="shared" si="37"/>
        <v>46099</v>
      </c>
      <c r="C411" s="8">
        <f t="shared" si="38"/>
        <v>46113</v>
      </c>
      <c r="D411" s="7">
        <v>3272</v>
      </c>
      <c r="E411" s="7">
        <v>336</v>
      </c>
      <c r="F411" s="7">
        <v>4</v>
      </c>
      <c r="G411" s="7">
        <v>1</v>
      </c>
      <c r="H411" s="7">
        <v>81588</v>
      </c>
      <c r="I411" s="7" t="s">
        <v>104</v>
      </c>
      <c r="J411" s="7">
        <v>45645892</v>
      </c>
      <c r="K411" s="7" t="s">
        <v>2945</v>
      </c>
      <c r="L411" s="7" t="s">
        <v>2948</v>
      </c>
      <c r="M411" s="9">
        <v>149900</v>
      </c>
      <c r="N411" s="14" t="s">
        <v>618</v>
      </c>
      <c r="O411" s="14" t="str">
        <f t="shared" si="39"/>
        <v>B1G2</v>
      </c>
      <c r="P411" s="14" t="str">
        <f t="shared" si="40"/>
        <v>BXGY</v>
      </c>
    </row>
    <row r="412" spans="1:16" x14ac:dyDescent="0.25">
      <c r="A412" s="7" t="str">
        <f t="shared" si="36"/>
        <v>2025 JAN-APR B1G2</v>
      </c>
      <c r="B412" s="8">
        <f t="shared" si="37"/>
        <v>46099</v>
      </c>
      <c r="C412" s="8">
        <f t="shared" si="38"/>
        <v>46113</v>
      </c>
      <c r="D412" s="7">
        <v>3272</v>
      </c>
      <c r="E412" s="7">
        <v>336</v>
      </c>
      <c r="F412" s="7">
        <v>4</v>
      </c>
      <c r="G412" s="7">
        <v>1</v>
      </c>
      <c r="H412" s="7">
        <v>81588</v>
      </c>
      <c r="I412" s="7" t="s">
        <v>104</v>
      </c>
      <c r="J412" s="7">
        <v>45645909</v>
      </c>
      <c r="K412" s="7" t="s">
        <v>2945</v>
      </c>
      <c r="L412" s="7" t="s">
        <v>2949</v>
      </c>
      <c r="M412" s="9">
        <v>149900</v>
      </c>
      <c r="N412" s="14" t="s">
        <v>618</v>
      </c>
      <c r="O412" s="14" t="str">
        <f t="shared" si="39"/>
        <v>B1G2</v>
      </c>
      <c r="P412" s="14" t="str">
        <f t="shared" si="40"/>
        <v>BXGY</v>
      </c>
    </row>
    <row r="413" spans="1:16" x14ac:dyDescent="0.25">
      <c r="A413" s="7" t="str">
        <f t="shared" si="36"/>
        <v>2025 JAN-APR B1G2</v>
      </c>
      <c r="B413" s="8">
        <f t="shared" si="37"/>
        <v>46099</v>
      </c>
      <c r="C413" s="8">
        <f t="shared" si="38"/>
        <v>46113</v>
      </c>
      <c r="D413" s="7">
        <v>3272</v>
      </c>
      <c r="E413" s="7">
        <v>336</v>
      </c>
      <c r="F413" s="7">
        <v>4</v>
      </c>
      <c r="G413" s="7">
        <v>1</v>
      </c>
      <c r="H413" s="7">
        <v>81588</v>
      </c>
      <c r="I413" s="7" t="s">
        <v>104</v>
      </c>
      <c r="J413" s="7">
        <v>45645918</v>
      </c>
      <c r="K413" s="7" t="s">
        <v>2945</v>
      </c>
      <c r="L413" s="7" t="s">
        <v>2950</v>
      </c>
      <c r="M413" s="9">
        <v>149900</v>
      </c>
      <c r="N413" s="14" t="s">
        <v>618</v>
      </c>
      <c r="O413" s="14" t="str">
        <f t="shared" si="39"/>
        <v>B1G2</v>
      </c>
      <c r="P413" s="14" t="str">
        <f t="shared" si="40"/>
        <v>BXGY</v>
      </c>
    </row>
    <row r="414" spans="1:16" x14ac:dyDescent="0.25">
      <c r="A414" s="7" t="str">
        <f t="shared" si="36"/>
        <v>2025 JAN-APR B1G2</v>
      </c>
      <c r="B414" s="8">
        <f t="shared" si="37"/>
        <v>46099</v>
      </c>
      <c r="C414" s="8">
        <f t="shared" si="38"/>
        <v>46113</v>
      </c>
      <c r="D414" s="7">
        <v>3272</v>
      </c>
      <c r="E414" s="7">
        <v>336</v>
      </c>
      <c r="F414" s="7">
        <v>4</v>
      </c>
      <c r="G414" s="7">
        <v>1</v>
      </c>
      <c r="H414" s="7">
        <v>81588</v>
      </c>
      <c r="I414" s="7" t="s">
        <v>104</v>
      </c>
      <c r="J414" s="7">
        <v>45646079</v>
      </c>
      <c r="K414" s="7" t="s">
        <v>2951</v>
      </c>
      <c r="L414" s="7" t="s">
        <v>2952</v>
      </c>
      <c r="M414" s="9">
        <v>149900</v>
      </c>
      <c r="N414" s="14" t="s">
        <v>618</v>
      </c>
      <c r="O414" s="14" t="str">
        <f t="shared" si="39"/>
        <v>B1G2</v>
      </c>
      <c r="P414" s="14" t="str">
        <f t="shared" si="40"/>
        <v>BXGY</v>
      </c>
    </row>
    <row r="415" spans="1:16" x14ac:dyDescent="0.25">
      <c r="A415" s="7" t="str">
        <f t="shared" si="36"/>
        <v>2025 JAN-APR B1G2</v>
      </c>
      <c r="B415" s="8">
        <f t="shared" si="37"/>
        <v>46099</v>
      </c>
      <c r="C415" s="8">
        <f t="shared" si="38"/>
        <v>46113</v>
      </c>
      <c r="D415" s="7">
        <v>3272</v>
      </c>
      <c r="E415" s="7">
        <v>336</v>
      </c>
      <c r="F415" s="7">
        <v>4</v>
      </c>
      <c r="G415" s="7">
        <v>1</v>
      </c>
      <c r="H415" s="7">
        <v>81588</v>
      </c>
      <c r="I415" s="7" t="s">
        <v>104</v>
      </c>
      <c r="J415" s="7">
        <v>45646088</v>
      </c>
      <c r="K415" s="7" t="s">
        <v>2951</v>
      </c>
      <c r="L415" s="7" t="s">
        <v>2953</v>
      </c>
      <c r="M415" s="9">
        <v>149900</v>
      </c>
      <c r="N415" s="14" t="s">
        <v>618</v>
      </c>
      <c r="O415" s="14" t="str">
        <f t="shared" si="39"/>
        <v>B1G2</v>
      </c>
      <c r="P415" s="14" t="str">
        <f t="shared" si="40"/>
        <v>BXGY</v>
      </c>
    </row>
    <row r="416" spans="1:16" x14ac:dyDescent="0.25">
      <c r="A416" s="7" t="str">
        <f t="shared" si="36"/>
        <v>2025 JAN-APR B1G2</v>
      </c>
      <c r="B416" s="8">
        <f t="shared" si="37"/>
        <v>46099</v>
      </c>
      <c r="C416" s="8">
        <f t="shared" si="38"/>
        <v>46113</v>
      </c>
      <c r="D416" s="7">
        <v>3272</v>
      </c>
      <c r="E416" s="7">
        <v>336</v>
      </c>
      <c r="F416" s="7">
        <v>4</v>
      </c>
      <c r="G416" s="7">
        <v>1</v>
      </c>
      <c r="H416" s="7">
        <v>81588</v>
      </c>
      <c r="I416" s="7" t="s">
        <v>104</v>
      </c>
      <c r="J416" s="7">
        <v>45646097</v>
      </c>
      <c r="K416" s="7" t="s">
        <v>2951</v>
      </c>
      <c r="L416" s="7" t="s">
        <v>2954</v>
      </c>
      <c r="M416" s="9">
        <v>149900</v>
      </c>
      <c r="N416" s="14" t="s">
        <v>618</v>
      </c>
      <c r="O416" s="14" t="str">
        <f t="shared" si="39"/>
        <v>B1G2</v>
      </c>
      <c r="P416" s="14" t="str">
        <f t="shared" si="40"/>
        <v>BXGY</v>
      </c>
    </row>
    <row r="417" spans="1:16" x14ac:dyDescent="0.25">
      <c r="A417" s="7" t="str">
        <f t="shared" si="36"/>
        <v>2025 JAN-APR B1G2</v>
      </c>
      <c r="B417" s="8">
        <f t="shared" si="37"/>
        <v>46099</v>
      </c>
      <c r="C417" s="8">
        <f t="shared" si="38"/>
        <v>46113</v>
      </c>
      <c r="D417" s="7">
        <v>3272</v>
      </c>
      <c r="E417" s="7">
        <v>336</v>
      </c>
      <c r="F417" s="7">
        <v>4</v>
      </c>
      <c r="G417" s="7">
        <v>1</v>
      </c>
      <c r="H417" s="7">
        <v>81588</v>
      </c>
      <c r="I417" s="7" t="s">
        <v>104</v>
      </c>
      <c r="J417" s="7">
        <v>45646104</v>
      </c>
      <c r="K417" s="7" t="s">
        <v>2951</v>
      </c>
      <c r="L417" s="7" t="s">
        <v>2955</v>
      </c>
      <c r="M417" s="9">
        <v>149900</v>
      </c>
      <c r="N417" s="14" t="s">
        <v>618</v>
      </c>
      <c r="O417" s="14" t="str">
        <f t="shared" si="39"/>
        <v>B1G2</v>
      </c>
      <c r="P417" s="14" t="str">
        <f t="shared" si="40"/>
        <v>BXGY</v>
      </c>
    </row>
    <row r="418" spans="1:16" x14ac:dyDescent="0.25">
      <c r="A418" s="7" t="str">
        <f t="shared" si="36"/>
        <v>2025 JAN-APR B1G2</v>
      </c>
      <c r="B418" s="8">
        <f t="shared" si="37"/>
        <v>46099</v>
      </c>
      <c r="C418" s="8">
        <f t="shared" si="38"/>
        <v>46113</v>
      </c>
      <c r="D418" s="7">
        <v>3272</v>
      </c>
      <c r="E418" s="7">
        <v>336</v>
      </c>
      <c r="F418" s="7">
        <v>4</v>
      </c>
      <c r="G418" s="7">
        <v>1</v>
      </c>
      <c r="H418" s="7">
        <v>81588</v>
      </c>
      <c r="I418" s="7" t="s">
        <v>104</v>
      </c>
      <c r="J418" s="7">
        <v>45646113</v>
      </c>
      <c r="K418" s="7" t="s">
        <v>2951</v>
      </c>
      <c r="L418" s="7" t="s">
        <v>2956</v>
      </c>
      <c r="M418" s="9">
        <v>149900</v>
      </c>
      <c r="N418" s="14" t="s">
        <v>618</v>
      </c>
      <c r="O418" s="14" t="str">
        <f t="shared" si="39"/>
        <v>B1G2</v>
      </c>
      <c r="P418" s="14" t="str">
        <f t="shared" si="40"/>
        <v>BXGY</v>
      </c>
    </row>
    <row r="419" spans="1:16" x14ac:dyDescent="0.25">
      <c r="A419" s="7" t="str">
        <f t="shared" si="36"/>
        <v>2025 JAN-APR B1G2</v>
      </c>
      <c r="B419" s="8">
        <f t="shared" si="37"/>
        <v>46099</v>
      </c>
      <c r="C419" s="8">
        <f t="shared" si="38"/>
        <v>46113</v>
      </c>
      <c r="D419" s="7">
        <v>3272</v>
      </c>
      <c r="E419" s="7">
        <v>336</v>
      </c>
      <c r="F419" s="7">
        <v>4</v>
      </c>
      <c r="G419" s="7">
        <v>3</v>
      </c>
      <c r="H419" s="7">
        <v>81588</v>
      </c>
      <c r="I419" s="7" t="s">
        <v>104</v>
      </c>
      <c r="J419" s="7">
        <v>51512004</v>
      </c>
      <c r="K419" s="7" t="s">
        <v>2957</v>
      </c>
      <c r="L419" s="7" t="s">
        <v>2958</v>
      </c>
      <c r="M419" s="9">
        <v>249900</v>
      </c>
      <c r="N419" s="14" t="s">
        <v>618</v>
      </c>
      <c r="O419" s="14" t="str">
        <f t="shared" si="39"/>
        <v>B1G2</v>
      </c>
      <c r="P419" s="14" t="str">
        <f t="shared" si="40"/>
        <v>BXGY</v>
      </c>
    </row>
    <row r="420" spans="1:16" x14ac:dyDescent="0.25">
      <c r="A420" s="7" t="str">
        <f t="shared" si="36"/>
        <v>2025 JAN-APR B1G2</v>
      </c>
      <c r="B420" s="8">
        <f t="shared" si="37"/>
        <v>46099</v>
      </c>
      <c r="C420" s="8">
        <f t="shared" si="38"/>
        <v>46113</v>
      </c>
      <c r="D420" s="7">
        <v>3272</v>
      </c>
      <c r="E420" s="7">
        <v>336</v>
      </c>
      <c r="F420" s="7">
        <v>4</v>
      </c>
      <c r="G420" s="7">
        <v>3</v>
      </c>
      <c r="H420" s="7">
        <v>81588</v>
      </c>
      <c r="I420" s="7" t="s">
        <v>104</v>
      </c>
      <c r="J420" s="7">
        <v>51512013</v>
      </c>
      <c r="K420" s="7" t="s">
        <v>2957</v>
      </c>
      <c r="L420" s="7" t="s">
        <v>2959</v>
      </c>
      <c r="M420" s="9">
        <v>249900</v>
      </c>
      <c r="N420" s="14" t="s">
        <v>618</v>
      </c>
      <c r="O420" s="14" t="str">
        <f t="shared" si="39"/>
        <v>B1G2</v>
      </c>
      <c r="P420" s="14" t="str">
        <f t="shared" si="40"/>
        <v>BXGY</v>
      </c>
    </row>
    <row r="421" spans="1:16" x14ac:dyDescent="0.25">
      <c r="A421" s="7" t="str">
        <f t="shared" si="36"/>
        <v>2025 JAN-APR B1G2</v>
      </c>
      <c r="B421" s="8">
        <f t="shared" si="37"/>
        <v>46099</v>
      </c>
      <c r="C421" s="8">
        <f t="shared" si="38"/>
        <v>46113</v>
      </c>
      <c r="D421" s="7">
        <v>3272</v>
      </c>
      <c r="E421" s="7">
        <v>336</v>
      </c>
      <c r="F421" s="7">
        <v>4</v>
      </c>
      <c r="G421" s="7">
        <v>3</v>
      </c>
      <c r="H421" s="7">
        <v>81588</v>
      </c>
      <c r="I421" s="7" t="s">
        <v>104</v>
      </c>
      <c r="J421" s="7">
        <v>51512022</v>
      </c>
      <c r="K421" s="7" t="s">
        <v>2957</v>
      </c>
      <c r="L421" s="7" t="s">
        <v>2960</v>
      </c>
      <c r="M421" s="9">
        <v>249900</v>
      </c>
      <c r="N421" s="14" t="s">
        <v>618</v>
      </c>
      <c r="O421" s="14" t="str">
        <f t="shared" si="39"/>
        <v>B1G2</v>
      </c>
      <c r="P421" s="14" t="str">
        <f t="shared" si="40"/>
        <v>BXGY</v>
      </c>
    </row>
    <row r="422" spans="1:16" x14ac:dyDescent="0.25">
      <c r="A422" s="7" t="str">
        <f t="shared" si="36"/>
        <v>2025 JAN-APR B1G2</v>
      </c>
      <c r="B422" s="8">
        <f t="shared" si="37"/>
        <v>46099</v>
      </c>
      <c r="C422" s="8">
        <f t="shared" si="38"/>
        <v>46113</v>
      </c>
      <c r="D422" s="7">
        <v>3272</v>
      </c>
      <c r="E422" s="7">
        <v>336</v>
      </c>
      <c r="F422" s="7">
        <v>4</v>
      </c>
      <c r="G422" s="7">
        <v>3</v>
      </c>
      <c r="H422" s="7">
        <v>81588</v>
      </c>
      <c r="I422" s="7" t="s">
        <v>104</v>
      </c>
      <c r="J422" s="7">
        <v>51512031</v>
      </c>
      <c r="K422" s="7" t="s">
        <v>2957</v>
      </c>
      <c r="L422" s="7" t="s">
        <v>2961</v>
      </c>
      <c r="M422" s="9">
        <v>249900</v>
      </c>
      <c r="N422" s="14" t="s">
        <v>618</v>
      </c>
      <c r="O422" s="14" t="str">
        <f t="shared" si="39"/>
        <v>B1G2</v>
      </c>
      <c r="P422" s="14" t="str">
        <f t="shared" si="40"/>
        <v>BXGY</v>
      </c>
    </row>
    <row r="423" spans="1:16" x14ac:dyDescent="0.25">
      <c r="A423" s="7" t="str">
        <f t="shared" si="36"/>
        <v>2025 JAN-APR B1G2</v>
      </c>
      <c r="B423" s="8">
        <f t="shared" si="37"/>
        <v>46099</v>
      </c>
      <c r="C423" s="8">
        <f t="shared" si="38"/>
        <v>46113</v>
      </c>
      <c r="D423" s="7">
        <v>3272</v>
      </c>
      <c r="E423" s="7">
        <v>336</v>
      </c>
      <c r="F423" s="7">
        <v>4</v>
      </c>
      <c r="G423" s="7">
        <v>3</v>
      </c>
      <c r="H423" s="7">
        <v>81588</v>
      </c>
      <c r="I423" s="7" t="s">
        <v>104</v>
      </c>
      <c r="J423" s="7">
        <v>51512040</v>
      </c>
      <c r="K423" s="7" t="s">
        <v>2957</v>
      </c>
      <c r="L423" s="7" t="s">
        <v>2962</v>
      </c>
      <c r="M423" s="9">
        <v>249900</v>
      </c>
      <c r="N423" s="14" t="s">
        <v>618</v>
      </c>
      <c r="O423" s="14" t="str">
        <f t="shared" si="39"/>
        <v>B1G2</v>
      </c>
      <c r="P423" s="14" t="str">
        <f t="shared" si="40"/>
        <v>BXGY</v>
      </c>
    </row>
    <row r="424" spans="1:16" x14ac:dyDescent="0.25">
      <c r="A424" s="7" t="str">
        <f t="shared" si="36"/>
        <v>2025 JAN-APR B1G2</v>
      </c>
      <c r="B424" s="8">
        <f t="shared" si="37"/>
        <v>46099</v>
      </c>
      <c r="C424" s="8">
        <f t="shared" si="38"/>
        <v>46113</v>
      </c>
      <c r="D424" s="7">
        <v>3272</v>
      </c>
      <c r="E424" s="7">
        <v>336</v>
      </c>
      <c r="F424" s="7">
        <v>4</v>
      </c>
      <c r="G424" s="7">
        <v>3</v>
      </c>
      <c r="H424" s="7">
        <v>81379</v>
      </c>
      <c r="I424" s="7" t="s">
        <v>104</v>
      </c>
      <c r="J424" s="7">
        <v>51512059</v>
      </c>
      <c r="K424" s="7" t="s">
        <v>2957</v>
      </c>
      <c r="L424" s="7" t="s">
        <v>2963</v>
      </c>
      <c r="M424" s="9">
        <v>249900</v>
      </c>
      <c r="N424" s="14" t="s">
        <v>618</v>
      </c>
      <c r="O424" s="14" t="str">
        <f t="shared" si="39"/>
        <v>B1G2</v>
      </c>
      <c r="P424" s="14" t="str">
        <f t="shared" si="40"/>
        <v>BXGY</v>
      </c>
    </row>
    <row r="425" spans="1:16" x14ac:dyDescent="0.25">
      <c r="A425" s="7" t="str">
        <f t="shared" si="36"/>
        <v>2025 JAN-APR B1G2</v>
      </c>
      <c r="B425" s="8">
        <f t="shared" si="37"/>
        <v>46099</v>
      </c>
      <c r="C425" s="8">
        <f t="shared" si="38"/>
        <v>46113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104</v>
      </c>
      <c r="J425" s="7">
        <v>53066485</v>
      </c>
      <c r="K425" s="7" t="s">
        <v>2964</v>
      </c>
      <c r="L425" s="7" t="s">
        <v>2965</v>
      </c>
      <c r="M425" s="9">
        <v>149900</v>
      </c>
      <c r="N425" s="14" t="s">
        <v>618</v>
      </c>
      <c r="O425" s="14" t="str">
        <f t="shared" si="39"/>
        <v>B1G2</v>
      </c>
      <c r="P425" s="14" t="str">
        <f t="shared" si="40"/>
        <v>BXGY</v>
      </c>
    </row>
    <row r="426" spans="1:16" x14ac:dyDescent="0.25">
      <c r="A426" s="7" t="str">
        <f t="shared" si="36"/>
        <v>2025 JAN-APR B1G2</v>
      </c>
      <c r="B426" s="8">
        <f t="shared" si="37"/>
        <v>46099</v>
      </c>
      <c r="C426" s="8">
        <f t="shared" si="38"/>
        <v>46113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104</v>
      </c>
      <c r="J426" s="7">
        <v>53066494</v>
      </c>
      <c r="K426" s="7" t="s">
        <v>2964</v>
      </c>
      <c r="L426" s="7" t="s">
        <v>2966</v>
      </c>
      <c r="M426" s="9">
        <v>149900</v>
      </c>
      <c r="N426" s="14" t="s">
        <v>618</v>
      </c>
      <c r="O426" s="14" t="str">
        <f t="shared" si="39"/>
        <v>B1G2</v>
      </c>
      <c r="P426" s="14" t="str">
        <f t="shared" si="40"/>
        <v>BXGY</v>
      </c>
    </row>
    <row r="427" spans="1:16" x14ac:dyDescent="0.25">
      <c r="A427" s="7" t="str">
        <f t="shared" si="36"/>
        <v>2025 JAN-APR B1G2</v>
      </c>
      <c r="B427" s="8">
        <f t="shared" si="37"/>
        <v>46099</v>
      </c>
      <c r="C427" s="8">
        <f t="shared" si="38"/>
        <v>46113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104</v>
      </c>
      <c r="J427" s="7">
        <v>53066501</v>
      </c>
      <c r="K427" s="7" t="s">
        <v>2964</v>
      </c>
      <c r="L427" s="7" t="s">
        <v>2967</v>
      </c>
      <c r="M427" s="9">
        <v>149900</v>
      </c>
      <c r="N427" s="14" t="s">
        <v>618</v>
      </c>
      <c r="O427" s="14" t="str">
        <f t="shared" si="39"/>
        <v>B1G2</v>
      </c>
      <c r="P427" s="14" t="str">
        <f t="shared" si="40"/>
        <v>BXGY</v>
      </c>
    </row>
    <row r="428" spans="1:16" x14ac:dyDescent="0.25">
      <c r="A428" s="7" t="str">
        <f t="shared" si="36"/>
        <v>2025 JAN-APR B1G2</v>
      </c>
      <c r="B428" s="8">
        <f t="shared" si="37"/>
        <v>46099</v>
      </c>
      <c r="C428" s="8">
        <f t="shared" si="38"/>
        <v>46113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104</v>
      </c>
      <c r="J428" s="7">
        <v>53066510</v>
      </c>
      <c r="K428" s="7" t="s">
        <v>2964</v>
      </c>
      <c r="L428" s="7" t="s">
        <v>2968</v>
      </c>
      <c r="M428" s="9">
        <v>149900</v>
      </c>
      <c r="N428" s="14" t="s">
        <v>618</v>
      </c>
      <c r="O428" s="14" t="str">
        <f t="shared" si="39"/>
        <v>B1G2</v>
      </c>
      <c r="P428" s="14" t="str">
        <f t="shared" si="40"/>
        <v>BXGY</v>
      </c>
    </row>
    <row r="429" spans="1:16" x14ac:dyDescent="0.25">
      <c r="A429" s="7" t="str">
        <f t="shared" si="36"/>
        <v>2025 JAN-APR B1G2</v>
      </c>
      <c r="B429" s="8">
        <f t="shared" si="37"/>
        <v>46099</v>
      </c>
      <c r="C429" s="8">
        <f t="shared" si="38"/>
        <v>46113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104</v>
      </c>
      <c r="J429" s="7">
        <v>53066529</v>
      </c>
      <c r="K429" s="7" t="s">
        <v>2964</v>
      </c>
      <c r="L429" s="7" t="s">
        <v>2969</v>
      </c>
      <c r="M429" s="9">
        <v>149900</v>
      </c>
      <c r="N429" s="14" t="s">
        <v>618</v>
      </c>
      <c r="O429" s="14" t="str">
        <f t="shared" si="39"/>
        <v>B1G2</v>
      </c>
      <c r="P429" s="14" t="str">
        <f t="shared" si="40"/>
        <v>BXGY</v>
      </c>
    </row>
    <row r="430" spans="1:16" x14ac:dyDescent="0.25">
      <c r="A430" s="7" t="str">
        <f t="shared" si="36"/>
        <v>2025 JAN-APR B1G2</v>
      </c>
      <c r="B430" s="8">
        <f t="shared" si="37"/>
        <v>46099</v>
      </c>
      <c r="C430" s="8">
        <f t="shared" si="38"/>
        <v>46113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104</v>
      </c>
      <c r="J430" s="7">
        <v>53066538</v>
      </c>
      <c r="K430" s="7" t="s">
        <v>2964</v>
      </c>
      <c r="L430" s="7" t="s">
        <v>2970</v>
      </c>
      <c r="M430" s="9">
        <v>149900</v>
      </c>
      <c r="N430" s="14" t="s">
        <v>618</v>
      </c>
      <c r="O430" s="14" t="str">
        <f t="shared" si="39"/>
        <v>B1G2</v>
      </c>
      <c r="P430" s="14" t="str">
        <f t="shared" si="40"/>
        <v>BXGY</v>
      </c>
    </row>
    <row r="431" spans="1:16" x14ac:dyDescent="0.25">
      <c r="A431" s="7" t="str">
        <f t="shared" si="36"/>
        <v>2025 JAN-APR B1G2</v>
      </c>
      <c r="B431" s="8">
        <f t="shared" si="37"/>
        <v>46099</v>
      </c>
      <c r="C431" s="8">
        <f t="shared" si="38"/>
        <v>46113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104</v>
      </c>
      <c r="J431" s="7">
        <v>53066547</v>
      </c>
      <c r="K431" s="7" t="s">
        <v>2964</v>
      </c>
      <c r="L431" s="7" t="s">
        <v>2971</v>
      </c>
      <c r="M431" s="9">
        <v>149900</v>
      </c>
      <c r="N431" s="14" t="s">
        <v>618</v>
      </c>
      <c r="O431" s="14" t="str">
        <f t="shared" si="39"/>
        <v>B1G2</v>
      </c>
      <c r="P431" s="14" t="str">
        <f t="shared" si="40"/>
        <v>BXGY</v>
      </c>
    </row>
    <row r="432" spans="1:16" x14ac:dyDescent="0.25">
      <c r="A432" s="7" t="str">
        <f t="shared" si="36"/>
        <v>2025 JAN-APR B1G2</v>
      </c>
      <c r="B432" s="8">
        <f t="shared" si="37"/>
        <v>46099</v>
      </c>
      <c r="C432" s="8">
        <f t="shared" si="38"/>
        <v>46113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104</v>
      </c>
      <c r="J432" s="7">
        <v>53066556</v>
      </c>
      <c r="K432" s="7" t="s">
        <v>2964</v>
      </c>
      <c r="L432" s="7" t="s">
        <v>2972</v>
      </c>
      <c r="M432" s="9">
        <v>149900</v>
      </c>
      <c r="N432" s="14" t="s">
        <v>618</v>
      </c>
      <c r="O432" s="14" t="str">
        <f t="shared" si="39"/>
        <v>B1G2</v>
      </c>
      <c r="P432" s="14" t="str">
        <f t="shared" si="40"/>
        <v>BXGY</v>
      </c>
    </row>
    <row r="433" spans="1:16" s="6" customFormat="1" x14ac:dyDescent="0.25">
      <c r="A433" s="7" t="str">
        <f t="shared" si="36"/>
        <v>2025 JAN-APR B1G2</v>
      </c>
      <c r="B433" s="8">
        <f t="shared" si="37"/>
        <v>46099</v>
      </c>
      <c r="C433" s="8">
        <f t="shared" si="38"/>
        <v>46113</v>
      </c>
      <c r="D433" s="7">
        <v>3272</v>
      </c>
      <c r="E433" s="7">
        <v>336</v>
      </c>
      <c r="F433" s="7">
        <v>4</v>
      </c>
      <c r="G433" s="7">
        <v>4</v>
      </c>
      <c r="H433" s="7">
        <v>81379</v>
      </c>
      <c r="I433" s="7" t="s">
        <v>104</v>
      </c>
      <c r="J433" s="7">
        <v>51503792</v>
      </c>
      <c r="K433" s="7" t="s">
        <v>2751</v>
      </c>
      <c r="L433" s="7" t="s">
        <v>2812</v>
      </c>
      <c r="M433" s="9">
        <v>169900</v>
      </c>
      <c r="N433" s="14" t="s">
        <v>618</v>
      </c>
      <c r="O433" s="14" t="str">
        <f t="shared" si="39"/>
        <v>B1G2</v>
      </c>
      <c r="P433" s="14" t="str">
        <f t="shared" si="40"/>
        <v>BXGY</v>
      </c>
    </row>
    <row r="434" spans="1:16" x14ac:dyDescent="0.25">
      <c r="A434" s="20" t="str">
        <f t="shared" si="36"/>
        <v>2025 JAN-APR B1G2</v>
      </c>
      <c r="B434" s="23">
        <f t="shared" si="37"/>
        <v>46099</v>
      </c>
      <c r="C434" s="23">
        <f t="shared" si="38"/>
        <v>46113</v>
      </c>
      <c r="D434" s="20">
        <f t="shared" ref="D434:D453" si="41">D433</f>
        <v>3272</v>
      </c>
      <c r="E434" s="20">
        <f t="shared" ref="E434:E453" si="42">E433</f>
        <v>336</v>
      </c>
      <c r="F434" s="20">
        <f t="shared" ref="F434:F453" si="43">F433</f>
        <v>4</v>
      </c>
      <c r="G434" s="20">
        <v>4</v>
      </c>
      <c r="H434" s="20">
        <v>81379</v>
      </c>
      <c r="I434" s="7" t="s">
        <v>104</v>
      </c>
      <c r="J434" s="20">
        <v>51503809</v>
      </c>
      <c r="K434" s="20" t="s">
        <v>2751</v>
      </c>
      <c r="L434" s="20" t="s">
        <v>2813</v>
      </c>
      <c r="M434" s="20">
        <v>169900</v>
      </c>
      <c r="N434" s="14" t="s">
        <v>618</v>
      </c>
      <c r="O434" s="14" t="str">
        <f t="shared" si="39"/>
        <v>B1G2</v>
      </c>
      <c r="P434" s="14" t="str">
        <f t="shared" si="40"/>
        <v>BXGY</v>
      </c>
    </row>
    <row r="435" spans="1:16" x14ac:dyDescent="0.25">
      <c r="A435" s="20" t="str">
        <f t="shared" si="36"/>
        <v>2025 JAN-APR B1G2</v>
      </c>
      <c r="B435" s="23">
        <f t="shared" si="37"/>
        <v>46099</v>
      </c>
      <c r="C435" s="23">
        <f t="shared" si="38"/>
        <v>46113</v>
      </c>
      <c r="D435" s="20">
        <f t="shared" si="41"/>
        <v>3272</v>
      </c>
      <c r="E435" s="20">
        <f t="shared" si="42"/>
        <v>336</v>
      </c>
      <c r="F435" s="20">
        <f t="shared" si="43"/>
        <v>4</v>
      </c>
      <c r="G435" s="20">
        <v>4</v>
      </c>
      <c r="H435" s="20">
        <v>81379</v>
      </c>
      <c r="I435" s="7" t="s">
        <v>104</v>
      </c>
      <c r="J435" s="20">
        <v>51503818</v>
      </c>
      <c r="K435" s="20" t="s">
        <v>2751</v>
      </c>
      <c r="L435" s="20" t="s">
        <v>2814</v>
      </c>
      <c r="M435" s="20">
        <v>169900</v>
      </c>
      <c r="N435" s="14" t="s">
        <v>618</v>
      </c>
      <c r="O435" s="14" t="str">
        <f t="shared" si="39"/>
        <v>B1G2</v>
      </c>
      <c r="P435" s="14" t="str">
        <f t="shared" si="40"/>
        <v>BXGY</v>
      </c>
    </row>
    <row r="436" spans="1:16" x14ac:dyDescent="0.25">
      <c r="A436" s="20" t="str">
        <f t="shared" si="36"/>
        <v>2025 JAN-APR B1G2</v>
      </c>
      <c r="B436" s="23">
        <f t="shared" si="37"/>
        <v>46099</v>
      </c>
      <c r="C436" s="23">
        <f t="shared" si="38"/>
        <v>46113</v>
      </c>
      <c r="D436" s="20">
        <f t="shared" si="41"/>
        <v>3272</v>
      </c>
      <c r="E436" s="20">
        <f t="shared" si="42"/>
        <v>336</v>
      </c>
      <c r="F436" s="20">
        <f t="shared" si="43"/>
        <v>4</v>
      </c>
      <c r="G436" s="20">
        <v>4</v>
      </c>
      <c r="H436" s="20">
        <v>81379</v>
      </c>
      <c r="I436" s="7" t="s">
        <v>104</v>
      </c>
      <c r="J436" s="20">
        <v>51503827</v>
      </c>
      <c r="K436" s="20" t="s">
        <v>2751</v>
      </c>
      <c r="L436" s="20" t="s">
        <v>2815</v>
      </c>
      <c r="M436" s="20">
        <v>169900</v>
      </c>
      <c r="N436" s="14" t="s">
        <v>618</v>
      </c>
      <c r="O436" s="14" t="str">
        <f t="shared" si="39"/>
        <v>B1G2</v>
      </c>
      <c r="P436" s="14" t="str">
        <f t="shared" si="40"/>
        <v>BXGY</v>
      </c>
    </row>
    <row r="437" spans="1:16" x14ac:dyDescent="0.25">
      <c r="A437" s="20" t="str">
        <f t="shared" si="36"/>
        <v>2025 JAN-APR B1G2</v>
      </c>
      <c r="B437" s="23">
        <f t="shared" si="37"/>
        <v>46099</v>
      </c>
      <c r="C437" s="23">
        <f t="shared" si="38"/>
        <v>46113</v>
      </c>
      <c r="D437" s="20">
        <f t="shared" si="41"/>
        <v>3272</v>
      </c>
      <c r="E437" s="20">
        <f t="shared" si="42"/>
        <v>336</v>
      </c>
      <c r="F437" s="20">
        <f t="shared" si="43"/>
        <v>4</v>
      </c>
      <c r="G437" s="20">
        <v>4</v>
      </c>
      <c r="H437" s="20">
        <v>81379</v>
      </c>
      <c r="I437" s="7" t="s">
        <v>104</v>
      </c>
      <c r="J437" s="20">
        <v>51503836</v>
      </c>
      <c r="K437" s="20" t="s">
        <v>2751</v>
      </c>
      <c r="L437" s="20" t="s">
        <v>2816</v>
      </c>
      <c r="M437" s="20">
        <v>169900</v>
      </c>
      <c r="N437" s="14" t="s">
        <v>618</v>
      </c>
      <c r="O437" s="14" t="str">
        <f t="shared" si="39"/>
        <v>B1G2</v>
      </c>
      <c r="P437" s="14" t="str">
        <f t="shared" si="40"/>
        <v>BXGY</v>
      </c>
    </row>
    <row r="438" spans="1:16" x14ac:dyDescent="0.25">
      <c r="A438" s="20" t="str">
        <f t="shared" si="36"/>
        <v>2025 JAN-APR B1G2</v>
      </c>
      <c r="B438" s="23">
        <f t="shared" si="37"/>
        <v>46099</v>
      </c>
      <c r="C438" s="23">
        <f t="shared" si="38"/>
        <v>46113</v>
      </c>
      <c r="D438" s="20">
        <f t="shared" si="41"/>
        <v>3272</v>
      </c>
      <c r="E438" s="20">
        <f t="shared" si="42"/>
        <v>336</v>
      </c>
      <c r="F438" s="20">
        <f t="shared" si="43"/>
        <v>4</v>
      </c>
      <c r="G438" s="20">
        <v>4</v>
      </c>
      <c r="H438" s="20">
        <v>81379</v>
      </c>
      <c r="I438" s="7" t="s">
        <v>104</v>
      </c>
      <c r="J438" s="20">
        <v>51523387</v>
      </c>
      <c r="K438" s="22" t="s">
        <v>3644</v>
      </c>
      <c r="L438" s="20" t="s">
        <v>3646</v>
      </c>
      <c r="M438" s="21">
        <v>149900</v>
      </c>
      <c r="N438" s="14" t="s">
        <v>618</v>
      </c>
      <c r="O438" s="14" t="str">
        <f t="shared" si="39"/>
        <v>B1G2</v>
      </c>
      <c r="P438" s="14" t="str">
        <f t="shared" ref="P438:P453" si="44">P437</f>
        <v>BXGY</v>
      </c>
    </row>
    <row r="439" spans="1:16" x14ac:dyDescent="0.25">
      <c r="A439" s="20" t="str">
        <f t="shared" si="36"/>
        <v>2025 JAN-APR B1G2</v>
      </c>
      <c r="B439" s="23">
        <f t="shared" si="37"/>
        <v>46099</v>
      </c>
      <c r="C439" s="23">
        <f t="shared" si="38"/>
        <v>46113</v>
      </c>
      <c r="D439" s="20">
        <f t="shared" si="41"/>
        <v>3272</v>
      </c>
      <c r="E439" s="20">
        <f t="shared" si="42"/>
        <v>336</v>
      </c>
      <c r="F439" s="20">
        <f t="shared" si="43"/>
        <v>4</v>
      </c>
      <c r="G439" s="20">
        <v>4</v>
      </c>
      <c r="H439" s="20">
        <v>81379</v>
      </c>
      <c r="I439" s="7" t="s">
        <v>104</v>
      </c>
      <c r="J439" s="20">
        <v>51523396</v>
      </c>
      <c r="K439" s="22" t="s">
        <v>3644</v>
      </c>
      <c r="L439" s="20" t="s">
        <v>3647</v>
      </c>
      <c r="M439" s="21">
        <v>149900</v>
      </c>
      <c r="N439" s="14" t="s">
        <v>618</v>
      </c>
      <c r="O439" s="14" t="str">
        <f t="shared" si="39"/>
        <v>B1G2</v>
      </c>
      <c r="P439" s="14" t="str">
        <f t="shared" si="44"/>
        <v>BXGY</v>
      </c>
    </row>
    <row r="440" spans="1:16" x14ac:dyDescent="0.25">
      <c r="A440" s="20" t="str">
        <f t="shared" si="36"/>
        <v>2025 JAN-APR B1G2</v>
      </c>
      <c r="B440" s="23">
        <f t="shared" si="37"/>
        <v>46099</v>
      </c>
      <c r="C440" s="23">
        <f t="shared" si="38"/>
        <v>46113</v>
      </c>
      <c r="D440" s="20">
        <f t="shared" si="41"/>
        <v>3272</v>
      </c>
      <c r="E440" s="20">
        <f t="shared" si="42"/>
        <v>336</v>
      </c>
      <c r="F440" s="20">
        <f t="shared" si="43"/>
        <v>4</v>
      </c>
      <c r="G440" s="20">
        <v>4</v>
      </c>
      <c r="H440" s="20">
        <v>81379</v>
      </c>
      <c r="I440" s="7" t="s">
        <v>104</v>
      </c>
      <c r="J440" s="20">
        <v>51523403</v>
      </c>
      <c r="K440" s="22" t="s">
        <v>3644</v>
      </c>
      <c r="L440" s="20" t="s">
        <v>3648</v>
      </c>
      <c r="M440" s="21">
        <v>149900</v>
      </c>
      <c r="N440" s="14" t="s">
        <v>618</v>
      </c>
      <c r="O440" s="14" t="str">
        <f t="shared" si="39"/>
        <v>B1G2</v>
      </c>
      <c r="P440" s="14" t="str">
        <f t="shared" si="44"/>
        <v>BXGY</v>
      </c>
    </row>
    <row r="441" spans="1:16" x14ac:dyDescent="0.25">
      <c r="A441" s="20" t="str">
        <f t="shared" si="36"/>
        <v>2025 JAN-APR B1G2</v>
      </c>
      <c r="B441" s="23">
        <f t="shared" si="37"/>
        <v>46099</v>
      </c>
      <c r="C441" s="23">
        <f t="shared" si="38"/>
        <v>46113</v>
      </c>
      <c r="D441" s="20">
        <f t="shared" si="41"/>
        <v>3272</v>
      </c>
      <c r="E441" s="20">
        <f t="shared" si="42"/>
        <v>336</v>
      </c>
      <c r="F441" s="20">
        <f t="shared" si="43"/>
        <v>4</v>
      </c>
      <c r="G441" s="20">
        <v>4</v>
      </c>
      <c r="H441" s="20">
        <v>81379</v>
      </c>
      <c r="I441" s="7" t="s">
        <v>104</v>
      </c>
      <c r="J441" s="20">
        <v>51523412</v>
      </c>
      <c r="K441" s="22" t="s">
        <v>3644</v>
      </c>
      <c r="L441" s="20" t="s">
        <v>3649</v>
      </c>
      <c r="M441" s="21">
        <v>149900</v>
      </c>
      <c r="N441" s="14" t="s">
        <v>618</v>
      </c>
      <c r="O441" s="14" t="str">
        <f t="shared" si="39"/>
        <v>B1G2</v>
      </c>
      <c r="P441" s="14" t="str">
        <f t="shared" si="44"/>
        <v>BXGY</v>
      </c>
    </row>
    <row r="442" spans="1:16" x14ac:dyDescent="0.25">
      <c r="A442" s="20" t="str">
        <f t="shared" si="36"/>
        <v>2025 JAN-APR B1G2</v>
      </c>
      <c r="B442" s="23">
        <f t="shared" si="37"/>
        <v>46099</v>
      </c>
      <c r="C442" s="23">
        <f t="shared" si="38"/>
        <v>46113</v>
      </c>
      <c r="D442" s="20">
        <f t="shared" si="41"/>
        <v>3272</v>
      </c>
      <c r="E442" s="20">
        <f t="shared" si="42"/>
        <v>336</v>
      </c>
      <c r="F442" s="20">
        <f t="shared" si="43"/>
        <v>4</v>
      </c>
      <c r="G442" s="20">
        <v>4</v>
      </c>
      <c r="H442" s="20">
        <v>81379</v>
      </c>
      <c r="I442" s="7" t="s">
        <v>104</v>
      </c>
      <c r="J442" s="20">
        <v>51523421</v>
      </c>
      <c r="K442" s="22" t="s">
        <v>3644</v>
      </c>
      <c r="L442" s="20" t="s">
        <v>3650</v>
      </c>
      <c r="M442" s="21">
        <v>149900</v>
      </c>
      <c r="N442" s="14" t="s">
        <v>618</v>
      </c>
      <c r="O442" s="14" t="str">
        <f t="shared" si="39"/>
        <v>B1G2</v>
      </c>
      <c r="P442" s="14" t="str">
        <f t="shared" si="44"/>
        <v>BXGY</v>
      </c>
    </row>
    <row r="443" spans="1:16" x14ac:dyDescent="0.25">
      <c r="A443" s="20" t="str">
        <f t="shared" si="36"/>
        <v>2025 JAN-APR B1G2</v>
      </c>
      <c r="B443" s="23">
        <f t="shared" si="37"/>
        <v>46099</v>
      </c>
      <c r="C443" s="23">
        <f t="shared" si="38"/>
        <v>46113</v>
      </c>
      <c r="D443" s="20">
        <f t="shared" si="41"/>
        <v>3272</v>
      </c>
      <c r="E443" s="20">
        <f t="shared" si="42"/>
        <v>336</v>
      </c>
      <c r="F443" s="20">
        <f t="shared" si="43"/>
        <v>4</v>
      </c>
      <c r="G443" s="20">
        <v>4</v>
      </c>
      <c r="H443" s="20">
        <v>81379</v>
      </c>
      <c r="I443" s="7" t="s">
        <v>104</v>
      </c>
      <c r="J443" s="20">
        <v>51523430</v>
      </c>
      <c r="K443" s="22" t="s">
        <v>3644</v>
      </c>
      <c r="L443" s="20" t="s">
        <v>3651</v>
      </c>
      <c r="M443" s="21">
        <v>149900</v>
      </c>
      <c r="N443" s="14" t="s">
        <v>618</v>
      </c>
      <c r="O443" s="14" t="str">
        <f t="shared" si="39"/>
        <v>B1G2</v>
      </c>
      <c r="P443" s="14" t="str">
        <f t="shared" si="44"/>
        <v>BXGY</v>
      </c>
    </row>
    <row r="444" spans="1:16" x14ac:dyDescent="0.25">
      <c r="A444" s="20" t="str">
        <f t="shared" si="36"/>
        <v>2025 JAN-APR B1G2</v>
      </c>
      <c r="B444" s="23">
        <f t="shared" si="37"/>
        <v>46099</v>
      </c>
      <c r="C444" s="23">
        <f t="shared" si="38"/>
        <v>46113</v>
      </c>
      <c r="D444" s="20">
        <f t="shared" si="41"/>
        <v>3272</v>
      </c>
      <c r="E444" s="20">
        <f t="shared" si="42"/>
        <v>336</v>
      </c>
      <c r="F444" s="20">
        <f t="shared" si="43"/>
        <v>4</v>
      </c>
      <c r="G444" s="20">
        <v>4</v>
      </c>
      <c r="H444" s="20">
        <v>81379</v>
      </c>
      <c r="I444" s="7" t="s">
        <v>104</v>
      </c>
      <c r="J444" s="20">
        <v>51523449</v>
      </c>
      <c r="K444" s="22" t="s">
        <v>3644</v>
      </c>
      <c r="L444" s="20" t="s">
        <v>3652</v>
      </c>
      <c r="M444" s="21">
        <v>149900</v>
      </c>
      <c r="N444" s="14" t="s">
        <v>618</v>
      </c>
      <c r="O444" s="14" t="str">
        <f t="shared" si="39"/>
        <v>B1G2</v>
      </c>
      <c r="P444" s="14" t="str">
        <f t="shared" si="44"/>
        <v>BXGY</v>
      </c>
    </row>
    <row r="445" spans="1:16" x14ac:dyDescent="0.25">
      <c r="A445" s="20" t="str">
        <f t="shared" si="36"/>
        <v>2025 JAN-APR B1G2</v>
      </c>
      <c r="B445" s="23">
        <f t="shared" si="37"/>
        <v>46099</v>
      </c>
      <c r="C445" s="23">
        <f t="shared" si="38"/>
        <v>46113</v>
      </c>
      <c r="D445" s="20">
        <f t="shared" si="41"/>
        <v>3272</v>
      </c>
      <c r="E445" s="20">
        <f t="shared" si="42"/>
        <v>336</v>
      </c>
      <c r="F445" s="20">
        <f t="shared" si="43"/>
        <v>4</v>
      </c>
      <c r="G445" s="20">
        <v>4</v>
      </c>
      <c r="H445" s="20">
        <v>81379</v>
      </c>
      <c r="I445" s="7" t="s">
        <v>104</v>
      </c>
      <c r="J445" s="20">
        <v>51523458</v>
      </c>
      <c r="K445" s="22" t="s">
        <v>3644</v>
      </c>
      <c r="L445" s="20" t="s">
        <v>3653</v>
      </c>
      <c r="M445" s="21">
        <v>149900</v>
      </c>
      <c r="N445" s="14" t="s">
        <v>618</v>
      </c>
      <c r="O445" s="14" t="str">
        <f t="shared" si="39"/>
        <v>B1G2</v>
      </c>
      <c r="P445" s="14" t="str">
        <f t="shared" si="44"/>
        <v>BXGY</v>
      </c>
    </row>
    <row r="446" spans="1:16" x14ac:dyDescent="0.25">
      <c r="A446" s="20" t="str">
        <f t="shared" si="36"/>
        <v>2025 JAN-APR B1G2</v>
      </c>
      <c r="B446" s="23">
        <f t="shared" si="37"/>
        <v>46099</v>
      </c>
      <c r="C446" s="23">
        <f t="shared" si="38"/>
        <v>46113</v>
      </c>
      <c r="D446" s="20">
        <f t="shared" si="41"/>
        <v>3272</v>
      </c>
      <c r="E446" s="20">
        <f t="shared" si="42"/>
        <v>336</v>
      </c>
      <c r="F446" s="20">
        <f t="shared" si="43"/>
        <v>4</v>
      </c>
      <c r="G446" s="20">
        <v>4</v>
      </c>
      <c r="H446" s="20">
        <v>81379</v>
      </c>
      <c r="I446" s="7" t="s">
        <v>104</v>
      </c>
      <c r="J446" s="20">
        <v>51523707</v>
      </c>
      <c r="K446" s="22" t="s">
        <v>3645</v>
      </c>
      <c r="L446" s="20" t="s">
        <v>3654</v>
      </c>
      <c r="M446" s="21">
        <v>139900</v>
      </c>
      <c r="N446" s="14" t="s">
        <v>618</v>
      </c>
      <c r="O446" s="14" t="str">
        <f t="shared" si="39"/>
        <v>B1G2</v>
      </c>
      <c r="P446" s="14" t="str">
        <f t="shared" si="44"/>
        <v>BXGY</v>
      </c>
    </row>
    <row r="447" spans="1:16" x14ac:dyDescent="0.25">
      <c r="A447" s="20" t="str">
        <f t="shared" si="36"/>
        <v>2025 JAN-APR B1G2</v>
      </c>
      <c r="B447" s="23">
        <f t="shared" si="37"/>
        <v>46099</v>
      </c>
      <c r="C447" s="23">
        <f t="shared" si="38"/>
        <v>46113</v>
      </c>
      <c r="D447" s="20">
        <f t="shared" si="41"/>
        <v>3272</v>
      </c>
      <c r="E447" s="20">
        <f t="shared" si="42"/>
        <v>336</v>
      </c>
      <c r="F447" s="20">
        <f t="shared" si="43"/>
        <v>4</v>
      </c>
      <c r="G447" s="20">
        <v>4</v>
      </c>
      <c r="H447" s="20">
        <v>81379</v>
      </c>
      <c r="I447" s="7" t="s">
        <v>104</v>
      </c>
      <c r="J447" s="20">
        <v>51523716</v>
      </c>
      <c r="K447" s="22" t="s">
        <v>3645</v>
      </c>
      <c r="L447" s="20" t="s">
        <v>3655</v>
      </c>
      <c r="M447" s="21">
        <v>139900</v>
      </c>
      <c r="N447" s="14" t="s">
        <v>618</v>
      </c>
      <c r="O447" s="14" t="str">
        <f t="shared" si="39"/>
        <v>B1G2</v>
      </c>
      <c r="P447" s="14" t="str">
        <f t="shared" si="44"/>
        <v>BXGY</v>
      </c>
    </row>
    <row r="448" spans="1:16" x14ac:dyDescent="0.25">
      <c r="A448" s="20" t="str">
        <f t="shared" si="36"/>
        <v>2025 JAN-APR B1G2</v>
      </c>
      <c r="B448" s="23">
        <f t="shared" si="37"/>
        <v>46099</v>
      </c>
      <c r="C448" s="23">
        <f t="shared" si="38"/>
        <v>46113</v>
      </c>
      <c r="D448" s="20">
        <f t="shared" si="41"/>
        <v>3272</v>
      </c>
      <c r="E448" s="20">
        <f t="shared" si="42"/>
        <v>336</v>
      </c>
      <c r="F448" s="20">
        <f t="shared" si="43"/>
        <v>4</v>
      </c>
      <c r="G448" s="20">
        <v>4</v>
      </c>
      <c r="H448" s="20">
        <v>81379</v>
      </c>
      <c r="I448" s="7" t="s">
        <v>104</v>
      </c>
      <c r="J448" s="20">
        <v>51523725</v>
      </c>
      <c r="K448" s="22" t="s">
        <v>3645</v>
      </c>
      <c r="L448" s="20" t="s">
        <v>3656</v>
      </c>
      <c r="M448" s="21">
        <v>139900</v>
      </c>
      <c r="N448" s="14" t="s">
        <v>618</v>
      </c>
      <c r="O448" s="14" t="str">
        <f t="shared" si="39"/>
        <v>B1G2</v>
      </c>
      <c r="P448" s="14" t="str">
        <f t="shared" si="44"/>
        <v>BXGY</v>
      </c>
    </row>
    <row r="449" spans="1:16" x14ac:dyDescent="0.25">
      <c r="A449" s="20" t="str">
        <f t="shared" si="36"/>
        <v>2025 JAN-APR B1G2</v>
      </c>
      <c r="B449" s="23">
        <f t="shared" si="37"/>
        <v>46099</v>
      </c>
      <c r="C449" s="23">
        <f t="shared" si="38"/>
        <v>46113</v>
      </c>
      <c r="D449" s="20">
        <f t="shared" si="41"/>
        <v>3272</v>
      </c>
      <c r="E449" s="20">
        <f t="shared" si="42"/>
        <v>336</v>
      </c>
      <c r="F449" s="20">
        <f t="shared" si="43"/>
        <v>4</v>
      </c>
      <c r="G449" s="20">
        <v>4</v>
      </c>
      <c r="H449" s="20">
        <v>81379</v>
      </c>
      <c r="I449" s="7" t="s">
        <v>104</v>
      </c>
      <c r="J449" s="20">
        <v>51523734</v>
      </c>
      <c r="K449" s="22" t="s">
        <v>3645</v>
      </c>
      <c r="L449" s="20" t="s">
        <v>3657</v>
      </c>
      <c r="M449" s="21">
        <v>139900</v>
      </c>
      <c r="N449" s="14" t="s">
        <v>618</v>
      </c>
      <c r="O449" s="14" t="str">
        <f t="shared" si="39"/>
        <v>B1G2</v>
      </c>
      <c r="P449" s="14" t="str">
        <f t="shared" si="44"/>
        <v>BXGY</v>
      </c>
    </row>
    <row r="450" spans="1:16" x14ac:dyDescent="0.25">
      <c r="A450" s="20" t="str">
        <f t="shared" si="36"/>
        <v>2025 JAN-APR B1G2</v>
      </c>
      <c r="B450" s="23">
        <f t="shared" si="37"/>
        <v>46099</v>
      </c>
      <c r="C450" s="23">
        <f t="shared" si="38"/>
        <v>46113</v>
      </c>
      <c r="D450" s="20">
        <f t="shared" si="41"/>
        <v>3272</v>
      </c>
      <c r="E450" s="20">
        <f t="shared" si="42"/>
        <v>336</v>
      </c>
      <c r="F450" s="20">
        <f t="shared" si="43"/>
        <v>4</v>
      </c>
      <c r="G450" s="20">
        <v>4</v>
      </c>
      <c r="H450" s="20">
        <v>81379</v>
      </c>
      <c r="I450" s="7" t="s">
        <v>104</v>
      </c>
      <c r="J450" s="20">
        <v>51523743</v>
      </c>
      <c r="K450" s="22" t="s">
        <v>3645</v>
      </c>
      <c r="L450" s="20" t="s">
        <v>3658</v>
      </c>
      <c r="M450" s="21">
        <v>139900</v>
      </c>
      <c r="N450" s="14" t="s">
        <v>618</v>
      </c>
      <c r="O450" s="14" t="str">
        <f t="shared" si="39"/>
        <v>B1G2</v>
      </c>
      <c r="P450" s="14" t="str">
        <f t="shared" si="44"/>
        <v>BXGY</v>
      </c>
    </row>
    <row r="451" spans="1:16" x14ac:dyDescent="0.25">
      <c r="A451" s="20" t="str">
        <f t="shared" ref="A451:A514" si="45">A450</f>
        <v>2025 JAN-APR B1G2</v>
      </c>
      <c r="B451" s="23">
        <f t="shared" ref="B451:B514" si="46">B450</f>
        <v>46099</v>
      </c>
      <c r="C451" s="23">
        <f t="shared" ref="C451:C514" si="47">C450</f>
        <v>46113</v>
      </c>
      <c r="D451" s="20">
        <f t="shared" si="41"/>
        <v>3272</v>
      </c>
      <c r="E451" s="20">
        <f t="shared" si="42"/>
        <v>336</v>
      </c>
      <c r="F451" s="20">
        <f t="shared" si="43"/>
        <v>4</v>
      </c>
      <c r="G451" s="20">
        <v>4</v>
      </c>
      <c r="H451" s="20">
        <v>81379</v>
      </c>
      <c r="I451" s="7" t="s">
        <v>104</v>
      </c>
      <c r="J451" s="20">
        <v>51523752</v>
      </c>
      <c r="K451" s="22" t="s">
        <v>3645</v>
      </c>
      <c r="L451" s="20" t="s">
        <v>3659</v>
      </c>
      <c r="M451" s="21">
        <v>139900</v>
      </c>
      <c r="N451" s="14" t="s">
        <v>618</v>
      </c>
      <c r="O451" s="14" t="str">
        <f t="shared" ref="O451:O514" si="48">O450</f>
        <v>B1G2</v>
      </c>
      <c r="P451" s="14" t="str">
        <f t="shared" si="44"/>
        <v>BXGY</v>
      </c>
    </row>
    <row r="452" spans="1:16" x14ac:dyDescent="0.25">
      <c r="A452" s="20" t="str">
        <f t="shared" si="45"/>
        <v>2025 JAN-APR B1G2</v>
      </c>
      <c r="B452" s="23">
        <f t="shared" si="46"/>
        <v>46099</v>
      </c>
      <c r="C452" s="23">
        <f t="shared" si="47"/>
        <v>46113</v>
      </c>
      <c r="D452" s="20">
        <f t="shared" si="41"/>
        <v>3272</v>
      </c>
      <c r="E452" s="20">
        <f t="shared" si="42"/>
        <v>336</v>
      </c>
      <c r="F452" s="20">
        <f t="shared" si="43"/>
        <v>4</v>
      </c>
      <c r="G452" s="20">
        <v>4</v>
      </c>
      <c r="H452" s="20">
        <v>81379</v>
      </c>
      <c r="I452" s="7" t="s">
        <v>104</v>
      </c>
      <c r="J452" s="20">
        <v>51523761</v>
      </c>
      <c r="K452" s="22" t="s">
        <v>3645</v>
      </c>
      <c r="L452" s="20" t="s">
        <v>3660</v>
      </c>
      <c r="M452" s="21">
        <v>139900</v>
      </c>
      <c r="N452" s="14" t="s">
        <v>618</v>
      </c>
      <c r="O452" s="14" t="str">
        <f t="shared" si="48"/>
        <v>B1G2</v>
      </c>
      <c r="P452" s="14" t="str">
        <f t="shared" si="44"/>
        <v>BXGY</v>
      </c>
    </row>
    <row r="453" spans="1:16" x14ac:dyDescent="0.25">
      <c r="A453" s="20" t="str">
        <f t="shared" si="45"/>
        <v>2025 JAN-APR B1G2</v>
      </c>
      <c r="B453" s="23">
        <f t="shared" si="46"/>
        <v>46099</v>
      </c>
      <c r="C453" s="23">
        <f t="shared" si="47"/>
        <v>46113</v>
      </c>
      <c r="D453" s="20">
        <f t="shared" si="41"/>
        <v>3272</v>
      </c>
      <c r="E453" s="20">
        <f t="shared" si="42"/>
        <v>336</v>
      </c>
      <c r="F453" s="20">
        <f t="shared" si="43"/>
        <v>4</v>
      </c>
      <c r="G453" s="20">
        <v>4</v>
      </c>
      <c r="H453" s="20">
        <v>81379</v>
      </c>
      <c r="I453" s="7" t="s">
        <v>104</v>
      </c>
      <c r="J453" s="20">
        <v>51523770</v>
      </c>
      <c r="K453" s="22" t="s">
        <v>3645</v>
      </c>
      <c r="L453" s="20" t="s">
        <v>3661</v>
      </c>
      <c r="M453" s="21">
        <v>139900</v>
      </c>
      <c r="N453" s="14" t="s">
        <v>618</v>
      </c>
      <c r="O453" s="14" t="str">
        <f t="shared" si="48"/>
        <v>B1G2</v>
      </c>
      <c r="P453" s="14" t="str">
        <f t="shared" si="44"/>
        <v>BXGY</v>
      </c>
    </row>
    <row r="454" spans="1:16" x14ac:dyDescent="0.25">
      <c r="A454" s="7" t="str">
        <f t="shared" si="45"/>
        <v>2025 JAN-APR B1G2</v>
      </c>
      <c r="B454" s="8">
        <f t="shared" si="46"/>
        <v>46099</v>
      </c>
      <c r="C454" s="8">
        <f t="shared" si="47"/>
        <v>46113</v>
      </c>
      <c r="D454" s="7">
        <v>3272</v>
      </c>
      <c r="E454" s="7">
        <v>336</v>
      </c>
      <c r="F454" s="7">
        <v>4</v>
      </c>
      <c r="G454" s="7">
        <v>1</v>
      </c>
      <c r="H454" s="7">
        <v>81676</v>
      </c>
      <c r="I454" s="7" t="s">
        <v>104</v>
      </c>
      <c r="J454" s="7">
        <v>51563058</v>
      </c>
      <c r="K454" s="7" t="s">
        <v>2769</v>
      </c>
      <c r="L454" s="7" t="s">
        <v>2932</v>
      </c>
      <c r="M454" s="9">
        <v>139900</v>
      </c>
      <c r="N454" s="14" t="s">
        <v>618</v>
      </c>
      <c r="O454" s="14" t="str">
        <f t="shared" si="48"/>
        <v>B1G2</v>
      </c>
      <c r="P454" s="14" t="s">
        <v>618</v>
      </c>
    </row>
    <row r="455" spans="1:16" x14ac:dyDescent="0.25">
      <c r="A455" s="7" t="str">
        <f t="shared" si="45"/>
        <v>2025 JAN-APR B1G2</v>
      </c>
      <c r="B455" s="8">
        <f t="shared" si="46"/>
        <v>46099</v>
      </c>
      <c r="C455" s="8">
        <f t="shared" si="47"/>
        <v>46113</v>
      </c>
      <c r="D455" s="7">
        <v>3272</v>
      </c>
      <c r="E455" s="7">
        <v>336</v>
      </c>
      <c r="F455" s="7">
        <v>4</v>
      </c>
      <c r="G455" s="7">
        <v>1</v>
      </c>
      <c r="H455" s="7">
        <v>81676</v>
      </c>
      <c r="I455" s="7" t="s">
        <v>104</v>
      </c>
      <c r="J455" s="7">
        <v>51563067</v>
      </c>
      <c r="K455" s="7" t="s">
        <v>2769</v>
      </c>
      <c r="L455" s="7" t="s">
        <v>2933</v>
      </c>
      <c r="M455" s="9">
        <v>139900</v>
      </c>
      <c r="N455" s="14" t="s">
        <v>618</v>
      </c>
      <c r="O455" s="14" t="str">
        <f t="shared" si="48"/>
        <v>B1G2</v>
      </c>
      <c r="P455" s="14" t="s">
        <v>618</v>
      </c>
    </row>
    <row r="456" spans="1:16" x14ac:dyDescent="0.25">
      <c r="A456" s="7" t="str">
        <f t="shared" si="45"/>
        <v>2025 JAN-APR B1G2</v>
      </c>
      <c r="B456" s="8">
        <f t="shared" si="46"/>
        <v>46099</v>
      </c>
      <c r="C456" s="8">
        <f t="shared" si="47"/>
        <v>46113</v>
      </c>
      <c r="D456" s="7">
        <v>3272</v>
      </c>
      <c r="E456" s="7">
        <v>336</v>
      </c>
      <c r="F456" s="7">
        <v>4</v>
      </c>
      <c r="G456" s="7">
        <v>1</v>
      </c>
      <c r="H456" s="7">
        <v>81676</v>
      </c>
      <c r="I456" s="7" t="s">
        <v>104</v>
      </c>
      <c r="J456" s="7">
        <v>51563076</v>
      </c>
      <c r="K456" s="7" t="s">
        <v>2769</v>
      </c>
      <c r="L456" s="7" t="s">
        <v>2934</v>
      </c>
      <c r="M456" s="9">
        <v>139900</v>
      </c>
      <c r="N456" s="14" t="s">
        <v>618</v>
      </c>
      <c r="O456" s="14" t="str">
        <f t="shared" si="48"/>
        <v>B1G2</v>
      </c>
      <c r="P456" s="14" t="s">
        <v>618</v>
      </c>
    </row>
    <row r="457" spans="1:16" x14ac:dyDescent="0.25">
      <c r="A457" s="7" t="str">
        <f t="shared" si="45"/>
        <v>2025 JAN-APR B1G2</v>
      </c>
      <c r="B457" s="8">
        <f t="shared" si="46"/>
        <v>46099</v>
      </c>
      <c r="C457" s="8">
        <f t="shared" si="47"/>
        <v>46113</v>
      </c>
      <c r="D457" s="7">
        <v>3272</v>
      </c>
      <c r="E457" s="7">
        <v>336</v>
      </c>
      <c r="F457" s="7">
        <v>4</v>
      </c>
      <c r="G457" s="7">
        <v>1</v>
      </c>
      <c r="H457" s="7">
        <v>81676</v>
      </c>
      <c r="I457" s="7" t="s">
        <v>104</v>
      </c>
      <c r="J457" s="7">
        <v>51563085</v>
      </c>
      <c r="K457" s="7" t="s">
        <v>2769</v>
      </c>
      <c r="L457" s="7" t="s">
        <v>2935</v>
      </c>
      <c r="M457" s="9">
        <v>139900</v>
      </c>
      <c r="N457" s="14" t="s">
        <v>618</v>
      </c>
      <c r="O457" s="14" t="str">
        <f t="shared" si="48"/>
        <v>B1G2</v>
      </c>
      <c r="P457" s="14" t="s">
        <v>618</v>
      </c>
    </row>
    <row r="458" spans="1:16" x14ac:dyDescent="0.25">
      <c r="A458" s="7" t="str">
        <f t="shared" si="45"/>
        <v>2025 JAN-APR B1G2</v>
      </c>
      <c r="B458" s="8">
        <f t="shared" si="46"/>
        <v>46099</v>
      </c>
      <c r="C458" s="8">
        <f t="shared" si="47"/>
        <v>46113</v>
      </c>
      <c r="D458" s="7">
        <v>3272</v>
      </c>
      <c r="E458" s="7">
        <v>336</v>
      </c>
      <c r="F458" s="7">
        <v>4</v>
      </c>
      <c r="G458" s="7">
        <v>1</v>
      </c>
      <c r="H458" s="7">
        <v>81676</v>
      </c>
      <c r="I458" s="7" t="s">
        <v>104</v>
      </c>
      <c r="J458" s="7">
        <v>51563094</v>
      </c>
      <c r="K458" s="7" t="s">
        <v>2769</v>
      </c>
      <c r="L458" s="7" t="s">
        <v>2936</v>
      </c>
      <c r="M458" s="9">
        <v>139900</v>
      </c>
      <c r="N458" s="14" t="s">
        <v>618</v>
      </c>
      <c r="O458" s="14" t="str">
        <f t="shared" si="48"/>
        <v>B1G2</v>
      </c>
      <c r="P458" s="14" t="s">
        <v>618</v>
      </c>
    </row>
    <row r="459" spans="1:16" x14ac:dyDescent="0.25">
      <c r="A459" s="7" t="str">
        <f t="shared" si="45"/>
        <v>2025 JAN-APR B1G2</v>
      </c>
      <c r="B459" s="8">
        <f t="shared" si="46"/>
        <v>46099</v>
      </c>
      <c r="C459" s="8">
        <f t="shared" si="47"/>
        <v>46113</v>
      </c>
      <c r="D459" s="7">
        <v>3272</v>
      </c>
      <c r="E459" s="7">
        <v>336</v>
      </c>
      <c r="F459" s="7">
        <v>4</v>
      </c>
      <c r="G459" s="7">
        <v>1</v>
      </c>
      <c r="H459" s="7">
        <v>81588</v>
      </c>
      <c r="I459" s="7" t="s">
        <v>104</v>
      </c>
      <c r="J459" s="7">
        <v>45645829</v>
      </c>
      <c r="K459" s="7" t="s">
        <v>2985</v>
      </c>
      <c r="L459" s="7" t="s">
        <v>2986</v>
      </c>
      <c r="M459" s="9">
        <v>149900</v>
      </c>
      <c r="N459" s="14" t="s">
        <v>618</v>
      </c>
      <c r="O459" s="14" t="str">
        <f t="shared" si="48"/>
        <v>B1G2</v>
      </c>
      <c r="P459" s="14" t="s">
        <v>618</v>
      </c>
    </row>
    <row r="460" spans="1:16" x14ac:dyDescent="0.25">
      <c r="A460" s="7" t="str">
        <f t="shared" si="45"/>
        <v>2025 JAN-APR B1G2</v>
      </c>
      <c r="B460" s="8">
        <f t="shared" si="46"/>
        <v>46099</v>
      </c>
      <c r="C460" s="8">
        <f t="shared" si="47"/>
        <v>46113</v>
      </c>
      <c r="D460" s="7">
        <v>3272</v>
      </c>
      <c r="E460" s="7">
        <v>336</v>
      </c>
      <c r="F460" s="7">
        <v>4</v>
      </c>
      <c r="G460" s="7">
        <v>1</v>
      </c>
      <c r="H460" s="7">
        <v>81588</v>
      </c>
      <c r="I460" s="7" t="s">
        <v>104</v>
      </c>
      <c r="J460" s="7">
        <v>45645838</v>
      </c>
      <c r="K460" s="7" t="s">
        <v>2985</v>
      </c>
      <c r="L460" s="7" t="s">
        <v>2987</v>
      </c>
      <c r="M460" s="9">
        <v>149900</v>
      </c>
      <c r="N460" s="14" t="s">
        <v>618</v>
      </c>
      <c r="O460" s="14" t="str">
        <f t="shared" si="48"/>
        <v>B1G2</v>
      </c>
      <c r="P460" s="14" t="s">
        <v>618</v>
      </c>
    </row>
    <row r="461" spans="1:16" x14ac:dyDescent="0.25">
      <c r="A461" s="7" t="str">
        <f t="shared" si="45"/>
        <v>2025 JAN-APR B1G2</v>
      </c>
      <c r="B461" s="8">
        <f t="shared" si="46"/>
        <v>46099</v>
      </c>
      <c r="C461" s="8">
        <f t="shared" si="47"/>
        <v>46113</v>
      </c>
      <c r="D461" s="7">
        <v>3272</v>
      </c>
      <c r="E461" s="7">
        <v>336</v>
      </c>
      <c r="F461" s="7">
        <v>4</v>
      </c>
      <c r="G461" s="7">
        <v>1</v>
      </c>
      <c r="H461" s="7">
        <v>81588</v>
      </c>
      <c r="I461" s="7" t="s">
        <v>104</v>
      </c>
      <c r="J461" s="7">
        <v>45645847</v>
      </c>
      <c r="K461" s="7" t="s">
        <v>2985</v>
      </c>
      <c r="L461" s="7" t="s">
        <v>2988</v>
      </c>
      <c r="M461" s="9">
        <v>149900</v>
      </c>
      <c r="N461" s="14" t="s">
        <v>618</v>
      </c>
      <c r="O461" s="14" t="str">
        <f t="shared" si="48"/>
        <v>B1G2</v>
      </c>
      <c r="P461" s="14" t="s">
        <v>618</v>
      </c>
    </row>
    <row r="462" spans="1:16" x14ac:dyDescent="0.25">
      <c r="A462" s="7" t="str">
        <f t="shared" si="45"/>
        <v>2025 JAN-APR B1G2</v>
      </c>
      <c r="B462" s="8">
        <f t="shared" si="46"/>
        <v>46099</v>
      </c>
      <c r="C462" s="8">
        <f t="shared" si="47"/>
        <v>46113</v>
      </c>
      <c r="D462" s="7">
        <v>3272</v>
      </c>
      <c r="E462" s="7">
        <v>336</v>
      </c>
      <c r="F462" s="7">
        <v>4</v>
      </c>
      <c r="G462" s="7">
        <v>1</v>
      </c>
      <c r="H462" s="7">
        <v>81588</v>
      </c>
      <c r="I462" s="7" t="s">
        <v>104</v>
      </c>
      <c r="J462" s="7">
        <v>45645856</v>
      </c>
      <c r="K462" s="7" t="s">
        <v>2985</v>
      </c>
      <c r="L462" s="7" t="s">
        <v>2989</v>
      </c>
      <c r="M462" s="9">
        <v>149900</v>
      </c>
      <c r="N462" s="14" t="s">
        <v>618</v>
      </c>
      <c r="O462" s="14" t="str">
        <f t="shared" si="48"/>
        <v>B1G2</v>
      </c>
      <c r="P462" s="14" t="s">
        <v>618</v>
      </c>
    </row>
    <row r="463" spans="1:16" x14ac:dyDescent="0.25">
      <c r="A463" s="7" t="str">
        <f t="shared" si="45"/>
        <v>2025 JAN-APR B1G2</v>
      </c>
      <c r="B463" s="8">
        <f t="shared" si="46"/>
        <v>46099</v>
      </c>
      <c r="C463" s="8">
        <f t="shared" si="47"/>
        <v>46113</v>
      </c>
      <c r="D463" s="7">
        <v>3272</v>
      </c>
      <c r="E463" s="7">
        <v>336</v>
      </c>
      <c r="F463" s="7">
        <v>4</v>
      </c>
      <c r="G463" s="7">
        <v>1</v>
      </c>
      <c r="H463" s="7">
        <v>81588</v>
      </c>
      <c r="I463" s="7" t="s">
        <v>104</v>
      </c>
      <c r="J463" s="7">
        <v>45645865</v>
      </c>
      <c r="K463" s="7" t="s">
        <v>2985</v>
      </c>
      <c r="L463" s="7" t="s">
        <v>2990</v>
      </c>
      <c r="M463" s="9">
        <v>149900</v>
      </c>
      <c r="N463" s="14" t="s">
        <v>618</v>
      </c>
      <c r="O463" s="14" t="str">
        <f t="shared" si="48"/>
        <v>B1G2</v>
      </c>
      <c r="P463" s="14" t="s">
        <v>618</v>
      </c>
    </row>
    <row r="464" spans="1:16" x14ac:dyDescent="0.25">
      <c r="A464" s="7" t="str">
        <f t="shared" si="45"/>
        <v>2025 JAN-APR B1G2</v>
      </c>
      <c r="B464" s="8">
        <f t="shared" si="46"/>
        <v>46099</v>
      </c>
      <c r="C464" s="8">
        <f t="shared" si="47"/>
        <v>46113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104</v>
      </c>
      <c r="J464" s="7">
        <v>51502962</v>
      </c>
      <c r="K464" s="7" t="s">
        <v>3188</v>
      </c>
      <c r="L464" s="7" t="s">
        <v>3189</v>
      </c>
      <c r="M464" s="9">
        <v>149900</v>
      </c>
      <c r="N464" s="14" t="s">
        <v>618</v>
      </c>
      <c r="O464" s="14" t="str">
        <f t="shared" si="48"/>
        <v>B1G2</v>
      </c>
      <c r="P464" s="14" t="s">
        <v>618</v>
      </c>
    </row>
    <row r="465" spans="1:16" x14ac:dyDescent="0.25">
      <c r="A465" s="7" t="str">
        <f t="shared" si="45"/>
        <v>2025 JAN-APR B1G2</v>
      </c>
      <c r="B465" s="8">
        <f t="shared" si="46"/>
        <v>46099</v>
      </c>
      <c r="C465" s="8">
        <f t="shared" si="47"/>
        <v>46113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104</v>
      </c>
      <c r="J465" s="7">
        <v>51502971</v>
      </c>
      <c r="K465" s="7" t="s">
        <v>3188</v>
      </c>
      <c r="L465" s="7" t="s">
        <v>3190</v>
      </c>
      <c r="M465" s="9">
        <v>149900</v>
      </c>
      <c r="N465" s="14" t="s">
        <v>618</v>
      </c>
      <c r="O465" s="14" t="str">
        <f t="shared" si="48"/>
        <v>B1G2</v>
      </c>
      <c r="P465" s="14" t="s">
        <v>618</v>
      </c>
    </row>
    <row r="466" spans="1:16" x14ac:dyDescent="0.25">
      <c r="A466" s="7" t="str">
        <f t="shared" si="45"/>
        <v>2025 JAN-APR B1G2</v>
      </c>
      <c r="B466" s="8">
        <f t="shared" si="46"/>
        <v>46099</v>
      </c>
      <c r="C466" s="8">
        <f t="shared" si="47"/>
        <v>46113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104</v>
      </c>
      <c r="J466" s="7">
        <v>51502980</v>
      </c>
      <c r="K466" s="7" t="s">
        <v>3188</v>
      </c>
      <c r="L466" s="7" t="s">
        <v>3191</v>
      </c>
      <c r="M466" s="9">
        <v>149900</v>
      </c>
      <c r="N466" s="14" t="s">
        <v>618</v>
      </c>
      <c r="O466" s="14" t="str">
        <f t="shared" si="48"/>
        <v>B1G2</v>
      </c>
      <c r="P466" s="14" t="s">
        <v>618</v>
      </c>
    </row>
    <row r="467" spans="1:16" x14ac:dyDescent="0.25">
      <c r="A467" s="7" t="str">
        <f t="shared" si="45"/>
        <v>2025 JAN-APR B1G2</v>
      </c>
      <c r="B467" s="8">
        <f t="shared" si="46"/>
        <v>46099</v>
      </c>
      <c r="C467" s="8">
        <f t="shared" si="47"/>
        <v>46113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104</v>
      </c>
      <c r="J467" s="7">
        <v>51502999</v>
      </c>
      <c r="K467" s="7" t="s">
        <v>3188</v>
      </c>
      <c r="L467" s="7" t="s">
        <v>3192</v>
      </c>
      <c r="M467" s="9">
        <v>149900</v>
      </c>
      <c r="N467" s="14" t="s">
        <v>618</v>
      </c>
      <c r="O467" s="14" t="str">
        <f t="shared" si="48"/>
        <v>B1G2</v>
      </c>
      <c r="P467" s="14" t="s">
        <v>618</v>
      </c>
    </row>
    <row r="468" spans="1:16" x14ac:dyDescent="0.25">
      <c r="A468" s="7" t="str">
        <f t="shared" si="45"/>
        <v>2025 JAN-APR B1G2</v>
      </c>
      <c r="B468" s="8">
        <f t="shared" si="46"/>
        <v>46099</v>
      </c>
      <c r="C468" s="8">
        <f t="shared" si="47"/>
        <v>46113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104</v>
      </c>
      <c r="J468" s="7">
        <v>51503005</v>
      </c>
      <c r="K468" s="7" t="s">
        <v>3188</v>
      </c>
      <c r="L468" s="7" t="s">
        <v>3193</v>
      </c>
      <c r="M468" s="9">
        <v>149900</v>
      </c>
      <c r="N468" s="14" t="s">
        <v>618</v>
      </c>
      <c r="O468" s="14" t="str">
        <f t="shared" si="48"/>
        <v>B1G2</v>
      </c>
      <c r="P468" s="14" t="s">
        <v>618</v>
      </c>
    </row>
    <row r="469" spans="1:16" x14ac:dyDescent="0.25">
      <c r="A469" s="7" t="str">
        <f t="shared" si="45"/>
        <v>2025 JAN-APR B1G2</v>
      </c>
      <c r="B469" s="8">
        <f t="shared" si="46"/>
        <v>46099</v>
      </c>
      <c r="C469" s="8">
        <f t="shared" si="47"/>
        <v>46113</v>
      </c>
      <c r="D469" s="7">
        <v>3272</v>
      </c>
      <c r="E469" s="7">
        <v>336</v>
      </c>
      <c r="F469" s="7">
        <v>4</v>
      </c>
      <c r="G469" s="7">
        <v>1</v>
      </c>
      <c r="H469" s="7">
        <v>81588</v>
      </c>
      <c r="I469" s="7" t="s">
        <v>104</v>
      </c>
      <c r="J469" s="7">
        <v>51511827</v>
      </c>
      <c r="K469" s="7" t="s">
        <v>3194</v>
      </c>
      <c r="L469" s="7" t="s">
        <v>3195</v>
      </c>
      <c r="M469" s="9">
        <v>149900</v>
      </c>
      <c r="N469" s="14" t="s">
        <v>618</v>
      </c>
      <c r="O469" s="14" t="str">
        <f t="shared" si="48"/>
        <v>B1G2</v>
      </c>
      <c r="P469" s="14" t="s">
        <v>618</v>
      </c>
    </row>
    <row r="470" spans="1:16" x14ac:dyDescent="0.25">
      <c r="A470" s="7" t="str">
        <f t="shared" si="45"/>
        <v>2025 JAN-APR B1G2</v>
      </c>
      <c r="B470" s="8">
        <f t="shared" si="46"/>
        <v>46099</v>
      </c>
      <c r="C470" s="8">
        <f t="shared" si="47"/>
        <v>46113</v>
      </c>
      <c r="D470" s="7">
        <v>3272</v>
      </c>
      <c r="E470" s="7">
        <v>336</v>
      </c>
      <c r="F470" s="7">
        <v>4</v>
      </c>
      <c r="G470" s="7">
        <v>1</v>
      </c>
      <c r="H470" s="7">
        <v>81588</v>
      </c>
      <c r="I470" s="7" t="s">
        <v>104</v>
      </c>
      <c r="J470" s="7">
        <v>51511836</v>
      </c>
      <c r="K470" s="7" t="s">
        <v>3194</v>
      </c>
      <c r="L470" s="7" t="s">
        <v>3196</v>
      </c>
      <c r="M470" s="9">
        <v>149900</v>
      </c>
      <c r="N470" s="14" t="s">
        <v>618</v>
      </c>
      <c r="O470" s="14" t="str">
        <f t="shared" si="48"/>
        <v>B1G2</v>
      </c>
      <c r="P470" s="14" t="s">
        <v>618</v>
      </c>
    </row>
    <row r="471" spans="1:16" x14ac:dyDescent="0.25">
      <c r="A471" s="7" t="str">
        <f t="shared" si="45"/>
        <v>2025 JAN-APR B1G2</v>
      </c>
      <c r="B471" s="8">
        <f t="shared" si="46"/>
        <v>46099</v>
      </c>
      <c r="C471" s="8">
        <f t="shared" si="47"/>
        <v>46113</v>
      </c>
      <c r="D471" s="7">
        <v>3272</v>
      </c>
      <c r="E471" s="7">
        <v>336</v>
      </c>
      <c r="F471" s="7">
        <v>4</v>
      </c>
      <c r="G471" s="7">
        <v>1</v>
      </c>
      <c r="H471" s="7">
        <v>81588</v>
      </c>
      <c r="I471" s="7" t="s">
        <v>104</v>
      </c>
      <c r="J471" s="7">
        <v>51511845</v>
      </c>
      <c r="K471" s="7" t="s">
        <v>3194</v>
      </c>
      <c r="L471" s="7" t="s">
        <v>3197</v>
      </c>
      <c r="M471" s="9">
        <v>149900</v>
      </c>
      <c r="N471" s="14" t="s">
        <v>618</v>
      </c>
      <c r="O471" s="14" t="str">
        <f t="shared" si="48"/>
        <v>B1G2</v>
      </c>
      <c r="P471" s="14" t="s">
        <v>618</v>
      </c>
    </row>
    <row r="472" spans="1:16" x14ac:dyDescent="0.25">
      <c r="A472" s="7" t="str">
        <f t="shared" si="45"/>
        <v>2025 JAN-APR B1G2</v>
      </c>
      <c r="B472" s="8">
        <f t="shared" si="46"/>
        <v>46099</v>
      </c>
      <c r="C472" s="8">
        <f t="shared" si="47"/>
        <v>46113</v>
      </c>
      <c r="D472" s="7">
        <v>3272</v>
      </c>
      <c r="E472" s="7">
        <v>336</v>
      </c>
      <c r="F472" s="7">
        <v>4</v>
      </c>
      <c r="G472" s="7">
        <v>1</v>
      </c>
      <c r="H472" s="7">
        <v>81588</v>
      </c>
      <c r="I472" s="7" t="s">
        <v>104</v>
      </c>
      <c r="J472" s="7">
        <v>51511854</v>
      </c>
      <c r="K472" s="7" t="s">
        <v>3194</v>
      </c>
      <c r="L472" s="7" t="s">
        <v>3198</v>
      </c>
      <c r="M472" s="9">
        <v>149900</v>
      </c>
      <c r="N472" s="14" t="s">
        <v>618</v>
      </c>
      <c r="O472" s="14" t="str">
        <f t="shared" si="48"/>
        <v>B1G2</v>
      </c>
      <c r="P472" s="14" t="s">
        <v>618</v>
      </c>
    </row>
    <row r="473" spans="1:16" x14ac:dyDescent="0.25">
      <c r="A473" s="7" t="str">
        <f t="shared" si="45"/>
        <v>2025 JAN-APR B1G2</v>
      </c>
      <c r="B473" s="8">
        <f t="shared" si="46"/>
        <v>46099</v>
      </c>
      <c r="C473" s="8">
        <f t="shared" si="47"/>
        <v>46113</v>
      </c>
      <c r="D473" s="7">
        <v>3272</v>
      </c>
      <c r="E473" s="7">
        <v>336</v>
      </c>
      <c r="F473" s="7">
        <v>4</v>
      </c>
      <c r="G473" s="7">
        <v>1</v>
      </c>
      <c r="H473" s="7">
        <v>81588</v>
      </c>
      <c r="I473" s="7" t="s">
        <v>104</v>
      </c>
      <c r="J473" s="7">
        <v>51511863</v>
      </c>
      <c r="K473" s="7" t="s">
        <v>3194</v>
      </c>
      <c r="L473" s="7" t="s">
        <v>3199</v>
      </c>
      <c r="M473" s="9">
        <v>149900</v>
      </c>
      <c r="N473" s="14" t="s">
        <v>618</v>
      </c>
      <c r="O473" s="14" t="str">
        <f t="shared" si="48"/>
        <v>B1G2</v>
      </c>
      <c r="P473" s="14" t="s">
        <v>618</v>
      </c>
    </row>
    <row r="474" spans="1:16" x14ac:dyDescent="0.25">
      <c r="A474" s="7" t="str">
        <f t="shared" si="45"/>
        <v>2025 JAN-APR B1G2</v>
      </c>
      <c r="B474" s="8">
        <f t="shared" si="46"/>
        <v>46099</v>
      </c>
      <c r="C474" s="8">
        <f t="shared" si="47"/>
        <v>46113</v>
      </c>
      <c r="D474" s="7">
        <v>3272</v>
      </c>
      <c r="E474" s="7">
        <v>336</v>
      </c>
      <c r="F474" s="7">
        <v>4</v>
      </c>
      <c r="G474" s="7">
        <v>1</v>
      </c>
      <c r="H474" s="7">
        <v>81588</v>
      </c>
      <c r="I474" s="7" t="s">
        <v>104</v>
      </c>
      <c r="J474" s="7">
        <v>51511872</v>
      </c>
      <c r="K474" s="7" t="s">
        <v>3194</v>
      </c>
      <c r="L474" s="7" t="s">
        <v>3200</v>
      </c>
      <c r="M474" s="9">
        <v>149900</v>
      </c>
      <c r="N474" s="14" t="s">
        <v>618</v>
      </c>
      <c r="O474" s="14" t="str">
        <f t="shared" si="48"/>
        <v>B1G2</v>
      </c>
      <c r="P474" s="14" t="s">
        <v>618</v>
      </c>
    </row>
    <row r="475" spans="1:16" x14ac:dyDescent="0.25">
      <c r="A475" s="7" t="str">
        <f t="shared" si="45"/>
        <v>2025 JAN-APR B1G2</v>
      </c>
      <c r="B475" s="8">
        <f t="shared" si="46"/>
        <v>46099</v>
      </c>
      <c r="C475" s="8">
        <f t="shared" si="47"/>
        <v>46113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104</v>
      </c>
      <c r="J475" s="7">
        <v>51562844</v>
      </c>
      <c r="K475" s="7" t="s">
        <v>3201</v>
      </c>
      <c r="L475" s="7" t="s">
        <v>3202</v>
      </c>
      <c r="M475" s="9">
        <v>139900</v>
      </c>
      <c r="N475" s="14" t="s">
        <v>618</v>
      </c>
      <c r="O475" s="14" t="str">
        <f t="shared" si="48"/>
        <v>B1G2</v>
      </c>
      <c r="P475" s="14" t="s">
        <v>618</v>
      </c>
    </row>
    <row r="476" spans="1:16" x14ac:dyDescent="0.25">
      <c r="A476" s="7" t="str">
        <f t="shared" si="45"/>
        <v>2025 JAN-APR B1G2</v>
      </c>
      <c r="B476" s="8">
        <f t="shared" si="46"/>
        <v>46099</v>
      </c>
      <c r="C476" s="8">
        <f t="shared" si="47"/>
        <v>46113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104</v>
      </c>
      <c r="J476" s="7">
        <v>51562853</v>
      </c>
      <c r="K476" s="7" t="s">
        <v>3201</v>
      </c>
      <c r="L476" s="7" t="s">
        <v>3203</v>
      </c>
      <c r="M476" s="9">
        <v>139900</v>
      </c>
      <c r="N476" s="14" t="s">
        <v>618</v>
      </c>
      <c r="O476" s="14" t="str">
        <f t="shared" si="48"/>
        <v>B1G2</v>
      </c>
      <c r="P476" s="14" t="s">
        <v>618</v>
      </c>
    </row>
    <row r="477" spans="1:16" x14ac:dyDescent="0.25">
      <c r="A477" s="7" t="str">
        <f t="shared" si="45"/>
        <v>2025 JAN-APR B1G2</v>
      </c>
      <c r="B477" s="8">
        <f t="shared" si="46"/>
        <v>46099</v>
      </c>
      <c r="C477" s="8">
        <f t="shared" si="47"/>
        <v>46113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104</v>
      </c>
      <c r="J477" s="7">
        <v>51562862</v>
      </c>
      <c r="K477" s="7" t="s">
        <v>3201</v>
      </c>
      <c r="L477" s="7" t="s">
        <v>3204</v>
      </c>
      <c r="M477" s="9">
        <v>139900</v>
      </c>
      <c r="N477" s="14" t="s">
        <v>618</v>
      </c>
      <c r="O477" s="14" t="str">
        <f t="shared" si="48"/>
        <v>B1G2</v>
      </c>
      <c r="P477" s="14" t="s">
        <v>618</v>
      </c>
    </row>
    <row r="478" spans="1:16" x14ac:dyDescent="0.25">
      <c r="A478" s="7" t="str">
        <f t="shared" si="45"/>
        <v>2025 JAN-APR B1G2</v>
      </c>
      <c r="B478" s="8">
        <f t="shared" si="46"/>
        <v>46099</v>
      </c>
      <c r="C478" s="8">
        <f t="shared" si="47"/>
        <v>46113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104</v>
      </c>
      <c r="J478" s="7">
        <v>51562871</v>
      </c>
      <c r="K478" s="7" t="s">
        <v>3201</v>
      </c>
      <c r="L478" s="7" t="s">
        <v>3205</v>
      </c>
      <c r="M478" s="9">
        <v>139900</v>
      </c>
      <c r="N478" s="14" t="s">
        <v>618</v>
      </c>
      <c r="O478" s="14" t="str">
        <f t="shared" si="48"/>
        <v>B1G2</v>
      </c>
      <c r="P478" s="14" t="s">
        <v>618</v>
      </c>
    </row>
    <row r="479" spans="1:16" x14ac:dyDescent="0.25">
      <c r="A479" s="7" t="str">
        <f t="shared" si="45"/>
        <v>2025 JAN-APR B1G2</v>
      </c>
      <c r="B479" s="8">
        <f t="shared" si="46"/>
        <v>46099</v>
      </c>
      <c r="C479" s="8">
        <f t="shared" si="47"/>
        <v>46113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104</v>
      </c>
      <c r="J479" s="7">
        <v>51562880</v>
      </c>
      <c r="K479" s="7" t="s">
        <v>3201</v>
      </c>
      <c r="L479" s="7" t="s">
        <v>3206</v>
      </c>
      <c r="M479" s="9">
        <v>139900</v>
      </c>
      <c r="N479" s="14" t="s">
        <v>618</v>
      </c>
      <c r="O479" s="14" t="str">
        <f t="shared" si="48"/>
        <v>B1G2</v>
      </c>
      <c r="P479" s="14" t="s">
        <v>618</v>
      </c>
    </row>
    <row r="480" spans="1:16" x14ac:dyDescent="0.25">
      <c r="A480" s="7" t="str">
        <f t="shared" si="45"/>
        <v>2025 JAN-APR B1G2</v>
      </c>
      <c r="B480" s="8">
        <f t="shared" si="46"/>
        <v>46099</v>
      </c>
      <c r="C480" s="8">
        <f t="shared" si="47"/>
        <v>46113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104</v>
      </c>
      <c r="J480" s="7">
        <v>51562899</v>
      </c>
      <c r="K480" s="7" t="s">
        <v>3201</v>
      </c>
      <c r="L480" s="7" t="s">
        <v>3207</v>
      </c>
      <c r="M480" s="9">
        <v>139900</v>
      </c>
      <c r="N480" s="14" t="s">
        <v>618</v>
      </c>
      <c r="O480" s="14" t="str">
        <f t="shared" si="48"/>
        <v>B1G2</v>
      </c>
      <c r="P480" s="14" t="s">
        <v>618</v>
      </c>
    </row>
    <row r="481" spans="1:16" x14ac:dyDescent="0.25">
      <c r="A481" s="7" t="str">
        <f t="shared" si="45"/>
        <v>2025 JAN-APR B1G2</v>
      </c>
      <c r="B481" s="8">
        <f t="shared" si="46"/>
        <v>46099</v>
      </c>
      <c r="C481" s="8">
        <f t="shared" si="47"/>
        <v>46113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104</v>
      </c>
      <c r="J481" s="7">
        <v>51562906</v>
      </c>
      <c r="K481" s="7" t="s">
        <v>3201</v>
      </c>
      <c r="L481" s="7" t="s">
        <v>3208</v>
      </c>
      <c r="M481" s="9">
        <v>139900</v>
      </c>
      <c r="N481" s="14" t="s">
        <v>618</v>
      </c>
      <c r="O481" s="14" t="str">
        <f t="shared" si="48"/>
        <v>B1G2</v>
      </c>
      <c r="P481" s="14" t="s">
        <v>618</v>
      </c>
    </row>
    <row r="482" spans="1:16" x14ac:dyDescent="0.25">
      <c r="A482" s="7" t="str">
        <f t="shared" si="45"/>
        <v>2025 JAN-APR B1G2</v>
      </c>
      <c r="B482" s="8">
        <f t="shared" si="46"/>
        <v>46099</v>
      </c>
      <c r="C482" s="8">
        <f t="shared" si="47"/>
        <v>46113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104</v>
      </c>
      <c r="J482" s="7">
        <v>51562915</v>
      </c>
      <c r="K482" s="7" t="s">
        <v>3201</v>
      </c>
      <c r="L482" s="7" t="s">
        <v>3209</v>
      </c>
      <c r="M482" s="9">
        <v>139900</v>
      </c>
      <c r="N482" s="14" t="s">
        <v>618</v>
      </c>
      <c r="O482" s="14" t="str">
        <f t="shared" si="48"/>
        <v>B1G2</v>
      </c>
      <c r="P482" s="14" t="s">
        <v>618</v>
      </c>
    </row>
    <row r="483" spans="1:16" x14ac:dyDescent="0.25">
      <c r="A483" s="7" t="str">
        <f t="shared" si="45"/>
        <v>2025 JAN-APR B1G2</v>
      </c>
      <c r="B483" s="8">
        <f t="shared" si="46"/>
        <v>46099</v>
      </c>
      <c r="C483" s="8">
        <f t="shared" si="47"/>
        <v>46113</v>
      </c>
      <c r="D483" s="7">
        <v>3272</v>
      </c>
      <c r="E483" s="7">
        <v>336</v>
      </c>
      <c r="F483" s="7">
        <v>4</v>
      </c>
      <c r="G483" s="7">
        <v>1</v>
      </c>
      <c r="H483" s="7">
        <v>81588</v>
      </c>
      <c r="I483" s="7" t="s">
        <v>104</v>
      </c>
      <c r="J483" s="7">
        <v>45646024</v>
      </c>
      <c r="K483" s="7" t="s">
        <v>2327</v>
      </c>
      <c r="L483" s="7" t="s">
        <v>3003</v>
      </c>
      <c r="M483" s="9">
        <v>139900</v>
      </c>
      <c r="N483" s="14" t="s">
        <v>618</v>
      </c>
      <c r="O483" s="14" t="str">
        <f t="shared" si="48"/>
        <v>B1G2</v>
      </c>
      <c r="P483" s="14" t="s">
        <v>618</v>
      </c>
    </row>
    <row r="484" spans="1:16" x14ac:dyDescent="0.25">
      <c r="A484" s="7" t="str">
        <f t="shared" si="45"/>
        <v>2025 JAN-APR B1G2</v>
      </c>
      <c r="B484" s="8">
        <f t="shared" si="46"/>
        <v>46099</v>
      </c>
      <c r="C484" s="8">
        <f t="shared" si="47"/>
        <v>46113</v>
      </c>
      <c r="D484" s="7">
        <v>3272</v>
      </c>
      <c r="E484" s="7">
        <v>336</v>
      </c>
      <c r="F484" s="7">
        <v>4</v>
      </c>
      <c r="G484" s="7">
        <v>1</v>
      </c>
      <c r="H484" s="7">
        <v>81588</v>
      </c>
      <c r="I484" s="7" t="s">
        <v>104</v>
      </c>
      <c r="J484" s="7">
        <v>45646033</v>
      </c>
      <c r="K484" s="7" t="s">
        <v>2327</v>
      </c>
      <c r="L484" s="7" t="s">
        <v>3004</v>
      </c>
      <c r="M484" s="9">
        <v>139900</v>
      </c>
      <c r="N484" s="14" t="s">
        <v>618</v>
      </c>
      <c r="O484" s="14" t="str">
        <f t="shared" si="48"/>
        <v>B1G2</v>
      </c>
      <c r="P484" s="14" t="s">
        <v>618</v>
      </c>
    </row>
    <row r="485" spans="1:16" x14ac:dyDescent="0.25">
      <c r="A485" s="7" t="str">
        <f t="shared" si="45"/>
        <v>2025 JAN-APR B1G2</v>
      </c>
      <c r="B485" s="8">
        <f t="shared" si="46"/>
        <v>46099</v>
      </c>
      <c r="C485" s="8">
        <f t="shared" si="47"/>
        <v>46113</v>
      </c>
      <c r="D485" s="7">
        <v>3272</v>
      </c>
      <c r="E485" s="7">
        <v>336</v>
      </c>
      <c r="F485" s="7">
        <v>4</v>
      </c>
      <c r="G485" s="7">
        <v>1</v>
      </c>
      <c r="H485" s="7">
        <v>81588</v>
      </c>
      <c r="I485" s="7" t="s">
        <v>104</v>
      </c>
      <c r="J485" s="7">
        <v>45646042</v>
      </c>
      <c r="K485" s="7" t="s">
        <v>2327</v>
      </c>
      <c r="L485" s="7" t="s">
        <v>3005</v>
      </c>
      <c r="M485" s="9">
        <v>139900</v>
      </c>
      <c r="N485" s="14" t="s">
        <v>618</v>
      </c>
      <c r="O485" s="14" t="str">
        <f t="shared" si="48"/>
        <v>B1G2</v>
      </c>
      <c r="P485" s="14" t="s">
        <v>618</v>
      </c>
    </row>
    <row r="486" spans="1:16" x14ac:dyDescent="0.25">
      <c r="A486" s="7" t="str">
        <f t="shared" si="45"/>
        <v>2025 JAN-APR B1G2</v>
      </c>
      <c r="B486" s="8">
        <f t="shared" si="46"/>
        <v>46099</v>
      </c>
      <c r="C486" s="8">
        <f t="shared" si="47"/>
        <v>46113</v>
      </c>
      <c r="D486" s="7">
        <v>3272</v>
      </c>
      <c r="E486" s="7">
        <v>336</v>
      </c>
      <c r="F486" s="7">
        <v>4</v>
      </c>
      <c r="G486" s="7">
        <v>1</v>
      </c>
      <c r="H486" s="7">
        <v>81588</v>
      </c>
      <c r="I486" s="7" t="s">
        <v>104</v>
      </c>
      <c r="J486" s="7">
        <v>45646051</v>
      </c>
      <c r="K486" s="7" t="s">
        <v>2327</v>
      </c>
      <c r="L486" s="7" t="s">
        <v>3006</v>
      </c>
      <c r="M486" s="9">
        <v>139900</v>
      </c>
      <c r="N486" s="14" t="s">
        <v>618</v>
      </c>
      <c r="O486" s="14" t="str">
        <f t="shared" si="48"/>
        <v>B1G2</v>
      </c>
      <c r="P486" s="14" t="s">
        <v>618</v>
      </c>
    </row>
    <row r="487" spans="1:16" x14ac:dyDescent="0.25">
      <c r="A487" s="7" t="str">
        <f t="shared" si="45"/>
        <v>2025 JAN-APR B1G2</v>
      </c>
      <c r="B487" s="8">
        <f t="shared" si="46"/>
        <v>46099</v>
      </c>
      <c r="C487" s="8">
        <f t="shared" si="47"/>
        <v>46113</v>
      </c>
      <c r="D487" s="7">
        <v>3272</v>
      </c>
      <c r="E487" s="7">
        <v>336</v>
      </c>
      <c r="F487" s="7">
        <v>4</v>
      </c>
      <c r="G487" s="7">
        <v>1</v>
      </c>
      <c r="H487" s="7">
        <v>81588</v>
      </c>
      <c r="I487" s="7" t="s">
        <v>104</v>
      </c>
      <c r="J487" s="7">
        <v>45646060</v>
      </c>
      <c r="K487" s="7" t="s">
        <v>2327</v>
      </c>
      <c r="L487" s="7" t="s">
        <v>3007</v>
      </c>
      <c r="M487" s="9">
        <v>139900</v>
      </c>
      <c r="N487" s="14" t="s">
        <v>618</v>
      </c>
      <c r="O487" s="14" t="str">
        <f t="shared" si="48"/>
        <v>B1G2</v>
      </c>
      <c r="P487" s="14" t="s">
        <v>618</v>
      </c>
    </row>
    <row r="488" spans="1:16" x14ac:dyDescent="0.25">
      <c r="A488" s="7" t="str">
        <f t="shared" si="45"/>
        <v>2025 JAN-APR B1G2</v>
      </c>
      <c r="B488" s="8">
        <f t="shared" si="46"/>
        <v>46099</v>
      </c>
      <c r="C488" s="8">
        <f t="shared" si="47"/>
        <v>46113</v>
      </c>
      <c r="D488" s="7">
        <v>3272</v>
      </c>
      <c r="E488" s="7">
        <v>336</v>
      </c>
      <c r="F488" s="7">
        <v>4</v>
      </c>
      <c r="G488" s="7">
        <v>5</v>
      </c>
      <c r="H488" s="7">
        <v>81588</v>
      </c>
      <c r="I488" s="7" t="s">
        <v>104</v>
      </c>
      <c r="J488" s="7">
        <v>45646220</v>
      </c>
      <c r="K488" s="7" t="s">
        <v>3014</v>
      </c>
      <c r="L488" s="7" t="s">
        <v>3015</v>
      </c>
      <c r="M488" s="9">
        <v>239900</v>
      </c>
      <c r="N488" s="14" t="s">
        <v>618</v>
      </c>
      <c r="O488" s="14" t="str">
        <f t="shared" si="48"/>
        <v>B1G2</v>
      </c>
      <c r="P488" s="14" t="s">
        <v>618</v>
      </c>
    </row>
    <row r="489" spans="1:16" x14ac:dyDescent="0.25">
      <c r="A489" s="7" t="str">
        <f t="shared" si="45"/>
        <v>2025 JAN-APR B1G2</v>
      </c>
      <c r="B489" s="8">
        <f t="shared" si="46"/>
        <v>46099</v>
      </c>
      <c r="C489" s="8">
        <f t="shared" si="47"/>
        <v>46113</v>
      </c>
      <c r="D489" s="7">
        <v>3272</v>
      </c>
      <c r="E489" s="7">
        <v>336</v>
      </c>
      <c r="F489" s="7">
        <v>4</v>
      </c>
      <c r="G489" s="7">
        <v>5</v>
      </c>
      <c r="H489" s="7">
        <v>81588</v>
      </c>
      <c r="I489" s="7" t="s">
        <v>104</v>
      </c>
      <c r="J489" s="7">
        <v>45646239</v>
      </c>
      <c r="K489" s="7" t="s">
        <v>3014</v>
      </c>
      <c r="L489" s="7" t="s">
        <v>3016</v>
      </c>
      <c r="M489" s="9">
        <v>239900</v>
      </c>
      <c r="N489" s="14" t="s">
        <v>618</v>
      </c>
      <c r="O489" s="14" t="str">
        <f t="shared" si="48"/>
        <v>B1G2</v>
      </c>
      <c r="P489" s="14" t="s">
        <v>618</v>
      </c>
    </row>
    <row r="490" spans="1:16" x14ac:dyDescent="0.25">
      <c r="A490" s="7" t="str">
        <f t="shared" si="45"/>
        <v>2025 JAN-APR B1G2</v>
      </c>
      <c r="B490" s="8">
        <f t="shared" si="46"/>
        <v>46099</v>
      </c>
      <c r="C490" s="8">
        <f t="shared" si="47"/>
        <v>46113</v>
      </c>
      <c r="D490" s="7">
        <v>3272</v>
      </c>
      <c r="E490" s="7">
        <v>336</v>
      </c>
      <c r="F490" s="7">
        <v>4</v>
      </c>
      <c r="G490" s="7">
        <v>5</v>
      </c>
      <c r="H490" s="7">
        <v>81588</v>
      </c>
      <c r="I490" s="7" t="s">
        <v>104</v>
      </c>
      <c r="J490" s="7">
        <v>45646248</v>
      </c>
      <c r="K490" s="7" t="s">
        <v>3014</v>
      </c>
      <c r="L490" s="7" t="s">
        <v>3017</v>
      </c>
      <c r="M490" s="9">
        <v>239900</v>
      </c>
      <c r="N490" s="14" t="s">
        <v>618</v>
      </c>
      <c r="O490" s="14" t="str">
        <f t="shared" si="48"/>
        <v>B1G2</v>
      </c>
      <c r="P490" s="14" t="s">
        <v>618</v>
      </c>
    </row>
    <row r="491" spans="1:16" x14ac:dyDescent="0.25">
      <c r="A491" s="7" t="str">
        <f t="shared" si="45"/>
        <v>2025 JAN-APR B1G2</v>
      </c>
      <c r="B491" s="8">
        <f t="shared" si="46"/>
        <v>46099</v>
      </c>
      <c r="C491" s="8">
        <f t="shared" si="47"/>
        <v>46113</v>
      </c>
      <c r="D491" s="7">
        <v>3272</v>
      </c>
      <c r="E491" s="7">
        <v>336</v>
      </c>
      <c r="F491" s="7">
        <v>4</v>
      </c>
      <c r="G491" s="7">
        <v>5</v>
      </c>
      <c r="H491" s="7">
        <v>81588</v>
      </c>
      <c r="I491" s="7" t="s">
        <v>104</v>
      </c>
      <c r="J491" s="7">
        <v>45646257</v>
      </c>
      <c r="K491" s="7" t="s">
        <v>3014</v>
      </c>
      <c r="L491" s="7" t="s">
        <v>3018</v>
      </c>
      <c r="M491" s="9">
        <v>239900</v>
      </c>
      <c r="N491" s="14" t="s">
        <v>618</v>
      </c>
      <c r="O491" s="14" t="str">
        <f t="shared" si="48"/>
        <v>B1G2</v>
      </c>
      <c r="P491" s="14" t="s">
        <v>618</v>
      </c>
    </row>
    <row r="492" spans="1:16" x14ac:dyDescent="0.25">
      <c r="A492" s="7" t="str">
        <f t="shared" si="45"/>
        <v>2025 JAN-APR B1G2</v>
      </c>
      <c r="B492" s="8">
        <f t="shared" si="46"/>
        <v>46099</v>
      </c>
      <c r="C492" s="8">
        <f t="shared" si="47"/>
        <v>46113</v>
      </c>
      <c r="D492" s="7">
        <v>3272</v>
      </c>
      <c r="E492" s="7">
        <v>336</v>
      </c>
      <c r="F492" s="7">
        <v>4</v>
      </c>
      <c r="G492" s="7">
        <v>5</v>
      </c>
      <c r="H492" s="7">
        <v>81588</v>
      </c>
      <c r="I492" s="7" t="s">
        <v>104</v>
      </c>
      <c r="J492" s="7">
        <v>45646266</v>
      </c>
      <c r="K492" s="7" t="s">
        <v>3014</v>
      </c>
      <c r="L492" s="7" t="s">
        <v>3019</v>
      </c>
      <c r="M492" s="9">
        <v>239900</v>
      </c>
      <c r="N492" s="14" t="s">
        <v>618</v>
      </c>
      <c r="O492" s="14" t="str">
        <f t="shared" si="48"/>
        <v>B1G2</v>
      </c>
      <c r="P492" s="14" t="s">
        <v>618</v>
      </c>
    </row>
    <row r="493" spans="1:16" x14ac:dyDescent="0.25">
      <c r="A493" s="7" t="str">
        <f t="shared" si="45"/>
        <v>2025 JAN-APR B1G2</v>
      </c>
      <c r="B493" s="8">
        <f t="shared" si="46"/>
        <v>46099</v>
      </c>
      <c r="C493" s="8">
        <f t="shared" si="47"/>
        <v>46113</v>
      </c>
      <c r="D493" s="7">
        <v>3272</v>
      </c>
      <c r="E493" s="7">
        <v>336</v>
      </c>
      <c r="F493" s="7">
        <v>4</v>
      </c>
      <c r="G493" s="7">
        <v>4</v>
      </c>
      <c r="H493" s="7">
        <v>81588</v>
      </c>
      <c r="I493" s="7" t="s">
        <v>104</v>
      </c>
      <c r="J493" s="7">
        <v>45646177</v>
      </c>
      <c r="K493" s="7" t="s">
        <v>3008</v>
      </c>
      <c r="L493" s="7" t="s">
        <v>3009</v>
      </c>
      <c r="M493" s="9">
        <v>169900</v>
      </c>
      <c r="N493" s="14" t="s">
        <v>618</v>
      </c>
      <c r="O493" s="14" t="str">
        <f t="shared" si="48"/>
        <v>B1G2</v>
      </c>
      <c r="P493" s="14" t="s">
        <v>618</v>
      </c>
    </row>
    <row r="494" spans="1:16" x14ac:dyDescent="0.25">
      <c r="A494" s="7" t="str">
        <f t="shared" si="45"/>
        <v>2025 JAN-APR B1G2</v>
      </c>
      <c r="B494" s="8">
        <f t="shared" si="46"/>
        <v>46099</v>
      </c>
      <c r="C494" s="8">
        <f t="shared" si="47"/>
        <v>46113</v>
      </c>
      <c r="D494" s="7">
        <v>3272</v>
      </c>
      <c r="E494" s="7">
        <v>336</v>
      </c>
      <c r="F494" s="7">
        <v>4</v>
      </c>
      <c r="G494" s="7">
        <v>4</v>
      </c>
      <c r="H494" s="7">
        <v>81588</v>
      </c>
      <c r="I494" s="7" t="s">
        <v>104</v>
      </c>
      <c r="J494" s="7">
        <v>45646186</v>
      </c>
      <c r="K494" s="7" t="s">
        <v>3008</v>
      </c>
      <c r="L494" s="7" t="s">
        <v>3010</v>
      </c>
      <c r="M494" s="9">
        <v>169900</v>
      </c>
      <c r="N494" s="14" t="s">
        <v>618</v>
      </c>
      <c r="O494" s="14" t="str">
        <f t="shared" si="48"/>
        <v>B1G2</v>
      </c>
      <c r="P494" s="14" t="s">
        <v>618</v>
      </c>
    </row>
    <row r="495" spans="1:16" x14ac:dyDescent="0.25">
      <c r="A495" s="7" t="str">
        <f t="shared" si="45"/>
        <v>2025 JAN-APR B1G2</v>
      </c>
      <c r="B495" s="8">
        <f t="shared" si="46"/>
        <v>46099</v>
      </c>
      <c r="C495" s="8">
        <f t="shared" si="47"/>
        <v>46113</v>
      </c>
      <c r="D495" s="7">
        <v>3272</v>
      </c>
      <c r="E495" s="7">
        <v>336</v>
      </c>
      <c r="F495" s="7">
        <v>4</v>
      </c>
      <c r="G495" s="7">
        <v>4</v>
      </c>
      <c r="H495" s="7">
        <v>81588</v>
      </c>
      <c r="I495" s="7" t="s">
        <v>104</v>
      </c>
      <c r="J495" s="7">
        <v>45646195</v>
      </c>
      <c r="K495" s="7" t="s">
        <v>3008</v>
      </c>
      <c r="L495" s="7" t="s">
        <v>3011</v>
      </c>
      <c r="M495" s="9">
        <v>169900</v>
      </c>
      <c r="N495" s="14" t="s">
        <v>618</v>
      </c>
      <c r="O495" s="14" t="str">
        <f t="shared" si="48"/>
        <v>B1G2</v>
      </c>
      <c r="P495" s="14" t="s">
        <v>618</v>
      </c>
    </row>
    <row r="496" spans="1:16" x14ac:dyDescent="0.25">
      <c r="A496" s="7" t="str">
        <f t="shared" si="45"/>
        <v>2025 JAN-APR B1G2</v>
      </c>
      <c r="B496" s="8">
        <f t="shared" si="46"/>
        <v>46099</v>
      </c>
      <c r="C496" s="8">
        <f t="shared" si="47"/>
        <v>46113</v>
      </c>
      <c r="D496" s="7">
        <v>3272</v>
      </c>
      <c r="E496" s="7">
        <v>336</v>
      </c>
      <c r="F496" s="7">
        <v>4</v>
      </c>
      <c r="G496" s="7">
        <v>4</v>
      </c>
      <c r="H496" s="7">
        <v>81588</v>
      </c>
      <c r="I496" s="7" t="s">
        <v>104</v>
      </c>
      <c r="J496" s="7">
        <v>45646202</v>
      </c>
      <c r="K496" s="7" t="s">
        <v>3008</v>
      </c>
      <c r="L496" s="7" t="s">
        <v>3012</v>
      </c>
      <c r="M496" s="9">
        <v>169900</v>
      </c>
      <c r="N496" s="14" t="s">
        <v>618</v>
      </c>
      <c r="O496" s="14" t="str">
        <f t="shared" si="48"/>
        <v>B1G2</v>
      </c>
      <c r="P496" s="14" t="s">
        <v>618</v>
      </c>
    </row>
    <row r="497" spans="1:16" x14ac:dyDescent="0.25">
      <c r="A497" s="7" t="str">
        <f t="shared" si="45"/>
        <v>2025 JAN-APR B1G2</v>
      </c>
      <c r="B497" s="8">
        <f t="shared" si="46"/>
        <v>46099</v>
      </c>
      <c r="C497" s="8">
        <f t="shared" si="47"/>
        <v>46113</v>
      </c>
      <c r="D497" s="7">
        <v>3272</v>
      </c>
      <c r="E497" s="7">
        <v>336</v>
      </c>
      <c r="F497" s="7">
        <v>4</v>
      </c>
      <c r="G497" s="7">
        <v>4</v>
      </c>
      <c r="H497" s="7">
        <v>81588</v>
      </c>
      <c r="I497" s="7" t="s">
        <v>104</v>
      </c>
      <c r="J497" s="7">
        <v>45646211</v>
      </c>
      <c r="K497" s="7" t="s">
        <v>3008</v>
      </c>
      <c r="L497" s="7" t="s">
        <v>3013</v>
      </c>
      <c r="M497" s="9">
        <v>169900</v>
      </c>
      <c r="N497" s="14" t="s">
        <v>618</v>
      </c>
      <c r="O497" s="14" t="str">
        <f t="shared" si="48"/>
        <v>B1G2</v>
      </c>
      <c r="P497" s="14" t="s">
        <v>618</v>
      </c>
    </row>
    <row r="498" spans="1:16" x14ac:dyDescent="0.25">
      <c r="A498" s="7" t="str">
        <f t="shared" si="45"/>
        <v>2025 JAN-APR B1G2</v>
      </c>
      <c r="B498" s="8">
        <f t="shared" si="46"/>
        <v>46099</v>
      </c>
      <c r="C498" s="8">
        <f t="shared" si="47"/>
        <v>46113</v>
      </c>
      <c r="D498" s="7">
        <v>3272</v>
      </c>
      <c r="E498" s="7">
        <v>336</v>
      </c>
      <c r="F498" s="7">
        <v>4</v>
      </c>
      <c r="G498" s="7">
        <v>3</v>
      </c>
      <c r="H498" s="7">
        <v>81379</v>
      </c>
      <c r="I498" s="7" t="s">
        <v>104</v>
      </c>
      <c r="J498" s="7">
        <v>51511381</v>
      </c>
      <c r="K498" s="7" t="s">
        <v>3026</v>
      </c>
      <c r="L498" s="7" t="s">
        <v>3027</v>
      </c>
      <c r="M498" s="9">
        <v>249900</v>
      </c>
      <c r="N498" s="14" t="s">
        <v>618</v>
      </c>
      <c r="O498" s="14" t="str">
        <f t="shared" si="48"/>
        <v>B1G2</v>
      </c>
      <c r="P498" s="14" t="s">
        <v>618</v>
      </c>
    </row>
    <row r="499" spans="1:16" x14ac:dyDescent="0.25">
      <c r="A499" s="7" t="str">
        <f t="shared" si="45"/>
        <v>2025 JAN-APR B1G2</v>
      </c>
      <c r="B499" s="8">
        <f t="shared" si="46"/>
        <v>46099</v>
      </c>
      <c r="C499" s="8">
        <f t="shared" si="47"/>
        <v>46113</v>
      </c>
      <c r="D499" s="7">
        <v>3272</v>
      </c>
      <c r="E499" s="7">
        <v>336</v>
      </c>
      <c r="F499" s="7">
        <v>4</v>
      </c>
      <c r="G499" s="7">
        <v>3</v>
      </c>
      <c r="H499" s="7">
        <v>81379</v>
      </c>
      <c r="I499" s="7" t="s">
        <v>104</v>
      </c>
      <c r="J499" s="7">
        <v>51511390</v>
      </c>
      <c r="K499" s="7" t="s">
        <v>3026</v>
      </c>
      <c r="L499" s="7" t="s">
        <v>3028</v>
      </c>
      <c r="M499" s="9">
        <v>249900</v>
      </c>
      <c r="N499" s="14" t="s">
        <v>618</v>
      </c>
      <c r="O499" s="14" t="str">
        <f t="shared" si="48"/>
        <v>B1G2</v>
      </c>
      <c r="P499" s="14" t="s">
        <v>618</v>
      </c>
    </row>
    <row r="500" spans="1:16" x14ac:dyDescent="0.25">
      <c r="A500" s="7" t="str">
        <f t="shared" si="45"/>
        <v>2025 JAN-APR B1G2</v>
      </c>
      <c r="B500" s="8">
        <f t="shared" si="46"/>
        <v>46099</v>
      </c>
      <c r="C500" s="8">
        <f t="shared" si="47"/>
        <v>46113</v>
      </c>
      <c r="D500" s="7">
        <v>3272</v>
      </c>
      <c r="E500" s="7">
        <v>336</v>
      </c>
      <c r="F500" s="7">
        <v>4</v>
      </c>
      <c r="G500" s="7">
        <v>3</v>
      </c>
      <c r="H500" s="7">
        <v>81379</v>
      </c>
      <c r="I500" s="7" t="s">
        <v>104</v>
      </c>
      <c r="J500" s="7">
        <v>51511407</v>
      </c>
      <c r="K500" s="7" t="s">
        <v>3026</v>
      </c>
      <c r="L500" s="7" t="s">
        <v>3029</v>
      </c>
      <c r="M500" s="9">
        <v>249900</v>
      </c>
      <c r="N500" s="14" t="s">
        <v>618</v>
      </c>
      <c r="O500" s="14" t="str">
        <f t="shared" si="48"/>
        <v>B1G2</v>
      </c>
      <c r="P500" s="14" t="s">
        <v>618</v>
      </c>
    </row>
    <row r="501" spans="1:16" x14ac:dyDescent="0.25">
      <c r="A501" s="7" t="str">
        <f t="shared" si="45"/>
        <v>2025 JAN-APR B1G2</v>
      </c>
      <c r="B501" s="8">
        <f t="shared" si="46"/>
        <v>46099</v>
      </c>
      <c r="C501" s="8">
        <f t="shared" si="47"/>
        <v>46113</v>
      </c>
      <c r="D501" s="7">
        <v>3272</v>
      </c>
      <c r="E501" s="7">
        <v>336</v>
      </c>
      <c r="F501" s="7">
        <v>4</v>
      </c>
      <c r="G501" s="7">
        <v>3</v>
      </c>
      <c r="H501" s="7">
        <v>81379</v>
      </c>
      <c r="I501" s="7" t="s">
        <v>104</v>
      </c>
      <c r="J501" s="7">
        <v>51511416</v>
      </c>
      <c r="K501" s="7" t="s">
        <v>3026</v>
      </c>
      <c r="L501" s="7" t="s">
        <v>3030</v>
      </c>
      <c r="M501" s="9">
        <v>249900</v>
      </c>
      <c r="N501" s="14" t="s">
        <v>618</v>
      </c>
      <c r="O501" s="14" t="str">
        <f t="shared" si="48"/>
        <v>B1G2</v>
      </c>
      <c r="P501" s="14" t="s">
        <v>618</v>
      </c>
    </row>
    <row r="502" spans="1:16" x14ac:dyDescent="0.25">
      <c r="A502" s="7" t="str">
        <f t="shared" si="45"/>
        <v>2025 JAN-APR B1G2</v>
      </c>
      <c r="B502" s="8">
        <f t="shared" si="46"/>
        <v>46099</v>
      </c>
      <c r="C502" s="8">
        <f t="shared" si="47"/>
        <v>46113</v>
      </c>
      <c r="D502" s="7">
        <v>3272</v>
      </c>
      <c r="E502" s="7">
        <v>336</v>
      </c>
      <c r="F502" s="7">
        <v>4</v>
      </c>
      <c r="G502" s="7">
        <v>3</v>
      </c>
      <c r="H502" s="7">
        <v>81379</v>
      </c>
      <c r="I502" s="7" t="s">
        <v>104</v>
      </c>
      <c r="J502" s="7">
        <v>51511425</v>
      </c>
      <c r="K502" s="7" t="s">
        <v>3026</v>
      </c>
      <c r="L502" s="7" t="s">
        <v>3031</v>
      </c>
      <c r="M502" s="9">
        <v>249900</v>
      </c>
      <c r="N502" s="14" t="s">
        <v>618</v>
      </c>
      <c r="O502" s="14" t="str">
        <f t="shared" si="48"/>
        <v>B1G2</v>
      </c>
      <c r="P502" s="14" t="s">
        <v>618</v>
      </c>
    </row>
    <row r="503" spans="1:16" x14ac:dyDescent="0.25">
      <c r="A503" s="7" t="str">
        <f t="shared" si="45"/>
        <v>2025 JAN-APR B1G2</v>
      </c>
      <c r="B503" s="8">
        <f t="shared" si="46"/>
        <v>46099</v>
      </c>
      <c r="C503" s="8">
        <f t="shared" si="47"/>
        <v>46113</v>
      </c>
      <c r="D503" s="7">
        <v>3272</v>
      </c>
      <c r="E503" s="7">
        <v>336</v>
      </c>
      <c r="F503" s="7">
        <v>4</v>
      </c>
      <c r="G503" s="7">
        <v>3</v>
      </c>
      <c r="H503" s="7">
        <v>81379</v>
      </c>
      <c r="I503" s="7" t="s">
        <v>104</v>
      </c>
      <c r="J503" s="7">
        <v>51511434</v>
      </c>
      <c r="K503" s="7" t="s">
        <v>3026</v>
      </c>
      <c r="L503" s="7" t="s">
        <v>3032</v>
      </c>
      <c r="M503" s="9">
        <v>249900</v>
      </c>
      <c r="N503" s="14" t="s">
        <v>618</v>
      </c>
      <c r="O503" s="14" t="str">
        <f t="shared" si="48"/>
        <v>B1G2</v>
      </c>
      <c r="P503" s="14" t="s">
        <v>618</v>
      </c>
    </row>
    <row r="504" spans="1:16" x14ac:dyDescent="0.25">
      <c r="A504" s="7" t="str">
        <f t="shared" si="45"/>
        <v>2025 JAN-APR B1G2</v>
      </c>
      <c r="B504" s="8">
        <f t="shared" si="46"/>
        <v>46099</v>
      </c>
      <c r="C504" s="8">
        <f t="shared" si="47"/>
        <v>46113</v>
      </c>
      <c r="D504" s="7">
        <v>3272</v>
      </c>
      <c r="E504" s="7">
        <v>336</v>
      </c>
      <c r="F504" s="7">
        <v>4</v>
      </c>
      <c r="G504" s="7">
        <v>3</v>
      </c>
      <c r="H504" s="7">
        <v>81379</v>
      </c>
      <c r="I504" s="7" t="s">
        <v>104</v>
      </c>
      <c r="J504" s="7">
        <v>51511443</v>
      </c>
      <c r="K504" s="7" t="s">
        <v>3026</v>
      </c>
      <c r="L504" s="7" t="s">
        <v>3033</v>
      </c>
      <c r="M504" s="9">
        <v>249900</v>
      </c>
      <c r="N504" s="14" t="s">
        <v>618</v>
      </c>
      <c r="O504" s="14" t="str">
        <f t="shared" si="48"/>
        <v>B1G2</v>
      </c>
      <c r="P504" s="14" t="s">
        <v>618</v>
      </c>
    </row>
    <row r="505" spans="1:16" x14ac:dyDescent="0.25">
      <c r="A505" s="7" t="str">
        <f t="shared" si="45"/>
        <v>2025 JAN-APR B1G2</v>
      </c>
      <c r="B505" s="8">
        <f t="shared" si="46"/>
        <v>46099</v>
      </c>
      <c r="C505" s="8">
        <f t="shared" si="47"/>
        <v>46113</v>
      </c>
      <c r="D505" s="7">
        <v>3272</v>
      </c>
      <c r="E505" s="7">
        <v>336</v>
      </c>
      <c r="F505" s="7">
        <v>4</v>
      </c>
      <c r="G505" s="7">
        <v>3</v>
      </c>
      <c r="H505" s="7">
        <v>81379</v>
      </c>
      <c r="I505" s="7" t="s">
        <v>104</v>
      </c>
      <c r="J505" s="7">
        <v>51511452</v>
      </c>
      <c r="K505" s="7" t="s">
        <v>3026</v>
      </c>
      <c r="L505" s="7" t="s">
        <v>3034</v>
      </c>
      <c r="M505" s="9">
        <v>249900</v>
      </c>
      <c r="N505" s="14" t="s">
        <v>618</v>
      </c>
      <c r="O505" s="14" t="str">
        <f t="shared" si="48"/>
        <v>B1G2</v>
      </c>
      <c r="P505" s="14" t="s">
        <v>618</v>
      </c>
    </row>
    <row r="506" spans="1:16" x14ac:dyDescent="0.25">
      <c r="A506" s="7" t="str">
        <f t="shared" si="45"/>
        <v>2025 JAN-APR B1G2</v>
      </c>
      <c r="B506" s="8">
        <f t="shared" si="46"/>
        <v>46099</v>
      </c>
      <c r="C506" s="8">
        <f t="shared" si="47"/>
        <v>46113</v>
      </c>
      <c r="D506" s="7">
        <v>3272</v>
      </c>
      <c r="E506" s="7">
        <v>336</v>
      </c>
      <c r="F506" s="7">
        <v>4</v>
      </c>
      <c r="G506" s="7">
        <v>4</v>
      </c>
      <c r="H506" s="7">
        <v>81588</v>
      </c>
      <c r="I506" s="7" t="s">
        <v>104</v>
      </c>
      <c r="J506" s="7">
        <v>51523243</v>
      </c>
      <c r="K506" s="7" t="s">
        <v>3035</v>
      </c>
      <c r="L506" s="7" t="s">
        <v>3036</v>
      </c>
      <c r="M506" s="9">
        <v>169900</v>
      </c>
      <c r="N506" s="14" t="s">
        <v>618</v>
      </c>
      <c r="O506" s="14" t="str">
        <f t="shared" si="48"/>
        <v>B1G2</v>
      </c>
      <c r="P506" s="14" t="s">
        <v>618</v>
      </c>
    </row>
    <row r="507" spans="1:16" x14ac:dyDescent="0.25">
      <c r="A507" s="7" t="str">
        <f t="shared" si="45"/>
        <v>2025 JAN-APR B1G2</v>
      </c>
      <c r="B507" s="8">
        <f t="shared" si="46"/>
        <v>46099</v>
      </c>
      <c r="C507" s="8">
        <f t="shared" si="47"/>
        <v>46113</v>
      </c>
      <c r="D507" s="7">
        <v>3272</v>
      </c>
      <c r="E507" s="7">
        <v>336</v>
      </c>
      <c r="F507" s="7">
        <v>4</v>
      </c>
      <c r="G507" s="7">
        <v>4</v>
      </c>
      <c r="H507" s="7">
        <v>81588</v>
      </c>
      <c r="I507" s="7" t="s">
        <v>104</v>
      </c>
      <c r="J507" s="7">
        <v>51523252</v>
      </c>
      <c r="K507" s="7" t="s">
        <v>3035</v>
      </c>
      <c r="L507" s="7" t="s">
        <v>3037</v>
      </c>
      <c r="M507" s="9">
        <v>169900</v>
      </c>
      <c r="N507" s="14" t="s">
        <v>618</v>
      </c>
      <c r="O507" s="14" t="str">
        <f t="shared" si="48"/>
        <v>B1G2</v>
      </c>
      <c r="P507" s="14" t="s">
        <v>618</v>
      </c>
    </row>
    <row r="508" spans="1:16" x14ac:dyDescent="0.25">
      <c r="A508" s="7" t="str">
        <f t="shared" si="45"/>
        <v>2025 JAN-APR B1G2</v>
      </c>
      <c r="B508" s="8">
        <f t="shared" si="46"/>
        <v>46099</v>
      </c>
      <c r="C508" s="8">
        <f t="shared" si="47"/>
        <v>46113</v>
      </c>
      <c r="D508" s="7">
        <v>3272</v>
      </c>
      <c r="E508" s="7">
        <v>336</v>
      </c>
      <c r="F508" s="7">
        <v>4</v>
      </c>
      <c r="G508" s="7">
        <v>4</v>
      </c>
      <c r="H508" s="7">
        <v>81588</v>
      </c>
      <c r="I508" s="7" t="s">
        <v>104</v>
      </c>
      <c r="J508" s="7">
        <v>51523261</v>
      </c>
      <c r="K508" s="7" t="s">
        <v>3035</v>
      </c>
      <c r="L508" s="7" t="s">
        <v>3038</v>
      </c>
      <c r="M508" s="9">
        <v>169900</v>
      </c>
      <c r="N508" s="14" t="s">
        <v>618</v>
      </c>
      <c r="O508" s="14" t="str">
        <f t="shared" si="48"/>
        <v>B1G2</v>
      </c>
      <c r="P508" s="14" t="s">
        <v>618</v>
      </c>
    </row>
    <row r="509" spans="1:16" x14ac:dyDescent="0.25">
      <c r="A509" s="7" t="str">
        <f t="shared" si="45"/>
        <v>2025 JAN-APR B1G2</v>
      </c>
      <c r="B509" s="8">
        <f t="shared" si="46"/>
        <v>46099</v>
      </c>
      <c r="C509" s="8">
        <f t="shared" si="47"/>
        <v>46113</v>
      </c>
      <c r="D509" s="7">
        <v>3272</v>
      </c>
      <c r="E509" s="7">
        <v>336</v>
      </c>
      <c r="F509" s="7">
        <v>4</v>
      </c>
      <c r="G509" s="7">
        <v>4</v>
      </c>
      <c r="H509" s="7">
        <v>81588</v>
      </c>
      <c r="I509" s="7" t="s">
        <v>104</v>
      </c>
      <c r="J509" s="7">
        <v>51523270</v>
      </c>
      <c r="K509" s="7" t="s">
        <v>3035</v>
      </c>
      <c r="L509" s="7" t="s">
        <v>3039</v>
      </c>
      <c r="M509" s="9">
        <v>169900</v>
      </c>
      <c r="N509" s="14" t="s">
        <v>618</v>
      </c>
      <c r="O509" s="14" t="str">
        <f t="shared" si="48"/>
        <v>B1G2</v>
      </c>
      <c r="P509" s="14" t="s">
        <v>618</v>
      </c>
    </row>
    <row r="510" spans="1:16" x14ac:dyDescent="0.25">
      <c r="A510" s="7" t="str">
        <f t="shared" si="45"/>
        <v>2025 JAN-APR B1G2</v>
      </c>
      <c r="B510" s="8">
        <f t="shared" si="46"/>
        <v>46099</v>
      </c>
      <c r="C510" s="8">
        <f t="shared" si="47"/>
        <v>46113</v>
      </c>
      <c r="D510" s="7">
        <v>3272</v>
      </c>
      <c r="E510" s="7">
        <v>336</v>
      </c>
      <c r="F510" s="7">
        <v>4</v>
      </c>
      <c r="G510" s="7">
        <v>4</v>
      </c>
      <c r="H510" s="7">
        <v>81588</v>
      </c>
      <c r="I510" s="7" t="s">
        <v>104</v>
      </c>
      <c r="J510" s="7">
        <v>51523289</v>
      </c>
      <c r="K510" s="7" t="s">
        <v>3035</v>
      </c>
      <c r="L510" s="7" t="s">
        <v>3040</v>
      </c>
      <c r="M510" s="9">
        <v>169900</v>
      </c>
      <c r="N510" s="14" t="s">
        <v>618</v>
      </c>
      <c r="O510" s="14" t="str">
        <f t="shared" si="48"/>
        <v>B1G2</v>
      </c>
      <c r="P510" s="14" t="s">
        <v>618</v>
      </c>
    </row>
    <row r="511" spans="1:16" x14ac:dyDescent="0.25">
      <c r="A511" s="7" t="str">
        <f t="shared" si="45"/>
        <v>2025 JAN-APR B1G2</v>
      </c>
      <c r="B511" s="8">
        <f t="shared" si="46"/>
        <v>46099</v>
      </c>
      <c r="C511" s="8">
        <f t="shared" si="47"/>
        <v>46113</v>
      </c>
      <c r="D511" s="7">
        <v>3272</v>
      </c>
      <c r="E511" s="7">
        <v>336</v>
      </c>
      <c r="F511" s="7">
        <v>4</v>
      </c>
      <c r="G511" s="7">
        <v>4</v>
      </c>
      <c r="H511" s="7">
        <v>81588</v>
      </c>
      <c r="I511" s="7" t="s">
        <v>104</v>
      </c>
      <c r="J511" s="7">
        <v>51523298</v>
      </c>
      <c r="K511" s="7" t="s">
        <v>3035</v>
      </c>
      <c r="L511" s="7" t="s">
        <v>3041</v>
      </c>
      <c r="M511" s="9">
        <v>169900</v>
      </c>
      <c r="N511" s="14" t="s">
        <v>618</v>
      </c>
      <c r="O511" s="14" t="str">
        <f t="shared" si="48"/>
        <v>B1G2</v>
      </c>
      <c r="P511" s="14" t="s">
        <v>618</v>
      </c>
    </row>
    <row r="512" spans="1:16" x14ac:dyDescent="0.25">
      <c r="A512" s="7" t="str">
        <f t="shared" si="45"/>
        <v>2025 JAN-APR B1G2</v>
      </c>
      <c r="B512" s="8">
        <f t="shared" si="46"/>
        <v>46099</v>
      </c>
      <c r="C512" s="8">
        <f t="shared" si="47"/>
        <v>46113</v>
      </c>
      <c r="D512" s="7">
        <v>3272</v>
      </c>
      <c r="E512" s="7">
        <v>336</v>
      </c>
      <c r="F512" s="7">
        <v>4</v>
      </c>
      <c r="G512" s="7">
        <v>4</v>
      </c>
      <c r="H512" s="7">
        <v>81588</v>
      </c>
      <c r="I512" s="7" t="s">
        <v>104</v>
      </c>
      <c r="J512" s="7">
        <v>51523305</v>
      </c>
      <c r="K512" s="7" t="s">
        <v>3035</v>
      </c>
      <c r="L512" s="7" t="s">
        <v>3042</v>
      </c>
      <c r="M512" s="9">
        <v>169900</v>
      </c>
      <c r="N512" s="14" t="s">
        <v>618</v>
      </c>
      <c r="O512" s="14" t="str">
        <f t="shared" si="48"/>
        <v>B1G2</v>
      </c>
      <c r="P512" s="14" t="s">
        <v>618</v>
      </c>
    </row>
    <row r="513" spans="1:16" x14ac:dyDescent="0.25">
      <c r="A513" s="7" t="str">
        <f t="shared" si="45"/>
        <v>2025 JAN-APR B1G2</v>
      </c>
      <c r="B513" s="8">
        <f t="shared" si="46"/>
        <v>46099</v>
      </c>
      <c r="C513" s="8">
        <f t="shared" si="47"/>
        <v>46113</v>
      </c>
      <c r="D513" s="7">
        <v>3272</v>
      </c>
      <c r="E513" s="7">
        <v>336</v>
      </c>
      <c r="F513" s="7">
        <v>4</v>
      </c>
      <c r="G513" s="7">
        <v>4</v>
      </c>
      <c r="H513" s="7">
        <v>81588</v>
      </c>
      <c r="I513" s="7" t="s">
        <v>104</v>
      </c>
      <c r="J513" s="7">
        <v>51523314</v>
      </c>
      <c r="K513" s="7" t="s">
        <v>3035</v>
      </c>
      <c r="L513" s="7" t="s">
        <v>3043</v>
      </c>
      <c r="M513" s="9">
        <v>169900</v>
      </c>
      <c r="N513" s="14" t="s">
        <v>618</v>
      </c>
      <c r="O513" s="14" t="str">
        <f t="shared" si="48"/>
        <v>B1G2</v>
      </c>
      <c r="P513" s="14" t="s">
        <v>618</v>
      </c>
    </row>
    <row r="514" spans="1:16" x14ac:dyDescent="0.25">
      <c r="A514" s="7" t="str">
        <f t="shared" si="45"/>
        <v>2025 JAN-APR B1G2</v>
      </c>
      <c r="B514" s="8">
        <f t="shared" si="46"/>
        <v>46099</v>
      </c>
      <c r="C514" s="8">
        <f t="shared" si="47"/>
        <v>46113</v>
      </c>
      <c r="D514" s="7">
        <v>3272</v>
      </c>
      <c r="E514" s="7">
        <v>336</v>
      </c>
      <c r="F514" s="7">
        <v>4</v>
      </c>
      <c r="G514" s="7">
        <v>5</v>
      </c>
      <c r="H514" s="7">
        <v>81379</v>
      </c>
      <c r="I514" s="7" t="s">
        <v>104</v>
      </c>
      <c r="J514" s="7">
        <v>51503265</v>
      </c>
      <c r="K514" s="7" t="s">
        <v>3044</v>
      </c>
      <c r="L514" s="7" t="s">
        <v>3045</v>
      </c>
      <c r="M514" s="9">
        <v>249900</v>
      </c>
      <c r="N514" s="14" t="s">
        <v>618</v>
      </c>
      <c r="O514" s="14" t="str">
        <f t="shared" si="48"/>
        <v>B1G2</v>
      </c>
      <c r="P514" s="14" t="s">
        <v>618</v>
      </c>
    </row>
    <row r="515" spans="1:16" x14ac:dyDescent="0.25">
      <c r="A515" s="7" t="str">
        <f t="shared" ref="A515:A568" si="49">A514</f>
        <v>2025 JAN-APR B1G2</v>
      </c>
      <c r="B515" s="8">
        <f t="shared" ref="B515:B568" si="50">B514</f>
        <v>46099</v>
      </c>
      <c r="C515" s="8">
        <f t="shared" ref="C515:C568" si="51">C514</f>
        <v>46113</v>
      </c>
      <c r="D515" s="7">
        <v>3272</v>
      </c>
      <c r="E515" s="7">
        <v>336</v>
      </c>
      <c r="F515" s="7">
        <v>4</v>
      </c>
      <c r="G515" s="7">
        <v>5</v>
      </c>
      <c r="H515" s="7">
        <v>81379</v>
      </c>
      <c r="I515" s="7" t="s">
        <v>104</v>
      </c>
      <c r="J515" s="7">
        <v>51503274</v>
      </c>
      <c r="K515" s="7" t="s">
        <v>3044</v>
      </c>
      <c r="L515" s="7" t="s">
        <v>3046</v>
      </c>
      <c r="M515" s="9">
        <v>249900</v>
      </c>
      <c r="N515" s="14" t="s">
        <v>618</v>
      </c>
      <c r="O515" s="14" t="str">
        <f t="shared" ref="O515:O568" si="52">O514</f>
        <v>B1G2</v>
      </c>
      <c r="P515" s="14" t="s">
        <v>618</v>
      </c>
    </row>
    <row r="516" spans="1:16" x14ac:dyDescent="0.25">
      <c r="A516" s="7" t="str">
        <f t="shared" si="49"/>
        <v>2025 JAN-APR B1G2</v>
      </c>
      <c r="B516" s="8">
        <f t="shared" si="50"/>
        <v>46099</v>
      </c>
      <c r="C516" s="8">
        <f t="shared" si="51"/>
        <v>46113</v>
      </c>
      <c r="D516" s="7">
        <v>3272</v>
      </c>
      <c r="E516" s="7">
        <v>336</v>
      </c>
      <c r="F516" s="7">
        <v>4</v>
      </c>
      <c r="G516" s="7">
        <v>5</v>
      </c>
      <c r="H516" s="7">
        <v>81379</v>
      </c>
      <c r="I516" s="7" t="s">
        <v>104</v>
      </c>
      <c r="J516" s="7">
        <v>51503283</v>
      </c>
      <c r="K516" s="7" t="s">
        <v>3044</v>
      </c>
      <c r="L516" s="7" t="s">
        <v>3047</v>
      </c>
      <c r="M516" s="9">
        <v>249900</v>
      </c>
      <c r="N516" s="14" t="s">
        <v>618</v>
      </c>
      <c r="O516" s="14" t="str">
        <f t="shared" si="52"/>
        <v>B1G2</v>
      </c>
      <c r="P516" s="14" t="s">
        <v>618</v>
      </c>
    </row>
    <row r="517" spans="1:16" x14ac:dyDescent="0.25">
      <c r="A517" s="7" t="str">
        <f t="shared" si="49"/>
        <v>2025 JAN-APR B1G2</v>
      </c>
      <c r="B517" s="8">
        <f t="shared" si="50"/>
        <v>46099</v>
      </c>
      <c r="C517" s="8">
        <f t="shared" si="51"/>
        <v>46113</v>
      </c>
      <c r="D517" s="7">
        <v>3272</v>
      </c>
      <c r="E517" s="7">
        <v>336</v>
      </c>
      <c r="F517" s="7">
        <v>4</v>
      </c>
      <c r="G517" s="7">
        <v>5</v>
      </c>
      <c r="H517" s="7">
        <v>81379</v>
      </c>
      <c r="I517" s="7" t="s">
        <v>104</v>
      </c>
      <c r="J517" s="7">
        <v>51503292</v>
      </c>
      <c r="K517" s="7" t="s">
        <v>3044</v>
      </c>
      <c r="L517" s="7" t="s">
        <v>3048</v>
      </c>
      <c r="M517" s="9">
        <v>249900</v>
      </c>
      <c r="N517" s="14" t="s">
        <v>618</v>
      </c>
      <c r="O517" s="14" t="str">
        <f t="shared" si="52"/>
        <v>B1G2</v>
      </c>
      <c r="P517" s="14" t="s">
        <v>618</v>
      </c>
    </row>
    <row r="518" spans="1:16" x14ac:dyDescent="0.25">
      <c r="A518" s="7" t="str">
        <f t="shared" si="49"/>
        <v>2025 JAN-APR B1G2</v>
      </c>
      <c r="B518" s="8">
        <f t="shared" si="50"/>
        <v>46099</v>
      </c>
      <c r="C518" s="8">
        <f t="shared" si="51"/>
        <v>46113</v>
      </c>
      <c r="D518" s="7">
        <v>3272</v>
      </c>
      <c r="E518" s="7">
        <v>336</v>
      </c>
      <c r="F518" s="7">
        <v>4</v>
      </c>
      <c r="G518" s="7">
        <v>5</v>
      </c>
      <c r="H518" s="7">
        <v>81379</v>
      </c>
      <c r="I518" s="7" t="s">
        <v>104</v>
      </c>
      <c r="J518" s="7">
        <v>51503309</v>
      </c>
      <c r="K518" s="7" t="s">
        <v>3044</v>
      </c>
      <c r="L518" s="7" t="s">
        <v>3049</v>
      </c>
      <c r="M518" s="9">
        <v>249900</v>
      </c>
      <c r="N518" s="14" t="s">
        <v>618</v>
      </c>
      <c r="O518" s="14" t="str">
        <f t="shared" si="52"/>
        <v>B1G2</v>
      </c>
      <c r="P518" s="14" t="s">
        <v>618</v>
      </c>
    </row>
    <row r="519" spans="1:16" x14ac:dyDescent="0.25">
      <c r="A519" s="7" t="str">
        <f t="shared" si="49"/>
        <v>2025 JAN-APR B1G2</v>
      </c>
      <c r="B519" s="8">
        <f t="shared" si="50"/>
        <v>46099</v>
      </c>
      <c r="C519" s="8">
        <f t="shared" si="51"/>
        <v>46113</v>
      </c>
      <c r="D519" s="7">
        <v>3272</v>
      </c>
      <c r="E519" s="7">
        <v>336</v>
      </c>
      <c r="F519" s="7">
        <v>4</v>
      </c>
      <c r="G519" s="7">
        <v>5</v>
      </c>
      <c r="H519" s="7">
        <v>81379</v>
      </c>
      <c r="I519" s="7" t="s">
        <v>104</v>
      </c>
      <c r="J519" s="7">
        <v>51503747</v>
      </c>
      <c r="K519" s="7" t="s">
        <v>3050</v>
      </c>
      <c r="L519" s="7" t="s">
        <v>3051</v>
      </c>
      <c r="M519" s="9">
        <v>249900</v>
      </c>
      <c r="N519" s="14" t="s">
        <v>618</v>
      </c>
      <c r="O519" s="14" t="str">
        <f t="shared" si="52"/>
        <v>B1G2</v>
      </c>
      <c r="P519" s="14" t="s">
        <v>618</v>
      </c>
    </row>
    <row r="520" spans="1:16" x14ac:dyDescent="0.25">
      <c r="A520" s="7" t="str">
        <f t="shared" si="49"/>
        <v>2025 JAN-APR B1G2</v>
      </c>
      <c r="B520" s="8">
        <f t="shared" si="50"/>
        <v>46099</v>
      </c>
      <c r="C520" s="8">
        <f t="shared" si="51"/>
        <v>46113</v>
      </c>
      <c r="D520" s="7">
        <v>3272</v>
      </c>
      <c r="E520" s="7">
        <v>336</v>
      </c>
      <c r="F520" s="7">
        <v>4</v>
      </c>
      <c r="G520" s="7">
        <v>5</v>
      </c>
      <c r="H520" s="7">
        <v>81379</v>
      </c>
      <c r="I520" s="7" t="s">
        <v>104</v>
      </c>
      <c r="J520" s="7">
        <v>51503756</v>
      </c>
      <c r="K520" s="7" t="s">
        <v>3050</v>
      </c>
      <c r="L520" s="7" t="s">
        <v>3052</v>
      </c>
      <c r="M520" s="9">
        <v>249900</v>
      </c>
      <c r="N520" s="14" t="s">
        <v>618</v>
      </c>
      <c r="O520" s="14" t="str">
        <f t="shared" si="52"/>
        <v>B1G2</v>
      </c>
      <c r="P520" s="14" t="s">
        <v>618</v>
      </c>
    </row>
    <row r="521" spans="1:16" x14ac:dyDescent="0.25">
      <c r="A521" s="7" t="str">
        <f t="shared" si="49"/>
        <v>2025 JAN-APR B1G2</v>
      </c>
      <c r="B521" s="8">
        <f t="shared" si="50"/>
        <v>46099</v>
      </c>
      <c r="C521" s="8">
        <f t="shared" si="51"/>
        <v>46113</v>
      </c>
      <c r="D521" s="7">
        <v>3272</v>
      </c>
      <c r="E521" s="7">
        <v>336</v>
      </c>
      <c r="F521" s="7">
        <v>4</v>
      </c>
      <c r="G521" s="7">
        <v>5</v>
      </c>
      <c r="H521" s="7">
        <v>81379</v>
      </c>
      <c r="I521" s="7" t="s">
        <v>104</v>
      </c>
      <c r="J521" s="7">
        <v>51503765</v>
      </c>
      <c r="K521" s="7" t="s">
        <v>3050</v>
      </c>
      <c r="L521" s="7" t="s">
        <v>3053</v>
      </c>
      <c r="M521" s="9">
        <v>249900</v>
      </c>
      <c r="N521" s="14" t="s">
        <v>618</v>
      </c>
      <c r="O521" s="14" t="str">
        <f t="shared" si="52"/>
        <v>B1G2</v>
      </c>
      <c r="P521" s="14" t="s">
        <v>618</v>
      </c>
    </row>
    <row r="522" spans="1:16" x14ac:dyDescent="0.25">
      <c r="A522" s="7" t="str">
        <f t="shared" si="49"/>
        <v>2025 JAN-APR B1G2</v>
      </c>
      <c r="B522" s="8">
        <f t="shared" si="50"/>
        <v>46099</v>
      </c>
      <c r="C522" s="8">
        <f t="shared" si="51"/>
        <v>46113</v>
      </c>
      <c r="D522" s="7">
        <v>3272</v>
      </c>
      <c r="E522" s="7">
        <v>336</v>
      </c>
      <c r="F522" s="7">
        <v>4</v>
      </c>
      <c r="G522" s="7">
        <v>5</v>
      </c>
      <c r="H522" s="7">
        <v>81379</v>
      </c>
      <c r="I522" s="7" t="s">
        <v>104</v>
      </c>
      <c r="J522" s="7">
        <v>51503774</v>
      </c>
      <c r="K522" s="7" t="s">
        <v>3050</v>
      </c>
      <c r="L522" s="7" t="s">
        <v>3054</v>
      </c>
      <c r="M522" s="9">
        <v>249900</v>
      </c>
      <c r="N522" s="14" t="s">
        <v>618</v>
      </c>
      <c r="O522" s="14" t="str">
        <f t="shared" si="52"/>
        <v>B1G2</v>
      </c>
      <c r="P522" s="14" t="s">
        <v>618</v>
      </c>
    </row>
    <row r="523" spans="1:16" x14ac:dyDescent="0.25">
      <c r="A523" s="7" t="str">
        <f t="shared" si="49"/>
        <v>2025 JAN-APR B1G2</v>
      </c>
      <c r="B523" s="8">
        <f t="shared" si="50"/>
        <v>46099</v>
      </c>
      <c r="C523" s="8">
        <f t="shared" si="51"/>
        <v>46113</v>
      </c>
      <c r="D523" s="7">
        <v>3272</v>
      </c>
      <c r="E523" s="7">
        <v>336</v>
      </c>
      <c r="F523" s="7">
        <v>4</v>
      </c>
      <c r="G523" s="7">
        <v>5</v>
      </c>
      <c r="H523" s="7">
        <v>81379</v>
      </c>
      <c r="I523" s="7" t="s">
        <v>104</v>
      </c>
      <c r="J523" s="7">
        <v>51503783</v>
      </c>
      <c r="K523" s="7" t="s">
        <v>3050</v>
      </c>
      <c r="L523" s="7" t="s">
        <v>3055</v>
      </c>
      <c r="M523" s="9">
        <v>249900</v>
      </c>
      <c r="N523" s="14" t="s">
        <v>618</v>
      </c>
      <c r="O523" s="14" t="str">
        <f t="shared" si="52"/>
        <v>B1G2</v>
      </c>
      <c r="P523" s="14" t="s">
        <v>618</v>
      </c>
    </row>
    <row r="524" spans="1:16" x14ac:dyDescent="0.25">
      <c r="A524" s="7" t="str">
        <f t="shared" si="49"/>
        <v>2025 JAN-APR B1G2</v>
      </c>
      <c r="B524" s="8">
        <f t="shared" si="50"/>
        <v>46099</v>
      </c>
      <c r="C524" s="8">
        <f t="shared" si="51"/>
        <v>46113</v>
      </c>
      <c r="D524" s="7">
        <v>3272</v>
      </c>
      <c r="E524" s="7">
        <v>336</v>
      </c>
      <c r="F524" s="7">
        <v>4</v>
      </c>
      <c r="G524" s="7">
        <v>4</v>
      </c>
      <c r="H524" s="20">
        <v>4953</v>
      </c>
      <c r="I524" s="7" t="s">
        <v>104</v>
      </c>
      <c r="J524" s="7">
        <v>52176304</v>
      </c>
      <c r="K524" s="7" t="s">
        <v>3662</v>
      </c>
      <c r="L524" s="7" t="s">
        <v>3663</v>
      </c>
      <c r="M524" s="9">
        <v>169900</v>
      </c>
      <c r="N524" s="14" t="s">
        <v>618</v>
      </c>
      <c r="O524" s="14" t="str">
        <f t="shared" si="52"/>
        <v>B1G2</v>
      </c>
      <c r="P524" s="14" t="s">
        <v>618</v>
      </c>
    </row>
    <row r="525" spans="1:16" x14ac:dyDescent="0.25">
      <c r="A525" s="7" t="str">
        <f t="shared" si="49"/>
        <v>2025 JAN-APR B1G2</v>
      </c>
      <c r="B525" s="8">
        <f t="shared" si="50"/>
        <v>46099</v>
      </c>
      <c r="C525" s="8">
        <f t="shared" si="51"/>
        <v>46113</v>
      </c>
      <c r="D525" s="7">
        <v>3272</v>
      </c>
      <c r="E525" s="7">
        <v>336</v>
      </c>
      <c r="F525" s="7">
        <v>4</v>
      </c>
      <c r="G525" s="7">
        <v>4</v>
      </c>
      <c r="H525" s="20">
        <v>4953</v>
      </c>
      <c r="I525" s="7" t="s">
        <v>104</v>
      </c>
      <c r="J525" s="7">
        <v>52176313</v>
      </c>
      <c r="K525" s="7" t="s">
        <v>3662</v>
      </c>
      <c r="L525" s="7" t="s">
        <v>3664</v>
      </c>
      <c r="M525" s="9">
        <v>169900</v>
      </c>
      <c r="N525" s="14" t="s">
        <v>618</v>
      </c>
      <c r="O525" s="14" t="str">
        <f t="shared" si="52"/>
        <v>B1G2</v>
      </c>
      <c r="P525" s="14" t="s">
        <v>618</v>
      </c>
    </row>
    <row r="526" spans="1:16" x14ac:dyDescent="0.25">
      <c r="A526" s="7" t="str">
        <f t="shared" si="49"/>
        <v>2025 JAN-APR B1G2</v>
      </c>
      <c r="B526" s="8">
        <f t="shared" si="50"/>
        <v>46099</v>
      </c>
      <c r="C526" s="8">
        <f t="shared" si="51"/>
        <v>46113</v>
      </c>
      <c r="D526" s="7">
        <v>3272</v>
      </c>
      <c r="E526" s="7">
        <v>336</v>
      </c>
      <c r="F526" s="7">
        <v>4</v>
      </c>
      <c r="G526" s="7">
        <v>4</v>
      </c>
      <c r="H526" s="20">
        <v>4953</v>
      </c>
      <c r="I526" s="7" t="s">
        <v>104</v>
      </c>
      <c r="J526" s="7">
        <v>52176322</v>
      </c>
      <c r="K526" s="7" t="s">
        <v>3662</v>
      </c>
      <c r="L526" s="7" t="s">
        <v>3665</v>
      </c>
      <c r="M526" s="9">
        <v>169900</v>
      </c>
      <c r="N526" s="14" t="s">
        <v>618</v>
      </c>
      <c r="O526" s="14" t="str">
        <f t="shared" si="52"/>
        <v>B1G2</v>
      </c>
      <c r="P526" s="14" t="s">
        <v>618</v>
      </c>
    </row>
    <row r="527" spans="1:16" x14ac:dyDescent="0.25">
      <c r="A527" s="7" t="str">
        <f t="shared" si="49"/>
        <v>2025 JAN-APR B1G2</v>
      </c>
      <c r="B527" s="8">
        <f t="shared" si="50"/>
        <v>46099</v>
      </c>
      <c r="C527" s="8">
        <f t="shared" si="51"/>
        <v>46113</v>
      </c>
      <c r="D527" s="7">
        <v>3272</v>
      </c>
      <c r="E527" s="7">
        <v>336</v>
      </c>
      <c r="F527" s="7">
        <v>4</v>
      </c>
      <c r="G527" s="7">
        <v>4</v>
      </c>
      <c r="H527" s="20">
        <v>4953</v>
      </c>
      <c r="I527" s="7" t="s">
        <v>104</v>
      </c>
      <c r="J527" s="7">
        <v>52176331</v>
      </c>
      <c r="K527" s="7" t="s">
        <v>3662</v>
      </c>
      <c r="L527" s="7" t="s">
        <v>3666</v>
      </c>
      <c r="M527" s="9">
        <v>169900</v>
      </c>
      <c r="N527" s="14" t="s">
        <v>618</v>
      </c>
      <c r="O527" s="14" t="str">
        <f t="shared" si="52"/>
        <v>B1G2</v>
      </c>
      <c r="P527" s="14" t="s">
        <v>618</v>
      </c>
    </row>
    <row r="528" spans="1:16" x14ac:dyDescent="0.25">
      <c r="A528" s="7" t="str">
        <f t="shared" si="49"/>
        <v>2025 JAN-APR B1G2</v>
      </c>
      <c r="B528" s="8">
        <f t="shared" si="50"/>
        <v>46099</v>
      </c>
      <c r="C528" s="8">
        <f t="shared" si="51"/>
        <v>46113</v>
      </c>
      <c r="D528" s="7">
        <v>3272</v>
      </c>
      <c r="E528" s="7">
        <v>336</v>
      </c>
      <c r="F528" s="7">
        <v>4</v>
      </c>
      <c r="G528" s="7">
        <v>4</v>
      </c>
      <c r="H528" s="20">
        <v>4953</v>
      </c>
      <c r="I528" s="7" t="s">
        <v>104</v>
      </c>
      <c r="J528" s="7">
        <v>52176340</v>
      </c>
      <c r="K528" s="7" t="s">
        <v>3662</v>
      </c>
      <c r="L528" s="7" t="s">
        <v>3667</v>
      </c>
      <c r="M528" s="9">
        <v>169900</v>
      </c>
      <c r="N528" s="14" t="s">
        <v>618</v>
      </c>
      <c r="O528" s="14" t="str">
        <f t="shared" si="52"/>
        <v>B1G2</v>
      </c>
      <c r="P528" s="14" t="s">
        <v>618</v>
      </c>
    </row>
    <row r="529" spans="1:16" x14ac:dyDescent="0.25">
      <c r="A529" s="7" t="str">
        <f t="shared" si="49"/>
        <v>2025 JAN-APR B1G2</v>
      </c>
      <c r="B529" s="8">
        <f t="shared" si="50"/>
        <v>46099</v>
      </c>
      <c r="C529" s="8">
        <f t="shared" si="51"/>
        <v>46113</v>
      </c>
      <c r="D529" s="7">
        <v>3272</v>
      </c>
      <c r="E529" s="7">
        <v>336</v>
      </c>
      <c r="F529" s="7">
        <v>4</v>
      </c>
      <c r="G529" s="7">
        <v>4</v>
      </c>
      <c r="H529" s="20">
        <v>4953</v>
      </c>
      <c r="I529" s="7" t="s">
        <v>104</v>
      </c>
      <c r="J529" s="7">
        <v>52176359</v>
      </c>
      <c r="K529" s="7" t="s">
        <v>3662</v>
      </c>
      <c r="L529" s="7" t="s">
        <v>3668</v>
      </c>
      <c r="M529" s="9">
        <v>169900</v>
      </c>
      <c r="N529" s="14" t="s">
        <v>618</v>
      </c>
      <c r="O529" s="14" t="str">
        <f t="shared" si="52"/>
        <v>B1G2</v>
      </c>
      <c r="P529" s="14" t="s">
        <v>618</v>
      </c>
    </row>
    <row r="530" spans="1:16" x14ac:dyDescent="0.25">
      <c r="A530" s="7" t="str">
        <f t="shared" si="49"/>
        <v>2025 JAN-APR B1G2</v>
      </c>
      <c r="B530" s="8">
        <f t="shared" si="50"/>
        <v>46099</v>
      </c>
      <c r="C530" s="8">
        <f t="shared" si="51"/>
        <v>46113</v>
      </c>
      <c r="D530" s="7">
        <v>3272</v>
      </c>
      <c r="E530" s="7">
        <v>336</v>
      </c>
      <c r="F530" s="7">
        <v>4</v>
      </c>
      <c r="G530" s="7">
        <v>4</v>
      </c>
      <c r="H530" s="20">
        <v>4953</v>
      </c>
      <c r="I530" s="7" t="s">
        <v>104</v>
      </c>
      <c r="J530" s="7">
        <v>52176368</v>
      </c>
      <c r="K530" s="7" t="s">
        <v>3662</v>
      </c>
      <c r="L530" s="7" t="s">
        <v>3669</v>
      </c>
      <c r="M530" s="9">
        <v>169900</v>
      </c>
      <c r="N530" s="14" t="s">
        <v>618</v>
      </c>
      <c r="O530" s="14" t="str">
        <f t="shared" si="52"/>
        <v>B1G2</v>
      </c>
      <c r="P530" s="14" t="s">
        <v>618</v>
      </c>
    </row>
    <row r="531" spans="1:16" x14ac:dyDescent="0.25">
      <c r="A531" s="7" t="str">
        <f t="shared" si="49"/>
        <v>2025 JAN-APR B1G2</v>
      </c>
      <c r="B531" s="8">
        <f t="shared" si="50"/>
        <v>46099</v>
      </c>
      <c r="C531" s="8">
        <f t="shared" si="51"/>
        <v>46113</v>
      </c>
      <c r="D531" s="7">
        <v>3272</v>
      </c>
      <c r="E531" s="7">
        <v>336</v>
      </c>
      <c r="F531" s="7">
        <v>4</v>
      </c>
      <c r="G531" s="7">
        <v>4</v>
      </c>
      <c r="H531" s="20">
        <v>4953</v>
      </c>
      <c r="I531" s="7" t="s">
        <v>104</v>
      </c>
      <c r="J531" s="7">
        <v>52176377</v>
      </c>
      <c r="K531" s="7" t="s">
        <v>3662</v>
      </c>
      <c r="L531" s="7" t="s">
        <v>3670</v>
      </c>
      <c r="M531" s="9">
        <v>169900</v>
      </c>
      <c r="N531" s="14" t="s">
        <v>618</v>
      </c>
      <c r="O531" s="14" t="str">
        <f t="shared" si="52"/>
        <v>B1G2</v>
      </c>
      <c r="P531" s="14" t="s">
        <v>618</v>
      </c>
    </row>
    <row r="532" spans="1:16" x14ac:dyDescent="0.25">
      <c r="A532" s="7" t="str">
        <f t="shared" si="49"/>
        <v>2025 JAN-APR B1G2</v>
      </c>
      <c r="B532" s="8">
        <f t="shared" si="50"/>
        <v>46099</v>
      </c>
      <c r="C532" s="8">
        <f t="shared" si="51"/>
        <v>46113</v>
      </c>
      <c r="D532" s="7">
        <v>3272</v>
      </c>
      <c r="E532" s="7">
        <v>336</v>
      </c>
      <c r="F532" s="7">
        <v>4</v>
      </c>
      <c r="G532" s="7">
        <v>1</v>
      </c>
      <c r="H532" s="7">
        <v>4953</v>
      </c>
      <c r="I532" s="7" t="s">
        <v>104</v>
      </c>
      <c r="J532" s="7">
        <v>53659648</v>
      </c>
      <c r="K532" s="7" t="s">
        <v>3531</v>
      </c>
      <c r="L532" s="7" t="s">
        <v>3488</v>
      </c>
      <c r="M532" s="9">
        <v>149900</v>
      </c>
      <c r="N532" s="14" t="s">
        <v>618</v>
      </c>
      <c r="O532" s="14" t="str">
        <f t="shared" si="52"/>
        <v>B1G2</v>
      </c>
      <c r="P532" s="14" t="s">
        <v>618</v>
      </c>
    </row>
    <row r="533" spans="1:16" x14ac:dyDescent="0.25">
      <c r="A533" s="7" t="str">
        <f t="shared" si="49"/>
        <v>2025 JAN-APR B1G2</v>
      </c>
      <c r="B533" s="8">
        <f t="shared" si="50"/>
        <v>46099</v>
      </c>
      <c r="C533" s="8">
        <f t="shared" si="51"/>
        <v>46113</v>
      </c>
      <c r="D533" s="7">
        <v>3272</v>
      </c>
      <c r="E533" s="7">
        <v>336</v>
      </c>
      <c r="F533" s="7">
        <v>4</v>
      </c>
      <c r="G533" s="7">
        <v>1</v>
      </c>
      <c r="H533" s="7">
        <v>4953</v>
      </c>
      <c r="I533" s="7" t="s">
        <v>104</v>
      </c>
      <c r="J533" s="7">
        <v>53659657</v>
      </c>
      <c r="K533" s="7" t="s">
        <v>3531</v>
      </c>
      <c r="L533" s="7" t="s">
        <v>3489</v>
      </c>
      <c r="M533" s="9">
        <v>149900</v>
      </c>
      <c r="N533" s="14" t="s">
        <v>618</v>
      </c>
      <c r="O533" s="14" t="str">
        <f t="shared" si="52"/>
        <v>B1G2</v>
      </c>
      <c r="P533" s="14" t="s">
        <v>618</v>
      </c>
    </row>
    <row r="534" spans="1:16" x14ac:dyDescent="0.25">
      <c r="A534" s="7" t="str">
        <f t="shared" si="49"/>
        <v>2025 JAN-APR B1G2</v>
      </c>
      <c r="B534" s="8">
        <f t="shared" si="50"/>
        <v>46099</v>
      </c>
      <c r="C534" s="8">
        <f t="shared" si="51"/>
        <v>46113</v>
      </c>
      <c r="D534" s="7">
        <v>3272</v>
      </c>
      <c r="E534" s="7">
        <v>336</v>
      </c>
      <c r="F534" s="7">
        <v>4</v>
      </c>
      <c r="G534" s="7">
        <v>1</v>
      </c>
      <c r="H534" s="7">
        <v>4953</v>
      </c>
      <c r="I534" s="7" t="s">
        <v>104</v>
      </c>
      <c r="J534" s="7">
        <v>53659666</v>
      </c>
      <c r="K534" s="7" t="s">
        <v>3531</v>
      </c>
      <c r="L534" s="7" t="s">
        <v>3490</v>
      </c>
      <c r="M534" s="9">
        <v>149900</v>
      </c>
      <c r="N534" s="14" t="s">
        <v>618</v>
      </c>
      <c r="O534" s="14" t="str">
        <f t="shared" si="52"/>
        <v>B1G2</v>
      </c>
      <c r="P534" s="14" t="s">
        <v>618</v>
      </c>
    </row>
    <row r="535" spans="1:16" x14ac:dyDescent="0.25">
      <c r="A535" s="7" t="str">
        <f t="shared" si="49"/>
        <v>2025 JAN-APR B1G2</v>
      </c>
      <c r="B535" s="8">
        <f t="shared" si="50"/>
        <v>46099</v>
      </c>
      <c r="C535" s="8">
        <f t="shared" si="51"/>
        <v>46113</v>
      </c>
      <c r="D535" s="7">
        <v>3272</v>
      </c>
      <c r="E535" s="7">
        <v>336</v>
      </c>
      <c r="F535" s="7">
        <v>4</v>
      </c>
      <c r="G535" s="7">
        <v>1</v>
      </c>
      <c r="H535" s="7">
        <v>4953</v>
      </c>
      <c r="I535" s="7" t="s">
        <v>104</v>
      </c>
      <c r="J535" s="7">
        <v>53659675</v>
      </c>
      <c r="K535" s="7" t="s">
        <v>3531</v>
      </c>
      <c r="L535" s="7" t="s">
        <v>3491</v>
      </c>
      <c r="M535" s="9">
        <v>149900</v>
      </c>
      <c r="N535" s="14" t="s">
        <v>618</v>
      </c>
      <c r="O535" s="14" t="str">
        <f t="shared" si="52"/>
        <v>B1G2</v>
      </c>
      <c r="P535" s="14" t="s">
        <v>618</v>
      </c>
    </row>
    <row r="536" spans="1:16" x14ac:dyDescent="0.25">
      <c r="A536" s="7" t="str">
        <f t="shared" si="49"/>
        <v>2025 JAN-APR B1G2</v>
      </c>
      <c r="B536" s="8">
        <f t="shared" si="50"/>
        <v>46099</v>
      </c>
      <c r="C536" s="8">
        <f t="shared" si="51"/>
        <v>46113</v>
      </c>
      <c r="D536" s="7">
        <v>3272</v>
      </c>
      <c r="E536" s="7">
        <v>336</v>
      </c>
      <c r="F536" s="7">
        <v>4</v>
      </c>
      <c r="G536" s="7">
        <v>1</v>
      </c>
      <c r="H536" s="7">
        <v>4953</v>
      </c>
      <c r="I536" s="7" t="s">
        <v>104</v>
      </c>
      <c r="J536" s="7">
        <v>53659684</v>
      </c>
      <c r="K536" s="7" t="s">
        <v>3531</v>
      </c>
      <c r="L536" s="7" t="s">
        <v>3492</v>
      </c>
      <c r="M536" s="9">
        <v>149900</v>
      </c>
      <c r="N536" s="14" t="s">
        <v>618</v>
      </c>
      <c r="O536" s="14" t="str">
        <f t="shared" si="52"/>
        <v>B1G2</v>
      </c>
      <c r="P536" s="14" t="s">
        <v>618</v>
      </c>
    </row>
    <row r="537" spans="1:16" x14ac:dyDescent="0.25">
      <c r="A537" s="7" t="str">
        <f t="shared" si="49"/>
        <v>2025 JAN-APR B1G2</v>
      </c>
      <c r="B537" s="8">
        <f t="shared" si="50"/>
        <v>46099</v>
      </c>
      <c r="C537" s="8">
        <f t="shared" si="51"/>
        <v>46113</v>
      </c>
      <c r="D537" s="7">
        <v>3272</v>
      </c>
      <c r="E537" s="7">
        <v>336</v>
      </c>
      <c r="F537" s="7">
        <v>4</v>
      </c>
      <c r="G537" s="7">
        <v>1</v>
      </c>
      <c r="H537" s="7">
        <v>4953</v>
      </c>
      <c r="I537" s="7" t="s">
        <v>104</v>
      </c>
      <c r="J537" s="7">
        <v>53659693</v>
      </c>
      <c r="K537" s="7" t="s">
        <v>3531</v>
      </c>
      <c r="L537" s="7" t="s">
        <v>3493</v>
      </c>
      <c r="M537" s="9">
        <v>149900</v>
      </c>
      <c r="N537" s="14" t="s">
        <v>618</v>
      </c>
      <c r="O537" s="14" t="str">
        <f t="shared" si="52"/>
        <v>B1G2</v>
      </c>
      <c r="P537" s="14" t="s">
        <v>618</v>
      </c>
    </row>
    <row r="538" spans="1:16" x14ac:dyDescent="0.25">
      <c r="A538" s="7" t="str">
        <f t="shared" si="49"/>
        <v>2025 JAN-APR B1G2</v>
      </c>
      <c r="B538" s="8">
        <f t="shared" si="50"/>
        <v>46099</v>
      </c>
      <c r="C538" s="8">
        <f t="shared" si="51"/>
        <v>46113</v>
      </c>
      <c r="D538" s="7">
        <v>3272</v>
      </c>
      <c r="E538" s="7">
        <v>336</v>
      </c>
      <c r="F538" s="7">
        <v>4</v>
      </c>
      <c r="G538" s="7">
        <v>1</v>
      </c>
      <c r="H538" s="7">
        <v>4953</v>
      </c>
      <c r="I538" s="7" t="s">
        <v>104</v>
      </c>
      <c r="J538" s="7">
        <v>53659700</v>
      </c>
      <c r="K538" s="7" t="s">
        <v>3531</v>
      </c>
      <c r="L538" s="7" t="s">
        <v>3494</v>
      </c>
      <c r="M538" s="9">
        <v>149900</v>
      </c>
      <c r="N538" s="14" t="s">
        <v>618</v>
      </c>
      <c r="O538" s="14" t="str">
        <f t="shared" si="52"/>
        <v>B1G2</v>
      </c>
      <c r="P538" s="14" t="s">
        <v>618</v>
      </c>
    </row>
    <row r="539" spans="1:16" x14ac:dyDescent="0.25">
      <c r="A539" s="7" t="str">
        <f t="shared" si="49"/>
        <v>2025 JAN-APR B1G2</v>
      </c>
      <c r="B539" s="8">
        <f t="shared" si="50"/>
        <v>46099</v>
      </c>
      <c r="C539" s="8">
        <f t="shared" si="51"/>
        <v>46113</v>
      </c>
      <c r="D539" s="7">
        <v>3272</v>
      </c>
      <c r="E539" s="7">
        <v>336</v>
      </c>
      <c r="F539" s="7">
        <v>4</v>
      </c>
      <c r="G539" s="7">
        <v>1</v>
      </c>
      <c r="H539" s="7">
        <v>4953</v>
      </c>
      <c r="I539" s="7" t="s">
        <v>104</v>
      </c>
      <c r="J539" s="7">
        <v>53659719</v>
      </c>
      <c r="K539" s="7" t="s">
        <v>3531</v>
      </c>
      <c r="L539" s="7" t="s">
        <v>3495</v>
      </c>
      <c r="M539" s="9">
        <v>149900</v>
      </c>
      <c r="N539" s="14" t="s">
        <v>618</v>
      </c>
      <c r="O539" s="14" t="str">
        <f t="shared" si="52"/>
        <v>B1G2</v>
      </c>
      <c r="P539" s="14" t="s">
        <v>618</v>
      </c>
    </row>
    <row r="540" spans="1:16" x14ac:dyDescent="0.25">
      <c r="A540" s="7" t="str">
        <f t="shared" si="49"/>
        <v>2025 JAN-APR B1G2</v>
      </c>
      <c r="B540" s="8">
        <f t="shared" si="50"/>
        <v>46099</v>
      </c>
      <c r="C540" s="8">
        <f t="shared" si="51"/>
        <v>46113</v>
      </c>
      <c r="D540" s="7">
        <v>3272</v>
      </c>
      <c r="E540" s="7">
        <v>336</v>
      </c>
      <c r="F540" s="7">
        <v>4</v>
      </c>
      <c r="G540" s="7">
        <v>1</v>
      </c>
      <c r="H540" s="7">
        <v>4953</v>
      </c>
      <c r="I540" s="7" t="s">
        <v>104</v>
      </c>
      <c r="J540" s="7">
        <v>53659728</v>
      </c>
      <c r="K540" s="7" t="s">
        <v>3532</v>
      </c>
      <c r="L540" s="7" t="s">
        <v>3496</v>
      </c>
      <c r="M540" s="9">
        <v>149900</v>
      </c>
      <c r="N540" s="14" t="s">
        <v>618</v>
      </c>
      <c r="O540" s="14" t="str">
        <f t="shared" si="52"/>
        <v>B1G2</v>
      </c>
      <c r="P540" s="14" t="s">
        <v>618</v>
      </c>
    </row>
    <row r="541" spans="1:16" x14ac:dyDescent="0.25">
      <c r="A541" s="7" t="str">
        <f t="shared" si="49"/>
        <v>2025 JAN-APR B1G2</v>
      </c>
      <c r="B541" s="8">
        <f t="shared" si="50"/>
        <v>46099</v>
      </c>
      <c r="C541" s="8">
        <f t="shared" si="51"/>
        <v>46113</v>
      </c>
      <c r="D541" s="7">
        <v>3272</v>
      </c>
      <c r="E541" s="7">
        <v>336</v>
      </c>
      <c r="F541" s="7">
        <v>4</v>
      </c>
      <c r="G541" s="7">
        <v>1</v>
      </c>
      <c r="H541" s="7">
        <v>4953</v>
      </c>
      <c r="I541" s="7" t="s">
        <v>104</v>
      </c>
      <c r="J541" s="7">
        <v>53659737</v>
      </c>
      <c r="K541" s="7" t="s">
        <v>3532</v>
      </c>
      <c r="L541" s="7" t="s">
        <v>3497</v>
      </c>
      <c r="M541" s="9">
        <v>149900</v>
      </c>
      <c r="N541" s="14" t="s">
        <v>618</v>
      </c>
      <c r="O541" s="14" t="str">
        <f t="shared" si="52"/>
        <v>B1G2</v>
      </c>
      <c r="P541" s="14" t="s">
        <v>618</v>
      </c>
    </row>
    <row r="542" spans="1:16" x14ac:dyDescent="0.25">
      <c r="A542" s="7" t="str">
        <f t="shared" si="49"/>
        <v>2025 JAN-APR B1G2</v>
      </c>
      <c r="B542" s="8">
        <f t="shared" si="50"/>
        <v>46099</v>
      </c>
      <c r="C542" s="8">
        <f t="shared" si="51"/>
        <v>46113</v>
      </c>
      <c r="D542" s="7">
        <v>3272</v>
      </c>
      <c r="E542" s="7">
        <v>336</v>
      </c>
      <c r="F542" s="7">
        <v>4</v>
      </c>
      <c r="G542" s="7">
        <v>1</v>
      </c>
      <c r="H542" s="7">
        <v>4953</v>
      </c>
      <c r="I542" s="7" t="s">
        <v>104</v>
      </c>
      <c r="J542" s="7">
        <v>53659746</v>
      </c>
      <c r="K542" s="7" t="s">
        <v>3532</v>
      </c>
      <c r="L542" s="7" t="s">
        <v>3498</v>
      </c>
      <c r="M542" s="9">
        <v>139900</v>
      </c>
      <c r="N542" s="14" t="s">
        <v>618</v>
      </c>
      <c r="O542" s="14" t="str">
        <f t="shared" si="52"/>
        <v>B1G2</v>
      </c>
      <c r="P542" s="14" t="s">
        <v>618</v>
      </c>
    </row>
    <row r="543" spans="1:16" x14ac:dyDescent="0.25">
      <c r="A543" s="7" t="str">
        <f t="shared" si="49"/>
        <v>2025 JAN-APR B1G2</v>
      </c>
      <c r="B543" s="8">
        <f t="shared" si="50"/>
        <v>46099</v>
      </c>
      <c r="C543" s="8">
        <f t="shared" si="51"/>
        <v>46113</v>
      </c>
      <c r="D543" s="7">
        <v>3272</v>
      </c>
      <c r="E543" s="7">
        <v>336</v>
      </c>
      <c r="F543" s="7">
        <v>4</v>
      </c>
      <c r="G543" s="7">
        <v>1</v>
      </c>
      <c r="H543" s="7">
        <v>4953</v>
      </c>
      <c r="I543" s="7" t="s">
        <v>104</v>
      </c>
      <c r="J543" s="7">
        <v>53659755</v>
      </c>
      <c r="K543" s="7" t="s">
        <v>3532</v>
      </c>
      <c r="L543" s="7" t="s">
        <v>3499</v>
      </c>
      <c r="M543" s="9">
        <v>139900</v>
      </c>
      <c r="N543" s="14" t="s">
        <v>618</v>
      </c>
      <c r="O543" s="14" t="str">
        <f t="shared" si="52"/>
        <v>B1G2</v>
      </c>
      <c r="P543" s="14" t="s">
        <v>618</v>
      </c>
    </row>
    <row r="544" spans="1:16" x14ac:dyDescent="0.25">
      <c r="A544" s="7" t="str">
        <f t="shared" si="49"/>
        <v>2025 JAN-APR B1G2</v>
      </c>
      <c r="B544" s="8">
        <f t="shared" si="50"/>
        <v>46099</v>
      </c>
      <c r="C544" s="8">
        <f t="shared" si="51"/>
        <v>46113</v>
      </c>
      <c r="D544" s="7">
        <v>3272</v>
      </c>
      <c r="E544" s="7">
        <v>336</v>
      </c>
      <c r="F544" s="7">
        <v>4</v>
      </c>
      <c r="G544" s="7">
        <v>1</v>
      </c>
      <c r="H544" s="7">
        <v>4953</v>
      </c>
      <c r="I544" s="7" t="s">
        <v>104</v>
      </c>
      <c r="J544" s="7">
        <v>53659764</v>
      </c>
      <c r="K544" s="7" t="s">
        <v>3532</v>
      </c>
      <c r="L544" s="7" t="s">
        <v>3500</v>
      </c>
      <c r="M544" s="9">
        <v>139900</v>
      </c>
      <c r="N544" s="14" t="s">
        <v>618</v>
      </c>
      <c r="O544" s="14" t="str">
        <f t="shared" si="52"/>
        <v>B1G2</v>
      </c>
      <c r="P544" s="14" t="s">
        <v>618</v>
      </c>
    </row>
    <row r="545" spans="1:16" x14ac:dyDescent="0.25">
      <c r="A545" s="7" t="str">
        <f t="shared" si="49"/>
        <v>2025 JAN-APR B1G2</v>
      </c>
      <c r="B545" s="8">
        <f t="shared" si="50"/>
        <v>46099</v>
      </c>
      <c r="C545" s="8">
        <f t="shared" si="51"/>
        <v>46113</v>
      </c>
      <c r="D545" s="7">
        <v>3272</v>
      </c>
      <c r="E545" s="7">
        <v>336</v>
      </c>
      <c r="F545" s="7">
        <v>4</v>
      </c>
      <c r="G545" s="7">
        <v>1</v>
      </c>
      <c r="H545" s="7">
        <v>4953</v>
      </c>
      <c r="I545" s="7" t="s">
        <v>104</v>
      </c>
      <c r="J545" s="7">
        <v>53659773</v>
      </c>
      <c r="K545" s="7" t="s">
        <v>3532</v>
      </c>
      <c r="L545" s="7" t="s">
        <v>3501</v>
      </c>
      <c r="M545" s="9">
        <v>139900</v>
      </c>
      <c r="N545" s="14" t="s">
        <v>618</v>
      </c>
      <c r="O545" s="14" t="str">
        <f t="shared" si="52"/>
        <v>B1G2</v>
      </c>
      <c r="P545" s="14" t="s">
        <v>618</v>
      </c>
    </row>
    <row r="546" spans="1:16" x14ac:dyDescent="0.25">
      <c r="A546" s="7" t="str">
        <f t="shared" si="49"/>
        <v>2025 JAN-APR B1G2</v>
      </c>
      <c r="B546" s="8">
        <f t="shared" si="50"/>
        <v>46099</v>
      </c>
      <c r="C546" s="8">
        <f t="shared" si="51"/>
        <v>46113</v>
      </c>
      <c r="D546" s="7">
        <v>3272</v>
      </c>
      <c r="E546" s="7">
        <v>336</v>
      </c>
      <c r="F546" s="7">
        <v>4</v>
      </c>
      <c r="G546" s="7">
        <v>1</v>
      </c>
      <c r="H546" s="7">
        <v>4953</v>
      </c>
      <c r="I546" s="7" t="s">
        <v>104</v>
      </c>
      <c r="J546" s="7">
        <v>53659782</v>
      </c>
      <c r="K546" s="7" t="s">
        <v>3532</v>
      </c>
      <c r="L546" s="7" t="s">
        <v>3502</v>
      </c>
      <c r="M546" s="9">
        <v>139900</v>
      </c>
      <c r="N546" s="14" t="s">
        <v>618</v>
      </c>
      <c r="O546" s="14" t="str">
        <f t="shared" si="52"/>
        <v>B1G2</v>
      </c>
      <c r="P546" s="14" t="s">
        <v>618</v>
      </c>
    </row>
    <row r="547" spans="1:16" x14ac:dyDescent="0.25">
      <c r="A547" s="7" t="str">
        <f t="shared" si="49"/>
        <v>2025 JAN-APR B1G2</v>
      </c>
      <c r="B547" s="8">
        <f t="shared" si="50"/>
        <v>46099</v>
      </c>
      <c r="C547" s="8">
        <f t="shared" si="51"/>
        <v>46113</v>
      </c>
      <c r="D547" s="7">
        <v>3272</v>
      </c>
      <c r="E547" s="7">
        <v>336</v>
      </c>
      <c r="F547" s="7">
        <v>4</v>
      </c>
      <c r="G547" s="7">
        <v>1</v>
      </c>
      <c r="H547" s="7">
        <v>4953</v>
      </c>
      <c r="I547" s="7" t="s">
        <v>104</v>
      </c>
      <c r="J547" s="7">
        <v>53659791</v>
      </c>
      <c r="K547" s="7" t="s">
        <v>3532</v>
      </c>
      <c r="L547" s="7" t="s">
        <v>3503</v>
      </c>
      <c r="M547" s="9">
        <v>139900</v>
      </c>
      <c r="N547" s="14" t="s">
        <v>618</v>
      </c>
      <c r="O547" s="14" t="str">
        <f t="shared" si="52"/>
        <v>B1G2</v>
      </c>
      <c r="P547" s="14" t="s">
        <v>618</v>
      </c>
    </row>
    <row r="548" spans="1:16" x14ac:dyDescent="0.25">
      <c r="A548" s="7" t="str">
        <f t="shared" si="49"/>
        <v>2025 JAN-APR B1G2</v>
      </c>
      <c r="B548" s="8">
        <f t="shared" si="50"/>
        <v>46099</v>
      </c>
      <c r="C548" s="8">
        <f t="shared" si="51"/>
        <v>46113</v>
      </c>
      <c r="D548" s="7">
        <v>3272</v>
      </c>
      <c r="E548" s="7">
        <v>336</v>
      </c>
      <c r="F548" s="7">
        <v>4</v>
      </c>
      <c r="G548" s="7">
        <v>1</v>
      </c>
      <c r="H548" s="7">
        <v>81379</v>
      </c>
      <c r="I548" s="7" t="s">
        <v>104</v>
      </c>
      <c r="J548" s="7">
        <v>53659960</v>
      </c>
      <c r="K548" s="7" t="s">
        <v>3533</v>
      </c>
      <c r="L548" s="7" t="s">
        <v>3504</v>
      </c>
      <c r="M548" s="9">
        <v>149900</v>
      </c>
      <c r="N548" s="14" t="s">
        <v>618</v>
      </c>
      <c r="O548" s="14" t="str">
        <f t="shared" si="52"/>
        <v>B1G2</v>
      </c>
      <c r="P548" s="14" t="s">
        <v>618</v>
      </c>
    </row>
    <row r="549" spans="1:16" x14ac:dyDescent="0.25">
      <c r="A549" s="7" t="str">
        <f t="shared" si="49"/>
        <v>2025 JAN-APR B1G2</v>
      </c>
      <c r="B549" s="8">
        <f t="shared" si="50"/>
        <v>46099</v>
      </c>
      <c r="C549" s="8">
        <f t="shared" si="51"/>
        <v>46113</v>
      </c>
      <c r="D549" s="7">
        <v>3272</v>
      </c>
      <c r="E549" s="7">
        <v>336</v>
      </c>
      <c r="F549" s="7">
        <v>4</v>
      </c>
      <c r="G549" s="7">
        <v>1</v>
      </c>
      <c r="H549" s="7">
        <v>81379</v>
      </c>
      <c r="I549" s="7" t="s">
        <v>104</v>
      </c>
      <c r="J549" s="7">
        <v>53659979</v>
      </c>
      <c r="K549" s="7" t="s">
        <v>3533</v>
      </c>
      <c r="L549" s="7" t="s">
        <v>3505</v>
      </c>
      <c r="M549" s="9">
        <v>149900</v>
      </c>
      <c r="N549" s="14" t="s">
        <v>618</v>
      </c>
      <c r="O549" s="14" t="str">
        <f t="shared" si="52"/>
        <v>B1G2</v>
      </c>
      <c r="P549" s="14" t="s">
        <v>618</v>
      </c>
    </row>
    <row r="550" spans="1:16" x14ac:dyDescent="0.25">
      <c r="A550" s="7" t="str">
        <f t="shared" si="49"/>
        <v>2025 JAN-APR B1G2</v>
      </c>
      <c r="B550" s="8">
        <f t="shared" si="50"/>
        <v>46099</v>
      </c>
      <c r="C550" s="8">
        <f t="shared" si="51"/>
        <v>46113</v>
      </c>
      <c r="D550" s="7">
        <v>3272</v>
      </c>
      <c r="E550" s="7">
        <v>336</v>
      </c>
      <c r="F550" s="7">
        <v>4</v>
      </c>
      <c r="G550" s="7">
        <v>1</v>
      </c>
      <c r="H550" s="7">
        <v>81379</v>
      </c>
      <c r="I550" s="7" t="s">
        <v>104</v>
      </c>
      <c r="J550" s="7">
        <v>53659988</v>
      </c>
      <c r="K550" s="7" t="s">
        <v>3533</v>
      </c>
      <c r="L550" s="7" t="s">
        <v>3506</v>
      </c>
      <c r="M550" s="9">
        <v>149900</v>
      </c>
      <c r="N550" s="14" t="s">
        <v>618</v>
      </c>
      <c r="O550" s="14" t="str">
        <f t="shared" si="52"/>
        <v>B1G2</v>
      </c>
      <c r="P550" s="14" t="s">
        <v>618</v>
      </c>
    </row>
    <row r="551" spans="1:16" x14ac:dyDescent="0.25">
      <c r="A551" s="7" t="str">
        <f t="shared" si="49"/>
        <v>2025 JAN-APR B1G2</v>
      </c>
      <c r="B551" s="8">
        <f t="shared" si="50"/>
        <v>46099</v>
      </c>
      <c r="C551" s="8">
        <f t="shared" si="51"/>
        <v>46113</v>
      </c>
      <c r="D551" s="7">
        <v>3272</v>
      </c>
      <c r="E551" s="7">
        <v>336</v>
      </c>
      <c r="F551" s="7">
        <v>4</v>
      </c>
      <c r="G551" s="7">
        <v>1</v>
      </c>
      <c r="H551" s="7">
        <v>81379</v>
      </c>
      <c r="I551" s="7" t="s">
        <v>104</v>
      </c>
      <c r="J551" s="7">
        <v>53659997</v>
      </c>
      <c r="K551" s="7" t="s">
        <v>3533</v>
      </c>
      <c r="L551" s="7" t="s">
        <v>3507</v>
      </c>
      <c r="M551" s="9">
        <v>149900</v>
      </c>
      <c r="N551" s="14" t="s">
        <v>618</v>
      </c>
      <c r="O551" s="14" t="str">
        <f t="shared" si="52"/>
        <v>B1G2</v>
      </c>
      <c r="P551" s="14" t="s">
        <v>618</v>
      </c>
    </row>
    <row r="552" spans="1:16" x14ac:dyDescent="0.25">
      <c r="A552" s="7" t="str">
        <f t="shared" si="49"/>
        <v>2025 JAN-APR B1G2</v>
      </c>
      <c r="B552" s="8">
        <f t="shared" si="50"/>
        <v>46099</v>
      </c>
      <c r="C552" s="8">
        <f t="shared" si="51"/>
        <v>46113</v>
      </c>
      <c r="D552" s="7">
        <v>3272</v>
      </c>
      <c r="E552" s="7">
        <v>336</v>
      </c>
      <c r="F552" s="7">
        <v>4</v>
      </c>
      <c r="G552" s="7">
        <v>1</v>
      </c>
      <c r="H552" s="7">
        <v>81379</v>
      </c>
      <c r="I552" s="7" t="s">
        <v>104</v>
      </c>
      <c r="J552" s="7">
        <v>53660001</v>
      </c>
      <c r="K552" s="7" t="s">
        <v>3533</v>
      </c>
      <c r="L552" s="7" t="s">
        <v>3508</v>
      </c>
      <c r="M552" s="9">
        <v>149900</v>
      </c>
      <c r="N552" s="14" t="s">
        <v>618</v>
      </c>
      <c r="O552" s="14" t="str">
        <f t="shared" si="52"/>
        <v>B1G2</v>
      </c>
      <c r="P552" s="14" t="s">
        <v>618</v>
      </c>
    </row>
    <row r="553" spans="1:16" x14ac:dyDescent="0.25">
      <c r="A553" s="7" t="str">
        <f t="shared" si="49"/>
        <v>2025 JAN-APR B1G2</v>
      </c>
      <c r="B553" s="8">
        <f t="shared" si="50"/>
        <v>46099</v>
      </c>
      <c r="C553" s="8">
        <f t="shared" si="51"/>
        <v>46113</v>
      </c>
      <c r="D553" s="7">
        <v>3272</v>
      </c>
      <c r="E553" s="7">
        <v>336</v>
      </c>
      <c r="F553" s="7">
        <v>4</v>
      </c>
      <c r="G553" s="7">
        <v>1</v>
      </c>
      <c r="H553" s="7">
        <v>81379</v>
      </c>
      <c r="I553" s="7" t="s">
        <v>104</v>
      </c>
      <c r="J553" s="7">
        <v>53660010</v>
      </c>
      <c r="K553" s="7" t="s">
        <v>3534</v>
      </c>
      <c r="L553" s="7" t="s">
        <v>3509</v>
      </c>
      <c r="M553" s="9">
        <v>149900</v>
      </c>
      <c r="N553" s="14" t="s">
        <v>618</v>
      </c>
      <c r="O553" s="14" t="str">
        <f t="shared" si="52"/>
        <v>B1G2</v>
      </c>
      <c r="P553" s="14" t="s">
        <v>618</v>
      </c>
    </row>
    <row r="554" spans="1:16" x14ac:dyDescent="0.25">
      <c r="A554" s="7" t="str">
        <f t="shared" si="49"/>
        <v>2025 JAN-APR B1G2</v>
      </c>
      <c r="B554" s="8">
        <f t="shared" si="50"/>
        <v>46099</v>
      </c>
      <c r="C554" s="8">
        <f t="shared" si="51"/>
        <v>46113</v>
      </c>
      <c r="D554" s="7">
        <v>3272</v>
      </c>
      <c r="E554" s="7">
        <v>336</v>
      </c>
      <c r="F554" s="7">
        <v>4</v>
      </c>
      <c r="G554" s="20">
        <v>1</v>
      </c>
      <c r="H554" s="20">
        <v>81379</v>
      </c>
      <c r="I554" s="7" t="s">
        <v>104</v>
      </c>
      <c r="J554" s="20">
        <v>53660029</v>
      </c>
      <c r="K554" s="20" t="s">
        <v>3534</v>
      </c>
      <c r="L554" s="20" t="s">
        <v>3510</v>
      </c>
      <c r="M554" s="21">
        <v>149900</v>
      </c>
      <c r="N554" s="14" t="s">
        <v>618</v>
      </c>
      <c r="O554" s="14" t="str">
        <f t="shared" si="52"/>
        <v>B1G2</v>
      </c>
      <c r="P554" s="14" t="s">
        <v>618</v>
      </c>
    </row>
    <row r="555" spans="1:16" x14ac:dyDescent="0.25">
      <c r="A555" s="7" t="str">
        <f t="shared" si="49"/>
        <v>2025 JAN-APR B1G2</v>
      </c>
      <c r="B555" s="8">
        <f t="shared" si="50"/>
        <v>46099</v>
      </c>
      <c r="C555" s="8">
        <f t="shared" si="51"/>
        <v>46113</v>
      </c>
      <c r="D555" s="7">
        <v>3272</v>
      </c>
      <c r="E555" s="7">
        <v>336</v>
      </c>
      <c r="F555" s="7">
        <v>4</v>
      </c>
      <c r="G555" s="20">
        <v>1</v>
      </c>
      <c r="H555" s="20">
        <v>81379</v>
      </c>
      <c r="I555" s="7" t="s">
        <v>104</v>
      </c>
      <c r="J555" s="20">
        <v>53660038</v>
      </c>
      <c r="K555" s="20" t="s">
        <v>3534</v>
      </c>
      <c r="L555" s="20" t="s">
        <v>3511</v>
      </c>
      <c r="M555" s="21">
        <v>149900</v>
      </c>
      <c r="N555" s="14" t="s">
        <v>618</v>
      </c>
      <c r="O555" s="14" t="str">
        <f t="shared" si="52"/>
        <v>B1G2</v>
      </c>
      <c r="P555" s="14" t="s">
        <v>618</v>
      </c>
    </row>
    <row r="556" spans="1:16" x14ac:dyDescent="0.25">
      <c r="A556" s="7" t="str">
        <f t="shared" si="49"/>
        <v>2025 JAN-APR B1G2</v>
      </c>
      <c r="B556" s="8">
        <f t="shared" si="50"/>
        <v>46099</v>
      </c>
      <c r="C556" s="8">
        <f t="shared" si="51"/>
        <v>46113</v>
      </c>
      <c r="D556" s="7">
        <v>3272</v>
      </c>
      <c r="E556" s="7">
        <v>336</v>
      </c>
      <c r="F556" s="7">
        <v>4</v>
      </c>
      <c r="G556" s="20">
        <v>1</v>
      </c>
      <c r="H556" s="20">
        <v>81379</v>
      </c>
      <c r="I556" s="7" t="s">
        <v>104</v>
      </c>
      <c r="J556" s="20">
        <v>53660047</v>
      </c>
      <c r="K556" s="20" t="s">
        <v>3534</v>
      </c>
      <c r="L556" s="20" t="s">
        <v>3512</v>
      </c>
      <c r="M556" s="21">
        <v>149900</v>
      </c>
      <c r="N556" s="14" t="s">
        <v>618</v>
      </c>
      <c r="O556" s="14" t="str">
        <f t="shared" si="52"/>
        <v>B1G2</v>
      </c>
      <c r="P556" s="14" t="s">
        <v>618</v>
      </c>
    </row>
    <row r="557" spans="1:16" x14ac:dyDescent="0.25">
      <c r="A557" s="7" t="str">
        <f t="shared" si="49"/>
        <v>2025 JAN-APR B1G2</v>
      </c>
      <c r="B557" s="8">
        <f t="shared" si="50"/>
        <v>46099</v>
      </c>
      <c r="C557" s="8">
        <f t="shared" si="51"/>
        <v>46113</v>
      </c>
      <c r="D557" s="7">
        <v>3272</v>
      </c>
      <c r="E557" s="7">
        <v>336</v>
      </c>
      <c r="F557" s="7">
        <v>4</v>
      </c>
      <c r="G557" s="20">
        <v>1</v>
      </c>
      <c r="H557" s="20">
        <v>81379</v>
      </c>
      <c r="I557" s="7" t="s">
        <v>104</v>
      </c>
      <c r="J557" s="20">
        <v>53660056</v>
      </c>
      <c r="K557" s="20" t="s">
        <v>3534</v>
      </c>
      <c r="L557" s="20" t="s">
        <v>3513</v>
      </c>
      <c r="M557" s="21">
        <v>149900</v>
      </c>
      <c r="N557" s="14" t="s">
        <v>618</v>
      </c>
      <c r="O557" s="14" t="str">
        <f t="shared" si="52"/>
        <v>B1G2</v>
      </c>
      <c r="P557" s="14" t="s">
        <v>618</v>
      </c>
    </row>
    <row r="558" spans="1:16" x14ac:dyDescent="0.25">
      <c r="A558" s="7" t="str">
        <f t="shared" si="49"/>
        <v>2025 JAN-APR B1G2</v>
      </c>
      <c r="B558" s="8">
        <f t="shared" si="50"/>
        <v>46099</v>
      </c>
      <c r="C558" s="8">
        <f t="shared" si="51"/>
        <v>46113</v>
      </c>
      <c r="D558" s="7">
        <v>3272</v>
      </c>
      <c r="E558" s="7">
        <v>336</v>
      </c>
      <c r="F558" s="7">
        <v>4</v>
      </c>
      <c r="G558" s="20">
        <v>1</v>
      </c>
      <c r="H558" s="20">
        <v>81379</v>
      </c>
      <c r="I558" s="7" t="s">
        <v>104</v>
      </c>
      <c r="J558" s="20">
        <v>53660065</v>
      </c>
      <c r="K558" s="20" t="s">
        <v>3534</v>
      </c>
      <c r="L558" s="20" t="s">
        <v>3514</v>
      </c>
      <c r="M558" s="21">
        <v>149900</v>
      </c>
      <c r="N558" s="14" t="s">
        <v>618</v>
      </c>
      <c r="O558" s="14" t="str">
        <f t="shared" si="52"/>
        <v>B1G2</v>
      </c>
      <c r="P558" s="14" t="s">
        <v>618</v>
      </c>
    </row>
    <row r="559" spans="1:16" x14ac:dyDescent="0.25">
      <c r="A559" s="7" t="str">
        <f t="shared" si="49"/>
        <v>2025 JAN-APR B1G2</v>
      </c>
      <c r="B559" s="8">
        <f t="shared" si="50"/>
        <v>46099</v>
      </c>
      <c r="C559" s="8">
        <f t="shared" si="51"/>
        <v>46113</v>
      </c>
      <c r="D559" s="7">
        <v>3272</v>
      </c>
      <c r="E559" s="7">
        <v>336</v>
      </c>
      <c r="F559" s="7">
        <v>4</v>
      </c>
      <c r="G559" s="20">
        <v>1</v>
      </c>
      <c r="H559" s="20">
        <v>81379</v>
      </c>
      <c r="I559" s="7" t="s">
        <v>104</v>
      </c>
      <c r="J559" s="20">
        <v>53660074</v>
      </c>
      <c r="K559" s="20" t="s">
        <v>3534</v>
      </c>
      <c r="L559" s="20" t="s">
        <v>3515</v>
      </c>
      <c r="M559" s="21">
        <v>149900</v>
      </c>
      <c r="N559" s="14" t="s">
        <v>618</v>
      </c>
      <c r="O559" s="14" t="str">
        <f t="shared" si="52"/>
        <v>B1G2</v>
      </c>
      <c r="P559" s="14" t="s">
        <v>618</v>
      </c>
    </row>
    <row r="560" spans="1:16" x14ac:dyDescent="0.25">
      <c r="A560" s="7" t="str">
        <f t="shared" si="49"/>
        <v>2025 JAN-APR B1G2</v>
      </c>
      <c r="B560" s="8">
        <f t="shared" si="50"/>
        <v>46099</v>
      </c>
      <c r="C560" s="8">
        <f t="shared" si="51"/>
        <v>46113</v>
      </c>
      <c r="D560" s="7">
        <v>3272</v>
      </c>
      <c r="E560" s="7">
        <v>336</v>
      </c>
      <c r="F560" s="7">
        <v>4</v>
      </c>
      <c r="G560" s="20">
        <v>1</v>
      </c>
      <c r="H560" s="20">
        <v>81379</v>
      </c>
      <c r="I560" s="7" t="s">
        <v>104</v>
      </c>
      <c r="J560" s="20">
        <v>53660083</v>
      </c>
      <c r="K560" s="20" t="s">
        <v>3534</v>
      </c>
      <c r="L560" s="20" t="s">
        <v>3516</v>
      </c>
      <c r="M560" s="21">
        <v>149900</v>
      </c>
      <c r="N560" s="14" t="s">
        <v>618</v>
      </c>
      <c r="O560" s="14" t="str">
        <f t="shared" si="52"/>
        <v>B1G2</v>
      </c>
      <c r="P560" s="14" t="s">
        <v>618</v>
      </c>
    </row>
    <row r="561" spans="1:16" x14ac:dyDescent="0.25">
      <c r="A561" s="7" t="str">
        <f t="shared" si="49"/>
        <v>2025 JAN-APR B1G2</v>
      </c>
      <c r="B561" s="8">
        <f t="shared" si="50"/>
        <v>46099</v>
      </c>
      <c r="C561" s="8">
        <f t="shared" si="51"/>
        <v>46113</v>
      </c>
      <c r="D561" s="7">
        <v>3272</v>
      </c>
      <c r="E561" s="7">
        <v>336</v>
      </c>
      <c r="F561" s="7">
        <v>4</v>
      </c>
      <c r="G561" s="20">
        <v>1</v>
      </c>
      <c r="H561" s="20">
        <v>81379</v>
      </c>
      <c r="I561" s="7" t="s">
        <v>104</v>
      </c>
      <c r="J561" s="20">
        <v>53660092</v>
      </c>
      <c r="K561" s="20" t="s">
        <v>3535</v>
      </c>
      <c r="L561" s="20" t="s">
        <v>3517</v>
      </c>
      <c r="M561" s="21">
        <v>149900</v>
      </c>
      <c r="N561" s="14" t="s">
        <v>618</v>
      </c>
      <c r="O561" s="14" t="str">
        <f t="shared" si="52"/>
        <v>B1G2</v>
      </c>
      <c r="P561" s="14" t="s">
        <v>618</v>
      </c>
    </row>
    <row r="562" spans="1:16" x14ac:dyDescent="0.25">
      <c r="A562" s="7" t="str">
        <f t="shared" si="49"/>
        <v>2025 JAN-APR B1G2</v>
      </c>
      <c r="B562" s="8">
        <f t="shared" si="50"/>
        <v>46099</v>
      </c>
      <c r="C562" s="8">
        <f t="shared" si="51"/>
        <v>46113</v>
      </c>
      <c r="D562" s="7">
        <v>3272</v>
      </c>
      <c r="E562" s="7">
        <v>336</v>
      </c>
      <c r="F562" s="7">
        <v>4</v>
      </c>
      <c r="G562" s="20">
        <v>1</v>
      </c>
      <c r="H562" s="20">
        <v>81379</v>
      </c>
      <c r="I562" s="7" t="s">
        <v>104</v>
      </c>
      <c r="J562" s="20">
        <v>53660109</v>
      </c>
      <c r="K562" s="20" t="s">
        <v>3535</v>
      </c>
      <c r="L562" s="20" t="s">
        <v>3518</v>
      </c>
      <c r="M562" s="21">
        <v>149900</v>
      </c>
      <c r="N562" s="14" t="s">
        <v>618</v>
      </c>
      <c r="O562" s="14" t="str">
        <f t="shared" si="52"/>
        <v>B1G2</v>
      </c>
      <c r="P562" s="14" t="s">
        <v>618</v>
      </c>
    </row>
    <row r="563" spans="1:16" x14ac:dyDescent="0.25">
      <c r="A563" s="7" t="str">
        <f t="shared" si="49"/>
        <v>2025 JAN-APR B1G2</v>
      </c>
      <c r="B563" s="8">
        <f t="shared" si="50"/>
        <v>46099</v>
      </c>
      <c r="C563" s="8">
        <f t="shared" si="51"/>
        <v>46113</v>
      </c>
      <c r="D563" s="7">
        <v>3272</v>
      </c>
      <c r="E563" s="7">
        <v>336</v>
      </c>
      <c r="F563" s="7">
        <v>4</v>
      </c>
      <c r="G563" s="20">
        <v>1</v>
      </c>
      <c r="H563" s="20">
        <v>81379</v>
      </c>
      <c r="I563" s="7" t="s">
        <v>104</v>
      </c>
      <c r="J563" s="20">
        <v>53660118</v>
      </c>
      <c r="K563" s="20" t="s">
        <v>3535</v>
      </c>
      <c r="L563" s="20" t="s">
        <v>3519</v>
      </c>
      <c r="M563" s="21">
        <v>149900</v>
      </c>
      <c r="N563" s="14" t="s">
        <v>618</v>
      </c>
      <c r="O563" s="14" t="str">
        <f t="shared" si="52"/>
        <v>B1G2</v>
      </c>
      <c r="P563" s="14" t="s">
        <v>618</v>
      </c>
    </row>
    <row r="564" spans="1:16" x14ac:dyDescent="0.25">
      <c r="A564" s="7" t="str">
        <f t="shared" si="49"/>
        <v>2025 JAN-APR B1G2</v>
      </c>
      <c r="B564" s="8">
        <f t="shared" si="50"/>
        <v>46099</v>
      </c>
      <c r="C564" s="8">
        <f t="shared" si="51"/>
        <v>46113</v>
      </c>
      <c r="D564" s="7">
        <v>3272</v>
      </c>
      <c r="E564" s="7">
        <v>336</v>
      </c>
      <c r="F564" s="7">
        <v>4</v>
      </c>
      <c r="G564" s="20">
        <v>1</v>
      </c>
      <c r="H564" s="20">
        <v>81379</v>
      </c>
      <c r="I564" s="7" t="s">
        <v>104</v>
      </c>
      <c r="J564" s="20">
        <v>53660127</v>
      </c>
      <c r="K564" s="20" t="s">
        <v>3535</v>
      </c>
      <c r="L564" s="20" t="s">
        <v>3520</v>
      </c>
      <c r="M564" s="21">
        <v>149900</v>
      </c>
      <c r="N564" s="14" t="s">
        <v>618</v>
      </c>
      <c r="O564" s="14" t="str">
        <f t="shared" si="52"/>
        <v>B1G2</v>
      </c>
      <c r="P564" s="14" t="s">
        <v>618</v>
      </c>
    </row>
    <row r="565" spans="1:16" x14ac:dyDescent="0.25">
      <c r="A565" s="7" t="str">
        <f t="shared" si="49"/>
        <v>2025 JAN-APR B1G2</v>
      </c>
      <c r="B565" s="8">
        <f t="shared" si="50"/>
        <v>46099</v>
      </c>
      <c r="C565" s="8">
        <f t="shared" si="51"/>
        <v>46113</v>
      </c>
      <c r="D565" s="7">
        <v>3272</v>
      </c>
      <c r="E565" s="7">
        <v>336</v>
      </c>
      <c r="F565" s="7">
        <v>4</v>
      </c>
      <c r="G565" s="20">
        <v>1</v>
      </c>
      <c r="H565" s="20">
        <v>81379</v>
      </c>
      <c r="I565" s="7" t="s">
        <v>104</v>
      </c>
      <c r="J565" s="20">
        <v>53660136</v>
      </c>
      <c r="K565" s="20" t="s">
        <v>3535</v>
      </c>
      <c r="L565" s="20" t="s">
        <v>3521</v>
      </c>
      <c r="M565" s="21">
        <v>149900</v>
      </c>
      <c r="N565" s="14" t="s">
        <v>618</v>
      </c>
      <c r="O565" s="14" t="str">
        <f t="shared" si="52"/>
        <v>B1G2</v>
      </c>
      <c r="P565" s="14" t="s">
        <v>618</v>
      </c>
    </row>
    <row r="566" spans="1:16" x14ac:dyDescent="0.25">
      <c r="A566" s="7" t="str">
        <f t="shared" si="49"/>
        <v>2025 JAN-APR B1G2</v>
      </c>
      <c r="B566" s="8">
        <f t="shared" si="50"/>
        <v>46099</v>
      </c>
      <c r="C566" s="8">
        <f t="shared" si="51"/>
        <v>46113</v>
      </c>
      <c r="D566" s="7">
        <v>3272</v>
      </c>
      <c r="E566" s="7">
        <v>336</v>
      </c>
      <c r="F566" s="7">
        <v>4</v>
      </c>
      <c r="G566" s="20">
        <v>1</v>
      </c>
      <c r="H566" s="20">
        <v>81379</v>
      </c>
      <c r="I566" s="7" t="s">
        <v>104</v>
      </c>
      <c r="J566" s="20">
        <v>53660145</v>
      </c>
      <c r="K566" s="20" t="s">
        <v>3535</v>
      </c>
      <c r="L566" s="20" t="s">
        <v>3522</v>
      </c>
      <c r="M566" s="21">
        <v>149900</v>
      </c>
      <c r="N566" s="14" t="s">
        <v>618</v>
      </c>
      <c r="O566" s="14" t="str">
        <f t="shared" si="52"/>
        <v>B1G2</v>
      </c>
      <c r="P566" s="14" t="s">
        <v>618</v>
      </c>
    </row>
    <row r="567" spans="1:16" x14ac:dyDescent="0.25">
      <c r="A567" s="7" t="str">
        <f t="shared" si="49"/>
        <v>2025 JAN-APR B1G2</v>
      </c>
      <c r="B567" s="8">
        <f t="shared" si="50"/>
        <v>46099</v>
      </c>
      <c r="C567" s="8">
        <f t="shared" si="51"/>
        <v>46113</v>
      </c>
      <c r="D567" s="7">
        <v>3272</v>
      </c>
      <c r="E567" s="7">
        <v>336</v>
      </c>
      <c r="F567" s="7">
        <v>4</v>
      </c>
      <c r="G567" s="20">
        <v>1</v>
      </c>
      <c r="H567" s="20">
        <v>81379</v>
      </c>
      <c r="I567" s="7" t="s">
        <v>104</v>
      </c>
      <c r="J567" s="20">
        <v>53660154</v>
      </c>
      <c r="K567" s="20" t="s">
        <v>3535</v>
      </c>
      <c r="L567" s="20" t="s">
        <v>3523</v>
      </c>
      <c r="M567" s="21">
        <v>149900</v>
      </c>
      <c r="N567" s="14" t="s">
        <v>618</v>
      </c>
      <c r="O567" s="14" t="str">
        <f t="shared" si="52"/>
        <v>B1G2</v>
      </c>
      <c r="P567" s="14" t="s">
        <v>618</v>
      </c>
    </row>
    <row r="568" spans="1:16" x14ac:dyDescent="0.25">
      <c r="A568" s="7" t="str">
        <f t="shared" si="49"/>
        <v>2025 JAN-APR B1G2</v>
      </c>
      <c r="B568" s="8">
        <f t="shared" si="50"/>
        <v>46099</v>
      </c>
      <c r="C568" s="8">
        <f t="shared" si="51"/>
        <v>46113</v>
      </c>
      <c r="D568" s="7">
        <v>3272</v>
      </c>
      <c r="E568" s="7">
        <v>336</v>
      </c>
      <c r="F568" s="7">
        <v>4</v>
      </c>
      <c r="G568" s="20">
        <v>1</v>
      </c>
      <c r="H568" s="20">
        <v>81379</v>
      </c>
      <c r="I568" s="7" t="s">
        <v>104</v>
      </c>
      <c r="J568" s="20">
        <v>53660163</v>
      </c>
      <c r="K568" s="20" t="s">
        <v>3535</v>
      </c>
      <c r="L568" s="20" t="s">
        <v>3524</v>
      </c>
      <c r="M568" s="21">
        <v>149900</v>
      </c>
      <c r="N568" s="14" t="s">
        <v>618</v>
      </c>
      <c r="O568" s="14" t="str">
        <f t="shared" si="52"/>
        <v>B1G2</v>
      </c>
      <c r="P568" s="14" t="s">
        <v>618</v>
      </c>
    </row>
  </sheetData>
  <conditionalFormatting sqref="J532:J547">
    <cfRule type="duplicateValues" dxfId="66" priority="3"/>
  </conditionalFormatting>
  <conditionalFormatting sqref="J548:J568">
    <cfRule type="duplicateValues" dxfId="65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651B-639B-4B8B-B77A-7E35DC04AEAC}">
  <dimension ref="A1:P117"/>
  <sheetViews>
    <sheetView topLeftCell="B1" zoomScale="77" zoomScaleNormal="77" workbookViewId="0">
      <selection activeCell="C2" sqref="C2"/>
    </sheetView>
  </sheetViews>
  <sheetFormatPr defaultColWidth="9.140625" defaultRowHeight="15" x14ac:dyDescent="0.25"/>
  <cols>
    <col min="1" max="1" width="21.140625" style="29" customWidth="1"/>
    <col min="2" max="2" width="15.85546875" style="29" bestFit="1" customWidth="1"/>
    <col min="3" max="3" width="14.42578125" style="29" bestFit="1" customWidth="1"/>
    <col min="4" max="4" width="8.28515625" style="29" bestFit="1" customWidth="1"/>
    <col min="5" max="5" width="10.7109375" style="29" bestFit="1" customWidth="1"/>
    <col min="6" max="6" width="8.7109375" style="29" bestFit="1" customWidth="1"/>
    <col min="7" max="7" width="6.140625" style="29" bestFit="1" customWidth="1"/>
    <col min="8" max="8" width="9.140625" style="29" bestFit="1" customWidth="1"/>
    <col min="9" max="9" width="11.140625" style="29" bestFit="1" customWidth="1"/>
    <col min="10" max="10" width="12.7109375" style="29" bestFit="1" customWidth="1"/>
    <col min="11" max="11" width="14.140625" style="29" bestFit="1" customWidth="1"/>
    <col min="12" max="12" width="86.28515625" style="29" bestFit="1" customWidth="1"/>
    <col min="13" max="13" width="15.7109375" style="29" bestFit="1" customWidth="1"/>
    <col min="14" max="14" width="12.28515625" style="29" bestFit="1" customWidth="1"/>
    <col min="15" max="15" width="22.7109375" style="29" bestFit="1" customWidth="1"/>
    <col min="16" max="16" width="24" style="29" bestFit="1" customWidth="1"/>
    <col min="17" max="16384" width="9.140625" style="29"/>
  </cols>
  <sheetData>
    <row r="1" spans="1:16" x14ac:dyDescent="0.25">
      <c r="A1" s="26" t="s">
        <v>0</v>
      </c>
      <c r="B1" s="39" t="s">
        <v>1</v>
      </c>
      <c r="C1" s="39" t="s">
        <v>2</v>
      </c>
      <c r="D1" s="26" t="s">
        <v>3</v>
      </c>
      <c r="E1" s="26" t="s">
        <v>4</v>
      </c>
      <c r="F1" s="26" t="s">
        <v>5</v>
      </c>
      <c r="G1" s="40" t="s">
        <v>6</v>
      </c>
      <c r="H1" s="40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41" t="s">
        <v>12</v>
      </c>
      <c r="N1" s="42" t="s">
        <v>13</v>
      </c>
      <c r="O1" s="41" t="s">
        <v>14</v>
      </c>
      <c r="P1" s="26" t="s">
        <v>15</v>
      </c>
    </row>
    <row r="2" spans="1:16" x14ac:dyDescent="0.25">
      <c r="A2" s="27" t="s">
        <v>4054</v>
      </c>
      <c r="B2" s="38">
        <f>'2019 ALL D95'!B2</f>
        <v>46099</v>
      </c>
      <c r="C2" s="38">
        <f>'2019 ALL D95'!C2</f>
        <v>46113</v>
      </c>
      <c r="D2" s="27">
        <v>3272</v>
      </c>
      <c r="E2" s="27">
        <v>336</v>
      </c>
      <c r="F2" s="27">
        <v>4</v>
      </c>
      <c r="G2" s="27">
        <v>1</v>
      </c>
      <c r="H2" s="27">
        <v>4953</v>
      </c>
      <c r="I2" s="27" t="s">
        <v>104</v>
      </c>
      <c r="J2" s="27">
        <v>52777496</v>
      </c>
      <c r="K2" s="27" t="s">
        <v>2770</v>
      </c>
      <c r="L2" s="27" t="s">
        <v>2937</v>
      </c>
      <c r="M2" s="44">
        <v>139900</v>
      </c>
      <c r="N2" s="45" t="s">
        <v>618</v>
      </c>
      <c r="O2" s="45" t="s">
        <v>1496</v>
      </c>
      <c r="P2" s="45" t="s">
        <v>618</v>
      </c>
    </row>
    <row r="3" spans="1:16" x14ac:dyDescent="0.25">
      <c r="A3" s="27" t="str">
        <f t="shared" ref="A3:C3" si="0">A2</f>
        <v>2025 MEI B1G2</v>
      </c>
      <c r="B3" s="38">
        <f t="shared" si="0"/>
        <v>46099</v>
      </c>
      <c r="C3" s="38">
        <f t="shared" si="0"/>
        <v>46113</v>
      </c>
      <c r="D3" s="27">
        <v>3272</v>
      </c>
      <c r="E3" s="27">
        <v>336</v>
      </c>
      <c r="F3" s="27">
        <v>4</v>
      </c>
      <c r="G3" s="27">
        <v>1</v>
      </c>
      <c r="H3" s="27">
        <v>4953</v>
      </c>
      <c r="I3" s="27" t="str">
        <f>I2</f>
        <v>CHARACTER</v>
      </c>
      <c r="J3" s="27">
        <v>52777503</v>
      </c>
      <c r="K3" s="27" t="s">
        <v>2770</v>
      </c>
      <c r="L3" s="27" t="s">
        <v>2938</v>
      </c>
      <c r="M3" s="44">
        <v>139900</v>
      </c>
      <c r="N3" s="45" t="str">
        <f>N2</f>
        <v>BXGY</v>
      </c>
      <c r="O3" s="45" t="str">
        <f>O2</f>
        <v>B1G2</v>
      </c>
      <c r="P3" s="45" t="str">
        <f>P2</f>
        <v>BXGY</v>
      </c>
    </row>
    <row r="4" spans="1:16" x14ac:dyDescent="0.25">
      <c r="A4" s="27" t="str">
        <f t="shared" ref="A4:C4" si="1">A3</f>
        <v>2025 MEI B1G2</v>
      </c>
      <c r="B4" s="38">
        <f t="shared" si="1"/>
        <v>46099</v>
      </c>
      <c r="C4" s="38">
        <f t="shared" si="1"/>
        <v>46113</v>
      </c>
      <c r="D4" s="27">
        <v>3272</v>
      </c>
      <c r="E4" s="27">
        <v>336</v>
      </c>
      <c r="F4" s="27">
        <v>4</v>
      </c>
      <c r="G4" s="27">
        <v>1</v>
      </c>
      <c r="H4" s="27">
        <v>4953</v>
      </c>
      <c r="I4" s="27" t="str">
        <f t="shared" ref="I4:I67" si="2">I3</f>
        <v>CHARACTER</v>
      </c>
      <c r="J4" s="27">
        <v>52777512</v>
      </c>
      <c r="K4" s="27" t="s">
        <v>2770</v>
      </c>
      <c r="L4" s="27" t="s">
        <v>2939</v>
      </c>
      <c r="M4" s="44">
        <v>139900</v>
      </c>
      <c r="N4" s="45" t="str">
        <f t="shared" ref="N4:N67" si="3">N3</f>
        <v>BXGY</v>
      </c>
      <c r="O4" s="45" t="str">
        <f t="shared" ref="O4:O67" si="4">O3</f>
        <v>B1G2</v>
      </c>
      <c r="P4" s="45" t="str">
        <f t="shared" ref="P4:P67" si="5">P3</f>
        <v>BXGY</v>
      </c>
    </row>
    <row r="5" spans="1:16" x14ac:dyDescent="0.25">
      <c r="A5" s="27" t="str">
        <f t="shared" ref="A5:C5" si="6">A4</f>
        <v>2025 MEI B1G2</v>
      </c>
      <c r="B5" s="38">
        <f t="shared" si="6"/>
        <v>46099</v>
      </c>
      <c r="C5" s="38">
        <f t="shared" si="6"/>
        <v>46113</v>
      </c>
      <c r="D5" s="27">
        <v>3272</v>
      </c>
      <c r="E5" s="27">
        <v>336</v>
      </c>
      <c r="F5" s="27">
        <v>4</v>
      </c>
      <c r="G5" s="28">
        <v>1</v>
      </c>
      <c r="H5" s="28">
        <v>4953</v>
      </c>
      <c r="I5" s="27" t="str">
        <f t="shared" si="2"/>
        <v>CHARACTER</v>
      </c>
      <c r="J5" s="28">
        <v>52777521</v>
      </c>
      <c r="K5" s="28" t="s">
        <v>2770</v>
      </c>
      <c r="L5" s="28" t="s">
        <v>2940</v>
      </c>
      <c r="M5" s="28">
        <v>139900</v>
      </c>
      <c r="N5" s="45" t="str">
        <f t="shared" si="3"/>
        <v>BXGY</v>
      </c>
      <c r="O5" s="45" t="str">
        <f t="shared" si="4"/>
        <v>B1G2</v>
      </c>
      <c r="P5" s="45" t="str">
        <f t="shared" si="5"/>
        <v>BXGY</v>
      </c>
    </row>
    <row r="6" spans="1:16" x14ac:dyDescent="0.25">
      <c r="A6" s="27" t="str">
        <f t="shared" ref="A6:C6" si="7">A5</f>
        <v>2025 MEI B1G2</v>
      </c>
      <c r="B6" s="38">
        <f t="shared" si="7"/>
        <v>46099</v>
      </c>
      <c r="C6" s="38">
        <f t="shared" si="7"/>
        <v>46113</v>
      </c>
      <c r="D6" s="27">
        <v>3272</v>
      </c>
      <c r="E6" s="27">
        <v>336</v>
      </c>
      <c r="F6" s="27">
        <v>4</v>
      </c>
      <c r="G6" s="28">
        <v>1</v>
      </c>
      <c r="H6" s="28">
        <v>4953</v>
      </c>
      <c r="I6" s="27" t="str">
        <f t="shared" si="2"/>
        <v>CHARACTER</v>
      </c>
      <c r="J6" s="28">
        <v>52777530</v>
      </c>
      <c r="K6" s="28" t="s">
        <v>2770</v>
      </c>
      <c r="L6" s="28" t="s">
        <v>2941</v>
      </c>
      <c r="M6" s="28">
        <v>139900</v>
      </c>
      <c r="N6" s="45" t="str">
        <f t="shared" si="3"/>
        <v>BXGY</v>
      </c>
      <c r="O6" s="45" t="str">
        <f t="shared" si="4"/>
        <v>B1G2</v>
      </c>
      <c r="P6" s="45" t="str">
        <f t="shared" si="5"/>
        <v>BXGY</v>
      </c>
    </row>
    <row r="7" spans="1:16" x14ac:dyDescent="0.25">
      <c r="A7" s="27" t="str">
        <f t="shared" ref="A7:C7" si="8">A6</f>
        <v>2025 MEI B1G2</v>
      </c>
      <c r="B7" s="38">
        <f t="shared" si="8"/>
        <v>46099</v>
      </c>
      <c r="C7" s="38">
        <f t="shared" si="8"/>
        <v>46113</v>
      </c>
      <c r="D7" s="27">
        <v>3272</v>
      </c>
      <c r="E7" s="27">
        <v>336</v>
      </c>
      <c r="F7" s="27">
        <v>4</v>
      </c>
      <c r="G7" s="28">
        <v>1</v>
      </c>
      <c r="H7" s="28">
        <v>4953</v>
      </c>
      <c r="I7" s="27" t="str">
        <f t="shared" si="2"/>
        <v>CHARACTER</v>
      </c>
      <c r="J7" s="28">
        <v>52777549</v>
      </c>
      <c r="K7" s="28" t="s">
        <v>2770</v>
      </c>
      <c r="L7" s="28" t="s">
        <v>2942</v>
      </c>
      <c r="M7" s="28">
        <v>139900</v>
      </c>
      <c r="N7" s="45" t="str">
        <f t="shared" si="3"/>
        <v>BXGY</v>
      </c>
      <c r="O7" s="45" t="str">
        <f t="shared" si="4"/>
        <v>B1G2</v>
      </c>
      <c r="P7" s="45" t="str">
        <f t="shared" si="5"/>
        <v>BXGY</v>
      </c>
    </row>
    <row r="8" spans="1:16" x14ac:dyDescent="0.25">
      <c r="A8" s="27" t="str">
        <f t="shared" ref="A8:C8" si="9">A7</f>
        <v>2025 MEI B1G2</v>
      </c>
      <c r="B8" s="38">
        <f t="shared" si="9"/>
        <v>46099</v>
      </c>
      <c r="C8" s="38">
        <f t="shared" si="9"/>
        <v>46113</v>
      </c>
      <c r="D8" s="27">
        <v>3272</v>
      </c>
      <c r="E8" s="27">
        <v>336</v>
      </c>
      <c r="F8" s="27">
        <v>4</v>
      </c>
      <c r="G8" s="28">
        <v>1</v>
      </c>
      <c r="H8" s="28">
        <v>4953</v>
      </c>
      <c r="I8" s="27" t="str">
        <f t="shared" si="2"/>
        <v>CHARACTER</v>
      </c>
      <c r="J8" s="28">
        <v>52777558</v>
      </c>
      <c r="K8" s="28" t="s">
        <v>2770</v>
      </c>
      <c r="L8" s="28" t="s">
        <v>2943</v>
      </c>
      <c r="M8" s="28">
        <v>139900</v>
      </c>
      <c r="N8" s="45" t="str">
        <f t="shared" si="3"/>
        <v>BXGY</v>
      </c>
      <c r="O8" s="45" t="str">
        <f t="shared" si="4"/>
        <v>B1G2</v>
      </c>
      <c r="P8" s="45" t="str">
        <f t="shared" si="5"/>
        <v>BXGY</v>
      </c>
    </row>
    <row r="9" spans="1:16" x14ac:dyDescent="0.25">
      <c r="A9" s="27" t="str">
        <f t="shared" ref="A9:C9" si="10">A8</f>
        <v>2025 MEI B1G2</v>
      </c>
      <c r="B9" s="38">
        <f t="shared" si="10"/>
        <v>46099</v>
      </c>
      <c r="C9" s="38">
        <f t="shared" si="10"/>
        <v>46113</v>
      </c>
      <c r="D9" s="27">
        <v>3272</v>
      </c>
      <c r="E9" s="27">
        <v>336</v>
      </c>
      <c r="F9" s="27">
        <v>4</v>
      </c>
      <c r="G9" s="28">
        <v>1</v>
      </c>
      <c r="H9" s="28">
        <v>4953</v>
      </c>
      <c r="I9" s="27" t="str">
        <f t="shared" si="2"/>
        <v>CHARACTER</v>
      </c>
      <c r="J9" s="28">
        <v>52777567</v>
      </c>
      <c r="K9" s="28" t="s">
        <v>2770</v>
      </c>
      <c r="L9" s="28" t="s">
        <v>2944</v>
      </c>
      <c r="M9" s="28">
        <v>139900</v>
      </c>
      <c r="N9" s="45" t="str">
        <f t="shared" si="3"/>
        <v>BXGY</v>
      </c>
      <c r="O9" s="45" t="str">
        <f t="shared" si="4"/>
        <v>B1G2</v>
      </c>
      <c r="P9" s="45" t="str">
        <f t="shared" si="5"/>
        <v>BXGY</v>
      </c>
    </row>
    <row r="10" spans="1:16" x14ac:dyDescent="0.25">
      <c r="A10" s="27" t="str">
        <f t="shared" ref="A10:C10" si="11">A9</f>
        <v>2025 MEI B1G2</v>
      </c>
      <c r="B10" s="38">
        <f t="shared" si="11"/>
        <v>46099</v>
      </c>
      <c r="C10" s="38">
        <f t="shared" si="11"/>
        <v>46113</v>
      </c>
      <c r="D10" s="27">
        <v>3272</v>
      </c>
      <c r="E10" s="27">
        <v>336</v>
      </c>
      <c r="F10" s="27">
        <v>4</v>
      </c>
      <c r="G10" s="28">
        <v>1</v>
      </c>
      <c r="H10" s="28">
        <v>81379</v>
      </c>
      <c r="I10" s="27" t="str">
        <f t="shared" si="2"/>
        <v>CHARACTER</v>
      </c>
      <c r="J10" s="28">
        <v>51562602</v>
      </c>
      <c r="K10" s="28" t="s">
        <v>3056</v>
      </c>
      <c r="L10" s="28" t="s">
        <v>3070</v>
      </c>
      <c r="M10" s="28">
        <v>149900</v>
      </c>
      <c r="N10" s="45" t="str">
        <f t="shared" si="3"/>
        <v>BXGY</v>
      </c>
      <c r="O10" s="45" t="str">
        <f t="shared" si="4"/>
        <v>B1G2</v>
      </c>
      <c r="P10" s="45" t="str">
        <f t="shared" si="5"/>
        <v>BXGY</v>
      </c>
    </row>
    <row r="11" spans="1:16" x14ac:dyDescent="0.25">
      <c r="A11" s="27" t="str">
        <f t="shared" ref="A11:C11" si="12">A10</f>
        <v>2025 MEI B1G2</v>
      </c>
      <c r="B11" s="38">
        <f t="shared" si="12"/>
        <v>46099</v>
      </c>
      <c r="C11" s="38">
        <f t="shared" si="12"/>
        <v>46113</v>
      </c>
      <c r="D11" s="27">
        <v>3272</v>
      </c>
      <c r="E11" s="27">
        <v>336</v>
      </c>
      <c r="F11" s="27">
        <v>4</v>
      </c>
      <c r="G11" s="28">
        <v>1</v>
      </c>
      <c r="H11" s="28">
        <v>81379</v>
      </c>
      <c r="I11" s="27" t="str">
        <f t="shared" si="2"/>
        <v>CHARACTER</v>
      </c>
      <c r="J11" s="28">
        <v>51562611</v>
      </c>
      <c r="K11" s="28" t="s">
        <v>3056</v>
      </c>
      <c r="L11" s="28" t="s">
        <v>3071</v>
      </c>
      <c r="M11" s="28">
        <v>149900</v>
      </c>
      <c r="N11" s="45" t="str">
        <f t="shared" si="3"/>
        <v>BXGY</v>
      </c>
      <c r="O11" s="45" t="str">
        <f t="shared" si="4"/>
        <v>B1G2</v>
      </c>
      <c r="P11" s="45" t="str">
        <f t="shared" si="5"/>
        <v>BXGY</v>
      </c>
    </row>
    <row r="12" spans="1:16" x14ac:dyDescent="0.25">
      <c r="A12" s="27" t="str">
        <f t="shared" ref="A12:C12" si="13">A11</f>
        <v>2025 MEI B1G2</v>
      </c>
      <c r="B12" s="38">
        <f t="shared" si="13"/>
        <v>46099</v>
      </c>
      <c r="C12" s="38">
        <f t="shared" si="13"/>
        <v>46113</v>
      </c>
      <c r="D12" s="27">
        <v>3272</v>
      </c>
      <c r="E12" s="27">
        <v>336</v>
      </c>
      <c r="F12" s="27">
        <v>4</v>
      </c>
      <c r="G12" s="28">
        <v>1</v>
      </c>
      <c r="H12" s="28">
        <v>81379</v>
      </c>
      <c r="I12" s="27" t="str">
        <f t="shared" si="2"/>
        <v>CHARACTER</v>
      </c>
      <c r="J12" s="28">
        <v>51562620</v>
      </c>
      <c r="K12" s="28" t="s">
        <v>3056</v>
      </c>
      <c r="L12" s="28" t="s">
        <v>3072</v>
      </c>
      <c r="M12" s="28">
        <v>149900</v>
      </c>
      <c r="N12" s="45" t="str">
        <f t="shared" si="3"/>
        <v>BXGY</v>
      </c>
      <c r="O12" s="45" t="str">
        <f t="shared" si="4"/>
        <v>B1G2</v>
      </c>
      <c r="P12" s="45" t="str">
        <f t="shared" si="5"/>
        <v>BXGY</v>
      </c>
    </row>
    <row r="13" spans="1:16" x14ac:dyDescent="0.25">
      <c r="A13" s="27" t="str">
        <f t="shared" ref="A13:C13" si="14">A12</f>
        <v>2025 MEI B1G2</v>
      </c>
      <c r="B13" s="38">
        <f t="shared" si="14"/>
        <v>46099</v>
      </c>
      <c r="C13" s="38">
        <f t="shared" si="14"/>
        <v>46113</v>
      </c>
      <c r="D13" s="27">
        <v>3272</v>
      </c>
      <c r="E13" s="27">
        <v>336</v>
      </c>
      <c r="F13" s="27">
        <v>4</v>
      </c>
      <c r="G13" s="28">
        <v>1</v>
      </c>
      <c r="H13" s="28">
        <v>81379</v>
      </c>
      <c r="I13" s="27" t="str">
        <f t="shared" si="2"/>
        <v>CHARACTER</v>
      </c>
      <c r="J13" s="28">
        <v>51562639</v>
      </c>
      <c r="K13" s="28" t="s">
        <v>3056</v>
      </c>
      <c r="L13" s="28" t="s">
        <v>3073</v>
      </c>
      <c r="M13" s="28">
        <v>149900</v>
      </c>
      <c r="N13" s="45" t="str">
        <f t="shared" si="3"/>
        <v>BXGY</v>
      </c>
      <c r="O13" s="45" t="str">
        <f t="shared" si="4"/>
        <v>B1G2</v>
      </c>
      <c r="P13" s="45" t="str">
        <f t="shared" si="5"/>
        <v>BXGY</v>
      </c>
    </row>
    <row r="14" spans="1:16" x14ac:dyDescent="0.25">
      <c r="A14" s="27" t="str">
        <f t="shared" ref="A14:C14" si="15">A13</f>
        <v>2025 MEI B1G2</v>
      </c>
      <c r="B14" s="38">
        <f t="shared" si="15"/>
        <v>46099</v>
      </c>
      <c r="C14" s="38">
        <f t="shared" si="15"/>
        <v>46113</v>
      </c>
      <c r="D14" s="27">
        <v>3272</v>
      </c>
      <c r="E14" s="27">
        <v>336</v>
      </c>
      <c r="F14" s="27">
        <v>4</v>
      </c>
      <c r="G14" s="28">
        <v>1</v>
      </c>
      <c r="H14" s="28">
        <v>81379</v>
      </c>
      <c r="I14" s="27" t="str">
        <f t="shared" si="2"/>
        <v>CHARACTER</v>
      </c>
      <c r="J14" s="28">
        <v>51562648</v>
      </c>
      <c r="K14" s="28" t="s">
        <v>3056</v>
      </c>
      <c r="L14" s="28" t="s">
        <v>3074</v>
      </c>
      <c r="M14" s="28">
        <v>149900</v>
      </c>
      <c r="N14" s="45" t="str">
        <f t="shared" si="3"/>
        <v>BXGY</v>
      </c>
      <c r="O14" s="45" t="str">
        <f t="shared" si="4"/>
        <v>B1G2</v>
      </c>
      <c r="P14" s="45" t="str">
        <f t="shared" si="5"/>
        <v>BXGY</v>
      </c>
    </row>
    <row r="15" spans="1:16" x14ac:dyDescent="0.25">
      <c r="A15" s="27" t="str">
        <f t="shared" ref="A15:C15" si="16">A14</f>
        <v>2025 MEI B1G2</v>
      </c>
      <c r="B15" s="38">
        <f t="shared" si="16"/>
        <v>46099</v>
      </c>
      <c r="C15" s="38">
        <f t="shared" si="16"/>
        <v>46113</v>
      </c>
      <c r="D15" s="27">
        <v>3272</v>
      </c>
      <c r="E15" s="27">
        <v>336</v>
      </c>
      <c r="F15" s="27">
        <v>4</v>
      </c>
      <c r="G15" s="28">
        <v>1</v>
      </c>
      <c r="H15" s="28">
        <v>81379</v>
      </c>
      <c r="I15" s="27" t="str">
        <f t="shared" si="2"/>
        <v>CHARACTER</v>
      </c>
      <c r="J15" s="28">
        <v>51562657</v>
      </c>
      <c r="K15" s="28" t="s">
        <v>3056</v>
      </c>
      <c r="L15" s="28" t="s">
        <v>3075</v>
      </c>
      <c r="M15" s="28">
        <v>149900</v>
      </c>
      <c r="N15" s="45" t="str">
        <f t="shared" si="3"/>
        <v>BXGY</v>
      </c>
      <c r="O15" s="45" t="str">
        <f t="shared" si="4"/>
        <v>B1G2</v>
      </c>
      <c r="P15" s="45" t="str">
        <f t="shared" si="5"/>
        <v>BXGY</v>
      </c>
    </row>
    <row r="16" spans="1:16" x14ac:dyDescent="0.25">
      <c r="A16" s="27" t="str">
        <f t="shared" ref="A16:C16" si="17">A15</f>
        <v>2025 MEI B1G2</v>
      </c>
      <c r="B16" s="38">
        <f t="shared" si="17"/>
        <v>46099</v>
      </c>
      <c r="C16" s="38">
        <f t="shared" si="17"/>
        <v>46113</v>
      </c>
      <c r="D16" s="27">
        <v>3272</v>
      </c>
      <c r="E16" s="27">
        <v>336</v>
      </c>
      <c r="F16" s="27">
        <v>4</v>
      </c>
      <c r="G16" s="28">
        <v>1</v>
      </c>
      <c r="H16" s="28">
        <v>81379</v>
      </c>
      <c r="I16" s="27" t="str">
        <f t="shared" si="2"/>
        <v>CHARACTER</v>
      </c>
      <c r="J16" s="28">
        <v>51562666</v>
      </c>
      <c r="K16" s="28" t="s">
        <v>3056</v>
      </c>
      <c r="L16" s="28" t="s">
        <v>3076</v>
      </c>
      <c r="M16" s="28">
        <v>149900</v>
      </c>
      <c r="N16" s="45" t="str">
        <f t="shared" si="3"/>
        <v>BXGY</v>
      </c>
      <c r="O16" s="45" t="str">
        <f t="shared" si="4"/>
        <v>B1G2</v>
      </c>
      <c r="P16" s="45" t="str">
        <f t="shared" si="5"/>
        <v>BXGY</v>
      </c>
    </row>
    <row r="17" spans="1:16" x14ac:dyDescent="0.25">
      <c r="A17" s="27" t="str">
        <f t="shared" ref="A17:C17" si="18">A16</f>
        <v>2025 MEI B1G2</v>
      </c>
      <c r="B17" s="38">
        <f t="shared" si="18"/>
        <v>46099</v>
      </c>
      <c r="C17" s="38">
        <f t="shared" si="18"/>
        <v>46113</v>
      </c>
      <c r="D17" s="27">
        <v>3272</v>
      </c>
      <c r="E17" s="27">
        <v>336</v>
      </c>
      <c r="F17" s="27">
        <v>4</v>
      </c>
      <c r="G17" s="28">
        <v>1</v>
      </c>
      <c r="H17" s="28">
        <v>81379</v>
      </c>
      <c r="I17" s="27" t="str">
        <f t="shared" si="2"/>
        <v>CHARACTER</v>
      </c>
      <c r="J17" s="28">
        <v>51562675</v>
      </c>
      <c r="K17" s="28" t="s">
        <v>3056</v>
      </c>
      <c r="L17" s="28" t="s">
        <v>3077</v>
      </c>
      <c r="M17" s="28">
        <v>149900</v>
      </c>
      <c r="N17" s="45" t="str">
        <f t="shared" si="3"/>
        <v>BXGY</v>
      </c>
      <c r="O17" s="45" t="str">
        <f t="shared" si="4"/>
        <v>B1G2</v>
      </c>
      <c r="P17" s="45" t="str">
        <f t="shared" si="5"/>
        <v>BXGY</v>
      </c>
    </row>
    <row r="18" spans="1:16" x14ac:dyDescent="0.25">
      <c r="A18" s="27" t="str">
        <f t="shared" ref="A18:C18" si="19">A17</f>
        <v>2025 MEI B1G2</v>
      </c>
      <c r="B18" s="38">
        <f t="shared" si="19"/>
        <v>46099</v>
      </c>
      <c r="C18" s="38">
        <f t="shared" si="19"/>
        <v>46113</v>
      </c>
      <c r="D18" s="27">
        <v>3272</v>
      </c>
      <c r="E18" s="27">
        <v>336</v>
      </c>
      <c r="F18" s="27">
        <v>4</v>
      </c>
      <c r="G18" s="28">
        <v>1</v>
      </c>
      <c r="H18" s="28">
        <v>81379</v>
      </c>
      <c r="I18" s="27" t="str">
        <f t="shared" si="2"/>
        <v>CHARACTER</v>
      </c>
      <c r="J18" s="28">
        <v>51562684</v>
      </c>
      <c r="K18" s="28" t="s">
        <v>3057</v>
      </c>
      <c r="L18" s="28" t="s">
        <v>3078</v>
      </c>
      <c r="M18" s="28">
        <v>149900</v>
      </c>
      <c r="N18" s="45" t="str">
        <f t="shared" si="3"/>
        <v>BXGY</v>
      </c>
      <c r="O18" s="45" t="str">
        <f t="shared" si="4"/>
        <v>B1G2</v>
      </c>
      <c r="P18" s="45" t="str">
        <f t="shared" si="5"/>
        <v>BXGY</v>
      </c>
    </row>
    <row r="19" spans="1:16" x14ac:dyDescent="0.25">
      <c r="A19" s="27" t="str">
        <f t="shared" ref="A19:C19" si="20">A18</f>
        <v>2025 MEI B1G2</v>
      </c>
      <c r="B19" s="38">
        <f t="shared" si="20"/>
        <v>46099</v>
      </c>
      <c r="C19" s="38">
        <f t="shared" si="20"/>
        <v>46113</v>
      </c>
      <c r="D19" s="27">
        <v>3272</v>
      </c>
      <c r="E19" s="27">
        <v>336</v>
      </c>
      <c r="F19" s="27">
        <v>4</v>
      </c>
      <c r="G19" s="28">
        <v>1</v>
      </c>
      <c r="H19" s="28">
        <v>81379</v>
      </c>
      <c r="I19" s="27" t="str">
        <f t="shared" si="2"/>
        <v>CHARACTER</v>
      </c>
      <c r="J19" s="28">
        <v>51562693</v>
      </c>
      <c r="K19" s="28" t="s">
        <v>3057</v>
      </c>
      <c r="L19" s="28" t="s">
        <v>3079</v>
      </c>
      <c r="M19" s="28">
        <v>149900</v>
      </c>
      <c r="N19" s="45" t="str">
        <f t="shared" si="3"/>
        <v>BXGY</v>
      </c>
      <c r="O19" s="45" t="str">
        <f t="shared" si="4"/>
        <v>B1G2</v>
      </c>
      <c r="P19" s="45" t="str">
        <f t="shared" si="5"/>
        <v>BXGY</v>
      </c>
    </row>
    <row r="20" spans="1:16" x14ac:dyDescent="0.25">
      <c r="A20" s="27" t="str">
        <f t="shared" ref="A20:C20" si="21">A19</f>
        <v>2025 MEI B1G2</v>
      </c>
      <c r="B20" s="38">
        <f t="shared" si="21"/>
        <v>46099</v>
      </c>
      <c r="C20" s="38">
        <f t="shared" si="21"/>
        <v>46113</v>
      </c>
      <c r="D20" s="27">
        <v>3272</v>
      </c>
      <c r="E20" s="27">
        <v>336</v>
      </c>
      <c r="F20" s="27">
        <v>4</v>
      </c>
      <c r="G20" s="28">
        <v>1</v>
      </c>
      <c r="H20" s="28">
        <v>81379</v>
      </c>
      <c r="I20" s="27" t="str">
        <f t="shared" si="2"/>
        <v>CHARACTER</v>
      </c>
      <c r="J20" s="28">
        <v>51562700</v>
      </c>
      <c r="K20" s="28" t="s">
        <v>3057</v>
      </c>
      <c r="L20" s="28" t="s">
        <v>3080</v>
      </c>
      <c r="M20" s="28">
        <v>149900</v>
      </c>
      <c r="N20" s="45" t="str">
        <f t="shared" si="3"/>
        <v>BXGY</v>
      </c>
      <c r="O20" s="45" t="str">
        <f t="shared" si="4"/>
        <v>B1G2</v>
      </c>
      <c r="P20" s="45" t="str">
        <f t="shared" si="5"/>
        <v>BXGY</v>
      </c>
    </row>
    <row r="21" spans="1:16" x14ac:dyDescent="0.25">
      <c r="A21" s="27" t="str">
        <f t="shared" ref="A21:C21" si="22">A20</f>
        <v>2025 MEI B1G2</v>
      </c>
      <c r="B21" s="38">
        <f t="shared" si="22"/>
        <v>46099</v>
      </c>
      <c r="C21" s="38">
        <f t="shared" si="22"/>
        <v>46113</v>
      </c>
      <c r="D21" s="27">
        <v>3272</v>
      </c>
      <c r="E21" s="27">
        <v>336</v>
      </c>
      <c r="F21" s="27">
        <v>4</v>
      </c>
      <c r="G21" s="28">
        <v>1</v>
      </c>
      <c r="H21" s="28">
        <v>81379</v>
      </c>
      <c r="I21" s="27" t="str">
        <f t="shared" si="2"/>
        <v>CHARACTER</v>
      </c>
      <c r="J21" s="28">
        <v>51562719</v>
      </c>
      <c r="K21" s="28" t="s">
        <v>3057</v>
      </c>
      <c r="L21" s="28" t="s">
        <v>3081</v>
      </c>
      <c r="M21" s="28">
        <v>149900</v>
      </c>
      <c r="N21" s="45" t="str">
        <f t="shared" si="3"/>
        <v>BXGY</v>
      </c>
      <c r="O21" s="45" t="str">
        <f t="shared" si="4"/>
        <v>B1G2</v>
      </c>
      <c r="P21" s="45" t="str">
        <f t="shared" si="5"/>
        <v>BXGY</v>
      </c>
    </row>
    <row r="22" spans="1:16" x14ac:dyDescent="0.25">
      <c r="A22" s="27" t="str">
        <f t="shared" ref="A22:C22" si="23">A21</f>
        <v>2025 MEI B1G2</v>
      </c>
      <c r="B22" s="38">
        <f t="shared" si="23"/>
        <v>46099</v>
      </c>
      <c r="C22" s="38">
        <f t="shared" si="23"/>
        <v>46113</v>
      </c>
      <c r="D22" s="27">
        <v>3272</v>
      </c>
      <c r="E22" s="27">
        <v>336</v>
      </c>
      <c r="F22" s="27">
        <v>4</v>
      </c>
      <c r="G22" s="28">
        <v>1</v>
      </c>
      <c r="H22" s="28">
        <v>81379</v>
      </c>
      <c r="I22" s="27" t="str">
        <f t="shared" si="2"/>
        <v>CHARACTER</v>
      </c>
      <c r="J22" s="28">
        <v>51562728</v>
      </c>
      <c r="K22" s="28" t="s">
        <v>3057</v>
      </c>
      <c r="L22" s="28" t="s">
        <v>3082</v>
      </c>
      <c r="M22" s="28">
        <v>149900</v>
      </c>
      <c r="N22" s="45" t="str">
        <f t="shared" si="3"/>
        <v>BXGY</v>
      </c>
      <c r="O22" s="45" t="str">
        <f t="shared" si="4"/>
        <v>B1G2</v>
      </c>
      <c r="P22" s="45" t="str">
        <f t="shared" si="5"/>
        <v>BXGY</v>
      </c>
    </row>
    <row r="23" spans="1:16" x14ac:dyDescent="0.25">
      <c r="A23" s="27" t="str">
        <f t="shared" ref="A23:C23" si="24">A22</f>
        <v>2025 MEI B1G2</v>
      </c>
      <c r="B23" s="38">
        <f t="shared" si="24"/>
        <v>46099</v>
      </c>
      <c r="C23" s="38">
        <f t="shared" si="24"/>
        <v>46113</v>
      </c>
      <c r="D23" s="27">
        <v>3272</v>
      </c>
      <c r="E23" s="27">
        <v>336</v>
      </c>
      <c r="F23" s="27">
        <v>4</v>
      </c>
      <c r="G23" s="28">
        <v>1</v>
      </c>
      <c r="H23" s="28">
        <v>81379</v>
      </c>
      <c r="I23" s="27" t="str">
        <f t="shared" si="2"/>
        <v>CHARACTER</v>
      </c>
      <c r="J23" s="28">
        <v>51562737</v>
      </c>
      <c r="K23" s="28" t="s">
        <v>3057</v>
      </c>
      <c r="L23" s="28" t="s">
        <v>3083</v>
      </c>
      <c r="M23" s="28">
        <v>149900</v>
      </c>
      <c r="N23" s="45" t="str">
        <f t="shared" si="3"/>
        <v>BXGY</v>
      </c>
      <c r="O23" s="45" t="str">
        <f t="shared" si="4"/>
        <v>B1G2</v>
      </c>
      <c r="P23" s="45" t="str">
        <f t="shared" si="5"/>
        <v>BXGY</v>
      </c>
    </row>
    <row r="24" spans="1:16" x14ac:dyDescent="0.25">
      <c r="A24" s="27" t="str">
        <f t="shared" ref="A24:C24" si="25">A23</f>
        <v>2025 MEI B1G2</v>
      </c>
      <c r="B24" s="38">
        <f t="shared" si="25"/>
        <v>46099</v>
      </c>
      <c r="C24" s="38">
        <f t="shared" si="25"/>
        <v>46113</v>
      </c>
      <c r="D24" s="27">
        <v>3272</v>
      </c>
      <c r="E24" s="27">
        <v>336</v>
      </c>
      <c r="F24" s="27">
        <v>4</v>
      </c>
      <c r="G24" s="28">
        <v>1</v>
      </c>
      <c r="H24" s="28">
        <v>81379</v>
      </c>
      <c r="I24" s="27" t="str">
        <f t="shared" si="2"/>
        <v>CHARACTER</v>
      </c>
      <c r="J24" s="28">
        <v>51562746</v>
      </c>
      <c r="K24" s="28" t="s">
        <v>3057</v>
      </c>
      <c r="L24" s="28" t="s">
        <v>3084</v>
      </c>
      <c r="M24" s="28">
        <v>149900</v>
      </c>
      <c r="N24" s="45" t="str">
        <f t="shared" si="3"/>
        <v>BXGY</v>
      </c>
      <c r="O24" s="45" t="str">
        <f t="shared" si="4"/>
        <v>B1G2</v>
      </c>
      <c r="P24" s="45" t="str">
        <f t="shared" si="5"/>
        <v>BXGY</v>
      </c>
    </row>
    <row r="25" spans="1:16" x14ac:dyDescent="0.25">
      <c r="A25" s="27" t="str">
        <f t="shared" ref="A25:C25" si="26">A24</f>
        <v>2025 MEI B1G2</v>
      </c>
      <c r="B25" s="38">
        <f t="shared" si="26"/>
        <v>46099</v>
      </c>
      <c r="C25" s="38">
        <f t="shared" si="26"/>
        <v>46113</v>
      </c>
      <c r="D25" s="27">
        <v>3272</v>
      </c>
      <c r="E25" s="27">
        <v>336</v>
      </c>
      <c r="F25" s="27">
        <v>4</v>
      </c>
      <c r="G25" s="28">
        <v>1</v>
      </c>
      <c r="H25" s="28">
        <v>81379</v>
      </c>
      <c r="I25" s="27" t="str">
        <f t="shared" si="2"/>
        <v>CHARACTER</v>
      </c>
      <c r="J25" s="28">
        <v>51562755</v>
      </c>
      <c r="K25" s="28" t="s">
        <v>3057</v>
      </c>
      <c r="L25" s="28" t="s">
        <v>3085</v>
      </c>
      <c r="M25" s="28">
        <v>149900</v>
      </c>
      <c r="N25" s="45" t="str">
        <f t="shared" si="3"/>
        <v>BXGY</v>
      </c>
      <c r="O25" s="45" t="str">
        <f t="shared" si="4"/>
        <v>B1G2</v>
      </c>
      <c r="P25" s="45" t="str">
        <f t="shared" si="5"/>
        <v>BXGY</v>
      </c>
    </row>
    <row r="26" spans="1:16" x14ac:dyDescent="0.25">
      <c r="A26" s="27" t="str">
        <f t="shared" ref="A26:C26" si="27">A25</f>
        <v>2025 MEI B1G2</v>
      </c>
      <c r="B26" s="38">
        <f t="shared" si="27"/>
        <v>46099</v>
      </c>
      <c r="C26" s="38">
        <f t="shared" si="27"/>
        <v>46113</v>
      </c>
      <c r="D26" s="27">
        <v>3272</v>
      </c>
      <c r="E26" s="27">
        <v>336</v>
      </c>
      <c r="F26" s="27">
        <v>4</v>
      </c>
      <c r="G26" s="28">
        <v>1</v>
      </c>
      <c r="H26" s="28">
        <v>81379</v>
      </c>
      <c r="I26" s="27" t="str">
        <f t="shared" si="2"/>
        <v>CHARACTER</v>
      </c>
      <c r="J26" s="28">
        <v>53659808</v>
      </c>
      <c r="K26" s="28" t="s">
        <v>3058</v>
      </c>
      <c r="L26" s="28" t="s">
        <v>3086</v>
      </c>
      <c r="M26" s="28">
        <v>149900</v>
      </c>
      <c r="N26" s="45" t="str">
        <f t="shared" si="3"/>
        <v>BXGY</v>
      </c>
      <c r="O26" s="45" t="str">
        <f t="shared" si="4"/>
        <v>B1G2</v>
      </c>
      <c r="P26" s="45" t="str">
        <f t="shared" si="5"/>
        <v>BXGY</v>
      </c>
    </row>
    <row r="27" spans="1:16" x14ac:dyDescent="0.25">
      <c r="A27" s="27" t="str">
        <f t="shared" ref="A27:C27" si="28">A26</f>
        <v>2025 MEI B1G2</v>
      </c>
      <c r="B27" s="38">
        <f t="shared" si="28"/>
        <v>46099</v>
      </c>
      <c r="C27" s="38">
        <f t="shared" si="28"/>
        <v>46113</v>
      </c>
      <c r="D27" s="27">
        <v>3272</v>
      </c>
      <c r="E27" s="27">
        <v>336</v>
      </c>
      <c r="F27" s="27">
        <v>4</v>
      </c>
      <c r="G27" s="28">
        <v>1</v>
      </c>
      <c r="H27" s="28">
        <v>81379</v>
      </c>
      <c r="I27" s="27" t="str">
        <f t="shared" si="2"/>
        <v>CHARACTER</v>
      </c>
      <c r="J27" s="28">
        <v>53659817</v>
      </c>
      <c r="K27" s="28" t="s">
        <v>3058</v>
      </c>
      <c r="L27" s="28" t="s">
        <v>3087</v>
      </c>
      <c r="M27" s="28">
        <v>149900</v>
      </c>
      <c r="N27" s="45" t="str">
        <f t="shared" si="3"/>
        <v>BXGY</v>
      </c>
      <c r="O27" s="45" t="str">
        <f t="shared" si="4"/>
        <v>B1G2</v>
      </c>
      <c r="P27" s="45" t="str">
        <f t="shared" si="5"/>
        <v>BXGY</v>
      </c>
    </row>
    <row r="28" spans="1:16" x14ac:dyDescent="0.25">
      <c r="A28" s="27" t="str">
        <f t="shared" ref="A28:C28" si="29">A27</f>
        <v>2025 MEI B1G2</v>
      </c>
      <c r="B28" s="38">
        <f t="shared" si="29"/>
        <v>46099</v>
      </c>
      <c r="C28" s="38">
        <f t="shared" si="29"/>
        <v>46113</v>
      </c>
      <c r="D28" s="27">
        <v>3272</v>
      </c>
      <c r="E28" s="27">
        <v>336</v>
      </c>
      <c r="F28" s="27">
        <v>4</v>
      </c>
      <c r="G28" s="28">
        <v>1</v>
      </c>
      <c r="H28" s="28">
        <v>81379</v>
      </c>
      <c r="I28" s="27" t="str">
        <f t="shared" si="2"/>
        <v>CHARACTER</v>
      </c>
      <c r="J28" s="28">
        <v>53659826</v>
      </c>
      <c r="K28" s="28" t="s">
        <v>3058</v>
      </c>
      <c r="L28" s="28" t="s">
        <v>3088</v>
      </c>
      <c r="M28" s="28">
        <v>149900</v>
      </c>
      <c r="N28" s="45" t="str">
        <f t="shared" si="3"/>
        <v>BXGY</v>
      </c>
      <c r="O28" s="45" t="str">
        <f t="shared" si="4"/>
        <v>B1G2</v>
      </c>
      <c r="P28" s="45" t="str">
        <f t="shared" si="5"/>
        <v>BXGY</v>
      </c>
    </row>
    <row r="29" spans="1:16" x14ac:dyDescent="0.25">
      <c r="A29" s="27" t="str">
        <f t="shared" ref="A29:C29" si="30">A28</f>
        <v>2025 MEI B1G2</v>
      </c>
      <c r="B29" s="38">
        <f t="shared" si="30"/>
        <v>46099</v>
      </c>
      <c r="C29" s="38">
        <f t="shared" si="30"/>
        <v>46113</v>
      </c>
      <c r="D29" s="27">
        <v>3272</v>
      </c>
      <c r="E29" s="27">
        <v>336</v>
      </c>
      <c r="F29" s="27">
        <v>4</v>
      </c>
      <c r="G29" s="28">
        <v>1</v>
      </c>
      <c r="H29" s="28">
        <v>81379</v>
      </c>
      <c r="I29" s="27" t="str">
        <f t="shared" si="2"/>
        <v>CHARACTER</v>
      </c>
      <c r="J29" s="28">
        <v>53659835</v>
      </c>
      <c r="K29" s="28" t="s">
        <v>3058</v>
      </c>
      <c r="L29" s="28" t="s">
        <v>3089</v>
      </c>
      <c r="M29" s="28">
        <v>149900</v>
      </c>
      <c r="N29" s="45" t="str">
        <f t="shared" si="3"/>
        <v>BXGY</v>
      </c>
      <c r="O29" s="45" t="str">
        <f t="shared" si="4"/>
        <v>B1G2</v>
      </c>
      <c r="P29" s="45" t="str">
        <f t="shared" si="5"/>
        <v>BXGY</v>
      </c>
    </row>
    <row r="30" spans="1:16" x14ac:dyDescent="0.25">
      <c r="A30" s="27" t="str">
        <f t="shared" ref="A30:C30" si="31">A29</f>
        <v>2025 MEI B1G2</v>
      </c>
      <c r="B30" s="38">
        <f t="shared" si="31"/>
        <v>46099</v>
      </c>
      <c r="C30" s="38">
        <f t="shared" si="31"/>
        <v>46113</v>
      </c>
      <c r="D30" s="27">
        <v>3272</v>
      </c>
      <c r="E30" s="27">
        <v>336</v>
      </c>
      <c r="F30" s="27">
        <v>4</v>
      </c>
      <c r="G30" s="28">
        <v>1</v>
      </c>
      <c r="H30" s="28">
        <v>81379</v>
      </c>
      <c r="I30" s="27" t="str">
        <f t="shared" si="2"/>
        <v>CHARACTER</v>
      </c>
      <c r="J30" s="28">
        <v>53659844</v>
      </c>
      <c r="K30" s="28" t="s">
        <v>3058</v>
      </c>
      <c r="L30" s="28" t="s">
        <v>3090</v>
      </c>
      <c r="M30" s="28">
        <v>149900</v>
      </c>
      <c r="N30" s="45" t="str">
        <f t="shared" si="3"/>
        <v>BXGY</v>
      </c>
      <c r="O30" s="45" t="str">
        <f t="shared" si="4"/>
        <v>B1G2</v>
      </c>
      <c r="P30" s="45" t="str">
        <f t="shared" si="5"/>
        <v>BXGY</v>
      </c>
    </row>
    <row r="31" spans="1:16" x14ac:dyDescent="0.25">
      <c r="A31" s="27" t="str">
        <f t="shared" ref="A31:C31" si="32">A30</f>
        <v>2025 MEI B1G2</v>
      </c>
      <c r="B31" s="38">
        <f t="shared" si="32"/>
        <v>46099</v>
      </c>
      <c r="C31" s="38">
        <f t="shared" si="32"/>
        <v>46113</v>
      </c>
      <c r="D31" s="27">
        <v>3272</v>
      </c>
      <c r="E31" s="27">
        <v>336</v>
      </c>
      <c r="F31" s="27">
        <v>4</v>
      </c>
      <c r="G31" s="28">
        <v>1</v>
      </c>
      <c r="H31" s="28">
        <v>81379</v>
      </c>
      <c r="I31" s="27" t="str">
        <f t="shared" si="2"/>
        <v>CHARACTER</v>
      </c>
      <c r="J31" s="28">
        <v>53659853</v>
      </c>
      <c r="K31" s="28" t="s">
        <v>3058</v>
      </c>
      <c r="L31" s="28" t="s">
        <v>3091</v>
      </c>
      <c r="M31" s="28">
        <v>149900</v>
      </c>
      <c r="N31" s="45" t="str">
        <f t="shared" si="3"/>
        <v>BXGY</v>
      </c>
      <c r="O31" s="45" t="str">
        <f t="shared" si="4"/>
        <v>B1G2</v>
      </c>
      <c r="P31" s="45" t="str">
        <f t="shared" si="5"/>
        <v>BXGY</v>
      </c>
    </row>
    <row r="32" spans="1:16" x14ac:dyDescent="0.25">
      <c r="A32" s="27" t="str">
        <f t="shared" ref="A32:C32" si="33">A31</f>
        <v>2025 MEI B1G2</v>
      </c>
      <c r="B32" s="38">
        <f t="shared" si="33"/>
        <v>46099</v>
      </c>
      <c r="C32" s="38">
        <f t="shared" si="33"/>
        <v>46113</v>
      </c>
      <c r="D32" s="27">
        <v>3272</v>
      </c>
      <c r="E32" s="27">
        <v>336</v>
      </c>
      <c r="F32" s="27">
        <v>4</v>
      </c>
      <c r="G32" s="28">
        <v>1</v>
      </c>
      <c r="H32" s="28">
        <v>81379</v>
      </c>
      <c r="I32" s="27" t="str">
        <f t="shared" si="2"/>
        <v>CHARACTER</v>
      </c>
      <c r="J32" s="28">
        <v>53659862</v>
      </c>
      <c r="K32" s="28" t="s">
        <v>3058</v>
      </c>
      <c r="L32" s="28" t="s">
        <v>3092</v>
      </c>
      <c r="M32" s="28">
        <v>149900</v>
      </c>
      <c r="N32" s="45" t="str">
        <f t="shared" si="3"/>
        <v>BXGY</v>
      </c>
      <c r="O32" s="45" t="str">
        <f t="shared" si="4"/>
        <v>B1G2</v>
      </c>
      <c r="P32" s="45" t="str">
        <f t="shared" si="5"/>
        <v>BXGY</v>
      </c>
    </row>
    <row r="33" spans="1:16" x14ac:dyDescent="0.25">
      <c r="A33" s="27" t="str">
        <f t="shared" ref="A33:C33" si="34">A32</f>
        <v>2025 MEI B1G2</v>
      </c>
      <c r="B33" s="38">
        <f t="shared" si="34"/>
        <v>46099</v>
      </c>
      <c r="C33" s="38">
        <f t="shared" si="34"/>
        <v>46113</v>
      </c>
      <c r="D33" s="27">
        <v>3272</v>
      </c>
      <c r="E33" s="27">
        <v>336</v>
      </c>
      <c r="F33" s="27">
        <v>4</v>
      </c>
      <c r="G33" s="28">
        <v>1</v>
      </c>
      <c r="H33" s="28">
        <v>81379</v>
      </c>
      <c r="I33" s="27" t="str">
        <f t="shared" si="2"/>
        <v>CHARACTER</v>
      </c>
      <c r="J33" s="28">
        <v>53659871</v>
      </c>
      <c r="K33" s="28" t="s">
        <v>3058</v>
      </c>
      <c r="L33" s="28" t="s">
        <v>3093</v>
      </c>
      <c r="M33" s="28">
        <v>149900</v>
      </c>
      <c r="N33" s="45" t="str">
        <f t="shared" si="3"/>
        <v>BXGY</v>
      </c>
      <c r="O33" s="45" t="str">
        <f t="shared" si="4"/>
        <v>B1G2</v>
      </c>
      <c r="P33" s="45" t="str">
        <f t="shared" si="5"/>
        <v>BXGY</v>
      </c>
    </row>
    <row r="34" spans="1:16" x14ac:dyDescent="0.25">
      <c r="A34" s="27" t="str">
        <f t="shared" ref="A34:C34" si="35">A33</f>
        <v>2025 MEI B1G2</v>
      </c>
      <c r="B34" s="38">
        <f t="shared" si="35"/>
        <v>46099</v>
      </c>
      <c r="C34" s="38">
        <f t="shared" si="35"/>
        <v>46113</v>
      </c>
      <c r="D34" s="27">
        <v>3272</v>
      </c>
      <c r="E34" s="27">
        <v>336</v>
      </c>
      <c r="F34" s="27">
        <v>4</v>
      </c>
      <c r="G34" s="28">
        <v>1</v>
      </c>
      <c r="H34" s="28">
        <v>81379</v>
      </c>
      <c r="I34" s="27" t="str">
        <f t="shared" si="2"/>
        <v>CHARACTER</v>
      </c>
      <c r="J34" s="28">
        <v>53659880</v>
      </c>
      <c r="K34" s="28" t="s">
        <v>3059</v>
      </c>
      <c r="L34" s="28" t="s">
        <v>3094</v>
      </c>
      <c r="M34" s="28">
        <v>149900</v>
      </c>
      <c r="N34" s="45" t="str">
        <f t="shared" si="3"/>
        <v>BXGY</v>
      </c>
      <c r="O34" s="45" t="str">
        <f t="shared" si="4"/>
        <v>B1G2</v>
      </c>
      <c r="P34" s="45" t="str">
        <f t="shared" si="5"/>
        <v>BXGY</v>
      </c>
    </row>
    <row r="35" spans="1:16" x14ac:dyDescent="0.25">
      <c r="A35" s="27" t="str">
        <f t="shared" ref="A35:C35" si="36">A34</f>
        <v>2025 MEI B1G2</v>
      </c>
      <c r="B35" s="38">
        <f t="shared" si="36"/>
        <v>46099</v>
      </c>
      <c r="C35" s="38">
        <f t="shared" si="36"/>
        <v>46113</v>
      </c>
      <c r="D35" s="27">
        <v>3272</v>
      </c>
      <c r="E35" s="27">
        <v>336</v>
      </c>
      <c r="F35" s="27">
        <v>4</v>
      </c>
      <c r="G35" s="28">
        <v>1</v>
      </c>
      <c r="H35" s="28">
        <v>81379</v>
      </c>
      <c r="I35" s="27" t="str">
        <f t="shared" si="2"/>
        <v>CHARACTER</v>
      </c>
      <c r="J35" s="28">
        <v>53659899</v>
      </c>
      <c r="K35" s="28" t="s">
        <v>3059</v>
      </c>
      <c r="L35" s="28" t="s">
        <v>3095</v>
      </c>
      <c r="M35" s="28">
        <v>149900</v>
      </c>
      <c r="N35" s="45" t="str">
        <f t="shared" si="3"/>
        <v>BXGY</v>
      </c>
      <c r="O35" s="45" t="str">
        <f t="shared" si="4"/>
        <v>B1G2</v>
      </c>
      <c r="P35" s="45" t="str">
        <f t="shared" si="5"/>
        <v>BXGY</v>
      </c>
    </row>
    <row r="36" spans="1:16" x14ac:dyDescent="0.25">
      <c r="A36" s="27" t="str">
        <f t="shared" ref="A36:C36" si="37">A35</f>
        <v>2025 MEI B1G2</v>
      </c>
      <c r="B36" s="38">
        <f t="shared" si="37"/>
        <v>46099</v>
      </c>
      <c r="C36" s="38">
        <f t="shared" si="37"/>
        <v>46113</v>
      </c>
      <c r="D36" s="27">
        <v>3272</v>
      </c>
      <c r="E36" s="27">
        <v>336</v>
      </c>
      <c r="F36" s="27">
        <v>4</v>
      </c>
      <c r="G36" s="28">
        <v>1</v>
      </c>
      <c r="H36" s="28">
        <v>81379</v>
      </c>
      <c r="I36" s="27" t="str">
        <f t="shared" si="2"/>
        <v>CHARACTER</v>
      </c>
      <c r="J36" s="28">
        <v>53659906</v>
      </c>
      <c r="K36" s="28" t="s">
        <v>3059</v>
      </c>
      <c r="L36" s="28" t="s">
        <v>3096</v>
      </c>
      <c r="M36" s="28">
        <v>149900</v>
      </c>
      <c r="N36" s="45" t="str">
        <f t="shared" si="3"/>
        <v>BXGY</v>
      </c>
      <c r="O36" s="45" t="str">
        <f t="shared" si="4"/>
        <v>B1G2</v>
      </c>
      <c r="P36" s="45" t="str">
        <f t="shared" si="5"/>
        <v>BXGY</v>
      </c>
    </row>
    <row r="37" spans="1:16" x14ac:dyDescent="0.25">
      <c r="A37" s="27" t="str">
        <f t="shared" ref="A37:C37" si="38">A36</f>
        <v>2025 MEI B1G2</v>
      </c>
      <c r="B37" s="38">
        <f t="shared" si="38"/>
        <v>46099</v>
      </c>
      <c r="C37" s="38">
        <f t="shared" si="38"/>
        <v>46113</v>
      </c>
      <c r="D37" s="27">
        <v>3272</v>
      </c>
      <c r="E37" s="27">
        <v>336</v>
      </c>
      <c r="F37" s="27">
        <v>4</v>
      </c>
      <c r="G37" s="28">
        <v>1</v>
      </c>
      <c r="H37" s="28">
        <v>81379</v>
      </c>
      <c r="I37" s="27" t="str">
        <f t="shared" si="2"/>
        <v>CHARACTER</v>
      </c>
      <c r="J37" s="28">
        <v>53659915</v>
      </c>
      <c r="K37" s="28" t="s">
        <v>3059</v>
      </c>
      <c r="L37" s="28" t="s">
        <v>3097</v>
      </c>
      <c r="M37" s="28">
        <v>149900</v>
      </c>
      <c r="N37" s="45" t="str">
        <f t="shared" si="3"/>
        <v>BXGY</v>
      </c>
      <c r="O37" s="45" t="str">
        <f t="shared" si="4"/>
        <v>B1G2</v>
      </c>
      <c r="P37" s="45" t="str">
        <f t="shared" si="5"/>
        <v>BXGY</v>
      </c>
    </row>
    <row r="38" spans="1:16" x14ac:dyDescent="0.25">
      <c r="A38" s="27" t="str">
        <f t="shared" ref="A38:C38" si="39">A37</f>
        <v>2025 MEI B1G2</v>
      </c>
      <c r="B38" s="38">
        <f t="shared" si="39"/>
        <v>46099</v>
      </c>
      <c r="C38" s="38">
        <f t="shared" si="39"/>
        <v>46113</v>
      </c>
      <c r="D38" s="27">
        <v>3272</v>
      </c>
      <c r="E38" s="27">
        <v>336</v>
      </c>
      <c r="F38" s="27">
        <v>4</v>
      </c>
      <c r="G38" s="28">
        <v>1</v>
      </c>
      <c r="H38" s="28">
        <v>81379</v>
      </c>
      <c r="I38" s="27" t="str">
        <f t="shared" si="2"/>
        <v>CHARACTER</v>
      </c>
      <c r="J38" s="28">
        <v>53659924</v>
      </c>
      <c r="K38" s="28" t="s">
        <v>3059</v>
      </c>
      <c r="L38" s="28" t="s">
        <v>3098</v>
      </c>
      <c r="M38" s="28">
        <v>149900</v>
      </c>
      <c r="N38" s="45" t="str">
        <f t="shared" si="3"/>
        <v>BXGY</v>
      </c>
      <c r="O38" s="45" t="str">
        <f t="shared" si="4"/>
        <v>B1G2</v>
      </c>
      <c r="P38" s="45" t="str">
        <f t="shared" si="5"/>
        <v>BXGY</v>
      </c>
    </row>
    <row r="39" spans="1:16" x14ac:dyDescent="0.25">
      <c r="A39" s="27" t="str">
        <f t="shared" ref="A39:C39" si="40">A38</f>
        <v>2025 MEI B1G2</v>
      </c>
      <c r="B39" s="38">
        <f t="shared" si="40"/>
        <v>46099</v>
      </c>
      <c r="C39" s="38">
        <f t="shared" si="40"/>
        <v>46113</v>
      </c>
      <c r="D39" s="27">
        <v>3272</v>
      </c>
      <c r="E39" s="27">
        <v>336</v>
      </c>
      <c r="F39" s="27">
        <v>4</v>
      </c>
      <c r="G39" s="28">
        <v>1</v>
      </c>
      <c r="H39" s="28">
        <v>81379</v>
      </c>
      <c r="I39" s="27" t="str">
        <f t="shared" si="2"/>
        <v>CHARACTER</v>
      </c>
      <c r="J39" s="28">
        <v>53659933</v>
      </c>
      <c r="K39" s="28" t="s">
        <v>3059</v>
      </c>
      <c r="L39" s="28" t="s">
        <v>3099</v>
      </c>
      <c r="M39" s="28">
        <v>149900</v>
      </c>
      <c r="N39" s="45" t="str">
        <f t="shared" si="3"/>
        <v>BXGY</v>
      </c>
      <c r="O39" s="45" t="str">
        <f t="shared" si="4"/>
        <v>B1G2</v>
      </c>
      <c r="P39" s="45" t="str">
        <f t="shared" si="5"/>
        <v>BXGY</v>
      </c>
    </row>
    <row r="40" spans="1:16" x14ac:dyDescent="0.25">
      <c r="A40" s="27" t="str">
        <f t="shared" ref="A40:C40" si="41">A39</f>
        <v>2025 MEI B1G2</v>
      </c>
      <c r="B40" s="38">
        <f t="shared" si="41"/>
        <v>46099</v>
      </c>
      <c r="C40" s="38">
        <f t="shared" si="41"/>
        <v>46113</v>
      </c>
      <c r="D40" s="27">
        <v>3272</v>
      </c>
      <c r="E40" s="27">
        <v>336</v>
      </c>
      <c r="F40" s="27">
        <v>4</v>
      </c>
      <c r="G40" s="28">
        <v>1</v>
      </c>
      <c r="H40" s="28">
        <v>81379</v>
      </c>
      <c r="I40" s="27" t="str">
        <f t="shared" si="2"/>
        <v>CHARACTER</v>
      </c>
      <c r="J40" s="28">
        <v>53659942</v>
      </c>
      <c r="K40" s="28" t="s">
        <v>3059</v>
      </c>
      <c r="L40" s="28" t="s">
        <v>3100</v>
      </c>
      <c r="M40" s="28">
        <v>149900</v>
      </c>
      <c r="N40" s="45" t="str">
        <f t="shared" si="3"/>
        <v>BXGY</v>
      </c>
      <c r="O40" s="45" t="str">
        <f t="shared" si="4"/>
        <v>B1G2</v>
      </c>
      <c r="P40" s="45" t="str">
        <f t="shared" si="5"/>
        <v>BXGY</v>
      </c>
    </row>
    <row r="41" spans="1:16" x14ac:dyDescent="0.25">
      <c r="A41" s="27" t="str">
        <f t="shared" ref="A41:C41" si="42">A40</f>
        <v>2025 MEI B1G2</v>
      </c>
      <c r="B41" s="38">
        <f t="shared" si="42"/>
        <v>46099</v>
      </c>
      <c r="C41" s="38">
        <f t="shared" si="42"/>
        <v>46113</v>
      </c>
      <c r="D41" s="27">
        <v>3272</v>
      </c>
      <c r="E41" s="27">
        <v>336</v>
      </c>
      <c r="F41" s="27">
        <v>4</v>
      </c>
      <c r="G41" s="28">
        <v>1</v>
      </c>
      <c r="H41" s="28">
        <v>81379</v>
      </c>
      <c r="I41" s="27" t="str">
        <f t="shared" si="2"/>
        <v>CHARACTER</v>
      </c>
      <c r="J41" s="28">
        <v>53659951</v>
      </c>
      <c r="K41" s="28" t="s">
        <v>3059</v>
      </c>
      <c r="L41" s="28" t="s">
        <v>3101</v>
      </c>
      <c r="M41" s="28">
        <v>149900</v>
      </c>
      <c r="N41" s="45" t="str">
        <f t="shared" si="3"/>
        <v>BXGY</v>
      </c>
      <c r="O41" s="45" t="str">
        <f t="shared" si="4"/>
        <v>B1G2</v>
      </c>
      <c r="P41" s="45" t="str">
        <f t="shared" si="5"/>
        <v>BXGY</v>
      </c>
    </row>
    <row r="42" spans="1:16" x14ac:dyDescent="0.25">
      <c r="A42" s="27" t="str">
        <f t="shared" ref="A42:C42" si="43">A41</f>
        <v>2025 MEI B1G2</v>
      </c>
      <c r="B42" s="38">
        <f t="shared" si="43"/>
        <v>46099</v>
      </c>
      <c r="C42" s="38">
        <f t="shared" si="43"/>
        <v>46113</v>
      </c>
      <c r="D42" s="27">
        <v>3272</v>
      </c>
      <c r="E42" s="27">
        <v>336</v>
      </c>
      <c r="F42" s="27">
        <v>4</v>
      </c>
      <c r="G42" s="28">
        <v>1</v>
      </c>
      <c r="H42" s="28">
        <v>81379</v>
      </c>
      <c r="I42" s="27" t="str">
        <f t="shared" si="2"/>
        <v>CHARACTER</v>
      </c>
      <c r="J42" s="28">
        <v>53660314</v>
      </c>
      <c r="K42" s="28" t="s">
        <v>3060</v>
      </c>
      <c r="L42" s="28" t="s">
        <v>3102</v>
      </c>
      <c r="M42" s="28">
        <v>149900</v>
      </c>
      <c r="N42" s="45" t="str">
        <f t="shared" si="3"/>
        <v>BXGY</v>
      </c>
      <c r="O42" s="45" t="str">
        <f t="shared" si="4"/>
        <v>B1G2</v>
      </c>
      <c r="P42" s="45" t="str">
        <f t="shared" si="5"/>
        <v>BXGY</v>
      </c>
    </row>
    <row r="43" spans="1:16" x14ac:dyDescent="0.25">
      <c r="A43" s="27" t="str">
        <f t="shared" ref="A43:C43" si="44">A42</f>
        <v>2025 MEI B1G2</v>
      </c>
      <c r="B43" s="38">
        <f t="shared" si="44"/>
        <v>46099</v>
      </c>
      <c r="C43" s="38">
        <f t="shared" si="44"/>
        <v>46113</v>
      </c>
      <c r="D43" s="27">
        <v>3272</v>
      </c>
      <c r="E43" s="27">
        <v>336</v>
      </c>
      <c r="F43" s="27">
        <v>4</v>
      </c>
      <c r="G43" s="28">
        <v>1</v>
      </c>
      <c r="H43" s="28">
        <v>81379</v>
      </c>
      <c r="I43" s="27" t="str">
        <f t="shared" si="2"/>
        <v>CHARACTER</v>
      </c>
      <c r="J43" s="28">
        <v>53660323</v>
      </c>
      <c r="K43" s="28" t="s">
        <v>3060</v>
      </c>
      <c r="L43" s="28" t="s">
        <v>3103</v>
      </c>
      <c r="M43" s="28">
        <v>149900</v>
      </c>
      <c r="N43" s="45" t="str">
        <f t="shared" si="3"/>
        <v>BXGY</v>
      </c>
      <c r="O43" s="45" t="str">
        <f t="shared" si="4"/>
        <v>B1G2</v>
      </c>
      <c r="P43" s="45" t="str">
        <f t="shared" si="5"/>
        <v>BXGY</v>
      </c>
    </row>
    <row r="44" spans="1:16" x14ac:dyDescent="0.25">
      <c r="A44" s="27" t="str">
        <f t="shared" ref="A44:C44" si="45">A43</f>
        <v>2025 MEI B1G2</v>
      </c>
      <c r="B44" s="38">
        <f t="shared" si="45"/>
        <v>46099</v>
      </c>
      <c r="C44" s="38">
        <f t="shared" si="45"/>
        <v>46113</v>
      </c>
      <c r="D44" s="27">
        <v>3272</v>
      </c>
      <c r="E44" s="27">
        <v>336</v>
      </c>
      <c r="F44" s="27">
        <v>4</v>
      </c>
      <c r="G44" s="28">
        <v>1</v>
      </c>
      <c r="H44" s="28">
        <v>81379</v>
      </c>
      <c r="I44" s="27" t="str">
        <f t="shared" si="2"/>
        <v>CHARACTER</v>
      </c>
      <c r="J44" s="28">
        <v>53660332</v>
      </c>
      <c r="K44" s="28" t="s">
        <v>3060</v>
      </c>
      <c r="L44" s="28" t="s">
        <v>3104</v>
      </c>
      <c r="M44" s="28">
        <v>149900</v>
      </c>
      <c r="N44" s="45" t="str">
        <f t="shared" si="3"/>
        <v>BXGY</v>
      </c>
      <c r="O44" s="45" t="str">
        <f t="shared" si="4"/>
        <v>B1G2</v>
      </c>
      <c r="P44" s="45" t="str">
        <f t="shared" si="5"/>
        <v>BXGY</v>
      </c>
    </row>
    <row r="45" spans="1:16" x14ac:dyDescent="0.25">
      <c r="A45" s="27" t="str">
        <f t="shared" ref="A45:C45" si="46">A44</f>
        <v>2025 MEI B1G2</v>
      </c>
      <c r="B45" s="38">
        <f t="shared" si="46"/>
        <v>46099</v>
      </c>
      <c r="C45" s="38">
        <f t="shared" si="46"/>
        <v>46113</v>
      </c>
      <c r="D45" s="27">
        <v>3272</v>
      </c>
      <c r="E45" s="27">
        <v>336</v>
      </c>
      <c r="F45" s="27">
        <v>4</v>
      </c>
      <c r="G45" s="28">
        <v>1</v>
      </c>
      <c r="H45" s="28">
        <v>81379</v>
      </c>
      <c r="I45" s="27" t="str">
        <f t="shared" si="2"/>
        <v>CHARACTER</v>
      </c>
      <c r="J45" s="28">
        <v>53660341</v>
      </c>
      <c r="K45" s="28" t="s">
        <v>3060</v>
      </c>
      <c r="L45" s="28" t="s">
        <v>3105</v>
      </c>
      <c r="M45" s="28">
        <v>149900</v>
      </c>
      <c r="N45" s="45" t="str">
        <f t="shared" si="3"/>
        <v>BXGY</v>
      </c>
      <c r="O45" s="45" t="str">
        <f t="shared" si="4"/>
        <v>B1G2</v>
      </c>
      <c r="P45" s="45" t="str">
        <f t="shared" si="5"/>
        <v>BXGY</v>
      </c>
    </row>
    <row r="46" spans="1:16" x14ac:dyDescent="0.25">
      <c r="A46" s="27" t="str">
        <f t="shared" ref="A46:C46" si="47">A45</f>
        <v>2025 MEI B1G2</v>
      </c>
      <c r="B46" s="38">
        <f t="shared" si="47"/>
        <v>46099</v>
      </c>
      <c r="C46" s="38">
        <f t="shared" si="47"/>
        <v>46113</v>
      </c>
      <c r="D46" s="27">
        <v>3272</v>
      </c>
      <c r="E46" s="27">
        <v>336</v>
      </c>
      <c r="F46" s="27">
        <v>4</v>
      </c>
      <c r="G46" s="28">
        <v>1</v>
      </c>
      <c r="H46" s="28">
        <v>81379</v>
      </c>
      <c r="I46" s="27" t="str">
        <f t="shared" si="2"/>
        <v>CHARACTER</v>
      </c>
      <c r="J46" s="28">
        <v>53660350</v>
      </c>
      <c r="K46" s="28" t="s">
        <v>3060</v>
      </c>
      <c r="L46" s="28" t="s">
        <v>3106</v>
      </c>
      <c r="M46" s="28">
        <v>149900</v>
      </c>
      <c r="N46" s="45" t="str">
        <f t="shared" si="3"/>
        <v>BXGY</v>
      </c>
      <c r="O46" s="45" t="str">
        <f t="shared" si="4"/>
        <v>B1G2</v>
      </c>
      <c r="P46" s="45" t="str">
        <f t="shared" si="5"/>
        <v>BXGY</v>
      </c>
    </row>
    <row r="47" spans="1:16" x14ac:dyDescent="0.25">
      <c r="A47" s="27" t="str">
        <f t="shared" ref="A47:C47" si="48">A46</f>
        <v>2025 MEI B1G2</v>
      </c>
      <c r="B47" s="38">
        <f t="shared" si="48"/>
        <v>46099</v>
      </c>
      <c r="C47" s="38">
        <f t="shared" si="48"/>
        <v>46113</v>
      </c>
      <c r="D47" s="27">
        <v>3272</v>
      </c>
      <c r="E47" s="27">
        <v>336</v>
      </c>
      <c r="F47" s="27">
        <v>4</v>
      </c>
      <c r="G47" s="28">
        <v>1</v>
      </c>
      <c r="H47" s="28">
        <v>81379</v>
      </c>
      <c r="I47" s="27" t="str">
        <f t="shared" si="2"/>
        <v>CHARACTER</v>
      </c>
      <c r="J47" s="28">
        <v>53660369</v>
      </c>
      <c r="K47" s="28" t="s">
        <v>3060</v>
      </c>
      <c r="L47" s="28" t="s">
        <v>3107</v>
      </c>
      <c r="M47" s="28">
        <v>149900</v>
      </c>
      <c r="N47" s="45" t="str">
        <f t="shared" si="3"/>
        <v>BXGY</v>
      </c>
      <c r="O47" s="45" t="str">
        <f t="shared" si="4"/>
        <v>B1G2</v>
      </c>
      <c r="P47" s="45" t="str">
        <f t="shared" si="5"/>
        <v>BXGY</v>
      </c>
    </row>
    <row r="48" spans="1:16" x14ac:dyDescent="0.25">
      <c r="A48" s="27" t="str">
        <f t="shared" ref="A48:C48" si="49">A47</f>
        <v>2025 MEI B1G2</v>
      </c>
      <c r="B48" s="38">
        <f t="shared" si="49"/>
        <v>46099</v>
      </c>
      <c r="C48" s="38">
        <f t="shared" si="49"/>
        <v>46113</v>
      </c>
      <c r="D48" s="27">
        <v>3272</v>
      </c>
      <c r="E48" s="27">
        <v>336</v>
      </c>
      <c r="F48" s="27">
        <v>4</v>
      </c>
      <c r="G48" s="28">
        <v>1</v>
      </c>
      <c r="H48" s="28">
        <v>81379</v>
      </c>
      <c r="I48" s="27" t="str">
        <f t="shared" si="2"/>
        <v>CHARACTER</v>
      </c>
      <c r="J48" s="28">
        <v>53660378</v>
      </c>
      <c r="K48" s="28" t="s">
        <v>3060</v>
      </c>
      <c r="L48" s="28" t="s">
        <v>3108</v>
      </c>
      <c r="M48" s="28">
        <v>149900</v>
      </c>
      <c r="N48" s="45" t="str">
        <f t="shared" si="3"/>
        <v>BXGY</v>
      </c>
      <c r="O48" s="45" t="str">
        <f t="shared" si="4"/>
        <v>B1G2</v>
      </c>
      <c r="P48" s="45" t="str">
        <f t="shared" si="5"/>
        <v>BXGY</v>
      </c>
    </row>
    <row r="49" spans="1:16" x14ac:dyDescent="0.25">
      <c r="A49" s="27" t="str">
        <f t="shared" ref="A49:C49" si="50">A48</f>
        <v>2025 MEI B1G2</v>
      </c>
      <c r="B49" s="38">
        <f t="shared" si="50"/>
        <v>46099</v>
      </c>
      <c r="C49" s="38">
        <f t="shared" si="50"/>
        <v>46113</v>
      </c>
      <c r="D49" s="27">
        <v>3272</v>
      </c>
      <c r="E49" s="27">
        <v>336</v>
      </c>
      <c r="F49" s="27">
        <v>4</v>
      </c>
      <c r="G49" s="28">
        <v>1</v>
      </c>
      <c r="H49" s="28">
        <v>81379</v>
      </c>
      <c r="I49" s="27" t="str">
        <f t="shared" si="2"/>
        <v>CHARACTER</v>
      </c>
      <c r="J49" s="28">
        <v>53660387</v>
      </c>
      <c r="K49" s="28" t="s">
        <v>3060</v>
      </c>
      <c r="L49" s="28" t="s">
        <v>3109</v>
      </c>
      <c r="M49" s="28">
        <v>149900</v>
      </c>
      <c r="N49" s="45" t="str">
        <f t="shared" si="3"/>
        <v>BXGY</v>
      </c>
      <c r="O49" s="45" t="str">
        <f t="shared" si="4"/>
        <v>B1G2</v>
      </c>
      <c r="P49" s="45" t="str">
        <f t="shared" si="5"/>
        <v>BXGY</v>
      </c>
    </row>
    <row r="50" spans="1:16" x14ac:dyDescent="0.25">
      <c r="A50" s="27" t="str">
        <f t="shared" ref="A50:C50" si="51">A49</f>
        <v>2025 MEI B1G2</v>
      </c>
      <c r="B50" s="38">
        <f t="shared" si="51"/>
        <v>46099</v>
      </c>
      <c r="C50" s="38">
        <f t="shared" si="51"/>
        <v>46113</v>
      </c>
      <c r="D50" s="27">
        <v>3272</v>
      </c>
      <c r="E50" s="27">
        <v>336</v>
      </c>
      <c r="F50" s="27">
        <v>4</v>
      </c>
      <c r="G50" s="28">
        <v>1</v>
      </c>
      <c r="H50" s="28">
        <v>81379</v>
      </c>
      <c r="I50" s="27" t="str">
        <f t="shared" si="2"/>
        <v>CHARACTER</v>
      </c>
      <c r="J50" s="28">
        <v>53660396</v>
      </c>
      <c r="K50" s="28" t="s">
        <v>3061</v>
      </c>
      <c r="L50" s="28" t="s">
        <v>3110</v>
      </c>
      <c r="M50" s="28">
        <v>149900</v>
      </c>
      <c r="N50" s="45" t="str">
        <f t="shared" si="3"/>
        <v>BXGY</v>
      </c>
      <c r="O50" s="45" t="str">
        <f t="shared" si="4"/>
        <v>B1G2</v>
      </c>
      <c r="P50" s="45" t="str">
        <f t="shared" si="5"/>
        <v>BXGY</v>
      </c>
    </row>
    <row r="51" spans="1:16" x14ac:dyDescent="0.25">
      <c r="A51" s="27" t="str">
        <f t="shared" ref="A51:C51" si="52">A50</f>
        <v>2025 MEI B1G2</v>
      </c>
      <c r="B51" s="38">
        <f t="shared" si="52"/>
        <v>46099</v>
      </c>
      <c r="C51" s="38">
        <f t="shared" si="52"/>
        <v>46113</v>
      </c>
      <c r="D51" s="27">
        <v>3272</v>
      </c>
      <c r="E51" s="27">
        <v>336</v>
      </c>
      <c r="F51" s="27">
        <v>4</v>
      </c>
      <c r="G51" s="28">
        <v>1</v>
      </c>
      <c r="H51" s="28">
        <v>81379</v>
      </c>
      <c r="I51" s="27" t="str">
        <f t="shared" si="2"/>
        <v>CHARACTER</v>
      </c>
      <c r="J51" s="28">
        <v>53660403</v>
      </c>
      <c r="K51" s="28" t="s">
        <v>3061</v>
      </c>
      <c r="L51" s="28" t="s">
        <v>3111</v>
      </c>
      <c r="M51" s="28">
        <v>149900</v>
      </c>
      <c r="N51" s="45" t="str">
        <f t="shared" si="3"/>
        <v>BXGY</v>
      </c>
      <c r="O51" s="45" t="str">
        <f t="shared" si="4"/>
        <v>B1G2</v>
      </c>
      <c r="P51" s="45" t="str">
        <f t="shared" si="5"/>
        <v>BXGY</v>
      </c>
    </row>
    <row r="52" spans="1:16" x14ac:dyDescent="0.25">
      <c r="A52" s="27" t="str">
        <f t="shared" ref="A52:C52" si="53">A51</f>
        <v>2025 MEI B1G2</v>
      </c>
      <c r="B52" s="38">
        <f t="shared" si="53"/>
        <v>46099</v>
      </c>
      <c r="C52" s="38">
        <f t="shared" si="53"/>
        <v>46113</v>
      </c>
      <c r="D52" s="27">
        <v>3272</v>
      </c>
      <c r="E52" s="27">
        <v>336</v>
      </c>
      <c r="F52" s="27">
        <v>4</v>
      </c>
      <c r="G52" s="28">
        <v>1</v>
      </c>
      <c r="H52" s="28">
        <v>81379</v>
      </c>
      <c r="I52" s="27" t="str">
        <f t="shared" si="2"/>
        <v>CHARACTER</v>
      </c>
      <c r="J52" s="28">
        <v>53660412</v>
      </c>
      <c r="K52" s="28" t="s">
        <v>3061</v>
      </c>
      <c r="L52" s="28" t="s">
        <v>3112</v>
      </c>
      <c r="M52" s="28">
        <v>149900</v>
      </c>
      <c r="N52" s="45" t="str">
        <f t="shared" si="3"/>
        <v>BXGY</v>
      </c>
      <c r="O52" s="45" t="str">
        <f t="shared" si="4"/>
        <v>B1G2</v>
      </c>
      <c r="P52" s="45" t="str">
        <f t="shared" si="5"/>
        <v>BXGY</v>
      </c>
    </row>
    <row r="53" spans="1:16" x14ac:dyDescent="0.25">
      <c r="A53" s="27" t="str">
        <f t="shared" ref="A53:C53" si="54">A52</f>
        <v>2025 MEI B1G2</v>
      </c>
      <c r="B53" s="38">
        <f t="shared" si="54"/>
        <v>46099</v>
      </c>
      <c r="C53" s="38">
        <f t="shared" si="54"/>
        <v>46113</v>
      </c>
      <c r="D53" s="27">
        <v>3272</v>
      </c>
      <c r="E53" s="27">
        <v>336</v>
      </c>
      <c r="F53" s="27">
        <v>4</v>
      </c>
      <c r="G53" s="28">
        <v>1</v>
      </c>
      <c r="H53" s="28">
        <v>81379</v>
      </c>
      <c r="I53" s="27" t="str">
        <f t="shared" si="2"/>
        <v>CHARACTER</v>
      </c>
      <c r="J53" s="28">
        <v>53660421</v>
      </c>
      <c r="K53" s="28" t="s">
        <v>3061</v>
      </c>
      <c r="L53" s="28" t="s">
        <v>3113</v>
      </c>
      <c r="M53" s="28">
        <v>149900</v>
      </c>
      <c r="N53" s="45" t="str">
        <f t="shared" si="3"/>
        <v>BXGY</v>
      </c>
      <c r="O53" s="45" t="str">
        <f t="shared" si="4"/>
        <v>B1G2</v>
      </c>
      <c r="P53" s="45" t="str">
        <f t="shared" si="5"/>
        <v>BXGY</v>
      </c>
    </row>
    <row r="54" spans="1:16" x14ac:dyDescent="0.25">
      <c r="A54" s="27" t="str">
        <f t="shared" ref="A54:C54" si="55">A53</f>
        <v>2025 MEI B1G2</v>
      </c>
      <c r="B54" s="38">
        <f t="shared" si="55"/>
        <v>46099</v>
      </c>
      <c r="C54" s="38">
        <f t="shared" si="55"/>
        <v>46113</v>
      </c>
      <c r="D54" s="27">
        <v>3272</v>
      </c>
      <c r="E54" s="27">
        <v>336</v>
      </c>
      <c r="F54" s="27">
        <v>4</v>
      </c>
      <c r="G54" s="28">
        <v>1</v>
      </c>
      <c r="H54" s="28">
        <v>81379</v>
      </c>
      <c r="I54" s="27" t="str">
        <f t="shared" si="2"/>
        <v>CHARACTER</v>
      </c>
      <c r="J54" s="28">
        <v>53660430</v>
      </c>
      <c r="K54" s="28" t="s">
        <v>3061</v>
      </c>
      <c r="L54" s="28" t="s">
        <v>3114</v>
      </c>
      <c r="M54" s="28">
        <v>149900</v>
      </c>
      <c r="N54" s="45" t="str">
        <f t="shared" si="3"/>
        <v>BXGY</v>
      </c>
      <c r="O54" s="45" t="str">
        <f t="shared" si="4"/>
        <v>B1G2</v>
      </c>
      <c r="P54" s="45" t="str">
        <f t="shared" si="5"/>
        <v>BXGY</v>
      </c>
    </row>
    <row r="55" spans="1:16" x14ac:dyDescent="0.25">
      <c r="A55" s="27" t="str">
        <f t="shared" ref="A55:C55" si="56">A54</f>
        <v>2025 MEI B1G2</v>
      </c>
      <c r="B55" s="38">
        <f t="shared" si="56"/>
        <v>46099</v>
      </c>
      <c r="C55" s="38">
        <f t="shared" si="56"/>
        <v>46113</v>
      </c>
      <c r="D55" s="27">
        <v>3272</v>
      </c>
      <c r="E55" s="27">
        <v>336</v>
      </c>
      <c r="F55" s="27">
        <v>4</v>
      </c>
      <c r="G55" s="28">
        <v>1</v>
      </c>
      <c r="H55" s="28">
        <v>81379</v>
      </c>
      <c r="I55" s="27" t="str">
        <f t="shared" si="2"/>
        <v>CHARACTER</v>
      </c>
      <c r="J55" s="28">
        <v>53660449</v>
      </c>
      <c r="K55" s="28" t="s">
        <v>3061</v>
      </c>
      <c r="L55" s="28" t="s">
        <v>3115</v>
      </c>
      <c r="M55" s="28">
        <v>149900</v>
      </c>
      <c r="N55" s="45" t="str">
        <f t="shared" si="3"/>
        <v>BXGY</v>
      </c>
      <c r="O55" s="45" t="str">
        <f t="shared" si="4"/>
        <v>B1G2</v>
      </c>
      <c r="P55" s="45" t="str">
        <f t="shared" si="5"/>
        <v>BXGY</v>
      </c>
    </row>
    <row r="56" spans="1:16" x14ac:dyDescent="0.25">
      <c r="A56" s="27" t="str">
        <f t="shared" ref="A56:C56" si="57">A55</f>
        <v>2025 MEI B1G2</v>
      </c>
      <c r="B56" s="38">
        <f t="shared" si="57"/>
        <v>46099</v>
      </c>
      <c r="C56" s="38">
        <f t="shared" si="57"/>
        <v>46113</v>
      </c>
      <c r="D56" s="27">
        <v>3272</v>
      </c>
      <c r="E56" s="27">
        <v>336</v>
      </c>
      <c r="F56" s="27">
        <v>4</v>
      </c>
      <c r="G56" s="28">
        <v>1</v>
      </c>
      <c r="H56" s="28">
        <v>81379</v>
      </c>
      <c r="I56" s="27" t="str">
        <f t="shared" si="2"/>
        <v>CHARACTER</v>
      </c>
      <c r="J56" s="28">
        <v>53660458</v>
      </c>
      <c r="K56" s="28" t="s">
        <v>3061</v>
      </c>
      <c r="L56" s="28" t="s">
        <v>3116</v>
      </c>
      <c r="M56" s="28">
        <v>149900</v>
      </c>
      <c r="N56" s="45" t="str">
        <f t="shared" si="3"/>
        <v>BXGY</v>
      </c>
      <c r="O56" s="45" t="str">
        <f t="shared" si="4"/>
        <v>B1G2</v>
      </c>
      <c r="P56" s="45" t="str">
        <f t="shared" si="5"/>
        <v>BXGY</v>
      </c>
    </row>
    <row r="57" spans="1:16" x14ac:dyDescent="0.25">
      <c r="A57" s="27" t="str">
        <f t="shared" ref="A57:C57" si="58">A56</f>
        <v>2025 MEI B1G2</v>
      </c>
      <c r="B57" s="38">
        <f t="shared" si="58"/>
        <v>46099</v>
      </c>
      <c r="C57" s="38">
        <f t="shared" si="58"/>
        <v>46113</v>
      </c>
      <c r="D57" s="27">
        <v>3272</v>
      </c>
      <c r="E57" s="27">
        <v>336</v>
      </c>
      <c r="F57" s="27">
        <v>4</v>
      </c>
      <c r="G57" s="28">
        <v>1</v>
      </c>
      <c r="H57" s="28">
        <v>81379</v>
      </c>
      <c r="I57" s="27" t="str">
        <f t="shared" si="2"/>
        <v>CHARACTER</v>
      </c>
      <c r="J57" s="28">
        <v>53660467</v>
      </c>
      <c r="K57" s="28" t="s">
        <v>3061</v>
      </c>
      <c r="L57" s="28" t="s">
        <v>3117</v>
      </c>
      <c r="M57" s="28">
        <v>149900</v>
      </c>
      <c r="N57" s="45" t="str">
        <f t="shared" si="3"/>
        <v>BXGY</v>
      </c>
      <c r="O57" s="45" t="str">
        <f t="shared" si="4"/>
        <v>B1G2</v>
      </c>
      <c r="P57" s="45" t="str">
        <f t="shared" si="5"/>
        <v>BXGY</v>
      </c>
    </row>
    <row r="58" spans="1:16" x14ac:dyDescent="0.25">
      <c r="A58" s="27" t="str">
        <f t="shared" ref="A58:C58" si="59">A57</f>
        <v>2025 MEI B1G2</v>
      </c>
      <c r="B58" s="38">
        <f t="shared" si="59"/>
        <v>46099</v>
      </c>
      <c r="C58" s="38">
        <f t="shared" si="59"/>
        <v>46113</v>
      </c>
      <c r="D58" s="27">
        <v>3272</v>
      </c>
      <c r="E58" s="27">
        <v>336</v>
      </c>
      <c r="F58" s="27">
        <v>4</v>
      </c>
      <c r="G58" s="28">
        <v>1</v>
      </c>
      <c r="H58" s="28">
        <v>81676</v>
      </c>
      <c r="I58" s="27" t="str">
        <f t="shared" si="2"/>
        <v>CHARACTER</v>
      </c>
      <c r="J58" s="28">
        <v>53660850</v>
      </c>
      <c r="K58" s="28" t="s">
        <v>3062</v>
      </c>
      <c r="L58" s="28" t="s">
        <v>3118</v>
      </c>
      <c r="M58" s="28">
        <v>139900</v>
      </c>
      <c r="N58" s="45" t="str">
        <f t="shared" si="3"/>
        <v>BXGY</v>
      </c>
      <c r="O58" s="45" t="str">
        <f t="shared" si="4"/>
        <v>B1G2</v>
      </c>
      <c r="P58" s="45" t="str">
        <f t="shared" si="5"/>
        <v>BXGY</v>
      </c>
    </row>
    <row r="59" spans="1:16" x14ac:dyDescent="0.25">
      <c r="A59" s="27" t="str">
        <f t="shared" ref="A59:C59" si="60">A58</f>
        <v>2025 MEI B1G2</v>
      </c>
      <c r="B59" s="38">
        <f t="shared" si="60"/>
        <v>46099</v>
      </c>
      <c r="C59" s="38">
        <f t="shared" si="60"/>
        <v>46113</v>
      </c>
      <c r="D59" s="27">
        <v>3272</v>
      </c>
      <c r="E59" s="27">
        <v>336</v>
      </c>
      <c r="F59" s="27">
        <v>4</v>
      </c>
      <c r="G59" s="28">
        <v>1</v>
      </c>
      <c r="H59" s="28">
        <v>81676</v>
      </c>
      <c r="I59" s="27" t="str">
        <f t="shared" si="2"/>
        <v>CHARACTER</v>
      </c>
      <c r="J59" s="28">
        <v>53660869</v>
      </c>
      <c r="K59" s="28" t="s">
        <v>3062</v>
      </c>
      <c r="L59" s="28" t="s">
        <v>3119</v>
      </c>
      <c r="M59" s="28">
        <v>139900</v>
      </c>
      <c r="N59" s="45" t="str">
        <f t="shared" si="3"/>
        <v>BXGY</v>
      </c>
      <c r="O59" s="45" t="str">
        <f t="shared" si="4"/>
        <v>B1G2</v>
      </c>
      <c r="P59" s="45" t="str">
        <f t="shared" si="5"/>
        <v>BXGY</v>
      </c>
    </row>
    <row r="60" spans="1:16" x14ac:dyDescent="0.25">
      <c r="A60" s="27" t="str">
        <f t="shared" ref="A60:C60" si="61">A59</f>
        <v>2025 MEI B1G2</v>
      </c>
      <c r="B60" s="38">
        <f t="shared" si="61"/>
        <v>46099</v>
      </c>
      <c r="C60" s="38">
        <f t="shared" si="61"/>
        <v>46113</v>
      </c>
      <c r="D60" s="27">
        <v>3272</v>
      </c>
      <c r="E60" s="27">
        <v>336</v>
      </c>
      <c r="F60" s="27">
        <v>4</v>
      </c>
      <c r="G60" s="28">
        <v>1</v>
      </c>
      <c r="H60" s="28">
        <v>81676</v>
      </c>
      <c r="I60" s="27" t="str">
        <f t="shared" si="2"/>
        <v>CHARACTER</v>
      </c>
      <c r="J60" s="28">
        <v>53660878</v>
      </c>
      <c r="K60" s="28" t="s">
        <v>3062</v>
      </c>
      <c r="L60" s="28" t="s">
        <v>3120</v>
      </c>
      <c r="M60" s="28">
        <v>139900</v>
      </c>
      <c r="N60" s="45" t="str">
        <f t="shared" si="3"/>
        <v>BXGY</v>
      </c>
      <c r="O60" s="45" t="str">
        <f t="shared" si="4"/>
        <v>B1G2</v>
      </c>
      <c r="P60" s="45" t="str">
        <f t="shared" si="5"/>
        <v>BXGY</v>
      </c>
    </row>
    <row r="61" spans="1:16" x14ac:dyDescent="0.25">
      <c r="A61" s="27" t="str">
        <f t="shared" ref="A61:C61" si="62">A60</f>
        <v>2025 MEI B1G2</v>
      </c>
      <c r="B61" s="38">
        <f t="shared" si="62"/>
        <v>46099</v>
      </c>
      <c r="C61" s="38">
        <f t="shared" si="62"/>
        <v>46113</v>
      </c>
      <c r="D61" s="27">
        <v>3272</v>
      </c>
      <c r="E61" s="27">
        <v>336</v>
      </c>
      <c r="F61" s="27">
        <v>4</v>
      </c>
      <c r="G61" s="28">
        <v>1</v>
      </c>
      <c r="H61" s="28">
        <v>81676</v>
      </c>
      <c r="I61" s="27" t="str">
        <f t="shared" si="2"/>
        <v>CHARACTER</v>
      </c>
      <c r="J61" s="28">
        <v>53660887</v>
      </c>
      <c r="K61" s="28" t="s">
        <v>3062</v>
      </c>
      <c r="L61" s="28" t="s">
        <v>3121</v>
      </c>
      <c r="M61" s="28">
        <v>139900</v>
      </c>
      <c r="N61" s="45" t="str">
        <f t="shared" si="3"/>
        <v>BXGY</v>
      </c>
      <c r="O61" s="45" t="str">
        <f t="shared" si="4"/>
        <v>B1G2</v>
      </c>
      <c r="P61" s="45" t="str">
        <f t="shared" si="5"/>
        <v>BXGY</v>
      </c>
    </row>
    <row r="62" spans="1:16" x14ac:dyDescent="0.25">
      <c r="A62" s="27" t="str">
        <f t="shared" ref="A62:C62" si="63">A61</f>
        <v>2025 MEI B1G2</v>
      </c>
      <c r="B62" s="38">
        <f t="shared" si="63"/>
        <v>46099</v>
      </c>
      <c r="C62" s="38">
        <f t="shared" si="63"/>
        <v>46113</v>
      </c>
      <c r="D62" s="27">
        <v>3272</v>
      </c>
      <c r="E62" s="27">
        <v>336</v>
      </c>
      <c r="F62" s="27">
        <v>4</v>
      </c>
      <c r="G62" s="28">
        <v>1</v>
      </c>
      <c r="H62" s="28">
        <v>81676</v>
      </c>
      <c r="I62" s="27" t="str">
        <f t="shared" si="2"/>
        <v>CHARACTER</v>
      </c>
      <c r="J62" s="28">
        <v>53660896</v>
      </c>
      <c r="K62" s="28" t="s">
        <v>3062</v>
      </c>
      <c r="L62" s="28" t="s">
        <v>3122</v>
      </c>
      <c r="M62" s="28">
        <v>139900</v>
      </c>
      <c r="N62" s="45" t="str">
        <f t="shared" si="3"/>
        <v>BXGY</v>
      </c>
      <c r="O62" s="45" t="str">
        <f t="shared" si="4"/>
        <v>B1G2</v>
      </c>
      <c r="P62" s="45" t="str">
        <f t="shared" si="5"/>
        <v>BXGY</v>
      </c>
    </row>
    <row r="63" spans="1:16" x14ac:dyDescent="0.25">
      <c r="A63" s="27" t="str">
        <f t="shared" ref="A63:C63" si="64">A62</f>
        <v>2025 MEI B1G2</v>
      </c>
      <c r="B63" s="38">
        <f t="shared" si="64"/>
        <v>46099</v>
      </c>
      <c r="C63" s="38">
        <f t="shared" si="64"/>
        <v>46113</v>
      </c>
      <c r="D63" s="27">
        <v>3272</v>
      </c>
      <c r="E63" s="27">
        <v>336</v>
      </c>
      <c r="F63" s="27">
        <v>4</v>
      </c>
      <c r="G63" s="28">
        <v>1</v>
      </c>
      <c r="H63" s="28">
        <v>81676</v>
      </c>
      <c r="I63" s="27" t="str">
        <f t="shared" si="2"/>
        <v>CHARACTER</v>
      </c>
      <c r="J63" s="28">
        <v>53660903</v>
      </c>
      <c r="K63" s="28" t="s">
        <v>3062</v>
      </c>
      <c r="L63" s="28" t="s">
        <v>3123</v>
      </c>
      <c r="M63" s="28">
        <v>139900</v>
      </c>
      <c r="N63" s="45" t="str">
        <f t="shared" si="3"/>
        <v>BXGY</v>
      </c>
      <c r="O63" s="45" t="str">
        <f t="shared" si="4"/>
        <v>B1G2</v>
      </c>
      <c r="P63" s="45" t="str">
        <f t="shared" si="5"/>
        <v>BXGY</v>
      </c>
    </row>
    <row r="64" spans="1:16" x14ac:dyDescent="0.25">
      <c r="A64" s="27" t="str">
        <f t="shared" ref="A64:C64" si="65">A63</f>
        <v>2025 MEI B1G2</v>
      </c>
      <c r="B64" s="38">
        <f t="shared" si="65"/>
        <v>46099</v>
      </c>
      <c r="C64" s="38">
        <f t="shared" si="65"/>
        <v>46113</v>
      </c>
      <c r="D64" s="27">
        <v>3272</v>
      </c>
      <c r="E64" s="27">
        <v>336</v>
      </c>
      <c r="F64" s="27">
        <v>4</v>
      </c>
      <c r="G64" s="28">
        <v>1</v>
      </c>
      <c r="H64" s="28">
        <v>81676</v>
      </c>
      <c r="I64" s="27" t="str">
        <f t="shared" si="2"/>
        <v>CHARACTER</v>
      </c>
      <c r="J64" s="28">
        <v>53660912</v>
      </c>
      <c r="K64" s="28" t="s">
        <v>3063</v>
      </c>
      <c r="L64" s="28" t="s">
        <v>3124</v>
      </c>
      <c r="M64" s="28">
        <v>139900</v>
      </c>
      <c r="N64" s="45" t="str">
        <f t="shared" si="3"/>
        <v>BXGY</v>
      </c>
      <c r="O64" s="45" t="str">
        <f t="shared" si="4"/>
        <v>B1G2</v>
      </c>
      <c r="P64" s="45" t="str">
        <f t="shared" si="5"/>
        <v>BXGY</v>
      </c>
    </row>
    <row r="65" spans="1:16" x14ac:dyDescent="0.25">
      <c r="A65" s="27" t="str">
        <f t="shared" ref="A65:C65" si="66">A64</f>
        <v>2025 MEI B1G2</v>
      </c>
      <c r="B65" s="38">
        <f t="shared" si="66"/>
        <v>46099</v>
      </c>
      <c r="C65" s="38">
        <f t="shared" si="66"/>
        <v>46113</v>
      </c>
      <c r="D65" s="27">
        <v>3272</v>
      </c>
      <c r="E65" s="27">
        <v>336</v>
      </c>
      <c r="F65" s="27">
        <v>4</v>
      </c>
      <c r="G65" s="28">
        <v>1</v>
      </c>
      <c r="H65" s="28">
        <v>81676</v>
      </c>
      <c r="I65" s="27" t="str">
        <f t="shared" si="2"/>
        <v>CHARACTER</v>
      </c>
      <c r="J65" s="28">
        <v>53660921</v>
      </c>
      <c r="K65" s="28" t="s">
        <v>3063</v>
      </c>
      <c r="L65" s="28" t="s">
        <v>3125</v>
      </c>
      <c r="M65" s="28">
        <v>139900</v>
      </c>
      <c r="N65" s="45" t="str">
        <f t="shared" si="3"/>
        <v>BXGY</v>
      </c>
      <c r="O65" s="45" t="str">
        <f t="shared" si="4"/>
        <v>B1G2</v>
      </c>
      <c r="P65" s="45" t="str">
        <f t="shared" si="5"/>
        <v>BXGY</v>
      </c>
    </row>
    <row r="66" spans="1:16" x14ac:dyDescent="0.25">
      <c r="A66" s="27" t="str">
        <f t="shared" ref="A66:C66" si="67">A65</f>
        <v>2025 MEI B1G2</v>
      </c>
      <c r="B66" s="38">
        <f t="shared" si="67"/>
        <v>46099</v>
      </c>
      <c r="C66" s="38">
        <f t="shared" si="67"/>
        <v>46113</v>
      </c>
      <c r="D66" s="27">
        <v>3272</v>
      </c>
      <c r="E66" s="27">
        <v>336</v>
      </c>
      <c r="F66" s="27">
        <v>4</v>
      </c>
      <c r="G66" s="28">
        <v>1</v>
      </c>
      <c r="H66" s="28">
        <v>81676</v>
      </c>
      <c r="I66" s="27" t="str">
        <f t="shared" si="2"/>
        <v>CHARACTER</v>
      </c>
      <c r="J66" s="28">
        <v>53660930</v>
      </c>
      <c r="K66" s="28" t="s">
        <v>3063</v>
      </c>
      <c r="L66" s="28" t="s">
        <v>3126</v>
      </c>
      <c r="M66" s="28">
        <v>139900</v>
      </c>
      <c r="N66" s="45" t="str">
        <f t="shared" si="3"/>
        <v>BXGY</v>
      </c>
      <c r="O66" s="45" t="str">
        <f t="shared" si="4"/>
        <v>B1G2</v>
      </c>
      <c r="P66" s="45" t="str">
        <f t="shared" si="5"/>
        <v>BXGY</v>
      </c>
    </row>
    <row r="67" spans="1:16" x14ac:dyDescent="0.25">
      <c r="A67" s="27" t="str">
        <f t="shared" ref="A67:C67" si="68">A66</f>
        <v>2025 MEI B1G2</v>
      </c>
      <c r="B67" s="38">
        <f t="shared" si="68"/>
        <v>46099</v>
      </c>
      <c r="C67" s="38">
        <f t="shared" si="68"/>
        <v>46113</v>
      </c>
      <c r="D67" s="27">
        <v>3272</v>
      </c>
      <c r="E67" s="27">
        <v>336</v>
      </c>
      <c r="F67" s="27">
        <v>4</v>
      </c>
      <c r="G67" s="28">
        <v>1</v>
      </c>
      <c r="H67" s="28">
        <v>81676</v>
      </c>
      <c r="I67" s="27" t="str">
        <f t="shared" si="2"/>
        <v>CHARACTER</v>
      </c>
      <c r="J67" s="28">
        <v>53660949</v>
      </c>
      <c r="K67" s="28" t="s">
        <v>3063</v>
      </c>
      <c r="L67" s="28" t="s">
        <v>3127</v>
      </c>
      <c r="M67" s="28">
        <v>139900</v>
      </c>
      <c r="N67" s="45" t="str">
        <f t="shared" si="3"/>
        <v>BXGY</v>
      </c>
      <c r="O67" s="45" t="str">
        <f t="shared" si="4"/>
        <v>B1G2</v>
      </c>
      <c r="P67" s="45" t="str">
        <f t="shared" si="5"/>
        <v>BXGY</v>
      </c>
    </row>
    <row r="68" spans="1:16" x14ac:dyDescent="0.25">
      <c r="A68" s="27" t="str">
        <f t="shared" ref="A68:C68" si="69">A67</f>
        <v>2025 MEI B1G2</v>
      </c>
      <c r="B68" s="38">
        <f t="shared" si="69"/>
        <v>46099</v>
      </c>
      <c r="C68" s="38">
        <f t="shared" si="69"/>
        <v>46113</v>
      </c>
      <c r="D68" s="27">
        <v>3272</v>
      </c>
      <c r="E68" s="27">
        <v>336</v>
      </c>
      <c r="F68" s="27">
        <v>4</v>
      </c>
      <c r="G68" s="28">
        <v>1</v>
      </c>
      <c r="H68" s="28">
        <v>81676</v>
      </c>
      <c r="I68" s="27" t="str">
        <f t="shared" ref="I68:I85" si="70">I67</f>
        <v>CHARACTER</v>
      </c>
      <c r="J68" s="28">
        <v>53660958</v>
      </c>
      <c r="K68" s="28" t="s">
        <v>3063</v>
      </c>
      <c r="L68" s="28" t="s">
        <v>3128</v>
      </c>
      <c r="M68" s="28">
        <v>139900</v>
      </c>
      <c r="N68" s="45" t="str">
        <f t="shared" ref="N68:N85" si="71">N67</f>
        <v>BXGY</v>
      </c>
      <c r="O68" s="45" t="str">
        <f t="shared" ref="O68:O85" si="72">O67</f>
        <v>B1G2</v>
      </c>
      <c r="P68" s="45" t="str">
        <f t="shared" ref="P68:P85" si="73">P67</f>
        <v>BXGY</v>
      </c>
    </row>
    <row r="69" spans="1:16" x14ac:dyDescent="0.25">
      <c r="A69" s="27" t="str">
        <f t="shared" ref="A69:C69" si="74">A68</f>
        <v>2025 MEI B1G2</v>
      </c>
      <c r="B69" s="38">
        <f t="shared" si="74"/>
        <v>46099</v>
      </c>
      <c r="C69" s="38">
        <f t="shared" si="74"/>
        <v>46113</v>
      </c>
      <c r="D69" s="27">
        <v>3272</v>
      </c>
      <c r="E69" s="27">
        <v>336</v>
      </c>
      <c r="F69" s="27">
        <v>4</v>
      </c>
      <c r="G69" s="28">
        <v>1</v>
      </c>
      <c r="H69" s="28">
        <v>81676</v>
      </c>
      <c r="I69" s="27" t="str">
        <f t="shared" si="70"/>
        <v>CHARACTER</v>
      </c>
      <c r="J69" s="28">
        <v>53660967</v>
      </c>
      <c r="K69" s="28" t="s">
        <v>3063</v>
      </c>
      <c r="L69" s="28" t="s">
        <v>3129</v>
      </c>
      <c r="M69" s="28">
        <v>139900</v>
      </c>
      <c r="N69" s="45" t="str">
        <f t="shared" si="71"/>
        <v>BXGY</v>
      </c>
      <c r="O69" s="45" t="str">
        <f t="shared" si="72"/>
        <v>B1G2</v>
      </c>
      <c r="P69" s="45" t="str">
        <f t="shared" si="73"/>
        <v>BXGY</v>
      </c>
    </row>
    <row r="70" spans="1:16" x14ac:dyDescent="0.25">
      <c r="A70" s="27" t="str">
        <f t="shared" ref="A70:C70" si="75">A69</f>
        <v>2025 MEI B1G2</v>
      </c>
      <c r="B70" s="38">
        <f t="shared" si="75"/>
        <v>46099</v>
      </c>
      <c r="C70" s="38">
        <f t="shared" si="75"/>
        <v>46113</v>
      </c>
      <c r="D70" s="27">
        <v>3272</v>
      </c>
      <c r="E70" s="27">
        <v>336</v>
      </c>
      <c r="F70" s="27">
        <v>4</v>
      </c>
      <c r="G70" s="28">
        <v>3</v>
      </c>
      <c r="H70" s="28">
        <v>81379</v>
      </c>
      <c r="I70" s="27" t="str">
        <f t="shared" si="70"/>
        <v>CHARACTER</v>
      </c>
      <c r="J70" s="28">
        <v>53660476</v>
      </c>
      <c r="K70" s="28" t="s">
        <v>3064</v>
      </c>
      <c r="L70" s="28" t="s">
        <v>3130</v>
      </c>
      <c r="M70" s="28">
        <v>229900</v>
      </c>
      <c r="N70" s="45" t="str">
        <f t="shared" si="71"/>
        <v>BXGY</v>
      </c>
      <c r="O70" s="45" t="str">
        <f t="shared" si="72"/>
        <v>B1G2</v>
      </c>
      <c r="P70" s="45" t="str">
        <f t="shared" si="73"/>
        <v>BXGY</v>
      </c>
    </row>
    <row r="71" spans="1:16" x14ac:dyDescent="0.25">
      <c r="A71" s="27" t="str">
        <f t="shared" ref="A71:C71" si="76">A70</f>
        <v>2025 MEI B1G2</v>
      </c>
      <c r="B71" s="38">
        <f t="shared" si="76"/>
        <v>46099</v>
      </c>
      <c r="C71" s="38">
        <f t="shared" si="76"/>
        <v>46113</v>
      </c>
      <c r="D71" s="27">
        <v>3272</v>
      </c>
      <c r="E71" s="27">
        <v>336</v>
      </c>
      <c r="F71" s="27">
        <v>4</v>
      </c>
      <c r="G71" s="28">
        <v>3</v>
      </c>
      <c r="H71" s="28">
        <v>81379</v>
      </c>
      <c r="I71" s="27" t="str">
        <f t="shared" si="70"/>
        <v>CHARACTER</v>
      </c>
      <c r="J71" s="28">
        <v>53660485</v>
      </c>
      <c r="K71" s="28" t="s">
        <v>3064</v>
      </c>
      <c r="L71" s="28" t="s">
        <v>3131</v>
      </c>
      <c r="M71" s="28">
        <v>229900</v>
      </c>
      <c r="N71" s="45" t="str">
        <f t="shared" si="71"/>
        <v>BXGY</v>
      </c>
      <c r="O71" s="45" t="str">
        <f t="shared" si="72"/>
        <v>B1G2</v>
      </c>
      <c r="P71" s="45" t="str">
        <f t="shared" si="73"/>
        <v>BXGY</v>
      </c>
    </row>
    <row r="72" spans="1:16" x14ac:dyDescent="0.25">
      <c r="A72" s="27" t="str">
        <f t="shared" ref="A72:C72" si="77">A71</f>
        <v>2025 MEI B1G2</v>
      </c>
      <c r="B72" s="38">
        <f t="shared" si="77"/>
        <v>46099</v>
      </c>
      <c r="C72" s="38">
        <f t="shared" si="77"/>
        <v>46113</v>
      </c>
      <c r="D72" s="27">
        <v>3272</v>
      </c>
      <c r="E72" s="27">
        <v>336</v>
      </c>
      <c r="F72" s="27">
        <v>4</v>
      </c>
      <c r="G72" s="28">
        <v>3</v>
      </c>
      <c r="H72" s="28">
        <v>81379</v>
      </c>
      <c r="I72" s="27" t="str">
        <f t="shared" si="70"/>
        <v>CHARACTER</v>
      </c>
      <c r="J72" s="28">
        <v>53660494</v>
      </c>
      <c r="K72" s="28" t="s">
        <v>3064</v>
      </c>
      <c r="L72" s="28" t="s">
        <v>3132</v>
      </c>
      <c r="M72" s="28">
        <v>229900</v>
      </c>
      <c r="N72" s="45" t="str">
        <f t="shared" si="71"/>
        <v>BXGY</v>
      </c>
      <c r="O72" s="45" t="str">
        <f t="shared" si="72"/>
        <v>B1G2</v>
      </c>
      <c r="P72" s="45" t="str">
        <f t="shared" si="73"/>
        <v>BXGY</v>
      </c>
    </row>
    <row r="73" spans="1:16" x14ac:dyDescent="0.25">
      <c r="A73" s="27" t="str">
        <f t="shared" ref="A73:C73" si="78">A72</f>
        <v>2025 MEI B1G2</v>
      </c>
      <c r="B73" s="38">
        <f t="shared" si="78"/>
        <v>46099</v>
      </c>
      <c r="C73" s="38">
        <f t="shared" si="78"/>
        <v>46113</v>
      </c>
      <c r="D73" s="27">
        <v>3272</v>
      </c>
      <c r="E73" s="27">
        <v>336</v>
      </c>
      <c r="F73" s="27">
        <v>4</v>
      </c>
      <c r="G73" s="28">
        <v>3</v>
      </c>
      <c r="H73" s="28">
        <v>81379</v>
      </c>
      <c r="I73" s="27" t="str">
        <f t="shared" si="70"/>
        <v>CHARACTER</v>
      </c>
      <c r="J73" s="28">
        <v>53660501</v>
      </c>
      <c r="K73" s="28" t="s">
        <v>3064</v>
      </c>
      <c r="L73" s="28" t="s">
        <v>3133</v>
      </c>
      <c r="M73" s="28">
        <v>229900</v>
      </c>
      <c r="N73" s="45" t="str">
        <f t="shared" si="71"/>
        <v>BXGY</v>
      </c>
      <c r="O73" s="45" t="str">
        <f t="shared" si="72"/>
        <v>B1G2</v>
      </c>
      <c r="P73" s="45" t="str">
        <f t="shared" si="73"/>
        <v>BXGY</v>
      </c>
    </row>
    <row r="74" spans="1:16" x14ac:dyDescent="0.25">
      <c r="A74" s="27" t="str">
        <f t="shared" ref="A74:C74" si="79">A73</f>
        <v>2025 MEI B1G2</v>
      </c>
      <c r="B74" s="38">
        <f t="shared" si="79"/>
        <v>46099</v>
      </c>
      <c r="C74" s="38">
        <f t="shared" si="79"/>
        <v>46113</v>
      </c>
      <c r="D74" s="27">
        <v>3272</v>
      </c>
      <c r="E74" s="27">
        <v>336</v>
      </c>
      <c r="F74" s="27">
        <v>4</v>
      </c>
      <c r="G74" s="28">
        <v>3</v>
      </c>
      <c r="H74" s="28">
        <v>81379</v>
      </c>
      <c r="I74" s="27" t="str">
        <f t="shared" si="70"/>
        <v>CHARACTER</v>
      </c>
      <c r="J74" s="28">
        <v>53660510</v>
      </c>
      <c r="K74" s="28" t="s">
        <v>3064</v>
      </c>
      <c r="L74" s="28" t="s">
        <v>3134</v>
      </c>
      <c r="M74" s="28">
        <v>229900</v>
      </c>
      <c r="N74" s="45" t="str">
        <f t="shared" si="71"/>
        <v>BXGY</v>
      </c>
      <c r="O74" s="45" t="str">
        <f t="shared" si="72"/>
        <v>B1G2</v>
      </c>
      <c r="P74" s="45" t="str">
        <f t="shared" si="73"/>
        <v>BXGY</v>
      </c>
    </row>
    <row r="75" spans="1:16" x14ac:dyDescent="0.25">
      <c r="A75" s="27" t="str">
        <f t="shared" ref="A75:C75" si="80">A74</f>
        <v>2025 MEI B1G2</v>
      </c>
      <c r="B75" s="38">
        <f t="shared" si="80"/>
        <v>46099</v>
      </c>
      <c r="C75" s="38">
        <f t="shared" si="80"/>
        <v>46113</v>
      </c>
      <c r="D75" s="27">
        <v>3272</v>
      </c>
      <c r="E75" s="27">
        <v>336</v>
      </c>
      <c r="F75" s="27">
        <v>4</v>
      </c>
      <c r="G75" s="28">
        <v>3</v>
      </c>
      <c r="H75" s="28">
        <v>81379</v>
      </c>
      <c r="I75" s="27" t="str">
        <f t="shared" si="70"/>
        <v>CHARACTER</v>
      </c>
      <c r="J75" s="28">
        <v>53660529</v>
      </c>
      <c r="K75" s="28" t="s">
        <v>3064</v>
      </c>
      <c r="L75" s="28" t="s">
        <v>3135</v>
      </c>
      <c r="M75" s="28">
        <v>229900</v>
      </c>
      <c r="N75" s="45" t="str">
        <f t="shared" si="71"/>
        <v>BXGY</v>
      </c>
      <c r="O75" s="45" t="str">
        <f t="shared" si="72"/>
        <v>B1G2</v>
      </c>
      <c r="P75" s="45" t="str">
        <f t="shared" si="73"/>
        <v>BXGY</v>
      </c>
    </row>
    <row r="76" spans="1:16" x14ac:dyDescent="0.25">
      <c r="A76" s="27" t="str">
        <f t="shared" ref="A76:C76" si="81">A75</f>
        <v>2025 MEI B1G2</v>
      </c>
      <c r="B76" s="38">
        <f t="shared" si="81"/>
        <v>46099</v>
      </c>
      <c r="C76" s="38">
        <f t="shared" si="81"/>
        <v>46113</v>
      </c>
      <c r="D76" s="27">
        <v>3272</v>
      </c>
      <c r="E76" s="27">
        <v>336</v>
      </c>
      <c r="F76" s="27">
        <v>4</v>
      </c>
      <c r="G76" s="28">
        <v>3</v>
      </c>
      <c r="H76" s="28">
        <v>81379</v>
      </c>
      <c r="I76" s="27" t="str">
        <f t="shared" si="70"/>
        <v>CHARACTER</v>
      </c>
      <c r="J76" s="28">
        <v>53660538</v>
      </c>
      <c r="K76" s="28" t="s">
        <v>3064</v>
      </c>
      <c r="L76" s="28" t="s">
        <v>3136</v>
      </c>
      <c r="M76" s="28">
        <v>229900</v>
      </c>
      <c r="N76" s="45" t="str">
        <f t="shared" si="71"/>
        <v>BXGY</v>
      </c>
      <c r="O76" s="45" t="str">
        <f t="shared" si="72"/>
        <v>B1G2</v>
      </c>
      <c r="P76" s="45" t="str">
        <f t="shared" si="73"/>
        <v>BXGY</v>
      </c>
    </row>
    <row r="77" spans="1:16" x14ac:dyDescent="0.25">
      <c r="A77" s="27" t="str">
        <f t="shared" ref="A77:C77" si="82">A76</f>
        <v>2025 MEI B1G2</v>
      </c>
      <c r="B77" s="38">
        <f t="shared" si="82"/>
        <v>46099</v>
      </c>
      <c r="C77" s="38">
        <f t="shared" si="82"/>
        <v>46113</v>
      </c>
      <c r="D77" s="27">
        <v>3272</v>
      </c>
      <c r="E77" s="27">
        <v>336</v>
      </c>
      <c r="F77" s="27">
        <v>4</v>
      </c>
      <c r="G77" s="28">
        <v>3</v>
      </c>
      <c r="H77" s="28">
        <v>81379</v>
      </c>
      <c r="I77" s="27" t="str">
        <f t="shared" si="70"/>
        <v>CHARACTER</v>
      </c>
      <c r="J77" s="28">
        <v>53660547</v>
      </c>
      <c r="K77" s="28" t="s">
        <v>3064</v>
      </c>
      <c r="L77" s="28" t="s">
        <v>3137</v>
      </c>
      <c r="M77" s="28">
        <v>229900</v>
      </c>
      <c r="N77" s="45" t="str">
        <f t="shared" si="71"/>
        <v>BXGY</v>
      </c>
      <c r="O77" s="45" t="str">
        <f t="shared" si="72"/>
        <v>B1G2</v>
      </c>
      <c r="P77" s="45" t="str">
        <f t="shared" si="73"/>
        <v>BXGY</v>
      </c>
    </row>
    <row r="78" spans="1:16" x14ac:dyDescent="0.25">
      <c r="A78" s="27" t="str">
        <f t="shared" ref="A78:C78" si="83">A77</f>
        <v>2025 MEI B1G2</v>
      </c>
      <c r="B78" s="38">
        <f t="shared" si="83"/>
        <v>46099</v>
      </c>
      <c r="C78" s="38">
        <f t="shared" si="83"/>
        <v>46113</v>
      </c>
      <c r="D78" s="27">
        <v>3272</v>
      </c>
      <c r="E78" s="27">
        <v>336</v>
      </c>
      <c r="F78" s="27">
        <v>4</v>
      </c>
      <c r="G78" s="28">
        <v>3</v>
      </c>
      <c r="H78" s="28">
        <v>81379</v>
      </c>
      <c r="I78" s="27" t="str">
        <f t="shared" si="70"/>
        <v>CHARACTER</v>
      </c>
      <c r="J78" s="28">
        <v>53660976</v>
      </c>
      <c r="K78" s="28" t="s">
        <v>3065</v>
      </c>
      <c r="L78" s="28" t="s">
        <v>3138</v>
      </c>
      <c r="M78" s="28">
        <v>299900</v>
      </c>
      <c r="N78" s="45" t="str">
        <f t="shared" si="71"/>
        <v>BXGY</v>
      </c>
      <c r="O78" s="45" t="str">
        <f t="shared" si="72"/>
        <v>B1G2</v>
      </c>
      <c r="P78" s="45" t="str">
        <f t="shared" si="73"/>
        <v>BXGY</v>
      </c>
    </row>
    <row r="79" spans="1:16" x14ac:dyDescent="0.25">
      <c r="A79" s="27" t="str">
        <f t="shared" ref="A79:C79" si="84">A78</f>
        <v>2025 MEI B1G2</v>
      </c>
      <c r="B79" s="38">
        <f t="shared" si="84"/>
        <v>46099</v>
      </c>
      <c r="C79" s="38">
        <f t="shared" si="84"/>
        <v>46113</v>
      </c>
      <c r="D79" s="27">
        <v>3272</v>
      </c>
      <c r="E79" s="27">
        <v>336</v>
      </c>
      <c r="F79" s="27">
        <v>4</v>
      </c>
      <c r="G79" s="28">
        <v>3</v>
      </c>
      <c r="H79" s="28">
        <v>81379</v>
      </c>
      <c r="I79" s="27" t="str">
        <f t="shared" si="70"/>
        <v>CHARACTER</v>
      </c>
      <c r="J79" s="28">
        <v>53660985</v>
      </c>
      <c r="K79" s="28" t="s">
        <v>3065</v>
      </c>
      <c r="L79" s="28" t="s">
        <v>3139</v>
      </c>
      <c r="M79" s="28">
        <v>299900</v>
      </c>
      <c r="N79" s="45" t="str">
        <f t="shared" si="71"/>
        <v>BXGY</v>
      </c>
      <c r="O79" s="45" t="str">
        <f t="shared" si="72"/>
        <v>B1G2</v>
      </c>
      <c r="P79" s="45" t="str">
        <f t="shared" si="73"/>
        <v>BXGY</v>
      </c>
    </row>
    <row r="80" spans="1:16" x14ac:dyDescent="0.25">
      <c r="A80" s="27" t="str">
        <f t="shared" ref="A80:C80" si="85">A79</f>
        <v>2025 MEI B1G2</v>
      </c>
      <c r="B80" s="38">
        <f t="shared" si="85"/>
        <v>46099</v>
      </c>
      <c r="C80" s="38">
        <f t="shared" si="85"/>
        <v>46113</v>
      </c>
      <c r="D80" s="27">
        <v>3272</v>
      </c>
      <c r="E80" s="27">
        <v>336</v>
      </c>
      <c r="F80" s="27">
        <v>4</v>
      </c>
      <c r="G80" s="28">
        <v>3</v>
      </c>
      <c r="H80" s="28">
        <v>81379</v>
      </c>
      <c r="I80" s="27" t="str">
        <f t="shared" si="70"/>
        <v>CHARACTER</v>
      </c>
      <c r="J80" s="28">
        <v>53660994</v>
      </c>
      <c r="K80" s="28" t="s">
        <v>3065</v>
      </c>
      <c r="L80" s="28" t="s">
        <v>3140</v>
      </c>
      <c r="M80" s="28">
        <v>299900</v>
      </c>
      <c r="N80" s="45" t="str">
        <f t="shared" si="71"/>
        <v>BXGY</v>
      </c>
      <c r="O80" s="45" t="str">
        <f t="shared" si="72"/>
        <v>B1G2</v>
      </c>
      <c r="P80" s="45" t="str">
        <f t="shared" si="73"/>
        <v>BXGY</v>
      </c>
    </row>
    <row r="81" spans="1:16" x14ac:dyDescent="0.25">
      <c r="A81" s="27" t="str">
        <f t="shared" ref="A81:C81" si="86">A80</f>
        <v>2025 MEI B1G2</v>
      </c>
      <c r="B81" s="38">
        <f t="shared" si="86"/>
        <v>46099</v>
      </c>
      <c r="C81" s="38">
        <f t="shared" si="86"/>
        <v>46113</v>
      </c>
      <c r="D81" s="27">
        <v>3272</v>
      </c>
      <c r="E81" s="27">
        <v>336</v>
      </c>
      <c r="F81" s="27">
        <v>4</v>
      </c>
      <c r="G81" s="28">
        <v>3</v>
      </c>
      <c r="H81" s="28">
        <v>81379</v>
      </c>
      <c r="I81" s="27" t="str">
        <f t="shared" si="70"/>
        <v>CHARACTER</v>
      </c>
      <c r="J81" s="28">
        <v>53661000</v>
      </c>
      <c r="K81" s="28" t="s">
        <v>3065</v>
      </c>
      <c r="L81" s="28" t="s">
        <v>3141</v>
      </c>
      <c r="M81" s="28">
        <v>299900</v>
      </c>
      <c r="N81" s="45" t="str">
        <f t="shared" si="71"/>
        <v>BXGY</v>
      </c>
      <c r="O81" s="45" t="str">
        <f t="shared" si="72"/>
        <v>B1G2</v>
      </c>
      <c r="P81" s="45" t="str">
        <f t="shared" si="73"/>
        <v>BXGY</v>
      </c>
    </row>
    <row r="82" spans="1:16" x14ac:dyDescent="0.25">
      <c r="A82" s="27" t="str">
        <f t="shared" ref="A82:C82" si="87">A81</f>
        <v>2025 MEI B1G2</v>
      </c>
      <c r="B82" s="38">
        <f t="shared" si="87"/>
        <v>46099</v>
      </c>
      <c r="C82" s="38">
        <f t="shared" si="87"/>
        <v>46113</v>
      </c>
      <c r="D82" s="27">
        <v>3272</v>
      </c>
      <c r="E82" s="27">
        <v>336</v>
      </c>
      <c r="F82" s="27">
        <v>4</v>
      </c>
      <c r="G82" s="28">
        <v>3</v>
      </c>
      <c r="H82" s="28">
        <v>81379</v>
      </c>
      <c r="I82" s="27" t="str">
        <f t="shared" si="70"/>
        <v>CHARACTER</v>
      </c>
      <c r="J82" s="28">
        <v>53661019</v>
      </c>
      <c r="K82" s="28" t="s">
        <v>3065</v>
      </c>
      <c r="L82" s="28" t="s">
        <v>3142</v>
      </c>
      <c r="M82" s="28">
        <v>299900</v>
      </c>
      <c r="N82" s="45" t="str">
        <f t="shared" si="71"/>
        <v>BXGY</v>
      </c>
      <c r="O82" s="45" t="str">
        <f t="shared" si="72"/>
        <v>B1G2</v>
      </c>
      <c r="P82" s="45" t="str">
        <f t="shared" si="73"/>
        <v>BXGY</v>
      </c>
    </row>
    <row r="83" spans="1:16" x14ac:dyDescent="0.25">
      <c r="A83" s="27" t="str">
        <f t="shared" ref="A83:C83" si="88">A82</f>
        <v>2025 MEI B1G2</v>
      </c>
      <c r="B83" s="38">
        <f t="shared" si="88"/>
        <v>46099</v>
      </c>
      <c r="C83" s="38">
        <f t="shared" si="88"/>
        <v>46113</v>
      </c>
      <c r="D83" s="27">
        <v>3272</v>
      </c>
      <c r="E83" s="27">
        <v>336</v>
      </c>
      <c r="F83" s="27">
        <v>4</v>
      </c>
      <c r="G83" s="28">
        <v>3</v>
      </c>
      <c r="H83" s="28">
        <v>81379</v>
      </c>
      <c r="I83" s="27" t="str">
        <f t="shared" si="70"/>
        <v>CHARACTER</v>
      </c>
      <c r="J83" s="28">
        <v>53661028</v>
      </c>
      <c r="K83" s="28" t="s">
        <v>3065</v>
      </c>
      <c r="L83" s="28" t="s">
        <v>3143</v>
      </c>
      <c r="M83" s="28">
        <v>299900</v>
      </c>
      <c r="N83" s="45" t="str">
        <f t="shared" si="71"/>
        <v>BXGY</v>
      </c>
      <c r="O83" s="45" t="str">
        <f t="shared" si="72"/>
        <v>B1G2</v>
      </c>
      <c r="P83" s="45" t="str">
        <f t="shared" si="73"/>
        <v>BXGY</v>
      </c>
    </row>
    <row r="84" spans="1:16" x14ac:dyDescent="0.25">
      <c r="A84" s="27" t="str">
        <f t="shared" ref="A84:C84" si="89">A83</f>
        <v>2025 MEI B1G2</v>
      </c>
      <c r="B84" s="38">
        <f t="shared" si="89"/>
        <v>46099</v>
      </c>
      <c r="C84" s="38">
        <f t="shared" si="89"/>
        <v>46113</v>
      </c>
      <c r="D84" s="27">
        <v>3272</v>
      </c>
      <c r="E84" s="27">
        <v>336</v>
      </c>
      <c r="F84" s="27">
        <v>4</v>
      </c>
      <c r="G84" s="28">
        <v>3</v>
      </c>
      <c r="H84" s="28">
        <v>81379</v>
      </c>
      <c r="I84" s="27" t="str">
        <f t="shared" si="70"/>
        <v>CHARACTER</v>
      </c>
      <c r="J84" s="28">
        <v>53661037</v>
      </c>
      <c r="K84" s="28" t="s">
        <v>3065</v>
      </c>
      <c r="L84" s="28" t="s">
        <v>3144</v>
      </c>
      <c r="M84" s="28">
        <v>299900</v>
      </c>
      <c r="N84" s="45" t="str">
        <f t="shared" si="71"/>
        <v>BXGY</v>
      </c>
      <c r="O84" s="45" t="str">
        <f t="shared" si="72"/>
        <v>B1G2</v>
      </c>
      <c r="P84" s="45" t="str">
        <f t="shared" si="73"/>
        <v>BXGY</v>
      </c>
    </row>
    <row r="85" spans="1:16" x14ac:dyDescent="0.25">
      <c r="A85" s="27" t="str">
        <f t="shared" ref="A85:C85" si="90">A84</f>
        <v>2025 MEI B1G2</v>
      </c>
      <c r="B85" s="38">
        <f t="shared" si="90"/>
        <v>46099</v>
      </c>
      <c r="C85" s="38">
        <f t="shared" si="90"/>
        <v>46113</v>
      </c>
      <c r="D85" s="27">
        <v>3272</v>
      </c>
      <c r="E85" s="27">
        <v>336</v>
      </c>
      <c r="F85" s="27">
        <v>4</v>
      </c>
      <c r="G85" s="28">
        <v>3</v>
      </c>
      <c r="H85" s="28">
        <v>81379</v>
      </c>
      <c r="I85" s="27" t="str">
        <f t="shared" si="70"/>
        <v>CHARACTER</v>
      </c>
      <c r="J85" s="28">
        <v>53661046</v>
      </c>
      <c r="K85" s="28" t="s">
        <v>3065</v>
      </c>
      <c r="L85" s="28" t="s">
        <v>3145</v>
      </c>
      <c r="M85" s="28">
        <v>299900</v>
      </c>
      <c r="N85" s="45" t="str">
        <f t="shared" si="71"/>
        <v>BXGY</v>
      </c>
      <c r="O85" s="45" t="str">
        <f t="shared" si="72"/>
        <v>B1G2</v>
      </c>
      <c r="P85" s="45" t="str">
        <f t="shared" si="73"/>
        <v>BXGY</v>
      </c>
    </row>
    <row r="86" spans="1:16" x14ac:dyDescent="0.25">
      <c r="A86" s="27" t="str">
        <f>A85</f>
        <v>2025 MEI B1G2</v>
      </c>
      <c r="B86" s="38">
        <f>B85</f>
        <v>46099</v>
      </c>
      <c r="C86" s="38">
        <f>C85</f>
        <v>46113</v>
      </c>
      <c r="D86" s="27">
        <v>3272</v>
      </c>
      <c r="E86" s="27">
        <v>336</v>
      </c>
      <c r="F86" s="27">
        <v>4</v>
      </c>
      <c r="G86" s="27">
        <v>4</v>
      </c>
      <c r="H86" s="27">
        <v>81379</v>
      </c>
      <c r="I86" s="27" t="s">
        <v>104</v>
      </c>
      <c r="J86" s="27">
        <v>53660636</v>
      </c>
      <c r="K86" s="28" t="s">
        <v>3066</v>
      </c>
      <c r="L86" s="28" t="s">
        <v>3146</v>
      </c>
      <c r="M86" s="44">
        <v>169900</v>
      </c>
      <c r="N86" s="45" t="s">
        <v>618</v>
      </c>
      <c r="O86" s="45" t="str">
        <f>O85</f>
        <v>B1G2</v>
      </c>
      <c r="P86" s="45" t="s">
        <v>618</v>
      </c>
    </row>
    <row r="87" spans="1:16" x14ac:dyDescent="0.25">
      <c r="A87" s="27" t="str">
        <f t="shared" ref="A87:C102" si="91">A86</f>
        <v>2025 MEI B1G2</v>
      </c>
      <c r="B87" s="38">
        <f t="shared" si="91"/>
        <v>46099</v>
      </c>
      <c r="C87" s="38">
        <f t="shared" si="91"/>
        <v>46113</v>
      </c>
      <c r="D87" s="27">
        <v>3272</v>
      </c>
      <c r="E87" s="27">
        <v>336</v>
      </c>
      <c r="F87" s="27">
        <v>4</v>
      </c>
      <c r="G87" s="27">
        <v>4</v>
      </c>
      <c r="H87" s="27">
        <v>81379</v>
      </c>
      <c r="I87" s="27" t="str">
        <f>I86</f>
        <v>CHARACTER</v>
      </c>
      <c r="J87" s="27">
        <v>53660645</v>
      </c>
      <c r="K87" s="28" t="s">
        <v>3066</v>
      </c>
      <c r="L87" s="28" t="s">
        <v>3147</v>
      </c>
      <c r="M87" s="44">
        <v>169900</v>
      </c>
      <c r="N87" s="45" t="s">
        <v>618</v>
      </c>
      <c r="O87" s="45" t="str">
        <f t="shared" ref="O87:O117" si="92">O86</f>
        <v>B1G2</v>
      </c>
      <c r="P87" s="45" t="s">
        <v>618</v>
      </c>
    </row>
    <row r="88" spans="1:16" x14ac:dyDescent="0.25">
      <c r="A88" s="27" t="str">
        <f t="shared" si="91"/>
        <v>2025 MEI B1G2</v>
      </c>
      <c r="B88" s="38">
        <f t="shared" si="91"/>
        <v>46099</v>
      </c>
      <c r="C88" s="38">
        <f t="shared" si="91"/>
        <v>46113</v>
      </c>
      <c r="D88" s="27">
        <v>3272</v>
      </c>
      <c r="E88" s="27">
        <v>336</v>
      </c>
      <c r="F88" s="27">
        <v>4</v>
      </c>
      <c r="G88" s="27">
        <v>4</v>
      </c>
      <c r="H88" s="27">
        <v>81379</v>
      </c>
      <c r="I88" s="27" t="str">
        <f t="shared" ref="I88:I117" si="93">I87</f>
        <v>CHARACTER</v>
      </c>
      <c r="J88" s="27">
        <v>53660654</v>
      </c>
      <c r="K88" s="28" t="s">
        <v>3066</v>
      </c>
      <c r="L88" s="28" t="s">
        <v>3148</v>
      </c>
      <c r="M88" s="44">
        <v>169900</v>
      </c>
      <c r="N88" s="45" t="s">
        <v>618</v>
      </c>
      <c r="O88" s="45" t="str">
        <f t="shared" si="92"/>
        <v>B1G2</v>
      </c>
      <c r="P88" s="45" t="s">
        <v>618</v>
      </c>
    </row>
    <row r="89" spans="1:16" x14ac:dyDescent="0.25">
      <c r="A89" s="27" t="str">
        <f t="shared" si="91"/>
        <v>2025 MEI B1G2</v>
      </c>
      <c r="B89" s="38">
        <f t="shared" si="91"/>
        <v>46099</v>
      </c>
      <c r="C89" s="38">
        <f t="shared" si="91"/>
        <v>46113</v>
      </c>
      <c r="D89" s="27">
        <v>3272</v>
      </c>
      <c r="E89" s="27">
        <v>336</v>
      </c>
      <c r="F89" s="27">
        <v>4</v>
      </c>
      <c r="G89" s="28">
        <v>4</v>
      </c>
      <c r="H89" s="28">
        <v>81379</v>
      </c>
      <c r="I89" s="27" t="str">
        <f t="shared" si="93"/>
        <v>CHARACTER</v>
      </c>
      <c r="J89" s="28">
        <v>53660663</v>
      </c>
      <c r="K89" s="28" t="s">
        <v>3066</v>
      </c>
      <c r="L89" s="28" t="s">
        <v>3149</v>
      </c>
      <c r="M89" s="28">
        <v>169900</v>
      </c>
      <c r="N89" s="45" t="s">
        <v>618</v>
      </c>
      <c r="O89" s="45" t="str">
        <f t="shared" si="92"/>
        <v>B1G2</v>
      </c>
      <c r="P89" s="45" t="s">
        <v>618</v>
      </c>
    </row>
    <row r="90" spans="1:16" x14ac:dyDescent="0.25">
      <c r="A90" s="27" t="str">
        <f t="shared" si="91"/>
        <v>2025 MEI B1G2</v>
      </c>
      <c r="B90" s="38">
        <f t="shared" si="91"/>
        <v>46099</v>
      </c>
      <c r="C90" s="38">
        <f t="shared" si="91"/>
        <v>46113</v>
      </c>
      <c r="D90" s="27">
        <v>3272</v>
      </c>
      <c r="E90" s="27">
        <v>336</v>
      </c>
      <c r="F90" s="27">
        <v>4</v>
      </c>
      <c r="G90" s="28">
        <v>4</v>
      </c>
      <c r="H90" s="28">
        <v>81379</v>
      </c>
      <c r="I90" s="27" t="str">
        <f t="shared" si="93"/>
        <v>CHARACTER</v>
      </c>
      <c r="J90" s="28">
        <v>53660672</v>
      </c>
      <c r="K90" s="28" t="s">
        <v>3066</v>
      </c>
      <c r="L90" s="28" t="s">
        <v>3150</v>
      </c>
      <c r="M90" s="28">
        <v>169900</v>
      </c>
      <c r="N90" s="45" t="s">
        <v>618</v>
      </c>
      <c r="O90" s="45" t="str">
        <f t="shared" si="92"/>
        <v>B1G2</v>
      </c>
      <c r="P90" s="45" t="s">
        <v>618</v>
      </c>
    </row>
    <row r="91" spans="1:16" x14ac:dyDescent="0.25">
      <c r="A91" s="27" t="str">
        <f t="shared" si="91"/>
        <v>2025 MEI B1G2</v>
      </c>
      <c r="B91" s="38">
        <f t="shared" si="91"/>
        <v>46099</v>
      </c>
      <c r="C91" s="38">
        <f t="shared" si="91"/>
        <v>46113</v>
      </c>
      <c r="D91" s="27">
        <v>3272</v>
      </c>
      <c r="E91" s="27">
        <v>336</v>
      </c>
      <c r="F91" s="27">
        <v>4</v>
      </c>
      <c r="G91" s="28">
        <v>4</v>
      </c>
      <c r="H91" s="28">
        <v>81379</v>
      </c>
      <c r="I91" s="27" t="str">
        <f t="shared" si="93"/>
        <v>CHARACTER</v>
      </c>
      <c r="J91" s="28">
        <v>53660681</v>
      </c>
      <c r="K91" s="28" t="s">
        <v>3066</v>
      </c>
      <c r="L91" s="28" t="s">
        <v>3151</v>
      </c>
      <c r="M91" s="28">
        <v>169900</v>
      </c>
      <c r="N91" s="45" t="s">
        <v>618</v>
      </c>
      <c r="O91" s="45" t="str">
        <f t="shared" si="92"/>
        <v>B1G2</v>
      </c>
      <c r="P91" s="45" t="s">
        <v>618</v>
      </c>
    </row>
    <row r="92" spans="1:16" x14ac:dyDescent="0.25">
      <c r="A92" s="27" t="str">
        <f t="shared" si="91"/>
        <v>2025 MEI B1G2</v>
      </c>
      <c r="B92" s="38">
        <f t="shared" si="91"/>
        <v>46099</v>
      </c>
      <c r="C92" s="38">
        <f t="shared" si="91"/>
        <v>46113</v>
      </c>
      <c r="D92" s="27">
        <v>3272</v>
      </c>
      <c r="E92" s="27">
        <v>336</v>
      </c>
      <c r="F92" s="27">
        <v>4</v>
      </c>
      <c r="G92" s="28">
        <v>4</v>
      </c>
      <c r="H92" s="28">
        <v>81379</v>
      </c>
      <c r="I92" s="27" t="str">
        <f t="shared" si="93"/>
        <v>CHARACTER</v>
      </c>
      <c r="J92" s="28">
        <v>53660690</v>
      </c>
      <c r="K92" s="28" t="s">
        <v>3066</v>
      </c>
      <c r="L92" s="28" t="s">
        <v>3152</v>
      </c>
      <c r="M92" s="28">
        <v>169900</v>
      </c>
      <c r="N92" s="45" t="s">
        <v>618</v>
      </c>
      <c r="O92" s="45" t="str">
        <f t="shared" si="92"/>
        <v>B1G2</v>
      </c>
      <c r="P92" s="45" t="s">
        <v>618</v>
      </c>
    </row>
    <row r="93" spans="1:16" x14ac:dyDescent="0.25">
      <c r="A93" s="27" t="str">
        <f t="shared" si="91"/>
        <v>2025 MEI B1G2</v>
      </c>
      <c r="B93" s="38">
        <f t="shared" si="91"/>
        <v>46099</v>
      </c>
      <c r="C93" s="38">
        <f t="shared" si="91"/>
        <v>46113</v>
      </c>
      <c r="D93" s="27">
        <v>3272</v>
      </c>
      <c r="E93" s="27">
        <v>336</v>
      </c>
      <c r="F93" s="27">
        <v>4</v>
      </c>
      <c r="G93" s="28">
        <v>4</v>
      </c>
      <c r="H93" s="28">
        <v>81379</v>
      </c>
      <c r="I93" s="27" t="str">
        <f t="shared" si="93"/>
        <v>CHARACTER</v>
      </c>
      <c r="J93" s="28">
        <v>53660707</v>
      </c>
      <c r="K93" s="28" t="s">
        <v>3066</v>
      </c>
      <c r="L93" s="28" t="s">
        <v>3153</v>
      </c>
      <c r="M93" s="28">
        <v>169900</v>
      </c>
      <c r="N93" s="45" t="s">
        <v>618</v>
      </c>
      <c r="O93" s="45" t="str">
        <f t="shared" si="92"/>
        <v>B1G2</v>
      </c>
      <c r="P93" s="45" t="s">
        <v>618</v>
      </c>
    </row>
    <row r="94" spans="1:16" x14ac:dyDescent="0.25">
      <c r="A94" s="27" t="str">
        <f t="shared" si="91"/>
        <v>2025 MEI B1G2</v>
      </c>
      <c r="B94" s="38">
        <f t="shared" si="91"/>
        <v>46099</v>
      </c>
      <c r="C94" s="38">
        <f t="shared" si="91"/>
        <v>46113</v>
      </c>
      <c r="D94" s="27">
        <v>3272</v>
      </c>
      <c r="E94" s="27">
        <v>336</v>
      </c>
      <c r="F94" s="27">
        <v>4</v>
      </c>
      <c r="G94" s="28">
        <v>4</v>
      </c>
      <c r="H94" s="28">
        <v>81379</v>
      </c>
      <c r="I94" s="27" t="str">
        <f t="shared" si="93"/>
        <v>CHARACTER</v>
      </c>
      <c r="J94" s="28">
        <v>53661055</v>
      </c>
      <c r="K94" s="28" t="s">
        <v>3067</v>
      </c>
      <c r="L94" s="28" t="s">
        <v>3154</v>
      </c>
      <c r="M94" s="28">
        <v>169900</v>
      </c>
      <c r="N94" s="45" t="s">
        <v>618</v>
      </c>
      <c r="O94" s="45" t="str">
        <f t="shared" si="92"/>
        <v>B1G2</v>
      </c>
      <c r="P94" s="45" t="s">
        <v>618</v>
      </c>
    </row>
    <row r="95" spans="1:16" x14ac:dyDescent="0.25">
      <c r="A95" s="27" t="str">
        <f t="shared" si="91"/>
        <v>2025 MEI B1G2</v>
      </c>
      <c r="B95" s="38">
        <f t="shared" si="91"/>
        <v>46099</v>
      </c>
      <c r="C95" s="38">
        <f t="shared" si="91"/>
        <v>46113</v>
      </c>
      <c r="D95" s="27">
        <v>3272</v>
      </c>
      <c r="E95" s="27">
        <v>336</v>
      </c>
      <c r="F95" s="27">
        <v>4</v>
      </c>
      <c r="G95" s="28">
        <v>4</v>
      </c>
      <c r="H95" s="28">
        <v>81379</v>
      </c>
      <c r="I95" s="27" t="str">
        <f t="shared" si="93"/>
        <v>CHARACTER</v>
      </c>
      <c r="J95" s="28">
        <v>53661064</v>
      </c>
      <c r="K95" s="28" t="s">
        <v>3067</v>
      </c>
      <c r="L95" s="28" t="s">
        <v>3155</v>
      </c>
      <c r="M95" s="28">
        <v>169900</v>
      </c>
      <c r="N95" s="45" t="s">
        <v>618</v>
      </c>
      <c r="O95" s="45" t="str">
        <f t="shared" si="92"/>
        <v>B1G2</v>
      </c>
      <c r="P95" s="45" t="s">
        <v>618</v>
      </c>
    </row>
    <row r="96" spans="1:16" x14ac:dyDescent="0.25">
      <c r="A96" s="27" t="str">
        <f t="shared" si="91"/>
        <v>2025 MEI B1G2</v>
      </c>
      <c r="B96" s="38">
        <f t="shared" si="91"/>
        <v>46099</v>
      </c>
      <c r="C96" s="38">
        <f t="shared" si="91"/>
        <v>46113</v>
      </c>
      <c r="D96" s="27">
        <v>3272</v>
      </c>
      <c r="E96" s="27">
        <v>336</v>
      </c>
      <c r="F96" s="27">
        <v>4</v>
      </c>
      <c r="G96" s="28">
        <v>4</v>
      </c>
      <c r="H96" s="28">
        <v>81379</v>
      </c>
      <c r="I96" s="27" t="str">
        <f t="shared" si="93"/>
        <v>CHARACTER</v>
      </c>
      <c r="J96" s="28">
        <v>53661073</v>
      </c>
      <c r="K96" s="28" t="s">
        <v>3067</v>
      </c>
      <c r="L96" s="28" t="s">
        <v>3156</v>
      </c>
      <c r="M96" s="28">
        <v>169900</v>
      </c>
      <c r="N96" s="45" t="s">
        <v>618</v>
      </c>
      <c r="O96" s="45" t="str">
        <f t="shared" si="92"/>
        <v>B1G2</v>
      </c>
      <c r="P96" s="45" t="s">
        <v>618</v>
      </c>
    </row>
    <row r="97" spans="1:16" x14ac:dyDescent="0.25">
      <c r="A97" s="27" t="str">
        <f t="shared" si="91"/>
        <v>2025 MEI B1G2</v>
      </c>
      <c r="B97" s="38">
        <f t="shared" si="91"/>
        <v>46099</v>
      </c>
      <c r="C97" s="38">
        <f t="shared" si="91"/>
        <v>46113</v>
      </c>
      <c r="D97" s="27">
        <v>3272</v>
      </c>
      <c r="E97" s="27">
        <v>336</v>
      </c>
      <c r="F97" s="27">
        <v>4</v>
      </c>
      <c r="G97" s="28">
        <v>4</v>
      </c>
      <c r="H97" s="28">
        <v>81379</v>
      </c>
      <c r="I97" s="27" t="str">
        <f t="shared" si="93"/>
        <v>CHARACTER</v>
      </c>
      <c r="J97" s="28">
        <v>53661082</v>
      </c>
      <c r="K97" s="28" t="s">
        <v>3067</v>
      </c>
      <c r="L97" s="28" t="s">
        <v>3157</v>
      </c>
      <c r="M97" s="28">
        <v>169900</v>
      </c>
      <c r="N97" s="45" t="s">
        <v>618</v>
      </c>
      <c r="O97" s="45" t="str">
        <f t="shared" si="92"/>
        <v>B1G2</v>
      </c>
      <c r="P97" s="45" t="s">
        <v>618</v>
      </c>
    </row>
    <row r="98" spans="1:16" x14ac:dyDescent="0.25">
      <c r="A98" s="27" t="str">
        <f t="shared" si="91"/>
        <v>2025 MEI B1G2</v>
      </c>
      <c r="B98" s="38">
        <f t="shared" si="91"/>
        <v>46099</v>
      </c>
      <c r="C98" s="38">
        <f t="shared" si="91"/>
        <v>46113</v>
      </c>
      <c r="D98" s="27">
        <v>3272</v>
      </c>
      <c r="E98" s="27">
        <v>336</v>
      </c>
      <c r="F98" s="27">
        <v>4</v>
      </c>
      <c r="G98" s="28">
        <v>4</v>
      </c>
      <c r="H98" s="28">
        <v>81379</v>
      </c>
      <c r="I98" s="27" t="str">
        <f t="shared" si="93"/>
        <v>CHARACTER</v>
      </c>
      <c r="J98" s="28">
        <v>53661091</v>
      </c>
      <c r="K98" s="28" t="s">
        <v>3067</v>
      </c>
      <c r="L98" s="28" t="s">
        <v>3158</v>
      </c>
      <c r="M98" s="28">
        <v>169900</v>
      </c>
      <c r="N98" s="45" t="s">
        <v>618</v>
      </c>
      <c r="O98" s="45" t="str">
        <f t="shared" si="92"/>
        <v>B1G2</v>
      </c>
      <c r="P98" s="45" t="s">
        <v>618</v>
      </c>
    </row>
    <row r="99" spans="1:16" x14ac:dyDescent="0.25">
      <c r="A99" s="27" t="str">
        <f t="shared" si="91"/>
        <v>2025 MEI B1G2</v>
      </c>
      <c r="B99" s="38">
        <f t="shared" si="91"/>
        <v>46099</v>
      </c>
      <c r="C99" s="38">
        <f t="shared" si="91"/>
        <v>46113</v>
      </c>
      <c r="D99" s="27">
        <v>3272</v>
      </c>
      <c r="E99" s="27">
        <v>336</v>
      </c>
      <c r="F99" s="27">
        <v>4</v>
      </c>
      <c r="G99" s="28">
        <v>4</v>
      </c>
      <c r="H99" s="28">
        <v>81379</v>
      </c>
      <c r="I99" s="27" t="str">
        <f t="shared" si="93"/>
        <v>CHARACTER</v>
      </c>
      <c r="J99" s="28">
        <v>53661108</v>
      </c>
      <c r="K99" s="28" t="s">
        <v>3067</v>
      </c>
      <c r="L99" s="28" t="s">
        <v>3159</v>
      </c>
      <c r="M99" s="28">
        <v>169900</v>
      </c>
      <c r="N99" s="45" t="s">
        <v>618</v>
      </c>
      <c r="O99" s="45" t="str">
        <f t="shared" si="92"/>
        <v>B1G2</v>
      </c>
      <c r="P99" s="45" t="s">
        <v>618</v>
      </c>
    </row>
    <row r="100" spans="1:16" x14ac:dyDescent="0.25">
      <c r="A100" s="27" t="str">
        <f t="shared" si="91"/>
        <v>2025 MEI B1G2</v>
      </c>
      <c r="B100" s="38">
        <f t="shared" si="91"/>
        <v>46099</v>
      </c>
      <c r="C100" s="38">
        <f t="shared" si="91"/>
        <v>46113</v>
      </c>
      <c r="D100" s="27">
        <v>3272</v>
      </c>
      <c r="E100" s="27">
        <v>336</v>
      </c>
      <c r="F100" s="27">
        <v>4</v>
      </c>
      <c r="G100" s="28">
        <v>4</v>
      </c>
      <c r="H100" s="28">
        <v>81379</v>
      </c>
      <c r="I100" s="27" t="str">
        <f t="shared" si="93"/>
        <v>CHARACTER</v>
      </c>
      <c r="J100" s="28">
        <v>53661117</v>
      </c>
      <c r="K100" s="28" t="s">
        <v>3067</v>
      </c>
      <c r="L100" s="28" t="s">
        <v>3160</v>
      </c>
      <c r="M100" s="28">
        <v>169900</v>
      </c>
      <c r="N100" s="45" t="s">
        <v>618</v>
      </c>
      <c r="O100" s="45" t="str">
        <f t="shared" si="92"/>
        <v>B1G2</v>
      </c>
      <c r="P100" s="45" t="s">
        <v>618</v>
      </c>
    </row>
    <row r="101" spans="1:16" x14ac:dyDescent="0.25">
      <c r="A101" s="27" t="str">
        <f t="shared" si="91"/>
        <v>2025 MEI B1G2</v>
      </c>
      <c r="B101" s="38">
        <f t="shared" si="91"/>
        <v>46099</v>
      </c>
      <c r="C101" s="38">
        <f t="shared" si="91"/>
        <v>46113</v>
      </c>
      <c r="D101" s="27">
        <v>3272</v>
      </c>
      <c r="E101" s="27">
        <v>336</v>
      </c>
      <c r="F101" s="27">
        <v>4</v>
      </c>
      <c r="G101" s="28">
        <v>4</v>
      </c>
      <c r="H101" s="28">
        <v>81379</v>
      </c>
      <c r="I101" s="27" t="str">
        <f t="shared" si="93"/>
        <v>CHARACTER</v>
      </c>
      <c r="J101" s="28">
        <v>53661126</v>
      </c>
      <c r="K101" s="28" t="s">
        <v>3067</v>
      </c>
      <c r="L101" s="28" t="s">
        <v>3161</v>
      </c>
      <c r="M101" s="28">
        <v>169900</v>
      </c>
      <c r="N101" s="45" t="s">
        <v>618</v>
      </c>
      <c r="O101" s="45" t="str">
        <f t="shared" si="92"/>
        <v>B1G2</v>
      </c>
      <c r="P101" s="45" t="s">
        <v>618</v>
      </c>
    </row>
    <row r="102" spans="1:16" x14ac:dyDescent="0.25">
      <c r="A102" s="27" t="str">
        <f t="shared" si="91"/>
        <v>2025 MEI B1G2</v>
      </c>
      <c r="B102" s="38">
        <f t="shared" si="91"/>
        <v>46099</v>
      </c>
      <c r="C102" s="38">
        <f t="shared" si="91"/>
        <v>46113</v>
      </c>
      <c r="D102" s="27">
        <v>3272</v>
      </c>
      <c r="E102" s="27">
        <v>336</v>
      </c>
      <c r="F102" s="27">
        <v>4</v>
      </c>
      <c r="G102" s="28">
        <v>5</v>
      </c>
      <c r="H102" s="28">
        <v>81379</v>
      </c>
      <c r="I102" s="27" t="str">
        <f t="shared" si="93"/>
        <v>CHARACTER</v>
      </c>
      <c r="J102" s="28">
        <v>53660556</v>
      </c>
      <c r="K102" s="28" t="s">
        <v>3068</v>
      </c>
      <c r="L102" s="28" t="s">
        <v>3162</v>
      </c>
      <c r="M102" s="28">
        <v>249900</v>
      </c>
      <c r="N102" s="45" t="s">
        <v>618</v>
      </c>
      <c r="O102" s="45" t="str">
        <f t="shared" si="92"/>
        <v>B1G2</v>
      </c>
      <c r="P102" s="45" t="s">
        <v>618</v>
      </c>
    </row>
    <row r="103" spans="1:16" x14ac:dyDescent="0.25">
      <c r="A103" s="27" t="str">
        <f t="shared" ref="A103:C117" si="94">A102</f>
        <v>2025 MEI B1G2</v>
      </c>
      <c r="B103" s="38">
        <f t="shared" si="94"/>
        <v>46099</v>
      </c>
      <c r="C103" s="38">
        <f t="shared" si="94"/>
        <v>46113</v>
      </c>
      <c r="D103" s="27">
        <v>3272</v>
      </c>
      <c r="E103" s="27">
        <v>336</v>
      </c>
      <c r="F103" s="27">
        <v>4</v>
      </c>
      <c r="G103" s="28">
        <v>5</v>
      </c>
      <c r="H103" s="28">
        <v>81379</v>
      </c>
      <c r="I103" s="27" t="str">
        <f t="shared" si="93"/>
        <v>CHARACTER</v>
      </c>
      <c r="J103" s="28">
        <v>53660565</v>
      </c>
      <c r="K103" s="28" t="s">
        <v>3068</v>
      </c>
      <c r="L103" s="28" t="s">
        <v>3163</v>
      </c>
      <c r="M103" s="28">
        <v>249900</v>
      </c>
      <c r="N103" s="45" t="s">
        <v>618</v>
      </c>
      <c r="O103" s="45" t="str">
        <f t="shared" si="92"/>
        <v>B1G2</v>
      </c>
      <c r="P103" s="45" t="s">
        <v>618</v>
      </c>
    </row>
    <row r="104" spans="1:16" x14ac:dyDescent="0.25">
      <c r="A104" s="27" t="str">
        <f t="shared" si="94"/>
        <v>2025 MEI B1G2</v>
      </c>
      <c r="B104" s="38">
        <f t="shared" si="94"/>
        <v>46099</v>
      </c>
      <c r="C104" s="38">
        <f t="shared" si="94"/>
        <v>46113</v>
      </c>
      <c r="D104" s="27">
        <v>3272</v>
      </c>
      <c r="E104" s="27">
        <v>336</v>
      </c>
      <c r="F104" s="27">
        <v>4</v>
      </c>
      <c r="G104" s="28">
        <v>5</v>
      </c>
      <c r="H104" s="28">
        <v>81379</v>
      </c>
      <c r="I104" s="27" t="str">
        <f t="shared" si="93"/>
        <v>CHARACTER</v>
      </c>
      <c r="J104" s="28">
        <v>53660574</v>
      </c>
      <c r="K104" s="28" t="s">
        <v>3068</v>
      </c>
      <c r="L104" s="28" t="s">
        <v>3164</v>
      </c>
      <c r="M104" s="28">
        <v>249900</v>
      </c>
      <c r="N104" s="45" t="s">
        <v>618</v>
      </c>
      <c r="O104" s="45" t="str">
        <f t="shared" si="92"/>
        <v>B1G2</v>
      </c>
      <c r="P104" s="45" t="s">
        <v>618</v>
      </c>
    </row>
    <row r="105" spans="1:16" x14ac:dyDescent="0.25">
      <c r="A105" s="27" t="str">
        <f t="shared" si="94"/>
        <v>2025 MEI B1G2</v>
      </c>
      <c r="B105" s="38">
        <f t="shared" si="94"/>
        <v>46099</v>
      </c>
      <c r="C105" s="38">
        <f t="shared" si="94"/>
        <v>46113</v>
      </c>
      <c r="D105" s="27">
        <v>3272</v>
      </c>
      <c r="E105" s="27">
        <v>336</v>
      </c>
      <c r="F105" s="27">
        <v>4</v>
      </c>
      <c r="G105" s="28">
        <v>5</v>
      </c>
      <c r="H105" s="28">
        <v>81379</v>
      </c>
      <c r="I105" s="27" t="str">
        <f t="shared" si="93"/>
        <v>CHARACTER</v>
      </c>
      <c r="J105" s="28">
        <v>53660583</v>
      </c>
      <c r="K105" s="28" t="s">
        <v>3068</v>
      </c>
      <c r="L105" s="28" t="s">
        <v>3165</v>
      </c>
      <c r="M105" s="28">
        <v>249900</v>
      </c>
      <c r="N105" s="45" t="s">
        <v>618</v>
      </c>
      <c r="O105" s="45" t="str">
        <f t="shared" si="92"/>
        <v>B1G2</v>
      </c>
      <c r="P105" s="45" t="s">
        <v>618</v>
      </c>
    </row>
    <row r="106" spans="1:16" x14ac:dyDescent="0.25">
      <c r="A106" s="27" t="str">
        <f t="shared" si="94"/>
        <v>2025 MEI B1G2</v>
      </c>
      <c r="B106" s="38">
        <f t="shared" si="94"/>
        <v>46099</v>
      </c>
      <c r="C106" s="38">
        <f t="shared" si="94"/>
        <v>46113</v>
      </c>
      <c r="D106" s="27">
        <v>3272</v>
      </c>
      <c r="E106" s="27">
        <v>336</v>
      </c>
      <c r="F106" s="27">
        <v>4</v>
      </c>
      <c r="G106" s="28">
        <v>5</v>
      </c>
      <c r="H106" s="28">
        <v>81379</v>
      </c>
      <c r="I106" s="27" t="str">
        <f t="shared" si="93"/>
        <v>CHARACTER</v>
      </c>
      <c r="J106" s="28">
        <v>53660592</v>
      </c>
      <c r="K106" s="28" t="s">
        <v>3068</v>
      </c>
      <c r="L106" s="28" t="s">
        <v>3166</v>
      </c>
      <c r="M106" s="28">
        <v>249900</v>
      </c>
      <c r="N106" s="45" t="s">
        <v>618</v>
      </c>
      <c r="O106" s="45" t="str">
        <f t="shared" si="92"/>
        <v>B1G2</v>
      </c>
      <c r="P106" s="45" t="s">
        <v>618</v>
      </c>
    </row>
    <row r="107" spans="1:16" x14ac:dyDescent="0.25">
      <c r="A107" s="27" t="str">
        <f t="shared" si="94"/>
        <v>2025 MEI B1G2</v>
      </c>
      <c r="B107" s="38">
        <f t="shared" si="94"/>
        <v>46099</v>
      </c>
      <c r="C107" s="38">
        <f t="shared" si="94"/>
        <v>46113</v>
      </c>
      <c r="D107" s="27">
        <v>3272</v>
      </c>
      <c r="E107" s="27">
        <v>336</v>
      </c>
      <c r="F107" s="27">
        <v>4</v>
      </c>
      <c r="G107" s="28">
        <v>5</v>
      </c>
      <c r="H107" s="28">
        <v>81379</v>
      </c>
      <c r="I107" s="27" t="str">
        <f t="shared" si="93"/>
        <v>CHARACTER</v>
      </c>
      <c r="J107" s="28">
        <v>53660609</v>
      </c>
      <c r="K107" s="28" t="s">
        <v>3068</v>
      </c>
      <c r="L107" s="28" t="s">
        <v>3167</v>
      </c>
      <c r="M107" s="28">
        <v>249900</v>
      </c>
      <c r="N107" s="45" t="s">
        <v>618</v>
      </c>
      <c r="O107" s="45" t="str">
        <f t="shared" si="92"/>
        <v>B1G2</v>
      </c>
      <c r="P107" s="45" t="s">
        <v>618</v>
      </c>
    </row>
    <row r="108" spans="1:16" x14ac:dyDescent="0.25">
      <c r="A108" s="27" t="str">
        <f t="shared" si="94"/>
        <v>2025 MEI B1G2</v>
      </c>
      <c r="B108" s="38">
        <f t="shared" si="94"/>
        <v>46099</v>
      </c>
      <c r="C108" s="38">
        <f t="shared" si="94"/>
        <v>46113</v>
      </c>
      <c r="D108" s="27">
        <v>3272</v>
      </c>
      <c r="E108" s="27">
        <v>336</v>
      </c>
      <c r="F108" s="27">
        <v>4</v>
      </c>
      <c r="G108" s="28">
        <v>5</v>
      </c>
      <c r="H108" s="28">
        <v>81379</v>
      </c>
      <c r="I108" s="27" t="str">
        <f t="shared" si="93"/>
        <v>CHARACTER</v>
      </c>
      <c r="J108" s="28">
        <v>53660618</v>
      </c>
      <c r="K108" s="28" t="s">
        <v>3068</v>
      </c>
      <c r="L108" s="28" t="s">
        <v>3168</v>
      </c>
      <c r="M108" s="28">
        <v>249900</v>
      </c>
      <c r="N108" s="45" t="s">
        <v>618</v>
      </c>
      <c r="O108" s="45" t="str">
        <f t="shared" si="92"/>
        <v>B1G2</v>
      </c>
      <c r="P108" s="45" t="s">
        <v>618</v>
      </c>
    </row>
    <row r="109" spans="1:16" x14ac:dyDescent="0.25">
      <c r="A109" s="27" t="str">
        <f t="shared" si="94"/>
        <v>2025 MEI B1G2</v>
      </c>
      <c r="B109" s="38">
        <f t="shared" si="94"/>
        <v>46099</v>
      </c>
      <c r="C109" s="38">
        <f t="shared" si="94"/>
        <v>46113</v>
      </c>
      <c r="D109" s="27">
        <v>3272</v>
      </c>
      <c r="E109" s="27">
        <v>336</v>
      </c>
      <c r="F109" s="27">
        <v>4</v>
      </c>
      <c r="G109" s="28">
        <v>5</v>
      </c>
      <c r="H109" s="28">
        <v>81379</v>
      </c>
      <c r="I109" s="27" t="str">
        <f t="shared" si="93"/>
        <v>CHARACTER</v>
      </c>
      <c r="J109" s="28">
        <v>53660627</v>
      </c>
      <c r="K109" s="28" t="s">
        <v>3068</v>
      </c>
      <c r="L109" s="28" t="s">
        <v>3169</v>
      </c>
      <c r="M109" s="28">
        <v>249900</v>
      </c>
      <c r="N109" s="45" t="s">
        <v>618</v>
      </c>
      <c r="O109" s="45" t="str">
        <f t="shared" si="92"/>
        <v>B1G2</v>
      </c>
      <c r="P109" s="45" t="s">
        <v>618</v>
      </c>
    </row>
    <row r="110" spans="1:16" x14ac:dyDescent="0.25">
      <c r="A110" s="27" t="str">
        <f t="shared" si="94"/>
        <v>2025 MEI B1G2</v>
      </c>
      <c r="B110" s="38">
        <f t="shared" si="94"/>
        <v>46099</v>
      </c>
      <c r="C110" s="38">
        <f t="shared" si="94"/>
        <v>46113</v>
      </c>
      <c r="D110" s="27">
        <v>3272</v>
      </c>
      <c r="E110" s="27">
        <v>336</v>
      </c>
      <c r="F110" s="27">
        <v>4</v>
      </c>
      <c r="G110" s="28">
        <v>5</v>
      </c>
      <c r="H110" s="28">
        <v>81379</v>
      </c>
      <c r="I110" s="27" t="str">
        <f t="shared" si="93"/>
        <v>CHARACTER</v>
      </c>
      <c r="J110" s="28">
        <v>53661135</v>
      </c>
      <c r="K110" s="28" t="s">
        <v>3069</v>
      </c>
      <c r="L110" s="28" t="s">
        <v>3170</v>
      </c>
      <c r="M110" s="28">
        <v>249900</v>
      </c>
      <c r="N110" s="45" t="s">
        <v>618</v>
      </c>
      <c r="O110" s="45" t="str">
        <f t="shared" si="92"/>
        <v>B1G2</v>
      </c>
      <c r="P110" s="45" t="s">
        <v>618</v>
      </c>
    </row>
    <row r="111" spans="1:16" x14ac:dyDescent="0.25">
      <c r="A111" s="27" t="str">
        <f t="shared" si="94"/>
        <v>2025 MEI B1G2</v>
      </c>
      <c r="B111" s="38">
        <f t="shared" si="94"/>
        <v>46099</v>
      </c>
      <c r="C111" s="38">
        <f t="shared" si="94"/>
        <v>46113</v>
      </c>
      <c r="D111" s="27">
        <v>3272</v>
      </c>
      <c r="E111" s="27">
        <v>336</v>
      </c>
      <c r="F111" s="27">
        <v>4</v>
      </c>
      <c r="G111" s="28">
        <v>5</v>
      </c>
      <c r="H111" s="28">
        <v>81379</v>
      </c>
      <c r="I111" s="27" t="str">
        <f t="shared" si="93"/>
        <v>CHARACTER</v>
      </c>
      <c r="J111" s="28">
        <v>53661144</v>
      </c>
      <c r="K111" s="28" t="s">
        <v>3069</v>
      </c>
      <c r="L111" s="28" t="s">
        <v>3171</v>
      </c>
      <c r="M111" s="28">
        <v>249900</v>
      </c>
      <c r="N111" s="45" t="s">
        <v>618</v>
      </c>
      <c r="O111" s="45" t="str">
        <f t="shared" si="92"/>
        <v>B1G2</v>
      </c>
      <c r="P111" s="45" t="s">
        <v>618</v>
      </c>
    </row>
    <row r="112" spans="1:16" x14ac:dyDescent="0.25">
      <c r="A112" s="27" t="str">
        <f t="shared" si="94"/>
        <v>2025 MEI B1G2</v>
      </c>
      <c r="B112" s="38">
        <f t="shared" si="94"/>
        <v>46099</v>
      </c>
      <c r="C112" s="38">
        <f t="shared" si="94"/>
        <v>46113</v>
      </c>
      <c r="D112" s="27">
        <v>3272</v>
      </c>
      <c r="E112" s="27">
        <v>336</v>
      </c>
      <c r="F112" s="27">
        <v>4</v>
      </c>
      <c r="G112" s="28">
        <v>5</v>
      </c>
      <c r="H112" s="28">
        <v>81379</v>
      </c>
      <c r="I112" s="27" t="str">
        <f t="shared" si="93"/>
        <v>CHARACTER</v>
      </c>
      <c r="J112" s="28">
        <v>53661153</v>
      </c>
      <c r="K112" s="28" t="s">
        <v>3069</v>
      </c>
      <c r="L112" s="28" t="s">
        <v>3172</v>
      </c>
      <c r="M112" s="28">
        <v>249900</v>
      </c>
      <c r="N112" s="45" t="s">
        <v>618</v>
      </c>
      <c r="O112" s="45" t="str">
        <f t="shared" si="92"/>
        <v>B1G2</v>
      </c>
      <c r="P112" s="45" t="s">
        <v>618</v>
      </c>
    </row>
    <row r="113" spans="1:16" x14ac:dyDescent="0.25">
      <c r="A113" s="27" t="str">
        <f t="shared" si="94"/>
        <v>2025 MEI B1G2</v>
      </c>
      <c r="B113" s="38">
        <f t="shared" si="94"/>
        <v>46099</v>
      </c>
      <c r="C113" s="38">
        <f t="shared" si="94"/>
        <v>46113</v>
      </c>
      <c r="D113" s="27">
        <v>3272</v>
      </c>
      <c r="E113" s="27">
        <v>336</v>
      </c>
      <c r="F113" s="27">
        <v>4</v>
      </c>
      <c r="G113" s="28">
        <v>5</v>
      </c>
      <c r="H113" s="28">
        <v>81379</v>
      </c>
      <c r="I113" s="27" t="str">
        <f t="shared" si="93"/>
        <v>CHARACTER</v>
      </c>
      <c r="J113" s="28">
        <v>53661162</v>
      </c>
      <c r="K113" s="28" t="s">
        <v>3069</v>
      </c>
      <c r="L113" s="28" t="s">
        <v>3173</v>
      </c>
      <c r="M113" s="28">
        <v>249900</v>
      </c>
      <c r="N113" s="45" t="s">
        <v>618</v>
      </c>
      <c r="O113" s="45" t="str">
        <f t="shared" si="92"/>
        <v>B1G2</v>
      </c>
      <c r="P113" s="45" t="s">
        <v>618</v>
      </c>
    </row>
    <row r="114" spans="1:16" x14ac:dyDescent="0.25">
      <c r="A114" s="27" t="str">
        <f t="shared" si="94"/>
        <v>2025 MEI B1G2</v>
      </c>
      <c r="B114" s="38">
        <f t="shared" si="94"/>
        <v>46099</v>
      </c>
      <c r="C114" s="38">
        <f t="shared" si="94"/>
        <v>46113</v>
      </c>
      <c r="D114" s="27">
        <v>3272</v>
      </c>
      <c r="E114" s="27">
        <v>336</v>
      </c>
      <c r="F114" s="27">
        <v>4</v>
      </c>
      <c r="G114" s="28">
        <v>5</v>
      </c>
      <c r="H114" s="28">
        <v>81379</v>
      </c>
      <c r="I114" s="27" t="str">
        <f t="shared" si="93"/>
        <v>CHARACTER</v>
      </c>
      <c r="J114" s="28">
        <v>53661171</v>
      </c>
      <c r="K114" s="28" t="s">
        <v>3069</v>
      </c>
      <c r="L114" s="28" t="s">
        <v>3174</v>
      </c>
      <c r="M114" s="28">
        <v>249900</v>
      </c>
      <c r="N114" s="45" t="s">
        <v>618</v>
      </c>
      <c r="O114" s="45" t="str">
        <f t="shared" si="92"/>
        <v>B1G2</v>
      </c>
      <c r="P114" s="45" t="s">
        <v>618</v>
      </c>
    </row>
    <row r="115" spans="1:16" x14ac:dyDescent="0.25">
      <c r="A115" s="27" t="str">
        <f t="shared" si="94"/>
        <v>2025 MEI B1G2</v>
      </c>
      <c r="B115" s="38">
        <f t="shared" si="94"/>
        <v>46099</v>
      </c>
      <c r="C115" s="38">
        <f t="shared" si="94"/>
        <v>46113</v>
      </c>
      <c r="D115" s="27">
        <v>3272</v>
      </c>
      <c r="E115" s="27">
        <v>336</v>
      </c>
      <c r="F115" s="27">
        <v>4</v>
      </c>
      <c r="G115" s="28">
        <v>5</v>
      </c>
      <c r="H115" s="28">
        <v>81379</v>
      </c>
      <c r="I115" s="27" t="str">
        <f t="shared" si="93"/>
        <v>CHARACTER</v>
      </c>
      <c r="J115" s="28">
        <v>53661180</v>
      </c>
      <c r="K115" s="28" t="s">
        <v>3069</v>
      </c>
      <c r="L115" s="28" t="s">
        <v>3175</v>
      </c>
      <c r="M115" s="28">
        <v>249900</v>
      </c>
      <c r="N115" s="45" t="s">
        <v>618</v>
      </c>
      <c r="O115" s="45" t="str">
        <f t="shared" si="92"/>
        <v>B1G2</v>
      </c>
      <c r="P115" s="45" t="s">
        <v>618</v>
      </c>
    </row>
    <row r="116" spans="1:16" x14ac:dyDescent="0.25">
      <c r="A116" s="27" t="str">
        <f t="shared" si="94"/>
        <v>2025 MEI B1G2</v>
      </c>
      <c r="B116" s="38">
        <f t="shared" si="94"/>
        <v>46099</v>
      </c>
      <c r="C116" s="38">
        <f t="shared" si="94"/>
        <v>46113</v>
      </c>
      <c r="D116" s="27">
        <v>3272</v>
      </c>
      <c r="E116" s="27">
        <v>336</v>
      </c>
      <c r="F116" s="27">
        <v>4</v>
      </c>
      <c r="G116" s="28">
        <v>5</v>
      </c>
      <c r="H116" s="28">
        <v>81379</v>
      </c>
      <c r="I116" s="27" t="str">
        <f t="shared" si="93"/>
        <v>CHARACTER</v>
      </c>
      <c r="J116" s="28">
        <v>53661199</v>
      </c>
      <c r="K116" s="28" t="s">
        <v>3069</v>
      </c>
      <c r="L116" s="28" t="s">
        <v>3176</v>
      </c>
      <c r="M116" s="28">
        <v>249900</v>
      </c>
      <c r="N116" s="45" t="s">
        <v>618</v>
      </c>
      <c r="O116" s="45" t="str">
        <f t="shared" si="92"/>
        <v>B1G2</v>
      </c>
      <c r="P116" s="45" t="s">
        <v>618</v>
      </c>
    </row>
    <row r="117" spans="1:16" x14ac:dyDescent="0.25">
      <c r="A117" s="27" t="str">
        <f t="shared" si="94"/>
        <v>2025 MEI B1G2</v>
      </c>
      <c r="B117" s="38">
        <f t="shared" si="94"/>
        <v>46099</v>
      </c>
      <c r="C117" s="38">
        <f t="shared" si="94"/>
        <v>46113</v>
      </c>
      <c r="D117" s="27">
        <v>3272</v>
      </c>
      <c r="E117" s="27">
        <v>336</v>
      </c>
      <c r="F117" s="27">
        <v>4</v>
      </c>
      <c r="G117" s="28">
        <v>5</v>
      </c>
      <c r="H117" s="28">
        <v>81379</v>
      </c>
      <c r="I117" s="27" t="str">
        <f t="shared" si="93"/>
        <v>CHARACTER</v>
      </c>
      <c r="J117" s="28">
        <v>53661206</v>
      </c>
      <c r="K117" s="28" t="s">
        <v>3069</v>
      </c>
      <c r="L117" s="28" t="s">
        <v>3177</v>
      </c>
      <c r="M117" s="28">
        <v>249900</v>
      </c>
      <c r="N117" s="45" t="s">
        <v>618</v>
      </c>
      <c r="O117" s="45" t="str">
        <f t="shared" si="92"/>
        <v>B1G2</v>
      </c>
      <c r="P117" s="45" t="s">
        <v>618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B1B7-86EC-4A1B-9748-814398982784}">
  <dimension ref="A1:P123"/>
  <sheetViews>
    <sheetView zoomScale="60" zoomScaleNormal="60" workbookViewId="0">
      <pane ySplit="1" topLeftCell="A72" activePane="bottomLeft" state="frozen"/>
      <selection activeCell="M233" sqref="M233"/>
      <selection pane="bottomLeft" activeCell="L29" sqref="L29"/>
    </sheetView>
  </sheetViews>
  <sheetFormatPr defaultColWidth="8.7109375" defaultRowHeight="15" x14ac:dyDescent="0.25"/>
  <cols>
    <col min="1" max="1" width="30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18.140625" style="6" bestFit="1" customWidth="1"/>
    <col min="11" max="11" width="22.7109375" style="6" bestFit="1" customWidth="1"/>
    <col min="12" max="12" width="112.7109375" style="6" bestFit="1" customWidth="1"/>
    <col min="13" max="13" width="20.85546875" style="12" bestFit="1" customWidth="1"/>
    <col min="14" max="14" width="12.42578125" style="15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4013</v>
      </c>
      <c r="B2" s="8">
        <f>'2019 ALL D95'!B2</f>
        <v>46099</v>
      </c>
      <c r="C2" s="8">
        <f>'2019 ALL D95'!C2</f>
        <v>46113</v>
      </c>
      <c r="D2" s="33">
        <v>3272</v>
      </c>
      <c r="E2" s="33">
        <v>336</v>
      </c>
      <c r="F2" s="33">
        <v>4</v>
      </c>
      <c r="G2" s="33">
        <v>1</v>
      </c>
      <c r="H2" s="33">
        <v>4953</v>
      </c>
      <c r="I2" s="33" t="s">
        <v>104</v>
      </c>
      <c r="J2" s="33">
        <v>54555589</v>
      </c>
      <c r="K2" s="33" t="s">
        <v>3273</v>
      </c>
      <c r="L2" s="33" t="s">
        <v>3274</v>
      </c>
      <c r="M2" s="34">
        <v>119900</v>
      </c>
      <c r="N2" s="14" t="s">
        <v>618</v>
      </c>
      <c r="O2" s="14" t="s">
        <v>1496</v>
      </c>
      <c r="P2" s="14" t="s">
        <v>618</v>
      </c>
    </row>
    <row r="3" spans="1:16" x14ac:dyDescent="0.25">
      <c r="A3" s="33" t="str">
        <f t="shared" ref="A3:A34" si="0">A2</f>
        <v>2025 JUN B1G2</v>
      </c>
      <c r="B3" s="8">
        <f t="shared" ref="B3:B34" si="1">B2</f>
        <v>46099</v>
      </c>
      <c r="C3" s="8">
        <f t="shared" ref="C3:C34" si="2">C2</f>
        <v>46113</v>
      </c>
      <c r="D3" s="33">
        <v>3272</v>
      </c>
      <c r="E3" s="33">
        <v>336</v>
      </c>
      <c r="F3" s="33">
        <v>4</v>
      </c>
      <c r="G3" s="33">
        <v>1</v>
      </c>
      <c r="H3" s="33">
        <v>4953</v>
      </c>
      <c r="I3" s="33" t="s">
        <v>104</v>
      </c>
      <c r="J3" s="33">
        <v>54555598</v>
      </c>
      <c r="K3" s="33" t="s">
        <v>3273</v>
      </c>
      <c r="L3" s="33" t="s">
        <v>3275</v>
      </c>
      <c r="M3" s="34">
        <v>119900</v>
      </c>
      <c r="N3" s="14" t="s">
        <v>618</v>
      </c>
      <c r="O3" s="14" t="str">
        <f t="shared" ref="O3:O34" si="3">O2</f>
        <v>B1G2</v>
      </c>
      <c r="P3" s="14" t="s">
        <v>618</v>
      </c>
    </row>
    <row r="4" spans="1:16" x14ac:dyDescent="0.25">
      <c r="A4" s="33" t="str">
        <f t="shared" si="0"/>
        <v>2025 JUN B1G2</v>
      </c>
      <c r="B4" s="8">
        <f t="shared" si="1"/>
        <v>46099</v>
      </c>
      <c r="C4" s="8">
        <f t="shared" si="2"/>
        <v>46113</v>
      </c>
      <c r="D4" s="33">
        <v>3272</v>
      </c>
      <c r="E4" s="33">
        <v>336</v>
      </c>
      <c r="F4" s="33">
        <v>4</v>
      </c>
      <c r="G4" s="33">
        <v>1</v>
      </c>
      <c r="H4" s="33">
        <v>4953</v>
      </c>
      <c r="I4" s="33" t="s">
        <v>104</v>
      </c>
      <c r="J4" s="33">
        <v>54555605</v>
      </c>
      <c r="K4" s="33" t="s">
        <v>3273</v>
      </c>
      <c r="L4" s="33" t="s">
        <v>3276</v>
      </c>
      <c r="M4" s="34">
        <v>119900</v>
      </c>
      <c r="N4" s="14" t="s">
        <v>618</v>
      </c>
      <c r="O4" s="14" t="str">
        <f t="shared" si="3"/>
        <v>B1G2</v>
      </c>
      <c r="P4" s="14" t="s">
        <v>618</v>
      </c>
    </row>
    <row r="5" spans="1:16" x14ac:dyDescent="0.25">
      <c r="A5" s="33" t="str">
        <f t="shared" si="0"/>
        <v>2025 JUN B1G2</v>
      </c>
      <c r="B5" s="8">
        <f t="shared" si="1"/>
        <v>46099</v>
      </c>
      <c r="C5" s="8">
        <f t="shared" si="2"/>
        <v>46113</v>
      </c>
      <c r="D5" s="33">
        <v>3272</v>
      </c>
      <c r="E5" s="33">
        <v>336</v>
      </c>
      <c r="F5" s="33">
        <v>4</v>
      </c>
      <c r="G5" s="33">
        <v>1</v>
      </c>
      <c r="H5" s="33">
        <v>4953</v>
      </c>
      <c r="I5" s="33" t="s">
        <v>104</v>
      </c>
      <c r="J5" s="33">
        <v>54555614</v>
      </c>
      <c r="K5" s="33" t="s">
        <v>3273</v>
      </c>
      <c r="L5" s="33" t="s">
        <v>3277</v>
      </c>
      <c r="M5" s="34">
        <v>119900</v>
      </c>
      <c r="N5" s="14" t="s">
        <v>618</v>
      </c>
      <c r="O5" s="14" t="str">
        <f t="shared" si="3"/>
        <v>B1G2</v>
      </c>
      <c r="P5" s="14" t="s">
        <v>618</v>
      </c>
    </row>
    <row r="6" spans="1:16" x14ac:dyDescent="0.25">
      <c r="A6" s="33" t="str">
        <f t="shared" si="0"/>
        <v>2025 JUN B1G2</v>
      </c>
      <c r="B6" s="8">
        <f t="shared" si="1"/>
        <v>46099</v>
      </c>
      <c r="C6" s="8">
        <f t="shared" si="2"/>
        <v>46113</v>
      </c>
      <c r="D6" s="33">
        <v>3272</v>
      </c>
      <c r="E6" s="33">
        <v>336</v>
      </c>
      <c r="F6" s="33">
        <v>4</v>
      </c>
      <c r="G6" s="33">
        <v>1</v>
      </c>
      <c r="H6" s="33">
        <v>4953</v>
      </c>
      <c r="I6" s="33" t="s">
        <v>104</v>
      </c>
      <c r="J6" s="33">
        <v>54555623</v>
      </c>
      <c r="K6" s="33" t="s">
        <v>3273</v>
      </c>
      <c r="L6" s="33" t="s">
        <v>3278</v>
      </c>
      <c r="M6" s="34">
        <v>119900</v>
      </c>
      <c r="N6" s="14" t="s">
        <v>618</v>
      </c>
      <c r="O6" s="14" t="str">
        <f t="shared" si="3"/>
        <v>B1G2</v>
      </c>
      <c r="P6" s="14" t="s">
        <v>618</v>
      </c>
    </row>
    <row r="7" spans="1:16" x14ac:dyDescent="0.25">
      <c r="A7" s="33" t="str">
        <f t="shared" si="0"/>
        <v>2025 JUN B1G2</v>
      </c>
      <c r="B7" s="8">
        <f t="shared" si="1"/>
        <v>46099</v>
      </c>
      <c r="C7" s="8">
        <f t="shared" si="2"/>
        <v>46113</v>
      </c>
      <c r="D7" s="33">
        <v>3272</v>
      </c>
      <c r="E7" s="33">
        <v>336</v>
      </c>
      <c r="F7" s="33">
        <v>4</v>
      </c>
      <c r="G7" s="33">
        <v>1</v>
      </c>
      <c r="H7" s="33">
        <v>4953</v>
      </c>
      <c r="I7" s="33" t="s">
        <v>104</v>
      </c>
      <c r="J7" s="33">
        <v>54555632</v>
      </c>
      <c r="K7" s="33" t="s">
        <v>3273</v>
      </c>
      <c r="L7" s="33" t="s">
        <v>3279</v>
      </c>
      <c r="M7" s="34">
        <v>119900</v>
      </c>
      <c r="N7" s="14" t="s">
        <v>618</v>
      </c>
      <c r="O7" s="14" t="str">
        <f t="shared" si="3"/>
        <v>B1G2</v>
      </c>
      <c r="P7" s="14" t="s">
        <v>618</v>
      </c>
    </row>
    <row r="8" spans="1:16" x14ac:dyDescent="0.25">
      <c r="A8" s="33" t="str">
        <f t="shared" si="0"/>
        <v>2025 JUN B1G2</v>
      </c>
      <c r="B8" s="8">
        <f t="shared" si="1"/>
        <v>46099</v>
      </c>
      <c r="C8" s="8">
        <f t="shared" si="2"/>
        <v>46113</v>
      </c>
      <c r="D8" s="33">
        <v>3272</v>
      </c>
      <c r="E8" s="33">
        <v>336</v>
      </c>
      <c r="F8" s="33">
        <v>4</v>
      </c>
      <c r="G8" s="33">
        <v>1</v>
      </c>
      <c r="H8" s="33">
        <v>4953</v>
      </c>
      <c r="I8" s="33" t="s">
        <v>104</v>
      </c>
      <c r="J8" s="33">
        <v>54555641</v>
      </c>
      <c r="K8" s="33" t="s">
        <v>3273</v>
      </c>
      <c r="L8" s="33" t="s">
        <v>3280</v>
      </c>
      <c r="M8" s="34">
        <v>119900</v>
      </c>
      <c r="N8" s="14" t="s">
        <v>618</v>
      </c>
      <c r="O8" s="14" t="str">
        <f t="shared" si="3"/>
        <v>B1G2</v>
      </c>
      <c r="P8" s="14" t="s">
        <v>618</v>
      </c>
    </row>
    <row r="9" spans="1:16" x14ac:dyDescent="0.25">
      <c r="A9" s="33" t="str">
        <f t="shared" si="0"/>
        <v>2025 JUN B1G2</v>
      </c>
      <c r="B9" s="8">
        <f t="shared" si="1"/>
        <v>46099</v>
      </c>
      <c r="C9" s="8">
        <f t="shared" si="2"/>
        <v>46113</v>
      </c>
      <c r="D9" s="33">
        <v>3272</v>
      </c>
      <c r="E9" s="33">
        <v>336</v>
      </c>
      <c r="F9" s="33">
        <v>4</v>
      </c>
      <c r="G9" s="33">
        <v>1</v>
      </c>
      <c r="H9" s="33">
        <v>81379</v>
      </c>
      <c r="I9" s="33" t="s">
        <v>104</v>
      </c>
      <c r="J9" s="33">
        <v>45647229</v>
      </c>
      <c r="K9" s="33" t="s">
        <v>3210</v>
      </c>
      <c r="L9" s="33" t="s">
        <v>3211</v>
      </c>
      <c r="M9" s="34">
        <v>149900</v>
      </c>
      <c r="N9" s="14" t="s">
        <v>618</v>
      </c>
      <c r="O9" s="14" t="str">
        <f t="shared" si="3"/>
        <v>B1G2</v>
      </c>
      <c r="P9" s="14" t="s">
        <v>618</v>
      </c>
    </row>
    <row r="10" spans="1:16" x14ac:dyDescent="0.25">
      <c r="A10" s="33" t="str">
        <f t="shared" si="0"/>
        <v>2025 JUN B1G2</v>
      </c>
      <c r="B10" s="8">
        <f t="shared" si="1"/>
        <v>46099</v>
      </c>
      <c r="C10" s="8">
        <f t="shared" si="2"/>
        <v>46113</v>
      </c>
      <c r="D10" s="33">
        <v>3272</v>
      </c>
      <c r="E10" s="33">
        <v>336</v>
      </c>
      <c r="F10" s="33">
        <v>4</v>
      </c>
      <c r="G10" s="33">
        <v>1</v>
      </c>
      <c r="H10" s="33">
        <v>81379</v>
      </c>
      <c r="I10" s="33" t="s">
        <v>104</v>
      </c>
      <c r="J10" s="33">
        <v>45647238</v>
      </c>
      <c r="K10" s="33" t="s">
        <v>3210</v>
      </c>
      <c r="L10" s="33" t="s">
        <v>3212</v>
      </c>
      <c r="M10" s="34">
        <v>149900</v>
      </c>
      <c r="N10" s="14" t="s">
        <v>618</v>
      </c>
      <c r="O10" s="14" t="str">
        <f t="shared" si="3"/>
        <v>B1G2</v>
      </c>
      <c r="P10" s="14" t="s">
        <v>618</v>
      </c>
    </row>
    <row r="11" spans="1:16" x14ac:dyDescent="0.25">
      <c r="A11" s="33" t="str">
        <f t="shared" si="0"/>
        <v>2025 JUN B1G2</v>
      </c>
      <c r="B11" s="8">
        <f t="shared" si="1"/>
        <v>46099</v>
      </c>
      <c r="C11" s="8">
        <f t="shared" si="2"/>
        <v>46113</v>
      </c>
      <c r="D11" s="33">
        <v>3272</v>
      </c>
      <c r="E11" s="33">
        <v>336</v>
      </c>
      <c r="F11" s="33">
        <v>4</v>
      </c>
      <c r="G11" s="33">
        <v>1</v>
      </c>
      <c r="H11" s="33">
        <v>81379</v>
      </c>
      <c r="I11" s="33" t="s">
        <v>104</v>
      </c>
      <c r="J11" s="33">
        <v>45647247</v>
      </c>
      <c r="K11" s="33" t="s">
        <v>3210</v>
      </c>
      <c r="L11" s="33" t="s">
        <v>3213</v>
      </c>
      <c r="M11" s="34">
        <v>149900</v>
      </c>
      <c r="N11" s="14" t="s">
        <v>618</v>
      </c>
      <c r="O11" s="14" t="str">
        <f t="shared" si="3"/>
        <v>B1G2</v>
      </c>
      <c r="P11" s="14" t="s">
        <v>618</v>
      </c>
    </row>
    <row r="12" spans="1:16" x14ac:dyDescent="0.25">
      <c r="A12" s="33" t="str">
        <f t="shared" si="0"/>
        <v>2025 JUN B1G2</v>
      </c>
      <c r="B12" s="8">
        <f t="shared" si="1"/>
        <v>46099</v>
      </c>
      <c r="C12" s="8">
        <f t="shared" si="2"/>
        <v>46113</v>
      </c>
      <c r="D12" s="33">
        <v>3272</v>
      </c>
      <c r="E12" s="33">
        <v>336</v>
      </c>
      <c r="F12" s="33">
        <v>4</v>
      </c>
      <c r="G12" s="33">
        <v>1</v>
      </c>
      <c r="H12" s="33">
        <v>81379</v>
      </c>
      <c r="I12" s="33" t="s">
        <v>104</v>
      </c>
      <c r="J12" s="33">
        <v>45647256</v>
      </c>
      <c r="K12" s="33" t="s">
        <v>3210</v>
      </c>
      <c r="L12" s="33" t="s">
        <v>3214</v>
      </c>
      <c r="M12" s="34">
        <v>149900</v>
      </c>
      <c r="N12" s="14" t="s">
        <v>618</v>
      </c>
      <c r="O12" s="14" t="str">
        <f t="shared" si="3"/>
        <v>B1G2</v>
      </c>
      <c r="P12" s="14" t="s">
        <v>618</v>
      </c>
    </row>
    <row r="13" spans="1:16" x14ac:dyDescent="0.25">
      <c r="A13" s="33" t="str">
        <f t="shared" si="0"/>
        <v>2025 JUN B1G2</v>
      </c>
      <c r="B13" s="8">
        <f t="shared" si="1"/>
        <v>46099</v>
      </c>
      <c r="C13" s="8">
        <f t="shared" si="2"/>
        <v>46113</v>
      </c>
      <c r="D13" s="33">
        <v>3272</v>
      </c>
      <c r="E13" s="33">
        <v>336</v>
      </c>
      <c r="F13" s="33">
        <v>4</v>
      </c>
      <c r="G13" s="33">
        <v>1</v>
      </c>
      <c r="H13" s="33">
        <v>81379</v>
      </c>
      <c r="I13" s="33" t="s">
        <v>104</v>
      </c>
      <c r="J13" s="33">
        <v>45647265</v>
      </c>
      <c r="K13" s="33" t="s">
        <v>3210</v>
      </c>
      <c r="L13" s="33" t="s">
        <v>3215</v>
      </c>
      <c r="M13" s="34">
        <v>149900</v>
      </c>
      <c r="N13" s="14" t="s">
        <v>618</v>
      </c>
      <c r="O13" s="14" t="str">
        <f t="shared" si="3"/>
        <v>B1G2</v>
      </c>
      <c r="P13" s="14" t="s">
        <v>618</v>
      </c>
    </row>
    <row r="14" spans="1:16" x14ac:dyDescent="0.25">
      <c r="A14" s="33" t="str">
        <f t="shared" si="0"/>
        <v>2025 JUN B1G2</v>
      </c>
      <c r="B14" s="8">
        <f t="shared" si="1"/>
        <v>46099</v>
      </c>
      <c r="C14" s="8">
        <f t="shared" si="2"/>
        <v>46113</v>
      </c>
      <c r="D14" s="33">
        <v>3272</v>
      </c>
      <c r="E14" s="33">
        <v>336</v>
      </c>
      <c r="F14" s="33">
        <v>4</v>
      </c>
      <c r="G14" s="33">
        <v>1</v>
      </c>
      <c r="H14" s="33">
        <v>81379</v>
      </c>
      <c r="I14" s="33" t="s">
        <v>104</v>
      </c>
      <c r="J14" s="33">
        <v>45647274</v>
      </c>
      <c r="K14" s="33" t="s">
        <v>3210</v>
      </c>
      <c r="L14" s="33" t="s">
        <v>3216</v>
      </c>
      <c r="M14" s="34">
        <v>149900</v>
      </c>
      <c r="N14" s="14" t="s">
        <v>618</v>
      </c>
      <c r="O14" s="14" t="str">
        <f t="shared" si="3"/>
        <v>B1G2</v>
      </c>
      <c r="P14" s="14" t="s">
        <v>618</v>
      </c>
    </row>
    <row r="15" spans="1:16" x14ac:dyDescent="0.25">
      <c r="A15" s="33" t="str">
        <f t="shared" si="0"/>
        <v>2025 JUN B1G2</v>
      </c>
      <c r="B15" s="8">
        <f t="shared" si="1"/>
        <v>46099</v>
      </c>
      <c r="C15" s="8">
        <f t="shared" si="2"/>
        <v>46113</v>
      </c>
      <c r="D15" s="33">
        <v>3272</v>
      </c>
      <c r="E15" s="33">
        <v>336</v>
      </c>
      <c r="F15" s="33">
        <v>4</v>
      </c>
      <c r="G15" s="33">
        <v>1</v>
      </c>
      <c r="H15" s="33">
        <v>81379</v>
      </c>
      <c r="I15" s="33" t="s">
        <v>104</v>
      </c>
      <c r="J15" s="33">
        <v>45647283</v>
      </c>
      <c r="K15" s="33" t="s">
        <v>3210</v>
      </c>
      <c r="L15" s="33" t="s">
        <v>3217</v>
      </c>
      <c r="M15" s="34">
        <v>149900</v>
      </c>
      <c r="N15" s="14" t="s">
        <v>618</v>
      </c>
      <c r="O15" s="14" t="str">
        <f t="shared" si="3"/>
        <v>B1G2</v>
      </c>
      <c r="P15" s="14" t="s">
        <v>618</v>
      </c>
    </row>
    <row r="16" spans="1:16" x14ac:dyDescent="0.25">
      <c r="A16" s="33" t="str">
        <f t="shared" si="0"/>
        <v>2025 JUN B1G2</v>
      </c>
      <c r="B16" s="8">
        <f t="shared" si="1"/>
        <v>46099</v>
      </c>
      <c r="C16" s="8">
        <f t="shared" si="2"/>
        <v>46113</v>
      </c>
      <c r="D16" s="33">
        <v>3272</v>
      </c>
      <c r="E16" s="33">
        <v>336</v>
      </c>
      <c r="F16" s="33">
        <v>4</v>
      </c>
      <c r="G16" s="33">
        <v>1</v>
      </c>
      <c r="H16" s="33">
        <v>81379</v>
      </c>
      <c r="I16" s="33" t="s">
        <v>104</v>
      </c>
      <c r="J16" s="33">
        <v>45647292</v>
      </c>
      <c r="K16" s="33" t="s">
        <v>3210</v>
      </c>
      <c r="L16" s="33" t="s">
        <v>3218</v>
      </c>
      <c r="M16" s="34">
        <v>149900</v>
      </c>
      <c r="N16" s="14" t="s">
        <v>618</v>
      </c>
      <c r="O16" s="14" t="str">
        <f t="shared" si="3"/>
        <v>B1G2</v>
      </c>
      <c r="P16" s="14" t="s">
        <v>618</v>
      </c>
    </row>
    <row r="17" spans="1:16" x14ac:dyDescent="0.25">
      <c r="A17" s="33" t="str">
        <f t="shared" si="0"/>
        <v>2025 JUN B1G2</v>
      </c>
      <c r="B17" s="8">
        <f t="shared" si="1"/>
        <v>46099</v>
      </c>
      <c r="C17" s="8">
        <f t="shared" si="2"/>
        <v>46113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51510855</v>
      </c>
      <c r="K17" s="33" t="s">
        <v>3457</v>
      </c>
      <c r="L17" s="33" t="s">
        <v>3461</v>
      </c>
      <c r="M17" s="34">
        <v>149900</v>
      </c>
      <c r="N17" s="14" t="s">
        <v>618</v>
      </c>
      <c r="O17" s="14" t="str">
        <f t="shared" si="3"/>
        <v>B1G2</v>
      </c>
      <c r="P17" s="14" t="s">
        <v>618</v>
      </c>
    </row>
    <row r="18" spans="1:16" x14ac:dyDescent="0.25">
      <c r="A18" s="33" t="str">
        <f t="shared" si="0"/>
        <v>2025 JUN B1G2</v>
      </c>
      <c r="B18" s="8">
        <f t="shared" si="1"/>
        <v>46099</v>
      </c>
      <c r="C18" s="8">
        <f t="shared" si="2"/>
        <v>46113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51510864</v>
      </c>
      <c r="K18" s="33" t="s">
        <v>3457</v>
      </c>
      <c r="L18" s="33" t="s">
        <v>3462</v>
      </c>
      <c r="M18" s="34">
        <v>149900</v>
      </c>
      <c r="N18" s="14" t="s">
        <v>618</v>
      </c>
      <c r="O18" s="14" t="str">
        <f t="shared" si="3"/>
        <v>B1G2</v>
      </c>
      <c r="P18" s="14" t="s">
        <v>618</v>
      </c>
    </row>
    <row r="19" spans="1:16" x14ac:dyDescent="0.25">
      <c r="A19" s="33" t="str">
        <f t="shared" si="0"/>
        <v>2025 JUN B1G2</v>
      </c>
      <c r="B19" s="8">
        <f t="shared" si="1"/>
        <v>46099</v>
      </c>
      <c r="C19" s="8">
        <f t="shared" si="2"/>
        <v>46113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51510873</v>
      </c>
      <c r="K19" s="33" t="s">
        <v>3457</v>
      </c>
      <c r="L19" s="33" t="s">
        <v>3463</v>
      </c>
      <c r="M19" s="34">
        <v>149900</v>
      </c>
      <c r="N19" s="14" t="s">
        <v>618</v>
      </c>
      <c r="O19" s="14" t="str">
        <f t="shared" si="3"/>
        <v>B1G2</v>
      </c>
      <c r="P19" s="14" t="s">
        <v>618</v>
      </c>
    </row>
    <row r="20" spans="1:16" x14ac:dyDescent="0.25">
      <c r="A20" s="33" t="str">
        <f t="shared" si="0"/>
        <v>2025 JUN B1G2</v>
      </c>
      <c r="B20" s="8">
        <f t="shared" si="1"/>
        <v>46099</v>
      </c>
      <c r="C20" s="8">
        <f t="shared" si="2"/>
        <v>46113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51510882</v>
      </c>
      <c r="K20" s="33" t="s">
        <v>3457</v>
      </c>
      <c r="L20" s="33" t="s">
        <v>3464</v>
      </c>
      <c r="M20" s="34">
        <v>149900</v>
      </c>
      <c r="N20" s="14" t="s">
        <v>618</v>
      </c>
      <c r="O20" s="14" t="str">
        <f t="shared" si="3"/>
        <v>B1G2</v>
      </c>
      <c r="P20" s="14" t="s">
        <v>618</v>
      </c>
    </row>
    <row r="21" spans="1:16" x14ac:dyDescent="0.25">
      <c r="A21" s="33" t="str">
        <f t="shared" si="0"/>
        <v>2025 JUN B1G2</v>
      </c>
      <c r="B21" s="8">
        <f t="shared" si="1"/>
        <v>46099</v>
      </c>
      <c r="C21" s="8">
        <f t="shared" si="2"/>
        <v>46113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51510891</v>
      </c>
      <c r="K21" s="33" t="s">
        <v>3457</v>
      </c>
      <c r="L21" s="33" t="s">
        <v>3465</v>
      </c>
      <c r="M21" s="34">
        <v>149900</v>
      </c>
      <c r="N21" s="14" t="s">
        <v>618</v>
      </c>
      <c r="O21" s="14" t="str">
        <f t="shared" si="3"/>
        <v>B1G2</v>
      </c>
      <c r="P21" s="14" t="s">
        <v>618</v>
      </c>
    </row>
    <row r="22" spans="1:16" x14ac:dyDescent="0.25">
      <c r="A22" s="33" t="str">
        <f t="shared" si="0"/>
        <v>2025 JUN B1G2</v>
      </c>
      <c r="B22" s="8">
        <f t="shared" si="1"/>
        <v>46099</v>
      </c>
      <c r="C22" s="8">
        <f t="shared" si="2"/>
        <v>46113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51511069</v>
      </c>
      <c r="K22" s="33" t="s">
        <v>3219</v>
      </c>
      <c r="L22" s="33" t="s">
        <v>3220</v>
      </c>
      <c r="M22" s="34">
        <v>149900</v>
      </c>
      <c r="N22" s="14" t="s">
        <v>618</v>
      </c>
      <c r="O22" s="14" t="str">
        <f t="shared" si="3"/>
        <v>B1G2</v>
      </c>
      <c r="P22" s="14" t="s">
        <v>618</v>
      </c>
    </row>
    <row r="23" spans="1:16" x14ac:dyDescent="0.25">
      <c r="A23" s="33" t="str">
        <f t="shared" si="0"/>
        <v>2025 JUN B1G2</v>
      </c>
      <c r="B23" s="8">
        <f t="shared" si="1"/>
        <v>46099</v>
      </c>
      <c r="C23" s="8">
        <f t="shared" si="2"/>
        <v>46113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51511078</v>
      </c>
      <c r="K23" s="33" t="s">
        <v>3219</v>
      </c>
      <c r="L23" s="33" t="s">
        <v>3221</v>
      </c>
      <c r="M23" s="34">
        <v>149900</v>
      </c>
      <c r="N23" s="14" t="s">
        <v>618</v>
      </c>
      <c r="O23" s="14" t="str">
        <f t="shared" si="3"/>
        <v>B1G2</v>
      </c>
      <c r="P23" s="14" t="s">
        <v>618</v>
      </c>
    </row>
    <row r="24" spans="1:16" x14ac:dyDescent="0.25">
      <c r="A24" s="33" t="str">
        <f t="shared" si="0"/>
        <v>2025 JUN B1G2</v>
      </c>
      <c r="B24" s="8">
        <f t="shared" si="1"/>
        <v>46099</v>
      </c>
      <c r="C24" s="8">
        <f t="shared" si="2"/>
        <v>46113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51511087</v>
      </c>
      <c r="K24" s="33" t="s">
        <v>3219</v>
      </c>
      <c r="L24" s="33" t="s">
        <v>3222</v>
      </c>
      <c r="M24" s="34">
        <v>149900</v>
      </c>
      <c r="N24" s="14" t="s">
        <v>618</v>
      </c>
      <c r="O24" s="14" t="str">
        <f t="shared" si="3"/>
        <v>B1G2</v>
      </c>
      <c r="P24" s="14" t="s">
        <v>618</v>
      </c>
    </row>
    <row r="25" spans="1:16" x14ac:dyDescent="0.25">
      <c r="A25" s="33" t="str">
        <f t="shared" si="0"/>
        <v>2025 JUN B1G2</v>
      </c>
      <c r="B25" s="8">
        <f t="shared" si="1"/>
        <v>46099</v>
      </c>
      <c r="C25" s="8">
        <f t="shared" si="2"/>
        <v>46113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51511096</v>
      </c>
      <c r="K25" s="33" t="s">
        <v>3219</v>
      </c>
      <c r="L25" s="33" t="s">
        <v>3223</v>
      </c>
      <c r="M25" s="34">
        <v>149900</v>
      </c>
      <c r="N25" s="14" t="s">
        <v>618</v>
      </c>
      <c r="O25" s="14" t="str">
        <f t="shared" si="3"/>
        <v>B1G2</v>
      </c>
      <c r="P25" s="14" t="s">
        <v>618</v>
      </c>
    </row>
    <row r="26" spans="1:16" x14ac:dyDescent="0.25">
      <c r="A26" s="33" t="str">
        <f t="shared" si="0"/>
        <v>2025 JUN B1G2</v>
      </c>
      <c r="B26" s="8">
        <f t="shared" si="1"/>
        <v>46099</v>
      </c>
      <c r="C26" s="8">
        <f t="shared" si="2"/>
        <v>46113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51511103</v>
      </c>
      <c r="K26" s="33" t="s">
        <v>3219</v>
      </c>
      <c r="L26" s="33" t="s">
        <v>3224</v>
      </c>
      <c r="M26" s="34">
        <v>149900</v>
      </c>
      <c r="N26" s="14" t="s">
        <v>618</v>
      </c>
      <c r="O26" s="14" t="str">
        <f t="shared" si="3"/>
        <v>B1G2</v>
      </c>
      <c r="P26" s="14" t="s">
        <v>618</v>
      </c>
    </row>
    <row r="27" spans="1:16" x14ac:dyDescent="0.25">
      <c r="A27" s="33" t="str">
        <f t="shared" si="0"/>
        <v>2025 JUN B1G2</v>
      </c>
      <c r="B27" s="8">
        <f t="shared" si="1"/>
        <v>46099</v>
      </c>
      <c r="C27" s="8">
        <f t="shared" si="2"/>
        <v>46113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51511112</v>
      </c>
      <c r="K27" s="33" t="s">
        <v>3219</v>
      </c>
      <c r="L27" s="33" t="s">
        <v>3225</v>
      </c>
      <c r="M27" s="34">
        <v>149900</v>
      </c>
      <c r="N27" s="14" t="s">
        <v>618</v>
      </c>
      <c r="O27" s="14" t="str">
        <f t="shared" si="3"/>
        <v>B1G2</v>
      </c>
      <c r="P27" s="14" t="s">
        <v>618</v>
      </c>
    </row>
    <row r="28" spans="1:16" x14ac:dyDescent="0.25">
      <c r="A28" s="33" t="str">
        <f t="shared" si="0"/>
        <v>2025 JUN B1G2</v>
      </c>
      <c r="B28" s="8">
        <f t="shared" si="1"/>
        <v>46099</v>
      </c>
      <c r="C28" s="8">
        <f t="shared" si="2"/>
        <v>46113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51511121</v>
      </c>
      <c r="K28" s="33" t="s">
        <v>3219</v>
      </c>
      <c r="L28" s="33" t="s">
        <v>3226</v>
      </c>
      <c r="M28" s="34">
        <v>149900</v>
      </c>
      <c r="N28" s="14" t="s">
        <v>618</v>
      </c>
      <c r="O28" s="14" t="str">
        <f t="shared" si="3"/>
        <v>B1G2</v>
      </c>
      <c r="P28" s="14" t="s">
        <v>618</v>
      </c>
    </row>
    <row r="29" spans="1:16" x14ac:dyDescent="0.25">
      <c r="A29" s="33" t="str">
        <f t="shared" si="0"/>
        <v>2025 JUN B1G2</v>
      </c>
      <c r="B29" s="8">
        <f t="shared" si="1"/>
        <v>46099</v>
      </c>
      <c r="C29" s="8">
        <f t="shared" si="2"/>
        <v>46113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51511130</v>
      </c>
      <c r="K29" s="33" t="s">
        <v>3219</v>
      </c>
      <c r="L29" s="33" t="s">
        <v>3227</v>
      </c>
      <c r="M29" s="34">
        <v>149900</v>
      </c>
      <c r="N29" s="14" t="s">
        <v>618</v>
      </c>
      <c r="O29" s="14" t="str">
        <f t="shared" si="3"/>
        <v>B1G2</v>
      </c>
      <c r="P29" s="14" t="s">
        <v>618</v>
      </c>
    </row>
    <row r="30" spans="1:16" x14ac:dyDescent="0.25">
      <c r="A30" s="33" t="str">
        <f t="shared" si="0"/>
        <v>2025 JUN B1G2</v>
      </c>
      <c r="B30" s="8">
        <f t="shared" si="1"/>
        <v>46099</v>
      </c>
      <c r="C30" s="8">
        <f t="shared" si="2"/>
        <v>46113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54954415</v>
      </c>
      <c r="K30" s="33" t="s">
        <v>3458</v>
      </c>
      <c r="L30" s="33" t="s">
        <v>3466</v>
      </c>
      <c r="M30" s="34">
        <v>149900</v>
      </c>
      <c r="N30" s="14" t="s">
        <v>618</v>
      </c>
      <c r="O30" s="14" t="str">
        <f t="shared" si="3"/>
        <v>B1G2</v>
      </c>
      <c r="P30" s="14" t="s">
        <v>618</v>
      </c>
    </row>
    <row r="31" spans="1:16" x14ac:dyDescent="0.25">
      <c r="A31" s="33" t="str">
        <f t="shared" si="0"/>
        <v>2025 JUN B1G2</v>
      </c>
      <c r="B31" s="8">
        <f t="shared" si="1"/>
        <v>46099</v>
      </c>
      <c r="C31" s="8">
        <f t="shared" si="2"/>
        <v>46113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54954424</v>
      </c>
      <c r="K31" s="33" t="s">
        <v>3458</v>
      </c>
      <c r="L31" s="33" t="s">
        <v>3467</v>
      </c>
      <c r="M31" s="34">
        <v>149900</v>
      </c>
      <c r="N31" s="14" t="s">
        <v>618</v>
      </c>
      <c r="O31" s="14" t="str">
        <f t="shared" si="3"/>
        <v>B1G2</v>
      </c>
      <c r="P31" s="14" t="s">
        <v>618</v>
      </c>
    </row>
    <row r="32" spans="1:16" x14ac:dyDescent="0.25">
      <c r="A32" s="33" t="str">
        <f t="shared" si="0"/>
        <v>2025 JUN B1G2</v>
      </c>
      <c r="B32" s="8">
        <f t="shared" si="1"/>
        <v>46099</v>
      </c>
      <c r="C32" s="8">
        <f t="shared" si="2"/>
        <v>46113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54954433</v>
      </c>
      <c r="K32" s="33" t="s">
        <v>3458</v>
      </c>
      <c r="L32" s="33" t="s">
        <v>3468</v>
      </c>
      <c r="M32" s="34">
        <v>149900</v>
      </c>
      <c r="N32" s="14" t="s">
        <v>618</v>
      </c>
      <c r="O32" s="14" t="str">
        <f t="shared" si="3"/>
        <v>B1G2</v>
      </c>
      <c r="P32" s="14" t="s">
        <v>618</v>
      </c>
    </row>
    <row r="33" spans="1:16" x14ac:dyDescent="0.25">
      <c r="A33" s="33" t="str">
        <f t="shared" si="0"/>
        <v>2025 JUN B1G2</v>
      </c>
      <c r="B33" s="8">
        <f t="shared" si="1"/>
        <v>46099</v>
      </c>
      <c r="C33" s="8">
        <f t="shared" si="2"/>
        <v>46113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54954442</v>
      </c>
      <c r="K33" s="33" t="s">
        <v>3458</v>
      </c>
      <c r="L33" s="33" t="s">
        <v>3469</v>
      </c>
      <c r="M33" s="34">
        <v>149900</v>
      </c>
      <c r="N33" s="14" t="s">
        <v>618</v>
      </c>
      <c r="O33" s="14" t="str">
        <f t="shared" si="3"/>
        <v>B1G2</v>
      </c>
      <c r="P33" s="14" t="s">
        <v>618</v>
      </c>
    </row>
    <row r="34" spans="1:16" x14ac:dyDescent="0.25">
      <c r="A34" s="33" t="str">
        <f t="shared" si="0"/>
        <v>2025 JUN B1G2</v>
      </c>
      <c r="B34" s="8">
        <f t="shared" si="1"/>
        <v>46099</v>
      </c>
      <c r="C34" s="8">
        <f t="shared" si="2"/>
        <v>46113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54954451</v>
      </c>
      <c r="K34" s="33" t="s">
        <v>3458</v>
      </c>
      <c r="L34" s="33" t="s">
        <v>3470</v>
      </c>
      <c r="M34" s="34">
        <v>149900</v>
      </c>
      <c r="N34" s="14" t="s">
        <v>618</v>
      </c>
      <c r="O34" s="14" t="str">
        <f t="shared" si="3"/>
        <v>B1G2</v>
      </c>
      <c r="P34" s="14" t="s">
        <v>618</v>
      </c>
    </row>
    <row r="35" spans="1:16" x14ac:dyDescent="0.25">
      <c r="A35" s="33" t="str">
        <f t="shared" ref="A35:A66" si="4">A34</f>
        <v>2025 JUN B1G2</v>
      </c>
      <c r="B35" s="8">
        <f t="shared" ref="B35:B66" si="5">B34</f>
        <v>46099</v>
      </c>
      <c r="C35" s="8">
        <f t="shared" ref="C35:C66" si="6">C34</f>
        <v>46113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54954460</v>
      </c>
      <c r="K35" s="33" t="s">
        <v>3458</v>
      </c>
      <c r="L35" s="33" t="s">
        <v>3471</v>
      </c>
      <c r="M35" s="34">
        <v>149900</v>
      </c>
      <c r="N35" s="14" t="s">
        <v>618</v>
      </c>
      <c r="O35" s="14" t="str">
        <f t="shared" ref="O35:O66" si="7">O34</f>
        <v>B1G2</v>
      </c>
      <c r="P35" s="14" t="s">
        <v>618</v>
      </c>
    </row>
    <row r="36" spans="1:16" x14ac:dyDescent="0.25">
      <c r="A36" s="33" t="str">
        <f t="shared" si="4"/>
        <v>2025 JUN B1G2</v>
      </c>
      <c r="B36" s="8">
        <f t="shared" si="5"/>
        <v>46099</v>
      </c>
      <c r="C36" s="8">
        <f t="shared" si="6"/>
        <v>46113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54954479</v>
      </c>
      <c r="K36" s="33" t="s">
        <v>3458</v>
      </c>
      <c r="L36" s="33" t="s">
        <v>3472</v>
      </c>
      <c r="M36" s="34">
        <v>149900</v>
      </c>
      <c r="N36" s="14" t="s">
        <v>618</v>
      </c>
      <c r="O36" s="14" t="str">
        <f t="shared" si="7"/>
        <v>B1G2</v>
      </c>
      <c r="P36" s="14" t="s">
        <v>618</v>
      </c>
    </row>
    <row r="37" spans="1:16" x14ac:dyDescent="0.25">
      <c r="A37" s="33" t="str">
        <f t="shared" si="4"/>
        <v>2025 JUN B1G2</v>
      </c>
      <c r="B37" s="8">
        <f t="shared" si="5"/>
        <v>46099</v>
      </c>
      <c r="C37" s="8">
        <f t="shared" si="6"/>
        <v>46113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54954488</v>
      </c>
      <c r="K37" s="33" t="s">
        <v>3459</v>
      </c>
      <c r="L37" s="33" t="s">
        <v>3473</v>
      </c>
      <c r="M37" s="34">
        <v>149900</v>
      </c>
      <c r="N37" s="14" t="s">
        <v>618</v>
      </c>
      <c r="O37" s="14" t="str">
        <f t="shared" si="7"/>
        <v>B1G2</v>
      </c>
      <c r="P37" s="14" t="s">
        <v>618</v>
      </c>
    </row>
    <row r="38" spans="1:16" x14ac:dyDescent="0.25">
      <c r="A38" s="33" t="str">
        <f t="shared" si="4"/>
        <v>2025 JUN B1G2</v>
      </c>
      <c r="B38" s="8">
        <f t="shared" si="5"/>
        <v>46099</v>
      </c>
      <c r="C38" s="8">
        <f t="shared" si="6"/>
        <v>46113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54954497</v>
      </c>
      <c r="K38" s="33" t="s">
        <v>3459</v>
      </c>
      <c r="L38" s="33" t="s">
        <v>3474</v>
      </c>
      <c r="M38" s="34">
        <v>149900</v>
      </c>
      <c r="N38" s="14" t="s">
        <v>618</v>
      </c>
      <c r="O38" s="14" t="str">
        <f t="shared" si="7"/>
        <v>B1G2</v>
      </c>
      <c r="P38" s="14" t="s">
        <v>618</v>
      </c>
    </row>
    <row r="39" spans="1:16" x14ac:dyDescent="0.25">
      <c r="A39" s="33" t="str">
        <f t="shared" si="4"/>
        <v>2025 JUN B1G2</v>
      </c>
      <c r="B39" s="8">
        <f t="shared" si="5"/>
        <v>46099</v>
      </c>
      <c r="C39" s="8">
        <f t="shared" si="6"/>
        <v>46113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54954504</v>
      </c>
      <c r="K39" s="33" t="s">
        <v>3459</v>
      </c>
      <c r="L39" s="33" t="s">
        <v>3475</v>
      </c>
      <c r="M39" s="34">
        <v>149900</v>
      </c>
      <c r="N39" s="14" t="s">
        <v>618</v>
      </c>
      <c r="O39" s="14" t="str">
        <f t="shared" si="7"/>
        <v>B1G2</v>
      </c>
      <c r="P39" s="14" t="s">
        <v>618</v>
      </c>
    </row>
    <row r="40" spans="1:16" x14ac:dyDescent="0.25">
      <c r="A40" s="33" t="str">
        <f t="shared" si="4"/>
        <v>2025 JUN B1G2</v>
      </c>
      <c r="B40" s="8">
        <f t="shared" si="5"/>
        <v>46099</v>
      </c>
      <c r="C40" s="8">
        <f t="shared" si="6"/>
        <v>46113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54954513</v>
      </c>
      <c r="K40" s="33" t="s">
        <v>3459</v>
      </c>
      <c r="L40" s="33" t="s">
        <v>3476</v>
      </c>
      <c r="M40" s="34">
        <v>149900</v>
      </c>
      <c r="N40" s="14" t="s">
        <v>618</v>
      </c>
      <c r="O40" s="14" t="str">
        <f t="shared" si="7"/>
        <v>B1G2</v>
      </c>
      <c r="P40" s="14" t="s">
        <v>618</v>
      </c>
    </row>
    <row r="41" spans="1:16" x14ac:dyDescent="0.25">
      <c r="A41" s="33" t="str">
        <f t="shared" si="4"/>
        <v>2025 JUN B1G2</v>
      </c>
      <c r="B41" s="8">
        <f t="shared" si="5"/>
        <v>46099</v>
      </c>
      <c r="C41" s="8">
        <f t="shared" si="6"/>
        <v>46113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54954522</v>
      </c>
      <c r="K41" s="33" t="s">
        <v>3459</v>
      </c>
      <c r="L41" s="33" t="s">
        <v>3477</v>
      </c>
      <c r="M41" s="34">
        <v>149900</v>
      </c>
      <c r="N41" s="14" t="s">
        <v>618</v>
      </c>
      <c r="O41" s="14" t="str">
        <f t="shared" si="7"/>
        <v>B1G2</v>
      </c>
      <c r="P41" s="14" t="s">
        <v>618</v>
      </c>
    </row>
    <row r="42" spans="1:16" x14ac:dyDescent="0.25">
      <c r="A42" s="33" t="str">
        <f t="shared" si="4"/>
        <v>2025 JUN B1G2</v>
      </c>
      <c r="B42" s="8">
        <f t="shared" si="5"/>
        <v>46099</v>
      </c>
      <c r="C42" s="8">
        <f t="shared" si="6"/>
        <v>46113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54954531</v>
      </c>
      <c r="K42" s="33" t="s">
        <v>3459</v>
      </c>
      <c r="L42" s="33" t="s">
        <v>3478</v>
      </c>
      <c r="M42" s="34">
        <v>149900</v>
      </c>
      <c r="N42" s="14" t="s">
        <v>618</v>
      </c>
      <c r="O42" s="14" t="str">
        <f t="shared" si="7"/>
        <v>B1G2</v>
      </c>
      <c r="P42" s="14" t="s">
        <v>618</v>
      </c>
    </row>
    <row r="43" spans="1:16" x14ac:dyDescent="0.25">
      <c r="A43" s="33" t="str">
        <f t="shared" si="4"/>
        <v>2025 JUN B1G2</v>
      </c>
      <c r="B43" s="8">
        <f t="shared" si="5"/>
        <v>46099</v>
      </c>
      <c r="C43" s="8">
        <f t="shared" si="6"/>
        <v>46113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54954540</v>
      </c>
      <c r="K43" s="33" t="s">
        <v>3459</v>
      </c>
      <c r="L43" s="33" t="s">
        <v>3479</v>
      </c>
      <c r="M43" s="34">
        <v>149900</v>
      </c>
      <c r="N43" s="14" t="s">
        <v>618</v>
      </c>
      <c r="O43" s="14" t="str">
        <f t="shared" si="7"/>
        <v>B1G2</v>
      </c>
      <c r="P43" s="14" t="s">
        <v>618</v>
      </c>
    </row>
    <row r="44" spans="1:16" x14ac:dyDescent="0.25">
      <c r="A44" s="33" t="str">
        <f t="shared" si="4"/>
        <v>2025 JUN B1G2</v>
      </c>
      <c r="B44" s="8">
        <f t="shared" si="5"/>
        <v>46099</v>
      </c>
      <c r="C44" s="8">
        <f t="shared" si="6"/>
        <v>46113</v>
      </c>
      <c r="D44" s="33">
        <v>3272</v>
      </c>
      <c r="E44" s="33">
        <v>336</v>
      </c>
      <c r="F44" s="33">
        <v>4</v>
      </c>
      <c r="G44" s="33">
        <v>1</v>
      </c>
      <c r="H44" s="33">
        <v>81588</v>
      </c>
      <c r="I44" s="33" t="s">
        <v>104</v>
      </c>
      <c r="J44" s="33">
        <v>51522842</v>
      </c>
      <c r="K44" s="33" t="s">
        <v>3228</v>
      </c>
      <c r="L44" s="33" t="s">
        <v>3229</v>
      </c>
      <c r="M44" s="34">
        <v>139900</v>
      </c>
      <c r="N44" s="14" t="s">
        <v>618</v>
      </c>
      <c r="O44" s="14" t="str">
        <f t="shared" si="7"/>
        <v>B1G2</v>
      </c>
      <c r="P44" s="14" t="s">
        <v>618</v>
      </c>
    </row>
    <row r="45" spans="1:16" x14ac:dyDescent="0.25">
      <c r="A45" s="33" t="str">
        <f t="shared" si="4"/>
        <v>2025 JUN B1G2</v>
      </c>
      <c r="B45" s="8">
        <f t="shared" si="5"/>
        <v>46099</v>
      </c>
      <c r="C45" s="8">
        <f t="shared" si="6"/>
        <v>46113</v>
      </c>
      <c r="D45" s="33">
        <v>3272</v>
      </c>
      <c r="E45" s="33">
        <v>336</v>
      </c>
      <c r="F45" s="33">
        <v>4</v>
      </c>
      <c r="G45" s="33">
        <v>1</v>
      </c>
      <c r="H45" s="33">
        <v>81588</v>
      </c>
      <c r="I45" s="33" t="s">
        <v>104</v>
      </c>
      <c r="J45" s="33">
        <v>51522851</v>
      </c>
      <c r="K45" s="33" t="s">
        <v>3228</v>
      </c>
      <c r="L45" s="33" t="s">
        <v>3230</v>
      </c>
      <c r="M45" s="34">
        <v>139900</v>
      </c>
      <c r="N45" s="14" t="s">
        <v>618</v>
      </c>
      <c r="O45" s="14" t="str">
        <f t="shared" si="7"/>
        <v>B1G2</v>
      </c>
      <c r="P45" s="14" t="s">
        <v>618</v>
      </c>
    </row>
    <row r="46" spans="1:16" x14ac:dyDescent="0.25">
      <c r="A46" s="33" t="str">
        <f t="shared" si="4"/>
        <v>2025 JUN B1G2</v>
      </c>
      <c r="B46" s="8">
        <f t="shared" si="5"/>
        <v>46099</v>
      </c>
      <c r="C46" s="8">
        <f t="shared" si="6"/>
        <v>46113</v>
      </c>
      <c r="D46" s="33">
        <v>3272</v>
      </c>
      <c r="E46" s="33">
        <v>336</v>
      </c>
      <c r="F46" s="33">
        <v>4</v>
      </c>
      <c r="G46" s="33">
        <v>1</v>
      </c>
      <c r="H46" s="33">
        <v>81588</v>
      </c>
      <c r="I46" s="33" t="s">
        <v>104</v>
      </c>
      <c r="J46" s="33">
        <v>51522860</v>
      </c>
      <c r="K46" s="33" t="s">
        <v>3228</v>
      </c>
      <c r="L46" s="33" t="s">
        <v>3231</v>
      </c>
      <c r="M46" s="34">
        <v>139900</v>
      </c>
      <c r="N46" s="14" t="s">
        <v>618</v>
      </c>
      <c r="O46" s="14" t="str">
        <f t="shared" si="7"/>
        <v>B1G2</v>
      </c>
      <c r="P46" s="14" t="s">
        <v>618</v>
      </c>
    </row>
    <row r="47" spans="1:16" x14ac:dyDescent="0.25">
      <c r="A47" s="33" t="str">
        <f t="shared" si="4"/>
        <v>2025 JUN B1G2</v>
      </c>
      <c r="B47" s="8">
        <f t="shared" si="5"/>
        <v>46099</v>
      </c>
      <c r="C47" s="8">
        <f t="shared" si="6"/>
        <v>46113</v>
      </c>
      <c r="D47" s="33">
        <v>3272</v>
      </c>
      <c r="E47" s="33">
        <v>336</v>
      </c>
      <c r="F47" s="33">
        <v>4</v>
      </c>
      <c r="G47" s="33">
        <v>1</v>
      </c>
      <c r="H47" s="33">
        <v>81588</v>
      </c>
      <c r="I47" s="33" t="s">
        <v>104</v>
      </c>
      <c r="J47" s="33">
        <v>51522879</v>
      </c>
      <c r="K47" s="33" t="s">
        <v>3228</v>
      </c>
      <c r="L47" s="33" t="s">
        <v>3232</v>
      </c>
      <c r="M47" s="34">
        <v>139900</v>
      </c>
      <c r="N47" s="14" t="s">
        <v>618</v>
      </c>
      <c r="O47" s="14" t="str">
        <f t="shared" si="7"/>
        <v>B1G2</v>
      </c>
      <c r="P47" s="14" t="s">
        <v>618</v>
      </c>
    </row>
    <row r="48" spans="1:16" x14ac:dyDescent="0.25">
      <c r="A48" s="33" t="str">
        <f t="shared" si="4"/>
        <v>2025 JUN B1G2</v>
      </c>
      <c r="B48" s="8">
        <f t="shared" si="5"/>
        <v>46099</v>
      </c>
      <c r="C48" s="8">
        <f t="shared" si="6"/>
        <v>46113</v>
      </c>
      <c r="D48" s="33">
        <v>3272</v>
      </c>
      <c r="E48" s="33">
        <v>336</v>
      </c>
      <c r="F48" s="33">
        <v>4</v>
      </c>
      <c r="G48" s="33">
        <v>1</v>
      </c>
      <c r="H48" s="33">
        <v>81588</v>
      </c>
      <c r="I48" s="33" t="s">
        <v>104</v>
      </c>
      <c r="J48" s="33">
        <v>51522888</v>
      </c>
      <c r="K48" s="33" t="s">
        <v>3228</v>
      </c>
      <c r="L48" s="33" t="s">
        <v>3233</v>
      </c>
      <c r="M48" s="34">
        <v>139900</v>
      </c>
      <c r="N48" s="14" t="s">
        <v>618</v>
      </c>
      <c r="O48" s="14" t="str">
        <f t="shared" si="7"/>
        <v>B1G2</v>
      </c>
      <c r="P48" s="14" t="s">
        <v>618</v>
      </c>
    </row>
    <row r="49" spans="1:16" x14ac:dyDescent="0.25">
      <c r="A49" s="33" t="str">
        <f t="shared" si="4"/>
        <v>2025 JUN B1G2</v>
      </c>
      <c r="B49" s="8">
        <f t="shared" si="5"/>
        <v>46099</v>
      </c>
      <c r="C49" s="8">
        <f t="shared" si="6"/>
        <v>46113</v>
      </c>
      <c r="D49" s="33">
        <v>3272</v>
      </c>
      <c r="E49" s="33">
        <v>336</v>
      </c>
      <c r="F49" s="33">
        <v>4</v>
      </c>
      <c r="G49" s="33">
        <v>1</v>
      </c>
      <c r="H49" s="33">
        <v>81588</v>
      </c>
      <c r="I49" s="33" t="s">
        <v>104</v>
      </c>
      <c r="J49" s="33">
        <v>51522897</v>
      </c>
      <c r="K49" s="33" t="s">
        <v>3228</v>
      </c>
      <c r="L49" s="33" t="s">
        <v>3234</v>
      </c>
      <c r="M49" s="34">
        <v>139900</v>
      </c>
      <c r="N49" s="14" t="s">
        <v>618</v>
      </c>
      <c r="O49" s="14" t="str">
        <f t="shared" si="7"/>
        <v>B1G2</v>
      </c>
      <c r="P49" s="14" t="s">
        <v>618</v>
      </c>
    </row>
    <row r="50" spans="1:16" x14ac:dyDescent="0.25">
      <c r="A50" s="33" t="str">
        <f t="shared" si="4"/>
        <v>2025 JUN B1G2</v>
      </c>
      <c r="B50" s="8">
        <f t="shared" si="5"/>
        <v>46099</v>
      </c>
      <c r="C50" s="8">
        <f t="shared" si="6"/>
        <v>46113</v>
      </c>
      <c r="D50" s="33">
        <v>3272</v>
      </c>
      <c r="E50" s="33">
        <v>336</v>
      </c>
      <c r="F50" s="33">
        <v>4</v>
      </c>
      <c r="G50" s="33">
        <v>1</v>
      </c>
      <c r="H50" s="33">
        <v>81588</v>
      </c>
      <c r="I50" s="33" t="s">
        <v>104</v>
      </c>
      <c r="J50" s="33">
        <v>51522904</v>
      </c>
      <c r="K50" s="33" t="s">
        <v>3228</v>
      </c>
      <c r="L50" s="33" t="s">
        <v>3235</v>
      </c>
      <c r="M50" s="34">
        <v>139900</v>
      </c>
      <c r="N50" s="14" t="s">
        <v>618</v>
      </c>
      <c r="O50" s="14" t="str">
        <f t="shared" si="7"/>
        <v>B1G2</v>
      </c>
      <c r="P50" s="14" t="s">
        <v>618</v>
      </c>
    </row>
    <row r="51" spans="1:16" x14ac:dyDescent="0.25">
      <c r="A51" s="33" t="str">
        <f t="shared" si="4"/>
        <v>2025 JUN B1G2</v>
      </c>
      <c r="B51" s="8">
        <f t="shared" si="5"/>
        <v>46099</v>
      </c>
      <c r="C51" s="8">
        <f t="shared" si="6"/>
        <v>46113</v>
      </c>
      <c r="D51" s="33">
        <v>3272</v>
      </c>
      <c r="E51" s="33">
        <v>336</v>
      </c>
      <c r="F51" s="33">
        <v>4</v>
      </c>
      <c r="G51" s="33">
        <v>1</v>
      </c>
      <c r="H51" s="33">
        <v>81588</v>
      </c>
      <c r="I51" s="33" t="s">
        <v>104</v>
      </c>
      <c r="J51" s="33">
        <v>51522913</v>
      </c>
      <c r="K51" s="33" t="s">
        <v>3228</v>
      </c>
      <c r="L51" s="33" t="s">
        <v>3236</v>
      </c>
      <c r="M51" s="34">
        <v>139900</v>
      </c>
      <c r="N51" s="14" t="s">
        <v>618</v>
      </c>
      <c r="O51" s="14" t="str">
        <f t="shared" si="7"/>
        <v>B1G2</v>
      </c>
      <c r="P51" s="14" t="s">
        <v>618</v>
      </c>
    </row>
    <row r="52" spans="1:16" x14ac:dyDescent="0.25">
      <c r="A52" s="33" t="str">
        <f t="shared" si="4"/>
        <v>2025 JUN B1G2</v>
      </c>
      <c r="B52" s="8">
        <f t="shared" si="5"/>
        <v>46099</v>
      </c>
      <c r="C52" s="8">
        <f t="shared" si="6"/>
        <v>46113</v>
      </c>
      <c r="D52" s="33">
        <v>3272</v>
      </c>
      <c r="E52" s="33">
        <v>336</v>
      </c>
      <c r="F52" s="33">
        <v>4</v>
      </c>
      <c r="G52" s="33">
        <v>1</v>
      </c>
      <c r="H52" s="33">
        <v>81588</v>
      </c>
      <c r="I52" s="33" t="s">
        <v>104</v>
      </c>
      <c r="J52" s="33">
        <v>51523001</v>
      </c>
      <c r="K52" s="33" t="s">
        <v>3237</v>
      </c>
      <c r="L52" s="33" t="s">
        <v>3238</v>
      </c>
      <c r="M52" s="34">
        <v>149900</v>
      </c>
      <c r="N52" s="14" t="s">
        <v>618</v>
      </c>
      <c r="O52" s="14" t="str">
        <f t="shared" si="7"/>
        <v>B1G2</v>
      </c>
      <c r="P52" s="14" t="s">
        <v>618</v>
      </c>
    </row>
    <row r="53" spans="1:16" x14ac:dyDescent="0.25">
      <c r="A53" s="33" t="str">
        <f t="shared" si="4"/>
        <v>2025 JUN B1G2</v>
      </c>
      <c r="B53" s="8">
        <f t="shared" si="5"/>
        <v>46099</v>
      </c>
      <c r="C53" s="8">
        <f t="shared" si="6"/>
        <v>46113</v>
      </c>
      <c r="D53" s="33">
        <v>3272</v>
      </c>
      <c r="E53" s="33">
        <v>336</v>
      </c>
      <c r="F53" s="33">
        <v>4</v>
      </c>
      <c r="G53" s="33">
        <v>1</v>
      </c>
      <c r="H53" s="33">
        <v>81588</v>
      </c>
      <c r="I53" s="33" t="s">
        <v>104</v>
      </c>
      <c r="J53" s="33">
        <v>51523010</v>
      </c>
      <c r="K53" s="33" t="s">
        <v>3237</v>
      </c>
      <c r="L53" s="33" t="s">
        <v>3239</v>
      </c>
      <c r="M53" s="34">
        <v>149900</v>
      </c>
      <c r="N53" s="14" t="s">
        <v>618</v>
      </c>
      <c r="O53" s="14" t="str">
        <f t="shared" si="7"/>
        <v>B1G2</v>
      </c>
      <c r="P53" s="14" t="s">
        <v>618</v>
      </c>
    </row>
    <row r="54" spans="1:16" x14ac:dyDescent="0.25">
      <c r="A54" s="33" t="str">
        <f t="shared" si="4"/>
        <v>2025 JUN B1G2</v>
      </c>
      <c r="B54" s="8">
        <f t="shared" si="5"/>
        <v>46099</v>
      </c>
      <c r="C54" s="8">
        <f t="shared" si="6"/>
        <v>46113</v>
      </c>
      <c r="D54" s="33">
        <v>3272</v>
      </c>
      <c r="E54" s="33">
        <v>336</v>
      </c>
      <c r="F54" s="33">
        <v>4</v>
      </c>
      <c r="G54" s="33">
        <v>1</v>
      </c>
      <c r="H54" s="33">
        <v>81588</v>
      </c>
      <c r="I54" s="33" t="s">
        <v>104</v>
      </c>
      <c r="J54" s="33">
        <v>51523029</v>
      </c>
      <c r="K54" s="33" t="s">
        <v>3237</v>
      </c>
      <c r="L54" s="33" t="s">
        <v>3240</v>
      </c>
      <c r="M54" s="34">
        <v>149900</v>
      </c>
      <c r="N54" s="14" t="s">
        <v>618</v>
      </c>
      <c r="O54" s="14" t="str">
        <f t="shared" si="7"/>
        <v>B1G2</v>
      </c>
      <c r="P54" s="14" t="s">
        <v>618</v>
      </c>
    </row>
    <row r="55" spans="1:16" x14ac:dyDescent="0.25">
      <c r="A55" s="33" t="str">
        <f t="shared" si="4"/>
        <v>2025 JUN B1G2</v>
      </c>
      <c r="B55" s="8">
        <f t="shared" si="5"/>
        <v>46099</v>
      </c>
      <c r="C55" s="8">
        <f t="shared" si="6"/>
        <v>46113</v>
      </c>
      <c r="D55" s="33">
        <v>3272</v>
      </c>
      <c r="E55" s="33">
        <v>336</v>
      </c>
      <c r="F55" s="33">
        <v>4</v>
      </c>
      <c r="G55" s="33">
        <v>1</v>
      </c>
      <c r="H55" s="33">
        <v>81588</v>
      </c>
      <c r="I55" s="33" t="s">
        <v>104</v>
      </c>
      <c r="J55" s="33">
        <v>51523038</v>
      </c>
      <c r="K55" s="33" t="s">
        <v>3237</v>
      </c>
      <c r="L55" s="33" t="s">
        <v>3241</v>
      </c>
      <c r="M55" s="34">
        <v>149900</v>
      </c>
      <c r="N55" s="14" t="s">
        <v>618</v>
      </c>
      <c r="O55" s="14" t="str">
        <f t="shared" si="7"/>
        <v>B1G2</v>
      </c>
      <c r="P55" s="14" t="s">
        <v>618</v>
      </c>
    </row>
    <row r="56" spans="1:16" x14ac:dyDescent="0.25">
      <c r="A56" s="33" t="str">
        <f t="shared" si="4"/>
        <v>2025 JUN B1G2</v>
      </c>
      <c r="B56" s="8">
        <f t="shared" si="5"/>
        <v>46099</v>
      </c>
      <c r="C56" s="8">
        <f t="shared" si="6"/>
        <v>46113</v>
      </c>
      <c r="D56" s="33">
        <v>3272</v>
      </c>
      <c r="E56" s="33">
        <v>336</v>
      </c>
      <c r="F56" s="33">
        <v>4</v>
      </c>
      <c r="G56" s="33">
        <v>1</v>
      </c>
      <c r="H56" s="33">
        <v>81588</v>
      </c>
      <c r="I56" s="33" t="s">
        <v>104</v>
      </c>
      <c r="J56" s="33">
        <v>51523047</v>
      </c>
      <c r="K56" s="33" t="s">
        <v>3237</v>
      </c>
      <c r="L56" s="33" t="s">
        <v>3242</v>
      </c>
      <c r="M56" s="34">
        <v>149900</v>
      </c>
      <c r="N56" s="14" t="s">
        <v>618</v>
      </c>
      <c r="O56" s="14" t="str">
        <f t="shared" si="7"/>
        <v>B1G2</v>
      </c>
      <c r="P56" s="14" t="s">
        <v>618</v>
      </c>
    </row>
    <row r="57" spans="1:16" x14ac:dyDescent="0.25">
      <c r="A57" s="33" t="str">
        <f t="shared" si="4"/>
        <v>2025 JUN B1G2</v>
      </c>
      <c r="B57" s="8">
        <f t="shared" si="5"/>
        <v>46099</v>
      </c>
      <c r="C57" s="8">
        <f t="shared" si="6"/>
        <v>46113</v>
      </c>
      <c r="D57" s="33">
        <v>3272</v>
      </c>
      <c r="E57" s="33">
        <v>336</v>
      </c>
      <c r="F57" s="33">
        <v>4</v>
      </c>
      <c r="G57" s="33">
        <v>1</v>
      </c>
      <c r="H57" s="33">
        <v>81588</v>
      </c>
      <c r="I57" s="33" t="s">
        <v>104</v>
      </c>
      <c r="J57" s="33">
        <v>51523056</v>
      </c>
      <c r="K57" s="33" t="s">
        <v>3237</v>
      </c>
      <c r="L57" s="33" t="s">
        <v>3243</v>
      </c>
      <c r="M57" s="34">
        <v>149900</v>
      </c>
      <c r="N57" s="14" t="s">
        <v>618</v>
      </c>
      <c r="O57" s="14" t="str">
        <f t="shared" si="7"/>
        <v>B1G2</v>
      </c>
      <c r="P57" s="14" t="s">
        <v>618</v>
      </c>
    </row>
    <row r="58" spans="1:16" x14ac:dyDescent="0.25">
      <c r="A58" s="33" t="str">
        <f t="shared" si="4"/>
        <v>2025 JUN B1G2</v>
      </c>
      <c r="B58" s="8">
        <f t="shared" si="5"/>
        <v>46099</v>
      </c>
      <c r="C58" s="8">
        <f t="shared" si="6"/>
        <v>46113</v>
      </c>
      <c r="D58" s="33">
        <v>3272</v>
      </c>
      <c r="E58" s="33">
        <v>336</v>
      </c>
      <c r="F58" s="33">
        <v>4</v>
      </c>
      <c r="G58" s="33">
        <v>1</v>
      </c>
      <c r="H58" s="33">
        <v>81588</v>
      </c>
      <c r="I58" s="33" t="s">
        <v>104</v>
      </c>
      <c r="J58" s="33">
        <v>51523065</v>
      </c>
      <c r="K58" s="33" t="s">
        <v>3237</v>
      </c>
      <c r="L58" s="33" t="s">
        <v>3244</v>
      </c>
      <c r="M58" s="34">
        <v>149900</v>
      </c>
      <c r="N58" s="14" t="s">
        <v>618</v>
      </c>
      <c r="O58" s="14" t="str">
        <f t="shared" si="7"/>
        <v>B1G2</v>
      </c>
      <c r="P58" s="14" t="s">
        <v>618</v>
      </c>
    </row>
    <row r="59" spans="1:16" x14ac:dyDescent="0.25">
      <c r="A59" s="33" t="str">
        <f t="shared" si="4"/>
        <v>2025 JUN B1G2</v>
      </c>
      <c r="B59" s="8">
        <f t="shared" si="5"/>
        <v>46099</v>
      </c>
      <c r="C59" s="8">
        <f t="shared" si="6"/>
        <v>46113</v>
      </c>
      <c r="D59" s="33">
        <v>3272</v>
      </c>
      <c r="E59" s="33">
        <v>336</v>
      </c>
      <c r="F59" s="33">
        <v>4</v>
      </c>
      <c r="G59" s="33">
        <v>1</v>
      </c>
      <c r="H59" s="33">
        <v>81588</v>
      </c>
      <c r="I59" s="33" t="s">
        <v>104</v>
      </c>
      <c r="J59" s="33">
        <v>51523074</v>
      </c>
      <c r="K59" s="33" t="s">
        <v>3237</v>
      </c>
      <c r="L59" s="33" t="s">
        <v>3245</v>
      </c>
      <c r="M59" s="34">
        <v>149900</v>
      </c>
      <c r="N59" s="14" t="s">
        <v>618</v>
      </c>
      <c r="O59" s="14" t="str">
        <f t="shared" si="7"/>
        <v>B1G2</v>
      </c>
      <c r="P59" s="14" t="s">
        <v>618</v>
      </c>
    </row>
    <row r="60" spans="1:16" x14ac:dyDescent="0.25">
      <c r="A60" s="33" t="str">
        <f t="shared" si="4"/>
        <v>2025 JUN B1G2</v>
      </c>
      <c r="B60" s="8">
        <f t="shared" si="5"/>
        <v>46099</v>
      </c>
      <c r="C60" s="8">
        <f t="shared" si="6"/>
        <v>46113</v>
      </c>
      <c r="D60" s="33">
        <v>3272</v>
      </c>
      <c r="E60" s="33">
        <v>336</v>
      </c>
      <c r="F60" s="33">
        <v>4</v>
      </c>
      <c r="G60" s="33">
        <v>1</v>
      </c>
      <c r="H60" s="33">
        <v>81588</v>
      </c>
      <c r="I60" s="33" t="s">
        <v>104</v>
      </c>
      <c r="J60" s="33">
        <v>51523467</v>
      </c>
      <c r="K60" s="33" t="s">
        <v>3246</v>
      </c>
      <c r="L60" s="33" t="s">
        <v>3247</v>
      </c>
      <c r="M60" s="34">
        <v>149900</v>
      </c>
      <c r="N60" s="14" t="s">
        <v>618</v>
      </c>
      <c r="O60" s="14" t="str">
        <f t="shared" si="7"/>
        <v>B1G2</v>
      </c>
      <c r="P60" s="14" t="s">
        <v>618</v>
      </c>
    </row>
    <row r="61" spans="1:16" x14ac:dyDescent="0.25">
      <c r="A61" s="33" t="str">
        <f t="shared" si="4"/>
        <v>2025 JUN B1G2</v>
      </c>
      <c r="B61" s="8">
        <f t="shared" si="5"/>
        <v>46099</v>
      </c>
      <c r="C61" s="8">
        <f t="shared" si="6"/>
        <v>46113</v>
      </c>
      <c r="D61" s="33">
        <v>3272</v>
      </c>
      <c r="E61" s="33">
        <v>336</v>
      </c>
      <c r="F61" s="33">
        <v>4</v>
      </c>
      <c r="G61" s="33">
        <v>1</v>
      </c>
      <c r="H61" s="33">
        <v>81588</v>
      </c>
      <c r="I61" s="33" t="s">
        <v>104</v>
      </c>
      <c r="J61" s="33">
        <v>51523476</v>
      </c>
      <c r="K61" s="33" t="s">
        <v>3246</v>
      </c>
      <c r="L61" s="33" t="s">
        <v>3248</v>
      </c>
      <c r="M61" s="34">
        <v>149900</v>
      </c>
      <c r="N61" s="14" t="s">
        <v>618</v>
      </c>
      <c r="O61" s="14" t="str">
        <f t="shared" si="7"/>
        <v>B1G2</v>
      </c>
      <c r="P61" s="14" t="s">
        <v>618</v>
      </c>
    </row>
    <row r="62" spans="1:16" x14ac:dyDescent="0.25">
      <c r="A62" s="33" t="str">
        <f t="shared" si="4"/>
        <v>2025 JUN B1G2</v>
      </c>
      <c r="B62" s="8">
        <f t="shared" si="5"/>
        <v>46099</v>
      </c>
      <c r="C62" s="8">
        <f t="shared" si="6"/>
        <v>46113</v>
      </c>
      <c r="D62" s="33">
        <v>3272</v>
      </c>
      <c r="E62" s="33">
        <v>336</v>
      </c>
      <c r="F62" s="33">
        <v>4</v>
      </c>
      <c r="G62" s="33">
        <v>1</v>
      </c>
      <c r="H62" s="33">
        <v>81588</v>
      </c>
      <c r="I62" s="33" t="s">
        <v>104</v>
      </c>
      <c r="J62" s="33">
        <v>51523485</v>
      </c>
      <c r="K62" s="33" t="s">
        <v>3246</v>
      </c>
      <c r="L62" s="33" t="s">
        <v>3249</v>
      </c>
      <c r="M62" s="34">
        <v>149900</v>
      </c>
      <c r="N62" s="14" t="s">
        <v>618</v>
      </c>
      <c r="O62" s="14" t="str">
        <f t="shared" si="7"/>
        <v>B1G2</v>
      </c>
      <c r="P62" s="14" t="s">
        <v>618</v>
      </c>
    </row>
    <row r="63" spans="1:16" x14ac:dyDescent="0.25">
      <c r="A63" s="33" t="str">
        <f t="shared" si="4"/>
        <v>2025 JUN B1G2</v>
      </c>
      <c r="B63" s="8">
        <f t="shared" si="5"/>
        <v>46099</v>
      </c>
      <c r="C63" s="8">
        <f t="shared" si="6"/>
        <v>46113</v>
      </c>
      <c r="D63" s="33">
        <v>3272</v>
      </c>
      <c r="E63" s="33">
        <v>336</v>
      </c>
      <c r="F63" s="33">
        <v>4</v>
      </c>
      <c r="G63" s="33">
        <v>1</v>
      </c>
      <c r="H63" s="33">
        <v>81588</v>
      </c>
      <c r="I63" s="33" t="s">
        <v>104</v>
      </c>
      <c r="J63" s="33">
        <v>51523494</v>
      </c>
      <c r="K63" s="33" t="s">
        <v>3246</v>
      </c>
      <c r="L63" s="33" t="s">
        <v>3250</v>
      </c>
      <c r="M63" s="34">
        <v>149900</v>
      </c>
      <c r="N63" s="14" t="s">
        <v>618</v>
      </c>
      <c r="O63" s="14" t="str">
        <f t="shared" si="7"/>
        <v>B1G2</v>
      </c>
      <c r="P63" s="14" t="s">
        <v>618</v>
      </c>
    </row>
    <row r="64" spans="1:16" x14ac:dyDescent="0.25">
      <c r="A64" s="33" t="str">
        <f t="shared" si="4"/>
        <v>2025 JUN B1G2</v>
      </c>
      <c r="B64" s="8">
        <f t="shared" si="5"/>
        <v>46099</v>
      </c>
      <c r="C64" s="8">
        <f t="shared" si="6"/>
        <v>46113</v>
      </c>
      <c r="D64" s="33">
        <v>3272</v>
      </c>
      <c r="E64" s="33">
        <v>336</v>
      </c>
      <c r="F64" s="33">
        <v>4</v>
      </c>
      <c r="G64" s="35">
        <v>1</v>
      </c>
      <c r="H64" s="35">
        <v>81588</v>
      </c>
      <c r="I64" s="33" t="s">
        <v>104</v>
      </c>
      <c r="J64" s="35">
        <v>51523501</v>
      </c>
      <c r="K64" s="35" t="s">
        <v>3246</v>
      </c>
      <c r="L64" s="35" t="s">
        <v>3251</v>
      </c>
      <c r="M64" s="36">
        <v>149900</v>
      </c>
      <c r="N64" s="14" t="s">
        <v>618</v>
      </c>
      <c r="O64" s="14" t="str">
        <f t="shared" si="7"/>
        <v>B1G2</v>
      </c>
      <c r="P64" s="14" t="s">
        <v>618</v>
      </c>
    </row>
    <row r="65" spans="1:16" x14ac:dyDescent="0.25">
      <c r="A65" s="33" t="str">
        <f t="shared" si="4"/>
        <v>2025 JUN B1G2</v>
      </c>
      <c r="B65" s="8">
        <f t="shared" si="5"/>
        <v>46099</v>
      </c>
      <c r="C65" s="8">
        <f t="shared" si="6"/>
        <v>46113</v>
      </c>
      <c r="D65" s="33">
        <v>3272</v>
      </c>
      <c r="E65" s="33">
        <v>336</v>
      </c>
      <c r="F65" s="33">
        <v>4</v>
      </c>
      <c r="G65" s="35">
        <v>1</v>
      </c>
      <c r="H65" s="35">
        <v>81588</v>
      </c>
      <c r="I65" s="33" t="s">
        <v>104</v>
      </c>
      <c r="J65" s="35">
        <v>51523510</v>
      </c>
      <c r="K65" s="35" t="s">
        <v>3246</v>
      </c>
      <c r="L65" s="35" t="s">
        <v>3252</v>
      </c>
      <c r="M65" s="36">
        <v>149900</v>
      </c>
      <c r="N65" s="14" t="s">
        <v>618</v>
      </c>
      <c r="O65" s="14" t="str">
        <f t="shared" si="7"/>
        <v>B1G2</v>
      </c>
      <c r="P65" s="14" t="s">
        <v>618</v>
      </c>
    </row>
    <row r="66" spans="1:16" x14ac:dyDescent="0.25">
      <c r="A66" s="33" t="str">
        <f t="shared" si="4"/>
        <v>2025 JUN B1G2</v>
      </c>
      <c r="B66" s="8">
        <f t="shared" si="5"/>
        <v>46099</v>
      </c>
      <c r="C66" s="8">
        <f t="shared" si="6"/>
        <v>46113</v>
      </c>
      <c r="D66" s="33">
        <v>3272</v>
      </c>
      <c r="E66" s="33">
        <v>336</v>
      </c>
      <c r="F66" s="33">
        <v>4</v>
      </c>
      <c r="G66" s="35">
        <v>1</v>
      </c>
      <c r="H66" s="35">
        <v>81588</v>
      </c>
      <c r="I66" s="33" t="s">
        <v>104</v>
      </c>
      <c r="J66" s="35">
        <v>51523529</v>
      </c>
      <c r="K66" s="35" t="s">
        <v>3246</v>
      </c>
      <c r="L66" s="35" t="s">
        <v>3253</v>
      </c>
      <c r="M66" s="36">
        <v>149900</v>
      </c>
      <c r="N66" s="14" t="s">
        <v>618</v>
      </c>
      <c r="O66" s="14" t="str">
        <f t="shared" si="7"/>
        <v>B1G2</v>
      </c>
      <c r="P66" s="14" t="s">
        <v>618</v>
      </c>
    </row>
    <row r="67" spans="1:16" x14ac:dyDescent="0.25">
      <c r="A67" s="33" t="str">
        <f t="shared" ref="A67:A98" si="8">A66</f>
        <v>2025 JUN B1G2</v>
      </c>
      <c r="B67" s="8">
        <f t="shared" ref="B67:B98" si="9">B66</f>
        <v>46099</v>
      </c>
      <c r="C67" s="8">
        <f t="shared" ref="C67:C98" si="10">C66</f>
        <v>46113</v>
      </c>
      <c r="D67" s="33">
        <v>3272</v>
      </c>
      <c r="E67" s="33">
        <v>336</v>
      </c>
      <c r="F67" s="33">
        <v>4</v>
      </c>
      <c r="G67" s="35">
        <v>1</v>
      </c>
      <c r="H67" s="35">
        <v>81588</v>
      </c>
      <c r="I67" s="33" t="s">
        <v>104</v>
      </c>
      <c r="J67" s="35">
        <v>51523538</v>
      </c>
      <c r="K67" s="35" t="s">
        <v>3246</v>
      </c>
      <c r="L67" s="35" t="s">
        <v>3254</v>
      </c>
      <c r="M67" s="36">
        <v>149900</v>
      </c>
      <c r="N67" s="14" t="s">
        <v>618</v>
      </c>
      <c r="O67" s="14" t="str">
        <f t="shared" ref="O67:O98" si="11">O66</f>
        <v>B1G2</v>
      </c>
      <c r="P67" s="14" t="s">
        <v>618</v>
      </c>
    </row>
    <row r="68" spans="1:16" x14ac:dyDescent="0.25">
      <c r="A68" s="33" t="str">
        <f t="shared" si="8"/>
        <v>2025 JUN B1G2</v>
      </c>
      <c r="B68" s="8">
        <f t="shared" si="9"/>
        <v>46099</v>
      </c>
      <c r="C68" s="8">
        <f t="shared" si="10"/>
        <v>46113</v>
      </c>
      <c r="D68" s="33">
        <v>3272</v>
      </c>
      <c r="E68" s="33">
        <v>336</v>
      </c>
      <c r="F68" s="33">
        <v>4</v>
      </c>
      <c r="G68" s="35">
        <v>1</v>
      </c>
      <c r="H68" s="35">
        <v>81588</v>
      </c>
      <c r="I68" s="33" t="s">
        <v>104</v>
      </c>
      <c r="J68" s="35">
        <v>51523869</v>
      </c>
      <c r="K68" s="35" t="s">
        <v>3255</v>
      </c>
      <c r="L68" s="35" t="s">
        <v>3256</v>
      </c>
      <c r="M68" s="36">
        <v>139900</v>
      </c>
      <c r="N68" s="14" t="s">
        <v>618</v>
      </c>
      <c r="O68" s="14" t="str">
        <f t="shared" si="11"/>
        <v>B1G2</v>
      </c>
      <c r="P68" s="14" t="s">
        <v>618</v>
      </c>
    </row>
    <row r="69" spans="1:16" x14ac:dyDescent="0.25">
      <c r="A69" s="33" t="str">
        <f t="shared" si="8"/>
        <v>2025 JUN B1G2</v>
      </c>
      <c r="B69" s="8">
        <f t="shared" si="9"/>
        <v>46099</v>
      </c>
      <c r="C69" s="8">
        <f t="shared" si="10"/>
        <v>46113</v>
      </c>
      <c r="D69" s="33">
        <v>3272</v>
      </c>
      <c r="E69" s="33">
        <v>336</v>
      </c>
      <c r="F69" s="33">
        <v>4</v>
      </c>
      <c r="G69" s="35">
        <v>1</v>
      </c>
      <c r="H69" s="35">
        <v>81588</v>
      </c>
      <c r="I69" s="33" t="s">
        <v>104</v>
      </c>
      <c r="J69" s="35">
        <v>51523878</v>
      </c>
      <c r="K69" s="35" t="s">
        <v>3255</v>
      </c>
      <c r="L69" s="35" t="s">
        <v>3257</v>
      </c>
      <c r="M69" s="36">
        <v>139900</v>
      </c>
      <c r="N69" s="14" t="s">
        <v>618</v>
      </c>
      <c r="O69" s="14" t="str">
        <f t="shared" si="11"/>
        <v>B1G2</v>
      </c>
      <c r="P69" s="14" t="s">
        <v>618</v>
      </c>
    </row>
    <row r="70" spans="1:16" x14ac:dyDescent="0.25">
      <c r="A70" s="33" t="str">
        <f t="shared" si="8"/>
        <v>2025 JUN B1G2</v>
      </c>
      <c r="B70" s="8">
        <f t="shared" si="9"/>
        <v>46099</v>
      </c>
      <c r="C70" s="8">
        <f t="shared" si="10"/>
        <v>46113</v>
      </c>
      <c r="D70" s="33">
        <v>3272</v>
      </c>
      <c r="E70" s="33">
        <v>336</v>
      </c>
      <c r="F70" s="33">
        <v>4</v>
      </c>
      <c r="G70" s="35">
        <v>1</v>
      </c>
      <c r="H70" s="35">
        <v>81588</v>
      </c>
      <c r="I70" s="33" t="s">
        <v>104</v>
      </c>
      <c r="J70" s="35">
        <v>51523887</v>
      </c>
      <c r="K70" s="35" t="s">
        <v>3255</v>
      </c>
      <c r="L70" s="35" t="s">
        <v>3258</v>
      </c>
      <c r="M70" s="36">
        <v>139900</v>
      </c>
      <c r="N70" s="14" t="s">
        <v>618</v>
      </c>
      <c r="O70" s="14" t="str">
        <f t="shared" si="11"/>
        <v>B1G2</v>
      </c>
      <c r="P70" s="14" t="s">
        <v>618</v>
      </c>
    </row>
    <row r="71" spans="1:16" x14ac:dyDescent="0.25">
      <c r="A71" s="33" t="str">
        <f t="shared" si="8"/>
        <v>2025 JUN B1G2</v>
      </c>
      <c r="B71" s="8">
        <f t="shared" si="9"/>
        <v>46099</v>
      </c>
      <c r="C71" s="8">
        <f t="shared" si="10"/>
        <v>46113</v>
      </c>
      <c r="D71" s="33">
        <v>3272</v>
      </c>
      <c r="E71" s="33">
        <v>336</v>
      </c>
      <c r="F71" s="33">
        <v>4</v>
      </c>
      <c r="G71" s="35">
        <v>1</v>
      </c>
      <c r="H71" s="35">
        <v>81588</v>
      </c>
      <c r="I71" s="33" t="s">
        <v>104</v>
      </c>
      <c r="J71" s="35">
        <v>51523896</v>
      </c>
      <c r="K71" s="35" t="s">
        <v>3255</v>
      </c>
      <c r="L71" s="35" t="s">
        <v>3259</v>
      </c>
      <c r="M71" s="36">
        <v>139900</v>
      </c>
      <c r="N71" s="14" t="s">
        <v>618</v>
      </c>
      <c r="O71" s="14" t="str">
        <f t="shared" si="11"/>
        <v>B1G2</v>
      </c>
      <c r="P71" s="14" t="s">
        <v>618</v>
      </c>
    </row>
    <row r="72" spans="1:16" x14ac:dyDescent="0.25">
      <c r="A72" s="33" t="str">
        <f t="shared" si="8"/>
        <v>2025 JUN B1G2</v>
      </c>
      <c r="B72" s="8">
        <f t="shared" si="9"/>
        <v>46099</v>
      </c>
      <c r="C72" s="8">
        <f t="shared" si="10"/>
        <v>46113</v>
      </c>
      <c r="D72" s="33">
        <v>3272</v>
      </c>
      <c r="E72" s="33">
        <v>336</v>
      </c>
      <c r="F72" s="33">
        <v>4</v>
      </c>
      <c r="G72" s="35">
        <v>1</v>
      </c>
      <c r="H72" s="35">
        <v>81588</v>
      </c>
      <c r="I72" s="33" t="s">
        <v>104</v>
      </c>
      <c r="J72" s="35">
        <v>51523903</v>
      </c>
      <c r="K72" s="35" t="s">
        <v>3255</v>
      </c>
      <c r="L72" s="35" t="s">
        <v>3260</v>
      </c>
      <c r="M72" s="36">
        <v>139900</v>
      </c>
      <c r="N72" s="14" t="s">
        <v>618</v>
      </c>
      <c r="O72" s="14" t="str">
        <f t="shared" si="11"/>
        <v>B1G2</v>
      </c>
      <c r="P72" s="14" t="s">
        <v>618</v>
      </c>
    </row>
    <row r="73" spans="1:16" x14ac:dyDescent="0.25">
      <c r="A73" s="33" t="str">
        <f t="shared" si="8"/>
        <v>2025 JUN B1G2</v>
      </c>
      <c r="B73" s="8">
        <f t="shared" si="9"/>
        <v>46099</v>
      </c>
      <c r="C73" s="8">
        <f t="shared" si="10"/>
        <v>46113</v>
      </c>
      <c r="D73" s="33">
        <v>3272</v>
      </c>
      <c r="E73" s="33">
        <v>336</v>
      </c>
      <c r="F73" s="33">
        <v>4</v>
      </c>
      <c r="G73" s="35">
        <v>1</v>
      </c>
      <c r="H73" s="35">
        <v>81588</v>
      </c>
      <c r="I73" s="33" t="s">
        <v>104</v>
      </c>
      <c r="J73" s="35">
        <v>51523912</v>
      </c>
      <c r="K73" s="35" t="s">
        <v>3255</v>
      </c>
      <c r="L73" s="35" t="s">
        <v>3261</v>
      </c>
      <c r="M73" s="36">
        <v>139900</v>
      </c>
      <c r="N73" s="14" t="s">
        <v>618</v>
      </c>
      <c r="O73" s="14" t="str">
        <f t="shared" si="11"/>
        <v>B1G2</v>
      </c>
      <c r="P73" s="14" t="s">
        <v>618</v>
      </c>
    </row>
    <row r="74" spans="1:16" x14ac:dyDescent="0.25">
      <c r="A74" s="33" t="str">
        <f t="shared" si="8"/>
        <v>2025 JUN B1G2</v>
      </c>
      <c r="B74" s="8">
        <f t="shared" si="9"/>
        <v>46099</v>
      </c>
      <c r="C74" s="8">
        <f t="shared" si="10"/>
        <v>46113</v>
      </c>
      <c r="D74" s="33">
        <v>3272</v>
      </c>
      <c r="E74" s="33">
        <v>336</v>
      </c>
      <c r="F74" s="33">
        <v>4</v>
      </c>
      <c r="G74" s="35">
        <v>1</v>
      </c>
      <c r="H74" s="35">
        <v>81588</v>
      </c>
      <c r="I74" s="33" t="s">
        <v>104</v>
      </c>
      <c r="J74" s="35">
        <v>51523921</v>
      </c>
      <c r="K74" s="35" t="s">
        <v>3255</v>
      </c>
      <c r="L74" s="35" t="s">
        <v>3262</v>
      </c>
      <c r="M74" s="36">
        <v>139900</v>
      </c>
      <c r="N74" s="14" t="s">
        <v>618</v>
      </c>
      <c r="O74" s="14" t="str">
        <f t="shared" si="11"/>
        <v>B1G2</v>
      </c>
      <c r="P74" s="14" t="s">
        <v>618</v>
      </c>
    </row>
    <row r="75" spans="1:16" x14ac:dyDescent="0.25">
      <c r="A75" s="33" t="str">
        <f t="shared" si="8"/>
        <v>2025 JUN B1G2</v>
      </c>
      <c r="B75" s="8">
        <f t="shared" si="9"/>
        <v>46099</v>
      </c>
      <c r="C75" s="8">
        <f t="shared" si="10"/>
        <v>46113</v>
      </c>
      <c r="D75" s="33">
        <v>3272</v>
      </c>
      <c r="E75" s="33">
        <v>336</v>
      </c>
      <c r="F75" s="33">
        <v>4</v>
      </c>
      <c r="G75" s="35">
        <v>1</v>
      </c>
      <c r="H75" s="35">
        <v>81588</v>
      </c>
      <c r="I75" s="33" t="s">
        <v>104</v>
      </c>
      <c r="J75" s="35">
        <v>51523930</v>
      </c>
      <c r="K75" s="35" t="s">
        <v>3255</v>
      </c>
      <c r="L75" s="35" t="s">
        <v>3263</v>
      </c>
      <c r="M75" s="36">
        <v>139900</v>
      </c>
      <c r="N75" s="14" t="s">
        <v>618</v>
      </c>
      <c r="O75" s="14" t="str">
        <f t="shared" si="11"/>
        <v>B1G2</v>
      </c>
      <c r="P75" s="14" t="s">
        <v>618</v>
      </c>
    </row>
    <row r="76" spans="1:16" x14ac:dyDescent="0.25">
      <c r="A76" s="33" t="str">
        <f t="shared" si="8"/>
        <v>2025 JUN B1G2</v>
      </c>
      <c r="B76" s="8">
        <f t="shared" si="9"/>
        <v>46099</v>
      </c>
      <c r="C76" s="8">
        <f t="shared" si="10"/>
        <v>46113</v>
      </c>
      <c r="D76" s="33">
        <v>3272</v>
      </c>
      <c r="E76" s="33">
        <v>336</v>
      </c>
      <c r="F76" s="33">
        <v>4</v>
      </c>
      <c r="G76" s="35">
        <v>1</v>
      </c>
      <c r="H76" s="35">
        <v>81676</v>
      </c>
      <c r="I76" s="33" t="s">
        <v>104</v>
      </c>
      <c r="J76" s="35">
        <v>51503890</v>
      </c>
      <c r="K76" s="35" t="s">
        <v>2499</v>
      </c>
      <c r="L76" s="35" t="s">
        <v>2571</v>
      </c>
      <c r="M76" s="36">
        <v>139900</v>
      </c>
      <c r="N76" s="14" t="s">
        <v>618</v>
      </c>
      <c r="O76" s="14" t="str">
        <f t="shared" si="11"/>
        <v>B1G2</v>
      </c>
      <c r="P76" s="14" t="s">
        <v>618</v>
      </c>
    </row>
    <row r="77" spans="1:16" x14ac:dyDescent="0.25">
      <c r="A77" s="33" t="str">
        <f t="shared" si="8"/>
        <v>2025 JUN B1G2</v>
      </c>
      <c r="B77" s="8">
        <f t="shared" si="9"/>
        <v>46099</v>
      </c>
      <c r="C77" s="8">
        <f t="shared" si="10"/>
        <v>46113</v>
      </c>
      <c r="D77" s="33">
        <v>3272</v>
      </c>
      <c r="E77" s="33">
        <v>336</v>
      </c>
      <c r="F77" s="33">
        <v>4</v>
      </c>
      <c r="G77" s="35">
        <v>1</v>
      </c>
      <c r="H77" s="35">
        <v>81676</v>
      </c>
      <c r="I77" s="33" t="s">
        <v>104</v>
      </c>
      <c r="J77" s="35">
        <v>51503907</v>
      </c>
      <c r="K77" s="35" t="s">
        <v>2499</v>
      </c>
      <c r="L77" s="35" t="s">
        <v>2572</v>
      </c>
      <c r="M77" s="36">
        <v>139900</v>
      </c>
      <c r="N77" s="14" t="s">
        <v>618</v>
      </c>
      <c r="O77" s="14" t="str">
        <f t="shared" si="11"/>
        <v>B1G2</v>
      </c>
      <c r="P77" s="14" t="s">
        <v>618</v>
      </c>
    </row>
    <row r="78" spans="1:16" x14ac:dyDescent="0.25">
      <c r="A78" s="33" t="str">
        <f t="shared" si="8"/>
        <v>2025 JUN B1G2</v>
      </c>
      <c r="B78" s="8">
        <f t="shared" si="9"/>
        <v>46099</v>
      </c>
      <c r="C78" s="8">
        <f t="shared" si="10"/>
        <v>46113</v>
      </c>
      <c r="D78" s="33">
        <v>3272</v>
      </c>
      <c r="E78" s="33">
        <v>336</v>
      </c>
      <c r="F78" s="33">
        <v>4</v>
      </c>
      <c r="G78" s="35">
        <v>1</v>
      </c>
      <c r="H78" s="35">
        <v>81676</v>
      </c>
      <c r="I78" s="33" t="s">
        <v>104</v>
      </c>
      <c r="J78" s="35">
        <v>51503916</v>
      </c>
      <c r="K78" s="35" t="s">
        <v>2499</v>
      </c>
      <c r="L78" s="35" t="s">
        <v>2573</v>
      </c>
      <c r="M78" s="36">
        <v>139900</v>
      </c>
      <c r="N78" s="14" t="s">
        <v>618</v>
      </c>
      <c r="O78" s="14" t="str">
        <f t="shared" si="11"/>
        <v>B1G2</v>
      </c>
      <c r="P78" s="14" t="s">
        <v>618</v>
      </c>
    </row>
    <row r="79" spans="1:16" x14ac:dyDescent="0.25">
      <c r="A79" s="33" t="str">
        <f t="shared" si="8"/>
        <v>2025 JUN B1G2</v>
      </c>
      <c r="B79" s="8">
        <f t="shared" si="9"/>
        <v>46099</v>
      </c>
      <c r="C79" s="8">
        <f t="shared" si="10"/>
        <v>46113</v>
      </c>
      <c r="D79" s="33">
        <v>3272</v>
      </c>
      <c r="E79" s="33">
        <v>336</v>
      </c>
      <c r="F79" s="33">
        <v>4</v>
      </c>
      <c r="G79" s="35">
        <v>1</v>
      </c>
      <c r="H79" s="35">
        <v>81676</v>
      </c>
      <c r="I79" s="33" t="s">
        <v>104</v>
      </c>
      <c r="J79" s="35">
        <v>51503925</v>
      </c>
      <c r="K79" s="35" t="s">
        <v>2499</v>
      </c>
      <c r="L79" s="35" t="s">
        <v>2574</v>
      </c>
      <c r="M79" s="36">
        <v>139900</v>
      </c>
      <c r="N79" s="14" t="s">
        <v>618</v>
      </c>
      <c r="O79" s="14" t="str">
        <f t="shared" si="11"/>
        <v>B1G2</v>
      </c>
      <c r="P79" s="14" t="s">
        <v>618</v>
      </c>
    </row>
    <row r="80" spans="1:16" x14ac:dyDescent="0.25">
      <c r="A80" s="33" t="str">
        <f t="shared" si="8"/>
        <v>2025 JUN B1G2</v>
      </c>
      <c r="B80" s="8">
        <f t="shared" si="9"/>
        <v>46099</v>
      </c>
      <c r="C80" s="8">
        <f t="shared" si="10"/>
        <v>46113</v>
      </c>
      <c r="D80" s="33">
        <v>3272</v>
      </c>
      <c r="E80" s="33">
        <v>336</v>
      </c>
      <c r="F80" s="33">
        <v>4</v>
      </c>
      <c r="G80" s="35">
        <v>1</v>
      </c>
      <c r="H80" s="35">
        <v>81676</v>
      </c>
      <c r="I80" s="33" t="s">
        <v>104</v>
      </c>
      <c r="J80" s="35">
        <v>51503934</v>
      </c>
      <c r="K80" s="35" t="s">
        <v>2499</v>
      </c>
      <c r="L80" s="35" t="s">
        <v>2575</v>
      </c>
      <c r="M80" s="36">
        <v>139900</v>
      </c>
      <c r="N80" s="14" t="s">
        <v>618</v>
      </c>
      <c r="O80" s="14" t="str">
        <f t="shared" si="11"/>
        <v>B1G2</v>
      </c>
      <c r="P80" s="14" t="s">
        <v>618</v>
      </c>
    </row>
    <row r="81" spans="1:16" x14ac:dyDescent="0.25">
      <c r="A81" s="33" t="str">
        <f t="shared" si="8"/>
        <v>2025 JUN B1G2</v>
      </c>
      <c r="B81" s="8">
        <f t="shared" si="9"/>
        <v>46099</v>
      </c>
      <c r="C81" s="8">
        <f t="shared" si="10"/>
        <v>46113</v>
      </c>
      <c r="D81" s="33">
        <v>3272</v>
      </c>
      <c r="E81" s="33">
        <v>336</v>
      </c>
      <c r="F81" s="33">
        <v>4</v>
      </c>
      <c r="G81" s="35">
        <v>1</v>
      </c>
      <c r="H81" s="35">
        <v>81676</v>
      </c>
      <c r="I81" s="33" t="s">
        <v>104</v>
      </c>
      <c r="J81" s="35">
        <v>51503998</v>
      </c>
      <c r="K81" s="35" t="s">
        <v>2500</v>
      </c>
      <c r="L81" s="35" t="s">
        <v>2576</v>
      </c>
      <c r="M81" s="36">
        <v>149900</v>
      </c>
      <c r="N81" s="14" t="s">
        <v>618</v>
      </c>
      <c r="O81" s="14" t="str">
        <f t="shared" si="11"/>
        <v>B1G2</v>
      </c>
      <c r="P81" s="14" t="s">
        <v>618</v>
      </c>
    </row>
    <row r="82" spans="1:16" x14ac:dyDescent="0.25">
      <c r="A82" s="33" t="str">
        <f t="shared" si="8"/>
        <v>2025 JUN B1G2</v>
      </c>
      <c r="B82" s="8">
        <f t="shared" si="9"/>
        <v>46099</v>
      </c>
      <c r="C82" s="8">
        <f t="shared" si="10"/>
        <v>46113</v>
      </c>
      <c r="D82" s="33">
        <v>3272</v>
      </c>
      <c r="E82" s="33">
        <v>336</v>
      </c>
      <c r="F82" s="33">
        <v>4</v>
      </c>
      <c r="G82" s="35">
        <v>1</v>
      </c>
      <c r="H82" s="35">
        <v>81676</v>
      </c>
      <c r="I82" s="33" t="s">
        <v>104</v>
      </c>
      <c r="J82" s="35">
        <v>51504004</v>
      </c>
      <c r="K82" s="35" t="s">
        <v>2500</v>
      </c>
      <c r="L82" s="35" t="s">
        <v>2577</v>
      </c>
      <c r="M82" s="36">
        <v>149900</v>
      </c>
      <c r="N82" s="14" t="s">
        <v>618</v>
      </c>
      <c r="O82" s="14" t="str">
        <f t="shared" si="11"/>
        <v>B1G2</v>
      </c>
      <c r="P82" s="14" t="s">
        <v>618</v>
      </c>
    </row>
    <row r="83" spans="1:16" x14ac:dyDescent="0.25">
      <c r="A83" s="33" t="str">
        <f t="shared" si="8"/>
        <v>2025 JUN B1G2</v>
      </c>
      <c r="B83" s="8">
        <f t="shared" si="9"/>
        <v>46099</v>
      </c>
      <c r="C83" s="8">
        <f t="shared" si="10"/>
        <v>46113</v>
      </c>
      <c r="D83" s="33">
        <v>3272</v>
      </c>
      <c r="E83" s="33">
        <v>336</v>
      </c>
      <c r="F83" s="33">
        <v>4</v>
      </c>
      <c r="G83" s="35">
        <v>1</v>
      </c>
      <c r="H83" s="35">
        <v>81676</v>
      </c>
      <c r="I83" s="33" t="s">
        <v>104</v>
      </c>
      <c r="J83" s="35">
        <v>51504013</v>
      </c>
      <c r="K83" s="35" t="s">
        <v>2500</v>
      </c>
      <c r="L83" s="35" t="s">
        <v>2578</v>
      </c>
      <c r="M83" s="36">
        <v>149900</v>
      </c>
      <c r="N83" s="14" t="s">
        <v>618</v>
      </c>
      <c r="O83" s="14" t="str">
        <f t="shared" si="11"/>
        <v>B1G2</v>
      </c>
      <c r="P83" s="14" t="s">
        <v>618</v>
      </c>
    </row>
    <row r="84" spans="1:16" x14ac:dyDescent="0.25">
      <c r="A84" s="33" t="str">
        <f t="shared" si="8"/>
        <v>2025 JUN B1G2</v>
      </c>
      <c r="B84" s="8">
        <f t="shared" si="9"/>
        <v>46099</v>
      </c>
      <c r="C84" s="8">
        <f t="shared" si="10"/>
        <v>46113</v>
      </c>
      <c r="D84" s="33">
        <v>3272</v>
      </c>
      <c r="E84" s="33">
        <v>336</v>
      </c>
      <c r="F84" s="33">
        <v>4</v>
      </c>
      <c r="G84" s="35">
        <v>1</v>
      </c>
      <c r="H84" s="35">
        <v>81676</v>
      </c>
      <c r="I84" s="33" t="s">
        <v>104</v>
      </c>
      <c r="J84" s="35">
        <v>51504022</v>
      </c>
      <c r="K84" s="35" t="s">
        <v>2500</v>
      </c>
      <c r="L84" s="35" t="s">
        <v>2579</v>
      </c>
      <c r="M84" s="36">
        <v>149900</v>
      </c>
      <c r="N84" s="14" t="s">
        <v>618</v>
      </c>
      <c r="O84" s="14" t="str">
        <f t="shared" si="11"/>
        <v>B1G2</v>
      </c>
      <c r="P84" s="14" t="s">
        <v>618</v>
      </c>
    </row>
    <row r="85" spans="1:16" x14ac:dyDescent="0.25">
      <c r="A85" s="33" t="str">
        <f t="shared" si="8"/>
        <v>2025 JUN B1G2</v>
      </c>
      <c r="B85" s="8">
        <f t="shared" si="9"/>
        <v>46099</v>
      </c>
      <c r="C85" s="8">
        <f t="shared" si="10"/>
        <v>46113</v>
      </c>
      <c r="D85" s="33">
        <v>3272</v>
      </c>
      <c r="E85" s="33">
        <v>336</v>
      </c>
      <c r="F85" s="33">
        <v>4</v>
      </c>
      <c r="G85" s="35">
        <v>1</v>
      </c>
      <c r="H85" s="35">
        <v>81676</v>
      </c>
      <c r="I85" s="33" t="s">
        <v>104</v>
      </c>
      <c r="J85" s="35">
        <v>51504031</v>
      </c>
      <c r="K85" s="35" t="s">
        <v>2500</v>
      </c>
      <c r="L85" s="35" t="s">
        <v>2580</v>
      </c>
      <c r="M85" s="36">
        <v>149900</v>
      </c>
      <c r="N85" s="14" t="s">
        <v>618</v>
      </c>
      <c r="O85" s="14" t="str">
        <f t="shared" si="11"/>
        <v>B1G2</v>
      </c>
      <c r="P85" s="14" t="s">
        <v>618</v>
      </c>
    </row>
    <row r="86" spans="1:16" x14ac:dyDescent="0.25">
      <c r="A86" s="33" t="str">
        <f t="shared" si="8"/>
        <v>2025 JUN B1G2</v>
      </c>
      <c r="B86" s="8">
        <f t="shared" si="9"/>
        <v>46099</v>
      </c>
      <c r="C86" s="8">
        <f t="shared" si="10"/>
        <v>46113</v>
      </c>
      <c r="D86" s="33">
        <v>3272</v>
      </c>
      <c r="E86" s="33">
        <v>336</v>
      </c>
      <c r="F86" s="33">
        <v>4</v>
      </c>
      <c r="G86" s="35">
        <v>1</v>
      </c>
      <c r="H86" s="35">
        <v>81676</v>
      </c>
      <c r="I86" s="33" t="s">
        <v>104</v>
      </c>
      <c r="J86" s="35">
        <v>53661297</v>
      </c>
      <c r="K86" s="35" t="s">
        <v>3264</v>
      </c>
      <c r="L86" s="35" t="s">
        <v>3265</v>
      </c>
      <c r="M86" s="36">
        <v>149900</v>
      </c>
      <c r="N86" s="14" t="s">
        <v>618</v>
      </c>
      <c r="O86" s="14" t="str">
        <f t="shared" si="11"/>
        <v>B1G2</v>
      </c>
      <c r="P86" s="14" t="s">
        <v>618</v>
      </c>
    </row>
    <row r="87" spans="1:16" x14ac:dyDescent="0.25">
      <c r="A87" s="33" t="str">
        <f t="shared" si="8"/>
        <v>2025 JUN B1G2</v>
      </c>
      <c r="B87" s="8">
        <f t="shared" si="9"/>
        <v>46099</v>
      </c>
      <c r="C87" s="8">
        <f t="shared" si="10"/>
        <v>46113</v>
      </c>
      <c r="D87" s="33">
        <v>3272</v>
      </c>
      <c r="E87" s="33">
        <v>336</v>
      </c>
      <c r="F87" s="33">
        <v>4</v>
      </c>
      <c r="G87" s="35">
        <v>1</v>
      </c>
      <c r="H87" s="35">
        <v>81676</v>
      </c>
      <c r="I87" s="33" t="s">
        <v>104</v>
      </c>
      <c r="J87" s="35">
        <v>53661304</v>
      </c>
      <c r="K87" s="35" t="s">
        <v>3264</v>
      </c>
      <c r="L87" s="35" t="s">
        <v>3266</v>
      </c>
      <c r="M87" s="36">
        <v>149900</v>
      </c>
      <c r="N87" s="14" t="s">
        <v>618</v>
      </c>
      <c r="O87" s="14" t="str">
        <f t="shared" si="11"/>
        <v>B1G2</v>
      </c>
      <c r="P87" s="14" t="s">
        <v>618</v>
      </c>
    </row>
    <row r="88" spans="1:16" x14ac:dyDescent="0.25">
      <c r="A88" s="33" t="str">
        <f t="shared" si="8"/>
        <v>2025 JUN B1G2</v>
      </c>
      <c r="B88" s="8">
        <f t="shared" si="9"/>
        <v>46099</v>
      </c>
      <c r="C88" s="8">
        <f t="shared" si="10"/>
        <v>46113</v>
      </c>
      <c r="D88" s="33">
        <v>3272</v>
      </c>
      <c r="E88" s="33">
        <v>336</v>
      </c>
      <c r="F88" s="33">
        <v>4</v>
      </c>
      <c r="G88" s="35">
        <v>1</v>
      </c>
      <c r="H88" s="35">
        <v>81676</v>
      </c>
      <c r="I88" s="33" t="s">
        <v>104</v>
      </c>
      <c r="J88" s="35">
        <v>53661313</v>
      </c>
      <c r="K88" s="35" t="s">
        <v>3264</v>
      </c>
      <c r="L88" s="35" t="s">
        <v>3267</v>
      </c>
      <c r="M88" s="36">
        <v>149900</v>
      </c>
      <c r="N88" s="14" t="s">
        <v>618</v>
      </c>
      <c r="O88" s="14" t="str">
        <f t="shared" si="11"/>
        <v>B1G2</v>
      </c>
      <c r="P88" s="14" t="s">
        <v>618</v>
      </c>
    </row>
    <row r="89" spans="1:16" x14ac:dyDescent="0.25">
      <c r="A89" s="33" t="str">
        <f t="shared" si="8"/>
        <v>2025 JUN B1G2</v>
      </c>
      <c r="B89" s="8">
        <f t="shared" si="9"/>
        <v>46099</v>
      </c>
      <c r="C89" s="8">
        <f t="shared" si="10"/>
        <v>46113</v>
      </c>
      <c r="D89" s="33">
        <v>3272</v>
      </c>
      <c r="E89" s="33">
        <v>336</v>
      </c>
      <c r="F89" s="33">
        <v>4</v>
      </c>
      <c r="G89" s="35">
        <v>1</v>
      </c>
      <c r="H89" s="35">
        <v>81676</v>
      </c>
      <c r="I89" s="33" t="s">
        <v>104</v>
      </c>
      <c r="J89" s="35">
        <v>53661322</v>
      </c>
      <c r="K89" s="35" t="s">
        <v>3264</v>
      </c>
      <c r="L89" s="35" t="s">
        <v>3268</v>
      </c>
      <c r="M89" s="36">
        <v>149900</v>
      </c>
      <c r="N89" s="14" t="s">
        <v>618</v>
      </c>
      <c r="O89" s="14" t="str">
        <f t="shared" si="11"/>
        <v>B1G2</v>
      </c>
      <c r="P89" s="14" t="s">
        <v>618</v>
      </c>
    </row>
    <row r="90" spans="1:16" x14ac:dyDescent="0.25">
      <c r="A90" s="33" t="str">
        <f t="shared" si="8"/>
        <v>2025 JUN B1G2</v>
      </c>
      <c r="B90" s="8">
        <f t="shared" si="9"/>
        <v>46099</v>
      </c>
      <c r="C90" s="8">
        <f t="shared" si="10"/>
        <v>46113</v>
      </c>
      <c r="D90" s="33">
        <v>3272</v>
      </c>
      <c r="E90" s="33">
        <v>336</v>
      </c>
      <c r="F90" s="33">
        <v>4</v>
      </c>
      <c r="G90" s="35">
        <v>1</v>
      </c>
      <c r="H90" s="35">
        <v>81676</v>
      </c>
      <c r="I90" s="33" t="s">
        <v>104</v>
      </c>
      <c r="J90" s="35">
        <v>53661331</v>
      </c>
      <c r="K90" s="35" t="s">
        <v>3264</v>
      </c>
      <c r="L90" s="35" t="s">
        <v>3269</v>
      </c>
      <c r="M90" s="36">
        <v>149900</v>
      </c>
      <c r="N90" s="14" t="s">
        <v>618</v>
      </c>
      <c r="O90" s="14" t="str">
        <f t="shared" si="11"/>
        <v>B1G2</v>
      </c>
      <c r="P90" s="14" t="s">
        <v>618</v>
      </c>
    </row>
    <row r="91" spans="1:16" x14ac:dyDescent="0.25">
      <c r="A91" s="33" t="str">
        <f t="shared" si="8"/>
        <v>2025 JUN B1G2</v>
      </c>
      <c r="B91" s="8">
        <f t="shared" si="9"/>
        <v>46099</v>
      </c>
      <c r="C91" s="8">
        <f t="shared" si="10"/>
        <v>46113</v>
      </c>
      <c r="D91" s="33">
        <v>3272</v>
      </c>
      <c r="E91" s="33">
        <v>336</v>
      </c>
      <c r="F91" s="33">
        <v>4</v>
      </c>
      <c r="G91" s="35">
        <v>1</v>
      </c>
      <c r="H91" s="35">
        <v>81676</v>
      </c>
      <c r="I91" s="33" t="s">
        <v>104</v>
      </c>
      <c r="J91" s="35">
        <v>53661340</v>
      </c>
      <c r="K91" s="35" t="s">
        <v>3264</v>
      </c>
      <c r="L91" s="35" t="s">
        <v>3270</v>
      </c>
      <c r="M91" s="36">
        <v>149900</v>
      </c>
      <c r="N91" s="14" t="s">
        <v>618</v>
      </c>
      <c r="O91" s="14" t="str">
        <f t="shared" si="11"/>
        <v>B1G2</v>
      </c>
      <c r="P91" s="14" t="s">
        <v>618</v>
      </c>
    </row>
    <row r="92" spans="1:16" x14ac:dyDescent="0.25">
      <c r="A92" s="33" t="str">
        <f t="shared" si="8"/>
        <v>2025 JUN B1G2</v>
      </c>
      <c r="B92" s="8">
        <f t="shared" si="9"/>
        <v>46099</v>
      </c>
      <c r="C92" s="8">
        <f t="shared" si="10"/>
        <v>46113</v>
      </c>
      <c r="D92" s="33">
        <v>3272</v>
      </c>
      <c r="E92" s="33">
        <v>336</v>
      </c>
      <c r="F92" s="33">
        <v>4</v>
      </c>
      <c r="G92" s="35">
        <v>1</v>
      </c>
      <c r="H92" s="35">
        <v>81676</v>
      </c>
      <c r="I92" s="33" t="s">
        <v>104</v>
      </c>
      <c r="J92" s="35">
        <v>53661359</v>
      </c>
      <c r="K92" s="35" t="s">
        <v>3264</v>
      </c>
      <c r="L92" s="35" t="s">
        <v>3271</v>
      </c>
      <c r="M92" s="36">
        <v>149900</v>
      </c>
      <c r="N92" s="14" t="s">
        <v>618</v>
      </c>
      <c r="O92" s="14" t="str">
        <f t="shared" si="11"/>
        <v>B1G2</v>
      </c>
      <c r="P92" s="14" t="s">
        <v>618</v>
      </c>
    </row>
    <row r="93" spans="1:16" x14ac:dyDescent="0.25">
      <c r="A93" s="33" t="str">
        <f t="shared" si="8"/>
        <v>2025 JUN B1G2</v>
      </c>
      <c r="B93" s="8">
        <f t="shared" si="9"/>
        <v>46099</v>
      </c>
      <c r="C93" s="8">
        <f t="shared" si="10"/>
        <v>46113</v>
      </c>
      <c r="D93" s="33">
        <v>3272</v>
      </c>
      <c r="E93" s="33">
        <v>336</v>
      </c>
      <c r="F93" s="33">
        <v>4</v>
      </c>
      <c r="G93" s="35">
        <v>1</v>
      </c>
      <c r="H93" s="35">
        <v>81676</v>
      </c>
      <c r="I93" s="33" t="s">
        <v>104</v>
      </c>
      <c r="J93" s="35">
        <v>53661368</v>
      </c>
      <c r="K93" s="35" t="s">
        <v>3264</v>
      </c>
      <c r="L93" s="35" t="s">
        <v>3272</v>
      </c>
      <c r="M93" s="36">
        <v>149900</v>
      </c>
      <c r="N93" s="14" t="s">
        <v>618</v>
      </c>
      <c r="O93" s="14" t="str">
        <f t="shared" si="11"/>
        <v>B1G2</v>
      </c>
      <c r="P93" s="14" t="s">
        <v>618</v>
      </c>
    </row>
    <row r="94" spans="1:16" x14ac:dyDescent="0.25">
      <c r="A94" s="33" t="str">
        <f t="shared" si="8"/>
        <v>2025 JUN B1G2</v>
      </c>
      <c r="B94" s="8">
        <f t="shared" si="9"/>
        <v>46099</v>
      </c>
      <c r="C94" s="8">
        <f t="shared" si="10"/>
        <v>46113</v>
      </c>
      <c r="D94" s="33">
        <v>3272</v>
      </c>
      <c r="E94" s="33">
        <v>336</v>
      </c>
      <c r="F94" s="33">
        <v>4</v>
      </c>
      <c r="G94" s="35">
        <v>3</v>
      </c>
      <c r="H94" s="35">
        <v>81379</v>
      </c>
      <c r="I94" s="33" t="s">
        <v>104</v>
      </c>
      <c r="J94" s="35">
        <v>51511229</v>
      </c>
      <c r="K94" s="35" t="s">
        <v>3460</v>
      </c>
      <c r="L94" s="35" t="s">
        <v>3480</v>
      </c>
      <c r="M94" s="36">
        <v>249900</v>
      </c>
      <c r="N94" s="14" t="s">
        <v>618</v>
      </c>
      <c r="O94" s="14" t="str">
        <f t="shared" si="11"/>
        <v>B1G2</v>
      </c>
      <c r="P94" s="14" t="s">
        <v>618</v>
      </c>
    </row>
    <row r="95" spans="1:16" x14ac:dyDescent="0.25">
      <c r="A95" s="33" t="str">
        <f t="shared" si="8"/>
        <v>2025 JUN B1G2</v>
      </c>
      <c r="B95" s="8">
        <f t="shared" si="9"/>
        <v>46099</v>
      </c>
      <c r="C95" s="8">
        <f t="shared" si="10"/>
        <v>46113</v>
      </c>
      <c r="D95" s="33">
        <v>3272</v>
      </c>
      <c r="E95" s="33">
        <v>336</v>
      </c>
      <c r="F95" s="33">
        <v>4</v>
      </c>
      <c r="G95" s="35">
        <v>3</v>
      </c>
      <c r="H95" s="35">
        <v>81379</v>
      </c>
      <c r="I95" s="33" t="s">
        <v>104</v>
      </c>
      <c r="J95" s="35">
        <v>51511238</v>
      </c>
      <c r="K95" s="35" t="s">
        <v>3460</v>
      </c>
      <c r="L95" s="35" t="s">
        <v>3481</v>
      </c>
      <c r="M95" s="36">
        <v>249900</v>
      </c>
      <c r="N95" s="14" t="s">
        <v>618</v>
      </c>
      <c r="O95" s="14" t="str">
        <f t="shared" si="11"/>
        <v>B1G2</v>
      </c>
      <c r="P95" s="14" t="s">
        <v>618</v>
      </c>
    </row>
    <row r="96" spans="1:16" x14ac:dyDescent="0.25">
      <c r="A96" s="33" t="str">
        <f t="shared" si="8"/>
        <v>2025 JUN B1G2</v>
      </c>
      <c r="B96" s="8">
        <f t="shared" si="9"/>
        <v>46099</v>
      </c>
      <c r="C96" s="8">
        <f t="shared" si="10"/>
        <v>46113</v>
      </c>
      <c r="D96" s="33">
        <v>3272</v>
      </c>
      <c r="E96" s="33">
        <v>336</v>
      </c>
      <c r="F96" s="33">
        <v>4</v>
      </c>
      <c r="G96" s="35">
        <v>3</v>
      </c>
      <c r="H96" s="35">
        <v>81379</v>
      </c>
      <c r="I96" s="33" t="s">
        <v>104</v>
      </c>
      <c r="J96" s="35">
        <v>51511247</v>
      </c>
      <c r="K96" s="35" t="s">
        <v>3460</v>
      </c>
      <c r="L96" s="35" t="s">
        <v>3482</v>
      </c>
      <c r="M96" s="36">
        <v>249900</v>
      </c>
      <c r="N96" s="14" t="s">
        <v>618</v>
      </c>
      <c r="O96" s="14" t="str">
        <f t="shared" si="11"/>
        <v>B1G2</v>
      </c>
      <c r="P96" s="14" t="s">
        <v>618</v>
      </c>
    </row>
    <row r="97" spans="1:16" x14ac:dyDescent="0.25">
      <c r="A97" s="33" t="str">
        <f t="shared" si="8"/>
        <v>2025 JUN B1G2</v>
      </c>
      <c r="B97" s="8">
        <f t="shared" si="9"/>
        <v>46099</v>
      </c>
      <c r="C97" s="8">
        <f t="shared" si="10"/>
        <v>46113</v>
      </c>
      <c r="D97" s="33">
        <v>3272</v>
      </c>
      <c r="E97" s="33">
        <v>336</v>
      </c>
      <c r="F97" s="33">
        <v>4</v>
      </c>
      <c r="G97" s="35">
        <v>3</v>
      </c>
      <c r="H97" s="35">
        <v>81379</v>
      </c>
      <c r="I97" s="33" t="s">
        <v>104</v>
      </c>
      <c r="J97" s="35">
        <v>51511256</v>
      </c>
      <c r="K97" s="35" t="s">
        <v>3460</v>
      </c>
      <c r="L97" s="35" t="s">
        <v>3483</v>
      </c>
      <c r="M97" s="36">
        <v>249900</v>
      </c>
      <c r="N97" s="14" t="s">
        <v>618</v>
      </c>
      <c r="O97" s="14" t="str">
        <f t="shared" si="11"/>
        <v>B1G2</v>
      </c>
      <c r="P97" s="14" t="s">
        <v>618</v>
      </c>
    </row>
    <row r="98" spans="1:16" x14ac:dyDescent="0.25">
      <c r="A98" s="33" t="str">
        <f t="shared" si="8"/>
        <v>2025 JUN B1G2</v>
      </c>
      <c r="B98" s="8">
        <f t="shared" si="9"/>
        <v>46099</v>
      </c>
      <c r="C98" s="8">
        <f t="shared" si="10"/>
        <v>46113</v>
      </c>
      <c r="D98" s="33">
        <v>3272</v>
      </c>
      <c r="E98" s="33">
        <v>336</v>
      </c>
      <c r="F98" s="33">
        <v>4</v>
      </c>
      <c r="G98" s="35">
        <v>3</v>
      </c>
      <c r="H98" s="35">
        <v>81379</v>
      </c>
      <c r="I98" s="33" t="s">
        <v>104</v>
      </c>
      <c r="J98" s="35">
        <v>51511265</v>
      </c>
      <c r="K98" s="35" t="s">
        <v>3460</v>
      </c>
      <c r="L98" s="35" t="s">
        <v>3484</v>
      </c>
      <c r="M98" s="36">
        <v>249900</v>
      </c>
      <c r="N98" s="14" t="s">
        <v>618</v>
      </c>
      <c r="O98" s="14" t="str">
        <f t="shared" si="11"/>
        <v>B1G2</v>
      </c>
      <c r="P98" s="14" t="s">
        <v>618</v>
      </c>
    </row>
    <row r="99" spans="1:16" x14ac:dyDescent="0.25">
      <c r="A99" s="33" t="str">
        <f t="shared" ref="A99:A123" si="12">A98</f>
        <v>2025 JUN B1G2</v>
      </c>
      <c r="B99" s="8">
        <f t="shared" ref="B99:B123" si="13">B98</f>
        <v>46099</v>
      </c>
      <c r="C99" s="8">
        <f t="shared" ref="C99:C123" si="14">C98</f>
        <v>46113</v>
      </c>
      <c r="D99" s="33">
        <v>3272</v>
      </c>
      <c r="E99" s="33">
        <v>336</v>
      </c>
      <c r="F99" s="33">
        <v>4</v>
      </c>
      <c r="G99" s="35">
        <v>3</v>
      </c>
      <c r="H99" s="35">
        <v>81379</v>
      </c>
      <c r="I99" s="33" t="s">
        <v>104</v>
      </c>
      <c r="J99" s="35">
        <v>51511274</v>
      </c>
      <c r="K99" s="35" t="s">
        <v>3460</v>
      </c>
      <c r="L99" s="35" t="s">
        <v>3485</v>
      </c>
      <c r="M99" s="36">
        <v>249900</v>
      </c>
      <c r="N99" s="14" t="s">
        <v>618</v>
      </c>
      <c r="O99" s="14" t="str">
        <f t="shared" ref="O99:O123" si="15">O98</f>
        <v>B1G2</v>
      </c>
      <c r="P99" s="14" t="s">
        <v>618</v>
      </c>
    </row>
    <row r="100" spans="1:16" x14ac:dyDescent="0.25">
      <c r="A100" s="33" t="str">
        <f t="shared" si="12"/>
        <v>2025 JUN B1G2</v>
      </c>
      <c r="B100" s="8">
        <f t="shared" si="13"/>
        <v>46099</v>
      </c>
      <c r="C100" s="8">
        <f t="shared" si="14"/>
        <v>46113</v>
      </c>
      <c r="D100" s="33">
        <v>3272</v>
      </c>
      <c r="E100" s="33">
        <v>336</v>
      </c>
      <c r="F100" s="33">
        <v>4</v>
      </c>
      <c r="G100" s="35">
        <v>3</v>
      </c>
      <c r="H100" s="35">
        <v>81379</v>
      </c>
      <c r="I100" s="33" t="s">
        <v>104</v>
      </c>
      <c r="J100" s="35">
        <v>51511283</v>
      </c>
      <c r="K100" s="35" t="s">
        <v>3460</v>
      </c>
      <c r="L100" s="35" t="s">
        <v>3486</v>
      </c>
      <c r="M100" s="36">
        <v>249900</v>
      </c>
      <c r="N100" s="14" t="s">
        <v>618</v>
      </c>
      <c r="O100" s="14" t="str">
        <f t="shared" si="15"/>
        <v>B1G2</v>
      </c>
      <c r="P100" s="14" t="s">
        <v>618</v>
      </c>
    </row>
    <row r="101" spans="1:16" x14ac:dyDescent="0.25">
      <c r="A101" s="33" t="str">
        <f t="shared" si="12"/>
        <v>2025 JUN B1G2</v>
      </c>
      <c r="B101" s="8">
        <f t="shared" si="13"/>
        <v>46099</v>
      </c>
      <c r="C101" s="8">
        <f t="shared" si="14"/>
        <v>46113</v>
      </c>
      <c r="D101" s="33">
        <v>3272</v>
      </c>
      <c r="E101" s="33">
        <v>336</v>
      </c>
      <c r="F101" s="33">
        <v>4</v>
      </c>
      <c r="G101" s="35">
        <v>3</v>
      </c>
      <c r="H101" s="35">
        <v>81379</v>
      </c>
      <c r="I101" s="33" t="s">
        <v>104</v>
      </c>
      <c r="J101" s="35">
        <v>51511292</v>
      </c>
      <c r="K101" s="35" t="s">
        <v>3460</v>
      </c>
      <c r="L101" s="35" t="s">
        <v>3487</v>
      </c>
      <c r="M101" s="36">
        <v>249900</v>
      </c>
      <c r="N101" s="14" t="s">
        <v>618</v>
      </c>
      <c r="O101" s="14" t="str">
        <f t="shared" si="15"/>
        <v>B1G2</v>
      </c>
      <c r="P101" s="14" t="s">
        <v>618</v>
      </c>
    </row>
    <row r="102" spans="1:16" x14ac:dyDescent="0.25">
      <c r="A102" s="33" t="str">
        <f t="shared" si="12"/>
        <v>2025 JUN B1G2</v>
      </c>
      <c r="B102" s="8">
        <f t="shared" si="13"/>
        <v>46099</v>
      </c>
      <c r="C102" s="8">
        <f t="shared" si="14"/>
        <v>46113</v>
      </c>
      <c r="D102" s="33">
        <v>3272</v>
      </c>
      <c r="E102" s="33">
        <v>336</v>
      </c>
      <c r="F102" s="33">
        <v>4</v>
      </c>
      <c r="G102" s="35">
        <v>4</v>
      </c>
      <c r="H102" s="35">
        <v>4953</v>
      </c>
      <c r="I102" s="33" t="s">
        <v>104</v>
      </c>
      <c r="J102" s="35">
        <v>53661215</v>
      </c>
      <c r="K102" s="35" t="s">
        <v>3281</v>
      </c>
      <c r="L102" s="35" t="s">
        <v>3282</v>
      </c>
      <c r="M102" s="36">
        <v>149900</v>
      </c>
      <c r="N102" s="14" t="s">
        <v>618</v>
      </c>
      <c r="O102" s="14" t="str">
        <f t="shared" si="15"/>
        <v>B1G2</v>
      </c>
      <c r="P102" s="14" t="s">
        <v>618</v>
      </c>
    </row>
    <row r="103" spans="1:16" x14ac:dyDescent="0.25">
      <c r="A103" s="33" t="str">
        <f t="shared" si="12"/>
        <v>2025 JUN B1G2</v>
      </c>
      <c r="B103" s="8">
        <f t="shared" si="13"/>
        <v>46099</v>
      </c>
      <c r="C103" s="8">
        <f t="shared" si="14"/>
        <v>46113</v>
      </c>
      <c r="D103" s="33">
        <v>3272</v>
      </c>
      <c r="E103" s="33">
        <v>336</v>
      </c>
      <c r="F103" s="33">
        <v>4</v>
      </c>
      <c r="G103" s="35">
        <v>4</v>
      </c>
      <c r="H103" s="35">
        <v>4953</v>
      </c>
      <c r="I103" s="33" t="s">
        <v>104</v>
      </c>
      <c r="J103" s="35">
        <v>53661224</v>
      </c>
      <c r="K103" s="35" t="s">
        <v>3281</v>
      </c>
      <c r="L103" s="35" t="s">
        <v>3283</v>
      </c>
      <c r="M103" s="36">
        <v>149900</v>
      </c>
      <c r="N103" s="14" t="s">
        <v>618</v>
      </c>
      <c r="O103" s="14" t="str">
        <f t="shared" si="15"/>
        <v>B1G2</v>
      </c>
      <c r="P103" s="14" t="s">
        <v>618</v>
      </c>
    </row>
    <row r="104" spans="1:16" x14ac:dyDescent="0.25">
      <c r="A104" s="33" t="str">
        <f t="shared" si="12"/>
        <v>2025 JUN B1G2</v>
      </c>
      <c r="B104" s="8">
        <f t="shared" si="13"/>
        <v>46099</v>
      </c>
      <c r="C104" s="8">
        <f t="shared" si="14"/>
        <v>46113</v>
      </c>
      <c r="D104" s="33">
        <v>3272</v>
      </c>
      <c r="E104" s="33">
        <v>336</v>
      </c>
      <c r="F104" s="33">
        <v>4</v>
      </c>
      <c r="G104" s="35">
        <v>4</v>
      </c>
      <c r="H104" s="35">
        <v>4953</v>
      </c>
      <c r="I104" s="33" t="s">
        <v>104</v>
      </c>
      <c r="J104" s="35">
        <v>53661233</v>
      </c>
      <c r="K104" s="35" t="s">
        <v>3281</v>
      </c>
      <c r="L104" s="35" t="s">
        <v>3284</v>
      </c>
      <c r="M104" s="36">
        <v>149900</v>
      </c>
      <c r="N104" s="14" t="s">
        <v>618</v>
      </c>
      <c r="O104" s="14" t="str">
        <f t="shared" si="15"/>
        <v>B1G2</v>
      </c>
      <c r="P104" s="14" t="s">
        <v>618</v>
      </c>
    </row>
    <row r="105" spans="1:16" x14ac:dyDescent="0.25">
      <c r="A105" s="33" t="str">
        <f t="shared" si="12"/>
        <v>2025 JUN B1G2</v>
      </c>
      <c r="B105" s="8">
        <f t="shared" si="13"/>
        <v>46099</v>
      </c>
      <c r="C105" s="8">
        <f t="shared" si="14"/>
        <v>46113</v>
      </c>
      <c r="D105" s="33">
        <v>3272</v>
      </c>
      <c r="E105" s="33">
        <v>336</v>
      </c>
      <c r="F105" s="33">
        <v>4</v>
      </c>
      <c r="G105" s="35">
        <v>4</v>
      </c>
      <c r="H105" s="35">
        <v>4953</v>
      </c>
      <c r="I105" s="33" t="s">
        <v>104</v>
      </c>
      <c r="J105" s="35">
        <v>53661242</v>
      </c>
      <c r="K105" s="35" t="s">
        <v>3281</v>
      </c>
      <c r="L105" s="35" t="s">
        <v>3285</v>
      </c>
      <c r="M105" s="36">
        <v>149900</v>
      </c>
      <c r="N105" s="14" t="s">
        <v>618</v>
      </c>
      <c r="O105" s="14" t="str">
        <f t="shared" si="15"/>
        <v>B1G2</v>
      </c>
      <c r="P105" s="14" t="s">
        <v>618</v>
      </c>
    </row>
    <row r="106" spans="1:16" x14ac:dyDescent="0.25">
      <c r="A106" s="33" t="str">
        <f t="shared" si="12"/>
        <v>2025 JUN B1G2</v>
      </c>
      <c r="B106" s="8">
        <f t="shared" si="13"/>
        <v>46099</v>
      </c>
      <c r="C106" s="8">
        <f t="shared" si="14"/>
        <v>46113</v>
      </c>
      <c r="D106" s="33">
        <v>3272</v>
      </c>
      <c r="E106" s="33">
        <v>336</v>
      </c>
      <c r="F106" s="33">
        <v>4</v>
      </c>
      <c r="G106" s="35">
        <v>4</v>
      </c>
      <c r="H106" s="35">
        <v>4953</v>
      </c>
      <c r="I106" s="33" t="s">
        <v>104</v>
      </c>
      <c r="J106" s="35">
        <v>53661251</v>
      </c>
      <c r="K106" s="35" t="s">
        <v>3281</v>
      </c>
      <c r="L106" s="35" t="s">
        <v>3286</v>
      </c>
      <c r="M106" s="36">
        <v>149900</v>
      </c>
      <c r="N106" s="14" t="s">
        <v>618</v>
      </c>
      <c r="O106" s="14" t="str">
        <f t="shared" si="15"/>
        <v>B1G2</v>
      </c>
      <c r="P106" s="14" t="s">
        <v>618</v>
      </c>
    </row>
    <row r="107" spans="1:16" x14ac:dyDescent="0.25">
      <c r="A107" s="33" t="str">
        <f t="shared" si="12"/>
        <v>2025 JUN B1G2</v>
      </c>
      <c r="B107" s="8">
        <f t="shared" si="13"/>
        <v>46099</v>
      </c>
      <c r="C107" s="8">
        <f t="shared" si="14"/>
        <v>46113</v>
      </c>
      <c r="D107" s="33">
        <v>3272</v>
      </c>
      <c r="E107" s="33">
        <v>336</v>
      </c>
      <c r="F107" s="33">
        <v>4</v>
      </c>
      <c r="G107" s="35">
        <v>4</v>
      </c>
      <c r="H107" s="35">
        <v>4953</v>
      </c>
      <c r="I107" s="33" t="s">
        <v>104</v>
      </c>
      <c r="J107" s="35">
        <v>53661260</v>
      </c>
      <c r="K107" s="35" t="s">
        <v>3281</v>
      </c>
      <c r="L107" s="35" t="s">
        <v>3287</v>
      </c>
      <c r="M107" s="36">
        <v>149900</v>
      </c>
      <c r="N107" s="14" t="s">
        <v>618</v>
      </c>
      <c r="O107" s="14" t="str">
        <f t="shared" si="15"/>
        <v>B1G2</v>
      </c>
      <c r="P107" s="14" t="s">
        <v>618</v>
      </c>
    </row>
    <row r="108" spans="1:16" x14ac:dyDescent="0.25">
      <c r="A108" s="33" t="str">
        <f t="shared" si="12"/>
        <v>2025 JUN B1G2</v>
      </c>
      <c r="B108" s="8">
        <f t="shared" si="13"/>
        <v>46099</v>
      </c>
      <c r="C108" s="8">
        <f t="shared" si="14"/>
        <v>46113</v>
      </c>
      <c r="D108" s="33">
        <v>3272</v>
      </c>
      <c r="E108" s="33">
        <v>336</v>
      </c>
      <c r="F108" s="33">
        <v>4</v>
      </c>
      <c r="G108" s="35">
        <v>4</v>
      </c>
      <c r="H108" s="35">
        <v>4953</v>
      </c>
      <c r="I108" s="33" t="s">
        <v>104</v>
      </c>
      <c r="J108" s="35">
        <v>53661279</v>
      </c>
      <c r="K108" s="35" t="s">
        <v>3281</v>
      </c>
      <c r="L108" s="35" t="s">
        <v>3288</v>
      </c>
      <c r="M108" s="36">
        <v>149900</v>
      </c>
      <c r="N108" s="14" t="s">
        <v>618</v>
      </c>
      <c r="O108" s="14" t="str">
        <f t="shared" si="15"/>
        <v>B1G2</v>
      </c>
      <c r="P108" s="14" t="s">
        <v>618</v>
      </c>
    </row>
    <row r="109" spans="1:16" x14ac:dyDescent="0.25">
      <c r="A109" s="33" t="str">
        <f t="shared" si="12"/>
        <v>2025 JUN B1G2</v>
      </c>
      <c r="B109" s="8">
        <f t="shared" si="13"/>
        <v>46099</v>
      </c>
      <c r="C109" s="8">
        <f t="shared" si="14"/>
        <v>46113</v>
      </c>
      <c r="D109" s="33">
        <v>3272</v>
      </c>
      <c r="E109" s="33">
        <v>336</v>
      </c>
      <c r="F109" s="33">
        <v>4</v>
      </c>
      <c r="G109" s="35">
        <v>4</v>
      </c>
      <c r="H109" s="35">
        <v>4953</v>
      </c>
      <c r="I109" s="33" t="s">
        <v>104</v>
      </c>
      <c r="J109" s="35">
        <v>53661288</v>
      </c>
      <c r="K109" s="35" t="s">
        <v>3281</v>
      </c>
      <c r="L109" s="35" t="s">
        <v>3289</v>
      </c>
      <c r="M109" s="36">
        <v>149900</v>
      </c>
      <c r="N109" s="14" t="s">
        <v>618</v>
      </c>
      <c r="O109" s="14" t="str">
        <f t="shared" si="15"/>
        <v>B1G2</v>
      </c>
      <c r="P109" s="14" t="s">
        <v>618</v>
      </c>
    </row>
    <row r="110" spans="1:16" x14ac:dyDescent="0.25">
      <c r="A110" s="33" t="str">
        <f t="shared" si="12"/>
        <v>2025 JUN B1G2</v>
      </c>
      <c r="B110" s="8">
        <f t="shared" si="13"/>
        <v>46099</v>
      </c>
      <c r="C110" s="8">
        <f t="shared" si="14"/>
        <v>46113</v>
      </c>
      <c r="D110" s="33">
        <v>3272</v>
      </c>
      <c r="E110" s="33">
        <v>336</v>
      </c>
      <c r="F110" s="33">
        <v>4</v>
      </c>
      <c r="G110" s="35">
        <v>4</v>
      </c>
      <c r="H110" s="35">
        <v>81379</v>
      </c>
      <c r="I110" s="33" t="s">
        <v>104</v>
      </c>
      <c r="J110" s="35">
        <v>52176386</v>
      </c>
      <c r="K110" s="35" t="s">
        <v>3178</v>
      </c>
      <c r="L110" s="35" t="s">
        <v>3179</v>
      </c>
      <c r="M110" s="36">
        <v>169900</v>
      </c>
      <c r="N110" s="14" t="s">
        <v>618</v>
      </c>
      <c r="O110" s="14" t="str">
        <f t="shared" si="15"/>
        <v>B1G2</v>
      </c>
      <c r="P110" s="14" t="s">
        <v>618</v>
      </c>
    </row>
    <row r="111" spans="1:16" x14ac:dyDescent="0.25">
      <c r="A111" s="33" t="str">
        <f t="shared" si="12"/>
        <v>2025 JUN B1G2</v>
      </c>
      <c r="B111" s="8">
        <f t="shared" si="13"/>
        <v>46099</v>
      </c>
      <c r="C111" s="8">
        <f t="shared" si="14"/>
        <v>46113</v>
      </c>
      <c r="D111" s="33">
        <v>3272</v>
      </c>
      <c r="E111" s="33">
        <v>336</v>
      </c>
      <c r="F111" s="33">
        <v>4</v>
      </c>
      <c r="G111" s="35">
        <v>4</v>
      </c>
      <c r="H111" s="35">
        <v>81379</v>
      </c>
      <c r="I111" s="33" t="s">
        <v>104</v>
      </c>
      <c r="J111" s="35">
        <v>52176395</v>
      </c>
      <c r="K111" s="35" t="s">
        <v>3178</v>
      </c>
      <c r="L111" s="35" t="s">
        <v>3180</v>
      </c>
      <c r="M111" s="36">
        <v>169900</v>
      </c>
      <c r="N111" s="14" t="s">
        <v>618</v>
      </c>
      <c r="O111" s="14" t="str">
        <f t="shared" si="15"/>
        <v>B1G2</v>
      </c>
      <c r="P111" s="14" t="s">
        <v>618</v>
      </c>
    </row>
    <row r="112" spans="1:16" x14ac:dyDescent="0.25">
      <c r="A112" s="33" t="str">
        <f t="shared" si="12"/>
        <v>2025 JUN B1G2</v>
      </c>
      <c r="B112" s="8">
        <f t="shared" si="13"/>
        <v>46099</v>
      </c>
      <c r="C112" s="8">
        <f t="shared" si="14"/>
        <v>46113</v>
      </c>
      <c r="D112" s="33">
        <v>3272</v>
      </c>
      <c r="E112" s="33">
        <v>336</v>
      </c>
      <c r="F112" s="33">
        <v>4</v>
      </c>
      <c r="G112" s="35">
        <v>4</v>
      </c>
      <c r="H112" s="35">
        <v>81379</v>
      </c>
      <c r="I112" s="33" t="s">
        <v>104</v>
      </c>
      <c r="J112" s="35">
        <v>52176402</v>
      </c>
      <c r="K112" s="35" t="s">
        <v>3178</v>
      </c>
      <c r="L112" s="35" t="s">
        <v>3181</v>
      </c>
      <c r="M112" s="36">
        <v>169900</v>
      </c>
      <c r="N112" s="14" t="s">
        <v>618</v>
      </c>
      <c r="O112" s="14" t="str">
        <f t="shared" si="15"/>
        <v>B1G2</v>
      </c>
      <c r="P112" s="14" t="s">
        <v>618</v>
      </c>
    </row>
    <row r="113" spans="1:16" x14ac:dyDescent="0.25">
      <c r="A113" s="33" t="str">
        <f t="shared" si="12"/>
        <v>2025 JUN B1G2</v>
      </c>
      <c r="B113" s="8">
        <f t="shared" si="13"/>
        <v>46099</v>
      </c>
      <c r="C113" s="8">
        <f t="shared" si="14"/>
        <v>46113</v>
      </c>
      <c r="D113" s="33">
        <v>3272</v>
      </c>
      <c r="E113" s="33">
        <v>336</v>
      </c>
      <c r="F113" s="33">
        <v>4</v>
      </c>
      <c r="G113" s="35">
        <v>4</v>
      </c>
      <c r="H113" s="35">
        <v>81379</v>
      </c>
      <c r="I113" s="33" t="s">
        <v>104</v>
      </c>
      <c r="J113" s="35">
        <v>52176411</v>
      </c>
      <c r="K113" s="35" t="s">
        <v>3178</v>
      </c>
      <c r="L113" s="35" t="s">
        <v>3182</v>
      </c>
      <c r="M113" s="36">
        <v>169900</v>
      </c>
      <c r="N113" s="14" t="s">
        <v>618</v>
      </c>
      <c r="O113" s="14" t="str">
        <f t="shared" si="15"/>
        <v>B1G2</v>
      </c>
      <c r="P113" s="14" t="s">
        <v>618</v>
      </c>
    </row>
    <row r="114" spans="1:16" x14ac:dyDescent="0.25">
      <c r="A114" s="33" t="str">
        <f t="shared" si="12"/>
        <v>2025 JUN B1G2</v>
      </c>
      <c r="B114" s="8">
        <f t="shared" si="13"/>
        <v>46099</v>
      </c>
      <c r="C114" s="8">
        <f t="shared" si="14"/>
        <v>46113</v>
      </c>
      <c r="D114" s="33">
        <v>3272</v>
      </c>
      <c r="E114" s="33">
        <v>336</v>
      </c>
      <c r="F114" s="33">
        <v>4</v>
      </c>
      <c r="G114" s="35">
        <v>4</v>
      </c>
      <c r="H114" s="35">
        <v>81379</v>
      </c>
      <c r="I114" s="33" t="s">
        <v>104</v>
      </c>
      <c r="J114" s="35">
        <v>52176420</v>
      </c>
      <c r="K114" s="35" t="s">
        <v>3178</v>
      </c>
      <c r="L114" s="35" t="s">
        <v>3183</v>
      </c>
      <c r="M114" s="36">
        <v>169900</v>
      </c>
      <c r="N114" s="14" t="s">
        <v>618</v>
      </c>
      <c r="O114" s="14" t="str">
        <f t="shared" si="15"/>
        <v>B1G2</v>
      </c>
      <c r="P114" s="14" t="s">
        <v>618</v>
      </c>
    </row>
    <row r="115" spans="1:16" x14ac:dyDescent="0.25">
      <c r="A115" s="33" t="str">
        <f t="shared" si="12"/>
        <v>2025 JUN B1G2</v>
      </c>
      <c r="B115" s="8">
        <f t="shared" si="13"/>
        <v>46099</v>
      </c>
      <c r="C115" s="8">
        <f t="shared" si="14"/>
        <v>46113</v>
      </c>
      <c r="D115" s="33">
        <v>3272</v>
      </c>
      <c r="E115" s="33">
        <v>336</v>
      </c>
      <c r="F115" s="33">
        <v>4</v>
      </c>
      <c r="G115" s="35">
        <v>4</v>
      </c>
      <c r="H115" s="35">
        <v>81379</v>
      </c>
      <c r="I115" s="33" t="s">
        <v>104</v>
      </c>
      <c r="J115" s="35">
        <v>52176439</v>
      </c>
      <c r="K115" s="35" t="s">
        <v>3178</v>
      </c>
      <c r="L115" s="35" t="s">
        <v>3184</v>
      </c>
      <c r="M115" s="36">
        <v>169900</v>
      </c>
      <c r="N115" s="14" t="s">
        <v>618</v>
      </c>
      <c r="O115" s="14" t="str">
        <f t="shared" si="15"/>
        <v>B1G2</v>
      </c>
      <c r="P115" s="14" t="s">
        <v>618</v>
      </c>
    </row>
    <row r="116" spans="1:16" x14ac:dyDescent="0.25">
      <c r="A116" s="33" t="str">
        <f t="shared" si="12"/>
        <v>2025 JUN B1G2</v>
      </c>
      <c r="B116" s="8">
        <f t="shared" si="13"/>
        <v>46099</v>
      </c>
      <c r="C116" s="8">
        <f t="shared" si="14"/>
        <v>46113</v>
      </c>
      <c r="D116" s="33">
        <v>3272</v>
      </c>
      <c r="E116" s="33">
        <v>336</v>
      </c>
      <c r="F116" s="33">
        <v>4</v>
      </c>
      <c r="G116" s="35">
        <v>4</v>
      </c>
      <c r="H116" s="35">
        <v>81379</v>
      </c>
      <c r="I116" s="33" t="s">
        <v>104</v>
      </c>
      <c r="J116" s="35">
        <v>52176448</v>
      </c>
      <c r="K116" s="35" t="s">
        <v>3178</v>
      </c>
      <c r="L116" s="35" t="s">
        <v>3185</v>
      </c>
      <c r="M116" s="36">
        <v>169900</v>
      </c>
      <c r="N116" s="14" t="s">
        <v>618</v>
      </c>
      <c r="O116" s="14" t="str">
        <f t="shared" si="15"/>
        <v>B1G2</v>
      </c>
      <c r="P116" s="14" t="s">
        <v>618</v>
      </c>
    </row>
    <row r="117" spans="1:16" x14ac:dyDescent="0.25">
      <c r="A117" s="33" t="str">
        <f t="shared" si="12"/>
        <v>2025 JUN B1G2</v>
      </c>
      <c r="B117" s="8">
        <f t="shared" si="13"/>
        <v>46099</v>
      </c>
      <c r="C117" s="8">
        <f t="shared" si="14"/>
        <v>46113</v>
      </c>
      <c r="D117" s="33">
        <v>3272</v>
      </c>
      <c r="E117" s="33">
        <v>336</v>
      </c>
      <c r="F117" s="33">
        <v>4</v>
      </c>
      <c r="G117" s="35">
        <v>4</v>
      </c>
      <c r="H117" s="35">
        <v>81379</v>
      </c>
      <c r="I117" s="33" t="s">
        <v>104</v>
      </c>
      <c r="J117" s="35">
        <v>52176457</v>
      </c>
      <c r="K117" s="35" t="s">
        <v>3178</v>
      </c>
      <c r="L117" s="35" t="s">
        <v>3186</v>
      </c>
      <c r="M117" s="36">
        <v>169900</v>
      </c>
      <c r="N117" s="14" t="s">
        <v>618</v>
      </c>
      <c r="O117" s="14" t="str">
        <f t="shared" si="15"/>
        <v>B1G2</v>
      </c>
      <c r="P117" s="14" t="s">
        <v>618</v>
      </c>
    </row>
    <row r="118" spans="1:16" x14ac:dyDescent="0.25">
      <c r="A118" s="33" t="str">
        <f t="shared" si="12"/>
        <v>2025 JUN B1G2</v>
      </c>
      <c r="B118" s="8">
        <f t="shared" si="13"/>
        <v>46099</v>
      </c>
      <c r="C118" s="8">
        <f t="shared" si="14"/>
        <v>46113</v>
      </c>
      <c r="D118" s="33">
        <v>3272</v>
      </c>
      <c r="E118" s="33">
        <v>336</v>
      </c>
      <c r="F118" s="33">
        <v>4</v>
      </c>
      <c r="G118" s="35">
        <v>4</v>
      </c>
      <c r="H118" s="35">
        <v>81588</v>
      </c>
      <c r="I118" s="33" t="s">
        <v>104</v>
      </c>
      <c r="J118" s="35">
        <v>51512068</v>
      </c>
      <c r="K118" s="35" t="s">
        <v>3536</v>
      </c>
      <c r="L118" s="35" t="s">
        <v>3525</v>
      </c>
      <c r="M118" s="36">
        <v>299900</v>
      </c>
      <c r="N118" s="14" t="s">
        <v>618</v>
      </c>
      <c r="O118" s="14" t="str">
        <f t="shared" si="15"/>
        <v>B1G2</v>
      </c>
      <c r="P118" s="14" t="s">
        <v>618</v>
      </c>
    </row>
    <row r="119" spans="1:16" x14ac:dyDescent="0.25">
      <c r="A119" s="33" t="str">
        <f t="shared" si="12"/>
        <v>2025 JUN B1G2</v>
      </c>
      <c r="B119" s="8">
        <f t="shared" si="13"/>
        <v>46099</v>
      </c>
      <c r="C119" s="8">
        <f t="shared" si="14"/>
        <v>46113</v>
      </c>
      <c r="D119" s="33">
        <v>3272</v>
      </c>
      <c r="E119" s="33">
        <v>336</v>
      </c>
      <c r="F119" s="33">
        <v>4</v>
      </c>
      <c r="G119" s="35">
        <v>4</v>
      </c>
      <c r="H119" s="35">
        <v>81588</v>
      </c>
      <c r="I119" s="33" t="s">
        <v>104</v>
      </c>
      <c r="J119" s="35">
        <v>51512077</v>
      </c>
      <c r="K119" s="35" t="s">
        <v>3536</v>
      </c>
      <c r="L119" s="35" t="s">
        <v>3526</v>
      </c>
      <c r="M119" s="36">
        <v>169900</v>
      </c>
      <c r="N119" s="14" t="s">
        <v>618</v>
      </c>
      <c r="O119" s="14" t="str">
        <f t="shared" si="15"/>
        <v>B1G2</v>
      </c>
      <c r="P119" s="14" t="s">
        <v>618</v>
      </c>
    </row>
    <row r="120" spans="1:16" x14ac:dyDescent="0.25">
      <c r="A120" s="33" t="str">
        <f t="shared" si="12"/>
        <v>2025 JUN B1G2</v>
      </c>
      <c r="B120" s="8">
        <f t="shared" si="13"/>
        <v>46099</v>
      </c>
      <c r="C120" s="8">
        <f t="shared" si="14"/>
        <v>46113</v>
      </c>
      <c r="D120" s="33">
        <v>3272</v>
      </c>
      <c r="E120" s="33">
        <v>336</v>
      </c>
      <c r="F120" s="33">
        <v>4</v>
      </c>
      <c r="G120" s="35">
        <v>4</v>
      </c>
      <c r="H120" s="35">
        <v>81588</v>
      </c>
      <c r="I120" s="33" t="s">
        <v>104</v>
      </c>
      <c r="J120" s="35">
        <v>51512086</v>
      </c>
      <c r="K120" s="35" t="s">
        <v>3536</v>
      </c>
      <c r="L120" s="35" t="s">
        <v>3527</v>
      </c>
      <c r="M120" s="36">
        <v>169900</v>
      </c>
      <c r="N120" s="14" t="s">
        <v>618</v>
      </c>
      <c r="O120" s="14" t="str">
        <f t="shared" si="15"/>
        <v>B1G2</v>
      </c>
      <c r="P120" s="14" t="s">
        <v>618</v>
      </c>
    </row>
    <row r="121" spans="1:16" x14ac:dyDescent="0.25">
      <c r="A121" s="33" t="str">
        <f t="shared" si="12"/>
        <v>2025 JUN B1G2</v>
      </c>
      <c r="B121" s="8">
        <f t="shared" si="13"/>
        <v>46099</v>
      </c>
      <c r="C121" s="8">
        <f t="shared" si="14"/>
        <v>46113</v>
      </c>
      <c r="D121" s="33">
        <v>3272</v>
      </c>
      <c r="E121" s="33">
        <v>336</v>
      </c>
      <c r="F121" s="33">
        <v>4</v>
      </c>
      <c r="G121" s="35">
        <v>4</v>
      </c>
      <c r="H121" s="35">
        <v>81588</v>
      </c>
      <c r="I121" s="33" t="s">
        <v>104</v>
      </c>
      <c r="J121" s="35">
        <v>51512095</v>
      </c>
      <c r="K121" s="35" t="s">
        <v>3536</v>
      </c>
      <c r="L121" s="35" t="s">
        <v>3528</v>
      </c>
      <c r="M121" s="36">
        <v>169900</v>
      </c>
      <c r="N121" s="14" t="s">
        <v>618</v>
      </c>
      <c r="O121" s="14" t="str">
        <f t="shared" si="15"/>
        <v>B1G2</v>
      </c>
      <c r="P121" s="14" t="s">
        <v>618</v>
      </c>
    </row>
    <row r="122" spans="1:16" x14ac:dyDescent="0.25">
      <c r="A122" s="33" t="str">
        <f t="shared" si="12"/>
        <v>2025 JUN B1G2</v>
      </c>
      <c r="B122" s="8">
        <f t="shared" si="13"/>
        <v>46099</v>
      </c>
      <c r="C122" s="8">
        <f t="shared" si="14"/>
        <v>46113</v>
      </c>
      <c r="D122" s="33">
        <v>3272</v>
      </c>
      <c r="E122" s="33">
        <v>336</v>
      </c>
      <c r="F122" s="33">
        <v>4</v>
      </c>
      <c r="G122" s="35">
        <v>4</v>
      </c>
      <c r="H122" s="35">
        <v>81588</v>
      </c>
      <c r="I122" s="33" t="s">
        <v>104</v>
      </c>
      <c r="J122" s="35">
        <v>51512102</v>
      </c>
      <c r="K122" s="35" t="s">
        <v>3536</v>
      </c>
      <c r="L122" s="35" t="s">
        <v>3529</v>
      </c>
      <c r="M122" s="36">
        <v>169900</v>
      </c>
      <c r="N122" s="14" t="s">
        <v>618</v>
      </c>
      <c r="O122" s="14" t="str">
        <f t="shared" si="15"/>
        <v>B1G2</v>
      </c>
      <c r="P122" s="14" t="s">
        <v>618</v>
      </c>
    </row>
    <row r="123" spans="1:16" x14ac:dyDescent="0.25">
      <c r="A123" s="33" t="str">
        <f t="shared" si="12"/>
        <v>2025 JUN B1G2</v>
      </c>
      <c r="B123" s="8">
        <f t="shared" si="13"/>
        <v>46099</v>
      </c>
      <c r="C123" s="8">
        <f t="shared" si="14"/>
        <v>46113</v>
      </c>
      <c r="D123" s="33">
        <v>3272</v>
      </c>
      <c r="E123" s="33">
        <v>336</v>
      </c>
      <c r="F123" s="33">
        <v>4</v>
      </c>
      <c r="G123" s="35">
        <v>4</v>
      </c>
      <c r="H123" s="35">
        <v>81588</v>
      </c>
      <c r="I123" s="33" t="s">
        <v>104</v>
      </c>
      <c r="J123" s="35">
        <v>51512111</v>
      </c>
      <c r="K123" s="35" t="s">
        <v>3536</v>
      </c>
      <c r="L123" s="35" t="s">
        <v>3530</v>
      </c>
      <c r="M123" s="36">
        <v>169900</v>
      </c>
      <c r="N123" s="14" t="s">
        <v>618</v>
      </c>
      <c r="O123" s="14" t="str">
        <f t="shared" si="15"/>
        <v>B1G2</v>
      </c>
      <c r="P123" s="14" t="s">
        <v>618</v>
      </c>
    </row>
  </sheetData>
  <autoFilter ref="A1:P1" xr:uid="{00000000-0009-0000-0000-00000A000000}"/>
  <conditionalFormatting sqref="J1:J117">
    <cfRule type="duplicateValues" dxfId="64" priority="3"/>
  </conditionalFormatting>
  <conditionalFormatting sqref="J1:J1048576">
    <cfRule type="duplicateValues" dxfId="63" priority="2"/>
  </conditionalFormatting>
  <conditionalFormatting sqref="J118:J123">
    <cfRule type="duplicateValues" dxfId="6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5D25-965E-480B-9AE4-3FEB5D950ADC}">
  <dimension ref="A1:P63"/>
  <sheetViews>
    <sheetView workbookViewId="0">
      <selection activeCell="M2" sqref="M2:P2"/>
    </sheetView>
  </sheetViews>
  <sheetFormatPr defaultRowHeight="15" x14ac:dyDescent="0.25"/>
  <cols>
    <col min="1" max="1" width="18" customWidth="1"/>
    <col min="2" max="3" width="10.42578125" bestFit="1" customWidth="1"/>
    <col min="9" max="9" width="11.42578125" bestFit="1" customWidth="1"/>
    <col min="12" max="12" width="84.5703125" bestFit="1" customWidth="1"/>
    <col min="15" max="15" width="15" bestFit="1" customWidth="1"/>
    <col min="16" max="16" width="15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5" t="s">
        <v>4055</v>
      </c>
      <c r="B2" s="23">
        <f>'2019 ALL D95'!B2</f>
        <v>46099</v>
      </c>
      <c r="C2" s="23">
        <f>'2019 ALL D95'!C2</f>
        <v>46113</v>
      </c>
      <c r="D2" s="33">
        <v>3272</v>
      </c>
      <c r="E2" s="33">
        <v>336</v>
      </c>
      <c r="F2" s="30">
        <v>4</v>
      </c>
      <c r="G2" s="31">
        <v>1</v>
      </c>
      <c r="H2" s="31">
        <v>4953</v>
      </c>
      <c r="I2" s="22" t="s">
        <v>104</v>
      </c>
      <c r="J2" s="22">
        <v>54556355</v>
      </c>
      <c r="K2" s="22" t="s">
        <v>3290</v>
      </c>
      <c r="L2" s="22" t="s">
        <v>3293</v>
      </c>
      <c r="M2" s="25">
        <v>99900</v>
      </c>
      <c r="N2" s="14" t="s">
        <v>618</v>
      </c>
      <c r="O2" s="14" t="s">
        <v>3187</v>
      </c>
      <c r="P2" s="14" t="s">
        <v>618</v>
      </c>
    </row>
    <row r="3" spans="1:16" x14ac:dyDescent="0.25">
      <c r="A3" s="35" t="str">
        <f t="shared" ref="A3:E17" si="0">A2</f>
        <v>2025 JUL B1G1</v>
      </c>
      <c r="B3" s="23">
        <f t="shared" si="0"/>
        <v>46099</v>
      </c>
      <c r="C3" s="23">
        <f t="shared" si="0"/>
        <v>46113</v>
      </c>
      <c r="D3" s="35">
        <f t="shared" si="0"/>
        <v>3272</v>
      </c>
      <c r="E3" s="35">
        <f t="shared" si="0"/>
        <v>336</v>
      </c>
      <c r="F3" s="31">
        <v>4</v>
      </c>
      <c r="G3" s="31">
        <v>1</v>
      </c>
      <c r="H3" s="31">
        <v>4953</v>
      </c>
      <c r="I3" s="22" t="s">
        <v>104</v>
      </c>
      <c r="J3" s="22">
        <v>54556364</v>
      </c>
      <c r="K3" s="22" t="s">
        <v>3290</v>
      </c>
      <c r="L3" s="22" t="s">
        <v>3294</v>
      </c>
      <c r="M3" s="25">
        <v>99900</v>
      </c>
      <c r="N3" s="35" t="str">
        <f t="shared" ref="N3:P17" si="1">N2</f>
        <v>BXGY</v>
      </c>
      <c r="O3" s="36" t="str">
        <f t="shared" si="1"/>
        <v>B1G1</v>
      </c>
      <c r="P3" s="35" t="str">
        <f t="shared" si="1"/>
        <v>BXGY</v>
      </c>
    </row>
    <row r="4" spans="1:16" x14ac:dyDescent="0.25">
      <c r="A4" s="35" t="str">
        <f t="shared" si="0"/>
        <v>2025 JUL B1G1</v>
      </c>
      <c r="B4" s="23">
        <f t="shared" si="0"/>
        <v>46099</v>
      </c>
      <c r="C4" s="23">
        <f t="shared" si="0"/>
        <v>46113</v>
      </c>
      <c r="D4" s="35">
        <f t="shared" si="0"/>
        <v>3272</v>
      </c>
      <c r="E4" s="35">
        <f t="shared" si="0"/>
        <v>336</v>
      </c>
      <c r="F4" s="31">
        <v>4</v>
      </c>
      <c r="G4" s="31">
        <v>1</v>
      </c>
      <c r="H4" s="31">
        <v>4953</v>
      </c>
      <c r="I4" s="22" t="s">
        <v>104</v>
      </c>
      <c r="J4" s="22">
        <v>54556373</v>
      </c>
      <c r="K4" s="22" t="s">
        <v>3290</v>
      </c>
      <c r="L4" s="22" t="s">
        <v>3295</v>
      </c>
      <c r="M4" s="25">
        <v>99900</v>
      </c>
      <c r="N4" s="35" t="str">
        <f t="shared" si="1"/>
        <v>BXGY</v>
      </c>
      <c r="O4" s="36" t="str">
        <f t="shared" si="1"/>
        <v>B1G1</v>
      </c>
      <c r="P4" s="35" t="str">
        <f t="shared" si="1"/>
        <v>BXGY</v>
      </c>
    </row>
    <row r="5" spans="1:16" x14ac:dyDescent="0.25">
      <c r="A5" s="35" t="str">
        <f t="shared" si="0"/>
        <v>2025 JUL B1G1</v>
      </c>
      <c r="B5" s="23">
        <f t="shared" si="0"/>
        <v>46099</v>
      </c>
      <c r="C5" s="23">
        <f t="shared" si="0"/>
        <v>46113</v>
      </c>
      <c r="D5" s="35">
        <f t="shared" si="0"/>
        <v>3272</v>
      </c>
      <c r="E5" s="35">
        <f t="shared" si="0"/>
        <v>336</v>
      </c>
      <c r="F5" s="31">
        <v>4</v>
      </c>
      <c r="G5" s="31">
        <v>1</v>
      </c>
      <c r="H5" s="31">
        <v>4953</v>
      </c>
      <c r="I5" s="22" t="s">
        <v>104</v>
      </c>
      <c r="J5" s="22">
        <v>54556382</v>
      </c>
      <c r="K5" s="22" t="s">
        <v>3290</v>
      </c>
      <c r="L5" s="22" t="s">
        <v>3296</v>
      </c>
      <c r="M5" s="25">
        <v>99900</v>
      </c>
      <c r="N5" s="35" t="str">
        <f t="shared" si="1"/>
        <v>BXGY</v>
      </c>
      <c r="O5" s="36" t="str">
        <f t="shared" si="1"/>
        <v>B1G1</v>
      </c>
      <c r="P5" s="35" t="str">
        <f t="shared" si="1"/>
        <v>BXGY</v>
      </c>
    </row>
    <row r="6" spans="1:16" x14ac:dyDescent="0.25">
      <c r="A6" s="35" t="str">
        <f t="shared" si="0"/>
        <v>2025 JUL B1G1</v>
      </c>
      <c r="B6" s="23">
        <f t="shared" si="0"/>
        <v>46099</v>
      </c>
      <c r="C6" s="23">
        <f t="shared" si="0"/>
        <v>46113</v>
      </c>
      <c r="D6" s="35">
        <f t="shared" si="0"/>
        <v>3272</v>
      </c>
      <c r="E6" s="35">
        <f t="shared" si="0"/>
        <v>336</v>
      </c>
      <c r="F6" s="31">
        <v>4</v>
      </c>
      <c r="G6" s="31">
        <v>1</v>
      </c>
      <c r="H6" s="31">
        <v>4953</v>
      </c>
      <c r="I6" s="22" t="s">
        <v>104</v>
      </c>
      <c r="J6" s="22">
        <v>54556391</v>
      </c>
      <c r="K6" s="22" t="s">
        <v>3291</v>
      </c>
      <c r="L6" s="22" t="s">
        <v>3297</v>
      </c>
      <c r="M6" s="25">
        <v>99900</v>
      </c>
      <c r="N6" s="35" t="str">
        <f t="shared" si="1"/>
        <v>BXGY</v>
      </c>
      <c r="O6" s="36" t="str">
        <f t="shared" si="1"/>
        <v>B1G1</v>
      </c>
      <c r="P6" s="35" t="str">
        <f t="shared" si="1"/>
        <v>BXGY</v>
      </c>
    </row>
    <row r="7" spans="1:16" x14ac:dyDescent="0.25">
      <c r="A7" s="35" t="str">
        <f t="shared" si="0"/>
        <v>2025 JUL B1G1</v>
      </c>
      <c r="B7" s="23">
        <f t="shared" si="0"/>
        <v>46099</v>
      </c>
      <c r="C7" s="23">
        <f t="shared" si="0"/>
        <v>46113</v>
      </c>
      <c r="D7" s="35">
        <f t="shared" si="0"/>
        <v>3272</v>
      </c>
      <c r="E7" s="35">
        <f t="shared" si="0"/>
        <v>336</v>
      </c>
      <c r="F7" s="31">
        <v>4</v>
      </c>
      <c r="G7" s="31">
        <v>1</v>
      </c>
      <c r="H7" s="31">
        <v>4953</v>
      </c>
      <c r="I7" s="22" t="s">
        <v>104</v>
      </c>
      <c r="J7" s="22">
        <v>54556408</v>
      </c>
      <c r="K7" s="22" t="s">
        <v>3291</v>
      </c>
      <c r="L7" s="22" t="s">
        <v>3298</v>
      </c>
      <c r="M7" s="25">
        <v>99900</v>
      </c>
      <c r="N7" s="35" t="str">
        <f t="shared" si="1"/>
        <v>BXGY</v>
      </c>
      <c r="O7" s="36" t="str">
        <f t="shared" si="1"/>
        <v>B1G1</v>
      </c>
      <c r="P7" s="35" t="str">
        <f t="shared" si="1"/>
        <v>BXGY</v>
      </c>
    </row>
    <row r="8" spans="1:16" x14ac:dyDescent="0.25">
      <c r="A8" s="35" t="str">
        <f t="shared" si="0"/>
        <v>2025 JUL B1G1</v>
      </c>
      <c r="B8" s="23">
        <f t="shared" si="0"/>
        <v>46099</v>
      </c>
      <c r="C8" s="23">
        <f t="shared" si="0"/>
        <v>46113</v>
      </c>
      <c r="D8" s="35">
        <f t="shared" si="0"/>
        <v>3272</v>
      </c>
      <c r="E8" s="35">
        <f t="shared" si="0"/>
        <v>336</v>
      </c>
      <c r="F8" s="31">
        <v>4</v>
      </c>
      <c r="G8" s="31">
        <v>1</v>
      </c>
      <c r="H8" s="31">
        <v>4953</v>
      </c>
      <c r="I8" s="22" t="s">
        <v>104</v>
      </c>
      <c r="J8" s="22">
        <v>54556417</v>
      </c>
      <c r="K8" s="22" t="s">
        <v>3291</v>
      </c>
      <c r="L8" s="22" t="s">
        <v>3299</v>
      </c>
      <c r="M8" s="25">
        <v>99900</v>
      </c>
      <c r="N8" s="35" t="str">
        <f t="shared" si="1"/>
        <v>BXGY</v>
      </c>
      <c r="O8" s="36" t="str">
        <f t="shared" si="1"/>
        <v>B1G1</v>
      </c>
      <c r="P8" s="35" t="str">
        <f t="shared" si="1"/>
        <v>BXGY</v>
      </c>
    </row>
    <row r="9" spans="1:16" x14ac:dyDescent="0.25">
      <c r="A9" s="35" t="str">
        <f t="shared" si="0"/>
        <v>2025 JUL B1G1</v>
      </c>
      <c r="B9" s="23">
        <f t="shared" si="0"/>
        <v>46099</v>
      </c>
      <c r="C9" s="23">
        <f t="shared" si="0"/>
        <v>46113</v>
      </c>
      <c r="D9" s="35">
        <f t="shared" si="0"/>
        <v>3272</v>
      </c>
      <c r="E9" s="35">
        <f t="shared" si="0"/>
        <v>336</v>
      </c>
      <c r="F9" s="31">
        <v>4</v>
      </c>
      <c r="G9" s="31">
        <v>1</v>
      </c>
      <c r="H9" s="31">
        <v>4953</v>
      </c>
      <c r="I9" s="22" t="s">
        <v>104</v>
      </c>
      <c r="J9" s="22">
        <v>54556426</v>
      </c>
      <c r="K9" s="22" t="s">
        <v>3291</v>
      </c>
      <c r="L9" s="22" t="s">
        <v>3300</v>
      </c>
      <c r="M9" s="25">
        <v>99900</v>
      </c>
      <c r="N9" s="35" t="str">
        <f t="shared" si="1"/>
        <v>BXGY</v>
      </c>
      <c r="O9" s="36" t="str">
        <f t="shared" si="1"/>
        <v>B1G1</v>
      </c>
      <c r="P9" s="35" t="str">
        <f t="shared" si="1"/>
        <v>BXGY</v>
      </c>
    </row>
    <row r="10" spans="1:16" x14ac:dyDescent="0.25">
      <c r="A10" s="35" t="str">
        <f t="shared" si="0"/>
        <v>2025 JUL B1G1</v>
      </c>
      <c r="B10" s="23">
        <f t="shared" si="0"/>
        <v>46099</v>
      </c>
      <c r="C10" s="23">
        <f t="shared" si="0"/>
        <v>46113</v>
      </c>
      <c r="D10" s="35">
        <f t="shared" si="0"/>
        <v>3272</v>
      </c>
      <c r="E10" s="35">
        <f t="shared" si="0"/>
        <v>336</v>
      </c>
      <c r="F10" s="31">
        <v>4</v>
      </c>
      <c r="G10" s="31">
        <v>1</v>
      </c>
      <c r="H10" s="31">
        <v>81379</v>
      </c>
      <c r="I10" s="22" t="s">
        <v>104</v>
      </c>
      <c r="J10" s="22">
        <v>53660716</v>
      </c>
      <c r="K10" s="22" t="s">
        <v>3292</v>
      </c>
      <c r="L10" s="22" t="s">
        <v>4014</v>
      </c>
      <c r="M10" s="25">
        <v>99900</v>
      </c>
      <c r="N10" s="35" t="str">
        <f t="shared" si="1"/>
        <v>BXGY</v>
      </c>
      <c r="O10" s="36" t="str">
        <f t="shared" si="1"/>
        <v>B1G1</v>
      </c>
      <c r="P10" s="35" t="str">
        <f t="shared" si="1"/>
        <v>BXGY</v>
      </c>
    </row>
    <row r="11" spans="1:16" x14ac:dyDescent="0.25">
      <c r="A11" s="35" t="str">
        <f t="shared" si="0"/>
        <v>2025 JUL B1G1</v>
      </c>
      <c r="B11" s="23">
        <f t="shared" si="0"/>
        <v>46099</v>
      </c>
      <c r="C11" s="23">
        <f t="shared" si="0"/>
        <v>46113</v>
      </c>
      <c r="D11" s="35">
        <f t="shared" si="0"/>
        <v>3272</v>
      </c>
      <c r="E11" s="35">
        <f t="shared" si="0"/>
        <v>336</v>
      </c>
      <c r="F11" s="31">
        <v>4</v>
      </c>
      <c r="G11" s="31">
        <v>1</v>
      </c>
      <c r="H11" s="31">
        <v>81379</v>
      </c>
      <c r="I11" s="22" t="s">
        <v>104</v>
      </c>
      <c r="J11" s="22">
        <v>53660725</v>
      </c>
      <c r="K11" s="22" t="s">
        <v>3292</v>
      </c>
      <c r="L11" s="22" t="s">
        <v>4015</v>
      </c>
      <c r="M11" s="25">
        <v>99900</v>
      </c>
      <c r="N11" s="35" t="str">
        <f t="shared" si="1"/>
        <v>BXGY</v>
      </c>
      <c r="O11" s="36" t="str">
        <f t="shared" si="1"/>
        <v>B1G1</v>
      </c>
      <c r="P11" s="35" t="str">
        <f t="shared" si="1"/>
        <v>BXGY</v>
      </c>
    </row>
    <row r="12" spans="1:16" x14ac:dyDescent="0.25">
      <c r="A12" s="35" t="str">
        <f t="shared" si="0"/>
        <v>2025 JUL B1G1</v>
      </c>
      <c r="B12" s="23">
        <f t="shared" si="0"/>
        <v>46099</v>
      </c>
      <c r="C12" s="23">
        <f t="shared" si="0"/>
        <v>46113</v>
      </c>
      <c r="D12" s="35">
        <f t="shared" si="0"/>
        <v>3272</v>
      </c>
      <c r="E12" s="35">
        <f t="shared" si="0"/>
        <v>336</v>
      </c>
      <c r="F12" s="31">
        <v>4</v>
      </c>
      <c r="G12" s="31">
        <v>1</v>
      </c>
      <c r="H12" s="31">
        <v>81379</v>
      </c>
      <c r="I12" s="22" t="s">
        <v>104</v>
      </c>
      <c r="J12" s="22">
        <v>53660734</v>
      </c>
      <c r="K12" s="22" t="s">
        <v>3292</v>
      </c>
      <c r="L12" s="22" t="s">
        <v>4016</v>
      </c>
      <c r="M12" s="25">
        <v>99900</v>
      </c>
      <c r="N12" s="35" t="str">
        <f t="shared" si="1"/>
        <v>BXGY</v>
      </c>
      <c r="O12" s="36" t="str">
        <f t="shared" si="1"/>
        <v>B1G1</v>
      </c>
      <c r="P12" s="35" t="str">
        <f t="shared" si="1"/>
        <v>BXGY</v>
      </c>
    </row>
    <row r="13" spans="1:16" x14ac:dyDescent="0.25">
      <c r="A13" s="35" t="str">
        <f t="shared" si="0"/>
        <v>2025 JUL B1G1</v>
      </c>
      <c r="B13" s="23">
        <f t="shared" si="0"/>
        <v>46099</v>
      </c>
      <c r="C13" s="23">
        <f t="shared" si="0"/>
        <v>46113</v>
      </c>
      <c r="D13" s="35">
        <f t="shared" si="0"/>
        <v>3272</v>
      </c>
      <c r="E13" s="35">
        <f t="shared" si="0"/>
        <v>336</v>
      </c>
      <c r="F13" s="31">
        <v>4</v>
      </c>
      <c r="G13" s="31">
        <v>1</v>
      </c>
      <c r="H13" s="31">
        <v>81379</v>
      </c>
      <c r="I13" s="22" t="s">
        <v>104</v>
      </c>
      <c r="J13" s="22">
        <v>53660743</v>
      </c>
      <c r="K13" s="22" t="s">
        <v>3292</v>
      </c>
      <c r="L13" s="22" t="s">
        <v>3301</v>
      </c>
      <c r="M13" s="25">
        <v>99900</v>
      </c>
      <c r="N13" s="35" t="str">
        <f t="shared" si="1"/>
        <v>BXGY</v>
      </c>
      <c r="O13" s="36" t="str">
        <f t="shared" si="1"/>
        <v>B1G1</v>
      </c>
      <c r="P13" s="35" t="str">
        <f t="shared" si="1"/>
        <v>BXGY</v>
      </c>
    </row>
    <row r="14" spans="1:16" x14ac:dyDescent="0.25">
      <c r="A14" s="35" t="str">
        <f t="shared" si="0"/>
        <v>2025 JUL B1G1</v>
      </c>
      <c r="B14" s="23">
        <f t="shared" si="0"/>
        <v>46099</v>
      </c>
      <c r="C14" s="23">
        <f t="shared" si="0"/>
        <v>46113</v>
      </c>
      <c r="D14" s="35">
        <f t="shared" si="0"/>
        <v>3272</v>
      </c>
      <c r="E14" s="35">
        <f t="shared" si="0"/>
        <v>336</v>
      </c>
      <c r="F14" s="31">
        <v>4</v>
      </c>
      <c r="G14" s="31">
        <v>1</v>
      </c>
      <c r="H14" s="31">
        <v>81379</v>
      </c>
      <c r="I14" s="22" t="s">
        <v>104</v>
      </c>
      <c r="J14" s="22">
        <v>53660752</v>
      </c>
      <c r="K14" s="22" t="s">
        <v>3292</v>
      </c>
      <c r="L14" s="22" t="s">
        <v>3302</v>
      </c>
      <c r="M14" s="25">
        <v>99900</v>
      </c>
      <c r="N14" s="35" t="str">
        <f t="shared" si="1"/>
        <v>BXGY</v>
      </c>
      <c r="O14" s="36" t="str">
        <f t="shared" si="1"/>
        <v>B1G1</v>
      </c>
      <c r="P14" s="35" t="str">
        <f t="shared" si="1"/>
        <v>BXGY</v>
      </c>
    </row>
    <row r="15" spans="1:16" x14ac:dyDescent="0.25">
      <c r="A15" s="35" t="str">
        <f t="shared" si="0"/>
        <v>2025 JUL B1G1</v>
      </c>
      <c r="B15" s="23">
        <f t="shared" si="0"/>
        <v>46099</v>
      </c>
      <c r="C15" s="23">
        <f t="shared" si="0"/>
        <v>46113</v>
      </c>
      <c r="D15" s="35">
        <f t="shared" si="0"/>
        <v>3272</v>
      </c>
      <c r="E15" s="35">
        <f t="shared" si="0"/>
        <v>336</v>
      </c>
      <c r="F15" s="31">
        <v>4</v>
      </c>
      <c r="G15" s="31">
        <v>1</v>
      </c>
      <c r="H15" s="31">
        <v>81379</v>
      </c>
      <c r="I15" s="22" t="s">
        <v>104</v>
      </c>
      <c r="J15" s="22">
        <v>53660761</v>
      </c>
      <c r="K15" s="22" t="s">
        <v>3292</v>
      </c>
      <c r="L15" s="22" t="s">
        <v>3303</v>
      </c>
      <c r="M15" s="25">
        <v>99900</v>
      </c>
      <c r="N15" s="35" t="str">
        <f t="shared" si="1"/>
        <v>BXGY</v>
      </c>
      <c r="O15" s="36" t="str">
        <f t="shared" si="1"/>
        <v>B1G1</v>
      </c>
      <c r="P15" s="35" t="str">
        <f t="shared" si="1"/>
        <v>BXGY</v>
      </c>
    </row>
    <row r="16" spans="1:16" x14ac:dyDescent="0.25">
      <c r="A16" s="35" t="str">
        <f t="shared" si="0"/>
        <v>2025 JUL B1G1</v>
      </c>
      <c r="B16" s="23">
        <f t="shared" si="0"/>
        <v>46099</v>
      </c>
      <c r="C16" s="23">
        <f t="shared" si="0"/>
        <v>46113</v>
      </c>
      <c r="D16" s="35">
        <f t="shared" si="0"/>
        <v>3272</v>
      </c>
      <c r="E16" s="35">
        <f t="shared" si="0"/>
        <v>336</v>
      </c>
      <c r="F16" s="31">
        <v>4</v>
      </c>
      <c r="G16" s="31">
        <v>1</v>
      </c>
      <c r="H16" s="31">
        <v>81379</v>
      </c>
      <c r="I16" s="22" t="s">
        <v>104</v>
      </c>
      <c r="J16" s="22">
        <v>53660770</v>
      </c>
      <c r="K16" s="22" t="s">
        <v>3292</v>
      </c>
      <c r="L16" s="22" t="s">
        <v>3304</v>
      </c>
      <c r="M16" s="25">
        <v>99900</v>
      </c>
      <c r="N16" s="35" t="str">
        <f t="shared" si="1"/>
        <v>BXGY</v>
      </c>
      <c r="O16" s="36" t="str">
        <f t="shared" si="1"/>
        <v>B1G1</v>
      </c>
      <c r="P16" s="35" t="str">
        <f t="shared" si="1"/>
        <v>BXGY</v>
      </c>
    </row>
    <row r="17" spans="1:16" x14ac:dyDescent="0.25">
      <c r="A17" s="35" t="str">
        <f t="shared" si="0"/>
        <v>2025 JUL B1G1</v>
      </c>
      <c r="B17" s="23">
        <f t="shared" si="0"/>
        <v>46099</v>
      </c>
      <c r="C17" s="23">
        <f t="shared" si="0"/>
        <v>46113</v>
      </c>
      <c r="D17" s="35">
        <f t="shared" si="0"/>
        <v>3272</v>
      </c>
      <c r="E17" s="35">
        <f t="shared" si="0"/>
        <v>336</v>
      </c>
      <c r="F17" s="31">
        <v>4</v>
      </c>
      <c r="G17" s="31">
        <v>1</v>
      </c>
      <c r="H17" s="31">
        <v>81379</v>
      </c>
      <c r="I17" s="22" t="s">
        <v>104</v>
      </c>
      <c r="J17" s="22">
        <v>54555936</v>
      </c>
      <c r="K17" s="22" t="s">
        <v>3305</v>
      </c>
      <c r="L17" s="22" t="s">
        <v>3306</v>
      </c>
      <c r="M17" s="25">
        <v>99900</v>
      </c>
      <c r="N17" s="35" t="str">
        <f t="shared" si="1"/>
        <v>BXGY</v>
      </c>
      <c r="O17" s="36" t="str">
        <f t="shared" si="1"/>
        <v>B1G1</v>
      </c>
      <c r="P17" s="35" t="str">
        <f t="shared" si="1"/>
        <v>BXGY</v>
      </c>
    </row>
    <row r="18" spans="1:16" x14ac:dyDescent="0.25">
      <c r="A18" s="35" t="str">
        <f>A17</f>
        <v>2025 JUL B1G1</v>
      </c>
      <c r="B18" s="23">
        <f>B17</f>
        <v>46099</v>
      </c>
      <c r="C18" s="23">
        <f>C17</f>
        <v>46113</v>
      </c>
      <c r="D18" s="35">
        <f>D17</f>
        <v>3272</v>
      </c>
      <c r="E18" s="35">
        <f>E17</f>
        <v>336</v>
      </c>
      <c r="F18" s="31">
        <v>4</v>
      </c>
      <c r="G18" s="31">
        <v>1</v>
      </c>
      <c r="H18" s="31">
        <v>81379</v>
      </c>
      <c r="I18" s="22" t="s">
        <v>104</v>
      </c>
      <c r="J18" s="22">
        <v>54555945</v>
      </c>
      <c r="K18" s="22" t="s">
        <v>3305</v>
      </c>
      <c r="L18" s="22" t="s">
        <v>3307</v>
      </c>
      <c r="M18" s="25">
        <v>99900</v>
      </c>
      <c r="N18" s="35" t="str">
        <f>N17</f>
        <v>BXGY</v>
      </c>
      <c r="O18" s="36" t="str">
        <f>O17</f>
        <v>B1G1</v>
      </c>
      <c r="P18" s="35" t="str">
        <f>P17</f>
        <v>BXGY</v>
      </c>
    </row>
    <row r="19" spans="1:16" x14ac:dyDescent="0.25">
      <c r="A19" s="35" t="str">
        <f t="shared" ref="A19:E34" si="2">A18</f>
        <v>2025 JUL B1G1</v>
      </c>
      <c r="B19" s="23">
        <f t="shared" si="2"/>
        <v>46099</v>
      </c>
      <c r="C19" s="23">
        <f t="shared" si="2"/>
        <v>46113</v>
      </c>
      <c r="D19" s="35">
        <f t="shared" si="2"/>
        <v>3272</v>
      </c>
      <c r="E19" s="35">
        <f t="shared" si="2"/>
        <v>336</v>
      </c>
      <c r="F19" s="31">
        <v>4</v>
      </c>
      <c r="G19" s="31">
        <v>1</v>
      </c>
      <c r="H19" s="31">
        <v>81379</v>
      </c>
      <c r="I19" s="22" t="s">
        <v>104</v>
      </c>
      <c r="J19" s="22">
        <v>54555954</v>
      </c>
      <c r="K19" s="22" t="s">
        <v>3305</v>
      </c>
      <c r="L19" s="22" t="s">
        <v>3308</v>
      </c>
      <c r="M19" s="25">
        <v>99900</v>
      </c>
      <c r="N19" s="35" t="str">
        <f t="shared" ref="N19:P34" si="3">N18</f>
        <v>BXGY</v>
      </c>
      <c r="O19" s="36" t="str">
        <f t="shared" si="3"/>
        <v>B1G1</v>
      </c>
      <c r="P19" s="35" t="str">
        <f t="shared" si="3"/>
        <v>BXGY</v>
      </c>
    </row>
    <row r="20" spans="1:16" x14ac:dyDescent="0.25">
      <c r="A20" s="35" t="str">
        <f t="shared" si="2"/>
        <v>2025 JUL B1G1</v>
      </c>
      <c r="B20" s="23">
        <f t="shared" si="2"/>
        <v>46099</v>
      </c>
      <c r="C20" s="23">
        <f t="shared" si="2"/>
        <v>46113</v>
      </c>
      <c r="D20" s="35">
        <f t="shared" si="2"/>
        <v>3272</v>
      </c>
      <c r="E20" s="35">
        <f t="shared" si="2"/>
        <v>336</v>
      </c>
      <c r="F20" s="31">
        <v>4</v>
      </c>
      <c r="G20" s="31">
        <v>1</v>
      </c>
      <c r="H20" s="31">
        <v>81379</v>
      </c>
      <c r="I20" s="22" t="s">
        <v>104</v>
      </c>
      <c r="J20" s="22">
        <v>54555963</v>
      </c>
      <c r="K20" s="22" t="s">
        <v>3305</v>
      </c>
      <c r="L20" s="22" t="s">
        <v>3309</v>
      </c>
      <c r="M20" s="25">
        <v>99900</v>
      </c>
      <c r="N20" s="35" t="str">
        <f t="shared" si="3"/>
        <v>BXGY</v>
      </c>
      <c r="O20" s="36" t="str">
        <f t="shared" si="3"/>
        <v>B1G1</v>
      </c>
      <c r="P20" s="35" t="str">
        <f t="shared" si="3"/>
        <v>BXGY</v>
      </c>
    </row>
    <row r="21" spans="1:16" x14ac:dyDescent="0.25">
      <c r="A21" s="35" t="str">
        <f t="shared" si="2"/>
        <v>2025 JUL B1G1</v>
      </c>
      <c r="B21" s="23">
        <f t="shared" si="2"/>
        <v>46099</v>
      </c>
      <c r="C21" s="23">
        <f t="shared" si="2"/>
        <v>46113</v>
      </c>
      <c r="D21" s="35">
        <f t="shared" si="2"/>
        <v>3272</v>
      </c>
      <c r="E21" s="35">
        <f t="shared" si="2"/>
        <v>336</v>
      </c>
      <c r="F21" s="31">
        <v>4</v>
      </c>
      <c r="G21" s="31">
        <v>1</v>
      </c>
      <c r="H21" s="31">
        <v>81379</v>
      </c>
      <c r="I21" s="22" t="s">
        <v>104</v>
      </c>
      <c r="J21" s="22">
        <v>54555972</v>
      </c>
      <c r="K21" s="22" t="s">
        <v>3305</v>
      </c>
      <c r="L21" s="22" t="s">
        <v>3310</v>
      </c>
      <c r="M21" s="25">
        <v>99900</v>
      </c>
      <c r="N21" s="35" t="str">
        <f t="shared" si="3"/>
        <v>BXGY</v>
      </c>
      <c r="O21" s="36" t="str">
        <f t="shared" si="3"/>
        <v>B1G1</v>
      </c>
      <c r="P21" s="35" t="str">
        <f t="shared" si="3"/>
        <v>BXGY</v>
      </c>
    </row>
    <row r="22" spans="1:16" x14ac:dyDescent="0.25">
      <c r="A22" s="35" t="str">
        <f t="shared" si="2"/>
        <v>2025 JUL B1G1</v>
      </c>
      <c r="B22" s="23">
        <f t="shared" si="2"/>
        <v>46099</v>
      </c>
      <c r="C22" s="23">
        <f t="shared" si="2"/>
        <v>46113</v>
      </c>
      <c r="D22" s="35">
        <f t="shared" si="2"/>
        <v>3272</v>
      </c>
      <c r="E22" s="35">
        <f t="shared" si="2"/>
        <v>336</v>
      </c>
      <c r="F22" s="31">
        <v>4</v>
      </c>
      <c r="G22" s="31">
        <v>1</v>
      </c>
      <c r="H22" s="35">
        <v>81379</v>
      </c>
      <c r="I22" s="22" t="s">
        <v>104</v>
      </c>
      <c r="J22" s="22">
        <v>54555981</v>
      </c>
      <c r="K22" s="22" t="s">
        <v>3305</v>
      </c>
      <c r="L22" s="28" t="s">
        <v>3311</v>
      </c>
      <c r="M22" s="35">
        <v>99900</v>
      </c>
      <c r="N22" s="35" t="str">
        <f t="shared" si="3"/>
        <v>BXGY</v>
      </c>
      <c r="O22" s="36" t="str">
        <f t="shared" si="3"/>
        <v>B1G1</v>
      </c>
      <c r="P22" s="35" t="str">
        <f t="shared" si="3"/>
        <v>BXGY</v>
      </c>
    </row>
    <row r="23" spans="1:16" x14ac:dyDescent="0.25">
      <c r="A23" s="35" t="str">
        <f t="shared" si="2"/>
        <v>2025 JUL B1G1</v>
      </c>
      <c r="B23" s="23">
        <f t="shared" si="2"/>
        <v>46099</v>
      </c>
      <c r="C23" s="23">
        <f t="shared" si="2"/>
        <v>46113</v>
      </c>
      <c r="D23" s="35">
        <f t="shared" si="2"/>
        <v>3272</v>
      </c>
      <c r="E23" s="35">
        <f t="shared" si="2"/>
        <v>336</v>
      </c>
      <c r="F23" s="31">
        <v>4</v>
      </c>
      <c r="G23" s="31">
        <v>1</v>
      </c>
      <c r="H23" s="35">
        <v>81379</v>
      </c>
      <c r="I23" s="22" t="s">
        <v>104</v>
      </c>
      <c r="J23" s="22">
        <v>54555990</v>
      </c>
      <c r="K23" s="22" t="s">
        <v>3305</v>
      </c>
      <c r="L23" s="28" t="s">
        <v>3312</v>
      </c>
      <c r="M23" s="35">
        <v>99900</v>
      </c>
      <c r="N23" s="35" t="str">
        <f t="shared" si="3"/>
        <v>BXGY</v>
      </c>
      <c r="O23" s="36" t="str">
        <f t="shared" si="3"/>
        <v>B1G1</v>
      </c>
      <c r="P23" s="35" t="str">
        <f t="shared" si="3"/>
        <v>BXGY</v>
      </c>
    </row>
    <row r="24" spans="1:16" x14ac:dyDescent="0.25">
      <c r="A24" s="35" t="str">
        <f t="shared" si="2"/>
        <v>2025 JUL B1G1</v>
      </c>
      <c r="B24" s="23">
        <f t="shared" si="2"/>
        <v>46099</v>
      </c>
      <c r="C24" s="23">
        <f t="shared" si="2"/>
        <v>46113</v>
      </c>
      <c r="D24" s="35">
        <f t="shared" si="2"/>
        <v>3272</v>
      </c>
      <c r="E24" s="35">
        <f t="shared" si="2"/>
        <v>336</v>
      </c>
      <c r="F24" s="31">
        <v>4</v>
      </c>
      <c r="G24" s="31">
        <v>1</v>
      </c>
      <c r="H24" s="35">
        <v>81379</v>
      </c>
      <c r="I24" s="22" t="s">
        <v>104</v>
      </c>
      <c r="J24" s="22">
        <v>54556006</v>
      </c>
      <c r="K24" s="22" t="s">
        <v>3313</v>
      </c>
      <c r="L24" s="28" t="s">
        <v>3314</v>
      </c>
      <c r="M24" s="35">
        <v>99900</v>
      </c>
      <c r="N24" s="35" t="str">
        <f t="shared" si="3"/>
        <v>BXGY</v>
      </c>
      <c r="O24" s="36" t="str">
        <f t="shared" si="3"/>
        <v>B1G1</v>
      </c>
      <c r="P24" s="35" t="str">
        <f t="shared" si="3"/>
        <v>BXGY</v>
      </c>
    </row>
    <row r="25" spans="1:16" x14ac:dyDescent="0.25">
      <c r="A25" s="35" t="str">
        <f t="shared" si="2"/>
        <v>2025 JUL B1G1</v>
      </c>
      <c r="B25" s="23">
        <f t="shared" si="2"/>
        <v>46099</v>
      </c>
      <c r="C25" s="23">
        <f t="shared" si="2"/>
        <v>46113</v>
      </c>
      <c r="D25" s="35">
        <f t="shared" si="2"/>
        <v>3272</v>
      </c>
      <c r="E25" s="35">
        <f t="shared" si="2"/>
        <v>336</v>
      </c>
      <c r="F25" s="31">
        <v>4</v>
      </c>
      <c r="G25" s="31">
        <v>1</v>
      </c>
      <c r="H25" s="35">
        <v>81379</v>
      </c>
      <c r="I25" s="22" t="s">
        <v>104</v>
      </c>
      <c r="J25" s="22">
        <v>54556015</v>
      </c>
      <c r="K25" s="22" t="s">
        <v>3313</v>
      </c>
      <c r="L25" s="28" t="s">
        <v>3315</v>
      </c>
      <c r="M25" s="35">
        <v>99900</v>
      </c>
      <c r="N25" s="35" t="str">
        <f t="shared" si="3"/>
        <v>BXGY</v>
      </c>
      <c r="O25" s="36" t="str">
        <f t="shared" si="3"/>
        <v>B1G1</v>
      </c>
      <c r="P25" s="35" t="str">
        <f t="shared" si="3"/>
        <v>BXGY</v>
      </c>
    </row>
    <row r="26" spans="1:16" x14ac:dyDescent="0.25">
      <c r="A26" s="35" t="str">
        <f t="shared" si="2"/>
        <v>2025 JUL B1G1</v>
      </c>
      <c r="B26" s="23">
        <f t="shared" si="2"/>
        <v>46099</v>
      </c>
      <c r="C26" s="23">
        <f t="shared" si="2"/>
        <v>46113</v>
      </c>
      <c r="D26" s="35">
        <f t="shared" si="2"/>
        <v>3272</v>
      </c>
      <c r="E26" s="35">
        <f t="shared" si="2"/>
        <v>336</v>
      </c>
      <c r="F26" s="31">
        <v>4</v>
      </c>
      <c r="G26" s="31">
        <v>1</v>
      </c>
      <c r="H26" s="35">
        <v>81379</v>
      </c>
      <c r="I26" s="22" t="s">
        <v>104</v>
      </c>
      <c r="J26" s="22">
        <v>54556024</v>
      </c>
      <c r="K26" s="22" t="s">
        <v>3313</v>
      </c>
      <c r="L26" s="28" t="s">
        <v>3316</v>
      </c>
      <c r="M26" s="35">
        <v>99900</v>
      </c>
      <c r="N26" s="35" t="str">
        <f t="shared" si="3"/>
        <v>BXGY</v>
      </c>
      <c r="O26" s="36" t="str">
        <f t="shared" si="3"/>
        <v>B1G1</v>
      </c>
      <c r="P26" s="35" t="str">
        <f t="shared" si="3"/>
        <v>BXGY</v>
      </c>
    </row>
    <row r="27" spans="1:16" x14ac:dyDescent="0.25">
      <c r="A27" s="35" t="str">
        <f t="shared" si="2"/>
        <v>2025 JUL B1G1</v>
      </c>
      <c r="B27" s="23">
        <f t="shared" si="2"/>
        <v>46099</v>
      </c>
      <c r="C27" s="23">
        <f t="shared" si="2"/>
        <v>46113</v>
      </c>
      <c r="D27" s="35">
        <f t="shared" si="2"/>
        <v>3272</v>
      </c>
      <c r="E27" s="35">
        <f t="shared" si="2"/>
        <v>336</v>
      </c>
      <c r="F27" s="31">
        <v>4</v>
      </c>
      <c r="G27" s="31">
        <v>1</v>
      </c>
      <c r="H27" s="35">
        <v>81379</v>
      </c>
      <c r="I27" s="22" t="s">
        <v>104</v>
      </c>
      <c r="J27" s="22">
        <v>54556033</v>
      </c>
      <c r="K27" s="22" t="s">
        <v>3313</v>
      </c>
      <c r="L27" s="28" t="s">
        <v>3317</v>
      </c>
      <c r="M27" s="35">
        <v>99900</v>
      </c>
      <c r="N27" s="35" t="str">
        <f t="shared" si="3"/>
        <v>BXGY</v>
      </c>
      <c r="O27" s="36" t="str">
        <f t="shared" si="3"/>
        <v>B1G1</v>
      </c>
      <c r="P27" s="35" t="str">
        <f t="shared" si="3"/>
        <v>BXGY</v>
      </c>
    </row>
    <row r="28" spans="1:16" x14ac:dyDescent="0.25">
      <c r="A28" s="35" t="str">
        <f t="shared" si="2"/>
        <v>2025 JUL B1G1</v>
      </c>
      <c r="B28" s="23">
        <f t="shared" si="2"/>
        <v>46099</v>
      </c>
      <c r="C28" s="23">
        <f t="shared" si="2"/>
        <v>46113</v>
      </c>
      <c r="D28" s="35">
        <f t="shared" si="2"/>
        <v>3272</v>
      </c>
      <c r="E28" s="35">
        <f t="shared" si="2"/>
        <v>336</v>
      </c>
      <c r="F28" s="31">
        <v>4</v>
      </c>
      <c r="G28" s="31">
        <v>1</v>
      </c>
      <c r="H28" s="35">
        <v>81379</v>
      </c>
      <c r="I28" s="22" t="s">
        <v>104</v>
      </c>
      <c r="J28" s="22">
        <v>54556042</v>
      </c>
      <c r="K28" s="22" t="s">
        <v>3313</v>
      </c>
      <c r="L28" s="28" t="s">
        <v>3318</v>
      </c>
      <c r="M28" s="35">
        <v>99900</v>
      </c>
      <c r="N28" s="35" t="str">
        <f t="shared" si="3"/>
        <v>BXGY</v>
      </c>
      <c r="O28" s="36" t="str">
        <f t="shared" si="3"/>
        <v>B1G1</v>
      </c>
      <c r="P28" s="35" t="str">
        <f t="shared" si="3"/>
        <v>BXGY</v>
      </c>
    </row>
    <row r="29" spans="1:16" x14ac:dyDescent="0.25">
      <c r="A29" s="35" t="str">
        <f t="shared" si="2"/>
        <v>2025 JUL B1G1</v>
      </c>
      <c r="B29" s="23">
        <f t="shared" si="2"/>
        <v>46099</v>
      </c>
      <c r="C29" s="23">
        <f t="shared" si="2"/>
        <v>46113</v>
      </c>
      <c r="D29" s="35">
        <f t="shared" si="2"/>
        <v>3272</v>
      </c>
      <c r="E29" s="35">
        <f t="shared" si="2"/>
        <v>336</v>
      </c>
      <c r="F29" s="31">
        <v>4</v>
      </c>
      <c r="G29" s="31">
        <v>1</v>
      </c>
      <c r="H29" s="35">
        <v>81379</v>
      </c>
      <c r="I29" s="22" t="s">
        <v>104</v>
      </c>
      <c r="J29" s="22">
        <v>54556051</v>
      </c>
      <c r="K29" s="22" t="s">
        <v>3313</v>
      </c>
      <c r="L29" s="28" t="s">
        <v>3319</v>
      </c>
      <c r="M29" s="35">
        <v>99900</v>
      </c>
      <c r="N29" s="35" t="str">
        <f t="shared" si="3"/>
        <v>BXGY</v>
      </c>
      <c r="O29" s="36" t="str">
        <f t="shared" si="3"/>
        <v>B1G1</v>
      </c>
      <c r="P29" s="35" t="str">
        <f t="shared" si="3"/>
        <v>BXGY</v>
      </c>
    </row>
    <row r="30" spans="1:16" x14ac:dyDescent="0.25">
      <c r="A30" s="35" t="str">
        <f t="shared" si="2"/>
        <v>2025 JUL B1G1</v>
      </c>
      <c r="B30" s="23">
        <f t="shared" si="2"/>
        <v>46099</v>
      </c>
      <c r="C30" s="23">
        <f t="shared" si="2"/>
        <v>46113</v>
      </c>
      <c r="D30" s="35">
        <f t="shared" si="2"/>
        <v>3272</v>
      </c>
      <c r="E30" s="35">
        <f t="shared" si="2"/>
        <v>336</v>
      </c>
      <c r="F30" s="31">
        <v>4</v>
      </c>
      <c r="G30" s="31">
        <v>1</v>
      </c>
      <c r="H30" s="35">
        <v>81379</v>
      </c>
      <c r="I30" s="22" t="s">
        <v>104</v>
      </c>
      <c r="J30" s="22">
        <v>54556060</v>
      </c>
      <c r="K30" s="22" t="s">
        <v>3313</v>
      </c>
      <c r="L30" s="28" t="s">
        <v>3320</v>
      </c>
      <c r="M30" s="35">
        <v>99900</v>
      </c>
      <c r="N30" s="35" t="str">
        <f t="shared" si="3"/>
        <v>BXGY</v>
      </c>
      <c r="O30" s="36" t="str">
        <f t="shared" si="3"/>
        <v>B1G1</v>
      </c>
      <c r="P30" s="35" t="str">
        <f t="shared" si="3"/>
        <v>BXGY</v>
      </c>
    </row>
    <row r="31" spans="1:16" x14ac:dyDescent="0.25">
      <c r="A31" s="35" t="str">
        <f t="shared" si="2"/>
        <v>2025 JUL B1G1</v>
      </c>
      <c r="B31" s="23">
        <f t="shared" si="2"/>
        <v>46099</v>
      </c>
      <c r="C31" s="23">
        <f t="shared" si="2"/>
        <v>46113</v>
      </c>
      <c r="D31" s="35">
        <f t="shared" si="2"/>
        <v>3272</v>
      </c>
      <c r="E31" s="35">
        <f t="shared" si="2"/>
        <v>336</v>
      </c>
      <c r="F31" s="31">
        <v>4</v>
      </c>
      <c r="G31" s="31">
        <v>1</v>
      </c>
      <c r="H31" s="35">
        <v>81379</v>
      </c>
      <c r="I31" s="22" t="s">
        <v>104</v>
      </c>
      <c r="J31" s="22">
        <v>54556079</v>
      </c>
      <c r="K31" s="22" t="s">
        <v>3321</v>
      </c>
      <c r="L31" s="28" t="s">
        <v>3322</v>
      </c>
      <c r="M31" s="35">
        <v>99900</v>
      </c>
      <c r="N31" s="35" t="str">
        <f t="shared" si="3"/>
        <v>BXGY</v>
      </c>
      <c r="O31" s="36" t="str">
        <f t="shared" si="3"/>
        <v>B1G1</v>
      </c>
      <c r="P31" s="35" t="str">
        <f t="shared" si="3"/>
        <v>BXGY</v>
      </c>
    </row>
    <row r="32" spans="1:16" x14ac:dyDescent="0.25">
      <c r="A32" s="35" t="str">
        <f t="shared" si="2"/>
        <v>2025 JUL B1G1</v>
      </c>
      <c r="B32" s="23">
        <f t="shared" si="2"/>
        <v>46099</v>
      </c>
      <c r="C32" s="23">
        <f t="shared" si="2"/>
        <v>46113</v>
      </c>
      <c r="D32" s="35">
        <f t="shared" si="2"/>
        <v>3272</v>
      </c>
      <c r="E32" s="35">
        <f t="shared" si="2"/>
        <v>336</v>
      </c>
      <c r="F32" s="31">
        <v>4</v>
      </c>
      <c r="G32" s="31">
        <v>1</v>
      </c>
      <c r="H32" s="35">
        <v>81379</v>
      </c>
      <c r="I32" s="22" t="s">
        <v>104</v>
      </c>
      <c r="J32" s="22">
        <v>54556088</v>
      </c>
      <c r="K32" s="22" t="s">
        <v>3321</v>
      </c>
      <c r="L32" s="28" t="s">
        <v>3323</v>
      </c>
      <c r="M32" s="35">
        <v>99900</v>
      </c>
      <c r="N32" s="35" t="str">
        <f t="shared" si="3"/>
        <v>BXGY</v>
      </c>
      <c r="O32" s="36" t="str">
        <f t="shared" si="3"/>
        <v>B1G1</v>
      </c>
      <c r="P32" s="35" t="str">
        <f t="shared" si="3"/>
        <v>BXGY</v>
      </c>
    </row>
    <row r="33" spans="1:16" x14ac:dyDescent="0.25">
      <c r="A33" s="35" t="str">
        <f t="shared" si="2"/>
        <v>2025 JUL B1G1</v>
      </c>
      <c r="B33" s="23">
        <f t="shared" si="2"/>
        <v>46099</v>
      </c>
      <c r="C33" s="23">
        <f t="shared" si="2"/>
        <v>46113</v>
      </c>
      <c r="D33" s="35">
        <f t="shared" si="2"/>
        <v>3272</v>
      </c>
      <c r="E33" s="35">
        <f t="shared" si="2"/>
        <v>336</v>
      </c>
      <c r="F33" s="31">
        <v>4</v>
      </c>
      <c r="G33" s="31">
        <v>1</v>
      </c>
      <c r="H33" s="35">
        <v>81379</v>
      </c>
      <c r="I33" s="22" t="s">
        <v>104</v>
      </c>
      <c r="J33" s="22">
        <v>54556097</v>
      </c>
      <c r="K33" s="22" t="s">
        <v>3321</v>
      </c>
      <c r="L33" s="28" t="s">
        <v>3324</v>
      </c>
      <c r="M33" s="35">
        <v>99900</v>
      </c>
      <c r="N33" s="35" t="str">
        <f t="shared" si="3"/>
        <v>BXGY</v>
      </c>
      <c r="O33" s="36" t="str">
        <f t="shared" si="3"/>
        <v>B1G1</v>
      </c>
      <c r="P33" s="35" t="str">
        <f t="shared" si="3"/>
        <v>BXGY</v>
      </c>
    </row>
    <row r="34" spans="1:16" x14ac:dyDescent="0.25">
      <c r="A34" s="35" t="str">
        <f t="shared" si="2"/>
        <v>2025 JUL B1G1</v>
      </c>
      <c r="B34" s="23">
        <f t="shared" si="2"/>
        <v>46099</v>
      </c>
      <c r="C34" s="23">
        <f t="shared" si="2"/>
        <v>46113</v>
      </c>
      <c r="D34" s="35">
        <f t="shared" si="2"/>
        <v>3272</v>
      </c>
      <c r="E34" s="35">
        <f t="shared" si="2"/>
        <v>336</v>
      </c>
      <c r="F34" s="31">
        <v>4</v>
      </c>
      <c r="G34" s="31">
        <v>1</v>
      </c>
      <c r="H34" s="35">
        <v>81379</v>
      </c>
      <c r="I34" s="22" t="s">
        <v>104</v>
      </c>
      <c r="J34" s="22">
        <v>54556104</v>
      </c>
      <c r="K34" s="22" t="s">
        <v>3321</v>
      </c>
      <c r="L34" s="28" t="s">
        <v>3325</v>
      </c>
      <c r="M34" s="35">
        <v>99900</v>
      </c>
      <c r="N34" s="35" t="str">
        <f t="shared" si="3"/>
        <v>BXGY</v>
      </c>
      <c r="O34" s="36" t="str">
        <f t="shared" si="3"/>
        <v>B1G1</v>
      </c>
      <c r="P34" s="35" t="str">
        <f t="shared" si="3"/>
        <v>BXGY</v>
      </c>
    </row>
    <row r="35" spans="1:16" x14ac:dyDescent="0.25">
      <c r="A35" s="35" t="str">
        <f t="shared" ref="A35:E50" si="4">A34</f>
        <v>2025 JUL B1G1</v>
      </c>
      <c r="B35" s="23">
        <f t="shared" si="4"/>
        <v>46099</v>
      </c>
      <c r="C35" s="23">
        <f t="shared" si="4"/>
        <v>46113</v>
      </c>
      <c r="D35" s="35">
        <f t="shared" si="4"/>
        <v>3272</v>
      </c>
      <c r="E35" s="35">
        <f t="shared" si="4"/>
        <v>336</v>
      </c>
      <c r="F35" s="31">
        <v>4</v>
      </c>
      <c r="G35" s="31">
        <v>1</v>
      </c>
      <c r="H35" s="35">
        <v>81379</v>
      </c>
      <c r="I35" s="22" t="s">
        <v>104</v>
      </c>
      <c r="J35" s="22">
        <v>54556113</v>
      </c>
      <c r="K35" s="22" t="s">
        <v>3321</v>
      </c>
      <c r="L35" s="28" t="s">
        <v>3326</v>
      </c>
      <c r="M35" s="35">
        <v>99900</v>
      </c>
      <c r="N35" s="35" t="str">
        <f t="shared" ref="N35:P50" si="5">N34</f>
        <v>BXGY</v>
      </c>
      <c r="O35" s="36" t="str">
        <f t="shared" si="5"/>
        <v>B1G1</v>
      </c>
      <c r="P35" s="35" t="str">
        <f t="shared" si="5"/>
        <v>BXGY</v>
      </c>
    </row>
    <row r="36" spans="1:16" x14ac:dyDescent="0.25">
      <c r="A36" s="35" t="str">
        <f t="shared" si="4"/>
        <v>2025 JUL B1G1</v>
      </c>
      <c r="B36" s="23">
        <f t="shared" si="4"/>
        <v>46099</v>
      </c>
      <c r="C36" s="23">
        <f t="shared" si="4"/>
        <v>46113</v>
      </c>
      <c r="D36" s="35">
        <f t="shared" si="4"/>
        <v>3272</v>
      </c>
      <c r="E36" s="35">
        <f t="shared" si="4"/>
        <v>336</v>
      </c>
      <c r="F36" s="31">
        <v>4</v>
      </c>
      <c r="G36" s="31">
        <v>1</v>
      </c>
      <c r="H36" s="35">
        <v>81379</v>
      </c>
      <c r="I36" s="22" t="s">
        <v>104</v>
      </c>
      <c r="J36" s="22">
        <v>54556122</v>
      </c>
      <c r="K36" s="22" t="s">
        <v>3321</v>
      </c>
      <c r="L36" s="28" t="s">
        <v>3327</v>
      </c>
      <c r="M36" s="35">
        <v>99900</v>
      </c>
      <c r="N36" s="35" t="str">
        <f t="shared" si="5"/>
        <v>BXGY</v>
      </c>
      <c r="O36" s="36" t="str">
        <f t="shared" si="5"/>
        <v>B1G1</v>
      </c>
      <c r="P36" s="35" t="str">
        <f t="shared" si="5"/>
        <v>BXGY</v>
      </c>
    </row>
    <row r="37" spans="1:16" x14ac:dyDescent="0.25">
      <c r="A37" s="35" t="str">
        <f t="shared" si="4"/>
        <v>2025 JUL B1G1</v>
      </c>
      <c r="B37" s="23">
        <f t="shared" si="4"/>
        <v>46099</v>
      </c>
      <c r="C37" s="23">
        <f t="shared" si="4"/>
        <v>46113</v>
      </c>
      <c r="D37" s="35">
        <f t="shared" si="4"/>
        <v>3272</v>
      </c>
      <c r="E37" s="35">
        <f t="shared" si="4"/>
        <v>336</v>
      </c>
      <c r="F37" s="31">
        <v>4</v>
      </c>
      <c r="G37" s="31">
        <v>1</v>
      </c>
      <c r="H37" s="35">
        <v>81379</v>
      </c>
      <c r="I37" s="22" t="s">
        <v>104</v>
      </c>
      <c r="J37" s="22">
        <v>54556131</v>
      </c>
      <c r="K37" s="22" t="s">
        <v>3321</v>
      </c>
      <c r="L37" s="28" t="s">
        <v>3328</v>
      </c>
      <c r="M37" s="35">
        <v>99900</v>
      </c>
      <c r="N37" s="35" t="str">
        <f t="shared" si="5"/>
        <v>BXGY</v>
      </c>
      <c r="O37" s="36" t="str">
        <f t="shared" si="5"/>
        <v>B1G1</v>
      </c>
      <c r="P37" s="35" t="str">
        <f t="shared" si="5"/>
        <v>BXGY</v>
      </c>
    </row>
    <row r="38" spans="1:16" x14ac:dyDescent="0.25">
      <c r="A38" s="35" t="str">
        <f t="shared" si="4"/>
        <v>2025 JUL B1G1</v>
      </c>
      <c r="B38" s="23">
        <f t="shared" si="4"/>
        <v>46099</v>
      </c>
      <c r="C38" s="23">
        <f t="shared" si="4"/>
        <v>46113</v>
      </c>
      <c r="D38" s="35">
        <f t="shared" si="4"/>
        <v>3272</v>
      </c>
      <c r="E38" s="35">
        <f t="shared" si="4"/>
        <v>336</v>
      </c>
      <c r="F38" s="31">
        <v>4</v>
      </c>
      <c r="G38" s="31">
        <v>1</v>
      </c>
      <c r="H38" s="35">
        <v>81379</v>
      </c>
      <c r="I38" s="22" t="s">
        <v>104</v>
      </c>
      <c r="J38" s="22">
        <v>54556140</v>
      </c>
      <c r="K38" s="22" t="s">
        <v>3329</v>
      </c>
      <c r="L38" s="28" t="s">
        <v>3330</v>
      </c>
      <c r="M38" s="35">
        <v>99900</v>
      </c>
      <c r="N38" s="35" t="str">
        <f t="shared" si="5"/>
        <v>BXGY</v>
      </c>
      <c r="O38" s="36" t="str">
        <f t="shared" si="5"/>
        <v>B1G1</v>
      </c>
      <c r="P38" s="35" t="str">
        <f t="shared" si="5"/>
        <v>BXGY</v>
      </c>
    </row>
    <row r="39" spans="1:16" x14ac:dyDescent="0.25">
      <c r="A39" s="35" t="str">
        <f t="shared" si="4"/>
        <v>2025 JUL B1G1</v>
      </c>
      <c r="B39" s="23">
        <f t="shared" si="4"/>
        <v>46099</v>
      </c>
      <c r="C39" s="23">
        <f t="shared" si="4"/>
        <v>46113</v>
      </c>
      <c r="D39" s="35">
        <f t="shared" si="4"/>
        <v>3272</v>
      </c>
      <c r="E39" s="35">
        <f t="shared" si="4"/>
        <v>336</v>
      </c>
      <c r="F39" s="31">
        <v>4</v>
      </c>
      <c r="G39" s="31">
        <v>1</v>
      </c>
      <c r="H39" s="35">
        <v>81379</v>
      </c>
      <c r="I39" s="22" t="s">
        <v>104</v>
      </c>
      <c r="J39" s="22">
        <v>54556159</v>
      </c>
      <c r="K39" s="22" t="s">
        <v>3329</v>
      </c>
      <c r="L39" s="28" t="s">
        <v>3331</v>
      </c>
      <c r="M39" s="35">
        <v>99900</v>
      </c>
      <c r="N39" s="35" t="str">
        <f t="shared" si="5"/>
        <v>BXGY</v>
      </c>
      <c r="O39" s="36" t="str">
        <f t="shared" si="5"/>
        <v>B1G1</v>
      </c>
      <c r="P39" s="35" t="str">
        <f t="shared" si="5"/>
        <v>BXGY</v>
      </c>
    </row>
    <row r="40" spans="1:16" x14ac:dyDescent="0.25">
      <c r="A40" s="35" t="str">
        <f t="shared" si="4"/>
        <v>2025 JUL B1G1</v>
      </c>
      <c r="B40" s="23">
        <f t="shared" si="4"/>
        <v>46099</v>
      </c>
      <c r="C40" s="23">
        <f t="shared" si="4"/>
        <v>46113</v>
      </c>
      <c r="D40" s="35">
        <f t="shared" si="4"/>
        <v>3272</v>
      </c>
      <c r="E40" s="35">
        <f t="shared" si="4"/>
        <v>336</v>
      </c>
      <c r="F40" s="31">
        <v>4</v>
      </c>
      <c r="G40" s="31">
        <v>1</v>
      </c>
      <c r="H40" s="35">
        <v>81379</v>
      </c>
      <c r="I40" s="22" t="s">
        <v>104</v>
      </c>
      <c r="J40" s="22">
        <v>54556168</v>
      </c>
      <c r="K40" s="22" t="s">
        <v>3329</v>
      </c>
      <c r="L40" s="28" t="s">
        <v>3332</v>
      </c>
      <c r="M40" s="35">
        <v>99900</v>
      </c>
      <c r="N40" s="35" t="str">
        <f t="shared" si="5"/>
        <v>BXGY</v>
      </c>
      <c r="O40" s="36" t="str">
        <f t="shared" si="5"/>
        <v>B1G1</v>
      </c>
      <c r="P40" s="35" t="str">
        <f t="shared" si="5"/>
        <v>BXGY</v>
      </c>
    </row>
    <row r="41" spans="1:16" x14ac:dyDescent="0.25">
      <c r="A41" s="35" t="str">
        <f t="shared" si="4"/>
        <v>2025 JUL B1G1</v>
      </c>
      <c r="B41" s="23">
        <f t="shared" si="4"/>
        <v>46099</v>
      </c>
      <c r="C41" s="23">
        <f t="shared" si="4"/>
        <v>46113</v>
      </c>
      <c r="D41" s="35">
        <f t="shared" si="4"/>
        <v>3272</v>
      </c>
      <c r="E41" s="35">
        <f t="shared" si="4"/>
        <v>336</v>
      </c>
      <c r="F41" s="31">
        <v>4</v>
      </c>
      <c r="G41" s="31">
        <v>1</v>
      </c>
      <c r="H41" s="35">
        <v>81379</v>
      </c>
      <c r="I41" s="22" t="s">
        <v>104</v>
      </c>
      <c r="J41" s="22">
        <v>54556177</v>
      </c>
      <c r="K41" s="22" t="s">
        <v>3329</v>
      </c>
      <c r="L41" s="28" t="s">
        <v>3333</v>
      </c>
      <c r="M41" s="35">
        <v>99900</v>
      </c>
      <c r="N41" s="35" t="str">
        <f t="shared" si="5"/>
        <v>BXGY</v>
      </c>
      <c r="O41" s="36" t="str">
        <f t="shared" si="5"/>
        <v>B1G1</v>
      </c>
      <c r="P41" s="35" t="str">
        <f t="shared" si="5"/>
        <v>BXGY</v>
      </c>
    </row>
    <row r="42" spans="1:16" x14ac:dyDescent="0.25">
      <c r="A42" s="35" t="str">
        <f t="shared" si="4"/>
        <v>2025 JUL B1G1</v>
      </c>
      <c r="B42" s="23">
        <f t="shared" si="4"/>
        <v>46099</v>
      </c>
      <c r="C42" s="23">
        <f t="shared" si="4"/>
        <v>46113</v>
      </c>
      <c r="D42" s="35">
        <f t="shared" si="4"/>
        <v>3272</v>
      </c>
      <c r="E42" s="35">
        <f t="shared" si="4"/>
        <v>336</v>
      </c>
      <c r="F42" s="31">
        <v>4</v>
      </c>
      <c r="G42" s="31">
        <v>1</v>
      </c>
      <c r="H42" s="35">
        <v>81379</v>
      </c>
      <c r="I42" s="22" t="s">
        <v>104</v>
      </c>
      <c r="J42" s="22">
        <v>54556186</v>
      </c>
      <c r="K42" s="22" t="s">
        <v>3329</v>
      </c>
      <c r="L42" s="28" t="s">
        <v>3334</v>
      </c>
      <c r="M42" s="35">
        <v>99900</v>
      </c>
      <c r="N42" s="35" t="str">
        <f t="shared" si="5"/>
        <v>BXGY</v>
      </c>
      <c r="O42" s="36" t="str">
        <f t="shared" si="5"/>
        <v>B1G1</v>
      </c>
      <c r="P42" s="35" t="str">
        <f t="shared" si="5"/>
        <v>BXGY</v>
      </c>
    </row>
    <row r="43" spans="1:16" x14ac:dyDescent="0.25">
      <c r="A43" s="35" t="str">
        <f t="shared" si="4"/>
        <v>2025 JUL B1G1</v>
      </c>
      <c r="B43" s="23">
        <f t="shared" si="4"/>
        <v>46099</v>
      </c>
      <c r="C43" s="23">
        <f t="shared" si="4"/>
        <v>46113</v>
      </c>
      <c r="D43" s="35">
        <f t="shared" si="4"/>
        <v>3272</v>
      </c>
      <c r="E43" s="35">
        <f t="shared" si="4"/>
        <v>336</v>
      </c>
      <c r="F43" s="31">
        <v>4</v>
      </c>
      <c r="G43" s="31">
        <v>1</v>
      </c>
      <c r="H43" s="35">
        <v>81379</v>
      </c>
      <c r="I43" s="22" t="s">
        <v>104</v>
      </c>
      <c r="J43" s="22">
        <v>54556195</v>
      </c>
      <c r="K43" s="22" t="s">
        <v>3329</v>
      </c>
      <c r="L43" s="28" t="s">
        <v>3335</v>
      </c>
      <c r="M43" s="35">
        <v>99900</v>
      </c>
      <c r="N43" s="35" t="str">
        <f t="shared" si="5"/>
        <v>BXGY</v>
      </c>
      <c r="O43" s="36" t="str">
        <f t="shared" si="5"/>
        <v>B1G1</v>
      </c>
      <c r="P43" s="35" t="str">
        <f t="shared" si="5"/>
        <v>BXGY</v>
      </c>
    </row>
    <row r="44" spans="1:16" x14ac:dyDescent="0.25">
      <c r="A44" s="35" t="str">
        <f t="shared" si="4"/>
        <v>2025 JUL B1G1</v>
      </c>
      <c r="B44" s="23">
        <f t="shared" si="4"/>
        <v>46099</v>
      </c>
      <c r="C44" s="23">
        <f t="shared" si="4"/>
        <v>46113</v>
      </c>
      <c r="D44" s="35">
        <f t="shared" si="4"/>
        <v>3272</v>
      </c>
      <c r="E44" s="35">
        <f t="shared" si="4"/>
        <v>336</v>
      </c>
      <c r="F44" s="31">
        <v>4</v>
      </c>
      <c r="G44" s="31">
        <v>1</v>
      </c>
      <c r="H44" s="35">
        <v>81379</v>
      </c>
      <c r="I44" s="22" t="s">
        <v>104</v>
      </c>
      <c r="J44" s="22">
        <v>54556202</v>
      </c>
      <c r="K44" s="22" t="s">
        <v>3329</v>
      </c>
      <c r="L44" s="28" t="s">
        <v>3336</v>
      </c>
      <c r="M44" s="35">
        <v>99900</v>
      </c>
      <c r="N44" s="35" t="str">
        <f t="shared" si="5"/>
        <v>BXGY</v>
      </c>
      <c r="O44" s="36" t="str">
        <f t="shared" si="5"/>
        <v>B1G1</v>
      </c>
      <c r="P44" s="35" t="str">
        <f t="shared" si="5"/>
        <v>BXGY</v>
      </c>
    </row>
    <row r="45" spans="1:16" x14ac:dyDescent="0.25">
      <c r="A45" s="35" t="str">
        <f t="shared" si="4"/>
        <v>2025 JUL B1G1</v>
      </c>
      <c r="B45" s="23">
        <f t="shared" si="4"/>
        <v>46099</v>
      </c>
      <c r="C45" s="23">
        <f t="shared" si="4"/>
        <v>46113</v>
      </c>
      <c r="D45" s="35">
        <f t="shared" si="4"/>
        <v>3272</v>
      </c>
      <c r="E45" s="35">
        <f t="shared" si="4"/>
        <v>336</v>
      </c>
      <c r="F45" s="31">
        <v>4</v>
      </c>
      <c r="G45" s="31">
        <v>1</v>
      </c>
      <c r="H45" s="35">
        <v>81379</v>
      </c>
      <c r="I45" s="22" t="s">
        <v>104</v>
      </c>
      <c r="J45" s="22">
        <v>54556435</v>
      </c>
      <c r="K45" s="22" t="s">
        <v>3337</v>
      </c>
      <c r="L45" s="28" t="s">
        <v>3338</v>
      </c>
      <c r="M45" s="35">
        <v>99900</v>
      </c>
      <c r="N45" s="35" t="str">
        <f t="shared" si="5"/>
        <v>BXGY</v>
      </c>
      <c r="O45" s="36" t="str">
        <f t="shared" si="5"/>
        <v>B1G1</v>
      </c>
      <c r="P45" s="35" t="str">
        <f t="shared" si="5"/>
        <v>BXGY</v>
      </c>
    </row>
    <row r="46" spans="1:16" x14ac:dyDescent="0.25">
      <c r="A46" s="35" t="str">
        <f t="shared" si="4"/>
        <v>2025 JUL B1G1</v>
      </c>
      <c r="B46" s="23">
        <f t="shared" si="4"/>
        <v>46099</v>
      </c>
      <c r="C46" s="23">
        <f t="shared" si="4"/>
        <v>46113</v>
      </c>
      <c r="D46" s="35">
        <f t="shared" si="4"/>
        <v>3272</v>
      </c>
      <c r="E46" s="35">
        <f t="shared" si="4"/>
        <v>336</v>
      </c>
      <c r="F46" s="31">
        <v>4</v>
      </c>
      <c r="G46" s="31">
        <v>1</v>
      </c>
      <c r="H46" s="35">
        <v>81379</v>
      </c>
      <c r="I46" s="22" t="s">
        <v>104</v>
      </c>
      <c r="J46" s="22">
        <v>54556444</v>
      </c>
      <c r="K46" s="22" t="s">
        <v>3337</v>
      </c>
      <c r="L46" s="28" t="s">
        <v>3339</v>
      </c>
      <c r="M46" s="35">
        <v>99900</v>
      </c>
      <c r="N46" s="35" t="str">
        <f t="shared" si="5"/>
        <v>BXGY</v>
      </c>
      <c r="O46" s="36" t="str">
        <f t="shared" si="5"/>
        <v>B1G1</v>
      </c>
      <c r="P46" s="35" t="str">
        <f t="shared" si="5"/>
        <v>BXGY</v>
      </c>
    </row>
    <row r="47" spans="1:16" x14ac:dyDescent="0.25">
      <c r="A47" s="35" t="str">
        <f t="shared" si="4"/>
        <v>2025 JUL B1G1</v>
      </c>
      <c r="B47" s="23">
        <f t="shared" si="4"/>
        <v>46099</v>
      </c>
      <c r="C47" s="23">
        <f t="shared" si="4"/>
        <v>46113</v>
      </c>
      <c r="D47" s="35">
        <f t="shared" si="4"/>
        <v>3272</v>
      </c>
      <c r="E47" s="35">
        <f t="shared" si="4"/>
        <v>336</v>
      </c>
      <c r="F47" s="31">
        <v>4</v>
      </c>
      <c r="G47" s="31">
        <v>1</v>
      </c>
      <c r="H47" s="35">
        <v>81379</v>
      </c>
      <c r="I47" s="22" t="s">
        <v>104</v>
      </c>
      <c r="J47" s="22">
        <v>54556453</v>
      </c>
      <c r="K47" s="22" t="s">
        <v>3337</v>
      </c>
      <c r="L47" s="28" t="s">
        <v>3340</v>
      </c>
      <c r="M47" s="35">
        <v>99900</v>
      </c>
      <c r="N47" s="35" t="str">
        <f t="shared" si="5"/>
        <v>BXGY</v>
      </c>
      <c r="O47" s="36" t="str">
        <f t="shared" si="5"/>
        <v>B1G1</v>
      </c>
      <c r="P47" s="35" t="str">
        <f t="shared" si="5"/>
        <v>BXGY</v>
      </c>
    </row>
    <row r="48" spans="1:16" x14ac:dyDescent="0.25">
      <c r="A48" s="35" t="str">
        <f t="shared" si="4"/>
        <v>2025 JUL B1G1</v>
      </c>
      <c r="B48" s="23">
        <f t="shared" si="4"/>
        <v>46099</v>
      </c>
      <c r="C48" s="23">
        <f t="shared" si="4"/>
        <v>46113</v>
      </c>
      <c r="D48" s="35">
        <f t="shared" si="4"/>
        <v>3272</v>
      </c>
      <c r="E48" s="35">
        <f t="shared" si="4"/>
        <v>336</v>
      </c>
      <c r="F48" s="31">
        <v>4</v>
      </c>
      <c r="G48" s="31">
        <v>1</v>
      </c>
      <c r="H48" s="35">
        <v>81379</v>
      </c>
      <c r="I48" s="22" t="s">
        <v>104</v>
      </c>
      <c r="J48" s="22">
        <v>54556462</v>
      </c>
      <c r="K48" s="22" t="s">
        <v>3337</v>
      </c>
      <c r="L48" s="28" t="s">
        <v>3341</v>
      </c>
      <c r="M48" s="35">
        <v>99900</v>
      </c>
      <c r="N48" s="35" t="str">
        <f t="shared" si="5"/>
        <v>BXGY</v>
      </c>
      <c r="O48" s="36" t="str">
        <f t="shared" si="5"/>
        <v>B1G1</v>
      </c>
      <c r="P48" s="35" t="str">
        <f t="shared" si="5"/>
        <v>BXGY</v>
      </c>
    </row>
    <row r="49" spans="1:16" x14ac:dyDescent="0.25">
      <c r="A49" s="35" t="str">
        <f t="shared" si="4"/>
        <v>2025 JUL B1G1</v>
      </c>
      <c r="B49" s="23">
        <f t="shared" si="4"/>
        <v>46099</v>
      </c>
      <c r="C49" s="23">
        <f t="shared" si="4"/>
        <v>46113</v>
      </c>
      <c r="D49" s="35">
        <f t="shared" si="4"/>
        <v>3272</v>
      </c>
      <c r="E49" s="35">
        <f t="shared" si="4"/>
        <v>336</v>
      </c>
      <c r="F49" s="31">
        <v>4</v>
      </c>
      <c r="G49" s="31">
        <v>1</v>
      </c>
      <c r="H49" s="35">
        <v>81379</v>
      </c>
      <c r="I49" s="22" t="s">
        <v>104</v>
      </c>
      <c r="J49" s="22">
        <v>54556471</v>
      </c>
      <c r="K49" s="22" t="s">
        <v>3342</v>
      </c>
      <c r="L49" s="28" t="s">
        <v>3343</v>
      </c>
      <c r="M49" s="35">
        <v>99900</v>
      </c>
      <c r="N49" s="35" t="str">
        <f t="shared" si="5"/>
        <v>BXGY</v>
      </c>
      <c r="O49" s="36" t="str">
        <f t="shared" si="5"/>
        <v>B1G1</v>
      </c>
      <c r="P49" s="35" t="str">
        <f t="shared" si="5"/>
        <v>BXGY</v>
      </c>
    </row>
    <row r="50" spans="1:16" x14ac:dyDescent="0.25">
      <c r="A50" s="35" t="str">
        <f t="shared" si="4"/>
        <v>2025 JUL B1G1</v>
      </c>
      <c r="B50" s="23">
        <f t="shared" si="4"/>
        <v>46099</v>
      </c>
      <c r="C50" s="23">
        <f t="shared" si="4"/>
        <v>46113</v>
      </c>
      <c r="D50" s="35">
        <f t="shared" si="4"/>
        <v>3272</v>
      </c>
      <c r="E50" s="35">
        <f t="shared" si="4"/>
        <v>336</v>
      </c>
      <c r="F50" s="31">
        <v>4</v>
      </c>
      <c r="G50" s="31">
        <v>1</v>
      </c>
      <c r="H50" s="35">
        <v>81379</v>
      </c>
      <c r="I50" s="22" t="s">
        <v>104</v>
      </c>
      <c r="J50" s="22">
        <v>54556480</v>
      </c>
      <c r="K50" s="22" t="s">
        <v>3342</v>
      </c>
      <c r="L50" s="28" t="s">
        <v>3344</v>
      </c>
      <c r="M50" s="35">
        <v>99900</v>
      </c>
      <c r="N50" s="35" t="str">
        <f t="shared" si="5"/>
        <v>BXGY</v>
      </c>
      <c r="O50" s="36" t="str">
        <f t="shared" si="5"/>
        <v>B1G1</v>
      </c>
      <c r="P50" s="35" t="str">
        <f t="shared" si="5"/>
        <v>BXGY</v>
      </c>
    </row>
    <row r="51" spans="1:16" x14ac:dyDescent="0.25">
      <c r="A51" s="35" t="str">
        <f t="shared" ref="A51:E63" si="6">A50</f>
        <v>2025 JUL B1G1</v>
      </c>
      <c r="B51" s="23">
        <f t="shared" si="6"/>
        <v>46099</v>
      </c>
      <c r="C51" s="23">
        <f t="shared" si="6"/>
        <v>46113</v>
      </c>
      <c r="D51" s="35">
        <f t="shared" si="6"/>
        <v>3272</v>
      </c>
      <c r="E51" s="35">
        <f t="shared" si="6"/>
        <v>336</v>
      </c>
      <c r="F51" s="31">
        <v>4</v>
      </c>
      <c r="G51" s="31">
        <v>1</v>
      </c>
      <c r="H51" s="35">
        <v>81379</v>
      </c>
      <c r="I51" s="22" t="s">
        <v>104</v>
      </c>
      <c r="J51" s="22">
        <v>54556499</v>
      </c>
      <c r="K51" s="22" t="s">
        <v>3342</v>
      </c>
      <c r="L51" s="28" t="s">
        <v>3345</v>
      </c>
      <c r="M51" s="35">
        <v>99900</v>
      </c>
      <c r="N51" s="35" t="str">
        <f t="shared" ref="N51:P63" si="7">N50</f>
        <v>BXGY</v>
      </c>
      <c r="O51" s="36" t="str">
        <f t="shared" si="7"/>
        <v>B1G1</v>
      </c>
      <c r="P51" s="35" t="str">
        <f t="shared" si="7"/>
        <v>BXGY</v>
      </c>
    </row>
    <row r="52" spans="1:16" x14ac:dyDescent="0.25">
      <c r="A52" s="35" t="str">
        <f t="shared" si="6"/>
        <v>2025 JUL B1G1</v>
      </c>
      <c r="B52" s="23">
        <f t="shared" si="6"/>
        <v>46099</v>
      </c>
      <c r="C52" s="23">
        <f t="shared" si="6"/>
        <v>46113</v>
      </c>
      <c r="D52" s="35">
        <f t="shared" si="6"/>
        <v>3272</v>
      </c>
      <c r="E52" s="35">
        <f t="shared" si="6"/>
        <v>336</v>
      </c>
      <c r="F52" s="31">
        <v>4</v>
      </c>
      <c r="G52" s="31">
        <v>1</v>
      </c>
      <c r="H52" s="35">
        <v>81379</v>
      </c>
      <c r="I52" s="22" t="s">
        <v>104</v>
      </c>
      <c r="J52" s="22">
        <v>54556506</v>
      </c>
      <c r="K52" s="22" t="s">
        <v>3342</v>
      </c>
      <c r="L52" s="28" t="s">
        <v>3346</v>
      </c>
      <c r="M52" s="35">
        <v>99900</v>
      </c>
      <c r="N52" s="35" t="str">
        <f t="shared" si="7"/>
        <v>BXGY</v>
      </c>
      <c r="O52" s="36" t="str">
        <f t="shared" si="7"/>
        <v>B1G1</v>
      </c>
      <c r="P52" s="35" t="str">
        <f t="shared" si="7"/>
        <v>BXGY</v>
      </c>
    </row>
    <row r="53" spans="1:16" x14ac:dyDescent="0.25">
      <c r="A53" s="35" t="str">
        <f t="shared" si="6"/>
        <v>2025 JUL B1G1</v>
      </c>
      <c r="B53" s="23">
        <f t="shared" si="6"/>
        <v>46099</v>
      </c>
      <c r="C53" s="23">
        <f t="shared" si="6"/>
        <v>46113</v>
      </c>
      <c r="D53" s="35">
        <f t="shared" si="6"/>
        <v>3272</v>
      </c>
      <c r="E53" s="35">
        <f t="shared" si="6"/>
        <v>336</v>
      </c>
      <c r="F53" s="31">
        <v>4</v>
      </c>
      <c r="G53" s="31">
        <v>1</v>
      </c>
      <c r="H53" s="35">
        <v>81379</v>
      </c>
      <c r="I53" s="22" t="s">
        <v>104</v>
      </c>
      <c r="J53" s="22">
        <v>54556515</v>
      </c>
      <c r="K53" s="22" t="s">
        <v>3347</v>
      </c>
      <c r="L53" s="28" t="s">
        <v>3348</v>
      </c>
      <c r="M53" s="35">
        <v>99900</v>
      </c>
      <c r="N53" s="35" t="str">
        <f t="shared" si="7"/>
        <v>BXGY</v>
      </c>
      <c r="O53" s="36" t="str">
        <f t="shared" si="7"/>
        <v>B1G1</v>
      </c>
      <c r="P53" s="35" t="str">
        <f t="shared" si="7"/>
        <v>BXGY</v>
      </c>
    </row>
    <row r="54" spans="1:16" x14ac:dyDescent="0.25">
      <c r="A54" s="35" t="str">
        <f t="shared" si="6"/>
        <v>2025 JUL B1G1</v>
      </c>
      <c r="B54" s="23">
        <f t="shared" si="6"/>
        <v>46099</v>
      </c>
      <c r="C54" s="23">
        <f t="shared" si="6"/>
        <v>46113</v>
      </c>
      <c r="D54" s="35">
        <f t="shared" si="6"/>
        <v>3272</v>
      </c>
      <c r="E54" s="35">
        <f t="shared" si="6"/>
        <v>336</v>
      </c>
      <c r="F54" s="31">
        <v>4</v>
      </c>
      <c r="G54" s="31">
        <v>1</v>
      </c>
      <c r="H54" s="35">
        <v>81379</v>
      </c>
      <c r="I54" s="22" t="s">
        <v>104</v>
      </c>
      <c r="J54" s="22">
        <v>54556524</v>
      </c>
      <c r="K54" s="22" t="s">
        <v>3347</v>
      </c>
      <c r="L54" s="28" t="s">
        <v>3349</v>
      </c>
      <c r="M54" s="35">
        <v>99900</v>
      </c>
      <c r="N54" s="35" t="str">
        <f t="shared" si="7"/>
        <v>BXGY</v>
      </c>
      <c r="O54" s="36" t="str">
        <f t="shared" si="7"/>
        <v>B1G1</v>
      </c>
      <c r="P54" s="35" t="str">
        <f t="shared" si="7"/>
        <v>BXGY</v>
      </c>
    </row>
    <row r="55" spans="1:16" x14ac:dyDescent="0.25">
      <c r="A55" s="35" t="str">
        <f t="shared" si="6"/>
        <v>2025 JUL B1G1</v>
      </c>
      <c r="B55" s="23">
        <f t="shared" si="6"/>
        <v>46099</v>
      </c>
      <c r="C55" s="23">
        <f t="shared" si="6"/>
        <v>46113</v>
      </c>
      <c r="D55" s="35">
        <f t="shared" si="6"/>
        <v>3272</v>
      </c>
      <c r="E55" s="35">
        <f t="shared" si="6"/>
        <v>336</v>
      </c>
      <c r="F55" s="31">
        <v>4</v>
      </c>
      <c r="G55" s="31">
        <v>1</v>
      </c>
      <c r="H55" s="35">
        <v>81379</v>
      </c>
      <c r="I55" s="22" t="s">
        <v>104</v>
      </c>
      <c r="J55" s="22">
        <v>54556533</v>
      </c>
      <c r="K55" s="22" t="s">
        <v>3347</v>
      </c>
      <c r="L55" s="28" t="s">
        <v>3350</v>
      </c>
      <c r="M55" s="35">
        <v>99900</v>
      </c>
      <c r="N55" s="35" t="str">
        <f t="shared" si="7"/>
        <v>BXGY</v>
      </c>
      <c r="O55" s="36" t="str">
        <f t="shared" si="7"/>
        <v>B1G1</v>
      </c>
      <c r="P55" s="35" t="str">
        <f t="shared" si="7"/>
        <v>BXGY</v>
      </c>
    </row>
    <row r="56" spans="1:16" x14ac:dyDescent="0.25">
      <c r="A56" s="35" t="str">
        <f t="shared" si="6"/>
        <v>2025 JUL B1G1</v>
      </c>
      <c r="B56" s="23">
        <f t="shared" si="6"/>
        <v>46099</v>
      </c>
      <c r="C56" s="23">
        <f t="shared" si="6"/>
        <v>46113</v>
      </c>
      <c r="D56" s="35">
        <f t="shared" si="6"/>
        <v>3272</v>
      </c>
      <c r="E56" s="35">
        <f t="shared" si="6"/>
        <v>336</v>
      </c>
      <c r="F56" s="31">
        <v>4</v>
      </c>
      <c r="G56" s="31">
        <v>1</v>
      </c>
      <c r="H56" s="35">
        <v>81379</v>
      </c>
      <c r="I56" s="22" t="s">
        <v>104</v>
      </c>
      <c r="J56" s="22">
        <v>54556542</v>
      </c>
      <c r="K56" s="22" t="s">
        <v>3347</v>
      </c>
      <c r="L56" s="28" t="s">
        <v>3351</v>
      </c>
      <c r="M56" s="35">
        <v>99900</v>
      </c>
      <c r="N56" s="35" t="str">
        <f t="shared" si="7"/>
        <v>BXGY</v>
      </c>
      <c r="O56" s="36" t="str">
        <f t="shared" si="7"/>
        <v>B1G1</v>
      </c>
      <c r="P56" s="35" t="str">
        <f t="shared" si="7"/>
        <v>BXGY</v>
      </c>
    </row>
    <row r="57" spans="1:16" x14ac:dyDescent="0.25">
      <c r="A57" s="35" t="str">
        <f t="shared" si="6"/>
        <v>2025 JUL B1G1</v>
      </c>
      <c r="B57" s="23">
        <f t="shared" si="6"/>
        <v>46099</v>
      </c>
      <c r="C57" s="23">
        <f t="shared" si="6"/>
        <v>46113</v>
      </c>
      <c r="D57" s="35">
        <f t="shared" si="6"/>
        <v>3272</v>
      </c>
      <c r="E57" s="35">
        <f t="shared" si="6"/>
        <v>336</v>
      </c>
      <c r="F57" s="31">
        <v>4</v>
      </c>
      <c r="G57" s="31">
        <v>1</v>
      </c>
      <c r="H57" s="35">
        <v>81379</v>
      </c>
      <c r="I57" s="22" t="s">
        <v>104</v>
      </c>
      <c r="J57" s="22">
        <v>55229484</v>
      </c>
      <c r="K57" s="22" t="s">
        <v>3352</v>
      </c>
      <c r="L57" s="28" t="s">
        <v>3353</v>
      </c>
      <c r="M57" s="35">
        <v>99900</v>
      </c>
      <c r="N57" s="35" t="str">
        <f t="shared" si="7"/>
        <v>BXGY</v>
      </c>
      <c r="O57" s="36" t="str">
        <f t="shared" si="7"/>
        <v>B1G1</v>
      </c>
      <c r="P57" s="35" t="str">
        <f t="shared" si="7"/>
        <v>BXGY</v>
      </c>
    </row>
    <row r="58" spans="1:16" x14ac:dyDescent="0.25">
      <c r="A58" s="35" t="str">
        <f t="shared" si="6"/>
        <v>2025 JUL B1G1</v>
      </c>
      <c r="B58" s="23">
        <f t="shared" si="6"/>
        <v>46099</v>
      </c>
      <c r="C58" s="23">
        <f t="shared" si="6"/>
        <v>46113</v>
      </c>
      <c r="D58" s="35">
        <f t="shared" si="6"/>
        <v>3272</v>
      </c>
      <c r="E58" s="35">
        <f t="shared" si="6"/>
        <v>336</v>
      </c>
      <c r="F58" s="31">
        <v>4</v>
      </c>
      <c r="G58" s="31">
        <v>1</v>
      </c>
      <c r="H58" s="35">
        <v>81379</v>
      </c>
      <c r="I58" s="22" t="s">
        <v>104</v>
      </c>
      <c r="J58" s="22">
        <v>55229493</v>
      </c>
      <c r="K58" s="22" t="s">
        <v>3352</v>
      </c>
      <c r="L58" s="28" t="s">
        <v>3354</v>
      </c>
      <c r="M58" s="35">
        <v>99900</v>
      </c>
      <c r="N58" s="35" t="str">
        <f t="shared" si="7"/>
        <v>BXGY</v>
      </c>
      <c r="O58" s="36" t="str">
        <f t="shared" si="7"/>
        <v>B1G1</v>
      </c>
      <c r="P58" s="35" t="str">
        <f t="shared" si="7"/>
        <v>BXGY</v>
      </c>
    </row>
    <row r="59" spans="1:16" x14ac:dyDescent="0.25">
      <c r="A59" s="35" t="str">
        <f t="shared" si="6"/>
        <v>2025 JUL B1G1</v>
      </c>
      <c r="B59" s="23">
        <f t="shared" si="6"/>
        <v>46099</v>
      </c>
      <c r="C59" s="23">
        <f t="shared" si="6"/>
        <v>46113</v>
      </c>
      <c r="D59" s="35">
        <f t="shared" si="6"/>
        <v>3272</v>
      </c>
      <c r="E59" s="35">
        <f t="shared" si="6"/>
        <v>336</v>
      </c>
      <c r="F59" s="31">
        <v>4</v>
      </c>
      <c r="G59" s="31">
        <v>1</v>
      </c>
      <c r="H59" s="35">
        <v>81379</v>
      </c>
      <c r="I59" s="22" t="s">
        <v>104</v>
      </c>
      <c r="J59" s="22">
        <v>55229500</v>
      </c>
      <c r="K59" s="22" t="s">
        <v>3352</v>
      </c>
      <c r="L59" s="28" t="s">
        <v>3355</v>
      </c>
      <c r="M59" s="35">
        <v>99900</v>
      </c>
      <c r="N59" s="35" t="str">
        <f t="shared" si="7"/>
        <v>BXGY</v>
      </c>
      <c r="O59" s="36" t="str">
        <f t="shared" si="7"/>
        <v>B1G1</v>
      </c>
      <c r="P59" s="35" t="str">
        <f t="shared" si="7"/>
        <v>BXGY</v>
      </c>
    </row>
    <row r="60" spans="1:16" x14ac:dyDescent="0.25">
      <c r="A60" s="35" t="str">
        <f t="shared" si="6"/>
        <v>2025 JUL B1G1</v>
      </c>
      <c r="B60" s="23">
        <f t="shared" si="6"/>
        <v>46099</v>
      </c>
      <c r="C60" s="23">
        <f t="shared" si="6"/>
        <v>46113</v>
      </c>
      <c r="D60" s="35">
        <f t="shared" si="6"/>
        <v>3272</v>
      </c>
      <c r="E60" s="35">
        <f t="shared" si="6"/>
        <v>336</v>
      </c>
      <c r="F60" s="31">
        <v>4</v>
      </c>
      <c r="G60" s="31">
        <v>1</v>
      </c>
      <c r="H60" s="35">
        <v>81379</v>
      </c>
      <c r="I60" s="22" t="s">
        <v>104</v>
      </c>
      <c r="J60" s="22">
        <v>55229519</v>
      </c>
      <c r="K60" s="22" t="s">
        <v>3352</v>
      </c>
      <c r="L60" s="28" t="s">
        <v>3356</v>
      </c>
      <c r="M60" s="35">
        <v>99900</v>
      </c>
      <c r="N60" s="35" t="str">
        <f t="shared" si="7"/>
        <v>BXGY</v>
      </c>
      <c r="O60" s="36" t="str">
        <f t="shared" si="7"/>
        <v>B1G1</v>
      </c>
      <c r="P60" s="35" t="str">
        <f t="shared" si="7"/>
        <v>BXGY</v>
      </c>
    </row>
    <row r="61" spans="1:16" x14ac:dyDescent="0.25">
      <c r="A61" s="35" t="str">
        <f t="shared" si="6"/>
        <v>2025 JUL B1G1</v>
      </c>
      <c r="B61" s="23">
        <f t="shared" si="6"/>
        <v>46099</v>
      </c>
      <c r="C61" s="23">
        <f t="shared" si="6"/>
        <v>46113</v>
      </c>
      <c r="D61" s="35">
        <f t="shared" si="6"/>
        <v>3272</v>
      </c>
      <c r="E61" s="35">
        <f t="shared" si="6"/>
        <v>336</v>
      </c>
      <c r="F61" s="31">
        <v>4</v>
      </c>
      <c r="G61" s="31">
        <v>1</v>
      </c>
      <c r="H61" s="35">
        <v>81379</v>
      </c>
      <c r="I61" s="22" t="s">
        <v>104</v>
      </c>
      <c r="J61" s="22">
        <v>55229528</v>
      </c>
      <c r="K61" s="22" t="s">
        <v>3352</v>
      </c>
      <c r="L61" s="28" t="s">
        <v>3357</v>
      </c>
      <c r="M61" s="35">
        <v>99900</v>
      </c>
      <c r="N61" s="35" t="str">
        <f t="shared" si="7"/>
        <v>BXGY</v>
      </c>
      <c r="O61" s="36" t="str">
        <f t="shared" si="7"/>
        <v>B1G1</v>
      </c>
      <c r="P61" s="35" t="str">
        <f t="shared" si="7"/>
        <v>BXGY</v>
      </c>
    </row>
    <row r="62" spans="1:16" x14ac:dyDescent="0.25">
      <c r="A62" s="35" t="str">
        <f t="shared" si="6"/>
        <v>2025 JUL B1G1</v>
      </c>
      <c r="B62" s="23">
        <f t="shared" si="6"/>
        <v>46099</v>
      </c>
      <c r="C62" s="23">
        <f t="shared" si="6"/>
        <v>46113</v>
      </c>
      <c r="D62" s="35">
        <f t="shared" si="6"/>
        <v>3272</v>
      </c>
      <c r="E62" s="35">
        <f t="shared" si="6"/>
        <v>336</v>
      </c>
      <c r="F62" s="31">
        <v>4</v>
      </c>
      <c r="G62" s="31">
        <v>1</v>
      </c>
      <c r="H62" s="35">
        <v>81379</v>
      </c>
      <c r="I62" s="22" t="s">
        <v>104</v>
      </c>
      <c r="J62" s="22">
        <v>55229537</v>
      </c>
      <c r="K62" s="22" t="s">
        <v>3352</v>
      </c>
      <c r="L62" s="28" t="s">
        <v>3358</v>
      </c>
      <c r="M62" s="35">
        <v>99900</v>
      </c>
      <c r="N62" s="35" t="str">
        <f t="shared" si="7"/>
        <v>BXGY</v>
      </c>
      <c r="O62" s="36" t="str">
        <f t="shared" si="7"/>
        <v>B1G1</v>
      </c>
      <c r="P62" s="35" t="str">
        <f t="shared" si="7"/>
        <v>BXGY</v>
      </c>
    </row>
    <row r="63" spans="1:16" x14ac:dyDescent="0.25">
      <c r="A63" s="35" t="str">
        <f t="shared" si="6"/>
        <v>2025 JUL B1G1</v>
      </c>
      <c r="B63" s="23">
        <f t="shared" si="6"/>
        <v>46099</v>
      </c>
      <c r="C63" s="23">
        <f t="shared" si="6"/>
        <v>46113</v>
      </c>
      <c r="D63" s="35">
        <f t="shared" si="6"/>
        <v>3272</v>
      </c>
      <c r="E63" s="35">
        <f t="shared" si="6"/>
        <v>336</v>
      </c>
      <c r="F63" s="31">
        <v>4</v>
      </c>
      <c r="G63" s="31">
        <v>1</v>
      </c>
      <c r="H63" s="35">
        <v>81379</v>
      </c>
      <c r="I63" s="22" t="s">
        <v>104</v>
      </c>
      <c r="J63" s="22">
        <v>55229546</v>
      </c>
      <c r="K63" s="22" t="s">
        <v>3352</v>
      </c>
      <c r="L63" s="28" t="s">
        <v>3359</v>
      </c>
      <c r="M63" s="35">
        <v>99900</v>
      </c>
      <c r="N63" s="35" t="str">
        <f t="shared" si="7"/>
        <v>BXGY</v>
      </c>
      <c r="O63" s="36" t="str">
        <f t="shared" si="7"/>
        <v>B1G1</v>
      </c>
      <c r="P63" s="35" t="str">
        <f t="shared" si="7"/>
        <v>BXGY</v>
      </c>
    </row>
  </sheetData>
  <conditionalFormatting sqref="J1">
    <cfRule type="duplicateValues" dxfId="61" priority="9"/>
    <cfRule type="duplicateValues" dxfId="60" priority="272"/>
  </conditionalFormatting>
  <conditionalFormatting sqref="J2:J16">
    <cfRule type="duplicateValues" dxfId="59" priority="5"/>
    <cfRule type="duplicateValues" dxfId="58" priority="6"/>
    <cfRule type="duplicateValues" dxfId="57" priority="7"/>
  </conditionalFormatting>
  <conditionalFormatting sqref="J17:J21">
    <cfRule type="duplicateValues" dxfId="56" priority="3"/>
  </conditionalFormatting>
  <conditionalFormatting sqref="J17:J63">
    <cfRule type="duplicateValues" dxfId="55" priority="2"/>
    <cfRule type="duplicateValues" dxfId="54" priority="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B5E2-843E-49EE-9623-8AB48F2E4CA7}">
  <dimension ref="A1:P134"/>
  <sheetViews>
    <sheetView workbookViewId="0">
      <selection activeCell="N2" sqref="N2:P2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2" max="12" width="90.1406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5" t="s">
        <v>4237</v>
      </c>
      <c r="B2" s="8">
        <f>'2019 ALL D95'!B2</f>
        <v>46099</v>
      </c>
      <c r="C2" s="8">
        <f>'2019 ALL D95'!C2</f>
        <v>46113</v>
      </c>
      <c r="D2" s="33">
        <v>3272</v>
      </c>
      <c r="E2" s="33">
        <v>336</v>
      </c>
      <c r="F2" s="30">
        <v>4</v>
      </c>
      <c r="G2" s="27">
        <v>1</v>
      </c>
      <c r="H2" s="27">
        <v>4953</v>
      </c>
      <c r="I2" s="27" t="s">
        <v>104</v>
      </c>
      <c r="J2" s="27">
        <v>54555516</v>
      </c>
      <c r="K2" s="27" t="s">
        <v>3360</v>
      </c>
      <c r="L2" s="27" t="s">
        <v>3371</v>
      </c>
      <c r="M2" s="25">
        <v>99900</v>
      </c>
      <c r="N2" s="14" t="s">
        <v>618</v>
      </c>
      <c r="O2" s="14" t="s">
        <v>3187</v>
      </c>
      <c r="P2" s="14" t="s">
        <v>618</v>
      </c>
    </row>
    <row r="3" spans="1:16" x14ac:dyDescent="0.25">
      <c r="A3" s="35" t="str">
        <f t="shared" ref="A3:A44" si="0">A2</f>
        <v>2025 AUG B1G1</v>
      </c>
      <c r="B3" s="23">
        <f t="shared" ref="B3:B43" si="1">B2</f>
        <v>46099</v>
      </c>
      <c r="C3" s="23">
        <f t="shared" ref="C3:C43" si="2">C2</f>
        <v>46113</v>
      </c>
      <c r="D3" s="35">
        <f t="shared" ref="D3:D43" si="3">D2</f>
        <v>3272</v>
      </c>
      <c r="E3" s="35">
        <f t="shared" ref="E3:E43" si="4">E2</f>
        <v>336</v>
      </c>
      <c r="F3" s="31">
        <v>4</v>
      </c>
      <c r="G3" s="28">
        <v>1</v>
      </c>
      <c r="H3" s="28">
        <v>4953</v>
      </c>
      <c r="I3" s="28" t="str">
        <f t="shared" ref="I3:I43" si="5">I2</f>
        <v>CHARACTER</v>
      </c>
      <c r="J3" s="28">
        <v>54555525</v>
      </c>
      <c r="K3" s="28" t="s">
        <v>3360</v>
      </c>
      <c r="L3" s="28" t="s">
        <v>3372</v>
      </c>
      <c r="M3" s="25">
        <v>99900</v>
      </c>
      <c r="N3" s="35" t="str">
        <f t="shared" ref="N3:N43" si="6">N2</f>
        <v>BXGY</v>
      </c>
      <c r="O3" s="36" t="str">
        <f t="shared" ref="O3:O66" si="7">O2</f>
        <v>B1G1</v>
      </c>
      <c r="P3" s="35" t="str">
        <f t="shared" ref="P3:P43" si="8">P2</f>
        <v>BXGY</v>
      </c>
    </row>
    <row r="4" spans="1:16" x14ac:dyDescent="0.25">
      <c r="A4" s="35" t="str">
        <f t="shared" si="0"/>
        <v>2025 AUG B1G1</v>
      </c>
      <c r="B4" s="23">
        <f t="shared" si="1"/>
        <v>46099</v>
      </c>
      <c r="C4" s="23">
        <f t="shared" si="2"/>
        <v>46113</v>
      </c>
      <c r="D4" s="35">
        <f t="shared" si="3"/>
        <v>3272</v>
      </c>
      <c r="E4" s="35">
        <f t="shared" si="4"/>
        <v>336</v>
      </c>
      <c r="F4" s="31">
        <v>4</v>
      </c>
      <c r="G4" s="28">
        <v>1</v>
      </c>
      <c r="H4" s="28">
        <v>4953</v>
      </c>
      <c r="I4" s="28" t="str">
        <f t="shared" si="5"/>
        <v>CHARACTER</v>
      </c>
      <c r="J4" s="28">
        <v>54555534</v>
      </c>
      <c r="K4" s="28" t="s">
        <v>3360</v>
      </c>
      <c r="L4" s="22" t="s">
        <v>3373</v>
      </c>
      <c r="M4" s="25">
        <v>99900</v>
      </c>
      <c r="N4" s="35" t="str">
        <f t="shared" si="6"/>
        <v>BXGY</v>
      </c>
      <c r="O4" s="36" t="str">
        <f t="shared" si="7"/>
        <v>B1G1</v>
      </c>
      <c r="P4" s="35" t="str">
        <f t="shared" si="8"/>
        <v>BXGY</v>
      </c>
    </row>
    <row r="5" spans="1:16" x14ac:dyDescent="0.25">
      <c r="A5" s="35" t="str">
        <f t="shared" si="0"/>
        <v>2025 AUG B1G1</v>
      </c>
      <c r="B5" s="23">
        <f t="shared" si="1"/>
        <v>46099</v>
      </c>
      <c r="C5" s="23">
        <f t="shared" si="2"/>
        <v>46113</v>
      </c>
      <c r="D5" s="35">
        <f t="shared" si="3"/>
        <v>3272</v>
      </c>
      <c r="E5" s="35">
        <f t="shared" si="4"/>
        <v>336</v>
      </c>
      <c r="F5" s="31">
        <v>4</v>
      </c>
      <c r="G5" s="28">
        <v>1</v>
      </c>
      <c r="H5" s="28">
        <v>4953</v>
      </c>
      <c r="I5" s="28" t="str">
        <f t="shared" si="5"/>
        <v>CHARACTER</v>
      </c>
      <c r="J5" s="28">
        <v>54555543</v>
      </c>
      <c r="K5" s="28" t="s">
        <v>3360</v>
      </c>
      <c r="L5" s="22" t="s">
        <v>3374</v>
      </c>
      <c r="M5" s="25">
        <v>99900</v>
      </c>
      <c r="N5" s="35" t="str">
        <f t="shared" si="6"/>
        <v>BXGY</v>
      </c>
      <c r="O5" s="36" t="str">
        <f t="shared" si="7"/>
        <v>B1G1</v>
      </c>
      <c r="P5" s="35" t="str">
        <f t="shared" si="8"/>
        <v>BXGY</v>
      </c>
    </row>
    <row r="6" spans="1:16" x14ac:dyDescent="0.25">
      <c r="A6" s="35" t="str">
        <f t="shared" si="0"/>
        <v>2025 AUG B1G1</v>
      </c>
      <c r="B6" s="23">
        <f t="shared" si="1"/>
        <v>46099</v>
      </c>
      <c r="C6" s="23">
        <f t="shared" si="2"/>
        <v>46113</v>
      </c>
      <c r="D6" s="35">
        <f t="shared" si="3"/>
        <v>3272</v>
      </c>
      <c r="E6" s="35">
        <f t="shared" si="4"/>
        <v>336</v>
      </c>
      <c r="F6" s="31">
        <v>4</v>
      </c>
      <c r="G6" s="28">
        <v>1</v>
      </c>
      <c r="H6" s="28">
        <v>4953</v>
      </c>
      <c r="I6" s="28" t="str">
        <f t="shared" si="5"/>
        <v>CHARACTER</v>
      </c>
      <c r="J6" s="28">
        <v>54555552</v>
      </c>
      <c r="K6" s="28" t="s">
        <v>3360</v>
      </c>
      <c r="L6" s="22" t="s">
        <v>3375</v>
      </c>
      <c r="M6" s="25">
        <v>99900</v>
      </c>
      <c r="N6" s="35" t="str">
        <f t="shared" si="6"/>
        <v>BXGY</v>
      </c>
      <c r="O6" s="36" t="str">
        <f t="shared" si="7"/>
        <v>B1G1</v>
      </c>
      <c r="P6" s="35" t="str">
        <f t="shared" si="8"/>
        <v>BXGY</v>
      </c>
    </row>
    <row r="7" spans="1:16" x14ac:dyDescent="0.25">
      <c r="A7" s="35" t="str">
        <f t="shared" si="0"/>
        <v>2025 AUG B1G1</v>
      </c>
      <c r="B7" s="23">
        <f t="shared" si="1"/>
        <v>46099</v>
      </c>
      <c r="C7" s="23">
        <f t="shared" si="2"/>
        <v>46113</v>
      </c>
      <c r="D7" s="35">
        <f t="shared" si="3"/>
        <v>3272</v>
      </c>
      <c r="E7" s="35">
        <f t="shared" si="4"/>
        <v>336</v>
      </c>
      <c r="F7" s="31">
        <v>4</v>
      </c>
      <c r="G7" s="28">
        <v>1</v>
      </c>
      <c r="H7" s="28">
        <v>4953</v>
      </c>
      <c r="I7" s="28" t="str">
        <f t="shared" si="5"/>
        <v>CHARACTER</v>
      </c>
      <c r="J7" s="28">
        <v>54555561</v>
      </c>
      <c r="K7" s="28" t="s">
        <v>3360</v>
      </c>
      <c r="L7" s="22" t="s">
        <v>3376</v>
      </c>
      <c r="M7" s="25">
        <v>99900</v>
      </c>
      <c r="N7" s="35" t="str">
        <f t="shared" si="6"/>
        <v>BXGY</v>
      </c>
      <c r="O7" s="36" t="str">
        <f t="shared" si="7"/>
        <v>B1G1</v>
      </c>
      <c r="P7" s="35" t="str">
        <f t="shared" si="8"/>
        <v>BXGY</v>
      </c>
    </row>
    <row r="8" spans="1:16" x14ac:dyDescent="0.25">
      <c r="A8" s="35" t="str">
        <f t="shared" si="0"/>
        <v>2025 AUG B1G1</v>
      </c>
      <c r="B8" s="23">
        <f t="shared" si="1"/>
        <v>46099</v>
      </c>
      <c r="C8" s="23">
        <f t="shared" si="2"/>
        <v>46113</v>
      </c>
      <c r="D8" s="35">
        <f t="shared" si="3"/>
        <v>3272</v>
      </c>
      <c r="E8" s="35">
        <f t="shared" si="4"/>
        <v>336</v>
      </c>
      <c r="F8" s="31">
        <v>4</v>
      </c>
      <c r="G8" s="28">
        <v>1</v>
      </c>
      <c r="H8" s="28">
        <v>4953</v>
      </c>
      <c r="I8" s="28" t="str">
        <f t="shared" si="5"/>
        <v>CHARACTER</v>
      </c>
      <c r="J8" s="28">
        <v>54555570</v>
      </c>
      <c r="K8" s="28" t="s">
        <v>3360</v>
      </c>
      <c r="L8" s="22" t="s">
        <v>3377</v>
      </c>
      <c r="M8" s="25">
        <v>99900</v>
      </c>
      <c r="N8" s="35" t="str">
        <f t="shared" si="6"/>
        <v>BXGY</v>
      </c>
      <c r="O8" s="36" t="str">
        <f t="shared" si="7"/>
        <v>B1G1</v>
      </c>
      <c r="P8" s="35" t="str">
        <f t="shared" si="8"/>
        <v>BXGY</v>
      </c>
    </row>
    <row r="9" spans="1:16" x14ac:dyDescent="0.25">
      <c r="A9" s="35" t="str">
        <f t="shared" si="0"/>
        <v>2025 AUG B1G1</v>
      </c>
      <c r="B9" s="23">
        <f t="shared" si="1"/>
        <v>46099</v>
      </c>
      <c r="C9" s="23">
        <f t="shared" si="2"/>
        <v>46113</v>
      </c>
      <c r="D9" s="35">
        <f t="shared" si="3"/>
        <v>3272</v>
      </c>
      <c r="E9" s="35">
        <f t="shared" si="4"/>
        <v>336</v>
      </c>
      <c r="F9" s="31">
        <v>4</v>
      </c>
      <c r="G9" s="28">
        <v>1</v>
      </c>
      <c r="H9" s="28">
        <v>4953</v>
      </c>
      <c r="I9" s="28" t="str">
        <f t="shared" si="5"/>
        <v>CHARACTER</v>
      </c>
      <c r="J9" s="28">
        <v>54555650</v>
      </c>
      <c r="K9" s="28" t="s">
        <v>3361</v>
      </c>
      <c r="L9" s="22" t="s">
        <v>3378</v>
      </c>
      <c r="M9" s="25">
        <v>99900</v>
      </c>
      <c r="N9" s="35" t="str">
        <f t="shared" si="6"/>
        <v>BXGY</v>
      </c>
      <c r="O9" s="36" t="str">
        <f t="shared" si="7"/>
        <v>B1G1</v>
      </c>
      <c r="P9" s="35" t="str">
        <f t="shared" si="8"/>
        <v>BXGY</v>
      </c>
    </row>
    <row r="10" spans="1:16" x14ac:dyDescent="0.25">
      <c r="A10" s="35" t="str">
        <f t="shared" si="0"/>
        <v>2025 AUG B1G1</v>
      </c>
      <c r="B10" s="23">
        <f t="shared" si="1"/>
        <v>46099</v>
      </c>
      <c r="C10" s="23">
        <f t="shared" si="2"/>
        <v>46113</v>
      </c>
      <c r="D10" s="35">
        <f t="shared" si="3"/>
        <v>3272</v>
      </c>
      <c r="E10" s="35">
        <f t="shared" si="4"/>
        <v>336</v>
      </c>
      <c r="F10" s="31">
        <v>4</v>
      </c>
      <c r="G10" s="28">
        <v>1</v>
      </c>
      <c r="H10" s="28">
        <v>4953</v>
      </c>
      <c r="I10" s="28" t="str">
        <f t="shared" si="5"/>
        <v>CHARACTER</v>
      </c>
      <c r="J10" s="28">
        <v>54555669</v>
      </c>
      <c r="K10" s="28" t="s">
        <v>3361</v>
      </c>
      <c r="L10" s="22" t="s">
        <v>3379</v>
      </c>
      <c r="M10" s="25">
        <v>99900</v>
      </c>
      <c r="N10" s="35" t="str">
        <f t="shared" si="6"/>
        <v>BXGY</v>
      </c>
      <c r="O10" s="36" t="str">
        <f t="shared" si="7"/>
        <v>B1G1</v>
      </c>
      <c r="P10" s="35" t="str">
        <f t="shared" si="8"/>
        <v>BXGY</v>
      </c>
    </row>
    <row r="11" spans="1:16" x14ac:dyDescent="0.25">
      <c r="A11" s="35" t="str">
        <f t="shared" si="0"/>
        <v>2025 AUG B1G1</v>
      </c>
      <c r="B11" s="23">
        <f t="shared" si="1"/>
        <v>46099</v>
      </c>
      <c r="C11" s="23">
        <f t="shared" si="2"/>
        <v>46113</v>
      </c>
      <c r="D11" s="35">
        <f t="shared" si="3"/>
        <v>3272</v>
      </c>
      <c r="E11" s="35">
        <f t="shared" si="4"/>
        <v>336</v>
      </c>
      <c r="F11" s="31">
        <v>4</v>
      </c>
      <c r="G11" s="28">
        <v>1</v>
      </c>
      <c r="H11" s="28">
        <v>4953</v>
      </c>
      <c r="I11" s="28" t="str">
        <f t="shared" si="5"/>
        <v>CHARACTER</v>
      </c>
      <c r="J11" s="28">
        <v>54555678</v>
      </c>
      <c r="K11" s="28" t="s">
        <v>3361</v>
      </c>
      <c r="L11" s="22" t="s">
        <v>3380</v>
      </c>
      <c r="M11" s="25">
        <v>99900</v>
      </c>
      <c r="N11" s="35" t="str">
        <f t="shared" si="6"/>
        <v>BXGY</v>
      </c>
      <c r="O11" s="36" t="str">
        <f t="shared" si="7"/>
        <v>B1G1</v>
      </c>
      <c r="P11" s="35" t="str">
        <f t="shared" si="8"/>
        <v>BXGY</v>
      </c>
    </row>
    <row r="12" spans="1:16" x14ac:dyDescent="0.25">
      <c r="A12" s="35" t="str">
        <f t="shared" si="0"/>
        <v>2025 AUG B1G1</v>
      </c>
      <c r="B12" s="23">
        <f t="shared" si="1"/>
        <v>46099</v>
      </c>
      <c r="C12" s="23">
        <f t="shared" si="2"/>
        <v>46113</v>
      </c>
      <c r="D12" s="35">
        <f t="shared" si="3"/>
        <v>3272</v>
      </c>
      <c r="E12" s="35">
        <f t="shared" si="4"/>
        <v>336</v>
      </c>
      <c r="F12" s="31">
        <v>4</v>
      </c>
      <c r="G12" s="28">
        <v>1</v>
      </c>
      <c r="H12" s="28">
        <v>4953</v>
      </c>
      <c r="I12" s="28" t="str">
        <f t="shared" si="5"/>
        <v>CHARACTER</v>
      </c>
      <c r="J12" s="28">
        <v>54555687</v>
      </c>
      <c r="K12" s="28" t="s">
        <v>3361</v>
      </c>
      <c r="L12" s="22" t="s">
        <v>3381</v>
      </c>
      <c r="M12" s="25">
        <v>99900</v>
      </c>
      <c r="N12" s="35" t="str">
        <f t="shared" si="6"/>
        <v>BXGY</v>
      </c>
      <c r="O12" s="36" t="str">
        <f t="shared" si="7"/>
        <v>B1G1</v>
      </c>
      <c r="P12" s="35" t="str">
        <f t="shared" si="8"/>
        <v>BXGY</v>
      </c>
    </row>
    <row r="13" spans="1:16" x14ac:dyDescent="0.25">
      <c r="A13" s="35" t="str">
        <f t="shared" si="0"/>
        <v>2025 AUG B1G1</v>
      </c>
      <c r="B13" s="23">
        <f t="shared" si="1"/>
        <v>46099</v>
      </c>
      <c r="C13" s="23">
        <f t="shared" si="2"/>
        <v>46113</v>
      </c>
      <c r="D13" s="35">
        <f t="shared" si="3"/>
        <v>3272</v>
      </c>
      <c r="E13" s="35">
        <f t="shared" si="4"/>
        <v>336</v>
      </c>
      <c r="F13" s="31">
        <v>4</v>
      </c>
      <c r="G13" s="28">
        <v>1</v>
      </c>
      <c r="H13" s="28">
        <v>4953</v>
      </c>
      <c r="I13" s="28" t="str">
        <f t="shared" si="5"/>
        <v>CHARACTER</v>
      </c>
      <c r="J13" s="28">
        <v>54555696</v>
      </c>
      <c r="K13" s="28" t="s">
        <v>3361</v>
      </c>
      <c r="L13" s="22" t="s">
        <v>3382</v>
      </c>
      <c r="M13" s="25">
        <v>99900</v>
      </c>
      <c r="N13" s="35" t="str">
        <f t="shared" si="6"/>
        <v>BXGY</v>
      </c>
      <c r="O13" s="36" t="str">
        <f t="shared" si="7"/>
        <v>B1G1</v>
      </c>
      <c r="P13" s="35" t="str">
        <f t="shared" si="8"/>
        <v>BXGY</v>
      </c>
    </row>
    <row r="14" spans="1:16" x14ac:dyDescent="0.25">
      <c r="A14" s="35" t="str">
        <f t="shared" si="0"/>
        <v>2025 AUG B1G1</v>
      </c>
      <c r="B14" s="23">
        <f t="shared" si="1"/>
        <v>46099</v>
      </c>
      <c r="C14" s="23">
        <f t="shared" si="2"/>
        <v>46113</v>
      </c>
      <c r="D14" s="35">
        <f t="shared" si="3"/>
        <v>3272</v>
      </c>
      <c r="E14" s="35">
        <f t="shared" si="4"/>
        <v>336</v>
      </c>
      <c r="F14" s="31">
        <v>4</v>
      </c>
      <c r="G14" s="28">
        <v>1</v>
      </c>
      <c r="H14" s="28">
        <v>4953</v>
      </c>
      <c r="I14" s="28" t="str">
        <f t="shared" si="5"/>
        <v>CHARACTER</v>
      </c>
      <c r="J14" s="28">
        <v>54555703</v>
      </c>
      <c r="K14" s="28" t="s">
        <v>3361</v>
      </c>
      <c r="L14" s="22" t="s">
        <v>3383</v>
      </c>
      <c r="M14" s="25">
        <v>99900</v>
      </c>
      <c r="N14" s="35" t="str">
        <f t="shared" si="6"/>
        <v>BXGY</v>
      </c>
      <c r="O14" s="36" t="str">
        <f t="shared" si="7"/>
        <v>B1G1</v>
      </c>
      <c r="P14" s="35" t="str">
        <f t="shared" si="8"/>
        <v>BXGY</v>
      </c>
    </row>
    <row r="15" spans="1:16" x14ac:dyDescent="0.25">
      <c r="A15" s="35" t="str">
        <f t="shared" si="0"/>
        <v>2025 AUG B1G1</v>
      </c>
      <c r="B15" s="23">
        <f t="shared" si="1"/>
        <v>46099</v>
      </c>
      <c r="C15" s="23">
        <f t="shared" si="2"/>
        <v>46113</v>
      </c>
      <c r="D15" s="35">
        <f t="shared" si="3"/>
        <v>3272</v>
      </c>
      <c r="E15" s="35">
        <f t="shared" si="4"/>
        <v>336</v>
      </c>
      <c r="F15" s="31">
        <v>4</v>
      </c>
      <c r="G15" s="28">
        <v>1</v>
      </c>
      <c r="H15" s="28">
        <v>4953</v>
      </c>
      <c r="I15" s="28" t="str">
        <f t="shared" si="5"/>
        <v>CHARACTER</v>
      </c>
      <c r="J15" s="28">
        <v>54555712</v>
      </c>
      <c r="K15" s="28" t="s">
        <v>3361</v>
      </c>
      <c r="L15" s="22" t="s">
        <v>3384</v>
      </c>
      <c r="M15" s="25">
        <v>99900</v>
      </c>
      <c r="N15" s="35" t="str">
        <f t="shared" si="6"/>
        <v>BXGY</v>
      </c>
      <c r="O15" s="36" t="str">
        <f t="shared" si="7"/>
        <v>B1G1</v>
      </c>
      <c r="P15" s="35" t="str">
        <f t="shared" si="8"/>
        <v>BXGY</v>
      </c>
    </row>
    <row r="16" spans="1:16" x14ac:dyDescent="0.25">
      <c r="A16" s="35" t="str">
        <f t="shared" si="0"/>
        <v>2025 AUG B1G1</v>
      </c>
      <c r="B16" s="23">
        <f t="shared" si="1"/>
        <v>46099</v>
      </c>
      <c r="C16" s="23">
        <f t="shared" si="2"/>
        <v>46113</v>
      </c>
      <c r="D16" s="35">
        <f t="shared" si="3"/>
        <v>3272</v>
      </c>
      <c r="E16" s="35">
        <f t="shared" si="4"/>
        <v>336</v>
      </c>
      <c r="F16" s="31">
        <v>4</v>
      </c>
      <c r="G16" s="28">
        <v>1</v>
      </c>
      <c r="H16" s="28">
        <v>81379</v>
      </c>
      <c r="I16" s="28" t="str">
        <f t="shared" si="5"/>
        <v>CHARACTER</v>
      </c>
      <c r="J16" s="28">
        <v>54555098</v>
      </c>
      <c r="K16" s="28" t="s">
        <v>3362</v>
      </c>
      <c r="L16" s="22" t="s">
        <v>3385</v>
      </c>
      <c r="M16" s="25">
        <v>99900</v>
      </c>
      <c r="N16" s="35" t="str">
        <f t="shared" si="6"/>
        <v>BXGY</v>
      </c>
      <c r="O16" s="36" t="str">
        <f t="shared" si="7"/>
        <v>B1G1</v>
      </c>
      <c r="P16" s="35" t="str">
        <f t="shared" si="8"/>
        <v>BXGY</v>
      </c>
    </row>
    <row r="17" spans="1:16" x14ac:dyDescent="0.25">
      <c r="A17" s="35" t="str">
        <f t="shared" si="0"/>
        <v>2025 AUG B1G1</v>
      </c>
      <c r="B17" s="23">
        <f t="shared" si="1"/>
        <v>46099</v>
      </c>
      <c r="C17" s="23">
        <f t="shared" si="2"/>
        <v>46113</v>
      </c>
      <c r="D17" s="35">
        <f t="shared" si="3"/>
        <v>3272</v>
      </c>
      <c r="E17" s="35">
        <f t="shared" si="4"/>
        <v>336</v>
      </c>
      <c r="F17" s="31">
        <v>4</v>
      </c>
      <c r="G17" s="28">
        <v>1</v>
      </c>
      <c r="H17" s="28">
        <v>81379</v>
      </c>
      <c r="I17" s="28" t="str">
        <f t="shared" si="5"/>
        <v>CHARACTER</v>
      </c>
      <c r="J17" s="28">
        <v>54555105</v>
      </c>
      <c r="K17" s="28" t="s">
        <v>3362</v>
      </c>
      <c r="L17" s="22" t="s">
        <v>3386</v>
      </c>
      <c r="M17" s="25">
        <v>99900</v>
      </c>
      <c r="N17" s="35" t="str">
        <f t="shared" si="6"/>
        <v>BXGY</v>
      </c>
      <c r="O17" s="36" t="str">
        <f t="shared" si="7"/>
        <v>B1G1</v>
      </c>
      <c r="P17" s="35" t="str">
        <f t="shared" si="8"/>
        <v>BXGY</v>
      </c>
    </row>
    <row r="18" spans="1:16" x14ac:dyDescent="0.25">
      <c r="A18" s="35" t="str">
        <f t="shared" si="0"/>
        <v>2025 AUG B1G1</v>
      </c>
      <c r="B18" s="23">
        <f t="shared" si="1"/>
        <v>46099</v>
      </c>
      <c r="C18" s="23">
        <f t="shared" si="2"/>
        <v>46113</v>
      </c>
      <c r="D18" s="35">
        <f t="shared" si="3"/>
        <v>3272</v>
      </c>
      <c r="E18" s="35">
        <f t="shared" si="4"/>
        <v>336</v>
      </c>
      <c r="F18" s="31">
        <v>4</v>
      </c>
      <c r="G18" s="28">
        <v>1</v>
      </c>
      <c r="H18" s="28">
        <v>81379</v>
      </c>
      <c r="I18" s="28" t="str">
        <f t="shared" si="5"/>
        <v>CHARACTER</v>
      </c>
      <c r="J18" s="28">
        <v>54555114</v>
      </c>
      <c r="K18" s="28" t="s">
        <v>3362</v>
      </c>
      <c r="L18" s="22" t="s">
        <v>3387</v>
      </c>
      <c r="M18" s="25">
        <v>99900</v>
      </c>
      <c r="N18" s="35" t="str">
        <f t="shared" si="6"/>
        <v>BXGY</v>
      </c>
      <c r="O18" s="36" t="str">
        <f t="shared" si="7"/>
        <v>B1G1</v>
      </c>
      <c r="P18" s="35" t="str">
        <f t="shared" si="8"/>
        <v>BXGY</v>
      </c>
    </row>
    <row r="19" spans="1:16" x14ac:dyDescent="0.25">
      <c r="A19" s="35" t="str">
        <f t="shared" si="0"/>
        <v>2025 AUG B1G1</v>
      </c>
      <c r="B19" s="23">
        <f t="shared" si="1"/>
        <v>46099</v>
      </c>
      <c r="C19" s="23">
        <f t="shared" si="2"/>
        <v>46113</v>
      </c>
      <c r="D19" s="35">
        <f t="shared" si="3"/>
        <v>3272</v>
      </c>
      <c r="E19" s="35">
        <f t="shared" si="4"/>
        <v>336</v>
      </c>
      <c r="F19" s="31">
        <v>4</v>
      </c>
      <c r="G19" s="28">
        <v>1</v>
      </c>
      <c r="H19" s="28">
        <v>81379</v>
      </c>
      <c r="I19" s="28" t="str">
        <f t="shared" si="5"/>
        <v>CHARACTER</v>
      </c>
      <c r="J19" s="28">
        <v>54555123</v>
      </c>
      <c r="K19" s="28" t="s">
        <v>3362</v>
      </c>
      <c r="L19" s="22" t="s">
        <v>3388</v>
      </c>
      <c r="M19" s="25">
        <v>99900</v>
      </c>
      <c r="N19" s="35" t="str">
        <f t="shared" si="6"/>
        <v>BXGY</v>
      </c>
      <c r="O19" s="36" t="str">
        <f t="shared" si="7"/>
        <v>B1G1</v>
      </c>
      <c r="P19" s="35" t="str">
        <f t="shared" si="8"/>
        <v>BXGY</v>
      </c>
    </row>
    <row r="20" spans="1:16" x14ac:dyDescent="0.25">
      <c r="A20" s="35" t="str">
        <f t="shared" si="0"/>
        <v>2025 AUG B1G1</v>
      </c>
      <c r="B20" s="23">
        <f t="shared" si="1"/>
        <v>46099</v>
      </c>
      <c r="C20" s="23">
        <f t="shared" si="2"/>
        <v>46113</v>
      </c>
      <c r="D20" s="35">
        <f t="shared" si="3"/>
        <v>3272</v>
      </c>
      <c r="E20" s="35">
        <f t="shared" si="4"/>
        <v>336</v>
      </c>
      <c r="F20" s="31">
        <v>4</v>
      </c>
      <c r="G20" s="28">
        <v>1</v>
      </c>
      <c r="H20" s="28">
        <v>81379</v>
      </c>
      <c r="I20" s="28" t="str">
        <f t="shared" si="5"/>
        <v>CHARACTER</v>
      </c>
      <c r="J20" s="28">
        <v>54555132</v>
      </c>
      <c r="K20" s="28" t="s">
        <v>3362</v>
      </c>
      <c r="L20" s="22" t="s">
        <v>3389</v>
      </c>
      <c r="M20" s="25">
        <v>99900</v>
      </c>
      <c r="N20" s="35" t="str">
        <f t="shared" si="6"/>
        <v>BXGY</v>
      </c>
      <c r="O20" s="36" t="str">
        <f t="shared" si="7"/>
        <v>B1G1</v>
      </c>
      <c r="P20" s="35" t="str">
        <f t="shared" si="8"/>
        <v>BXGY</v>
      </c>
    </row>
    <row r="21" spans="1:16" x14ac:dyDescent="0.25">
      <c r="A21" s="35" t="str">
        <f t="shared" si="0"/>
        <v>2025 AUG B1G1</v>
      </c>
      <c r="B21" s="23">
        <f t="shared" si="1"/>
        <v>46099</v>
      </c>
      <c r="C21" s="23">
        <f t="shared" si="2"/>
        <v>46113</v>
      </c>
      <c r="D21" s="35">
        <f t="shared" si="3"/>
        <v>3272</v>
      </c>
      <c r="E21" s="35">
        <f t="shared" si="4"/>
        <v>336</v>
      </c>
      <c r="F21" s="31">
        <v>4</v>
      </c>
      <c r="G21" s="28">
        <v>1</v>
      </c>
      <c r="H21" s="28">
        <v>81379</v>
      </c>
      <c r="I21" s="28" t="str">
        <f t="shared" si="5"/>
        <v>CHARACTER</v>
      </c>
      <c r="J21" s="28">
        <v>54555141</v>
      </c>
      <c r="K21" s="28" t="s">
        <v>3362</v>
      </c>
      <c r="L21" s="22" t="s">
        <v>3390</v>
      </c>
      <c r="M21" s="25">
        <v>99900</v>
      </c>
      <c r="N21" s="35" t="str">
        <f t="shared" si="6"/>
        <v>BXGY</v>
      </c>
      <c r="O21" s="36" t="str">
        <f t="shared" si="7"/>
        <v>B1G1</v>
      </c>
      <c r="P21" s="35" t="str">
        <f t="shared" si="8"/>
        <v>BXGY</v>
      </c>
    </row>
    <row r="22" spans="1:16" x14ac:dyDescent="0.25">
      <c r="A22" s="35" t="str">
        <f t="shared" si="0"/>
        <v>2025 AUG B1G1</v>
      </c>
      <c r="B22" s="23">
        <f t="shared" si="1"/>
        <v>46099</v>
      </c>
      <c r="C22" s="23">
        <f t="shared" si="2"/>
        <v>46113</v>
      </c>
      <c r="D22" s="35">
        <f t="shared" si="3"/>
        <v>3272</v>
      </c>
      <c r="E22" s="35">
        <f t="shared" si="4"/>
        <v>336</v>
      </c>
      <c r="F22" s="31">
        <v>4</v>
      </c>
      <c r="G22" s="28">
        <v>1</v>
      </c>
      <c r="H22" s="28">
        <v>81379</v>
      </c>
      <c r="I22" s="28" t="str">
        <f t="shared" si="5"/>
        <v>CHARACTER</v>
      </c>
      <c r="J22" s="28">
        <v>54555150</v>
      </c>
      <c r="K22" s="28" t="s">
        <v>3362</v>
      </c>
      <c r="L22" s="22" t="s">
        <v>3391</v>
      </c>
      <c r="M22" s="35">
        <v>99900</v>
      </c>
      <c r="N22" s="35" t="str">
        <f t="shared" si="6"/>
        <v>BXGY</v>
      </c>
      <c r="O22" s="36" t="str">
        <f t="shared" si="7"/>
        <v>B1G1</v>
      </c>
      <c r="P22" s="35" t="str">
        <f t="shared" si="8"/>
        <v>BXGY</v>
      </c>
    </row>
    <row r="23" spans="1:16" x14ac:dyDescent="0.25">
      <c r="A23" s="35" t="str">
        <f t="shared" si="0"/>
        <v>2025 AUG B1G1</v>
      </c>
      <c r="B23" s="23">
        <f t="shared" si="1"/>
        <v>46099</v>
      </c>
      <c r="C23" s="23">
        <f t="shared" si="2"/>
        <v>46113</v>
      </c>
      <c r="D23" s="35">
        <f t="shared" si="3"/>
        <v>3272</v>
      </c>
      <c r="E23" s="35">
        <f t="shared" si="4"/>
        <v>336</v>
      </c>
      <c r="F23" s="31">
        <v>4</v>
      </c>
      <c r="G23" s="28">
        <v>1</v>
      </c>
      <c r="H23" s="28">
        <v>81379</v>
      </c>
      <c r="I23" s="28" t="str">
        <f t="shared" si="5"/>
        <v>CHARACTER</v>
      </c>
      <c r="J23" s="28">
        <v>54555169</v>
      </c>
      <c r="K23" s="28" t="s">
        <v>3363</v>
      </c>
      <c r="L23" s="22" t="s">
        <v>3392</v>
      </c>
      <c r="M23" s="35">
        <v>99900</v>
      </c>
      <c r="N23" s="35" t="str">
        <f t="shared" si="6"/>
        <v>BXGY</v>
      </c>
      <c r="O23" s="36" t="str">
        <f t="shared" si="7"/>
        <v>B1G1</v>
      </c>
      <c r="P23" s="35" t="str">
        <f t="shared" si="8"/>
        <v>BXGY</v>
      </c>
    </row>
    <row r="24" spans="1:16" x14ac:dyDescent="0.25">
      <c r="A24" s="35" t="str">
        <f t="shared" si="0"/>
        <v>2025 AUG B1G1</v>
      </c>
      <c r="B24" s="23">
        <f t="shared" si="1"/>
        <v>46099</v>
      </c>
      <c r="C24" s="23">
        <f t="shared" si="2"/>
        <v>46113</v>
      </c>
      <c r="D24" s="35">
        <f t="shared" si="3"/>
        <v>3272</v>
      </c>
      <c r="E24" s="35">
        <f t="shared" si="4"/>
        <v>336</v>
      </c>
      <c r="F24" s="31">
        <v>4</v>
      </c>
      <c r="G24" s="28">
        <v>1</v>
      </c>
      <c r="H24" s="28">
        <v>81379</v>
      </c>
      <c r="I24" s="28" t="str">
        <f t="shared" si="5"/>
        <v>CHARACTER</v>
      </c>
      <c r="J24" s="28">
        <v>54555178</v>
      </c>
      <c r="K24" s="28" t="s">
        <v>3363</v>
      </c>
      <c r="L24" s="22" t="s">
        <v>3393</v>
      </c>
      <c r="M24" s="35">
        <v>99900</v>
      </c>
      <c r="N24" s="35" t="str">
        <f t="shared" si="6"/>
        <v>BXGY</v>
      </c>
      <c r="O24" s="36" t="str">
        <f t="shared" si="7"/>
        <v>B1G1</v>
      </c>
      <c r="P24" s="35" t="str">
        <f t="shared" si="8"/>
        <v>BXGY</v>
      </c>
    </row>
    <row r="25" spans="1:16" x14ac:dyDescent="0.25">
      <c r="A25" s="35" t="str">
        <f t="shared" si="0"/>
        <v>2025 AUG B1G1</v>
      </c>
      <c r="B25" s="23">
        <f t="shared" si="1"/>
        <v>46099</v>
      </c>
      <c r="C25" s="23">
        <f t="shared" si="2"/>
        <v>46113</v>
      </c>
      <c r="D25" s="35">
        <f t="shared" si="3"/>
        <v>3272</v>
      </c>
      <c r="E25" s="35">
        <f t="shared" si="4"/>
        <v>336</v>
      </c>
      <c r="F25" s="31">
        <v>4</v>
      </c>
      <c r="G25" s="28">
        <v>1</v>
      </c>
      <c r="H25" s="28">
        <v>81379</v>
      </c>
      <c r="I25" s="28" t="str">
        <f t="shared" si="5"/>
        <v>CHARACTER</v>
      </c>
      <c r="J25" s="28">
        <v>54555187</v>
      </c>
      <c r="K25" s="28" t="s">
        <v>3363</v>
      </c>
      <c r="L25" s="22" t="s">
        <v>3394</v>
      </c>
      <c r="M25" s="35">
        <v>99900</v>
      </c>
      <c r="N25" s="35" t="str">
        <f t="shared" si="6"/>
        <v>BXGY</v>
      </c>
      <c r="O25" s="36" t="str">
        <f t="shared" si="7"/>
        <v>B1G1</v>
      </c>
      <c r="P25" s="35" t="str">
        <f t="shared" si="8"/>
        <v>BXGY</v>
      </c>
    </row>
    <row r="26" spans="1:16" x14ac:dyDescent="0.25">
      <c r="A26" s="35" t="str">
        <f t="shared" si="0"/>
        <v>2025 AUG B1G1</v>
      </c>
      <c r="B26" s="23">
        <f t="shared" si="1"/>
        <v>46099</v>
      </c>
      <c r="C26" s="23">
        <f t="shared" si="2"/>
        <v>46113</v>
      </c>
      <c r="D26" s="35">
        <f t="shared" si="3"/>
        <v>3272</v>
      </c>
      <c r="E26" s="35">
        <f t="shared" si="4"/>
        <v>336</v>
      </c>
      <c r="F26" s="31">
        <v>4</v>
      </c>
      <c r="G26" s="28">
        <v>1</v>
      </c>
      <c r="H26" s="28">
        <v>81379</v>
      </c>
      <c r="I26" s="28" t="str">
        <f t="shared" si="5"/>
        <v>CHARACTER</v>
      </c>
      <c r="J26" s="28">
        <v>54555196</v>
      </c>
      <c r="K26" s="28" t="s">
        <v>3363</v>
      </c>
      <c r="L26" s="22" t="s">
        <v>3395</v>
      </c>
      <c r="M26" s="35">
        <v>99900</v>
      </c>
      <c r="N26" s="35" t="str">
        <f t="shared" si="6"/>
        <v>BXGY</v>
      </c>
      <c r="O26" s="36" t="str">
        <f t="shared" si="7"/>
        <v>B1G1</v>
      </c>
      <c r="P26" s="35" t="str">
        <f t="shared" si="8"/>
        <v>BXGY</v>
      </c>
    </row>
    <row r="27" spans="1:16" x14ac:dyDescent="0.25">
      <c r="A27" s="35" t="str">
        <f t="shared" si="0"/>
        <v>2025 AUG B1G1</v>
      </c>
      <c r="B27" s="23">
        <f t="shared" si="1"/>
        <v>46099</v>
      </c>
      <c r="C27" s="23">
        <f t="shared" si="2"/>
        <v>46113</v>
      </c>
      <c r="D27" s="35">
        <f t="shared" si="3"/>
        <v>3272</v>
      </c>
      <c r="E27" s="35">
        <f t="shared" si="4"/>
        <v>336</v>
      </c>
      <c r="F27" s="31">
        <v>4</v>
      </c>
      <c r="G27" s="28">
        <v>1</v>
      </c>
      <c r="H27" s="28">
        <v>81379</v>
      </c>
      <c r="I27" s="28" t="str">
        <f t="shared" si="5"/>
        <v>CHARACTER</v>
      </c>
      <c r="J27" s="28">
        <v>54555203</v>
      </c>
      <c r="K27" s="28" t="s">
        <v>3363</v>
      </c>
      <c r="L27" s="22" t="s">
        <v>3396</v>
      </c>
      <c r="M27" s="35">
        <v>99900</v>
      </c>
      <c r="N27" s="35" t="str">
        <f t="shared" si="6"/>
        <v>BXGY</v>
      </c>
      <c r="O27" s="36" t="str">
        <f t="shared" si="7"/>
        <v>B1G1</v>
      </c>
      <c r="P27" s="35" t="str">
        <f t="shared" si="8"/>
        <v>BXGY</v>
      </c>
    </row>
    <row r="28" spans="1:16" x14ac:dyDescent="0.25">
      <c r="A28" s="35" t="str">
        <f t="shared" si="0"/>
        <v>2025 AUG B1G1</v>
      </c>
      <c r="B28" s="23">
        <f t="shared" si="1"/>
        <v>46099</v>
      </c>
      <c r="C28" s="23">
        <f t="shared" si="2"/>
        <v>46113</v>
      </c>
      <c r="D28" s="35">
        <f t="shared" si="3"/>
        <v>3272</v>
      </c>
      <c r="E28" s="35">
        <f t="shared" si="4"/>
        <v>336</v>
      </c>
      <c r="F28" s="31">
        <v>4</v>
      </c>
      <c r="G28" s="28">
        <v>1</v>
      </c>
      <c r="H28" s="28">
        <v>81379</v>
      </c>
      <c r="I28" s="28" t="str">
        <f t="shared" si="5"/>
        <v>CHARACTER</v>
      </c>
      <c r="J28" s="28">
        <v>54555212</v>
      </c>
      <c r="K28" s="28" t="s">
        <v>3363</v>
      </c>
      <c r="L28" s="22" t="s">
        <v>3397</v>
      </c>
      <c r="M28" s="35">
        <v>99900</v>
      </c>
      <c r="N28" s="35" t="str">
        <f t="shared" si="6"/>
        <v>BXGY</v>
      </c>
      <c r="O28" s="36" t="str">
        <f t="shared" si="7"/>
        <v>B1G1</v>
      </c>
      <c r="P28" s="35" t="str">
        <f t="shared" si="8"/>
        <v>BXGY</v>
      </c>
    </row>
    <row r="29" spans="1:16" x14ac:dyDescent="0.25">
      <c r="A29" s="35" t="str">
        <f t="shared" si="0"/>
        <v>2025 AUG B1G1</v>
      </c>
      <c r="B29" s="23">
        <f t="shared" si="1"/>
        <v>46099</v>
      </c>
      <c r="C29" s="23">
        <f t="shared" si="2"/>
        <v>46113</v>
      </c>
      <c r="D29" s="35">
        <f t="shared" si="3"/>
        <v>3272</v>
      </c>
      <c r="E29" s="35">
        <f t="shared" si="4"/>
        <v>336</v>
      </c>
      <c r="F29" s="31">
        <v>4</v>
      </c>
      <c r="G29" s="28">
        <v>1</v>
      </c>
      <c r="H29" s="28">
        <v>81379</v>
      </c>
      <c r="I29" s="28" t="str">
        <f t="shared" si="5"/>
        <v>CHARACTER</v>
      </c>
      <c r="J29" s="28">
        <v>54555221</v>
      </c>
      <c r="K29" s="28" t="s">
        <v>3363</v>
      </c>
      <c r="L29" s="22" t="s">
        <v>3398</v>
      </c>
      <c r="M29" s="35">
        <v>99900</v>
      </c>
      <c r="N29" s="35" t="str">
        <f t="shared" si="6"/>
        <v>BXGY</v>
      </c>
      <c r="O29" s="36" t="str">
        <f t="shared" si="7"/>
        <v>B1G1</v>
      </c>
      <c r="P29" s="35" t="str">
        <f t="shared" si="8"/>
        <v>BXGY</v>
      </c>
    </row>
    <row r="30" spans="1:16" x14ac:dyDescent="0.25">
      <c r="A30" s="35" t="str">
        <f t="shared" si="0"/>
        <v>2025 AUG B1G1</v>
      </c>
      <c r="B30" s="23">
        <f t="shared" si="1"/>
        <v>46099</v>
      </c>
      <c r="C30" s="23">
        <f t="shared" si="2"/>
        <v>46113</v>
      </c>
      <c r="D30" s="35">
        <f t="shared" si="3"/>
        <v>3272</v>
      </c>
      <c r="E30" s="35">
        <f t="shared" si="4"/>
        <v>336</v>
      </c>
      <c r="F30" s="31">
        <v>4</v>
      </c>
      <c r="G30" s="28">
        <v>1</v>
      </c>
      <c r="H30" s="28">
        <v>81379</v>
      </c>
      <c r="I30" s="28" t="str">
        <f t="shared" si="5"/>
        <v>CHARACTER</v>
      </c>
      <c r="J30" s="28">
        <v>54555230</v>
      </c>
      <c r="K30" s="28" t="s">
        <v>3364</v>
      </c>
      <c r="L30" s="22" t="s">
        <v>3399</v>
      </c>
      <c r="M30" s="35">
        <v>99900</v>
      </c>
      <c r="N30" s="35" t="str">
        <f t="shared" si="6"/>
        <v>BXGY</v>
      </c>
      <c r="O30" s="36" t="str">
        <f t="shared" si="7"/>
        <v>B1G1</v>
      </c>
      <c r="P30" s="35" t="str">
        <f t="shared" si="8"/>
        <v>BXGY</v>
      </c>
    </row>
    <row r="31" spans="1:16" x14ac:dyDescent="0.25">
      <c r="A31" s="35" t="str">
        <f t="shared" si="0"/>
        <v>2025 AUG B1G1</v>
      </c>
      <c r="B31" s="23">
        <f t="shared" si="1"/>
        <v>46099</v>
      </c>
      <c r="C31" s="23">
        <f t="shared" si="2"/>
        <v>46113</v>
      </c>
      <c r="D31" s="35">
        <f t="shared" si="3"/>
        <v>3272</v>
      </c>
      <c r="E31" s="35">
        <f t="shared" si="4"/>
        <v>336</v>
      </c>
      <c r="F31" s="31">
        <v>4</v>
      </c>
      <c r="G31" s="28">
        <v>1</v>
      </c>
      <c r="H31" s="28">
        <v>81379</v>
      </c>
      <c r="I31" s="28" t="str">
        <f t="shared" si="5"/>
        <v>CHARACTER</v>
      </c>
      <c r="J31" s="28">
        <v>54555249</v>
      </c>
      <c r="K31" s="28" t="s">
        <v>3364</v>
      </c>
      <c r="L31" s="22" t="s">
        <v>3400</v>
      </c>
      <c r="M31" s="35">
        <v>99900</v>
      </c>
      <c r="N31" s="35" t="str">
        <f t="shared" si="6"/>
        <v>BXGY</v>
      </c>
      <c r="O31" s="36" t="str">
        <f t="shared" si="7"/>
        <v>B1G1</v>
      </c>
      <c r="P31" s="35" t="str">
        <f t="shared" si="8"/>
        <v>BXGY</v>
      </c>
    </row>
    <row r="32" spans="1:16" x14ac:dyDescent="0.25">
      <c r="A32" s="35" t="str">
        <f t="shared" si="0"/>
        <v>2025 AUG B1G1</v>
      </c>
      <c r="B32" s="23">
        <f t="shared" si="1"/>
        <v>46099</v>
      </c>
      <c r="C32" s="23">
        <f t="shared" si="2"/>
        <v>46113</v>
      </c>
      <c r="D32" s="35">
        <f t="shared" si="3"/>
        <v>3272</v>
      </c>
      <c r="E32" s="35">
        <f t="shared" si="4"/>
        <v>336</v>
      </c>
      <c r="F32" s="31">
        <v>4</v>
      </c>
      <c r="G32" s="28">
        <v>1</v>
      </c>
      <c r="H32" s="28">
        <v>81379</v>
      </c>
      <c r="I32" s="28" t="str">
        <f t="shared" si="5"/>
        <v>CHARACTER</v>
      </c>
      <c r="J32" s="28">
        <v>54555258</v>
      </c>
      <c r="K32" s="28" t="s">
        <v>3364</v>
      </c>
      <c r="L32" s="22" t="s">
        <v>3401</v>
      </c>
      <c r="M32" s="35">
        <v>99900</v>
      </c>
      <c r="N32" s="35" t="str">
        <f t="shared" si="6"/>
        <v>BXGY</v>
      </c>
      <c r="O32" s="36" t="str">
        <f t="shared" si="7"/>
        <v>B1G1</v>
      </c>
      <c r="P32" s="35" t="str">
        <f t="shared" si="8"/>
        <v>BXGY</v>
      </c>
    </row>
    <row r="33" spans="1:16" x14ac:dyDescent="0.25">
      <c r="A33" s="35" t="str">
        <f t="shared" si="0"/>
        <v>2025 AUG B1G1</v>
      </c>
      <c r="B33" s="23">
        <f t="shared" si="1"/>
        <v>46099</v>
      </c>
      <c r="C33" s="23">
        <f t="shared" si="2"/>
        <v>46113</v>
      </c>
      <c r="D33" s="35">
        <f t="shared" si="3"/>
        <v>3272</v>
      </c>
      <c r="E33" s="35">
        <f t="shared" si="4"/>
        <v>336</v>
      </c>
      <c r="F33" s="31">
        <v>4</v>
      </c>
      <c r="G33" s="28">
        <v>1</v>
      </c>
      <c r="H33" s="28">
        <v>81379</v>
      </c>
      <c r="I33" s="28" t="str">
        <f t="shared" si="5"/>
        <v>CHARACTER</v>
      </c>
      <c r="J33" s="28">
        <v>54555267</v>
      </c>
      <c r="K33" s="28" t="s">
        <v>3364</v>
      </c>
      <c r="L33" s="22" t="s">
        <v>3402</v>
      </c>
      <c r="M33" s="35">
        <v>99900</v>
      </c>
      <c r="N33" s="35" t="str">
        <f t="shared" si="6"/>
        <v>BXGY</v>
      </c>
      <c r="O33" s="36" t="str">
        <f t="shared" si="7"/>
        <v>B1G1</v>
      </c>
      <c r="P33" s="35" t="str">
        <f t="shared" si="8"/>
        <v>BXGY</v>
      </c>
    </row>
    <row r="34" spans="1:16" x14ac:dyDescent="0.25">
      <c r="A34" s="35" t="str">
        <f t="shared" si="0"/>
        <v>2025 AUG B1G1</v>
      </c>
      <c r="B34" s="23">
        <f t="shared" si="1"/>
        <v>46099</v>
      </c>
      <c r="C34" s="23">
        <f t="shared" si="2"/>
        <v>46113</v>
      </c>
      <c r="D34" s="35">
        <f t="shared" si="3"/>
        <v>3272</v>
      </c>
      <c r="E34" s="35">
        <f t="shared" si="4"/>
        <v>336</v>
      </c>
      <c r="F34" s="31">
        <v>4</v>
      </c>
      <c r="G34" s="28">
        <v>1</v>
      </c>
      <c r="H34" s="28">
        <v>81379</v>
      </c>
      <c r="I34" s="28" t="str">
        <f t="shared" si="5"/>
        <v>CHARACTER</v>
      </c>
      <c r="J34" s="28">
        <v>54555276</v>
      </c>
      <c r="K34" s="28" t="s">
        <v>3364</v>
      </c>
      <c r="L34" s="22" t="s">
        <v>3403</v>
      </c>
      <c r="M34" s="35">
        <v>99900</v>
      </c>
      <c r="N34" s="35" t="str">
        <f t="shared" si="6"/>
        <v>BXGY</v>
      </c>
      <c r="O34" s="36" t="str">
        <f t="shared" si="7"/>
        <v>B1G1</v>
      </c>
      <c r="P34" s="35" t="str">
        <f t="shared" si="8"/>
        <v>BXGY</v>
      </c>
    </row>
    <row r="35" spans="1:16" x14ac:dyDescent="0.25">
      <c r="A35" s="35" t="str">
        <f t="shared" si="0"/>
        <v>2025 AUG B1G1</v>
      </c>
      <c r="B35" s="23">
        <f t="shared" si="1"/>
        <v>46099</v>
      </c>
      <c r="C35" s="23">
        <f t="shared" si="2"/>
        <v>46113</v>
      </c>
      <c r="D35" s="35">
        <f t="shared" si="3"/>
        <v>3272</v>
      </c>
      <c r="E35" s="35">
        <f t="shared" si="4"/>
        <v>336</v>
      </c>
      <c r="F35" s="31">
        <v>4</v>
      </c>
      <c r="G35" s="28">
        <v>1</v>
      </c>
      <c r="H35" s="28">
        <v>81379</v>
      </c>
      <c r="I35" s="28" t="str">
        <f t="shared" si="5"/>
        <v>CHARACTER</v>
      </c>
      <c r="J35" s="28">
        <v>54555285</v>
      </c>
      <c r="K35" s="28" t="s">
        <v>3364</v>
      </c>
      <c r="L35" s="22" t="s">
        <v>3404</v>
      </c>
      <c r="M35" s="35">
        <v>99900</v>
      </c>
      <c r="N35" s="35" t="str">
        <f t="shared" si="6"/>
        <v>BXGY</v>
      </c>
      <c r="O35" s="36" t="str">
        <f t="shared" si="7"/>
        <v>B1G1</v>
      </c>
      <c r="P35" s="35" t="str">
        <f t="shared" si="8"/>
        <v>BXGY</v>
      </c>
    </row>
    <row r="36" spans="1:16" x14ac:dyDescent="0.25">
      <c r="A36" s="35" t="str">
        <f t="shared" si="0"/>
        <v>2025 AUG B1G1</v>
      </c>
      <c r="B36" s="23">
        <f t="shared" si="1"/>
        <v>46099</v>
      </c>
      <c r="C36" s="23">
        <f t="shared" si="2"/>
        <v>46113</v>
      </c>
      <c r="D36" s="35">
        <f t="shared" si="3"/>
        <v>3272</v>
      </c>
      <c r="E36" s="35">
        <f t="shared" si="4"/>
        <v>336</v>
      </c>
      <c r="F36" s="31">
        <v>4</v>
      </c>
      <c r="G36" s="28">
        <v>1</v>
      </c>
      <c r="H36" s="28">
        <v>81379</v>
      </c>
      <c r="I36" s="28" t="str">
        <f t="shared" si="5"/>
        <v>CHARACTER</v>
      </c>
      <c r="J36" s="28">
        <v>54555294</v>
      </c>
      <c r="K36" s="28" t="s">
        <v>3364</v>
      </c>
      <c r="L36" s="22" t="s">
        <v>3405</v>
      </c>
      <c r="M36" s="35">
        <v>99900</v>
      </c>
      <c r="N36" s="35" t="str">
        <f t="shared" si="6"/>
        <v>BXGY</v>
      </c>
      <c r="O36" s="36" t="str">
        <f t="shared" si="7"/>
        <v>B1G1</v>
      </c>
      <c r="P36" s="35" t="str">
        <f t="shared" si="8"/>
        <v>BXGY</v>
      </c>
    </row>
    <row r="37" spans="1:16" x14ac:dyDescent="0.25">
      <c r="A37" s="35" t="str">
        <f t="shared" si="0"/>
        <v>2025 AUG B1G1</v>
      </c>
      <c r="B37" s="23">
        <f t="shared" si="1"/>
        <v>46099</v>
      </c>
      <c r="C37" s="23">
        <f t="shared" si="2"/>
        <v>46113</v>
      </c>
      <c r="D37" s="35">
        <f t="shared" si="3"/>
        <v>3272</v>
      </c>
      <c r="E37" s="35">
        <f t="shared" si="4"/>
        <v>336</v>
      </c>
      <c r="F37" s="31">
        <v>4</v>
      </c>
      <c r="G37" s="28">
        <v>1</v>
      </c>
      <c r="H37" s="28">
        <v>81379</v>
      </c>
      <c r="I37" s="28" t="str">
        <f t="shared" si="5"/>
        <v>CHARACTER</v>
      </c>
      <c r="J37" s="28">
        <v>54555301</v>
      </c>
      <c r="K37" s="28" t="s">
        <v>3365</v>
      </c>
      <c r="L37" s="22" t="s">
        <v>3406</v>
      </c>
      <c r="M37" s="35">
        <v>99900</v>
      </c>
      <c r="N37" s="35" t="str">
        <f t="shared" si="6"/>
        <v>BXGY</v>
      </c>
      <c r="O37" s="36" t="str">
        <f t="shared" si="7"/>
        <v>B1G1</v>
      </c>
      <c r="P37" s="35" t="str">
        <f t="shared" si="8"/>
        <v>BXGY</v>
      </c>
    </row>
    <row r="38" spans="1:16" x14ac:dyDescent="0.25">
      <c r="A38" s="35" t="str">
        <f t="shared" si="0"/>
        <v>2025 AUG B1G1</v>
      </c>
      <c r="B38" s="23">
        <f t="shared" si="1"/>
        <v>46099</v>
      </c>
      <c r="C38" s="23">
        <f t="shared" si="2"/>
        <v>46113</v>
      </c>
      <c r="D38" s="35">
        <f t="shared" si="3"/>
        <v>3272</v>
      </c>
      <c r="E38" s="35">
        <f t="shared" si="4"/>
        <v>336</v>
      </c>
      <c r="F38" s="31">
        <v>4</v>
      </c>
      <c r="G38" s="28">
        <v>1</v>
      </c>
      <c r="H38" s="28">
        <v>81379</v>
      </c>
      <c r="I38" s="28" t="str">
        <f t="shared" si="5"/>
        <v>CHARACTER</v>
      </c>
      <c r="J38" s="28">
        <v>54555310</v>
      </c>
      <c r="K38" s="28" t="s">
        <v>3365</v>
      </c>
      <c r="L38" s="22" t="s">
        <v>3407</v>
      </c>
      <c r="M38" s="35">
        <v>99900</v>
      </c>
      <c r="N38" s="35" t="str">
        <f t="shared" si="6"/>
        <v>BXGY</v>
      </c>
      <c r="O38" s="36" t="str">
        <f t="shared" si="7"/>
        <v>B1G1</v>
      </c>
      <c r="P38" s="35" t="str">
        <f t="shared" si="8"/>
        <v>BXGY</v>
      </c>
    </row>
    <row r="39" spans="1:16" x14ac:dyDescent="0.25">
      <c r="A39" s="35" t="str">
        <f t="shared" si="0"/>
        <v>2025 AUG B1G1</v>
      </c>
      <c r="B39" s="23">
        <f t="shared" si="1"/>
        <v>46099</v>
      </c>
      <c r="C39" s="23">
        <f t="shared" si="2"/>
        <v>46113</v>
      </c>
      <c r="D39" s="35">
        <f t="shared" si="3"/>
        <v>3272</v>
      </c>
      <c r="E39" s="35">
        <f t="shared" si="4"/>
        <v>336</v>
      </c>
      <c r="F39" s="31">
        <v>4</v>
      </c>
      <c r="G39" s="28">
        <v>1</v>
      </c>
      <c r="H39" s="28">
        <v>81379</v>
      </c>
      <c r="I39" s="28" t="str">
        <f t="shared" si="5"/>
        <v>CHARACTER</v>
      </c>
      <c r="J39" s="28">
        <v>54555329</v>
      </c>
      <c r="K39" s="28" t="s">
        <v>3365</v>
      </c>
      <c r="L39" s="22" t="s">
        <v>3408</v>
      </c>
      <c r="M39" s="35">
        <v>99900</v>
      </c>
      <c r="N39" s="35" t="str">
        <f t="shared" si="6"/>
        <v>BXGY</v>
      </c>
      <c r="O39" s="36" t="str">
        <f t="shared" si="7"/>
        <v>B1G1</v>
      </c>
      <c r="P39" s="35" t="str">
        <f t="shared" si="8"/>
        <v>BXGY</v>
      </c>
    </row>
    <row r="40" spans="1:16" x14ac:dyDescent="0.25">
      <c r="A40" s="35" t="str">
        <f t="shared" si="0"/>
        <v>2025 AUG B1G1</v>
      </c>
      <c r="B40" s="23">
        <f t="shared" si="1"/>
        <v>46099</v>
      </c>
      <c r="C40" s="23">
        <f t="shared" si="2"/>
        <v>46113</v>
      </c>
      <c r="D40" s="35">
        <f t="shared" si="3"/>
        <v>3272</v>
      </c>
      <c r="E40" s="35">
        <f t="shared" si="4"/>
        <v>336</v>
      </c>
      <c r="F40" s="31">
        <v>4</v>
      </c>
      <c r="G40" s="28">
        <v>1</v>
      </c>
      <c r="H40" s="28">
        <v>81379</v>
      </c>
      <c r="I40" s="28" t="str">
        <f t="shared" si="5"/>
        <v>CHARACTER</v>
      </c>
      <c r="J40" s="28">
        <v>54555338</v>
      </c>
      <c r="K40" s="28" t="s">
        <v>3365</v>
      </c>
      <c r="L40" s="22" t="s">
        <v>3409</v>
      </c>
      <c r="M40" s="35">
        <v>99900</v>
      </c>
      <c r="N40" s="35" t="str">
        <f t="shared" si="6"/>
        <v>BXGY</v>
      </c>
      <c r="O40" s="36" t="str">
        <f t="shared" si="7"/>
        <v>B1G1</v>
      </c>
      <c r="P40" s="35" t="str">
        <f t="shared" si="8"/>
        <v>BXGY</v>
      </c>
    </row>
    <row r="41" spans="1:16" x14ac:dyDescent="0.25">
      <c r="A41" s="35" t="str">
        <f t="shared" si="0"/>
        <v>2025 AUG B1G1</v>
      </c>
      <c r="B41" s="23">
        <f t="shared" si="1"/>
        <v>46099</v>
      </c>
      <c r="C41" s="23">
        <f t="shared" si="2"/>
        <v>46113</v>
      </c>
      <c r="D41" s="35">
        <f t="shared" si="3"/>
        <v>3272</v>
      </c>
      <c r="E41" s="35">
        <f t="shared" si="4"/>
        <v>336</v>
      </c>
      <c r="F41" s="31">
        <v>4</v>
      </c>
      <c r="G41" s="28">
        <v>1</v>
      </c>
      <c r="H41" s="28">
        <v>81379</v>
      </c>
      <c r="I41" s="28" t="str">
        <f t="shared" si="5"/>
        <v>CHARACTER</v>
      </c>
      <c r="J41" s="28">
        <v>54555347</v>
      </c>
      <c r="K41" s="28" t="s">
        <v>3365</v>
      </c>
      <c r="L41" s="22" t="s">
        <v>3410</v>
      </c>
      <c r="M41" s="35">
        <v>99900</v>
      </c>
      <c r="N41" s="35" t="str">
        <f t="shared" si="6"/>
        <v>BXGY</v>
      </c>
      <c r="O41" s="36" t="str">
        <f t="shared" si="7"/>
        <v>B1G1</v>
      </c>
      <c r="P41" s="35" t="str">
        <f t="shared" si="8"/>
        <v>BXGY</v>
      </c>
    </row>
    <row r="42" spans="1:16" x14ac:dyDescent="0.25">
      <c r="A42" s="35" t="str">
        <f t="shared" si="0"/>
        <v>2025 AUG B1G1</v>
      </c>
      <c r="B42" s="23">
        <f t="shared" si="1"/>
        <v>46099</v>
      </c>
      <c r="C42" s="23">
        <f t="shared" si="2"/>
        <v>46113</v>
      </c>
      <c r="D42" s="35">
        <f t="shared" si="3"/>
        <v>3272</v>
      </c>
      <c r="E42" s="35">
        <f t="shared" si="4"/>
        <v>336</v>
      </c>
      <c r="F42" s="31">
        <v>4</v>
      </c>
      <c r="G42" s="28">
        <v>1</v>
      </c>
      <c r="H42" s="28">
        <v>81379</v>
      </c>
      <c r="I42" s="28" t="str">
        <f t="shared" si="5"/>
        <v>CHARACTER</v>
      </c>
      <c r="J42" s="28">
        <v>54555356</v>
      </c>
      <c r="K42" s="28" t="s">
        <v>3365</v>
      </c>
      <c r="L42" s="22" t="s">
        <v>3411</v>
      </c>
      <c r="M42" s="35">
        <v>99900</v>
      </c>
      <c r="N42" s="35" t="str">
        <f t="shared" si="6"/>
        <v>BXGY</v>
      </c>
      <c r="O42" s="36" t="str">
        <f t="shared" si="7"/>
        <v>B1G1</v>
      </c>
      <c r="P42" s="35" t="str">
        <f t="shared" si="8"/>
        <v>BXGY</v>
      </c>
    </row>
    <row r="43" spans="1:16" x14ac:dyDescent="0.25">
      <c r="A43" s="35" t="str">
        <f t="shared" si="0"/>
        <v>2025 AUG B1G1</v>
      </c>
      <c r="B43" s="23">
        <f t="shared" si="1"/>
        <v>46099</v>
      </c>
      <c r="C43" s="23">
        <f t="shared" si="2"/>
        <v>46113</v>
      </c>
      <c r="D43" s="35">
        <f t="shared" si="3"/>
        <v>3272</v>
      </c>
      <c r="E43" s="35">
        <f t="shared" si="4"/>
        <v>336</v>
      </c>
      <c r="F43" s="31">
        <v>4</v>
      </c>
      <c r="G43" s="28">
        <v>1</v>
      </c>
      <c r="H43" s="28">
        <v>81379</v>
      </c>
      <c r="I43" s="28" t="str">
        <f t="shared" si="5"/>
        <v>CHARACTER</v>
      </c>
      <c r="J43" s="28">
        <v>54555365</v>
      </c>
      <c r="K43" s="28" t="s">
        <v>3365</v>
      </c>
      <c r="L43" s="22" t="s">
        <v>3412</v>
      </c>
      <c r="M43" s="35">
        <v>99900</v>
      </c>
      <c r="N43" s="35" t="str">
        <f t="shared" si="6"/>
        <v>BXGY</v>
      </c>
      <c r="O43" s="36" t="str">
        <f t="shared" si="7"/>
        <v>B1G1</v>
      </c>
      <c r="P43" s="35" t="str">
        <f t="shared" si="8"/>
        <v>BXGY</v>
      </c>
    </row>
    <row r="44" spans="1:16" x14ac:dyDescent="0.25">
      <c r="A44" s="35" t="str">
        <f t="shared" si="0"/>
        <v>2025 AUG B1G1</v>
      </c>
      <c r="B44" s="23">
        <f>'2025 Q4 B3D10'!B229</f>
        <v>46099</v>
      </c>
      <c r="C44" s="23">
        <f>'2025 Q4 B3D10'!C229</f>
        <v>46113</v>
      </c>
      <c r="D44" s="35">
        <f>'2025 Q4 B3D10'!D229</f>
        <v>3272</v>
      </c>
      <c r="E44" s="35">
        <f>'2025 Q4 B3D10'!E229</f>
        <v>336</v>
      </c>
      <c r="F44" s="31">
        <v>4</v>
      </c>
      <c r="G44" s="28">
        <v>1</v>
      </c>
      <c r="H44" s="28">
        <v>81379</v>
      </c>
      <c r="I44" s="28" t="str">
        <f>'2025 Q4 B3D10'!I229</f>
        <v>CHARACTER</v>
      </c>
      <c r="J44" s="28">
        <v>55386028</v>
      </c>
      <c r="K44" s="28" t="s">
        <v>3586</v>
      </c>
      <c r="L44" s="28" t="s">
        <v>3587</v>
      </c>
      <c r="M44" s="35">
        <v>99900</v>
      </c>
      <c r="N44" s="35" t="str">
        <f>'2025 Q4 B3D10'!N229</f>
        <v>BXGY</v>
      </c>
      <c r="O44" s="36" t="str">
        <f t="shared" si="7"/>
        <v>B1G1</v>
      </c>
      <c r="P44" s="35" t="str">
        <f>'2025 Q4 B3D10'!P229</f>
        <v>BXGY</v>
      </c>
    </row>
    <row r="45" spans="1:16" x14ac:dyDescent="0.25">
      <c r="A45" s="35" t="str">
        <f t="shared" ref="A45:E50" si="9">A44</f>
        <v>2025 AUG B1G1</v>
      </c>
      <c r="B45" s="23">
        <f t="shared" si="9"/>
        <v>46099</v>
      </c>
      <c r="C45" s="23">
        <f t="shared" si="9"/>
        <v>46113</v>
      </c>
      <c r="D45" s="35">
        <f t="shared" si="9"/>
        <v>3272</v>
      </c>
      <c r="E45" s="35">
        <f t="shared" si="9"/>
        <v>336</v>
      </c>
      <c r="F45" s="31">
        <v>4</v>
      </c>
      <c r="G45" s="28">
        <v>1</v>
      </c>
      <c r="H45" s="28">
        <v>81379</v>
      </c>
      <c r="I45" s="28" t="str">
        <f t="shared" ref="I45:I50" si="10">I44</f>
        <v>CHARACTER</v>
      </c>
      <c r="J45" s="28">
        <v>55386037</v>
      </c>
      <c r="K45" s="28" t="s">
        <v>3586</v>
      </c>
      <c r="L45" s="28" t="s">
        <v>3588</v>
      </c>
      <c r="M45" s="35">
        <v>99900</v>
      </c>
      <c r="N45" s="35" t="str">
        <f t="shared" ref="N45:P50" si="11">N44</f>
        <v>BXGY</v>
      </c>
      <c r="O45" s="36" t="str">
        <f t="shared" si="7"/>
        <v>B1G1</v>
      </c>
      <c r="P45" s="35" t="str">
        <f t="shared" si="11"/>
        <v>BXGY</v>
      </c>
    </row>
    <row r="46" spans="1:16" x14ac:dyDescent="0.25">
      <c r="A46" s="35" t="str">
        <f t="shared" si="9"/>
        <v>2025 AUG B1G1</v>
      </c>
      <c r="B46" s="23">
        <f t="shared" si="9"/>
        <v>46099</v>
      </c>
      <c r="C46" s="23">
        <f t="shared" si="9"/>
        <v>46113</v>
      </c>
      <c r="D46" s="35">
        <f t="shared" si="9"/>
        <v>3272</v>
      </c>
      <c r="E46" s="35">
        <f t="shared" si="9"/>
        <v>336</v>
      </c>
      <c r="F46" s="31">
        <v>4</v>
      </c>
      <c r="G46" s="28">
        <v>1</v>
      </c>
      <c r="H46" s="28">
        <v>81379</v>
      </c>
      <c r="I46" s="28" t="str">
        <f t="shared" si="10"/>
        <v>CHARACTER</v>
      </c>
      <c r="J46" s="28">
        <v>55386046</v>
      </c>
      <c r="K46" s="28" t="s">
        <v>3586</v>
      </c>
      <c r="L46" s="28" t="s">
        <v>3589</v>
      </c>
      <c r="M46" s="35">
        <v>99900</v>
      </c>
      <c r="N46" s="35" t="str">
        <f t="shared" si="11"/>
        <v>BXGY</v>
      </c>
      <c r="O46" s="36" t="str">
        <f t="shared" si="7"/>
        <v>B1G1</v>
      </c>
      <c r="P46" s="35" t="str">
        <f t="shared" si="11"/>
        <v>BXGY</v>
      </c>
    </row>
    <row r="47" spans="1:16" x14ac:dyDescent="0.25">
      <c r="A47" s="35" t="str">
        <f t="shared" si="9"/>
        <v>2025 AUG B1G1</v>
      </c>
      <c r="B47" s="23">
        <f t="shared" si="9"/>
        <v>46099</v>
      </c>
      <c r="C47" s="23">
        <f t="shared" si="9"/>
        <v>46113</v>
      </c>
      <c r="D47" s="35">
        <f t="shared" si="9"/>
        <v>3272</v>
      </c>
      <c r="E47" s="35">
        <f t="shared" si="9"/>
        <v>336</v>
      </c>
      <c r="F47" s="31">
        <v>4</v>
      </c>
      <c r="G47" s="28">
        <v>1</v>
      </c>
      <c r="H47" s="28">
        <v>81379</v>
      </c>
      <c r="I47" s="28" t="str">
        <f t="shared" si="10"/>
        <v>CHARACTER</v>
      </c>
      <c r="J47" s="28">
        <v>55386055</v>
      </c>
      <c r="K47" s="28" t="s">
        <v>3586</v>
      </c>
      <c r="L47" s="28" t="s">
        <v>3590</v>
      </c>
      <c r="M47" s="35">
        <v>99900</v>
      </c>
      <c r="N47" s="35" t="str">
        <f t="shared" si="11"/>
        <v>BXGY</v>
      </c>
      <c r="O47" s="36" t="str">
        <f t="shared" si="7"/>
        <v>B1G1</v>
      </c>
      <c r="P47" s="35" t="str">
        <f t="shared" si="11"/>
        <v>BXGY</v>
      </c>
    </row>
    <row r="48" spans="1:16" x14ac:dyDescent="0.25">
      <c r="A48" s="35" t="str">
        <f t="shared" si="9"/>
        <v>2025 AUG B1G1</v>
      </c>
      <c r="B48" s="23">
        <f t="shared" si="9"/>
        <v>46099</v>
      </c>
      <c r="C48" s="23">
        <f t="shared" si="9"/>
        <v>46113</v>
      </c>
      <c r="D48" s="35">
        <f t="shared" si="9"/>
        <v>3272</v>
      </c>
      <c r="E48" s="35">
        <f t="shared" si="9"/>
        <v>336</v>
      </c>
      <c r="F48" s="31">
        <v>4</v>
      </c>
      <c r="G48" s="28">
        <v>1</v>
      </c>
      <c r="H48" s="28">
        <v>81379</v>
      </c>
      <c r="I48" s="28" t="str">
        <f t="shared" si="10"/>
        <v>CHARACTER</v>
      </c>
      <c r="J48" s="28">
        <v>55386064</v>
      </c>
      <c r="K48" s="28" t="s">
        <v>3586</v>
      </c>
      <c r="L48" s="28" t="s">
        <v>3591</v>
      </c>
      <c r="M48" s="35">
        <v>99900</v>
      </c>
      <c r="N48" s="35" t="str">
        <f t="shared" si="11"/>
        <v>BXGY</v>
      </c>
      <c r="O48" s="36" t="str">
        <f t="shared" si="7"/>
        <v>B1G1</v>
      </c>
      <c r="P48" s="35" t="str">
        <f t="shared" si="11"/>
        <v>BXGY</v>
      </c>
    </row>
    <row r="49" spans="1:16" x14ac:dyDescent="0.25">
      <c r="A49" s="35" t="str">
        <f t="shared" si="9"/>
        <v>2025 AUG B1G1</v>
      </c>
      <c r="B49" s="23">
        <f t="shared" si="9"/>
        <v>46099</v>
      </c>
      <c r="C49" s="23">
        <f t="shared" si="9"/>
        <v>46113</v>
      </c>
      <c r="D49" s="35">
        <f t="shared" si="9"/>
        <v>3272</v>
      </c>
      <c r="E49" s="35">
        <f t="shared" si="9"/>
        <v>336</v>
      </c>
      <c r="F49" s="31">
        <v>4</v>
      </c>
      <c r="G49" s="28">
        <v>1</v>
      </c>
      <c r="H49" s="28">
        <v>81379</v>
      </c>
      <c r="I49" s="28" t="str">
        <f t="shared" si="10"/>
        <v>CHARACTER</v>
      </c>
      <c r="J49" s="28">
        <v>55386073</v>
      </c>
      <c r="K49" s="28" t="s">
        <v>3586</v>
      </c>
      <c r="L49" s="28" t="s">
        <v>3592</v>
      </c>
      <c r="M49" s="35">
        <v>99900</v>
      </c>
      <c r="N49" s="35" t="str">
        <f t="shared" si="11"/>
        <v>BXGY</v>
      </c>
      <c r="O49" s="36" t="str">
        <f t="shared" si="7"/>
        <v>B1G1</v>
      </c>
      <c r="P49" s="35" t="str">
        <f t="shared" si="11"/>
        <v>BXGY</v>
      </c>
    </row>
    <row r="50" spans="1:16" ht="15.75" customHeight="1" x14ac:dyDescent="0.25">
      <c r="A50" s="35" t="str">
        <f t="shared" si="9"/>
        <v>2025 AUG B1G1</v>
      </c>
      <c r="B50" s="23">
        <f t="shared" si="9"/>
        <v>46099</v>
      </c>
      <c r="C50" s="23">
        <f t="shared" si="9"/>
        <v>46113</v>
      </c>
      <c r="D50" s="35">
        <f t="shared" si="9"/>
        <v>3272</v>
      </c>
      <c r="E50" s="35">
        <f t="shared" si="9"/>
        <v>336</v>
      </c>
      <c r="F50" s="31">
        <v>4</v>
      </c>
      <c r="G50" s="28">
        <v>1</v>
      </c>
      <c r="H50" s="28">
        <v>81379</v>
      </c>
      <c r="I50" s="28" t="str">
        <f t="shared" si="10"/>
        <v>CHARACTER</v>
      </c>
      <c r="J50" s="28">
        <v>55386082</v>
      </c>
      <c r="K50" s="28" t="s">
        <v>3586</v>
      </c>
      <c r="L50" s="28" t="s">
        <v>3593</v>
      </c>
      <c r="M50" s="35">
        <v>99900</v>
      </c>
      <c r="N50" s="35" t="str">
        <f t="shared" si="11"/>
        <v>BXGY</v>
      </c>
      <c r="O50" s="36" t="str">
        <f t="shared" si="7"/>
        <v>B1G1</v>
      </c>
      <c r="P50" s="35" t="str">
        <f t="shared" si="11"/>
        <v>BXGY</v>
      </c>
    </row>
    <row r="51" spans="1:16" x14ac:dyDescent="0.25">
      <c r="A51" s="35" t="str">
        <f t="shared" ref="A51" si="12">A50</f>
        <v>2025 AUG B1G1</v>
      </c>
      <c r="B51" s="23">
        <f>'2025 Q4 B3D10'!B243</f>
        <v>46099</v>
      </c>
      <c r="C51" s="23">
        <f>'2025 Q4 B3D10'!C243</f>
        <v>46113</v>
      </c>
      <c r="D51" s="35">
        <f>'2025 Q4 B3D10'!D243</f>
        <v>3272</v>
      </c>
      <c r="E51" s="35">
        <f>'2025 Q4 B3D10'!E243</f>
        <v>336</v>
      </c>
      <c r="F51" s="31">
        <v>4</v>
      </c>
      <c r="G51" s="28">
        <v>1</v>
      </c>
      <c r="H51" s="28">
        <v>81676</v>
      </c>
      <c r="I51" s="28" t="str">
        <f>'2025 Q4 B3D10'!I243</f>
        <v>CHARACTER</v>
      </c>
      <c r="J51" s="28">
        <v>54555794</v>
      </c>
      <c r="K51" s="28" t="s">
        <v>3610</v>
      </c>
      <c r="L51" s="28" t="s">
        <v>3611</v>
      </c>
      <c r="M51" s="35">
        <v>99900</v>
      </c>
      <c r="N51" s="35" t="str">
        <f>'2025 Q4 B3D10'!N243</f>
        <v>BXGY</v>
      </c>
      <c r="O51" s="36" t="str">
        <f t="shared" si="7"/>
        <v>B1G1</v>
      </c>
      <c r="P51" s="35" t="str">
        <f>'2025 Q4 B3D10'!P243</f>
        <v>BXGY</v>
      </c>
    </row>
    <row r="52" spans="1:16" x14ac:dyDescent="0.25">
      <c r="A52" s="35" t="str">
        <f t="shared" ref="A52" si="13">A51</f>
        <v>2025 AUG B1G1</v>
      </c>
      <c r="B52" s="23">
        <f t="shared" ref="B52:B61" si="14">B51</f>
        <v>46099</v>
      </c>
      <c r="C52" s="23">
        <f t="shared" ref="C52:C61" si="15">C51</f>
        <v>46113</v>
      </c>
      <c r="D52" s="35">
        <f t="shared" ref="D52:D61" si="16">D51</f>
        <v>3272</v>
      </c>
      <c r="E52" s="35">
        <f t="shared" ref="E52:E61" si="17">E51</f>
        <v>336</v>
      </c>
      <c r="F52" s="31">
        <v>4</v>
      </c>
      <c r="G52" s="28">
        <v>1</v>
      </c>
      <c r="H52" s="28">
        <v>81676</v>
      </c>
      <c r="I52" s="28" t="str">
        <f t="shared" ref="I52:I83" si="18">I51</f>
        <v>CHARACTER</v>
      </c>
      <c r="J52" s="28">
        <v>54555801</v>
      </c>
      <c r="K52" s="28" t="s">
        <v>3610</v>
      </c>
      <c r="L52" s="28" t="s">
        <v>3612</v>
      </c>
      <c r="M52" s="35">
        <v>99900</v>
      </c>
      <c r="N52" s="35" t="str">
        <f t="shared" ref="N52:P52" si="19">N51</f>
        <v>BXGY</v>
      </c>
      <c r="O52" s="36" t="str">
        <f t="shared" si="7"/>
        <v>B1G1</v>
      </c>
      <c r="P52" s="35" t="str">
        <f t="shared" si="19"/>
        <v>BXGY</v>
      </c>
    </row>
    <row r="53" spans="1:16" x14ac:dyDescent="0.25">
      <c r="A53" s="35" t="str">
        <f t="shared" ref="A53" si="20">A52</f>
        <v>2025 AUG B1G1</v>
      </c>
      <c r="B53" s="23">
        <f t="shared" si="14"/>
        <v>46099</v>
      </c>
      <c r="C53" s="23">
        <f t="shared" si="15"/>
        <v>46113</v>
      </c>
      <c r="D53" s="35">
        <f t="shared" si="16"/>
        <v>3272</v>
      </c>
      <c r="E53" s="35">
        <f t="shared" si="17"/>
        <v>336</v>
      </c>
      <c r="F53" s="31">
        <v>4</v>
      </c>
      <c r="G53" s="28">
        <v>1</v>
      </c>
      <c r="H53" s="28">
        <v>81676</v>
      </c>
      <c r="I53" s="28" t="str">
        <f t="shared" si="18"/>
        <v>CHARACTER</v>
      </c>
      <c r="J53" s="28">
        <v>54555810</v>
      </c>
      <c r="K53" s="28" t="s">
        <v>3610</v>
      </c>
      <c r="L53" s="28" t="s">
        <v>3613</v>
      </c>
      <c r="M53" s="35">
        <v>99900</v>
      </c>
      <c r="N53" s="35" t="str">
        <f t="shared" ref="N53:P53" si="21">N52</f>
        <v>BXGY</v>
      </c>
      <c r="O53" s="36" t="str">
        <f t="shared" si="7"/>
        <v>B1G1</v>
      </c>
      <c r="P53" s="35" t="str">
        <f t="shared" si="21"/>
        <v>BXGY</v>
      </c>
    </row>
    <row r="54" spans="1:16" x14ac:dyDescent="0.25">
      <c r="A54" s="35" t="str">
        <f t="shared" ref="A54" si="22">A53</f>
        <v>2025 AUG B1G1</v>
      </c>
      <c r="B54" s="23">
        <f t="shared" si="14"/>
        <v>46099</v>
      </c>
      <c r="C54" s="23">
        <f t="shared" si="15"/>
        <v>46113</v>
      </c>
      <c r="D54" s="35">
        <f t="shared" si="16"/>
        <v>3272</v>
      </c>
      <c r="E54" s="35">
        <f t="shared" si="17"/>
        <v>336</v>
      </c>
      <c r="F54" s="31">
        <v>4</v>
      </c>
      <c r="G54" s="28">
        <v>1</v>
      </c>
      <c r="H54" s="28">
        <v>81676</v>
      </c>
      <c r="I54" s="28" t="str">
        <f t="shared" si="18"/>
        <v>CHARACTER</v>
      </c>
      <c r="J54" s="28">
        <v>54555829</v>
      </c>
      <c r="K54" s="28" t="s">
        <v>3610</v>
      </c>
      <c r="L54" s="28" t="s">
        <v>3614</v>
      </c>
      <c r="M54" s="35">
        <v>99900</v>
      </c>
      <c r="N54" s="35" t="str">
        <f t="shared" ref="N54:P54" si="23">N53</f>
        <v>BXGY</v>
      </c>
      <c r="O54" s="36" t="str">
        <f t="shared" si="7"/>
        <v>B1G1</v>
      </c>
      <c r="P54" s="35" t="str">
        <f t="shared" si="23"/>
        <v>BXGY</v>
      </c>
    </row>
    <row r="55" spans="1:16" x14ac:dyDescent="0.25">
      <c r="A55" s="35" t="str">
        <f t="shared" ref="A55" si="24">A54</f>
        <v>2025 AUG B1G1</v>
      </c>
      <c r="B55" s="23">
        <f t="shared" si="14"/>
        <v>46099</v>
      </c>
      <c r="C55" s="23">
        <f t="shared" si="15"/>
        <v>46113</v>
      </c>
      <c r="D55" s="35">
        <f t="shared" si="16"/>
        <v>3272</v>
      </c>
      <c r="E55" s="35">
        <f t="shared" si="17"/>
        <v>336</v>
      </c>
      <c r="F55" s="31">
        <v>4</v>
      </c>
      <c r="G55" s="28">
        <v>1</v>
      </c>
      <c r="H55" s="28">
        <v>81676</v>
      </c>
      <c r="I55" s="28" t="str">
        <f t="shared" si="18"/>
        <v>CHARACTER</v>
      </c>
      <c r="J55" s="28">
        <v>54555838</v>
      </c>
      <c r="K55" s="28" t="s">
        <v>3610</v>
      </c>
      <c r="L55" s="28" t="s">
        <v>3615</v>
      </c>
      <c r="M55" s="35">
        <v>99900</v>
      </c>
      <c r="N55" s="35" t="str">
        <f t="shared" ref="N55:P55" si="25">N54</f>
        <v>BXGY</v>
      </c>
      <c r="O55" s="36" t="str">
        <f t="shared" si="7"/>
        <v>B1G1</v>
      </c>
      <c r="P55" s="35" t="str">
        <f t="shared" si="25"/>
        <v>BXGY</v>
      </c>
    </row>
    <row r="56" spans="1:16" x14ac:dyDescent="0.25">
      <c r="A56" s="35" t="str">
        <f t="shared" ref="A56" si="26">A55</f>
        <v>2025 AUG B1G1</v>
      </c>
      <c r="B56" s="23">
        <f t="shared" si="14"/>
        <v>46099</v>
      </c>
      <c r="C56" s="23">
        <f t="shared" si="15"/>
        <v>46113</v>
      </c>
      <c r="D56" s="35">
        <f t="shared" si="16"/>
        <v>3272</v>
      </c>
      <c r="E56" s="35">
        <f t="shared" si="17"/>
        <v>336</v>
      </c>
      <c r="F56" s="31">
        <v>4</v>
      </c>
      <c r="G56" s="28">
        <v>1</v>
      </c>
      <c r="H56" s="28">
        <v>81676</v>
      </c>
      <c r="I56" s="28" t="str">
        <f t="shared" si="18"/>
        <v>CHARACTER</v>
      </c>
      <c r="J56" s="28">
        <v>54555847</v>
      </c>
      <c r="K56" s="28" t="s">
        <v>3610</v>
      </c>
      <c r="L56" s="28" t="s">
        <v>3616</v>
      </c>
      <c r="M56" s="35">
        <v>99900</v>
      </c>
      <c r="N56" s="35" t="str">
        <f t="shared" ref="N56:P56" si="27">N55</f>
        <v>BXGY</v>
      </c>
      <c r="O56" s="36" t="str">
        <f t="shared" si="7"/>
        <v>B1G1</v>
      </c>
      <c r="P56" s="35" t="str">
        <f t="shared" si="27"/>
        <v>BXGY</v>
      </c>
    </row>
    <row r="57" spans="1:16" x14ac:dyDescent="0.25">
      <c r="A57" s="35" t="str">
        <f t="shared" ref="A57" si="28">A56</f>
        <v>2025 AUG B1G1</v>
      </c>
      <c r="B57" s="23">
        <f t="shared" si="14"/>
        <v>46099</v>
      </c>
      <c r="C57" s="23">
        <f t="shared" si="15"/>
        <v>46113</v>
      </c>
      <c r="D57" s="35">
        <f t="shared" si="16"/>
        <v>3272</v>
      </c>
      <c r="E57" s="35">
        <f t="shared" si="17"/>
        <v>336</v>
      </c>
      <c r="F57" s="31">
        <v>4</v>
      </c>
      <c r="G57" s="28">
        <v>1</v>
      </c>
      <c r="H57" s="28">
        <v>81676</v>
      </c>
      <c r="I57" s="28" t="str">
        <f t="shared" si="18"/>
        <v>CHARACTER</v>
      </c>
      <c r="J57" s="28">
        <v>54555856</v>
      </c>
      <c r="K57" s="28" t="s">
        <v>3610</v>
      </c>
      <c r="L57" s="28" t="s">
        <v>3617</v>
      </c>
      <c r="M57" s="35">
        <v>99900</v>
      </c>
      <c r="N57" s="35" t="str">
        <f t="shared" ref="N57:P57" si="29">N56</f>
        <v>BXGY</v>
      </c>
      <c r="O57" s="36" t="str">
        <f t="shared" si="7"/>
        <v>B1G1</v>
      </c>
      <c r="P57" s="35" t="str">
        <f t="shared" si="29"/>
        <v>BXGY</v>
      </c>
    </row>
    <row r="58" spans="1:16" x14ac:dyDescent="0.25">
      <c r="A58" s="35" t="str">
        <f t="shared" ref="A58" si="30">A57</f>
        <v>2025 AUG B1G1</v>
      </c>
      <c r="B58" s="23">
        <f t="shared" si="14"/>
        <v>46099</v>
      </c>
      <c r="C58" s="23">
        <f t="shared" si="15"/>
        <v>46113</v>
      </c>
      <c r="D58" s="35">
        <f t="shared" si="16"/>
        <v>3272</v>
      </c>
      <c r="E58" s="35">
        <f t="shared" si="17"/>
        <v>336</v>
      </c>
      <c r="F58" s="31">
        <v>4</v>
      </c>
      <c r="G58" s="28">
        <v>1</v>
      </c>
      <c r="H58" s="28">
        <v>81676</v>
      </c>
      <c r="I58" s="28" t="str">
        <f t="shared" si="18"/>
        <v>CHARACTER</v>
      </c>
      <c r="J58" s="28">
        <v>54555865</v>
      </c>
      <c r="K58" s="28" t="s">
        <v>3618</v>
      </c>
      <c r="L58" s="28" t="s">
        <v>3619</v>
      </c>
      <c r="M58" s="35">
        <v>99900</v>
      </c>
      <c r="N58" s="35" t="str">
        <f t="shared" ref="N58:P58" si="31">N57</f>
        <v>BXGY</v>
      </c>
      <c r="O58" s="36" t="str">
        <f t="shared" si="7"/>
        <v>B1G1</v>
      </c>
      <c r="P58" s="35" t="str">
        <f t="shared" si="31"/>
        <v>BXGY</v>
      </c>
    </row>
    <row r="59" spans="1:16" x14ac:dyDescent="0.25">
      <c r="A59" s="35" t="str">
        <f t="shared" ref="A59" si="32">A58</f>
        <v>2025 AUG B1G1</v>
      </c>
      <c r="B59" s="23">
        <f t="shared" si="14"/>
        <v>46099</v>
      </c>
      <c r="C59" s="23">
        <f t="shared" si="15"/>
        <v>46113</v>
      </c>
      <c r="D59" s="35">
        <f t="shared" si="16"/>
        <v>3272</v>
      </c>
      <c r="E59" s="35">
        <f t="shared" si="17"/>
        <v>336</v>
      </c>
      <c r="F59" s="31">
        <v>4</v>
      </c>
      <c r="G59" s="28">
        <v>1</v>
      </c>
      <c r="H59" s="28">
        <v>81676</v>
      </c>
      <c r="I59" s="28" t="str">
        <f t="shared" si="18"/>
        <v>CHARACTER</v>
      </c>
      <c r="J59" s="28">
        <v>54555874</v>
      </c>
      <c r="K59" s="28" t="s">
        <v>3618</v>
      </c>
      <c r="L59" s="28" t="s">
        <v>3620</v>
      </c>
      <c r="M59" s="35">
        <v>99900</v>
      </c>
      <c r="N59" s="35" t="str">
        <f t="shared" ref="N59:P59" si="33">N58</f>
        <v>BXGY</v>
      </c>
      <c r="O59" s="36" t="str">
        <f t="shared" si="7"/>
        <v>B1G1</v>
      </c>
      <c r="P59" s="35" t="str">
        <f t="shared" si="33"/>
        <v>BXGY</v>
      </c>
    </row>
    <row r="60" spans="1:16" x14ac:dyDescent="0.25">
      <c r="A60" s="35" t="str">
        <f t="shared" ref="A60" si="34">A59</f>
        <v>2025 AUG B1G1</v>
      </c>
      <c r="B60" s="23">
        <f t="shared" si="14"/>
        <v>46099</v>
      </c>
      <c r="C60" s="23">
        <f t="shared" si="15"/>
        <v>46113</v>
      </c>
      <c r="D60" s="35">
        <f t="shared" si="16"/>
        <v>3272</v>
      </c>
      <c r="E60" s="35">
        <f t="shared" si="17"/>
        <v>336</v>
      </c>
      <c r="F60" s="31">
        <v>4</v>
      </c>
      <c r="G60" s="28">
        <v>1</v>
      </c>
      <c r="H60" s="28">
        <v>81676</v>
      </c>
      <c r="I60" s="28" t="str">
        <f t="shared" si="18"/>
        <v>CHARACTER</v>
      </c>
      <c r="J60" s="28">
        <v>54555883</v>
      </c>
      <c r="K60" s="28" t="s">
        <v>3618</v>
      </c>
      <c r="L60" s="28" t="s">
        <v>3621</v>
      </c>
      <c r="M60" s="35">
        <v>99900</v>
      </c>
      <c r="N60" s="35" t="str">
        <f t="shared" ref="N60:P60" si="35">N59</f>
        <v>BXGY</v>
      </c>
      <c r="O60" s="36" t="str">
        <f t="shared" si="7"/>
        <v>B1G1</v>
      </c>
      <c r="P60" s="35" t="str">
        <f t="shared" si="35"/>
        <v>BXGY</v>
      </c>
    </row>
    <row r="61" spans="1:16" x14ac:dyDescent="0.25">
      <c r="A61" s="35" t="str">
        <f t="shared" ref="A61" si="36">A60</f>
        <v>2025 AUG B1G1</v>
      </c>
      <c r="B61" s="23">
        <f t="shared" si="14"/>
        <v>46099</v>
      </c>
      <c r="C61" s="23">
        <f t="shared" si="15"/>
        <v>46113</v>
      </c>
      <c r="D61" s="35">
        <f t="shared" si="16"/>
        <v>3272</v>
      </c>
      <c r="E61" s="35">
        <f t="shared" si="17"/>
        <v>336</v>
      </c>
      <c r="F61" s="31">
        <v>4</v>
      </c>
      <c r="G61" s="28">
        <v>1</v>
      </c>
      <c r="H61" s="28">
        <v>81676</v>
      </c>
      <c r="I61" s="28" t="str">
        <f t="shared" si="18"/>
        <v>CHARACTER</v>
      </c>
      <c r="J61" s="28">
        <v>54555892</v>
      </c>
      <c r="K61" s="28" t="s">
        <v>3618</v>
      </c>
      <c r="L61" s="28" t="s">
        <v>3622</v>
      </c>
      <c r="M61" s="35">
        <v>99900</v>
      </c>
      <c r="N61" s="35" t="str">
        <f t="shared" ref="N61:P61" si="37">N60</f>
        <v>BXGY</v>
      </c>
      <c r="O61" s="36" t="str">
        <f t="shared" si="7"/>
        <v>B1G1</v>
      </c>
      <c r="P61" s="35" t="str">
        <f t="shared" si="37"/>
        <v>BXGY</v>
      </c>
    </row>
    <row r="62" spans="1:16" x14ac:dyDescent="0.25">
      <c r="A62" s="35" t="str">
        <f t="shared" ref="A62" si="38">A61</f>
        <v>2025 AUG B1G1</v>
      </c>
      <c r="B62" s="23">
        <f t="shared" ref="B62:E77" si="39">B61</f>
        <v>46099</v>
      </c>
      <c r="C62" s="23">
        <f t="shared" si="39"/>
        <v>46113</v>
      </c>
      <c r="D62" s="35">
        <f t="shared" si="39"/>
        <v>3272</v>
      </c>
      <c r="E62" s="35">
        <f t="shared" si="39"/>
        <v>336</v>
      </c>
      <c r="F62" s="31">
        <v>4</v>
      </c>
      <c r="G62" s="28">
        <v>1</v>
      </c>
      <c r="H62" s="28">
        <v>81676</v>
      </c>
      <c r="I62" s="28" t="str">
        <f t="shared" si="18"/>
        <v>CHARACTER</v>
      </c>
      <c r="J62" s="28">
        <v>54555909</v>
      </c>
      <c r="K62" s="28" t="s">
        <v>3618</v>
      </c>
      <c r="L62" s="28" t="s">
        <v>3623</v>
      </c>
      <c r="M62" s="35">
        <v>99900</v>
      </c>
      <c r="N62" s="35" t="str">
        <f t="shared" ref="N62:P62" si="40">N61</f>
        <v>BXGY</v>
      </c>
      <c r="O62" s="36" t="str">
        <f t="shared" si="7"/>
        <v>B1G1</v>
      </c>
      <c r="P62" s="35" t="str">
        <f t="shared" si="40"/>
        <v>BXGY</v>
      </c>
    </row>
    <row r="63" spans="1:16" x14ac:dyDescent="0.25">
      <c r="A63" s="35" t="str">
        <f t="shared" ref="A63" si="41">A62</f>
        <v>2025 AUG B1G1</v>
      </c>
      <c r="B63" s="23">
        <f t="shared" si="39"/>
        <v>46099</v>
      </c>
      <c r="C63" s="23">
        <f t="shared" si="39"/>
        <v>46113</v>
      </c>
      <c r="D63" s="35">
        <f t="shared" si="39"/>
        <v>3272</v>
      </c>
      <c r="E63" s="35">
        <f t="shared" si="39"/>
        <v>336</v>
      </c>
      <c r="F63" s="31">
        <v>4</v>
      </c>
      <c r="G63" s="28">
        <v>1</v>
      </c>
      <c r="H63" s="28">
        <v>81676</v>
      </c>
      <c r="I63" s="28" t="str">
        <f t="shared" si="18"/>
        <v>CHARACTER</v>
      </c>
      <c r="J63" s="28">
        <v>54555918</v>
      </c>
      <c r="K63" s="28" t="s">
        <v>3618</v>
      </c>
      <c r="L63" s="28" t="s">
        <v>3624</v>
      </c>
      <c r="M63" s="35">
        <v>99900</v>
      </c>
      <c r="N63" s="35" t="str">
        <f t="shared" ref="N63:P63" si="42">N62</f>
        <v>BXGY</v>
      </c>
      <c r="O63" s="36" t="str">
        <f t="shared" si="7"/>
        <v>B1G1</v>
      </c>
      <c r="P63" s="35" t="str">
        <f t="shared" si="42"/>
        <v>BXGY</v>
      </c>
    </row>
    <row r="64" spans="1:16" x14ac:dyDescent="0.25">
      <c r="A64" s="35" t="str">
        <f t="shared" ref="A64" si="43">A63</f>
        <v>2025 AUG B1G1</v>
      </c>
      <c r="B64" s="23">
        <f t="shared" si="39"/>
        <v>46099</v>
      </c>
      <c r="C64" s="23">
        <f t="shared" si="39"/>
        <v>46113</v>
      </c>
      <c r="D64" s="35">
        <f t="shared" si="39"/>
        <v>3272</v>
      </c>
      <c r="E64" s="35">
        <f t="shared" si="39"/>
        <v>336</v>
      </c>
      <c r="F64" s="31">
        <v>4</v>
      </c>
      <c r="G64" s="28">
        <v>1</v>
      </c>
      <c r="H64" s="28">
        <v>81676</v>
      </c>
      <c r="I64" s="28" t="str">
        <f t="shared" si="18"/>
        <v>CHARACTER</v>
      </c>
      <c r="J64" s="28">
        <v>54555927</v>
      </c>
      <c r="K64" s="28" t="s">
        <v>3618</v>
      </c>
      <c r="L64" s="28" t="s">
        <v>3625</v>
      </c>
      <c r="M64" s="35">
        <v>99900</v>
      </c>
      <c r="N64" s="35" t="str">
        <f t="shared" ref="N64:P64" si="44">N63</f>
        <v>BXGY</v>
      </c>
      <c r="O64" s="36" t="str">
        <f t="shared" si="7"/>
        <v>B1G1</v>
      </c>
      <c r="P64" s="35" t="str">
        <f t="shared" si="44"/>
        <v>BXGY</v>
      </c>
    </row>
    <row r="65" spans="1:16" x14ac:dyDescent="0.25">
      <c r="A65" s="35" t="str">
        <f t="shared" ref="A65" si="45">A64</f>
        <v>2025 AUG B1G1</v>
      </c>
      <c r="B65" s="23">
        <f t="shared" si="39"/>
        <v>46099</v>
      </c>
      <c r="C65" s="23">
        <f t="shared" si="39"/>
        <v>46113</v>
      </c>
      <c r="D65" s="35">
        <f t="shared" si="39"/>
        <v>3272</v>
      </c>
      <c r="E65" s="35">
        <f t="shared" si="39"/>
        <v>336</v>
      </c>
      <c r="F65" s="31">
        <v>4</v>
      </c>
      <c r="G65" s="28">
        <v>1</v>
      </c>
      <c r="H65" s="28">
        <v>81676</v>
      </c>
      <c r="I65" s="28" t="str">
        <f t="shared" si="18"/>
        <v>CHARACTER</v>
      </c>
      <c r="J65" s="28">
        <v>54556211</v>
      </c>
      <c r="K65" s="28" t="s">
        <v>3366</v>
      </c>
      <c r="L65" s="28" t="s">
        <v>3413</v>
      </c>
      <c r="M65" s="35">
        <v>99900</v>
      </c>
      <c r="N65" s="35" t="str">
        <f t="shared" ref="N65:P65" si="46">N64</f>
        <v>BXGY</v>
      </c>
      <c r="O65" s="36" t="str">
        <f t="shared" si="7"/>
        <v>B1G1</v>
      </c>
      <c r="P65" s="35" t="str">
        <f t="shared" si="46"/>
        <v>BXGY</v>
      </c>
    </row>
    <row r="66" spans="1:16" x14ac:dyDescent="0.25">
      <c r="A66" s="35" t="str">
        <f t="shared" ref="A66" si="47">A65</f>
        <v>2025 AUG B1G1</v>
      </c>
      <c r="B66" s="23">
        <f t="shared" si="39"/>
        <v>46099</v>
      </c>
      <c r="C66" s="23">
        <f t="shared" si="39"/>
        <v>46113</v>
      </c>
      <c r="D66" s="35">
        <f t="shared" si="39"/>
        <v>3272</v>
      </c>
      <c r="E66" s="35">
        <f t="shared" si="39"/>
        <v>336</v>
      </c>
      <c r="F66" s="31">
        <v>4</v>
      </c>
      <c r="G66" s="28">
        <v>1</v>
      </c>
      <c r="H66" s="28">
        <v>81676</v>
      </c>
      <c r="I66" s="28" t="str">
        <f t="shared" si="18"/>
        <v>CHARACTER</v>
      </c>
      <c r="J66" s="28">
        <v>54556220</v>
      </c>
      <c r="K66" s="28" t="s">
        <v>3366</v>
      </c>
      <c r="L66" s="28" t="s">
        <v>3414</v>
      </c>
      <c r="M66" s="35">
        <v>99900</v>
      </c>
      <c r="N66" s="35" t="str">
        <f t="shared" ref="N66:P66" si="48">N65</f>
        <v>BXGY</v>
      </c>
      <c r="O66" s="36" t="str">
        <f t="shared" si="7"/>
        <v>B1G1</v>
      </c>
      <c r="P66" s="35" t="str">
        <f t="shared" si="48"/>
        <v>BXGY</v>
      </c>
    </row>
    <row r="67" spans="1:16" x14ac:dyDescent="0.25">
      <c r="A67" s="35" t="str">
        <f t="shared" ref="A67" si="49">A66</f>
        <v>2025 AUG B1G1</v>
      </c>
      <c r="B67" s="23">
        <f t="shared" si="39"/>
        <v>46099</v>
      </c>
      <c r="C67" s="23">
        <f t="shared" si="39"/>
        <v>46113</v>
      </c>
      <c r="D67" s="35">
        <f t="shared" si="39"/>
        <v>3272</v>
      </c>
      <c r="E67" s="35">
        <f t="shared" si="39"/>
        <v>336</v>
      </c>
      <c r="F67" s="31">
        <v>4</v>
      </c>
      <c r="G67" s="28">
        <v>1</v>
      </c>
      <c r="H67" s="28">
        <v>81676</v>
      </c>
      <c r="I67" s="28" t="str">
        <f t="shared" si="18"/>
        <v>CHARACTER</v>
      </c>
      <c r="J67" s="28">
        <v>54556239</v>
      </c>
      <c r="K67" s="28" t="s">
        <v>3366</v>
      </c>
      <c r="L67" s="28" t="s">
        <v>3415</v>
      </c>
      <c r="M67" s="35">
        <v>99900</v>
      </c>
      <c r="N67" s="35" t="str">
        <f t="shared" ref="N67:P82" si="50">N66</f>
        <v>BXGY</v>
      </c>
      <c r="O67" s="36" t="str">
        <f t="shared" si="50"/>
        <v>B1G1</v>
      </c>
      <c r="P67" s="35" t="str">
        <f t="shared" si="50"/>
        <v>BXGY</v>
      </c>
    </row>
    <row r="68" spans="1:16" x14ac:dyDescent="0.25">
      <c r="A68" s="35" t="str">
        <f t="shared" ref="A68" si="51">A67</f>
        <v>2025 AUG B1G1</v>
      </c>
      <c r="B68" s="23">
        <f t="shared" si="39"/>
        <v>46099</v>
      </c>
      <c r="C68" s="23">
        <f t="shared" si="39"/>
        <v>46113</v>
      </c>
      <c r="D68" s="35">
        <f t="shared" si="39"/>
        <v>3272</v>
      </c>
      <c r="E68" s="35">
        <f t="shared" si="39"/>
        <v>336</v>
      </c>
      <c r="F68" s="31">
        <v>4</v>
      </c>
      <c r="G68" s="28">
        <v>1</v>
      </c>
      <c r="H68" s="28">
        <v>81676</v>
      </c>
      <c r="I68" s="28" t="str">
        <f t="shared" si="18"/>
        <v>CHARACTER</v>
      </c>
      <c r="J68" s="28">
        <v>54556248</v>
      </c>
      <c r="K68" s="28" t="s">
        <v>3366</v>
      </c>
      <c r="L68" s="28" t="s">
        <v>3416</v>
      </c>
      <c r="M68" s="35">
        <v>99900</v>
      </c>
      <c r="N68" s="35" t="str">
        <f t="shared" ref="N68:P68" si="52">N67</f>
        <v>BXGY</v>
      </c>
      <c r="O68" s="36" t="str">
        <f t="shared" si="50"/>
        <v>B1G1</v>
      </c>
      <c r="P68" s="35" t="str">
        <f t="shared" si="52"/>
        <v>BXGY</v>
      </c>
    </row>
    <row r="69" spans="1:16" x14ac:dyDescent="0.25">
      <c r="A69" s="35" t="str">
        <f t="shared" ref="A69" si="53">A68</f>
        <v>2025 AUG B1G1</v>
      </c>
      <c r="B69" s="23">
        <f t="shared" si="39"/>
        <v>46099</v>
      </c>
      <c r="C69" s="23">
        <f t="shared" si="39"/>
        <v>46113</v>
      </c>
      <c r="D69" s="35">
        <f t="shared" si="39"/>
        <v>3272</v>
      </c>
      <c r="E69" s="35">
        <f t="shared" si="39"/>
        <v>336</v>
      </c>
      <c r="F69" s="31">
        <v>4</v>
      </c>
      <c r="G69" s="28">
        <v>1</v>
      </c>
      <c r="H69" s="28">
        <v>81676</v>
      </c>
      <c r="I69" s="28" t="str">
        <f t="shared" si="18"/>
        <v>CHARACTER</v>
      </c>
      <c r="J69" s="28">
        <v>54556257</v>
      </c>
      <c r="K69" s="28" t="s">
        <v>3366</v>
      </c>
      <c r="L69" s="28" t="s">
        <v>3417</v>
      </c>
      <c r="M69" s="35">
        <v>99900</v>
      </c>
      <c r="N69" s="35" t="str">
        <f t="shared" ref="N69:P69" si="54">N68</f>
        <v>BXGY</v>
      </c>
      <c r="O69" s="36" t="str">
        <f t="shared" si="50"/>
        <v>B1G1</v>
      </c>
      <c r="P69" s="35" t="str">
        <f t="shared" si="54"/>
        <v>BXGY</v>
      </c>
    </row>
    <row r="70" spans="1:16" x14ac:dyDescent="0.25">
      <c r="A70" s="35" t="str">
        <f t="shared" ref="A70" si="55">A69</f>
        <v>2025 AUG B1G1</v>
      </c>
      <c r="B70" s="23">
        <f t="shared" si="39"/>
        <v>46099</v>
      </c>
      <c r="C70" s="23">
        <f t="shared" si="39"/>
        <v>46113</v>
      </c>
      <c r="D70" s="35">
        <f t="shared" si="39"/>
        <v>3272</v>
      </c>
      <c r="E70" s="35">
        <f t="shared" si="39"/>
        <v>336</v>
      </c>
      <c r="F70" s="31">
        <v>4</v>
      </c>
      <c r="G70" s="28">
        <v>1</v>
      </c>
      <c r="H70" s="28">
        <v>81676</v>
      </c>
      <c r="I70" s="28" t="str">
        <f t="shared" si="18"/>
        <v>CHARACTER</v>
      </c>
      <c r="J70" s="28">
        <v>54556266</v>
      </c>
      <c r="K70" s="28" t="s">
        <v>3366</v>
      </c>
      <c r="L70" s="28" t="s">
        <v>3418</v>
      </c>
      <c r="M70" s="35">
        <v>99900</v>
      </c>
      <c r="N70" s="35" t="str">
        <f t="shared" ref="N70:P70" si="56">N69</f>
        <v>BXGY</v>
      </c>
      <c r="O70" s="36" t="str">
        <f t="shared" si="50"/>
        <v>B1G1</v>
      </c>
      <c r="P70" s="35" t="str">
        <f t="shared" si="56"/>
        <v>BXGY</v>
      </c>
    </row>
    <row r="71" spans="1:16" x14ac:dyDescent="0.25">
      <c r="A71" s="35" t="str">
        <f t="shared" ref="A71" si="57">A70</f>
        <v>2025 AUG B1G1</v>
      </c>
      <c r="B71" s="23">
        <f t="shared" si="39"/>
        <v>46099</v>
      </c>
      <c r="C71" s="23">
        <f t="shared" si="39"/>
        <v>46113</v>
      </c>
      <c r="D71" s="35">
        <f t="shared" si="39"/>
        <v>3272</v>
      </c>
      <c r="E71" s="35">
        <f t="shared" si="39"/>
        <v>336</v>
      </c>
      <c r="F71" s="31">
        <v>4</v>
      </c>
      <c r="G71" s="28">
        <v>1</v>
      </c>
      <c r="H71" s="28">
        <v>81676</v>
      </c>
      <c r="I71" s="28" t="str">
        <f t="shared" si="18"/>
        <v>CHARACTER</v>
      </c>
      <c r="J71" s="28">
        <v>54556275</v>
      </c>
      <c r="K71" s="28" t="s">
        <v>3366</v>
      </c>
      <c r="L71" s="28" t="s">
        <v>3419</v>
      </c>
      <c r="M71" s="35">
        <v>99900</v>
      </c>
      <c r="N71" s="35" t="str">
        <f t="shared" ref="N71:P71" si="58">N70</f>
        <v>BXGY</v>
      </c>
      <c r="O71" s="36" t="str">
        <f t="shared" si="50"/>
        <v>B1G1</v>
      </c>
      <c r="P71" s="35" t="str">
        <f t="shared" si="58"/>
        <v>BXGY</v>
      </c>
    </row>
    <row r="72" spans="1:16" x14ac:dyDescent="0.25">
      <c r="A72" s="35" t="str">
        <f t="shared" ref="A72" si="59">A71</f>
        <v>2025 AUG B1G1</v>
      </c>
      <c r="B72" s="23">
        <f t="shared" si="39"/>
        <v>46099</v>
      </c>
      <c r="C72" s="23">
        <f t="shared" si="39"/>
        <v>46113</v>
      </c>
      <c r="D72" s="35">
        <f t="shared" si="39"/>
        <v>3272</v>
      </c>
      <c r="E72" s="35">
        <f t="shared" si="39"/>
        <v>336</v>
      </c>
      <c r="F72" s="31">
        <v>4</v>
      </c>
      <c r="G72" s="28">
        <v>1</v>
      </c>
      <c r="H72" s="28">
        <v>81676</v>
      </c>
      <c r="I72" s="28" t="str">
        <f t="shared" si="18"/>
        <v>CHARACTER</v>
      </c>
      <c r="J72" s="28">
        <v>55028754</v>
      </c>
      <c r="K72" s="28" t="s">
        <v>3441</v>
      </c>
      <c r="L72" s="28" t="s">
        <v>3442</v>
      </c>
      <c r="M72" s="35">
        <v>99900</v>
      </c>
      <c r="N72" s="35" t="str">
        <f t="shared" ref="N72:P72" si="60">N71</f>
        <v>BXGY</v>
      </c>
      <c r="O72" s="36" t="str">
        <f t="shared" si="50"/>
        <v>B1G1</v>
      </c>
      <c r="P72" s="35" t="str">
        <f t="shared" si="60"/>
        <v>BXGY</v>
      </c>
    </row>
    <row r="73" spans="1:16" x14ac:dyDescent="0.25">
      <c r="A73" s="35" t="str">
        <f t="shared" ref="A73" si="61">A72</f>
        <v>2025 AUG B1G1</v>
      </c>
      <c r="B73" s="23">
        <f t="shared" si="39"/>
        <v>46099</v>
      </c>
      <c r="C73" s="23">
        <f t="shared" si="39"/>
        <v>46113</v>
      </c>
      <c r="D73" s="35">
        <f t="shared" si="39"/>
        <v>3272</v>
      </c>
      <c r="E73" s="35">
        <f t="shared" si="39"/>
        <v>336</v>
      </c>
      <c r="F73" s="31">
        <v>4</v>
      </c>
      <c r="G73" s="28">
        <v>1</v>
      </c>
      <c r="H73" s="28">
        <v>81676</v>
      </c>
      <c r="I73" s="28" t="str">
        <f t="shared" si="18"/>
        <v>CHARACTER</v>
      </c>
      <c r="J73" s="28">
        <v>55028763</v>
      </c>
      <c r="K73" s="28" t="s">
        <v>3441</v>
      </c>
      <c r="L73" s="28" t="s">
        <v>3443</v>
      </c>
      <c r="M73" s="35">
        <v>99900</v>
      </c>
      <c r="N73" s="35" t="str">
        <f t="shared" ref="N73:P73" si="62">N72</f>
        <v>BXGY</v>
      </c>
      <c r="O73" s="36" t="str">
        <f t="shared" si="50"/>
        <v>B1G1</v>
      </c>
      <c r="P73" s="35" t="str">
        <f t="shared" si="62"/>
        <v>BXGY</v>
      </c>
    </row>
    <row r="74" spans="1:16" x14ac:dyDescent="0.25">
      <c r="A74" s="35" t="str">
        <f t="shared" ref="A74" si="63">A73</f>
        <v>2025 AUG B1G1</v>
      </c>
      <c r="B74" s="23">
        <f t="shared" si="39"/>
        <v>46099</v>
      </c>
      <c r="C74" s="23">
        <f t="shared" si="39"/>
        <v>46113</v>
      </c>
      <c r="D74" s="35">
        <f t="shared" si="39"/>
        <v>3272</v>
      </c>
      <c r="E74" s="35">
        <f t="shared" si="39"/>
        <v>336</v>
      </c>
      <c r="F74" s="31">
        <v>4</v>
      </c>
      <c r="G74" s="28">
        <v>1</v>
      </c>
      <c r="H74" s="28">
        <v>81676</v>
      </c>
      <c r="I74" s="28" t="str">
        <f t="shared" si="18"/>
        <v>CHARACTER</v>
      </c>
      <c r="J74" s="28">
        <v>55028772</v>
      </c>
      <c r="K74" s="28" t="s">
        <v>3441</v>
      </c>
      <c r="L74" s="28" t="s">
        <v>3444</v>
      </c>
      <c r="M74" s="35">
        <v>99900</v>
      </c>
      <c r="N74" s="35" t="str">
        <f t="shared" ref="N74:P74" si="64">N73</f>
        <v>BXGY</v>
      </c>
      <c r="O74" s="36" t="str">
        <f t="shared" si="50"/>
        <v>B1G1</v>
      </c>
      <c r="P74" s="35" t="str">
        <f t="shared" si="64"/>
        <v>BXGY</v>
      </c>
    </row>
    <row r="75" spans="1:16" x14ac:dyDescent="0.25">
      <c r="A75" s="35" t="str">
        <f t="shared" ref="A75" si="65">A74</f>
        <v>2025 AUG B1G1</v>
      </c>
      <c r="B75" s="23">
        <f t="shared" si="39"/>
        <v>46099</v>
      </c>
      <c r="C75" s="23">
        <f t="shared" si="39"/>
        <v>46113</v>
      </c>
      <c r="D75" s="35">
        <f t="shared" si="39"/>
        <v>3272</v>
      </c>
      <c r="E75" s="35">
        <f t="shared" si="39"/>
        <v>336</v>
      </c>
      <c r="F75" s="31">
        <v>4</v>
      </c>
      <c r="G75" s="28">
        <v>1</v>
      </c>
      <c r="H75" s="28">
        <v>81676</v>
      </c>
      <c r="I75" s="28" t="str">
        <f t="shared" si="18"/>
        <v>CHARACTER</v>
      </c>
      <c r="J75" s="28">
        <v>55028781</v>
      </c>
      <c r="K75" s="28" t="s">
        <v>3441</v>
      </c>
      <c r="L75" s="28" t="s">
        <v>3445</v>
      </c>
      <c r="M75" s="35">
        <v>99900</v>
      </c>
      <c r="N75" s="35" t="str">
        <f t="shared" ref="N75:P75" si="66">N74</f>
        <v>BXGY</v>
      </c>
      <c r="O75" s="36" t="str">
        <f t="shared" si="50"/>
        <v>B1G1</v>
      </c>
      <c r="P75" s="35" t="str">
        <f t="shared" si="66"/>
        <v>BXGY</v>
      </c>
    </row>
    <row r="76" spans="1:16" x14ac:dyDescent="0.25">
      <c r="A76" s="35" t="str">
        <f t="shared" ref="A76" si="67">A75</f>
        <v>2025 AUG B1G1</v>
      </c>
      <c r="B76" s="23">
        <f t="shared" si="39"/>
        <v>46099</v>
      </c>
      <c r="C76" s="23">
        <f t="shared" si="39"/>
        <v>46113</v>
      </c>
      <c r="D76" s="35">
        <f t="shared" si="39"/>
        <v>3272</v>
      </c>
      <c r="E76" s="35">
        <f t="shared" si="39"/>
        <v>336</v>
      </c>
      <c r="F76" s="31">
        <v>4</v>
      </c>
      <c r="G76" s="28">
        <v>1</v>
      </c>
      <c r="H76" s="28">
        <v>81676</v>
      </c>
      <c r="I76" s="28" t="str">
        <f t="shared" si="18"/>
        <v>CHARACTER</v>
      </c>
      <c r="J76" s="28">
        <v>55028790</v>
      </c>
      <c r="K76" s="28" t="s">
        <v>3441</v>
      </c>
      <c r="L76" s="28" t="s">
        <v>3446</v>
      </c>
      <c r="M76" s="35">
        <v>99900</v>
      </c>
      <c r="N76" s="35" t="str">
        <f t="shared" ref="N76:P76" si="68">N75</f>
        <v>BXGY</v>
      </c>
      <c r="O76" s="36" t="str">
        <f t="shared" si="50"/>
        <v>B1G1</v>
      </c>
      <c r="P76" s="35" t="str">
        <f t="shared" si="68"/>
        <v>BXGY</v>
      </c>
    </row>
    <row r="77" spans="1:16" x14ac:dyDescent="0.25">
      <c r="A77" s="35" t="str">
        <f t="shared" ref="A77" si="69">A76</f>
        <v>2025 AUG B1G1</v>
      </c>
      <c r="B77" s="23">
        <f t="shared" si="39"/>
        <v>46099</v>
      </c>
      <c r="C77" s="23">
        <f t="shared" si="39"/>
        <v>46113</v>
      </c>
      <c r="D77" s="35">
        <f t="shared" si="39"/>
        <v>3272</v>
      </c>
      <c r="E77" s="35">
        <f t="shared" si="39"/>
        <v>336</v>
      </c>
      <c r="F77" s="31">
        <v>4</v>
      </c>
      <c r="G77" s="28">
        <v>1</v>
      </c>
      <c r="H77" s="28">
        <v>81676</v>
      </c>
      <c r="I77" s="28" t="str">
        <f t="shared" si="18"/>
        <v>CHARACTER</v>
      </c>
      <c r="J77" s="28">
        <v>55028807</v>
      </c>
      <c r="K77" s="28" t="s">
        <v>3441</v>
      </c>
      <c r="L77" s="28" t="s">
        <v>3447</v>
      </c>
      <c r="M77" s="35">
        <v>99900</v>
      </c>
      <c r="N77" s="35" t="str">
        <f t="shared" ref="N77:P77" si="70">N76</f>
        <v>BXGY</v>
      </c>
      <c r="O77" s="36" t="str">
        <f t="shared" si="50"/>
        <v>B1G1</v>
      </c>
      <c r="P77" s="35" t="str">
        <f t="shared" si="70"/>
        <v>BXGY</v>
      </c>
    </row>
    <row r="78" spans="1:16" x14ac:dyDescent="0.25">
      <c r="A78" s="35" t="str">
        <f t="shared" ref="A78" si="71">A77</f>
        <v>2025 AUG B1G1</v>
      </c>
      <c r="B78" s="23">
        <f t="shared" ref="B78:E93" si="72">B77</f>
        <v>46099</v>
      </c>
      <c r="C78" s="23">
        <f t="shared" si="72"/>
        <v>46113</v>
      </c>
      <c r="D78" s="35">
        <f t="shared" si="72"/>
        <v>3272</v>
      </c>
      <c r="E78" s="35">
        <f t="shared" si="72"/>
        <v>336</v>
      </c>
      <c r="F78" s="31">
        <v>4</v>
      </c>
      <c r="G78" s="28">
        <v>1</v>
      </c>
      <c r="H78" s="28">
        <v>81676</v>
      </c>
      <c r="I78" s="28" t="str">
        <f t="shared" si="18"/>
        <v>CHARACTER</v>
      </c>
      <c r="J78" s="28">
        <v>55028816</v>
      </c>
      <c r="K78" s="28" t="s">
        <v>3441</v>
      </c>
      <c r="L78" s="28" t="s">
        <v>3448</v>
      </c>
      <c r="M78" s="35">
        <v>99900</v>
      </c>
      <c r="N78" s="35" t="str">
        <f t="shared" ref="N78:P78" si="73">N77</f>
        <v>BXGY</v>
      </c>
      <c r="O78" s="36" t="str">
        <f t="shared" si="50"/>
        <v>B1G1</v>
      </c>
      <c r="P78" s="35" t="str">
        <f t="shared" si="73"/>
        <v>BXGY</v>
      </c>
    </row>
    <row r="79" spans="1:16" x14ac:dyDescent="0.25">
      <c r="A79" s="35" t="str">
        <f t="shared" ref="A79" si="74">A78</f>
        <v>2025 AUG B1G1</v>
      </c>
      <c r="B79" s="23">
        <f t="shared" si="72"/>
        <v>46099</v>
      </c>
      <c r="C79" s="23">
        <f t="shared" si="72"/>
        <v>46113</v>
      </c>
      <c r="D79" s="35">
        <f t="shared" si="72"/>
        <v>3272</v>
      </c>
      <c r="E79" s="35">
        <f t="shared" si="72"/>
        <v>336</v>
      </c>
      <c r="F79" s="31">
        <v>4</v>
      </c>
      <c r="G79" s="28">
        <v>1</v>
      </c>
      <c r="H79" s="28">
        <v>81676</v>
      </c>
      <c r="I79" s="28" t="str">
        <f t="shared" si="18"/>
        <v>CHARACTER</v>
      </c>
      <c r="J79" s="28">
        <v>55385887</v>
      </c>
      <c r="K79" s="28" t="s">
        <v>3367</v>
      </c>
      <c r="L79" s="28" t="s">
        <v>4017</v>
      </c>
      <c r="M79" s="35">
        <v>99900</v>
      </c>
      <c r="N79" s="35" t="str">
        <f t="shared" ref="N79:P79" si="75">N78</f>
        <v>BXGY</v>
      </c>
      <c r="O79" s="36" t="str">
        <f t="shared" si="50"/>
        <v>B1G1</v>
      </c>
      <c r="P79" s="35" t="str">
        <f t="shared" si="75"/>
        <v>BXGY</v>
      </c>
    </row>
    <row r="80" spans="1:16" x14ac:dyDescent="0.25">
      <c r="A80" s="35" t="str">
        <f t="shared" ref="A80" si="76">A79</f>
        <v>2025 AUG B1G1</v>
      </c>
      <c r="B80" s="23">
        <f t="shared" si="72"/>
        <v>46099</v>
      </c>
      <c r="C80" s="23">
        <f t="shared" si="72"/>
        <v>46113</v>
      </c>
      <c r="D80" s="35">
        <f t="shared" si="72"/>
        <v>3272</v>
      </c>
      <c r="E80" s="35">
        <f t="shared" si="72"/>
        <v>336</v>
      </c>
      <c r="F80" s="31">
        <v>4</v>
      </c>
      <c r="G80" s="28">
        <v>1</v>
      </c>
      <c r="H80" s="28">
        <v>81676</v>
      </c>
      <c r="I80" s="28" t="str">
        <f t="shared" si="18"/>
        <v>CHARACTER</v>
      </c>
      <c r="J80" s="28">
        <v>55385896</v>
      </c>
      <c r="K80" s="28" t="s">
        <v>3367</v>
      </c>
      <c r="L80" s="28" t="s">
        <v>4018</v>
      </c>
      <c r="M80" s="35">
        <v>99900</v>
      </c>
      <c r="N80" s="35" t="str">
        <f t="shared" ref="N80:P80" si="77">N79</f>
        <v>BXGY</v>
      </c>
      <c r="O80" s="36" t="str">
        <f t="shared" si="50"/>
        <v>B1G1</v>
      </c>
      <c r="P80" s="35" t="str">
        <f t="shared" si="77"/>
        <v>BXGY</v>
      </c>
    </row>
    <row r="81" spans="1:16" x14ac:dyDescent="0.25">
      <c r="A81" s="35" t="str">
        <f t="shared" ref="A81" si="78">A80</f>
        <v>2025 AUG B1G1</v>
      </c>
      <c r="B81" s="23">
        <f t="shared" si="72"/>
        <v>46099</v>
      </c>
      <c r="C81" s="23">
        <f t="shared" si="72"/>
        <v>46113</v>
      </c>
      <c r="D81" s="35">
        <f t="shared" si="72"/>
        <v>3272</v>
      </c>
      <c r="E81" s="35">
        <f t="shared" si="72"/>
        <v>336</v>
      </c>
      <c r="F81" s="31">
        <v>4</v>
      </c>
      <c r="G81" s="28">
        <v>1</v>
      </c>
      <c r="H81" s="28">
        <v>81676</v>
      </c>
      <c r="I81" s="28" t="str">
        <f t="shared" si="18"/>
        <v>CHARACTER</v>
      </c>
      <c r="J81" s="28">
        <v>55385903</v>
      </c>
      <c r="K81" s="28" t="s">
        <v>3367</v>
      </c>
      <c r="L81" s="28" t="s">
        <v>4019</v>
      </c>
      <c r="M81" s="35">
        <v>99900</v>
      </c>
      <c r="N81" s="35" t="str">
        <f t="shared" ref="N81:P81" si="79">N80</f>
        <v>BXGY</v>
      </c>
      <c r="O81" s="36" t="str">
        <f t="shared" si="50"/>
        <v>B1G1</v>
      </c>
      <c r="P81" s="35" t="str">
        <f t="shared" si="79"/>
        <v>BXGY</v>
      </c>
    </row>
    <row r="82" spans="1:16" x14ac:dyDescent="0.25">
      <c r="A82" s="35" t="str">
        <f t="shared" ref="A82" si="80">A81</f>
        <v>2025 AUG B1G1</v>
      </c>
      <c r="B82" s="23">
        <f t="shared" si="72"/>
        <v>46099</v>
      </c>
      <c r="C82" s="23">
        <f t="shared" si="72"/>
        <v>46113</v>
      </c>
      <c r="D82" s="35">
        <f t="shared" si="72"/>
        <v>3272</v>
      </c>
      <c r="E82" s="35">
        <f t="shared" si="72"/>
        <v>336</v>
      </c>
      <c r="F82" s="31">
        <v>4</v>
      </c>
      <c r="G82" s="28">
        <v>1</v>
      </c>
      <c r="H82" s="28">
        <v>81676</v>
      </c>
      <c r="I82" s="28" t="str">
        <f t="shared" si="18"/>
        <v>CHARACTER</v>
      </c>
      <c r="J82" s="28">
        <v>55385912</v>
      </c>
      <c r="K82" s="28" t="s">
        <v>3367</v>
      </c>
      <c r="L82" s="28" t="s">
        <v>4020</v>
      </c>
      <c r="M82" s="35">
        <v>99900</v>
      </c>
      <c r="N82" s="35" t="str">
        <f t="shared" ref="N82:P82" si="81">N81</f>
        <v>BXGY</v>
      </c>
      <c r="O82" s="36" t="str">
        <f t="shared" si="50"/>
        <v>B1G1</v>
      </c>
      <c r="P82" s="35" t="str">
        <f t="shared" si="81"/>
        <v>BXGY</v>
      </c>
    </row>
    <row r="83" spans="1:16" x14ac:dyDescent="0.25">
      <c r="A83" s="35" t="str">
        <f t="shared" ref="A83" si="82">A82</f>
        <v>2025 AUG B1G1</v>
      </c>
      <c r="B83" s="23">
        <f t="shared" si="72"/>
        <v>46099</v>
      </c>
      <c r="C83" s="23">
        <f t="shared" si="72"/>
        <v>46113</v>
      </c>
      <c r="D83" s="35">
        <f t="shared" si="72"/>
        <v>3272</v>
      </c>
      <c r="E83" s="35">
        <f t="shared" si="72"/>
        <v>336</v>
      </c>
      <c r="F83" s="31">
        <v>4</v>
      </c>
      <c r="G83" s="28">
        <v>1</v>
      </c>
      <c r="H83" s="28">
        <v>81676</v>
      </c>
      <c r="I83" s="28" t="str">
        <f t="shared" si="18"/>
        <v>CHARACTER</v>
      </c>
      <c r="J83" s="28">
        <v>55385921</v>
      </c>
      <c r="K83" s="28" t="s">
        <v>3367</v>
      </c>
      <c r="L83" s="28" t="s">
        <v>4021</v>
      </c>
      <c r="M83" s="35">
        <v>99900</v>
      </c>
      <c r="N83" s="35" t="str">
        <f t="shared" ref="N83:P98" si="83">N82</f>
        <v>BXGY</v>
      </c>
      <c r="O83" s="36" t="str">
        <f t="shared" si="83"/>
        <v>B1G1</v>
      </c>
      <c r="P83" s="35" t="str">
        <f t="shared" si="83"/>
        <v>BXGY</v>
      </c>
    </row>
    <row r="84" spans="1:16" x14ac:dyDescent="0.25">
      <c r="A84" s="35" t="str">
        <f t="shared" ref="A84" si="84">A83</f>
        <v>2025 AUG B1G1</v>
      </c>
      <c r="B84" s="23">
        <f t="shared" si="72"/>
        <v>46099</v>
      </c>
      <c r="C84" s="23">
        <f t="shared" si="72"/>
        <v>46113</v>
      </c>
      <c r="D84" s="35">
        <f t="shared" si="72"/>
        <v>3272</v>
      </c>
      <c r="E84" s="35">
        <f t="shared" si="72"/>
        <v>336</v>
      </c>
      <c r="F84" s="31">
        <v>4</v>
      </c>
      <c r="G84" s="28">
        <v>1</v>
      </c>
      <c r="H84" s="28">
        <v>81676</v>
      </c>
      <c r="I84" s="28" t="str">
        <f t="shared" ref="I84:I110" si="85">I83</f>
        <v>CHARACTER</v>
      </c>
      <c r="J84" s="28">
        <v>55385930</v>
      </c>
      <c r="K84" s="28" t="s">
        <v>3367</v>
      </c>
      <c r="L84" s="28" t="s">
        <v>4022</v>
      </c>
      <c r="M84" s="35">
        <v>99900</v>
      </c>
      <c r="N84" s="35" t="str">
        <f t="shared" ref="N84:P84" si="86">N83</f>
        <v>BXGY</v>
      </c>
      <c r="O84" s="36" t="str">
        <f t="shared" si="83"/>
        <v>B1G1</v>
      </c>
      <c r="P84" s="35" t="str">
        <f t="shared" si="86"/>
        <v>BXGY</v>
      </c>
    </row>
    <row r="85" spans="1:16" x14ac:dyDescent="0.25">
      <c r="A85" s="35" t="str">
        <f t="shared" ref="A85" si="87">A84</f>
        <v>2025 AUG B1G1</v>
      </c>
      <c r="B85" s="23">
        <f t="shared" si="72"/>
        <v>46099</v>
      </c>
      <c r="C85" s="23">
        <f t="shared" si="72"/>
        <v>46113</v>
      </c>
      <c r="D85" s="35">
        <f t="shared" si="72"/>
        <v>3272</v>
      </c>
      <c r="E85" s="35">
        <f t="shared" si="72"/>
        <v>336</v>
      </c>
      <c r="F85" s="31">
        <v>4</v>
      </c>
      <c r="G85" s="28">
        <v>1</v>
      </c>
      <c r="H85" s="28">
        <v>81676</v>
      </c>
      <c r="I85" s="28" t="str">
        <f t="shared" si="85"/>
        <v>CHARACTER</v>
      </c>
      <c r="J85" s="28">
        <v>55385949</v>
      </c>
      <c r="K85" s="28" t="s">
        <v>3367</v>
      </c>
      <c r="L85" s="28" t="s">
        <v>4023</v>
      </c>
      <c r="M85" s="35">
        <v>99900</v>
      </c>
      <c r="N85" s="35" t="str">
        <f t="shared" ref="N85:P85" si="88">N84</f>
        <v>BXGY</v>
      </c>
      <c r="O85" s="36" t="str">
        <f t="shared" si="83"/>
        <v>B1G1</v>
      </c>
      <c r="P85" s="35" t="str">
        <f t="shared" si="88"/>
        <v>BXGY</v>
      </c>
    </row>
    <row r="86" spans="1:16" x14ac:dyDescent="0.25">
      <c r="A86" s="35" t="str">
        <f t="shared" ref="A86" si="89">A85</f>
        <v>2025 AUG B1G1</v>
      </c>
      <c r="B86" s="23">
        <f t="shared" si="72"/>
        <v>46099</v>
      </c>
      <c r="C86" s="23">
        <f t="shared" si="72"/>
        <v>46113</v>
      </c>
      <c r="D86" s="35">
        <f t="shared" si="72"/>
        <v>3272</v>
      </c>
      <c r="E86" s="35">
        <f t="shared" si="72"/>
        <v>336</v>
      </c>
      <c r="F86" s="31">
        <v>4</v>
      </c>
      <c r="G86" s="28">
        <v>4</v>
      </c>
      <c r="H86" s="28">
        <v>81676</v>
      </c>
      <c r="I86" s="28" t="str">
        <f t="shared" si="85"/>
        <v>CHARACTER</v>
      </c>
      <c r="J86" s="28">
        <v>54556284</v>
      </c>
      <c r="K86" s="27" t="s">
        <v>3369</v>
      </c>
      <c r="L86" s="27" t="s">
        <v>3427</v>
      </c>
      <c r="M86" s="35">
        <v>99900</v>
      </c>
      <c r="N86" s="35" t="str">
        <f t="shared" ref="N86:P86" si="90">N85</f>
        <v>BXGY</v>
      </c>
      <c r="O86" s="36" t="str">
        <f t="shared" si="83"/>
        <v>B1G1</v>
      </c>
      <c r="P86" s="35" t="str">
        <f t="shared" si="90"/>
        <v>BXGY</v>
      </c>
    </row>
    <row r="87" spans="1:16" x14ac:dyDescent="0.25">
      <c r="A87" s="35" t="str">
        <f t="shared" ref="A87" si="91">A86</f>
        <v>2025 AUG B1G1</v>
      </c>
      <c r="B87" s="23">
        <f t="shared" si="72"/>
        <v>46099</v>
      </c>
      <c r="C87" s="23">
        <f t="shared" si="72"/>
        <v>46113</v>
      </c>
      <c r="D87" s="35">
        <f t="shared" si="72"/>
        <v>3272</v>
      </c>
      <c r="E87" s="35">
        <f t="shared" si="72"/>
        <v>336</v>
      </c>
      <c r="F87" s="31">
        <v>4</v>
      </c>
      <c r="G87" s="28">
        <f t="shared" ref="G87:G113" si="92">G86</f>
        <v>4</v>
      </c>
      <c r="H87" s="28">
        <v>81676</v>
      </c>
      <c r="I87" s="28" t="str">
        <f t="shared" si="85"/>
        <v>CHARACTER</v>
      </c>
      <c r="J87" s="28">
        <v>54556293</v>
      </c>
      <c r="K87" s="27" t="s">
        <v>3369</v>
      </c>
      <c r="L87" s="27" t="s">
        <v>3428</v>
      </c>
      <c r="M87" s="35">
        <v>99900</v>
      </c>
      <c r="N87" s="35" t="str">
        <f t="shared" ref="N87:P87" si="93">N86</f>
        <v>BXGY</v>
      </c>
      <c r="O87" s="36" t="str">
        <f t="shared" si="83"/>
        <v>B1G1</v>
      </c>
      <c r="P87" s="35" t="str">
        <f t="shared" si="93"/>
        <v>BXGY</v>
      </c>
    </row>
    <row r="88" spans="1:16" x14ac:dyDescent="0.25">
      <c r="A88" s="35" t="str">
        <f t="shared" ref="A88" si="94">A87</f>
        <v>2025 AUG B1G1</v>
      </c>
      <c r="B88" s="23">
        <f t="shared" si="72"/>
        <v>46099</v>
      </c>
      <c r="C88" s="23">
        <f t="shared" si="72"/>
        <v>46113</v>
      </c>
      <c r="D88" s="35">
        <f t="shared" si="72"/>
        <v>3272</v>
      </c>
      <c r="E88" s="35">
        <f t="shared" si="72"/>
        <v>336</v>
      </c>
      <c r="F88" s="31">
        <v>4</v>
      </c>
      <c r="G88" s="28">
        <f t="shared" si="92"/>
        <v>4</v>
      </c>
      <c r="H88" s="28">
        <v>81676</v>
      </c>
      <c r="I88" s="28" t="str">
        <f t="shared" si="85"/>
        <v>CHARACTER</v>
      </c>
      <c r="J88" s="28">
        <v>54556300</v>
      </c>
      <c r="K88" s="27" t="s">
        <v>3369</v>
      </c>
      <c r="L88" s="27" t="s">
        <v>3429</v>
      </c>
      <c r="M88" s="35">
        <v>99900</v>
      </c>
      <c r="N88" s="35" t="str">
        <f t="shared" ref="N88:P88" si="95">N87</f>
        <v>BXGY</v>
      </c>
      <c r="O88" s="36" t="str">
        <f t="shared" si="83"/>
        <v>B1G1</v>
      </c>
      <c r="P88" s="35" t="str">
        <f t="shared" si="95"/>
        <v>BXGY</v>
      </c>
    </row>
    <row r="89" spans="1:16" x14ac:dyDescent="0.25">
      <c r="A89" s="35" t="str">
        <f t="shared" ref="A89" si="96">A88</f>
        <v>2025 AUG B1G1</v>
      </c>
      <c r="B89" s="23">
        <f t="shared" si="72"/>
        <v>46099</v>
      </c>
      <c r="C89" s="23">
        <f t="shared" si="72"/>
        <v>46113</v>
      </c>
      <c r="D89" s="35">
        <f t="shared" si="72"/>
        <v>3272</v>
      </c>
      <c r="E89" s="35">
        <f t="shared" si="72"/>
        <v>336</v>
      </c>
      <c r="F89" s="31">
        <v>4</v>
      </c>
      <c r="G89" s="28">
        <f t="shared" si="92"/>
        <v>4</v>
      </c>
      <c r="H89" s="28">
        <v>81676</v>
      </c>
      <c r="I89" s="28" t="str">
        <f t="shared" si="85"/>
        <v>CHARACTER</v>
      </c>
      <c r="J89" s="28">
        <v>54556319</v>
      </c>
      <c r="K89" s="27" t="s">
        <v>3369</v>
      </c>
      <c r="L89" s="27" t="s">
        <v>3430</v>
      </c>
      <c r="M89" s="35">
        <v>99900</v>
      </c>
      <c r="N89" s="35" t="str">
        <f t="shared" ref="N89:P89" si="97">N88</f>
        <v>BXGY</v>
      </c>
      <c r="O89" s="36" t="str">
        <f t="shared" si="83"/>
        <v>B1G1</v>
      </c>
      <c r="P89" s="35" t="str">
        <f t="shared" si="97"/>
        <v>BXGY</v>
      </c>
    </row>
    <row r="90" spans="1:16" x14ac:dyDescent="0.25">
      <c r="A90" s="35" t="str">
        <f t="shared" ref="A90" si="98">A89</f>
        <v>2025 AUG B1G1</v>
      </c>
      <c r="B90" s="23">
        <f t="shared" si="72"/>
        <v>46099</v>
      </c>
      <c r="C90" s="23">
        <f t="shared" si="72"/>
        <v>46113</v>
      </c>
      <c r="D90" s="35">
        <f t="shared" si="72"/>
        <v>3272</v>
      </c>
      <c r="E90" s="35">
        <f t="shared" si="72"/>
        <v>336</v>
      </c>
      <c r="F90" s="31">
        <v>4</v>
      </c>
      <c r="G90" s="28">
        <f t="shared" si="92"/>
        <v>4</v>
      </c>
      <c r="H90" s="28">
        <v>81676</v>
      </c>
      <c r="I90" s="28" t="str">
        <f t="shared" si="85"/>
        <v>CHARACTER</v>
      </c>
      <c r="J90" s="28">
        <v>54556328</v>
      </c>
      <c r="K90" s="27" t="s">
        <v>3369</v>
      </c>
      <c r="L90" s="27" t="s">
        <v>3431</v>
      </c>
      <c r="M90" s="35">
        <v>99900</v>
      </c>
      <c r="N90" s="35" t="str">
        <f t="shared" ref="N90:P90" si="99">N89</f>
        <v>BXGY</v>
      </c>
      <c r="O90" s="36" t="str">
        <f t="shared" si="83"/>
        <v>B1G1</v>
      </c>
      <c r="P90" s="35" t="str">
        <f t="shared" si="99"/>
        <v>BXGY</v>
      </c>
    </row>
    <row r="91" spans="1:16" x14ac:dyDescent="0.25">
      <c r="A91" s="35" t="str">
        <f t="shared" ref="A91" si="100">A90</f>
        <v>2025 AUG B1G1</v>
      </c>
      <c r="B91" s="23">
        <f t="shared" si="72"/>
        <v>46099</v>
      </c>
      <c r="C91" s="23">
        <f t="shared" si="72"/>
        <v>46113</v>
      </c>
      <c r="D91" s="35">
        <f t="shared" si="72"/>
        <v>3272</v>
      </c>
      <c r="E91" s="35">
        <f t="shared" si="72"/>
        <v>336</v>
      </c>
      <c r="F91" s="31">
        <v>4</v>
      </c>
      <c r="G91" s="28">
        <f t="shared" si="92"/>
        <v>4</v>
      </c>
      <c r="H91" s="28">
        <v>81676</v>
      </c>
      <c r="I91" s="28" t="str">
        <f t="shared" si="85"/>
        <v>CHARACTER</v>
      </c>
      <c r="J91" s="28">
        <v>54556337</v>
      </c>
      <c r="K91" s="27" t="s">
        <v>3369</v>
      </c>
      <c r="L91" s="27" t="s">
        <v>3432</v>
      </c>
      <c r="M91" s="35">
        <v>99900</v>
      </c>
      <c r="N91" s="35" t="str">
        <f t="shared" ref="N91:P91" si="101">N90</f>
        <v>BXGY</v>
      </c>
      <c r="O91" s="36" t="str">
        <f t="shared" si="83"/>
        <v>B1G1</v>
      </c>
      <c r="P91" s="35" t="str">
        <f t="shared" si="101"/>
        <v>BXGY</v>
      </c>
    </row>
    <row r="92" spans="1:16" x14ac:dyDescent="0.25">
      <c r="A92" s="35" t="str">
        <f t="shared" ref="A92" si="102">A91</f>
        <v>2025 AUG B1G1</v>
      </c>
      <c r="B92" s="23">
        <f t="shared" si="72"/>
        <v>46099</v>
      </c>
      <c r="C92" s="23">
        <f t="shared" si="72"/>
        <v>46113</v>
      </c>
      <c r="D92" s="35">
        <f t="shared" si="72"/>
        <v>3272</v>
      </c>
      <c r="E92" s="35">
        <f t="shared" si="72"/>
        <v>336</v>
      </c>
      <c r="F92" s="31">
        <v>4</v>
      </c>
      <c r="G92" s="28">
        <f t="shared" si="92"/>
        <v>4</v>
      </c>
      <c r="H92" s="28">
        <v>81676</v>
      </c>
      <c r="I92" s="28" t="str">
        <f t="shared" si="85"/>
        <v>CHARACTER</v>
      </c>
      <c r="J92" s="28">
        <v>54556346</v>
      </c>
      <c r="K92" s="27" t="s">
        <v>3369</v>
      </c>
      <c r="L92" s="27" t="s">
        <v>3433</v>
      </c>
      <c r="M92" s="35">
        <v>99900</v>
      </c>
      <c r="N92" s="35" t="str">
        <f t="shared" ref="N92:P92" si="103">N91</f>
        <v>BXGY</v>
      </c>
      <c r="O92" s="36" t="str">
        <f t="shared" si="83"/>
        <v>B1G1</v>
      </c>
      <c r="P92" s="35" t="str">
        <f t="shared" si="103"/>
        <v>BXGY</v>
      </c>
    </row>
    <row r="93" spans="1:16" x14ac:dyDescent="0.25">
      <c r="A93" s="35" t="str">
        <f t="shared" ref="A93" si="104">A92</f>
        <v>2025 AUG B1G1</v>
      </c>
      <c r="B93" s="23">
        <f t="shared" si="72"/>
        <v>46099</v>
      </c>
      <c r="C93" s="23">
        <f t="shared" si="72"/>
        <v>46113</v>
      </c>
      <c r="D93" s="35">
        <f t="shared" si="72"/>
        <v>3272</v>
      </c>
      <c r="E93" s="35">
        <f t="shared" si="72"/>
        <v>336</v>
      </c>
      <c r="F93" s="31">
        <v>4</v>
      </c>
      <c r="G93" s="28">
        <f t="shared" si="92"/>
        <v>4</v>
      </c>
      <c r="H93" s="28">
        <v>81676</v>
      </c>
      <c r="I93" s="28" t="str">
        <f t="shared" si="85"/>
        <v>CHARACTER</v>
      </c>
      <c r="J93" s="28">
        <v>59077757</v>
      </c>
      <c r="K93" s="27" t="s">
        <v>3917</v>
      </c>
      <c r="L93" s="27" t="s">
        <v>3918</v>
      </c>
      <c r="M93" s="35">
        <v>99900</v>
      </c>
      <c r="N93" s="35" t="str">
        <f t="shared" ref="N93:P93" si="105">N92</f>
        <v>BXGY</v>
      </c>
      <c r="O93" s="36" t="str">
        <f t="shared" si="83"/>
        <v>B1G1</v>
      </c>
      <c r="P93" s="35" t="str">
        <f t="shared" si="105"/>
        <v>BXGY</v>
      </c>
    </row>
    <row r="94" spans="1:16" x14ac:dyDescent="0.25">
      <c r="A94" s="35" t="str">
        <f t="shared" ref="A94" si="106">A93</f>
        <v>2025 AUG B1G1</v>
      </c>
      <c r="B94" s="23">
        <f t="shared" ref="B94:E109" si="107">B93</f>
        <v>46099</v>
      </c>
      <c r="C94" s="23">
        <f t="shared" si="107"/>
        <v>46113</v>
      </c>
      <c r="D94" s="35">
        <f t="shared" si="107"/>
        <v>3272</v>
      </c>
      <c r="E94" s="35">
        <f t="shared" si="107"/>
        <v>336</v>
      </c>
      <c r="F94" s="31">
        <v>4</v>
      </c>
      <c r="G94" s="28">
        <f t="shared" si="92"/>
        <v>4</v>
      </c>
      <c r="H94" s="28">
        <v>81676</v>
      </c>
      <c r="I94" s="28" t="str">
        <f t="shared" si="85"/>
        <v>CHARACTER</v>
      </c>
      <c r="J94" s="28">
        <v>59077766</v>
      </c>
      <c r="K94" s="27" t="s">
        <v>3917</v>
      </c>
      <c r="L94" s="27" t="s">
        <v>3919</v>
      </c>
      <c r="M94" s="35">
        <v>99900</v>
      </c>
      <c r="N94" s="35" t="str">
        <f t="shared" ref="N94:P94" si="108">N93</f>
        <v>BXGY</v>
      </c>
      <c r="O94" s="36" t="str">
        <f t="shared" si="83"/>
        <v>B1G1</v>
      </c>
      <c r="P94" s="35" t="str">
        <f t="shared" si="108"/>
        <v>BXGY</v>
      </c>
    </row>
    <row r="95" spans="1:16" x14ac:dyDescent="0.25">
      <c r="A95" s="35" t="str">
        <f t="shared" ref="A95" si="109">A94</f>
        <v>2025 AUG B1G1</v>
      </c>
      <c r="B95" s="23">
        <f t="shared" si="107"/>
        <v>46099</v>
      </c>
      <c r="C95" s="23">
        <f t="shared" si="107"/>
        <v>46113</v>
      </c>
      <c r="D95" s="35">
        <f t="shared" si="107"/>
        <v>3272</v>
      </c>
      <c r="E95" s="35">
        <f t="shared" si="107"/>
        <v>336</v>
      </c>
      <c r="F95" s="31">
        <v>4</v>
      </c>
      <c r="G95" s="28">
        <f t="shared" si="92"/>
        <v>4</v>
      </c>
      <c r="H95" s="28">
        <v>81676</v>
      </c>
      <c r="I95" s="28" t="str">
        <f t="shared" si="85"/>
        <v>CHARACTER</v>
      </c>
      <c r="J95" s="28">
        <v>59077775</v>
      </c>
      <c r="K95" s="27" t="s">
        <v>3917</v>
      </c>
      <c r="L95" s="27" t="s">
        <v>3920</v>
      </c>
      <c r="M95" s="35">
        <v>99900</v>
      </c>
      <c r="N95" s="35" t="str">
        <f t="shared" ref="N95:P95" si="110">N94</f>
        <v>BXGY</v>
      </c>
      <c r="O95" s="36" t="str">
        <f t="shared" si="83"/>
        <v>B1G1</v>
      </c>
      <c r="P95" s="35" t="str">
        <f t="shared" si="110"/>
        <v>BXGY</v>
      </c>
    </row>
    <row r="96" spans="1:16" x14ac:dyDescent="0.25">
      <c r="A96" s="35" t="str">
        <f t="shared" ref="A96" si="111">A95</f>
        <v>2025 AUG B1G1</v>
      </c>
      <c r="B96" s="23">
        <f t="shared" si="107"/>
        <v>46099</v>
      </c>
      <c r="C96" s="23">
        <f t="shared" si="107"/>
        <v>46113</v>
      </c>
      <c r="D96" s="35">
        <f t="shared" si="107"/>
        <v>3272</v>
      </c>
      <c r="E96" s="35">
        <f t="shared" si="107"/>
        <v>336</v>
      </c>
      <c r="F96" s="31">
        <v>4</v>
      </c>
      <c r="G96" s="28">
        <f t="shared" si="92"/>
        <v>4</v>
      </c>
      <c r="H96" s="28">
        <v>81676</v>
      </c>
      <c r="I96" s="28" t="str">
        <f t="shared" si="85"/>
        <v>CHARACTER</v>
      </c>
      <c r="J96" s="28">
        <v>59077784</v>
      </c>
      <c r="K96" s="27" t="s">
        <v>3917</v>
      </c>
      <c r="L96" s="27" t="s">
        <v>3921</v>
      </c>
      <c r="M96" s="35">
        <v>99900</v>
      </c>
      <c r="N96" s="35" t="str">
        <f t="shared" ref="N96:P96" si="112">N95</f>
        <v>BXGY</v>
      </c>
      <c r="O96" s="36" t="str">
        <f t="shared" si="83"/>
        <v>B1G1</v>
      </c>
      <c r="P96" s="35" t="str">
        <f t="shared" si="112"/>
        <v>BXGY</v>
      </c>
    </row>
    <row r="97" spans="1:16" x14ac:dyDescent="0.25">
      <c r="A97" s="35" t="str">
        <f t="shared" ref="A97" si="113">A96</f>
        <v>2025 AUG B1G1</v>
      </c>
      <c r="B97" s="23">
        <f t="shared" si="107"/>
        <v>46099</v>
      </c>
      <c r="C97" s="23">
        <f t="shared" si="107"/>
        <v>46113</v>
      </c>
      <c r="D97" s="35">
        <f t="shared" si="107"/>
        <v>3272</v>
      </c>
      <c r="E97" s="35">
        <f t="shared" si="107"/>
        <v>336</v>
      </c>
      <c r="F97" s="31">
        <v>4</v>
      </c>
      <c r="G97" s="28">
        <f t="shared" si="92"/>
        <v>4</v>
      </c>
      <c r="H97" s="28">
        <v>81676</v>
      </c>
      <c r="I97" s="28" t="str">
        <f t="shared" si="85"/>
        <v>CHARACTER</v>
      </c>
      <c r="J97" s="28">
        <v>59077793</v>
      </c>
      <c r="K97" s="27" t="s">
        <v>3917</v>
      </c>
      <c r="L97" s="27" t="s">
        <v>3922</v>
      </c>
      <c r="M97" s="35">
        <v>99900</v>
      </c>
      <c r="N97" s="35" t="str">
        <f t="shared" ref="N97:P97" si="114">N96</f>
        <v>BXGY</v>
      </c>
      <c r="O97" s="36" t="str">
        <f t="shared" si="83"/>
        <v>B1G1</v>
      </c>
      <c r="P97" s="35" t="str">
        <f t="shared" si="114"/>
        <v>BXGY</v>
      </c>
    </row>
    <row r="98" spans="1:16" x14ac:dyDescent="0.25">
      <c r="A98" s="35" t="str">
        <f t="shared" ref="A98" si="115">A97</f>
        <v>2025 AUG B1G1</v>
      </c>
      <c r="B98" s="23">
        <f t="shared" si="107"/>
        <v>46099</v>
      </c>
      <c r="C98" s="23">
        <f t="shared" si="107"/>
        <v>46113</v>
      </c>
      <c r="D98" s="35">
        <f t="shared" si="107"/>
        <v>3272</v>
      </c>
      <c r="E98" s="35">
        <f t="shared" si="107"/>
        <v>336</v>
      </c>
      <c r="F98" s="31">
        <v>4</v>
      </c>
      <c r="G98" s="28">
        <f t="shared" si="92"/>
        <v>4</v>
      </c>
      <c r="H98" s="28">
        <v>81676</v>
      </c>
      <c r="I98" s="28" t="str">
        <f t="shared" si="85"/>
        <v>CHARACTER</v>
      </c>
      <c r="J98" s="28">
        <v>59077800</v>
      </c>
      <c r="K98" s="27" t="s">
        <v>3917</v>
      </c>
      <c r="L98" s="27" t="s">
        <v>3923</v>
      </c>
      <c r="M98" s="35">
        <v>99900</v>
      </c>
      <c r="N98" s="35" t="str">
        <f t="shared" ref="N98:P98" si="116">N97</f>
        <v>BXGY</v>
      </c>
      <c r="O98" s="36" t="str">
        <f t="shared" si="83"/>
        <v>B1G1</v>
      </c>
      <c r="P98" s="35" t="str">
        <f t="shared" si="116"/>
        <v>BXGY</v>
      </c>
    </row>
    <row r="99" spans="1:16" x14ac:dyDescent="0.25">
      <c r="A99" s="35" t="str">
        <f t="shared" ref="A99" si="117">A98</f>
        <v>2025 AUG B1G1</v>
      </c>
      <c r="B99" s="23">
        <f t="shared" si="107"/>
        <v>46099</v>
      </c>
      <c r="C99" s="23">
        <f t="shared" si="107"/>
        <v>46113</v>
      </c>
      <c r="D99" s="35">
        <f t="shared" si="107"/>
        <v>3272</v>
      </c>
      <c r="E99" s="35">
        <f t="shared" si="107"/>
        <v>336</v>
      </c>
      <c r="F99" s="31">
        <v>4</v>
      </c>
      <c r="G99" s="28">
        <f t="shared" si="92"/>
        <v>4</v>
      </c>
      <c r="H99" s="28">
        <v>81676</v>
      </c>
      <c r="I99" s="28" t="str">
        <f t="shared" si="85"/>
        <v>CHARACTER</v>
      </c>
      <c r="J99" s="28">
        <v>59077819</v>
      </c>
      <c r="K99" s="27" t="s">
        <v>3917</v>
      </c>
      <c r="L99" s="27" t="s">
        <v>3924</v>
      </c>
      <c r="M99" s="35">
        <v>99900</v>
      </c>
      <c r="N99" s="35" t="str">
        <f t="shared" ref="N99:P114" si="118">N98</f>
        <v>BXGY</v>
      </c>
      <c r="O99" s="36" t="str">
        <f t="shared" si="118"/>
        <v>B1G1</v>
      </c>
      <c r="P99" s="35" t="str">
        <f t="shared" si="118"/>
        <v>BXGY</v>
      </c>
    </row>
    <row r="100" spans="1:16" x14ac:dyDescent="0.25">
      <c r="A100" s="35" t="str">
        <f t="shared" ref="A100" si="119">A99</f>
        <v>2025 AUG B1G1</v>
      </c>
      <c r="B100" s="23">
        <f t="shared" si="107"/>
        <v>46099</v>
      </c>
      <c r="C100" s="23">
        <f t="shared" si="107"/>
        <v>46113</v>
      </c>
      <c r="D100" s="35">
        <f t="shared" si="107"/>
        <v>3272</v>
      </c>
      <c r="E100" s="35">
        <f t="shared" si="107"/>
        <v>336</v>
      </c>
      <c r="F100" s="31">
        <v>4</v>
      </c>
      <c r="G100" s="28">
        <v>5</v>
      </c>
      <c r="H100" s="28">
        <v>4953</v>
      </c>
      <c r="I100" s="28" t="str">
        <f t="shared" si="85"/>
        <v>CHARACTER</v>
      </c>
      <c r="J100" s="28">
        <v>54555721</v>
      </c>
      <c r="K100" s="27" t="s">
        <v>3925</v>
      </c>
      <c r="L100" s="27" t="s">
        <v>3926</v>
      </c>
      <c r="M100" s="35">
        <v>99900</v>
      </c>
      <c r="N100" s="35" t="str">
        <f t="shared" ref="N100:P100" si="120">N99</f>
        <v>BXGY</v>
      </c>
      <c r="O100" s="36" t="str">
        <f t="shared" si="118"/>
        <v>B1G1</v>
      </c>
      <c r="P100" s="35" t="str">
        <f t="shared" si="120"/>
        <v>BXGY</v>
      </c>
    </row>
    <row r="101" spans="1:16" x14ac:dyDescent="0.25">
      <c r="A101" s="35" t="str">
        <f t="shared" ref="A101" si="121">A100</f>
        <v>2025 AUG B1G1</v>
      </c>
      <c r="B101" s="23">
        <f t="shared" si="107"/>
        <v>46099</v>
      </c>
      <c r="C101" s="23">
        <f t="shared" si="107"/>
        <v>46113</v>
      </c>
      <c r="D101" s="35">
        <f t="shared" si="107"/>
        <v>3272</v>
      </c>
      <c r="E101" s="35">
        <f t="shared" si="107"/>
        <v>336</v>
      </c>
      <c r="F101" s="31">
        <v>4</v>
      </c>
      <c r="G101" s="28">
        <f t="shared" si="92"/>
        <v>5</v>
      </c>
      <c r="H101" s="28">
        <v>4953</v>
      </c>
      <c r="I101" s="28" t="str">
        <f t="shared" si="85"/>
        <v>CHARACTER</v>
      </c>
      <c r="J101" s="28">
        <v>54555730</v>
      </c>
      <c r="K101" s="27" t="s">
        <v>3925</v>
      </c>
      <c r="L101" s="27" t="s">
        <v>3927</v>
      </c>
      <c r="M101" s="35">
        <v>99900</v>
      </c>
      <c r="N101" s="35" t="str">
        <f t="shared" ref="N101:P101" si="122">N100</f>
        <v>BXGY</v>
      </c>
      <c r="O101" s="36" t="str">
        <f t="shared" si="118"/>
        <v>B1G1</v>
      </c>
      <c r="P101" s="35" t="str">
        <f t="shared" si="122"/>
        <v>BXGY</v>
      </c>
    </row>
    <row r="102" spans="1:16" x14ac:dyDescent="0.25">
      <c r="A102" s="35" t="str">
        <f t="shared" ref="A102" si="123">A101</f>
        <v>2025 AUG B1G1</v>
      </c>
      <c r="B102" s="23">
        <f t="shared" si="107"/>
        <v>46099</v>
      </c>
      <c r="C102" s="23">
        <f t="shared" si="107"/>
        <v>46113</v>
      </c>
      <c r="D102" s="35">
        <f t="shared" si="107"/>
        <v>3272</v>
      </c>
      <c r="E102" s="35">
        <f t="shared" si="107"/>
        <v>336</v>
      </c>
      <c r="F102" s="31">
        <v>4</v>
      </c>
      <c r="G102" s="28">
        <f t="shared" si="92"/>
        <v>5</v>
      </c>
      <c r="H102" s="28">
        <v>4953</v>
      </c>
      <c r="I102" s="28" t="str">
        <f t="shared" si="85"/>
        <v>CHARACTER</v>
      </c>
      <c r="J102" s="28">
        <v>54555749</v>
      </c>
      <c r="K102" s="27" t="s">
        <v>3925</v>
      </c>
      <c r="L102" s="27" t="s">
        <v>3928</v>
      </c>
      <c r="M102" s="35">
        <v>99900</v>
      </c>
      <c r="N102" s="35" t="str">
        <f t="shared" ref="N102:P102" si="124">N101</f>
        <v>BXGY</v>
      </c>
      <c r="O102" s="36" t="str">
        <f t="shared" si="118"/>
        <v>B1G1</v>
      </c>
      <c r="P102" s="35" t="str">
        <f t="shared" si="124"/>
        <v>BXGY</v>
      </c>
    </row>
    <row r="103" spans="1:16" x14ac:dyDescent="0.25">
      <c r="A103" s="35" t="str">
        <f t="shared" ref="A103" si="125">A102</f>
        <v>2025 AUG B1G1</v>
      </c>
      <c r="B103" s="23">
        <f t="shared" si="107"/>
        <v>46099</v>
      </c>
      <c r="C103" s="23">
        <f t="shared" si="107"/>
        <v>46113</v>
      </c>
      <c r="D103" s="35">
        <f t="shared" si="107"/>
        <v>3272</v>
      </c>
      <c r="E103" s="35">
        <f t="shared" si="107"/>
        <v>336</v>
      </c>
      <c r="F103" s="31">
        <v>4</v>
      </c>
      <c r="G103" s="28">
        <f t="shared" si="92"/>
        <v>5</v>
      </c>
      <c r="H103" s="28">
        <v>4953</v>
      </c>
      <c r="I103" s="28" t="str">
        <f t="shared" si="85"/>
        <v>CHARACTER</v>
      </c>
      <c r="J103" s="28">
        <v>54555758</v>
      </c>
      <c r="K103" s="27" t="s">
        <v>3925</v>
      </c>
      <c r="L103" s="27" t="s">
        <v>3929</v>
      </c>
      <c r="M103" s="35">
        <v>99900</v>
      </c>
      <c r="N103" s="35" t="str">
        <f t="shared" ref="N103:P103" si="126">N102</f>
        <v>BXGY</v>
      </c>
      <c r="O103" s="36" t="str">
        <f t="shared" si="118"/>
        <v>B1G1</v>
      </c>
      <c r="P103" s="35" t="str">
        <f t="shared" si="126"/>
        <v>BXGY</v>
      </c>
    </row>
    <row r="104" spans="1:16" x14ac:dyDescent="0.25">
      <c r="A104" s="35" t="str">
        <f t="shared" ref="A104" si="127">A103</f>
        <v>2025 AUG B1G1</v>
      </c>
      <c r="B104" s="23">
        <f t="shared" si="107"/>
        <v>46099</v>
      </c>
      <c r="C104" s="23">
        <f t="shared" si="107"/>
        <v>46113</v>
      </c>
      <c r="D104" s="35">
        <f t="shared" si="107"/>
        <v>3272</v>
      </c>
      <c r="E104" s="35">
        <f t="shared" si="107"/>
        <v>336</v>
      </c>
      <c r="F104" s="31">
        <v>4</v>
      </c>
      <c r="G104" s="28">
        <f t="shared" si="92"/>
        <v>5</v>
      </c>
      <c r="H104" s="28">
        <v>4953</v>
      </c>
      <c r="I104" s="28" t="str">
        <f t="shared" si="85"/>
        <v>CHARACTER</v>
      </c>
      <c r="J104" s="28">
        <v>54555767</v>
      </c>
      <c r="K104" s="27" t="s">
        <v>3925</v>
      </c>
      <c r="L104" s="27" t="s">
        <v>3930</v>
      </c>
      <c r="M104" s="35">
        <v>99900</v>
      </c>
      <c r="N104" s="35" t="str">
        <f t="shared" ref="N104:P104" si="128">N103</f>
        <v>BXGY</v>
      </c>
      <c r="O104" s="36" t="str">
        <f t="shared" si="118"/>
        <v>B1G1</v>
      </c>
      <c r="P104" s="35" t="str">
        <f t="shared" si="128"/>
        <v>BXGY</v>
      </c>
    </row>
    <row r="105" spans="1:16" x14ac:dyDescent="0.25">
      <c r="A105" s="35" t="str">
        <f t="shared" ref="A105" si="129">A104</f>
        <v>2025 AUG B1G1</v>
      </c>
      <c r="B105" s="23">
        <f t="shared" si="107"/>
        <v>46099</v>
      </c>
      <c r="C105" s="23">
        <f t="shared" si="107"/>
        <v>46113</v>
      </c>
      <c r="D105" s="35">
        <f t="shared" si="107"/>
        <v>3272</v>
      </c>
      <c r="E105" s="35">
        <f t="shared" si="107"/>
        <v>336</v>
      </c>
      <c r="F105" s="31">
        <v>4</v>
      </c>
      <c r="G105" s="28">
        <f t="shared" si="92"/>
        <v>5</v>
      </c>
      <c r="H105" s="28">
        <v>4953</v>
      </c>
      <c r="I105" s="28" t="str">
        <f t="shared" si="85"/>
        <v>CHARACTER</v>
      </c>
      <c r="J105" s="28">
        <v>54555776</v>
      </c>
      <c r="K105" s="27" t="s">
        <v>3925</v>
      </c>
      <c r="L105" s="27" t="s">
        <v>3931</v>
      </c>
      <c r="M105" s="35">
        <v>99900</v>
      </c>
      <c r="N105" s="35" t="str">
        <f t="shared" ref="N105:P105" si="130">N104</f>
        <v>BXGY</v>
      </c>
      <c r="O105" s="36" t="str">
        <f t="shared" si="118"/>
        <v>B1G1</v>
      </c>
      <c r="P105" s="35" t="str">
        <f t="shared" si="130"/>
        <v>BXGY</v>
      </c>
    </row>
    <row r="106" spans="1:16" x14ac:dyDescent="0.25">
      <c r="A106" s="35" t="str">
        <f t="shared" ref="A106" si="131">A105</f>
        <v>2025 AUG B1G1</v>
      </c>
      <c r="B106" s="23">
        <f t="shared" si="107"/>
        <v>46099</v>
      </c>
      <c r="C106" s="23">
        <f t="shared" si="107"/>
        <v>46113</v>
      </c>
      <c r="D106" s="35">
        <f t="shared" si="107"/>
        <v>3272</v>
      </c>
      <c r="E106" s="35">
        <f t="shared" si="107"/>
        <v>336</v>
      </c>
      <c r="F106" s="31">
        <v>4</v>
      </c>
      <c r="G106" s="28">
        <f t="shared" si="92"/>
        <v>5</v>
      </c>
      <c r="H106" s="28">
        <v>4953</v>
      </c>
      <c r="I106" s="28" t="str">
        <f t="shared" si="85"/>
        <v>CHARACTER</v>
      </c>
      <c r="J106" s="28">
        <v>54555785</v>
      </c>
      <c r="K106" s="27" t="s">
        <v>3925</v>
      </c>
      <c r="L106" s="27" t="s">
        <v>3932</v>
      </c>
      <c r="M106" s="35">
        <v>99900</v>
      </c>
      <c r="N106" s="35" t="str">
        <f t="shared" ref="N106:P106" si="132">N105</f>
        <v>BXGY</v>
      </c>
      <c r="O106" s="36" t="str">
        <f t="shared" si="118"/>
        <v>B1G1</v>
      </c>
      <c r="P106" s="35" t="str">
        <f t="shared" si="132"/>
        <v>BXGY</v>
      </c>
    </row>
    <row r="107" spans="1:16" x14ac:dyDescent="0.25">
      <c r="A107" s="35" t="str">
        <f t="shared" ref="A107" si="133">A106</f>
        <v>2025 AUG B1G1</v>
      </c>
      <c r="B107" s="23">
        <f t="shared" si="107"/>
        <v>46099</v>
      </c>
      <c r="C107" s="23">
        <f t="shared" si="107"/>
        <v>46113</v>
      </c>
      <c r="D107" s="35">
        <f t="shared" si="107"/>
        <v>3272</v>
      </c>
      <c r="E107" s="35">
        <f t="shared" si="107"/>
        <v>336</v>
      </c>
      <c r="F107" s="31">
        <v>4</v>
      </c>
      <c r="G107" s="28">
        <f t="shared" si="92"/>
        <v>5</v>
      </c>
      <c r="H107" s="28">
        <v>81676</v>
      </c>
      <c r="I107" s="28" t="str">
        <f t="shared" si="85"/>
        <v>CHARACTER</v>
      </c>
      <c r="J107" s="28">
        <v>55028898</v>
      </c>
      <c r="K107" s="27" t="s">
        <v>3370</v>
      </c>
      <c r="L107" s="27" t="s">
        <v>3434</v>
      </c>
      <c r="M107" s="35">
        <v>99900</v>
      </c>
      <c r="N107" s="35" t="str">
        <f t="shared" ref="N107:P107" si="134">N106</f>
        <v>BXGY</v>
      </c>
      <c r="O107" s="36" t="str">
        <f t="shared" si="118"/>
        <v>B1G1</v>
      </c>
      <c r="P107" s="35" t="str">
        <f t="shared" si="134"/>
        <v>BXGY</v>
      </c>
    </row>
    <row r="108" spans="1:16" x14ac:dyDescent="0.25">
      <c r="A108" s="35" t="str">
        <f t="shared" ref="A108" si="135">A107</f>
        <v>2025 AUG B1G1</v>
      </c>
      <c r="B108" s="23">
        <f t="shared" si="107"/>
        <v>46099</v>
      </c>
      <c r="C108" s="23">
        <f t="shared" si="107"/>
        <v>46113</v>
      </c>
      <c r="D108" s="35">
        <f t="shared" si="107"/>
        <v>3272</v>
      </c>
      <c r="E108" s="35">
        <f t="shared" si="107"/>
        <v>336</v>
      </c>
      <c r="F108" s="31">
        <v>4</v>
      </c>
      <c r="G108" s="28">
        <f t="shared" si="92"/>
        <v>5</v>
      </c>
      <c r="H108" s="28">
        <v>81676</v>
      </c>
      <c r="I108" s="28" t="str">
        <f t="shared" si="85"/>
        <v>CHARACTER</v>
      </c>
      <c r="J108" s="28">
        <v>55028905</v>
      </c>
      <c r="K108" s="27" t="s">
        <v>3370</v>
      </c>
      <c r="L108" s="27" t="s">
        <v>3435</v>
      </c>
      <c r="M108" s="35">
        <v>99900</v>
      </c>
      <c r="N108" s="35" t="str">
        <f t="shared" ref="N108:P108" si="136">N107</f>
        <v>BXGY</v>
      </c>
      <c r="O108" s="36" t="str">
        <f t="shared" si="118"/>
        <v>B1G1</v>
      </c>
      <c r="P108" s="35" t="str">
        <f t="shared" si="136"/>
        <v>BXGY</v>
      </c>
    </row>
    <row r="109" spans="1:16" x14ac:dyDescent="0.25">
      <c r="A109" s="35" t="str">
        <f t="shared" ref="A109" si="137">A108</f>
        <v>2025 AUG B1G1</v>
      </c>
      <c r="B109" s="23">
        <f t="shared" si="107"/>
        <v>46099</v>
      </c>
      <c r="C109" s="23">
        <f t="shared" si="107"/>
        <v>46113</v>
      </c>
      <c r="D109" s="35">
        <f t="shared" si="107"/>
        <v>3272</v>
      </c>
      <c r="E109" s="35">
        <f t="shared" si="107"/>
        <v>336</v>
      </c>
      <c r="F109" s="31">
        <v>4</v>
      </c>
      <c r="G109" s="28">
        <f t="shared" si="92"/>
        <v>5</v>
      </c>
      <c r="H109" s="28">
        <v>81676</v>
      </c>
      <c r="I109" s="28" t="str">
        <f t="shared" si="85"/>
        <v>CHARACTER</v>
      </c>
      <c r="J109" s="28">
        <v>55028914</v>
      </c>
      <c r="K109" s="27" t="s">
        <v>3370</v>
      </c>
      <c r="L109" s="27" t="s">
        <v>3436</v>
      </c>
      <c r="M109" s="35">
        <v>99900</v>
      </c>
      <c r="N109" s="35" t="str">
        <f t="shared" ref="N109:P109" si="138">N108</f>
        <v>BXGY</v>
      </c>
      <c r="O109" s="36" t="str">
        <f t="shared" si="118"/>
        <v>B1G1</v>
      </c>
      <c r="P109" s="35" t="str">
        <f t="shared" si="138"/>
        <v>BXGY</v>
      </c>
    </row>
    <row r="110" spans="1:16" x14ac:dyDescent="0.25">
      <c r="A110" s="35" t="str">
        <f t="shared" ref="A110" si="139">A109</f>
        <v>2025 AUG B1G1</v>
      </c>
      <c r="B110" s="23">
        <f t="shared" ref="B110:E125" si="140">B109</f>
        <v>46099</v>
      </c>
      <c r="C110" s="23">
        <f t="shared" si="140"/>
        <v>46113</v>
      </c>
      <c r="D110" s="35">
        <f t="shared" si="140"/>
        <v>3272</v>
      </c>
      <c r="E110" s="35">
        <f t="shared" si="140"/>
        <v>336</v>
      </c>
      <c r="F110" s="31">
        <v>4</v>
      </c>
      <c r="G110" s="28">
        <f t="shared" si="92"/>
        <v>5</v>
      </c>
      <c r="H110" s="28">
        <v>81676</v>
      </c>
      <c r="I110" s="28" t="str">
        <f t="shared" si="85"/>
        <v>CHARACTER</v>
      </c>
      <c r="J110" s="28">
        <v>55028923</v>
      </c>
      <c r="K110" s="27" t="s">
        <v>3370</v>
      </c>
      <c r="L110" s="27" t="s">
        <v>3437</v>
      </c>
      <c r="M110" s="35">
        <v>99900</v>
      </c>
      <c r="N110" s="35" t="str">
        <f t="shared" ref="N110:P110" si="141">N109</f>
        <v>BXGY</v>
      </c>
      <c r="O110" s="36" t="str">
        <f t="shared" si="118"/>
        <v>B1G1</v>
      </c>
      <c r="P110" s="35" t="str">
        <f t="shared" si="141"/>
        <v>BXGY</v>
      </c>
    </row>
    <row r="111" spans="1:16" x14ac:dyDescent="0.25">
      <c r="A111" s="35" t="str">
        <f t="shared" ref="A111" si="142">A110</f>
        <v>2025 AUG B1G1</v>
      </c>
      <c r="B111" s="23">
        <f t="shared" si="140"/>
        <v>46099</v>
      </c>
      <c r="C111" s="23">
        <f t="shared" si="140"/>
        <v>46113</v>
      </c>
      <c r="D111" s="35">
        <f t="shared" si="140"/>
        <v>3272</v>
      </c>
      <c r="E111" s="35">
        <f t="shared" si="140"/>
        <v>336</v>
      </c>
      <c r="F111" s="31">
        <v>4</v>
      </c>
      <c r="G111" s="28">
        <f t="shared" si="92"/>
        <v>5</v>
      </c>
      <c r="H111" s="28">
        <v>81676</v>
      </c>
      <c r="I111" s="28" t="str">
        <f t="shared" ref="I111:I134" si="143">I110</f>
        <v>CHARACTER</v>
      </c>
      <c r="J111" s="28">
        <v>55028932</v>
      </c>
      <c r="K111" s="27" t="s">
        <v>3370</v>
      </c>
      <c r="L111" s="27" t="s">
        <v>3438</v>
      </c>
      <c r="M111" s="35">
        <v>99900</v>
      </c>
      <c r="N111" s="35" t="str">
        <f t="shared" ref="N111:P111" si="144">N110</f>
        <v>BXGY</v>
      </c>
      <c r="O111" s="36" t="str">
        <f t="shared" si="118"/>
        <v>B1G1</v>
      </c>
      <c r="P111" s="35" t="str">
        <f t="shared" si="144"/>
        <v>BXGY</v>
      </c>
    </row>
    <row r="112" spans="1:16" x14ac:dyDescent="0.25">
      <c r="A112" s="35" t="str">
        <f t="shared" ref="A112" si="145">A111</f>
        <v>2025 AUG B1G1</v>
      </c>
      <c r="B112" s="23">
        <f t="shared" si="140"/>
        <v>46099</v>
      </c>
      <c r="C112" s="23">
        <f t="shared" si="140"/>
        <v>46113</v>
      </c>
      <c r="D112" s="35">
        <f t="shared" si="140"/>
        <v>3272</v>
      </c>
      <c r="E112" s="35">
        <f t="shared" si="140"/>
        <v>336</v>
      </c>
      <c r="F112" s="31">
        <v>4</v>
      </c>
      <c r="G112" s="28">
        <f t="shared" si="92"/>
        <v>5</v>
      </c>
      <c r="H112" s="28">
        <v>81676</v>
      </c>
      <c r="I112" s="28" t="str">
        <f t="shared" si="143"/>
        <v>CHARACTER</v>
      </c>
      <c r="J112" s="28">
        <v>55028941</v>
      </c>
      <c r="K112" s="27" t="s">
        <v>3370</v>
      </c>
      <c r="L112" s="27" t="s">
        <v>3439</v>
      </c>
      <c r="M112" s="35">
        <v>99900</v>
      </c>
      <c r="N112" s="35" t="str">
        <f t="shared" ref="N112:P112" si="146">N111</f>
        <v>BXGY</v>
      </c>
      <c r="O112" s="36" t="str">
        <f t="shared" si="118"/>
        <v>B1G1</v>
      </c>
      <c r="P112" s="35" t="str">
        <f t="shared" si="146"/>
        <v>BXGY</v>
      </c>
    </row>
    <row r="113" spans="1:16" x14ac:dyDescent="0.25">
      <c r="A113" s="35" t="str">
        <f t="shared" ref="A113" si="147">A112</f>
        <v>2025 AUG B1G1</v>
      </c>
      <c r="B113" s="23">
        <f t="shared" si="140"/>
        <v>46099</v>
      </c>
      <c r="C113" s="23">
        <f t="shared" si="140"/>
        <v>46113</v>
      </c>
      <c r="D113" s="35">
        <f t="shared" si="140"/>
        <v>3272</v>
      </c>
      <c r="E113" s="35">
        <f t="shared" si="140"/>
        <v>336</v>
      </c>
      <c r="F113" s="31">
        <v>4</v>
      </c>
      <c r="G113" s="28">
        <f t="shared" si="92"/>
        <v>5</v>
      </c>
      <c r="H113" s="28">
        <v>81676</v>
      </c>
      <c r="I113" s="28" t="str">
        <f t="shared" si="143"/>
        <v>CHARACTER</v>
      </c>
      <c r="J113" s="28">
        <v>55028950</v>
      </c>
      <c r="K113" s="27" t="s">
        <v>3370</v>
      </c>
      <c r="L113" s="27" t="s">
        <v>3440</v>
      </c>
      <c r="M113" s="35">
        <v>99900</v>
      </c>
      <c r="N113" s="35" t="str">
        <f t="shared" ref="N113:P113" si="148">N112</f>
        <v>BXGY</v>
      </c>
      <c r="O113" s="36" t="str">
        <f t="shared" si="118"/>
        <v>B1G1</v>
      </c>
      <c r="P113" s="35" t="str">
        <f t="shared" si="148"/>
        <v>BXGY</v>
      </c>
    </row>
    <row r="114" spans="1:16" s="6" customFormat="1" x14ac:dyDescent="0.25">
      <c r="A114" s="35" t="str">
        <f t="shared" ref="A114" si="149">A113</f>
        <v>2025 AUG B1G1</v>
      </c>
      <c r="B114" s="23">
        <f t="shared" si="140"/>
        <v>46099</v>
      </c>
      <c r="C114" s="23">
        <f t="shared" si="140"/>
        <v>46113</v>
      </c>
      <c r="D114" s="35">
        <f t="shared" si="140"/>
        <v>3272</v>
      </c>
      <c r="E114" s="35">
        <f t="shared" si="140"/>
        <v>336</v>
      </c>
      <c r="F114" s="31">
        <v>4</v>
      </c>
      <c r="G114" s="27">
        <v>3</v>
      </c>
      <c r="H114" s="27">
        <v>81379</v>
      </c>
      <c r="I114" s="28" t="str">
        <f t="shared" si="143"/>
        <v>CHARACTER</v>
      </c>
      <c r="J114" s="27">
        <v>54555374</v>
      </c>
      <c r="K114" s="27" t="s">
        <v>3449</v>
      </c>
      <c r="L114" s="27" t="s">
        <v>3450</v>
      </c>
      <c r="M114" s="35">
        <v>99900</v>
      </c>
      <c r="N114" s="35" t="str">
        <f t="shared" ref="N114:P114" si="150">N113</f>
        <v>BXGY</v>
      </c>
      <c r="O114" s="36" t="str">
        <f t="shared" si="118"/>
        <v>B1G1</v>
      </c>
      <c r="P114" s="35" t="str">
        <f t="shared" si="150"/>
        <v>BXGY</v>
      </c>
    </row>
    <row r="115" spans="1:16" x14ac:dyDescent="0.25">
      <c r="A115" s="35" t="str">
        <f t="shared" ref="A115" si="151">A114</f>
        <v>2025 AUG B1G1</v>
      </c>
      <c r="B115" s="23">
        <f t="shared" si="140"/>
        <v>46099</v>
      </c>
      <c r="C115" s="23">
        <f t="shared" si="140"/>
        <v>46113</v>
      </c>
      <c r="D115" s="35">
        <f t="shared" si="140"/>
        <v>3272</v>
      </c>
      <c r="E115" s="35">
        <f t="shared" si="140"/>
        <v>336</v>
      </c>
      <c r="F115" s="31">
        <v>4</v>
      </c>
      <c r="G115" s="28">
        <f t="shared" ref="G115:G127" si="152">G114</f>
        <v>3</v>
      </c>
      <c r="H115" s="28">
        <v>81379</v>
      </c>
      <c r="I115" s="28" t="str">
        <f t="shared" si="143"/>
        <v>CHARACTER</v>
      </c>
      <c r="J115" s="28">
        <v>54555383</v>
      </c>
      <c r="K115" s="27" t="s">
        <v>3449</v>
      </c>
      <c r="L115" s="27" t="s">
        <v>3451</v>
      </c>
      <c r="M115" s="35">
        <v>99900</v>
      </c>
      <c r="N115" s="35" t="str">
        <f t="shared" ref="N115:P130" si="153">N114</f>
        <v>BXGY</v>
      </c>
      <c r="O115" s="36" t="str">
        <f t="shared" si="153"/>
        <v>B1G1</v>
      </c>
      <c r="P115" s="35" t="str">
        <f t="shared" si="153"/>
        <v>BXGY</v>
      </c>
    </row>
    <row r="116" spans="1:16" x14ac:dyDescent="0.25">
      <c r="A116" s="35" t="str">
        <f t="shared" ref="A116" si="154">A115</f>
        <v>2025 AUG B1G1</v>
      </c>
      <c r="B116" s="23">
        <f t="shared" si="140"/>
        <v>46099</v>
      </c>
      <c r="C116" s="23">
        <f t="shared" si="140"/>
        <v>46113</v>
      </c>
      <c r="D116" s="35">
        <f t="shared" si="140"/>
        <v>3272</v>
      </c>
      <c r="E116" s="35">
        <f t="shared" si="140"/>
        <v>336</v>
      </c>
      <c r="F116" s="31">
        <v>4</v>
      </c>
      <c r="G116" s="28">
        <f t="shared" si="152"/>
        <v>3</v>
      </c>
      <c r="H116" s="28">
        <v>81379</v>
      </c>
      <c r="I116" s="28" t="str">
        <f t="shared" si="143"/>
        <v>CHARACTER</v>
      </c>
      <c r="J116" s="28">
        <v>54555392</v>
      </c>
      <c r="K116" s="27" t="s">
        <v>3449</v>
      </c>
      <c r="L116" s="27" t="s">
        <v>3452</v>
      </c>
      <c r="M116" s="35">
        <v>99900</v>
      </c>
      <c r="N116" s="35" t="str">
        <f t="shared" ref="N116:P116" si="155">N115</f>
        <v>BXGY</v>
      </c>
      <c r="O116" s="36" t="str">
        <f t="shared" si="153"/>
        <v>B1G1</v>
      </c>
      <c r="P116" s="35" t="str">
        <f t="shared" si="155"/>
        <v>BXGY</v>
      </c>
    </row>
    <row r="117" spans="1:16" x14ac:dyDescent="0.25">
      <c r="A117" s="35" t="str">
        <f t="shared" ref="A117" si="156">A116</f>
        <v>2025 AUG B1G1</v>
      </c>
      <c r="B117" s="23">
        <f t="shared" si="140"/>
        <v>46099</v>
      </c>
      <c r="C117" s="23">
        <f t="shared" si="140"/>
        <v>46113</v>
      </c>
      <c r="D117" s="35">
        <f t="shared" si="140"/>
        <v>3272</v>
      </c>
      <c r="E117" s="35">
        <f t="shared" si="140"/>
        <v>336</v>
      </c>
      <c r="F117" s="31">
        <v>4</v>
      </c>
      <c r="G117" s="28">
        <f t="shared" si="152"/>
        <v>3</v>
      </c>
      <c r="H117" s="28">
        <v>81379</v>
      </c>
      <c r="I117" s="28" t="str">
        <f t="shared" si="143"/>
        <v>CHARACTER</v>
      </c>
      <c r="J117" s="28">
        <v>54555409</v>
      </c>
      <c r="K117" s="27" t="s">
        <v>3449</v>
      </c>
      <c r="L117" s="27" t="s">
        <v>3453</v>
      </c>
      <c r="M117" s="35">
        <v>99900</v>
      </c>
      <c r="N117" s="35" t="str">
        <f t="shared" ref="N117:P117" si="157">N116</f>
        <v>BXGY</v>
      </c>
      <c r="O117" s="36" t="str">
        <f t="shared" si="153"/>
        <v>B1G1</v>
      </c>
      <c r="P117" s="35" t="str">
        <f t="shared" si="157"/>
        <v>BXGY</v>
      </c>
    </row>
    <row r="118" spans="1:16" x14ac:dyDescent="0.25">
      <c r="A118" s="35" t="str">
        <f t="shared" ref="A118" si="158">A117</f>
        <v>2025 AUG B1G1</v>
      </c>
      <c r="B118" s="23">
        <f t="shared" si="140"/>
        <v>46099</v>
      </c>
      <c r="C118" s="23">
        <f t="shared" si="140"/>
        <v>46113</v>
      </c>
      <c r="D118" s="35">
        <f t="shared" si="140"/>
        <v>3272</v>
      </c>
      <c r="E118" s="35">
        <f t="shared" si="140"/>
        <v>336</v>
      </c>
      <c r="F118" s="31">
        <v>4</v>
      </c>
      <c r="G118" s="28">
        <f t="shared" si="152"/>
        <v>3</v>
      </c>
      <c r="H118" s="28">
        <v>81379</v>
      </c>
      <c r="I118" s="28" t="str">
        <f t="shared" si="143"/>
        <v>CHARACTER</v>
      </c>
      <c r="J118" s="28">
        <v>54555418</v>
      </c>
      <c r="K118" s="27" t="s">
        <v>3449</v>
      </c>
      <c r="L118" s="27" t="s">
        <v>3454</v>
      </c>
      <c r="M118" s="35">
        <v>99900</v>
      </c>
      <c r="N118" s="35" t="str">
        <f t="shared" ref="N118:P118" si="159">N117</f>
        <v>BXGY</v>
      </c>
      <c r="O118" s="36" t="str">
        <f t="shared" si="153"/>
        <v>B1G1</v>
      </c>
      <c r="P118" s="35" t="str">
        <f t="shared" si="159"/>
        <v>BXGY</v>
      </c>
    </row>
    <row r="119" spans="1:16" x14ac:dyDescent="0.25">
      <c r="A119" s="35" t="str">
        <f t="shared" ref="A119" si="160">A118</f>
        <v>2025 AUG B1G1</v>
      </c>
      <c r="B119" s="23">
        <f t="shared" si="140"/>
        <v>46099</v>
      </c>
      <c r="C119" s="23">
        <f t="shared" si="140"/>
        <v>46113</v>
      </c>
      <c r="D119" s="35">
        <f t="shared" si="140"/>
        <v>3272</v>
      </c>
      <c r="E119" s="35">
        <f t="shared" si="140"/>
        <v>336</v>
      </c>
      <c r="F119" s="31">
        <v>4</v>
      </c>
      <c r="G119" s="28">
        <f t="shared" si="152"/>
        <v>3</v>
      </c>
      <c r="H119" s="28">
        <v>81379</v>
      </c>
      <c r="I119" s="28" t="str">
        <f t="shared" si="143"/>
        <v>CHARACTER</v>
      </c>
      <c r="J119" s="28">
        <v>54555427</v>
      </c>
      <c r="K119" s="27" t="s">
        <v>3449</v>
      </c>
      <c r="L119" s="27" t="s">
        <v>3455</v>
      </c>
      <c r="M119" s="35">
        <v>99900</v>
      </c>
      <c r="N119" s="35" t="str">
        <f t="shared" ref="N119:P119" si="161">N118</f>
        <v>BXGY</v>
      </c>
      <c r="O119" s="36" t="str">
        <f t="shared" si="153"/>
        <v>B1G1</v>
      </c>
      <c r="P119" s="35" t="str">
        <f t="shared" si="161"/>
        <v>BXGY</v>
      </c>
    </row>
    <row r="120" spans="1:16" x14ac:dyDescent="0.25">
      <c r="A120" s="35" t="str">
        <f t="shared" ref="A120" si="162">A119</f>
        <v>2025 AUG B1G1</v>
      </c>
      <c r="B120" s="23">
        <f t="shared" si="140"/>
        <v>46099</v>
      </c>
      <c r="C120" s="23">
        <f t="shared" si="140"/>
        <v>46113</v>
      </c>
      <c r="D120" s="35">
        <f t="shared" si="140"/>
        <v>3272</v>
      </c>
      <c r="E120" s="35">
        <f t="shared" si="140"/>
        <v>336</v>
      </c>
      <c r="F120" s="31">
        <v>4</v>
      </c>
      <c r="G120" s="28">
        <f t="shared" si="152"/>
        <v>3</v>
      </c>
      <c r="H120" s="28">
        <v>81379</v>
      </c>
      <c r="I120" s="28" t="str">
        <f t="shared" si="143"/>
        <v>CHARACTER</v>
      </c>
      <c r="J120" s="28">
        <v>54555436</v>
      </c>
      <c r="K120" s="27" t="s">
        <v>3449</v>
      </c>
      <c r="L120" s="27" t="s">
        <v>3456</v>
      </c>
      <c r="M120" s="35">
        <v>99900</v>
      </c>
      <c r="N120" s="35" t="str">
        <f t="shared" ref="N120:P120" si="163">N119</f>
        <v>BXGY</v>
      </c>
      <c r="O120" s="36" t="str">
        <f t="shared" si="153"/>
        <v>B1G1</v>
      </c>
      <c r="P120" s="35" t="str">
        <f t="shared" si="163"/>
        <v>BXGY</v>
      </c>
    </row>
    <row r="121" spans="1:16" x14ac:dyDescent="0.25">
      <c r="A121" s="35" t="str">
        <f t="shared" ref="A121" si="164">A120</f>
        <v>2025 AUG B1G1</v>
      </c>
      <c r="B121" s="23">
        <f t="shared" si="140"/>
        <v>46099</v>
      </c>
      <c r="C121" s="23">
        <f t="shared" si="140"/>
        <v>46113</v>
      </c>
      <c r="D121" s="35">
        <f t="shared" si="140"/>
        <v>3272</v>
      </c>
      <c r="E121" s="35">
        <f t="shared" si="140"/>
        <v>336</v>
      </c>
      <c r="F121" s="31">
        <v>4</v>
      </c>
      <c r="G121" s="28">
        <f t="shared" si="152"/>
        <v>3</v>
      </c>
      <c r="H121" s="28">
        <v>81676</v>
      </c>
      <c r="I121" s="28" t="str">
        <f t="shared" si="143"/>
        <v>CHARACTER</v>
      </c>
      <c r="J121" s="28">
        <v>55028825</v>
      </c>
      <c r="K121" s="27" t="s">
        <v>3368</v>
      </c>
      <c r="L121" s="27" t="s">
        <v>3420</v>
      </c>
      <c r="M121" s="35">
        <v>99900</v>
      </c>
      <c r="N121" s="35" t="str">
        <f t="shared" ref="N121:P121" si="165">N120</f>
        <v>BXGY</v>
      </c>
      <c r="O121" s="36" t="str">
        <f t="shared" si="153"/>
        <v>B1G1</v>
      </c>
      <c r="P121" s="35" t="str">
        <f t="shared" si="165"/>
        <v>BXGY</v>
      </c>
    </row>
    <row r="122" spans="1:16" x14ac:dyDescent="0.25">
      <c r="A122" s="35" t="str">
        <f t="shared" ref="A122" si="166">A121</f>
        <v>2025 AUG B1G1</v>
      </c>
      <c r="B122" s="23">
        <f t="shared" si="140"/>
        <v>46099</v>
      </c>
      <c r="C122" s="23">
        <f t="shared" si="140"/>
        <v>46113</v>
      </c>
      <c r="D122" s="35">
        <f t="shared" si="140"/>
        <v>3272</v>
      </c>
      <c r="E122" s="35">
        <f t="shared" si="140"/>
        <v>336</v>
      </c>
      <c r="F122" s="31">
        <v>4</v>
      </c>
      <c r="G122" s="28">
        <f t="shared" si="152"/>
        <v>3</v>
      </c>
      <c r="H122" s="28">
        <v>81676</v>
      </c>
      <c r="I122" s="28" t="str">
        <f t="shared" si="143"/>
        <v>CHARACTER</v>
      </c>
      <c r="J122" s="28">
        <v>55028834</v>
      </c>
      <c r="K122" s="27" t="s">
        <v>3368</v>
      </c>
      <c r="L122" s="27" t="s">
        <v>3421</v>
      </c>
      <c r="M122" s="35">
        <v>99900</v>
      </c>
      <c r="N122" s="35" t="str">
        <f t="shared" ref="N122:P122" si="167">N121</f>
        <v>BXGY</v>
      </c>
      <c r="O122" s="36" t="str">
        <f t="shared" si="153"/>
        <v>B1G1</v>
      </c>
      <c r="P122" s="35" t="str">
        <f t="shared" si="167"/>
        <v>BXGY</v>
      </c>
    </row>
    <row r="123" spans="1:16" x14ac:dyDescent="0.25">
      <c r="A123" s="35" t="str">
        <f t="shared" ref="A123" si="168">A122</f>
        <v>2025 AUG B1G1</v>
      </c>
      <c r="B123" s="23">
        <f t="shared" si="140"/>
        <v>46099</v>
      </c>
      <c r="C123" s="23">
        <f t="shared" si="140"/>
        <v>46113</v>
      </c>
      <c r="D123" s="35">
        <f t="shared" si="140"/>
        <v>3272</v>
      </c>
      <c r="E123" s="35">
        <f t="shared" si="140"/>
        <v>336</v>
      </c>
      <c r="F123" s="31">
        <v>4</v>
      </c>
      <c r="G123" s="28">
        <f t="shared" si="152"/>
        <v>3</v>
      </c>
      <c r="H123" s="28">
        <v>81676</v>
      </c>
      <c r="I123" s="28" t="str">
        <f t="shared" si="143"/>
        <v>CHARACTER</v>
      </c>
      <c r="J123" s="28">
        <v>55028843</v>
      </c>
      <c r="K123" s="27" t="s">
        <v>3368</v>
      </c>
      <c r="L123" s="27" t="s">
        <v>3422</v>
      </c>
      <c r="M123" s="35">
        <v>99900</v>
      </c>
      <c r="N123" s="35" t="str">
        <f t="shared" ref="N123:P123" si="169">N122</f>
        <v>BXGY</v>
      </c>
      <c r="O123" s="36" t="str">
        <f t="shared" si="153"/>
        <v>B1G1</v>
      </c>
      <c r="P123" s="35" t="str">
        <f t="shared" si="169"/>
        <v>BXGY</v>
      </c>
    </row>
    <row r="124" spans="1:16" x14ac:dyDescent="0.25">
      <c r="A124" s="35" t="str">
        <f t="shared" ref="A124" si="170">A123</f>
        <v>2025 AUG B1G1</v>
      </c>
      <c r="B124" s="23">
        <f t="shared" si="140"/>
        <v>46099</v>
      </c>
      <c r="C124" s="23">
        <f t="shared" si="140"/>
        <v>46113</v>
      </c>
      <c r="D124" s="35">
        <f t="shared" si="140"/>
        <v>3272</v>
      </c>
      <c r="E124" s="35">
        <f t="shared" si="140"/>
        <v>336</v>
      </c>
      <c r="F124" s="31">
        <v>4</v>
      </c>
      <c r="G124" s="28">
        <f t="shared" si="152"/>
        <v>3</v>
      </c>
      <c r="H124" s="28">
        <v>81676</v>
      </c>
      <c r="I124" s="28" t="str">
        <f t="shared" si="143"/>
        <v>CHARACTER</v>
      </c>
      <c r="J124" s="28">
        <v>55028852</v>
      </c>
      <c r="K124" s="27" t="s">
        <v>3368</v>
      </c>
      <c r="L124" s="27" t="s">
        <v>3423</v>
      </c>
      <c r="M124" s="35">
        <v>99900</v>
      </c>
      <c r="N124" s="35" t="str">
        <f t="shared" ref="N124:P124" si="171">N123</f>
        <v>BXGY</v>
      </c>
      <c r="O124" s="36" t="str">
        <f t="shared" si="153"/>
        <v>B1G1</v>
      </c>
      <c r="P124" s="35" t="str">
        <f t="shared" si="171"/>
        <v>BXGY</v>
      </c>
    </row>
    <row r="125" spans="1:16" x14ac:dyDescent="0.25">
      <c r="A125" s="35" t="str">
        <f t="shared" ref="A125" si="172">A124</f>
        <v>2025 AUG B1G1</v>
      </c>
      <c r="B125" s="23">
        <f t="shared" si="140"/>
        <v>46099</v>
      </c>
      <c r="C125" s="23">
        <f t="shared" si="140"/>
        <v>46113</v>
      </c>
      <c r="D125" s="35">
        <f t="shared" si="140"/>
        <v>3272</v>
      </c>
      <c r="E125" s="35">
        <f t="shared" si="140"/>
        <v>336</v>
      </c>
      <c r="F125" s="31">
        <v>4</v>
      </c>
      <c r="G125" s="28">
        <f t="shared" si="152"/>
        <v>3</v>
      </c>
      <c r="H125" s="28">
        <v>81676</v>
      </c>
      <c r="I125" s="28" t="str">
        <f t="shared" si="143"/>
        <v>CHARACTER</v>
      </c>
      <c r="J125" s="28">
        <v>55028861</v>
      </c>
      <c r="K125" s="27" t="s">
        <v>3368</v>
      </c>
      <c r="L125" s="27" t="s">
        <v>3424</v>
      </c>
      <c r="M125" s="35">
        <v>99900</v>
      </c>
      <c r="N125" s="35" t="str">
        <f t="shared" ref="N125:P125" si="173">N124</f>
        <v>BXGY</v>
      </c>
      <c r="O125" s="36" t="str">
        <f t="shared" si="153"/>
        <v>B1G1</v>
      </c>
      <c r="P125" s="35" t="str">
        <f t="shared" si="173"/>
        <v>BXGY</v>
      </c>
    </row>
    <row r="126" spans="1:16" x14ac:dyDescent="0.25">
      <c r="A126" s="35" t="str">
        <f t="shared" ref="A126" si="174">A125</f>
        <v>2025 AUG B1G1</v>
      </c>
      <c r="B126" s="23">
        <f t="shared" ref="B126:E134" si="175">B125</f>
        <v>46099</v>
      </c>
      <c r="C126" s="23">
        <f t="shared" si="175"/>
        <v>46113</v>
      </c>
      <c r="D126" s="35">
        <f t="shared" si="175"/>
        <v>3272</v>
      </c>
      <c r="E126" s="35">
        <f t="shared" si="175"/>
        <v>336</v>
      </c>
      <c r="F126" s="31">
        <v>4</v>
      </c>
      <c r="G126" s="28">
        <f t="shared" si="152"/>
        <v>3</v>
      </c>
      <c r="H126" s="28">
        <v>81676</v>
      </c>
      <c r="I126" s="28" t="str">
        <f t="shared" si="143"/>
        <v>CHARACTER</v>
      </c>
      <c r="J126" s="28">
        <v>55028870</v>
      </c>
      <c r="K126" s="27" t="s">
        <v>3368</v>
      </c>
      <c r="L126" s="27" t="s">
        <v>3425</v>
      </c>
      <c r="M126" s="35">
        <v>99900</v>
      </c>
      <c r="N126" s="35" t="str">
        <f t="shared" ref="N126:P126" si="176">N125</f>
        <v>BXGY</v>
      </c>
      <c r="O126" s="36" t="str">
        <f t="shared" si="153"/>
        <v>B1G1</v>
      </c>
      <c r="P126" s="35" t="str">
        <f t="shared" si="176"/>
        <v>BXGY</v>
      </c>
    </row>
    <row r="127" spans="1:16" x14ac:dyDescent="0.25">
      <c r="A127" s="35" t="str">
        <f t="shared" ref="A127" si="177">A126</f>
        <v>2025 AUG B1G1</v>
      </c>
      <c r="B127" s="23">
        <f t="shared" si="175"/>
        <v>46099</v>
      </c>
      <c r="C127" s="23">
        <f t="shared" si="175"/>
        <v>46113</v>
      </c>
      <c r="D127" s="35">
        <f t="shared" si="175"/>
        <v>3272</v>
      </c>
      <c r="E127" s="35">
        <f t="shared" si="175"/>
        <v>336</v>
      </c>
      <c r="F127" s="31">
        <v>4</v>
      </c>
      <c r="G127" s="28">
        <f t="shared" si="152"/>
        <v>3</v>
      </c>
      <c r="H127" s="28">
        <v>81676</v>
      </c>
      <c r="I127" s="28" t="str">
        <f t="shared" si="143"/>
        <v>CHARACTER</v>
      </c>
      <c r="J127" s="28">
        <v>55028889</v>
      </c>
      <c r="K127" s="27" t="s">
        <v>3368</v>
      </c>
      <c r="L127" s="27" t="s">
        <v>3426</v>
      </c>
      <c r="M127" s="35">
        <v>99900</v>
      </c>
      <c r="N127" s="35" t="str">
        <f t="shared" ref="N127:P127" si="178">N126</f>
        <v>BXGY</v>
      </c>
      <c r="O127" s="36" t="str">
        <f t="shared" si="153"/>
        <v>B1G1</v>
      </c>
      <c r="P127" s="35" t="str">
        <f t="shared" si="178"/>
        <v>BXGY</v>
      </c>
    </row>
    <row r="128" spans="1:16" x14ac:dyDescent="0.25">
      <c r="A128" s="35" t="str">
        <f t="shared" ref="A128" si="179">A127</f>
        <v>2025 AUG B1G1</v>
      </c>
      <c r="B128" s="23">
        <f t="shared" si="175"/>
        <v>46099</v>
      </c>
      <c r="C128" s="23">
        <f t="shared" si="175"/>
        <v>46113</v>
      </c>
      <c r="D128" s="35">
        <f t="shared" si="175"/>
        <v>3272</v>
      </c>
      <c r="E128" s="35">
        <f t="shared" si="175"/>
        <v>336</v>
      </c>
      <c r="F128" s="31">
        <v>4</v>
      </c>
      <c r="G128" s="28">
        <v>4</v>
      </c>
      <c r="H128" s="28">
        <v>81379</v>
      </c>
      <c r="I128" s="28" t="str">
        <f t="shared" si="143"/>
        <v>CHARACTER</v>
      </c>
      <c r="J128" s="28">
        <v>55386233</v>
      </c>
      <c r="K128" s="27" t="s">
        <v>3909</v>
      </c>
      <c r="L128" s="27" t="s">
        <v>3910</v>
      </c>
      <c r="M128" s="35">
        <v>99900</v>
      </c>
      <c r="N128" s="35" t="str">
        <f t="shared" ref="N128:P128" si="180">N127</f>
        <v>BXGY</v>
      </c>
      <c r="O128" s="36" t="str">
        <f t="shared" si="153"/>
        <v>B1G1</v>
      </c>
      <c r="P128" s="35" t="str">
        <f t="shared" si="180"/>
        <v>BXGY</v>
      </c>
    </row>
    <row r="129" spans="1:16" x14ac:dyDescent="0.25">
      <c r="A129" s="35" t="str">
        <f t="shared" ref="A129" si="181">A128</f>
        <v>2025 AUG B1G1</v>
      </c>
      <c r="B129" s="23">
        <f t="shared" si="175"/>
        <v>46099</v>
      </c>
      <c r="C129" s="23">
        <f t="shared" si="175"/>
        <v>46113</v>
      </c>
      <c r="D129" s="35">
        <f t="shared" si="175"/>
        <v>3272</v>
      </c>
      <c r="E129" s="35">
        <f t="shared" si="175"/>
        <v>336</v>
      </c>
      <c r="F129" s="31">
        <v>4</v>
      </c>
      <c r="G129" s="28">
        <f t="shared" ref="G129:G134" si="182">G128</f>
        <v>4</v>
      </c>
      <c r="H129" s="28">
        <v>81379</v>
      </c>
      <c r="I129" s="28" t="str">
        <f t="shared" si="143"/>
        <v>CHARACTER</v>
      </c>
      <c r="J129" s="28">
        <v>55386242</v>
      </c>
      <c r="K129" s="27" t="s">
        <v>3909</v>
      </c>
      <c r="L129" s="27" t="s">
        <v>3911</v>
      </c>
      <c r="M129" s="35">
        <v>99900</v>
      </c>
      <c r="N129" s="35" t="str">
        <f t="shared" ref="N129:P129" si="183">N128</f>
        <v>BXGY</v>
      </c>
      <c r="O129" s="36" t="str">
        <f t="shared" si="153"/>
        <v>B1G1</v>
      </c>
      <c r="P129" s="35" t="str">
        <f t="shared" si="183"/>
        <v>BXGY</v>
      </c>
    </row>
    <row r="130" spans="1:16" x14ac:dyDescent="0.25">
      <c r="A130" s="35" t="str">
        <f t="shared" ref="A130" si="184">A129</f>
        <v>2025 AUG B1G1</v>
      </c>
      <c r="B130" s="23">
        <f t="shared" si="175"/>
        <v>46099</v>
      </c>
      <c r="C130" s="23">
        <f t="shared" si="175"/>
        <v>46113</v>
      </c>
      <c r="D130" s="35">
        <f t="shared" si="175"/>
        <v>3272</v>
      </c>
      <c r="E130" s="35">
        <f t="shared" si="175"/>
        <v>336</v>
      </c>
      <c r="F130" s="31">
        <v>4</v>
      </c>
      <c r="G130" s="28">
        <f t="shared" si="182"/>
        <v>4</v>
      </c>
      <c r="H130" s="28">
        <v>81379</v>
      </c>
      <c r="I130" s="28" t="str">
        <f t="shared" si="143"/>
        <v>CHARACTER</v>
      </c>
      <c r="J130" s="28">
        <v>55386251</v>
      </c>
      <c r="K130" s="27" t="s">
        <v>3909</v>
      </c>
      <c r="L130" s="27" t="s">
        <v>3912</v>
      </c>
      <c r="M130" s="35">
        <v>99900</v>
      </c>
      <c r="N130" s="35" t="str">
        <f t="shared" ref="N130:P130" si="185">N129</f>
        <v>BXGY</v>
      </c>
      <c r="O130" s="36" t="str">
        <f t="shared" si="153"/>
        <v>B1G1</v>
      </c>
      <c r="P130" s="35" t="str">
        <f t="shared" si="185"/>
        <v>BXGY</v>
      </c>
    </row>
    <row r="131" spans="1:16" x14ac:dyDescent="0.25">
      <c r="A131" s="35" t="str">
        <f t="shared" ref="A131" si="186">A130</f>
        <v>2025 AUG B1G1</v>
      </c>
      <c r="B131" s="23">
        <f t="shared" si="175"/>
        <v>46099</v>
      </c>
      <c r="C131" s="23">
        <f t="shared" si="175"/>
        <v>46113</v>
      </c>
      <c r="D131" s="35">
        <f t="shared" si="175"/>
        <v>3272</v>
      </c>
      <c r="E131" s="35">
        <f t="shared" si="175"/>
        <v>336</v>
      </c>
      <c r="F131" s="31">
        <v>4</v>
      </c>
      <c r="G131" s="28">
        <f t="shared" si="182"/>
        <v>4</v>
      </c>
      <c r="H131" s="28">
        <v>81379</v>
      </c>
      <c r="I131" s="28" t="str">
        <f t="shared" si="143"/>
        <v>CHARACTER</v>
      </c>
      <c r="J131" s="28">
        <v>55386260</v>
      </c>
      <c r="K131" s="27" t="s">
        <v>3909</v>
      </c>
      <c r="L131" s="27" t="s">
        <v>3913</v>
      </c>
      <c r="M131" s="35">
        <v>99900</v>
      </c>
      <c r="N131" s="35" t="str">
        <f t="shared" ref="N131:P134" si="187">N130</f>
        <v>BXGY</v>
      </c>
      <c r="O131" s="36" t="str">
        <f t="shared" si="187"/>
        <v>B1G1</v>
      </c>
      <c r="P131" s="35" t="str">
        <f t="shared" si="187"/>
        <v>BXGY</v>
      </c>
    </row>
    <row r="132" spans="1:16" x14ac:dyDescent="0.25">
      <c r="A132" s="35" t="str">
        <f t="shared" ref="A132" si="188">A131</f>
        <v>2025 AUG B1G1</v>
      </c>
      <c r="B132" s="23">
        <f t="shared" si="175"/>
        <v>46099</v>
      </c>
      <c r="C132" s="23">
        <f t="shared" si="175"/>
        <v>46113</v>
      </c>
      <c r="D132" s="35">
        <f t="shared" si="175"/>
        <v>3272</v>
      </c>
      <c r="E132" s="35">
        <f t="shared" si="175"/>
        <v>336</v>
      </c>
      <c r="F132" s="31">
        <v>4</v>
      </c>
      <c r="G132" s="28">
        <f t="shared" si="182"/>
        <v>4</v>
      </c>
      <c r="H132" s="28">
        <v>81379</v>
      </c>
      <c r="I132" s="28" t="str">
        <f t="shared" si="143"/>
        <v>CHARACTER</v>
      </c>
      <c r="J132" s="28">
        <v>55386279</v>
      </c>
      <c r="K132" s="27" t="s">
        <v>3909</v>
      </c>
      <c r="L132" s="27" t="s">
        <v>3914</v>
      </c>
      <c r="M132" s="35">
        <v>99900</v>
      </c>
      <c r="N132" s="35" t="str">
        <f t="shared" ref="N132:P132" si="189">N131</f>
        <v>BXGY</v>
      </c>
      <c r="O132" s="36" t="str">
        <f t="shared" si="187"/>
        <v>B1G1</v>
      </c>
      <c r="P132" s="35" t="str">
        <f t="shared" si="189"/>
        <v>BXGY</v>
      </c>
    </row>
    <row r="133" spans="1:16" x14ac:dyDescent="0.25">
      <c r="A133" s="35" t="str">
        <f t="shared" ref="A133" si="190">A132</f>
        <v>2025 AUG B1G1</v>
      </c>
      <c r="B133" s="23">
        <f t="shared" si="175"/>
        <v>46099</v>
      </c>
      <c r="C133" s="23">
        <f t="shared" si="175"/>
        <v>46113</v>
      </c>
      <c r="D133" s="35">
        <f t="shared" si="175"/>
        <v>3272</v>
      </c>
      <c r="E133" s="35">
        <f t="shared" si="175"/>
        <v>336</v>
      </c>
      <c r="F133" s="31">
        <v>4</v>
      </c>
      <c r="G133" s="28">
        <f t="shared" si="182"/>
        <v>4</v>
      </c>
      <c r="H133" s="28">
        <v>81379</v>
      </c>
      <c r="I133" s="28" t="str">
        <f t="shared" si="143"/>
        <v>CHARACTER</v>
      </c>
      <c r="J133" s="28">
        <v>55386288</v>
      </c>
      <c r="K133" s="27" t="s">
        <v>3909</v>
      </c>
      <c r="L133" s="27" t="s">
        <v>3915</v>
      </c>
      <c r="M133" s="35">
        <v>99900</v>
      </c>
      <c r="N133" s="35" t="str">
        <f t="shared" ref="N133:P133" si="191">N132</f>
        <v>BXGY</v>
      </c>
      <c r="O133" s="36" t="str">
        <f t="shared" si="187"/>
        <v>B1G1</v>
      </c>
      <c r="P133" s="35" t="str">
        <f t="shared" si="191"/>
        <v>BXGY</v>
      </c>
    </row>
    <row r="134" spans="1:16" x14ac:dyDescent="0.25">
      <c r="A134" s="35" t="str">
        <f t="shared" ref="A134" si="192">A133</f>
        <v>2025 AUG B1G1</v>
      </c>
      <c r="B134" s="23">
        <f t="shared" si="175"/>
        <v>46099</v>
      </c>
      <c r="C134" s="23">
        <f t="shared" si="175"/>
        <v>46113</v>
      </c>
      <c r="D134" s="35">
        <f t="shared" si="175"/>
        <v>3272</v>
      </c>
      <c r="E134" s="35">
        <f t="shared" si="175"/>
        <v>336</v>
      </c>
      <c r="F134" s="31">
        <v>4</v>
      </c>
      <c r="G134" s="28">
        <f t="shared" si="182"/>
        <v>4</v>
      </c>
      <c r="H134" s="28">
        <v>81379</v>
      </c>
      <c r="I134" s="28" t="str">
        <f t="shared" si="143"/>
        <v>CHARACTER</v>
      </c>
      <c r="J134" s="28">
        <v>55386297</v>
      </c>
      <c r="K134" s="27" t="s">
        <v>3909</v>
      </c>
      <c r="L134" s="27" t="s">
        <v>3916</v>
      </c>
      <c r="M134" s="35">
        <v>99900</v>
      </c>
      <c r="N134" s="35" t="str">
        <f t="shared" ref="N134:P134" si="193">N133</f>
        <v>BXGY</v>
      </c>
      <c r="O134" s="36" t="str">
        <f t="shared" si="187"/>
        <v>B1G1</v>
      </c>
      <c r="P134" s="35" t="str">
        <f t="shared" si="193"/>
        <v>BXGY</v>
      </c>
    </row>
  </sheetData>
  <phoneticPr fontId="9" type="noConversion"/>
  <conditionalFormatting sqref="L13">
    <cfRule type="duplicateValues" dxfId="53" priority="278"/>
  </conditionalFormatting>
  <conditionalFormatting sqref="R68 J1:J1048576">
    <cfRule type="duplicateValues" dxfId="52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63CB-8594-46DD-8829-DBFB1DE2E164}">
  <dimension ref="A1:P35"/>
  <sheetViews>
    <sheetView tabSelected="1" zoomScale="91" zoomScaleNormal="91" workbookViewId="0">
      <selection activeCell="C17" sqref="A1:P35"/>
    </sheetView>
  </sheetViews>
  <sheetFormatPr defaultRowHeight="15" x14ac:dyDescent="0.25"/>
  <cols>
    <col min="1" max="1" width="44.28515625" customWidth="1"/>
    <col min="2" max="3" width="14.28515625" customWidth="1"/>
    <col min="6" max="6" width="8.42578125" bestFit="1" customWidth="1"/>
    <col min="7" max="7" width="9.5703125" style="29" bestFit="1" customWidth="1"/>
    <col min="8" max="8" width="10.85546875" style="29" customWidth="1"/>
    <col min="9" max="9" width="19.42578125" style="29" customWidth="1"/>
    <col min="10" max="10" width="15.85546875" style="29" customWidth="1"/>
    <col min="11" max="11" width="31.28515625" style="29" customWidth="1"/>
    <col min="12" max="12" width="102.28515625" style="29" bestFit="1" customWidth="1"/>
    <col min="13" max="13" width="14.7109375" style="29" bestFit="1" customWidth="1"/>
    <col min="14" max="14" width="14.7109375" customWidth="1"/>
    <col min="15" max="15" width="20.7109375" style="6" customWidth="1"/>
    <col min="16" max="16" width="21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40" t="s">
        <v>6</v>
      </c>
      <c r="H1" s="40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41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5" t="s">
        <v>4238</v>
      </c>
      <c r="B2" s="8">
        <f>'2019 ALL D95'!B2</f>
        <v>46099</v>
      </c>
      <c r="C2" s="8">
        <f>'2019 ALL D95'!C2</f>
        <v>46113</v>
      </c>
      <c r="D2" s="33">
        <v>3272</v>
      </c>
      <c r="E2" s="33">
        <v>336</v>
      </c>
      <c r="F2" s="31">
        <v>4</v>
      </c>
      <c r="G2" s="28">
        <v>1</v>
      </c>
      <c r="H2" s="46">
        <v>81379</v>
      </c>
      <c r="I2" s="27" t="s">
        <v>104</v>
      </c>
      <c r="J2" s="28">
        <v>55568395</v>
      </c>
      <c r="K2" s="28" t="s">
        <v>3537</v>
      </c>
      <c r="L2" s="28" t="s">
        <v>3544</v>
      </c>
      <c r="M2" s="28">
        <v>99900</v>
      </c>
      <c r="N2" s="14">
        <v>0.3</v>
      </c>
      <c r="O2" s="48">
        <f>M2-((30*M2))/100</f>
        <v>69930</v>
      </c>
      <c r="P2" s="14" t="s">
        <v>16</v>
      </c>
    </row>
    <row r="3" spans="1:16" x14ac:dyDescent="0.25">
      <c r="A3" s="35" t="str">
        <f t="shared" ref="A3:E18" si="0">A2</f>
        <v>2025 SEPT B1 D30</v>
      </c>
      <c r="B3" s="23">
        <f t="shared" si="0"/>
        <v>46099</v>
      </c>
      <c r="C3" s="8">
        <f>'2019 ALL D95'!C3</f>
        <v>46113</v>
      </c>
      <c r="D3" s="35">
        <f t="shared" si="0"/>
        <v>3272</v>
      </c>
      <c r="E3" s="35">
        <f t="shared" si="0"/>
        <v>336</v>
      </c>
      <c r="F3" s="31">
        <v>4</v>
      </c>
      <c r="G3" s="28">
        <v>1</v>
      </c>
      <c r="H3" s="46">
        <v>81379</v>
      </c>
      <c r="I3" s="28" t="str">
        <f t="shared" ref="I3:I20" si="1">I2</f>
        <v>CHARACTER</v>
      </c>
      <c r="J3" s="28">
        <v>55568402</v>
      </c>
      <c r="K3" s="28" t="s">
        <v>3537</v>
      </c>
      <c r="L3" s="28" t="s">
        <v>3545</v>
      </c>
      <c r="M3" s="28">
        <v>99900</v>
      </c>
      <c r="N3" s="47">
        <f>N2</f>
        <v>0.3</v>
      </c>
      <c r="O3" s="34">
        <f>O2</f>
        <v>69930</v>
      </c>
      <c r="P3" s="35" t="str">
        <f t="shared" ref="P3" si="2">P2</f>
        <v>PERCENTAGE</v>
      </c>
    </row>
    <row r="4" spans="1:16" x14ac:dyDescent="0.25">
      <c r="A4" s="35" t="str">
        <f t="shared" ref="A4:B4" si="3">A3</f>
        <v>2025 SEPT B1 D30</v>
      </c>
      <c r="B4" s="23">
        <f t="shared" si="3"/>
        <v>46099</v>
      </c>
      <c r="C4" s="8">
        <f>'2019 ALL D95'!C4</f>
        <v>46113</v>
      </c>
      <c r="D4" s="35">
        <f t="shared" si="0"/>
        <v>3272</v>
      </c>
      <c r="E4" s="35">
        <f t="shared" si="0"/>
        <v>336</v>
      </c>
      <c r="F4" s="31">
        <v>4</v>
      </c>
      <c r="G4" s="28">
        <v>1</v>
      </c>
      <c r="H4" s="46">
        <v>81379</v>
      </c>
      <c r="I4" s="28" t="str">
        <f t="shared" si="1"/>
        <v>CHARACTER</v>
      </c>
      <c r="J4" s="28">
        <v>55568411</v>
      </c>
      <c r="K4" s="28" t="s">
        <v>3537</v>
      </c>
      <c r="L4" s="28" t="s">
        <v>3546</v>
      </c>
      <c r="M4" s="28">
        <v>99900</v>
      </c>
      <c r="N4" s="47">
        <f t="shared" ref="N4:N35" si="4">N3</f>
        <v>0.3</v>
      </c>
      <c r="O4" s="34">
        <f>O3</f>
        <v>69930</v>
      </c>
      <c r="P4" s="35" t="str">
        <f t="shared" ref="P4" si="5">P3</f>
        <v>PERCENTAGE</v>
      </c>
    </row>
    <row r="5" spans="1:16" x14ac:dyDescent="0.25">
      <c r="A5" s="35" t="str">
        <f t="shared" ref="A5:B5" si="6">A4</f>
        <v>2025 SEPT B1 D30</v>
      </c>
      <c r="B5" s="23">
        <f t="shared" si="6"/>
        <v>46099</v>
      </c>
      <c r="C5" s="8">
        <f>'2019 ALL D95'!C5</f>
        <v>46113</v>
      </c>
      <c r="D5" s="35">
        <f t="shared" si="0"/>
        <v>3272</v>
      </c>
      <c r="E5" s="35">
        <f t="shared" si="0"/>
        <v>336</v>
      </c>
      <c r="F5" s="31">
        <v>4</v>
      </c>
      <c r="G5" s="28">
        <v>1</v>
      </c>
      <c r="H5" s="46">
        <v>81379</v>
      </c>
      <c r="I5" s="28" t="str">
        <f t="shared" si="1"/>
        <v>CHARACTER</v>
      </c>
      <c r="J5" s="28">
        <v>55568420</v>
      </c>
      <c r="K5" s="28" t="s">
        <v>3537</v>
      </c>
      <c r="L5" s="28" t="s">
        <v>3547</v>
      </c>
      <c r="M5" s="28">
        <v>99900</v>
      </c>
      <c r="N5" s="47">
        <f t="shared" si="4"/>
        <v>0.3</v>
      </c>
      <c r="O5" s="34">
        <f t="shared" ref="O5:P5" si="7">O4</f>
        <v>69930</v>
      </c>
      <c r="P5" s="35" t="str">
        <f t="shared" si="7"/>
        <v>PERCENTAGE</v>
      </c>
    </row>
    <row r="6" spans="1:16" x14ac:dyDescent="0.25">
      <c r="A6" s="35" t="str">
        <f t="shared" ref="A6:B6" si="8">A5</f>
        <v>2025 SEPT B1 D30</v>
      </c>
      <c r="B6" s="23">
        <f t="shared" si="8"/>
        <v>46099</v>
      </c>
      <c r="C6" s="8">
        <f>'2019 ALL D95'!C6</f>
        <v>46113</v>
      </c>
      <c r="D6" s="35">
        <f t="shared" si="0"/>
        <v>3272</v>
      </c>
      <c r="E6" s="35">
        <f t="shared" si="0"/>
        <v>336</v>
      </c>
      <c r="F6" s="31">
        <v>4</v>
      </c>
      <c r="G6" s="28">
        <v>1</v>
      </c>
      <c r="H6" s="46">
        <v>81379</v>
      </c>
      <c r="I6" s="28" t="str">
        <f t="shared" si="1"/>
        <v>CHARACTER</v>
      </c>
      <c r="J6" s="28">
        <v>55568439</v>
      </c>
      <c r="K6" s="28" t="s">
        <v>3538</v>
      </c>
      <c r="L6" s="28" t="s">
        <v>3548</v>
      </c>
      <c r="M6" s="28">
        <v>99900</v>
      </c>
      <c r="N6" s="47">
        <f t="shared" si="4"/>
        <v>0.3</v>
      </c>
      <c r="O6" s="34">
        <f t="shared" ref="O6:P6" si="9">O5</f>
        <v>69930</v>
      </c>
      <c r="P6" s="35" t="str">
        <f t="shared" si="9"/>
        <v>PERCENTAGE</v>
      </c>
    </row>
    <row r="7" spans="1:16" x14ac:dyDescent="0.25">
      <c r="A7" s="35" t="str">
        <f t="shared" ref="A7:B7" si="10">A6</f>
        <v>2025 SEPT B1 D30</v>
      </c>
      <c r="B7" s="23">
        <f t="shared" si="10"/>
        <v>46099</v>
      </c>
      <c r="C7" s="8">
        <f>'2019 ALL D95'!C7</f>
        <v>46113</v>
      </c>
      <c r="D7" s="35">
        <f t="shared" si="0"/>
        <v>3272</v>
      </c>
      <c r="E7" s="35">
        <f t="shared" si="0"/>
        <v>336</v>
      </c>
      <c r="F7" s="31">
        <v>4</v>
      </c>
      <c r="G7" s="28">
        <v>1</v>
      </c>
      <c r="H7" s="46">
        <v>81379</v>
      </c>
      <c r="I7" s="28" t="str">
        <f t="shared" si="1"/>
        <v>CHARACTER</v>
      </c>
      <c r="J7" s="28">
        <v>55568448</v>
      </c>
      <c r="K7" s="28" t="s">
        <v>3538</v>
      </c>
      <c r="L7" s="28" t="s">
        <v>3549</v>
      </c>
      <c r="M7" s="28">
        <v>99900</v>
      </c>
      <c r="N7" s="47">
        <f t="shared" si="4"/>
        <v>0.3</v>
      </c>
      <c r="O7" s="34">
        <f t="shared" ref="O7:P7" si="11">O6</f>
        <v>69930</v>
      </c>
      <c r="P7" s="35" t="str">
        <f t="shared" si="11"/>
        <v>PERCENTAGE</v>
      </c>
    </row>
    <row r="8" spans="1:16" x14ac:dyDescent="0.25">
      <c r="A8" s="35" t="str">
        <f t="shared" ref="A8:B8" si="12">A7</f>
        <v>2025 SEPT B1 D30</v>
      </c>
      <c r="B8" s="23">
        <f t="shared" si="12"/>
        <v>46099</v>
      </c>
      <c r="C8" s="8">
        <f>'2019 ALL D95'!C8</f>
        <v>46113</v>
      </c>
      <c r="D8" s="35">
        <f t="shared" si="0"/>
        <v>3272</v>
      </c>
      <c r="E8" s="35">
        <f t="shared" si="0"/>
        <v>336</v>
      </c>
      <c r="F8" s="31">
        <v>4</v>
      </c>
      <c r="G8" s="28">
        <v>1</v>
      </c>
      <c r="H8" s="46">
        <v>81379</v>
      </c>
      <c r="I8" s="28" t="str">
        <f t="shared" si="1"/>
        <v>CHARACTER</v>
      </c>
      <c r="J8" s="28">
        <v>55568457</v>
      </c>
      <c r="K8" s="28" t="s">
        <v>3538</v>
      </c>
      <c r="L8" s="28" t="s">
        <v>3550</v>
      </c>
      <c r="M8" s="28">
        <v>99900</v>
      </c>
      <c r="N8" s="47">
        <f t="shared" si="4"/>
        <v>0.3</v>
      </c>
      <c r="O8" s="34">
        <f t="shared" ref="O8:P8" si="13">O7</f>
        <v>69930</v>
      </c>
      <c r="P8" s="35" t="str">
        <f t="shared" si="13"/>
        <v>PERCENTAGE</v>
      </c>
    </row>
    <row r="9" spans="1:16" x14ac:dyDescent="0.25">
      <c r="A9" s="35" t="str">
        <f t="shared" ref="A9:B9" si="14">A8</f>
        <v>2025 SEPT B1 D30</v>
      </c>
      <c r="B9" s="23">
        <f t="shared" si="14"/>
        <v>46099</v>
      </c>
      <c r="C9" s="8">
        <f>'2019 ALL D95'!C9</f>
        <v>46113</v>
      </c>
      <c r="D9" s="35">
        <f t="shared" si="0"/>
        <v>3272</v>
      </c>
      <c r="E9" s="35">
        <f t="shared" si="0"/>
        <v>336</v>
      </c>
      <c r="F9" s="31">
        <v>4</v>
      </c>
      <c r="G9" s="28">
        <v>1</v>
      </c>
      <c r="H9" s="46">
        <v>81379</v>
      </c>
      <c r="I9" s="28" t="str">
        <f t="shared" si="1"/>
        <v>CHARACTER</v>
      </c>
      <c r="J9" s="28">
        <v>55568466</v>
      </c>
      <c r="K9" s="28" t="s">
        <v>3538</v>
      </c>
      <c r="L9" s="28" t="s">
        <v>3551</v>
      </c>
      <c r="M9" s="28">
        <v>99900</v>
      </c>
      <c r="N9" s="47">
        <f t="shared" si="4"/>
        <v>0.3</v>
      </c>
      <c r="O9" s="34">
        <f t="shared" ref="O9:P9" si="15">O8</f>
        <v>69930</v>
      </c>
      <c r="P9" s="35" t="str">
        <f t="shared" si="15"/>
        <v>PERCENTAGE</v>
      </c>
    </row>
    <row r="10" spans="1:16" x14ac:dyDescent="0.25">
      <c r="A10" s="35" t="str">
        <f t="shared" ref="A10:B10" si="16">A9</f>
        <v>2025 SEPT B1 D30</v>
      </c>
      <c r="B10" s="23">
        <f t="shared" si="16"/>
        <v>46099</v>
      </c>
      <c r="C10" s="8">
        <f>'2019 ALL D95'!C10</f>
        <v>46113</v>
      </c>
      <c r="D10" s="35">
        <f t="shared" si="0"/>
        <v>3272</v>
      </c>
      <c r="E10" s="35">
        <f t="shared" si="0"/>
        <v>336</v>
      </c>
      <c r="F10" s="31">
        <v>4</v>
      </c>
      <c r="G10" s="28">
        <v>1</v>
      </c>
      <c r="H10" s="46">
        <v>81379</v>
      </c>
      <c r="I10" s="28" t="str">
        <f t="shared" si="1"/>
        <v>CHARACTER</v>
      </c>
      <c r="J10" s="28">
        <v>55568475</v>
      </c>
      <c r="K10" s="28" t="s">
        <v>3539</v>
      </c>
      <c r="L10" s="28" t="s">
        <v>3552</v>
      </c>
      <c r="M10" s="28">
        <v>99900</v>
      </c>
      <c r="N10" s="47">
        <f t="shared" si="4"/>
        <v>0.3</v>
      </c>
      <c r="O10" s="34">
        <f t="shared" ref="O10:P10" si="17">O9</f>
        <v>69930</v>
      </c>
      <c r="P10" s="35" t="str">
        <f t="shared" si="17"/>
        <v>PERCENTAGE</v>
      </c>
    </row>
    <row r="11" spans="1:16" x14ac:dyDescent="0.25">
      <c r="A11" s="35" t="str">
        <f t="shared" ref="A11:B11" si="18">A10</f>
        <v>2025 SEPT B1 D30</v>
      </c>
      <c r="B11" s="23">
        <f t="shared" si="18"/>
        <v>46099</v>
      </c>
      <c r="C11" s="8">
        <f>'2019 ALL D95'!C11</f>
        <v>46113</v>
      </c>
      <c r="D11" s="35">
        <f t="shared" si="0"/>
        <v>3272</v>
      </c>
      <c r="E11" s="35">
        <f t="shared" si="0"/>
        <v>336</v>
      </c>
      <c r="F11" s="31">
        <v>4</v>
      </c>
      <c r="G11" s="28">
        <v>1</v>
      </c>
      <c r="H11" s="46">
        <v>81379</v>
      </c>
      <c r="I11" s="28" t="str">
        <f t="shared" si="1"/>
        <v>CHARACTER</v>
      </c>
      <c r="J11" s="28">
        <v>55568484</v>
      </c>
      <c r="K11" s="28" t="s">
        <v>3539</v>
      </c>
      <c r="L11" s="28" t="s">
        <v>3553</v>
      </c>
      <c r="M11" s="28">
        <v>99900</v>
      </c>
      <c r="N11" s="47">
        <f t="shared" si="4"/>
        <v>0.3</v>
      </c>
      <c r="O11" s="34">
        <f t="shared" ref="O11:P11" si="19">O10</f>
        <v>69930</v>
      </c>
      <c r="P11" s="35" t="str">
        <f t="shared" si="19"/>
        <v>PERCENTAGE</v>
      </c>
    </row>
    <row r="12" spans="1:16" x14ac:dyDescent="0.25">
      <c r="A12" s="35" t="str">
        <f t="shared" ref="A12:B12" si="20">A11</f>
        <v>2025 SEPT B1 D30</v>
      </c>
      <c r="B12" s="23">
        <f t="shared" si="20"/>
        <v>46099</v>
      </c>
      <c r="C12" s="8">
        <f>'2019 ALL D95'!C12</f>
        <v>46113</v>
      </c>
      <c r="D12" s="35">
        <f t="shared" si="0"/>
        <v>3272</v>
      </c>
      <c r="E12" s="35">
        <f t="shared" si="0"/>
        <v>336</v>
      </c>
      <c r="F12" s="31">
        <v>4</v>
      </c>
      <c r="G12" s="28">
        <v>1</v>
      </c>
      <c r="H12" s="46">
        <v>81379</v>
      </c>
      <c r="I12" s="28" t="str">
        <f t="shared" si="1"/>
        <v>CHARACTER</v>
      </c>
      <c r="J12" s="28">
        <v>55568493</v>
      </c>
      <c r="K12" s="28" t="s">
        <v>3539</v>
      </c>
      <c r="L12" s="28" t="s">
        <v>3554</v>
      </c>
      <c r="M12" s="28">
        <v>99900</v>
      </c>
      <c r="N12" s="47">
        <f t="shared" si="4"/>
        <v>0.3</v>
      </c>
      <c r="O12" s="34">
        <f t="shared" ref="O12:P12" si="21">O11</f>
        <v>69930</v>
      </c>
      <c r="P12" s="35" t="str">
        <f t="shared" si="21"/>
        <v>PERCENTAGE</v>
      </c>
    </row>
    <row r="13" spans="1:16" x14ac:dyDescent="0.25">
      <c r="A13" s="35" t="str">
        <f t="shared" ref="A13:B13" si="22">A12</f>
        <v>2025 SEPT B1 D30</v>
      </c>
      <c r="B13" s="23">
        <f t="shared" si="22"/>
        <v>46099</v>
      </c>
      <c r="C13" s="8">
        <f>'2019 ALL D95'!C13</f>
        <v>46113</v>
      </c>
      <c r="D13" s="35">
        <f t="shared" si="0"/>
        <v>3272</v>
      </c>
      <c r="E13" s="35">
        <f t="shared" si="0"/>
        <v>336</v>
      </c>
      <c r="F13" s="31">
        <v>4</v>
      </c>
      <c r="G13" s="28">
        <v>1</v>
      </c>
      <c r="H13" s="46">
        <v>81379</v>
      </c>
      <c r="I13" s="28" t="str">
        <f t="shared" si="1"/>
        <v>CHARACTER</v>
      </c>
      <c r="J13" s="28">
        <v>55568500</v>
      </c>
      <c r="K13" s="28" t="s">
        <v>3539</v>
      </c>
      <c r="L13" s="28" t="s">
        <v>3555</v>
      </c>
      <c r="M13" s="28">
        <v>99900</v>
      </c>
      <c r="N13" s="47">
        <f t="shared" si="4"/>
        <v>0.3</v>
      </c>
      <c r="O13" s="34">
        <f t="shared" ref="O13:P13" si="23">O12</f>
        <v>69930</v>
      </c>
      <c r="P13" s="35" t="str">
        <f t="shared" si="23"/>
        <v>PERCENTAGE</v>
      </c>
    </row>
    <row r="14" spans="1:16" x14ac:dyDescent="0.25">
      <c r="A14" s="35" t="str">
        <f t="shared" ref="A14:B14" si="24">A13</f>
        <v>2025 SEPT B1 D30</v>
      </c>
      <c r="B14" s="23">
        <f t="shared" si="24"/>
        <v>46099</v>
      </c>
      <c r="C14" s="8">
        <f>'2019 ALL D95'!C14</f>
        <v>46113</v>
      </c>
      <c r="D14" s="35">
        <f t="shared" si="0"/>
        <v>3272</v>
      </c>
      <c r="E14" s="35">
        <f t="shared" si="0"/>
        <v>336</v>
      </c>
      <c r="F14" s="31">
        <v>4</v>
      </c>
      <c r="G14" s="28">
        <v>1</v>
      </c>
      <c r="H14" s="46">
        <v>81676</v>
      </c>
      <c r="I14" s="28" t="str">
        <f t="shared" si="1"/>
        <v>CHARACTER</v>
      </c>
      <c r="J14" s="28">
        <v>55568251</v>
      </c>
      <c r="K14" s="28" t="s">
        <v>3540</v>
      </c>
      <c r="L14" s="28" t="s">
        <v>3556</v>
      </c>
      <c r="M14" s="28">
        <v>99900</v>
      </c>
      <c r="N14" s="47">
        <f t="shared" si="4"/>
        <v>0.3</v>
      </c>
      <c r="O14" s="34">
        <f t="shared" ref="O14:P14" si="25">O13</f>
        <v>69930</v>
      </c>
      <c r="P14" s="35" t="str">
        <f t="shared" si="25"/>
        <v>PERCENTAGE</v>
      </c>
    </row>
    <row r="15" spans="1:16" x14ac:dyDescent="0.25">
      <c r="A15" s="35" t="str">
        <f t="shared" ref="A15:B15" si="26">A14</f>
        <v>2025 SEPT B1 D30</v>
      </c>
      <c r="B15" s="23">
        <f t="shared" si="26"/>
        <v>46099</v>
      </c>
      <c r="C15" s="8">
        <f>C2</f>
        <v>46113</v>
      </c>
      <c r="D15" s="35">
        <f t="shared" si="0"/>
        <v>3272</v>
      </c>
      <c r="E15" s="35">
        <f t="shared" si="0"/>
        <v>336</v>
      </c>
      <c r="F15" s="31">
        <v>4</v>
      </c>
      <c r="G15" s="28">
        <v>1</v>
      </c>
      <c r="H15" s="46">
        <v>81676</v>
      </c>
      <c r="I15" s="28" t="str">
        <f t="shared" si="1"/>
        <v>CHARACTER</v>
      </c>
      <c r="J15" s="28">
        <v>55568260</v>
      </c>
      <c r="K15" s="28" t="s">
        <v>3540</v>
      </c>
      <c r="L15" s="28" t="s">
        <v>3557</v>
      </c>
      <c r="M15" s="28">
        <v>99900</v>
      </c>
      <c r="N15" s="47">
        <f t="shared" si="4"/>
        <v>0.3</v>
      </c>
      <c r="O15" s="34">
        <f t="shared" ref="O15:P15" si="27">O14</f>
        <v>69930</v>
      </c>
      <c r="P15" s="35" t="str">
        <f t="shared" si="27"/>
        <v>PERCENTAGE</v>
      </c>
    </row>
    <row r="16" spans="1:16" x14ac:dyDescent="0.25">
      <c r="A16" s="35" t="str">
        <f t="shared" ref="A16:B16" si="28">A15</f>
        <v>2025 SEPT B1 D30</v>
      </c>
      <c r="B16" s="23">
        <f t="shared" si="28"/>
        <v>46099</v>
      </c>
      <c r="C16" s="8">
        <f>C2</f>
        <v>46113</v>
      </c>
      <c r="D16" s="35">
        <f t="shared" si="0"/>
        <v>3272</v>
      </c>
      <c r="E16" s="35">
        <f t="shared" si="0"/>
        <v>336</v>
      </c>
      <c r="F16" s="31">
        <v>4</v>
      </c>
      <c r="G16" s="28">
        <v>1</v>
      </c>
      <c r="H16" s="46">
        <v>81676</v>
      </c>
      <c r="I16" s="28" t="str">
        <f t="shared" si="1"/>
        <v>CHARACTER</v>
      </c>
      <c r="J16" s="28">
        <v>55568279</v>
      </c>
      <c r="K16" s="28" t="s">
        <v>3540</v>
      </c>
      <c r="L16" s="28" t="s">
        <v>3558</v>
      </c>
      <c r="M16" s="28">
        <v>99900</v>
      </c>
      <c r="N16" s="47">
        <f t="shared" si="4"/>
        <v>0.3</v>
      </c>
      <c r="O16" s="34">
        <f t="shared" ref="O16:P16" si="29">O15</f>
        <v>69930</v>
      </c>
      <c r="P16" s="35" t="str">
        <f t="shared" si="29"/>
        <v>PERCENTAGE</v>
      </c>
    </row>
    <row r="17" spans="1:16" x14ac:dyDescent="0.25">
      <c r="A17" s="35" t="str">
        <f t="shared" ref="A17:B17" si="30">A16</f>
        <v>2025 SEPT B1 D30</v>
      </c>
      <c r="B17" s="23">
        <f t="shared" si="30"/>
        <v>46099</v>
      </c>
      <c r="C17" s="8">
        <f>C2</f>
        <v>46113</v>
      </c>
      <c r="D17" s="35">
        <f t="shared" si="0"/>
        <v>3272</v>
      </c>
      <c r="E17" s="35">
        <f t="shared" si="0"/>
        <v>336</v>
      </c>
      <c r="F17" s="31">
        <v>4</v>
      </c>
      <c r="G17" s="28">
        <v>1</v>
      </c>
      <c r="H17" s="46">
        <v>81676</v>
      </c>
      <c r="I17" s="28" t="str">
        <f t="shared" si="1"/>
        <v>CHARACTER</v>
      </c>
      <c r="J17" s="28">
        <v>55568288</v>
      </c>
      <c r="K17" s="28" t="s">
        <v>3540</v>
      </c>
      <c r="L17" s="28" t="s">
        <v>3559</v>
      </c>
      <c r="M17" s="28">
        <v>99900</v>
      </c>
      <c r="N17" s="47">
        <f t="shared" si="4"/>
        <v>0.3</v>
      </c>
      <c r="O17" s="34">
        <f t="shared" ref="O17:P17" si="31">O16</f>
        <v>69930</v>
      </c>
      <c r="P17" s="35" t="str">
        <f t="shared" si="31"/>
        <v>PERCENTAGE</v>
      </c>
    </row>
    <row r="18" spans="1:16" x14ac:dyDescent="0.25">
      <c r="A18" s="35" t="str">
        <f t="shared" ref="A18:B18" si="32">A17</f>
        <v>2025 SEPT B1 D30</v>
      </c>
      <c r="B18" s="23">
        <f t="shared" si="32"/>
        <v>46099</v>
      </c>
      <c r="C18" s="8">
        <f>'2019 ALL D95'!C2</f>
        <v>46113</v>
      </c>
      <c r="D18" s="35">
        <f t="shared" si="0"/>
        <v>3272</v>
      </c>
      <c r="E18" s="35">
        <f t="shared" si="0"/>
        <v>336</v>
      </c>
      <c r="F18" s="31">
        <v>4</v>
      </c>
      <c r="G18" s="28">
        <v>1</v>
      </c>
      <c r="H18" s="46">
        <v>81676</v>
      </c>
      <c r="I18" s="28" t="str">
        <f t="shared" si="1"/>
        <v>CHARACTER</v>
      </c>
      <c r="J18" s="28">
        <v>55568297</v>
      </c>
      <c r="K18" s="28" t="s">
        <v>3540</v>
      </c>
      <c r="L18" s="28" t="s">
        <v>3560</v>
      </c>
      <c r="M18" s="28">
        <v>99900</v>
      </c>
      <c r="N18" s="47">
        <f t="shared" si="4"/>
        <v>0.3</v>
      </c>
      <c r="O18" s="34">
        <f t="shared" ref="O18:P18" si="33">O17</f>
        <v>69930</v>
      </c>
      <c r="P18" s="35" t="str">
        <f t="shared" si="33"/>
        <v>PERCENTAGE</v>
      </c>
    </row>
    <row r="19" spans="1:16" x14ac:dyDescent="0.25">
      <c r="A19" s="35" t="str">
        <f t="shared" ref="A19:E34" si="34">A18</f>
        <v>2025 SEPT B1 D30</v>
      </c>
      <c r="B19" s="23">
        <f t="shared" si="34"/>
        <v>46099</v>
      </c>
      <c r="C19" s="8">
        <f>'2019 ALL D95'!C2</f>
        <v>46113</v>
      </c>
      <c r="D19" s="35">
        <f t="shared" si="34"/>
        <v>3272</v>
      </c>
      <c r="E19" s="35">
        <f t="shared" si="34"/>
        <v>336</v>
      </c>
      <c r="F19" s="31">
        <v>4</v>
      </c>
      <c r="G19" s="28">
        <v>1</v>
      </c>
      <c r="H19" s="46">
        <v>81676</v>
      </c>
      <c r="I19" s="28" t="str">
        <f t="shared" si="1"/>
        <v>CHARACTER</v>
      </c>
      <c r="J19" s="28">
        <v>55568304</v>
      </c>
      <c r="K19" s="28" t="s">
        <v>3540</v>
      </c>
      <c r="L19" s="28" t="s">
        <v>3561</v>
      </c>
      <c r="M19" s="28">
        <v>99900</v>
      </c>
      <c r="N19" s="47">
        <f t="shared" si="4"/>
        <v>0.3</v>
      </c>
      <c r="O19" s="34">
        <f t="shared" ref="O19:P19" si="35">O18</f>
        <v>69930</v>
      </c>
      <c r="P19" s="35" t="str">
        <f t="shared" si="35"/>
        <v>PERCENTAGE</v>
      </c>
    </row>
    <row r="20" spans="1:16" x14ac:dyDescent="0.25">
      <c r="A20" s="35" t="str">
        <f t="shared" ref="A20:B20" si="36">A19</f>
        <v>2025 SEPT B1 D30</v>
      </c>
      <c r="B20" s="23">
        <f t="shared" si="36"/>
        <v>46099</v>
      </c>
      <c r="C20" s="8">
        <f>C2</f>
        <v>46113</v>
      </c>
      <c r="D20" s="35">
        <f t="shared" si="34"/>
        <v>3272</v>
      </c>
      <c r="E20" s="35">
        <f t="shared" si="34"/>
        <v>336</v>
      </c>
      <c r="F20" s="31">
        <v>4</v>
      </c>
      <c r="G20" s="28">
        <v>1</v>
      </c>
      <c r="H20" s="46">
        <v>81676</v>
      </c>
      <c r="I20" s="28" t="str">
        <f t="shared" si="1"/>
        <v>CHARACTER</v>
      </c>
      <c r="J20" s="28">
        <v>55568313</v>
      </c>
      <c r="K20" s="28" t="s">
        <v>3540</v>
      </c>
      <c r="L20" s="28" t="s">
        <v>3562</v>
      </c>
      <c r="M20" s="28">
        <v>99900</v>
      </c>
      <c r="N20" s="47">
        <f t="shared" si="4"/>
        <v>0.3</v>
      </c>
      <c r="O20" s="34">
        <f t="shared" ref="O20:P21" si="37">O19</f>
        <v>69930</v>
      </c>
      <c r="P20" s="35" t="str">
        <f t="shared" si="37"/>
        <v>PERCENTAGE</v>
      </c>
    </row>
    <row r="21" spans="1:16" x14ac:dyDescent="0.25">
      <c r="A21" s="35" t="s">
        <v>4238</v>
      </c>
      <c r="B21" s="8">
        <f>'2019 ALL D95'!B2</f>
        <v>46099</v>
      </c>
      <c r="C21" s="8">
        <f t="shared" ref="C21:C35" si="38">C3</f>
        <v>46113</v>
      </c>
      <c r="D21" s="35">
        <f t="shared" si="34"/>
        <v>3272</v>
      </c>
      <c r="E21" s="35">
        <f t="shared" si="34"/>
        <v>336</v>
      </c>
      <c r="F21" s="31">
        <v>4</v>
      </c>
      <c r="G21" s="28">
        <f>G2</f>
        <v>1</v>
      </c>
      <c r="H21" s="28">
        <v>81379</v>
      </c>
      <c r="I21" s="27" t="s">
        <v>104</v>
      </c>
      <c r="J21" s="28">
        <v>54555445</v>
      </c>
      <c r="K21" s="28" t="s">
        <v>3542</v>
      </c>
      <c r="L21" s="28" t="s">
        <v>3567</v>
      </c>
      <c r="M21" s="43">
        <v>149900</v>
      </c>
      <c r="N21" s="47">
        <f t="shared" si="4"/>
        <v>0.3</v>
      </c>
      <c r="O21" s="34">
        <f t="shared" ref="O21:O34" si="39">O20</f>
        <v>69930</v>
      </c>
      <c r="P21" s="35" t="str">
        <f t="shared" si="37"/>
        <v>PERCENTAGE</v>
      </c>
    </row>
    <row r="22" spans="1:16" x14ac:dyDescent="0.25">
      <c r="A22" s="35" t="str">
        <f t="shared" ref="A22:B22" si="40">A21</f>
        <v>2025 SEPT B1 D30</v>
      </c>
      <c r="B22" s="23">
        <f t="shared" si="40"/>
        <v>46099</v>
      </c>
      <c r="C22" s="8">
        <f t="shared" si="38"/>
        <v>46113</v>
      </c>
      <c r="D22" s="35">
        <f t="shared" si="34"/>
        <v>3272</v>
      </c>
      <c r="E22" s="35">
        <f t="shared" si="34"/>
        <v>336</v>
      </c>
      <c r="F22" s="31">
        <v>4</v>
      </c>
      <c r="G22" s="28">
        <f t="shared" ref="G22:G25" si="41">G21</f>
        <v>1</v>
      </c>
      <c r="H22" s="28">
        <v>81379</v>
      </c>
      <c r="I22" s="28" t="str">
        <f t="shared" ref="I22:I35" si="42">I21</f>
        <v>CHARACTER</v>
      </c>
      <c r="J22" s="28">
        <v>54555454</v>
      </c>
      <c r="K22" s="28" t="s">
        <v>3542</v>
      </c>
      <c r="L22" s="28" t="s">
        <v>3568</v>
      </c>
      <c r="M22" s="43">
        <v>149900</v>
      </c>
      <c r="N22" s="47">
        <f t="shared" si="4"/>
        <v>0.3</v>
      </c>
      <c r="O22" s="34">
        <f t="shared" si="39"/>
        <v>69930</v>
      </c>
      <c r="P22" s="35" t="str">
        <f t="shared" ref="P22" si="43">P21</f>
        <v>PERCENTAGE</v>
      </c>
    </row>
    <row r="23" spans="1:16" x14ac:dyDescent="0.25">
      <c r="A23" s="35" t="str">
        <f t="shared" ref="A23:B23" si="44">A22</f>
        <v>2025 SEPT B1 D30</v>
      </c>
      <c r="B23" s="23">
        <f t="shared" si="44"/>
        <v>46099</v>
      </c>
      <c r="C23" s="8">
        <f t="shared" si="38"/>
        <v>46113</v>
      </c>
      <c r="D23" s="35">
        <f t="shared" si="34"/>
        <v>3272</v>
      </c>
      <c r="E23" s="35">
        <f t="shared" si="34"/>
        <v>336</v>
      </c>
      <c r="F23" s="31">
        <v>4</v>
      </c>
      <c r="G23" s="28">
        <f t="shared" si="41"/>
        <v>1</v>
      </c>
      <c r="H23" s="28">
        <v>81379</v>
      </c>
      <c r="I23" s="28" t="str">
        <f t="shared" si="42"/>
        <v>CHARACTER</v>
      </c>
      <c r="J23" s="28">
        <v>54555463</v>
      </c>
      <c r="K23" s="28" t="s">
        <v>3542</v>
      </c>
      <c r="L23" s="28" t="s">
        <v>3569</v>
      </c>
      <c r="M23" s="43">
        <v>149900</v>
      </c>
      <c r="N23" s="47">
        <f t="shared" si="4"/>
        <v>0.3</v>
      </c>
      <c r="O23" s="34">
        <f t="shared" si="39"/>
        <v>69930</v>
      </c>
      <c r="P23" s="35" t="str">
        <f t="shared" ref="P23" si="45">P22</f>
        <v>PERCENTAGE</v>
      </c>
    </row>
    <row r="24" spans="1:16" x14ac:dyDescent="0.25">
      <c r="A24" s="35" t="str">
        <f t="shared" ref="A24:B24" si="46">A23</f>
        <v>2025 SEPT B1 D30</v>
      </c>
      <c r="B24" s="23">
        <f t="shared" si="46"/>
        <v>46099</v>
      </c>
      <c r="C24" s="8">
        <f t="shared" si="38"/>
        <v>46113</v>
      </c>
      <c r="D24" s="35">
        <f t="shared" si="34"/>
        <v>3272</v>
      </c>
      <c r="E24" s="35">
        <f t="shared" si="34"/>
        <v>336</v>
      </c>
      <c r="F24" s="31">
        <v>4</v>
      </c>
      <c r="G24" s="28">
        <f t="shared" si="41"/>
        <v>1</v>
      </c>
      <c r="H24" s="28">
        <v>81379</v>
      </c>
      <c r="I24" s="28" t="str">
        <f t="shared" si="42"/>
        <v>CHARACTER</v>
      </c>
      <c r="J24" s="28">
        <v>54555472</v>
      </c>
      <c r="K24" s="28" t="s">
        <v>3542</v>
      </c>
      <c r="L24" s="28" t="s">
        <v>3570</v>
      </c>
      <c r="M24" s="43">
        <v>149900</v>
      </c>
      <c r="N24" s="47">
        <f t="shared" si="4"/>
        <v>0.3</v>
      </c>
      <c r="O24" s="34">
        <f t="shared" si="39"/>
        <v>69930</v>
      </c>
      <c r="P24" s="35" t="str">
        <f t="shared" ref="P24" si="47">P23</f>
        <v>PERCENTAGE</v>
      </c>
    </row>
    <row r="25" spans="1:16" x14ac:dyDescent="0.25">
      <c r="A25" s="35" t="str">
        <f t="shared" ref="A25:B25" si="48">A24</f>
        <v>2025 SEPT B1 D30</v>
      </c>
      <c r="B25" s="23">
        <f t="shared" si="48"/>
        <v>46099</v>
      </c>
      <c r="C25" s="8">
        <f t="shared" si="38"/>
        <v>46113</v>
      </c>
      <c r="D25" s="35">
        <f t="shared" si="34"/>
        <v>3272</v>
      </c>
      <c r="E25" s="35">
        <f t="shared" si="34"/>
        <v>336</v>
      </c>
      <c r="F25" s="31">
        <v>4</v>
      </c>
      <c r="G25" s="28">
        <f t="shared" si="41"/>
        <v>1</v>
      </c>
      <c r="H25" s="28">
        <v>81379</v>
      </c>
      <c r="I25" s="28" t="str">
        <f t="shared" si="42"/>
        <v>CHARACTER</v>
      </c>
      <c r="J25" s="28">
        <v>54555481</v>
      </c>
      <c r="K25" s="28" t="s">
        <v>3542</v>
      </c>
      <c r="L25" s="28" t="s">
        <v>3571</v>
      </c>
      <c r="M25" s="43">
        <v>149900</v>
      </c>
      <c r="N25" s="47">
        <f t="shared" si="4"/>
        <v>0.3</v>
      </c>
      <c r="O25" s="34">
        <f t="shared" si="39"/>
        <v>69930</v>
      </c>
      <c r="P25" s="35" t="str">
        <f t="shared" ref="P25" si="49">P24</f>
        <v>PERCENTAGE</v>
      </c>
    </row>
    <row r="26" spans="1:16" x14ac:dyDescent="0.25">
      <c r="A26" s="35" t="str">
        <f t="shared" ref="A26:B26" si="50">A25</f>
        <v>2025 SEPT B1 D30</v>
      </c>
      <c r="B26" s="23">
        <f t="shared" si="50"/>
        <v>46099</v>
      </c>
      <c r="C26" s="8">
        <f t="shared" si="38"/>
        <v>46113</v>
      </c>
      <c r="D26" s="35">
        <f t="shared" si="34"/>
        <v>3272</v>
      </c>
      <c r="E26" s="35">
        <f t="shared" si="34"/>
        <v>336</v>
      </c>
      <c r="F26" s="31">
        <v>4</v>
      </c>
      <c r="G26" s="28">
        <f t="shared" ref="G26:G31" si="51">G25</f>
        <v>1</v>
      </c>
      <c r="H26" s="28">
        <v>81379</v>
      </c>
      <c r="I26" s="28" t="str">
        <f t="shared" si="42"/>
        <v>CHARACTER</v>
      </c>
      <c r="J26" s="28">
        <v>54555490</v>
      </c>
      <c r="K26" s="28" t="s">
        <v>3542</v>
      </c>
      <c r="L26" s="28" t="s">
        <v>3572</v>
      </c>
      <c r="M26" s="43">
        <v>149900</v>
      </c>
      <c r="N26" s="47">
        <f t="shared" si="4"/>
        <v>0.3</v>
      </c>
      <c r="O26" s="34">
        <f t="shared" si="39"/>
        <v>69930</v>
      </c>
      <c r="P26" s="35" t="str">
        <f t="shared" ref="P26" si="52">P25</f>
        <v>PERCENTAGE</v>
      </c>
    </row>
    <row r="27" spans="1:16" x14ac:dyDescent="0.25">
      <c r="A27" s="35" t="str">
        <f t="shared" ref="A27:B27" si="53">A26</f>
        <v>2025 SEPT B1 D30</v>
      </c>
      <c r="B27" s="23">
        <f t="shared" si="53"/>
        <v>46099</v>
      </c>
      <c r="C27" s="8">
        <f t="shared" si="38"/>
        <v>46113</v>
      </c>
      <c r="D27" s="35">
        <f t="shared" si="34"/>
        <v>3272</v>
      </c>
      <c r="E27" s="35">
        <f t="shared" si="34"/>
        <v>336</v>
      </c>
      <c r="F27" s="31">
        <v>4</v>
      </c>
      <c r="G27" s="28">
        <f t="shared" si="51"/>
        <v>1</v>
      </c>
      <c r="H27" s="28">
        <v>81379</v>
      </c>
      <c r="I27" s="28" t="str">
        <f t="shared" si="42"/>
        <v>CHARACTER</v>
      </c>
      <c r="J27" s="28">
        <v>54555507</v>
      </c>
      <c r="K27" s="28" t="s">
        <v>3542</v>
      </c>
      <c r="L27" s="28" t="s">
        <v>3573</v>
      </c>
      <c r="M27" s="43">
        <v>149900</v>
      </c>
      <c r="N27" s="47">
        <f t="shared" si="4"/>
        <v>0.3</v>
      </c>
      <c r="O27" s="34">
        <f t="shared" si="39"/>
        <v>69930</v>
      </c>
      <c r="P27" s="35" t="str">
        <f t="shared" ref="P27" si="54">P26</f>
        <v>PERCENTAGE</v>
      </c>
    </row>
    <row r="28" spans="1:16" x14ac:dyDescent="0.25">
      <c r="A28" s="35" t="str">
        <f t="shared" ref="A28:B28" si="55">A27</f>
        <v>2025 SEPT B1 D30</v>
      </c>
      <c r="B28" s="23">
        <f t="shared" si="55"/>
        <v>46099</v>
      </c>
      <c r="C28" s="8">
        <f t="shared" si="38"/>
        <v>46113</v>
      </c>
      <c r="D28" s="35">
        <f t="shared" si="34"/>
        <v>3272</v>
      </c>
      <c r="E28" s="35">
        <f t="shared" si="34"/>
        <v>336</v>
      </c>
      <c r="F28" s="31">
        <v>4</v>
      </c>
      <c r="G28" s="28">
        <f t="shared" si="51"/>
        <v>1</v>
      </c>
      <c r="H28" s="28">
        <v>81379</v>
      </c>
      <c r="I28" s="28" t="str">
        <f t="shared" si="42"/>
        <v>CHARACTER</v>
      </c>
      <c r="J28" s="28">
        <v>55568555</v>
      </c>
      <c r="K28" s="28" t="s">
        <v>3543</v>
      </c>
      <c r="L28" s="28" t="s">
        <v>3574</v>
      </c>
      <c r="M28" s="43">
        <v>149900</v>
      </c>
      <c r="N28" s="47">
        <f t="shared" si="4"/>
        <v>0.3</v>
      </c>
      <c r="O28" s="34">
        <f t="shared" si="39"/>
        <v>69930</v>
      </c>
      <c r="P28" s="35" t="str">
        <f t="shared" ref="P28" si="56">P27</f>
        <v>PERCENTAGE</v>
      </c>
    </row>
    <row r="29" spans="1:16" x14ac:dyDescent="0.25">
      <c r="A29" s="35" t="str">
        <f t="shared" ref="A29:B29" si="57">A28</f>
        <v>2025 SEPT B1 D30</v>
      </c>
      <c r="B29" s="23">
        <f t="shared" si="57"/>
        <v>46099</v>
      </c>
      <c r="C29" s="8">
        <f t="shared" si="38"/>
        <v>46113</v>
      </c>
      <c r="D29" s="35">
        <f t="shared" si="34"/>
        <v>3272</v>
      </c>
      <c r="E29" s="35">
        <f t="shared" si="34"/>
        <v>336</v>
      </c>
      <c r="F29" s="31">
        <v>4</v>
      </c>
      <c r="G29" s="28">
        <f t="shared" si="51"/>
        <v>1</v>
      </c>
      <c r="H29" s="28">
        <v>81379</v>
      </c>
      <c r="I29" s="28" t="str">
        <f t="shared" si="42"/>
        <v>CHARACTER</v>
      </c>
      <c r="J29" s="28">
        <v>55568564</v>
      </c>
      <c r="K29" s="28" t="s">
        <v>3543</v>
      </c>
      <c r="L29" s="28" t="s">
        <v>3575</v>
      </c>
      <c r="M29" s="43">
        <v>149900</v>
      </c>
      <c r="N29" s="47">
        <f t="shared" si="4"/>
        <v>0.3</v>
      </c>
      <c r="O29" s="34">
        <f t="shared" si="39"/>
        <v>69930</v>
      </c>
      <c r="P29" s="35" t="str">
        <f t="shared" ref="P29" si="58">P28</f>
        <v>PERCENTAGE</v>
      </c>
    </row>
    <row r="30" spans="1:16" x14ac:dyDescent="0.25">
      <c r="A30" s="35" t="str">
        <f t="shared" ref="A30:B30" si="59">A29</f>
        <v>2025 SEPT B1 D30</v>
      </c>
      <c r="B30" s="23">
        <f t="shared" si="59"/>
        <v>46099</v>
      </c>
      <c r="C30" s="8">
        <f t="shared" si="38"/>
        <v>46113</v>
      </c>
      <c r="D30" s="35">
        <f t="shared" si="34"/>
        <v>3272</v>
      </c>
      <c r="E30" s="35">
        <f t="shared" si="34"/>
        <v>336</v>
      </c>
      <c r="F30" s="31">
        <v>4</v>
      </c>
      <c r="G30" s="28">
        <f t="shared" si="51"/>
        <v>1</v>
      </c>
      <c r="H30" s="28">
        <v>81379</v>
      </c>
      <c r="I30" s="28" t="str">
        <f t="shared" si="42"/>
        <v>CHARACTER</v>
      </c>
      <c r="J30" s="28">
        <v>55568573</v>
      </c>
      <c r="K30" s="28" t="s">
        <v>3543</v>
      </c>
      <c r="L30" s="28" t="s">
        <v>3576</v>
      </c>
      <c r="M30" s="43">
        <v>149900</v>
      </c>
      <c r="N30" s="47">
        <f t="shared" si="4"/>
        <v>0.3</v>
      </c>
      <c r="O30" s="34">
        <f t="shared" si="39"/>
        <v>69930</v>
      </c>
      <c r="P30" s="35" t="str">
        <f t="shared" ref="P30" si="60">P29</f>
        <v>PERCENTAGE</v>
      </c>
    </row>
    <row r="31" spans="1:16" x14ac:dyDescent="0.25">
      <c r="A31" s="35" t="str">
        <f t="shared" ref="A31:B31" si="61">A30</f>
        <v>2025 SEPT B1 D30</v>
      </c>
      <c r="B31" s="23">
        <f t="shared" si="61"/>
        <v>46099</v>
      </c>
      <c r="C31" s="8">
        <f t="shared" si="38"/>
        <v>46113</v>
      </c>
      <c r="D31" s="35">
        <f t="shared" si="34"/>
        <v>3272</v>
      </c>
      <c r="E31" s="35">
        <f t="shared" si="34"/>
        <v>336</v>
      </c>
      <c r="F31" s="31">
        <v>4</v>
      </c>
      <c r="G31" s="28">
        <f t="shared" si="51"/>
        <v>1</v>
      </c>
      <c r="H31" s="28">
        <v>81379</v>
      </c>
      <c r="I31" s="28" t="str">
        <f t="shared" si="42"/>
        <v>CHARACTER</v>
      </c>
      <c r="J31" s="28">
        <v>55568582</v>
      </c>
      <c r="K31" s="28" t="s">
        <v>3543</v>
      </c>
      <c r="L31" s="28" t="s">
        <v>3577</v>
      </c>
      <c r="M31" s="43">
        <v>149900</v>
      </c>
      <c r="N31" s="47">
        <f t="shared" si="4"/>
        <v>0.3</v>
      </c>
      <c r="O31" s="34">
        <f t="shared" si="39"/>
        <v>69930</v>
      </c>
      <c r="P31" s="35" t="str">
        <f t="shared" ref="P31:P32" si="62">P30</f>
        <v>PERCENTAGE</v>
      </c>
    </row>
    <row r="32" spans="1:16" x14ac:dyDescent="0.25">
      <c r="A32" s="35" t="s">
        <v>4238</v>
      </c>
      <c r="B32" s="8">
        <f>'2019 ALL D95'!B2</f>
        <v>46099</v>
      </c>
      <c r="C32" s="8">
        <f t="shared" si="38"/>
        <v>46113</v>
      </c>
      <c r="D32" s="35">
        <f t="shared" si="34"/>
        <v>3272</v>
      </c>
      <c r="E32" s="35">
        <f t="shared" si="34"/>
        <v>336</v>
      </c>
      <c r="F32" s="31">
        <v>4</v>
      </c>
      <c r="G32" s="28">
        <v>3</v>
      </c>
      <c r="H32" s="28">
        <v>81379</v>
      </c>
      <c r="I32" s="27" t="s">
        <v>104</v>
      </c>
      <c r="J32" s="28">
        <v>55568519</v>
      </c>
      <c r="K32" s="28" t="s">
        <v>3541</v>
      </c>
      <c r="L32" s="28" t="s">
        <v>3563</v>
      </c>
      <c r="M32" s="28">
        <v>179900</v>
      </c>
      <c r="N32" s="47">
        <f t="shared" si="4"/>
        <v>0.3</v>
      </c>
      <c r="O32" s="34">
        <f t="shared" si="39"/>
        <v>69930</v>
      </c>
      <c r="P32" s="35" t="str">
        <f t="shared" si="62"/>
        <v>PERCENTAGE</v>
      </c>
    </row>
    <row r="33" spans="1:16" x14ac:dyDescent="0.25">
      <c r="A33" s="35" t="str">
        <f t="shared" ref="A33:B33" si="63">A32</f>
        <v>2025 SEPT B1 D30</v>
      </c>
      <c r="B33" s="23">
        <f t="shared" si="63"/>
        <v>46099</v>
      </c>
      <c r="C33" s="8">
        <f t="shared" si="38"/>
        <v>46113</v>
      </c>
      <c r="D33" s="35">
        <f t="shared" si="34"/>
        <v>3272</v>
      </c>
      <c r="E33" s="35">
        <f t="shared" si="34"/>
        <v>336</v>
      </c>
      <c r="F33" s="31">
        <v>4</v>
      </c>
      <c r="G33" s="28">
        <v>3</v>
      </c>
      <c r="H33" s="28">
        <v>81379</v>
      </c>
      <c r="I33" s="28" t="str">
        <f t="shared" si="42"/>
        <v>CHARACTER</v>
      </c>
      <c r="J33" s="28">
        <v>55568528</v>
      </c>
      <c r="K33" s="28" t="s">
        <v>3541</v>
      </c>
      <c r="L33" s="28" t="s">
        <v>3564</v>
      </c>
      <c r="M33" s="28">
        <v>179900</v>
      </c>
      <c r="N33" s="47">
        <f t="shared" si="4"/>
        <v>0.3</v>
      </c>
      <c r="O33" s="34">
        <f t="shared" si="39"/>
        <v>69930</v>
      </c>
      <c r="P33" s="35" t="str">
        <f t="shared" ref="P33" si="64">P32</f>
        <v>PERCENTAGE</v>
      </c>
    </row>
    <row r="34" spans="1:16" x14ac:dyDescent="0.25">
      <c r="A34" s="35" t="str">
        <f t="shared" ref="A34:B34" si="65">A33</f>
        <v>2025 SEPT B1 D30</v>
      </c>
      <c r="B34" s="23">
        <f t="shared" si="65"/>
        <v>46099</v>
      </c>
      <c r="C34" s="8">
        <f>C2</f>
        <v>46113</v>
      </c>
      <c r="D34" s="35">
        <f t="shared" si="34"/>
        <v>3272</v>
      </c>
      <c r="E34" s="35">
        <f t="shared" si="34"/>
        <v>336</v>
      </c>
      <c r="F34" s="31">
        <v>4</v>
      </c>
      <c r="G34" s="28">
        <v>3</v>
      </c>
      <c r="H34" s="28">
        <v>81379</v>
      </c>
      <c r="I34" s="28" t="str">
        <f t="shared" si="42"/>
        <v>CHARACTER</v>
      </c>
      <c r="J34" s="28">
        <v>55568537</v>
      </c>
      <c r="K34" s="28" t="s">
        <v>3541</v>
      </c>
      <c r="L34" s="28" t="s">
        <v>3565</v>
      </c>
      <c r="M34" s="28">
        <v>179900</v>
      </c>
      <c r="N34" s="47">
        <f t="shared" si="4"/>
        <v>0.3</v>
      </c>
      <c r="O34" s="34">
        <f t="shared" si="39"/>
        <v>69930</v>
      </c>
      <c r="P34" s="35" t="str">
        <f t="shared" ref="P34" si="66">P33</f>
        <v>PERCENTAGE</v>
      </c>
    </row>
    <row r="35" spans="1:16" x14ac:dyDescent="0.25">
      <c r="A35" s="35" t="str">
        <f t="shared" ref="A35:E35" si="67">A34</f>
        <v>2025 SEPT B1 D30</v>
      </c>
      <c r="B35" s="23">
        <f t="shared" si="67"/>
        <v>46099</v>
      </c>
      <c r="C35" s="8">
        <f t="shared" si="38"/>
        <v>46113</v>
      </c>
      <c r="D35" s="35">
        <f t="shared" si="67"/>
        <v>3272</v>
      </c>
      <c r="E35" s="35">
        <f t="shared" si="67"/>
        <v>336</v>
      </c>
      <c r="F35" s="31">
        <v>4</v>
      </c>
      <c r="G35" s="28">
        <v>3</v>
      </c>
      <c r="H35" s="28">
        <v>81379</v>
      </c>
      <c r="I35" s="28" t="str">
        <f t="shared" si="42"/>
        <v>CHARACTER</v>
      </c>
      <c r="J35" s="28">
        <v>55568546</v>
      </c>
      <c r="K35" s="28" t="s">
        <v>3541</v>
      </c>
      <c r="L35" s="28" t="s">
        <v>3566</v>
      </c>
      <c r="M35" s="28">
        <v>179900</v>
      </c>
      <c r="N35" s="47">
        <f t="shared" si="4"/>
        <v>0.3</v>
      </c>
      <c r="O35" s="34">
        <f>M35*N35</f>
        <v>53970</v>
      </c>
      <c r="P35" s="35" t="str">
        <f t="shared" ref="P35" si="68">P34</f>
        <v>PERCENTAGE</v>
      </c>
    </row>
  </sheetData>
  <phoneticPr fontId="9" type="noConversion"/>
  <conditionalFormatting sqref="J1:J1048576">
    <cfRule type="duplicateValues" dxfId="51" priority="280"/>
    <cfRule type="duplicateValues" dxfId="50" priority="281"/>
  </conditionalFormatting>
  <pageMargins left="0.7" right="0.7" top="0.75" bottom="0.75" header="0.3" footer="0.3"/>
  <pageSetup paperSize="9" orientation="portrait" r:id="rId1"/>
  <ignoredErrors>
    <ignoredError sqref="C3:C15 B21 B32 C17:C33 C35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3836-6108-40E3-B142-F7E13607115F}">
  <dimension ref="A1:P258"/>
  <sheetViews>
    <sheetView topLeftCell="A14" zoomScale="106" zoomScaleNormal="106" workbookViewId="0">
      <selection activeCell="C3" sqref="C3"/>
    </sheetView>
  </sheetViews>
  <sheetFormatPr defaultRowHeight="15" x14ac:dyDescent="0.25"/>
  <cols>
    <col min="1" max="1" width="32.28515625" style="6" bestFit="1" customWidth="1"/>
    <col min="2" max="3" width="14.28515625" style="6" customWidth="1"/>
    <col min="4" max="4" width="20.140625" style="6" bestFit="1" customWidth="1"/>
    <col min="5" max="5" width="18.140625" style="6" bestFit="1" customWidth="1"/>
    <col min="6" max="6" width="19.85546875" style="6" bestFit="1" customWidth="1"/>
    <col min="7" max="7" width="5.7109375" style="6" bestFit="1" customWidth="1"/>
    <col min="8" max="8" width="8.7109375" style="6" bestFit="1" customWidth="1"/>
    <col min="9" max="9" width="20.28515625" style="6" customWidth="1"/>
    <col min="10" max="10" width="18.140625" style="6" bestFit="1" customWidth="1"/>
    <col min="11" max="11" width="19.85546875" style="6" customWidth="1"/>
    <col min="12" max="12" width="109.42578125" style="29" bestFit="1" customWidth="1"/>
    <col min="13" max="13" width="14.7109375" style="6" bestFit="1" customWidth="1"/>
    <col min="14" max="14" width="14.5703125" style="6" customWidth="1"/>
    <col min="15" max="15" width="23" style="6" customWidth="1"/>
    <col min="16" max="16" width="24.85546875" style="6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4243</v>
      </c>
      <c r="B2" s="8">
        <f>'2019 ALL D95'!B2</f>
        <v>46099</v>
      </c>
      <c r="C2" s="8">
        <f>'2019 ALL D95'!C2</f>
        <v>46113</v>
      </c>
      <c r="D2" s="6">
        <v>3272</v>
      </c>
      <c r="E2" s="6">
        <v>336</v>
      </c>
      <c r="F2" s="6">
        <v>4</v>
      </c>
      <c r="G2" s="33">
        <v>3</v>
      </c>
      <c r="H2" s="33">
        <v>81379</v>
      </c>
      <c r="I2" s="33" t="s">
        <v>104</v>
      </c>
      <c r="J2" s="33">
        <v>61100001</v>
      </c>
      <c r="K2" s="33" t="s">
        <v>3933</v>
      </c>
      <c r="L2" s="28" t="s">
        <v>3934</v>
      </c>
      <c r="M2" s="33">
        <v>199900</v>
      </c>
      <c r="N2" s="33" t="s">
        <v>618</v>
      </c>
      <c r="O2" s="34" t="s">
        <v>4242</v>
      </c>
      <c r="P2" s="33" t="s">
        <v>618</v>
      </c>
    </row>
    <row r="3" spans="1:16" x14ac:dyDescent="0.25">
      <c r="A3" s="33" t="str">
        <f t="shared" ref="A3:A34" si="0">A2</f>
        <v>2025 OCT - DEC B3D10</v>
      </c>
      <c r="B3" s="8">
        <f t="shared" ref="B3:B34" si="1">B2</f>
        <v>46099</v>
      </c>
      <c r="C3" s="8">
        <f t="shared" ref="C3:C34" si="2">C2</f>
        <v>46113</v>
      </c>
      <c r="D3" s="33">
        <f t="shared" ref="D3:D34" si="3">D2</f>
        <v>3272</v>
      </c>
      <c r="E3" s="33">
        <f t="shared" ref="E3:E34" si="4">E2</f>
        <v>336</v>
      </c>
      <c r="F3" s="33">
        <f t="shared" ref="F3:F34" si="5">F2</f>
        <v>4</v>
      </c>
      <c r="G3" s="33">
        <v>3</v>
      </c>
      <c r="H3" s="33">
        <v>81379</v>
      </c>
      <c r="I3" s="33" t="s">
        <v>104</v>
      </c>
      <c r="J3" s="33">
        <v>61100010</v>
      </c>
      <c r="K3" s="33" t="s">
        <v>3933</v>
      </c>
      <c r="L3" s="28" t="s">
        <v>3935</v>
      </c>
      <c r="M3" s="33">
        <v>199900</v>
      </c>
      <c r="N3" s="33" t="str">
        <f t="shared" ref="N3:N34" si="6">N2</f>
        <v>BXGY</v>
      </c>
      <c r="O3" s="34" t="str">
        <f t="shared" ref="O3:O34" si="7">O2</f>
        <v>B3 DISC 10%</v>
      </c>
      <c r="P3" s="33" t="str">
        <f t="shared" ref="P3:P34" si="8">P2</f>
        <v>BXGY</v>
      </c>
    </row>
    <row r="4" spans="1:16" x14ac:dyDescent="0.25">
      <c r="A4" s="33" t="str">
        <f t="shared" si="0"/>
        <v>2025 OCT - DEC B3D10</v>
      </c>
      <c r="B4" s="8">
        <f t="shared" si="1"/>
        <v>46099</v>
      </c>
      <c r="C4" s="8">
        <f t="shared" si="2"/>
        <v>46113</v>
      </c>
      <c r="D4" s="33">
        <f t="shared" si="3"/>
        <v>3272</v>
      </c>
      <c r="E4" s="33">
        <f t="shared" si="4"/>
        <v>336</v>
      </c>
      <c r="F4" s="33">
        <f t="shared" si="5"/>
        <v>4</v>
      </c>
      <c r="G4" s="33">
        <v>3</v>
      </c>
      <c r="H4" s="33">
        <v>81379</v>
      </c>
      <c r="I4" s="33" t="s">
        <v>104</v>
      </c>
      <c r="J4" s="33">
        <v>61100029</v>
      </c>
      <c r="K4" s="33" t="s">
        <v>3933</v>
      </c>
      <c r="L4" s="28" t="s">
        <v>3936</v>
      </c>
      <c r="M4" s="33">
        <v>199900</v>
      </c>
      <c r="N4" s="33" t="str">
        <f t="shared" si="6"/>
        <v>BXGY</v>
      </c>
      <c r="O4" s="34" t="str">
        <f t="shared" si="7"/>
        <v>B3 DISC 10%</v>
      </c>
      <c r="P4" s="33" t="str">
        <f t="shared" si="8"/>
        <v>BXGY</v>
      </c>
    </row>
    <row r="5" spans="1:16" x14ac:dyDescent="0.25">
      <c r="A5" s="33" t="str">
        <f t="shared" si="0"/>
        <v>2025 OCT - DEC B3D10</v>
      </c>
      <c r="B5" s="8">
        <f t="shared" si="1"/>
        <v>46099</v>
      </c>
      <c r="C5" s="8">
        <f t="shared" si="2"/>
        <v>46113</v>
      </c>
      <c r="D5" s="33">
        <f t="shared" si="3"/>
        <v>3272</v>
      </c>
      <c r="E5" s="33">
        <f t="shared" si="4"/>
        <v>336</v>
      </c>
      <c r="F5" s="33">
        <f t="shared" si="5"/>
        <v>4</v>
      </c>
      <c r="G5" s="33">
        <v>3</v>
      </c>
      <c r="H5" s="33">
        <v>81379</v>
      </c>
      <c r="I5" s="33" t="s">
        <v>104</v>
      </c>
      <c r="J5" s="33">
        <v>61100038</v>
      </c>
      <c r="K5" s="33" t="s">
        <v>3933</v>
      </c>
      <c r="L5" s="28" t="s">
        <v>3937</v>
      </c>
      <c r="M5" s="33">
        <v>199900</v>
      </c>
      <c r="N5" s="33" t="str">
        <f t="shared" si="6"/>
        <v>BXGY</v>
      </c>
      <c r="O5" s="34" t="str">
        <f t="shared" si="7"/>
        <v>B3 DISC 10%</v>
      </c>
      <c r="P5" s="33" t="str">
        <f t="shared" si="8"/>
        <v>BXGY</v>
      </c>
    </row>
    <row r="6" spans="1:16" x14ac:dyDescent="0.25">
      <c r="A6" s="33" t="str">
        <f t="shared" si="0"/>
        <v>2025 OCT - DEC B3D10</v>
      </c>
      <c r="B6" s="8">
        <f t="shared" si="1"/>
        <v>46099</v>
      </c>
      <c r="C6" s="8">
        <f t="shared" si="2"/>
        <v>46113</v>
      </c>
      <c r="D6" s="33">
        <f t="shared" si="3"/>
        <v>3272</v>
      </c>
      <c r="E6" s="33">
        <f t="shared" si="4"/>
        <v>336</v>
      </c>
      <c r="F6" s="33">
        <f t="shared" si="5"/>
        <v>4</v>
      </c>
      <c r="G6" s="33">
        <v>3</v>
      </c>
      <c r="H6" s="33">
        <v>81379</v>
      </c>
      <c r="I6" s="33" t="s">
        <v>104</v>
      </c>
      <c r="J6" s="33">
        <v>61967568</v>
      </c>
      <c r="K6" s="33" t="s">
        <v>3938</v>
      </c>
      <c r="L6" s="28" t="s">
        <v>3939</v>
      </c>
      <c r="M6" s="33">
        <v>179900</v>
      </c>
      <c r="N6" s="33" t="str">
        <f t="shared" si="6"/>
        <v>BXGY</v>
      </c>
      <c r="O6" s="34" t="str">
        <f t="shared" si="7"/>
        <v>B3 DISC 10%</v>
      </c>
      <c r="P6" s="33" t="str">
        <f t="shared" si="8"/>
        <v>BXGY</v>
      </c>
    </row>
    <row r="7" spans="1:16" x14ac:dyDescent="0.25">
      <c r="A7" s="33" t="str">
        <f t="shared" si="0"/>
        <v>2025 OCT - DEC B3D10</v>
      </c>
      <c r="B7" s="8">
        <f t="shared" si="1"/>
        <v>46099</v>
      </c>
      <c r="C7" s="8">
        <f t="shared" si="2"/>
        <v>46113</v>
      </c>
      <c r="D7" s="33">
        <f t="shared" si="3"/>
        <v>3272</v>
      </c>
      <c r="E7" s="33">
        <f t="shared" si="4"/>
        <v>336</v>
      </c>
      <c r="F7" s="33">
        <f t="shared" si="5"/>
        <v>4</v>
      </c>
      <c r="G7" s="33">
        <v>3</v>
      </c>
      <c r="H7" s="33">
        <v>81379</v>
      </c>
      <c r="I7" s="33" t="s">
        <v>104</v>
      </c>
      <c r="J7" s="33">
        <v>61967577</v>
      </c>
      <c r="K7" s="33" t="s">
        <v>3938</v>
      </c>
      <c r="L7" s="28" t="s">
        <v>3940</v>
      </c>
      <c r="M7" s="33">
        <v>179900</v>
      </c>
      <c r="N7" s="33" t="str">
        <f t="shared" si="6"/>
        <v>BXGY</v>
      </c>
      <c r="O7" s="34" t="str">
        <f t="shared" si="7"/>
        <v>B3 DISC 10%</v>
      </c>
      <c r="P7" s="33" t="str">
        <f t="shared" si="8"/>
        <v>BXGY</v>
      </c>
    </row>
    <row r="8" spans="1:16" x14ac:dyDescent="0.25">
      <c r="A8" s="33" t="str">
        <f t="shared" si="0"/>
        <v>2025 OCT - DEC B3D10</v>
      </c>
      <c r="B8" s="8">
        <f t="shared" si="1"/>
        <v>46099</v>
      </c>
      <c r="C8" s="8">
        <f t="shared" si="2"/>
        <v>46113</v>
      </c>
      <c r="D8" s="33">
        <f t="shared" si="3"/>
        <v>3272</v>
      </c>
      <c r="E8" s="33">
        <f t="shared" si="4"/>
        <v>336</v>
      </c>
      <c r="F8" s="33">
        <f t="shared" si="5"/>
        <v>4</v>
      </c>
      <c r="G8" s="33">
        <v>3</v>
      </c>
      <c r="H8" s="33">
        <v>81379</v>
      </c>
      <c r="I8" s="33" t="s">
        <v>104</v>
      </c>
      <c r="J8" s="33">
        <v>61967586</v>
      </c>
      <c r="K8" s="33" t="s">
        <v>3938</v>
      </c>
      <c r="L8" s="28" t="s">
        <v>3941</v>
      </c>
      <c r="M8" s="33">
        <v>179900</v>
      </c>
      <c r="N8" s="33" t="str">
        <f t="shared" si="6"/>
        <v>BXGY</v>
      </c>
      <c r="O8" s="34" t="str">
        <f t="shared" si="7"/>
        <v>B3 DISC 10%</v>
      </c>
      <c r="P8" s="33" t="str">
        <f t="shared" si="8"/>
        <v>BXGY</v>
      </c>
    </row>
    <row r="9" spans="1:16" x14ac:dyDescent="0.25">
      <c r="A9" s="33" t="str">
        <f t="shared" si="0"/>
        <v>2025 OCT - DEC B3D10</v>
      </c>
      <c r="B9" s="8">
        <f t="shared" si="1"/>
        <v>46099</v>
      </c>
      <c r="C9" s="8">
        <f t="shared" si="2"/>
        <v>46113</v>
      </c>
      <c r="D9" s="33">
        <f t="shared" si="3"/>
        <v>3272</v>
      </c>
      <c r="E9" s="33">
        <f t="shared" si="4"/>
        <v>336</v>
      </c>
      <c r="F9" s="33">
        <f t="shared" si="5"/>
        <v>4</v>
      </c>
      <c r="G9" s="33">
        <v>3</v>
      </c>
      <c r="H9" s="33">
        <v>81379</v>
      </c>
      <c r="I9" s="33" t="s">
        <v>104</v>
      </c>
      <c r="J9" s="33">
        <v>61967595</v>
      </c>
      <c r="K9" s="33" t="s">
        <v>3938</v>
      </c>
      <c r="L9" s="28" t="s">
        <v>3942</v>
      </c>
      <c r="M9" s="33">
        <v>179900</v>
      </c>
      <c r="N9" s="33" t="str">
        <f t="shared" si="6"/>
        <v>BXGY</v>
      </c>
      <c r="O9" s="34" t="str">
        <f t="shared" si="7"/>
        <v>B3 DISC 10%</v>
      </c>
      <c r="P9" s="33" t="str">
        <f t="shared" si="8"/>
        <v>BXGY</v>
      </c>
    </row>
    <row r="10" spans="1:16" x14ac:dyDescent="0.25">
      <c r="A10" s="33" t="str">
        <f t="shared" si="0"/>
        <v>2025 OCT - DEC B3D10</v>
      </c>
      <c r="B10" s="8">
        <f t="shared" si="1"/>
        <v>46099</v>
      </c>
      <c r="C10" s="8">
        <f t="shared" si="2"/>
        <v>46113</v>
      </c>
      <c r="D10" s="33">
        <f t="shared" si="3"/>
        <v>3272</v>
      </c>
      <c r="E10" s="33">
        <f t="shared" si="4"/>
        <v>336</v>
      </c>
      <c r="F10" s="33">
        <f t="shared" si="5"/>
        <v>4</v>
      </c>
      <c r="G10" s="33">
        <v>3</v>
      </c>
      <c r="H10" s="33">
        <v>81379</v>
      </c>
      <c r="I10" s="33" t="s">
        <v>104</v>
      </c>
      <c r="J10" s="33">
        <v>61967602</v>
      </c>
      <c r="K10" s="33" t="s">
        <v>3938</v>
      </c>
      <c r="L10" s="28" t="s">
        <v>3943</v>
      </c>
      <c r="M10" s="33">
        <v>179900</v>
      </c>
      <c r="N10" s="33" t="str">
        <f t="shared" si="6"/>
        <v>BXGY</v>
      </c>
      <c r="O10" s="34" t="str">
        <f t="shared" si="7"/>
        <v>B3 DISC 10%</v>
      </c>
      <c r="P10" s="33" t="str">
        <f t="shared" si="8"/>
        <v>BXGY</v>
      </c>
    </row>
    <row r="11" spans="1:16" x14ac:dyDescent="0.25">
      <c r="A11" s="33" t="str">
        <f t="shared" si="0"/>
        <v>2025 OCT - DEC B3D10</v>
      </c>
      <c r="B11" s="8">
        <f t="shared" si="1"/>
        <v>46099</v>
      </c>
      <c r="C11" s="8">
        <f t="shared" si="2"/>
        <v>46113</v>
      </c>
      <c r="D11" s="33">
        <f t="shared" si="3"/>
        <v>3272</v>
      </c>
      <c r="E11" s="33">
        <f t="shared" si="4"/>
        <v>336</v>
      </c>
      <c r="F11" s="33">
        <f t="shared" si="5"/>
        <v>4</v>
      </c>
      <c r="G11" s="33">
        <v>3</v>
      </c>
      <c r="H11" s="33">
        <v>81379</v>
      </c>
      <c r="I11" s="33" t="s">
        <v>104</v>
      </c>
      <c r="J11" s="33">
        <v>61967611</v>
      </c>
      <c r="K11" s="33" t="s">
        <v>3938</v>
      </c>
      <c r="L11" s="28" t="s">
        <v>3944</v>
      </c>
      <c r="M11" s="33">
        <v>179900</v>
      </c>
      <c r="N11" s="33" t="str">
        <f t="shared" si="6"/>
        <v>BXGY</v>
      </c>
      <c r="O11" s="34" t="str">
        <f t="shared" si="7"/>
        <v>B3 DISC 10%</v>
      </c>
      <c r="P11" s="33" t="str">
        <f t="shared" si="8"/>
        <v>BXGY</v>
      </c>
    </row>
    <row r="12" spans="1:16" x14ac:dyDescent="0.25">
      <c r="A12" s="33" t="str">
        <f t="shared" si="0"/>
        <v>2025 OCT - DEC B3D10</v>
      </c>
      <c r="B12" s="8">
        <f t="shared" si="1"/>
        <v>46099</v>
      </c>
      <c r="C12" s="8">
        <f t="shared" si="2"/>
        <v>46113</v>
      </c>
      <c r="D12" s="33">
        <f t="shared" si="3"/>
        <v>3272</v>
      </c>
      <c r="E12" s="33">
        <f t="shared" si="4"/>
        <v>336</v>
      </c>
      <c r="F12" s="33">
        <f t="shared" si="5"/>
        <v>4</v>
      </c>
      <c r="G12" s="33">
        <v>3</v>
      </c>
      <c r="H12" s="33">
        <v>81379</v>
      </c>
      <c r="I12" s="33" t="s">
        <v>104</v>
      </c>
      <c r="J12" s="33">
        <v>61967620</v>
      </c>
      <c r="K12" s="33" t="s">
        <v>3938</v>
      </c>
      <c r="L12" s="28" t="s">
        <v>3945</v>
      </c>
      <c r="M12" s="33">
        <v>179900</v>
      </c>
      <c r="N12" s="33" t="str">
        <f t="shared" si="6"/>
        <v>BXGY</v>
      </c>
      <c r="O12" s="34" t="str">
        <f t="shared" si="7"/>
        <v>B3 DISC 10%</v>
      </c>
      <c r="P12" s="33" t="str">
        <f t="shared" si="8"/>
        <v>BXGY</v>
      </c>
    </row>
    <row r="13" spans="1:16" x14ac:dyDescent="0.25">
      <c r="A13" s="33" t="str">
        <f t="shared" si="0"/>
        <v>2025 OCT - DEC B3D10</v>
      </c>
      <c r="B13" s="8">
        <f t="shared" si="1"/>
        <v>46099</v>
      </c>
      <c r="C13" s="8">
        <f t="shared" si="2"/>
        <v>46113</v>
      </c>
      <c r="D13" s="33">
        <f t="shared" si="3"/>
        <v>3272</v>
      </c>
      <c r="E13" s="33">
        <f t="shared" si="4"/>
        <v>336</v>
      </c>
      <c r="F13" s="33">
        <f t="shared" si="5"/>
        <v>4</v>
      </c>
      <c r="G13" s="33">
        <v>3</v>
      </c>
      <c r="H13" s="33">
        <v>81379</v>
      </c>
      <c r="I13" s="33" t="s">
        <v>104</v>
      </c>
      <c r="J13" s="33">
        <v>61967639</v>
      </c>
      <c r="K13" s="33" t="s">
        <v>3946</v>
      </c>
      <c r="L13" s="28" t="s">
        <v>3947</v>
      </c>
      <c r="M13" s="33">
        <v>199900</v>
      </c>
      <c r="N13" s="33" t="str">
        <f t="shared" si="6"/>
        <v>BXGY</v>
      </c>
      <c r="O13" s="34" t="str">
        <f t="shared" si="7"/>
        <v>B3 DISC 10%</v>
      </c>
      <c r="P13" s="33" t="str">
        <f t="shared" si="8"/>
        <v>BXGY</v>
      </c>
    </row>
    <row r="14" spans="1:16" x14ac:dyDescent="0.25">
      <c r="A14" s="33" t="str">
        <f t="shared" si="0"/>
        <v>2025 OCT - DEC B3D10</v>
      </c>
      <c r="B14" s="8">
        <f t="shared" si="1"/>
        <v>46099</v>
      </c>
      <c r="C14" s="8">
        <f t="shared" si="2"/>
        <v>46113</v>
      </c>
      <c r="D14" s="33">
        <f t="shared" si="3"/>
        <v>3272</v>
      </c>
      <c r="E14" s="33">
        <f t="shared" si="4"/>
        <v>336</v>
      </c>
      <c r="F14" s="33">
        <f t="shared" si="5"/>
        <v>4</v>
      </c>
      <c r="G14" s="33">
        <v>3</v>
      </c>
      <c r="H14" s="33">
        <v>81379</v>
      </c>
      <c r="I14" s="33" t="s">
        <v>104</v>
      </c>
      <c r="J14" s="33">
        <v>61967648</v>
      </c>
      <c r="K14" s="33" t="s">
        <v>3946</v>
      </c>
      <c r="L14" s="28" t="s">
        <v>3948</v>
      </c>
      <c r="M14" s="33">
        <v>199900</v>
      </c>
      <c r="N14" s="33" t="str">
        <f t="shared" si="6"/>
        <v>BXGY</v>
      </c>
      <c r="O14" s="34" t="str">
        <f t="shared" si="7"/>
        <v>B3 DISC 10%</v>
      </c>
      <c r="P14" s="33" t="str">
        <f t="shared" si="8"/>
        <v>BXGY</v>
      </c>
    </row>
    <row r="15" spans="1:16" x14ac:dyDescent="0.25">
      <c r="A15" s="33" t="str">
        <f t="shared" si="0"/>
        <v>2025 OCT - DEC B3D10</v>
      </c>
      <c r="B15" s="8">
        <f t="shared" si="1"/>
        <v>46099</v>
      </c>
      <c r="C15" s="8">
        <f t="shared" si="2"/>
        <v>46113</v>
      </c>
      <c r="D15" s="33">
        <f t="shared" si="3"/>
        <v>3272</v>
      </c>
      <c r="E15" s="33">
        <f t="shared" si="4"/>
        <v>336</v>
      </c>
      <c r="F15" s="33">
        <f t="shared" si="5"/>
        <v>4</v>
      </c>
      <c r="G15" s="33">
        <v>3</v>
      </c>
      <c r="H15" s="33">
        <v>81379</v>
      </c>
      <c r="I15" s="33" t="s">
        <v>104</v>
      </c>
      <c r="J15" s="33">
        <v>61967657</v>
      </c>
      <c r="K15" s="33" t="s">
        <v>3946</v>
      </c>
      <c r="L15" s="28" t="s">
        <v>3949</v>
      </c>
      <c r="M15" s="33">
        <v>199900</v>
      </c>
      <c r="N15" s="33" t="str">
        <f t="shared" si="6"/>
        <v>BXGY</v>
      </c>
      <c r="O15" s="34" t="str">
        <f t="shared" si="7"/>
        <v>B3 DISC 10%</v>
      </c>
      <c r="P15" s="33" t="str">
        <f t="shared" si="8"/>
        <v>BXGY</v>
      </c>
    </row>
    <row r="16" spans="1:16" x14ac:dyDescent="0.25">
      <c r="A16" s="33" t="str">
        <f t="shared" si="0"/>
        <v>2025 OCT - DEC B3D10</v>
      </c>
      <c r="B16" s="8">
        <f t="shared" si="1"/>
        <v>46099</v>
      </c>
      <c r="C16" s="8">
        <f t="shared" si="2"/>
        <v>46113</v>
      </c>
      <c r="D16" s="33">
        <f t="shared" si="3"/>
        <v>3272</v>
      </c>
      <c r="E16" s="33">
        <f t="shared" si="4"/>
        <v>336</v>
      </c>
      <c r="F16" s="33">
        <f t="shared" si="5"/>
        <v>4</v>
      </c>
      <c r="G16" s="33">
        <v>3</v>
      </c>
      <c r="H16" s="33">
        <v>81379</v>
      </c>
      <c r="I16" s="33" t="s">
        <v>104</v>
      </c>
      <c r="J16" s="33">
        <v>61967666</v>
      </c>
      <c r="K16" s="33" t="s">
        <v>3946</v>
      </c>
      <c r="L16" s="28" t="s">
        <v>3950</v>
      </c>
      <c r="M16" s="33">
        <v>199900</v>
      </c>
      <c r="N16" s="33" t="str">
        <f t="shared" si="6"/>
        <v>BXGY</v>
      </c>
      <c r="O16" s="34" t="str">
        <f t="shared" si="7"/>
        <v>B3 DISC 10%</v>
      </c>
      <c r="P16" s="33" t="str">
        <f t="shared" si="8"/>
        <v>BXGY</v>
      </c>
    </row>
    <row r="17" spans="1:16" x14ac:dyDescent="0.25">
      <c r="A17" s="33" t="str">
        <f t="shared" si="0"/>
        <v>2025 OCT - DEC B3D10</v>
      </c>
      <c r="B17" s="8">
        <f t="shared" si="1"/>
        <v>46099</v>
      </c>
      <c r="C17" s="8">
        <f t="shared" si="2"/>
        <v>46113</v>
      </c>
      <c r="D17" s="33">
        <f t="shared" si="3"/>
        <v>3272</v>
      </c>
      <c r="E17" s="33">
        <f t="shared" si="4"/>
        <v>336</v>
      </c>
      <c r="F17" s="33">
        <f t="shared" si="5"/>
        <v>4</v>
      </c>
      <c r="G17" s="33">
        <v>3</v>
      </c>
      <c r="H17" s="33">
        <v>81379</v>
      </c>
      <c r="I17" s="33" t="s">
        <v>104</v>
      </c>
      <c r="J17" s="33">
        <v>61967675</v>
      </c>
      <c r="K17" s="33" t="s">
        <v>3946</v>
      </c>
      <c r="L17" s="28" t="s">
        <v>3951</v>
      </c>
      <c r="M17" s="33">
        <v>199900</v>
      </c>
      <c r="N17" s="33" t="str">
        <f t="shared" si="6"/>
        <v>BXGY</v>
      </c>
      <c r="O17" s="34" t="str">
        <f t="shared" si="7"/>
        <v>B3 DISC 10%</v>
      </c>
      <c r="P17" s="33" t="str">
        <f t="shared" si="8"/>
        <v>BXGY</v>
      </c>
    </row>
    <row r="18" spans="1:16" x14ac:dyDescent="0.25">
      <c r="A18" s="33" t="str">
        <f t="shared" si="0"/>
        <v>2025 OCT - DEC B3D10</v>
      </c>
      <c r="B18" s="8">
        <f t="shared" si="1"/>
        <v>46099</v>
      </c>
      <c r="C18" s="8">
        <f t="shared" si="2"/>
        <v>46113</v>
      </c>
      <c r="D18" s="33">
        <f t="shared" si="3"/>
        <v>3272</v>
      </c>
      <c r="E18" s="33">
        <f t="shared" si="4"/>
        <v>336</v>
      </c>
      <c r="F18" s="33">
        <f t="shared" si="5"/>
        <v>4</v>
      </c>
      <c r="G18" s="33">
        <v>3</v>
      </c>
      <c r="H18" s="33">
        <v>81379</v>
      </c>
      <c r="I18" s="33" t="s">
        <v>104</v>
      </c>
      <c r="J18" s="33">
        <v>61967684</v>
      </c>
      <c r="K18" s="33" t="s">
        <v>3946</v>
      </c>
      <c r="L18" s="28" t="s">
        <v>3952</v>
      </c>
      <c r="M18" s="33">
        <v>199900</v>
      </c>
      <c r="N18" s="33" t="str">
        <f t="shared" si="6"/>
        <v>BXGY</v>
      </c>
      <c r="O18" s="34" t="str">
        <f t="shared" si="7"/>
        <v>B3 DISC 10%</v>
      </c>
      <c r="P18" s="33" t="str">
        <f t="shared" si="8"/>
        <v>BXGY</v>
      </c>
    </row>
    <row r="19" spans="1:16" x14ac:dyDescent="0.25">
      <c r="A19" s="33" t="str">
        <f t="shared" si="0"/>
        <v>2025 OCT - DEC B3D10</v>
      </c>
      <c r="B19" s="8">
        <f t="shared" si="1"/>
        <v>46099</v>
      </c>
      <c r="C19" s="8">
        <f t="shared" si="2"/>
        <v>46113</v>
      </c>
      <c r="D19" s="33">
        <f t="shared" si="3"/>
        <v>3272</v>
      </c>
      <c r="E19" s="33">
        <f t="shared" si="4"/>
        <v>336</v>
      </c>
      <c r="F19" s="33">
        <f t="shared" si="5"/>
        <v>4</v>
      </c>
      <c r="G19" s="33">
        <v>3</v>
      </c>
      <c r="H19" s="33">
        <v>81379</v>
      </c>
      <c r="I19" s="33" t="s">
        <v>104</v>
      </c>
      <c r="J19" s="33">
        <v>61967693</v>
      </c>
      <c r="K19" s="33" t="s">
        <v>3946</v>
      </c>
      <c r="L19" s="28" t="s">
        <v>3953</v>
      </c>
      <c r="M19" s="33">
        <v>199900</v>
      </c>
      <c r="N19" s="33" t="str">
        <f t="shared" si="6"/>
        <v>BXGY</v>
      </c>
      <c r="O19" s="34" t="str">
        <f t="shared" si="7"/>
        <v>B3 DISC 10%</v>
      </c>
      <c r="P19" s="33" t="str">
        <f t="shared" si="8"/>
        <v>BXGY</v>
      </c>
    </row>
    <row r="20" spans="1:16" x14ac:dyDescent="0.25">
      <c r="A20" s="33" t="str">
        <f t="shared" si="0"/>
        <v>2025 OCT - DEC B3D10</v>
      </c>
      <c r="B20" s="8">
        <f t="shared" si="1"/>
        <v>46099</v>
      </c>
      <c r="C20" s="8">
        <f t="shared" si="2"/>
        <v>46113</v>
      </c>
      <c r="D20" s="33">
        <f t="shared" si="3"/>
        <v>3272</v>
      </c>
      <c r="E20" s="33">
        <f t="shared" si="4"/>
        <v>336</v>
      </c>
      <c r="F20" s="33">
        <f t="shared" si="5"/>
        <v>4</v>
      </c>
      <c r="G20" s="33">
        <v>3</v>
      </c>
      <c r="H20" s="33">
        <v>81379</v>
      </c>
      <c r="I20" s="33" t="s">
        <v>104</v>
      </c>
      <c r="J20" s="33">
        <v>61968754</v>
      </c>
      <c r="K20" s="33" t="s">
        <v>3954</v>
      </c>
      <c r="L20" s="28" t="s">
        <v>3955</v>
      </c>
      <c r="M20" s="33">
        <v>199900</v>
      </c>
      <c r="N20" s="33" t="str">
        <f t="shared" si="6"/>
        <v>BXGY</v>
      </c>
      <c r="O20" s="34" t="str">
        <f t="shared" si="7"/>
        <v>B3 DISC 10%</v>
      </c>
      <c r="P20" s="33" t="str">
        <f t="shared" si="8"/>
        <v>BXGY</v>
      </c>
    </row>
    <row r="21" spans="1:16" x14ac:dyDescent="0.25">
      <c r="A21" s="33" t="str">
        <f t="shared" si="0"/>
        <v>2025 OCT - DEC B3D10</v>
      </c>
      <c r="B21" s="8">
        <f t="shared" si="1"/>
        <v>46099</v>
      </c>
      <c r="C21" s="8">
        <f t="shared" si="2"/>
        <v>46113</v>
      </c>
      <c r="D21" s="33">
        <f t="shared" si="3"/>
        <v>3272</v>
      </c>
      <c r="E21" s="33">
        <f t="shared" si="4"/>
        <v>336</v>
      </c>
      <c r="F21" s="33">
        <f t="shared" si="5"/>
        <v>4</v>
      </c>
      <c r="G21" s="33">
        <v>3</v>
      </c>
      <c r="H21" s="33">
        <v>81379</v>
      </c>
      <c r="I21" s="33" t="s">
        <v>104</v>
      </c>
      <c r="J21" s="33">
        <v>61968763</v>
      </c>
      <c r="K21" s="33" t="s">
        <v>3954</v>
      </c>
      <c r="L21" s="28" t="s">
        <v>3956</v>
      </c>
      <c r="M21" s="33">
        <v>199900</v>
      </c>
      <c r="N21" s="33" t="str">
        <f t="shared" si="6"/>
        <v>BXGY</v>
      </c>
      <c r="O21" s="34" t="str">
        <f t="shared" si="7"/>
        <v>B3 DISC 10%</v>
      </c>
      <c r="P21" s="33" t="str">
        <f t="shared" si="8"/>
        <v>BXGY</v>
      </c>
    </row>
    <row r="22" spans="1:16" x14ac:dyDescent="0.25">
      <c r="A22" s="33" t="str">
        <f t="shared" si="0"/>
        <v>2025 OCT - DEC B3D10</v>
      </c>
      <c r="B22" s="8">
        <f t="shared" si="1"/>
        <v>46099</v>
      </c>
      <c r="C22" s="8">
        <f t="shared" si="2"/>
        <v>46113</v>
      </c>
      <c r="D22" s="33">
        <f t="shared" si="3"/>
        <v>3272</v>
      </c>
      <c r="E22" s="33">
        <f t="shared" si="4"/>
        <v>336</v>
      </c>
      <c r="F22" s="33">
        <f t="shared" si="5"/>
        <v>4</v>
      </c>
      <c r="G22" s="33">
        <v>3</v>
      </c>
      <c r="H22" s="33">
        <v>81379</v>
      </c>
      <c r="I22" s="33" t="s">
        <v>104</v>
      </c>
      <c r="J22" s="33">
        <v>61968772</v>
      </c>
      <c r="K22" s="33" t="s">
        <v>3954</v>
      </c>
      <c r="L22" s="28" t="s">
        <v>3957</v>
      </c>
      <c r="M22" s="33">
        <v>199900</v>
      </c>
      <c r="N22" s="33" t="str">
        <f t="shared" si="6"/>
        <v>BXGY</v>
      </c>
      <c r="O22" s="34" t="str">
        <f t="shared" si="7"/>
        <v>B3 DISC 10%</v>
      </c>
      <c r="P22" s="33" t="str">
        <f t="shared" si="8"/>
        <v>BXGY</v>
      </c>
    </row>
    <row r="23" spans="1:16" x14ac:dyDescent="0.25">
      <c r="A23" s="33" t="str">
        <f t="shared" si="0"/>
        <v>2025 OCT - DEC B3D10</v>
      </c>
      <c r="B23" s="8">
        <f t="shared" si="1"/>
        <v>46099</v>
      </c>
      <c r="C23" s="8">
        <f t="shared" si="2"/>
        <v>46113</v>
      </c>
      <c r="D23" s="33">
        <f t="shared" si="3"/>
        <v>3272</v>
      </c>
      <c r="E23" s="33">
        <f t="shared" si="4"/>
        <v>336</v>
      </c>
      <c r="F23" s="33">
        <f t="shared" si="5"/>
        <v>4</v>
      </c>
      <c r="G23" s="33">
        <v>3</v>
      </c>
      <c r="H23" s="33">
        <v>81379</v>
      </c>
      <c r="I23" s="33" t="s">
        <v>104</v>
      </c>
      <c r="J23" s="33">
        <v>61968781</v>
      </c>
      <c r="K23" s="33" t="s">
        <v>3954</v>
      </c>
      <c r="L23" s="28" t="s">
        <v>3958</v>
      </c>
      <c r="M23" s="33">
        <v>199900</v>
      </c>
      <c r="N23" s="33" t="str">
        <f t="shared" si="6"/>
        <v>BXGY</v>
      </c>
      <c r="O23" s="34" t="str">
        <f t="shared" si="7"/>
        <v>B3 DISC 10%</v>
      </c>
      <c r="P23" s="33" t="str">
        <f t="shared" si="8"/>
        <v>BXGY</v>
      </c>
    </row>
    <row r="24" spans="1:16" x14ac:dyDescent="0.25">
      <c r="A24" s="33" t="str">
        <f t="shared" si="0"/>
        <v>2025 OCT - DEC B3D10</v>
      </c>
      <c r="B24" s="8">
        <f t="shared" si="1"/>
        <v>46099</v>
      </c>
      <c r="C24" s="8">
        <f t="shared" si="2"/>
        <v>46113</v>
      </c>
      <c r="D24" s="33">
        <f t="shared" si="3"/>
        <v>3272</v>
      </c>
      <c r="E24" s="33">
        <f t="shared" si="4"/>
        <v>336</v>
      </c>
      <c r="F24" s="33">
        <f t="shared" si="5"/>
        <v>4</v>
      </c>
      <c r="G24" s="33">
        <v>3</v>
      </c>
      <c r="H24" s="33">
        <v>81379</v>
      </c>
      <c r="I24" s="33" t="s">
        <v>104</v>
      </c>
      <c r="J24" s="33">
        <v>61968790</v>
      </c>
      <c r="K24" s="33" t="s">
        <v>3954</v>
      </c>
      <c r="L24" s="28" t="s">
        <v>3959</v>
      </c>
      <c r="M24" s="33">
        <v>199900</v>
      </c>
      <c r="N24" s="33" t="str">
        <f t="shared" si="6"/>
        <v>BXGY</v>
      </c>
      <c r="O24" s="34" t="str">
        <f t="shared" si="7"/>
        <v>B3 DISC 10%</v>
      </c>
      <c r="P24" s="33" t="str">
        <f t="shared" si="8"/>
        <v>BXGY</v>
      </c>
    </row>
    <row r="25" spans="1:16" x14ac:dyDescent="0.25">
      <c r="A25" s="33" t="str">
        <f t="shared" si="0"/>
        <v>2025 OCT - DEC B3D10</v>
      </c>
      <c r="B25" s="8">
        <f t="shared" si="1"/>
        <v>46099</v>
      </c>
      <c r="C25" s="8">
        <f t="shared" si="2"/>
        <v>46113</v>
      </c>
      <c r="D25" s="33">
        <f t="shared" si="3"/>
        <v>3272</v>
      </c>
      <c r="E25" s="33">
        <f t="shared" si="4"/>
        <v>336</v>
      </c>
      <c r="F25" s="33">
        <f t="shared" si="5"/>
        <v>4</v>
      </c>
      <c r="G25" s="33">
        <v>3</v>
      </c>
      <c r="H25" s="33">
        <v>81379</v>
      </c>
      <c r="I25" s="33" t="s">
        <v>104</v>
      </c>
      <c r="J25" s="33">
        <v>61968807</v>
      </c>
      <c r="K25" s="33" t="s">
        <v>3954</v>
      </c>
      <c r="L25" s="28" t="s">
        <v>3960</v>
      </c>
      <c r="M25" s="33">
        <v>199900</v>
      </c>
      <c r="N25" s="33" t="str">
        <f t="shared" si="6"/>
        <v>BXGY</v>
      </c>
      <c r="O25" s="34" t="str">
        <f t="shared" si="7"/>
        <v>B3 DISC 10%</v>
      </c>
      <c r="P25" s="33" t="str">
        <f t="shared" si="8"/>
        <v>BXGY</v>
      </c>
    </row>
    <row r="26" spans="1:16" x14ac:dyDescent="0.25">
      <c r="A26" s="33" t="str">
        <f t="shared" si="0"/>
        <v>2025 OCT - DEC B3D10</v>
      </c>
      <c r="B26" s="8">
        <f t="shared" si="1"/>
        <v>46099</v>
      </c>
      <c r="C26" s="8">
        <f t="shared" si="2"/>
        <v>46113</v>
      </c>
      <c r="D26" s="33">
        <f t="shared" si="3"/>
        <v>3272</v>
      </c>
      <c r="E26" s="33">
        <f t="shared" si="4"/>
        <v>336</v>
      </c>
      <c r="F26" s="33">
        <f t="shared" si="5"/>
        <v>4</v>
      </c>
      <c r="G26" s="33">
        <v>3</v>
      </c>
      <c r="H26" s="33">
        <v>81379</v>
      </c>
      <c r="I26" s="33" t="s">
        <v>104</v>
      </c>
      <c r="J26" s="33">
        <v>61968816</v>
      </c>
      <c r="K26" s="33" t="s">
        <v>3954</v>
      </c>
      <c r="L26" s="28" t="s">
        <v>3961</v>
      </c>
      <c r="M26" s="33">
        <v>199900</v>
      </c>
      <c r="N26" s="33" t="str">
        <f t="shared" si="6"/>
        <v>BXGY</v>
      </c>
      <c r="O26" s="34" t="str">
        <f t="shared" si="7"/>
        <v>B3 DISC 10%</v>
      </c>
      <c r="P26" s="33" t="str">
        <f t="shared" si="8"/>
        <v>BXGY</v>
      </c>
    </row>
    <row r="27" spans="1:16" x14ac:dyDescent="0.25">
      <c r="A27" s="33" t="str">
        <f t="shared" si="0"/>
        <v>2025 OCT - DEC B3D10</v>
      </c>
      <c r="B27" s="8">
        <f t="shared" si="1"/>
        <v>46099</v>
      </c>
      <c r="C27" s="8">
        <f t="shared" si="2"/>
        <v>46113</v>
      </c>
      <c r="D27" s="33">
        <f t="shared" si="3"/>
        <v>3272</v>
      </c>
      <c r="E27" s="33">
        <f t="shared" si="4"/>
        <v>336</v>
      </c>
      <c r="F27" s="33">
        <f t="shared" si="5"/>
        <v>4</v>
      </c>
      <c r="G27" s="33">
        <v>4</v>
      </c>
      <c r="H27" s="33">
        <v>81379</v>
      </c>
      <c r="I27" s="33" t="s">
        <v>104</v>
      </c>
      <c r="J27" s="33">
        <v>61967700</v>
      </c>
      <c r="K27" s="33" t="s">
        <v>3962</v>
      </c>
      <c r="L27" s="28" t="s">
        <v>3963</v>
      </c>
      <c r="M27" s="33">
        <v>99900</v>
      </c>
      <c r="N27" s="33" t="str">
        <f t="shared" si="6"/>
        <v>BXGY</v>
      </c>
      <c r="O27" s="34" t="str">
        <f t="shared" si="7"/>
        <v>B3 DISC 10%</v>
      </c>
      <c r="P27" s="33" t="str">
        <f t="shared" si="8"/>
        <v>BXGY</v>
      </c>
    </row>
    <row r="28" spans="1:16" x14ac:dyDescent="0.25">
      <c r="A28" s="33" t="str">
        <f t="shared" si="0"/>
        <v>2025 OCT - DEC B3D10</v>
      </c>
      <c r="B28" s="8">
        <f t="shared" si="1"/>
        <v>46099</v>
      </c>
      <c r="C28" s="8">
        <f t="shared" si="2"/>
        <v>46113</v>
      </c>
      <c r="D28" s="33">
        <f t="shared" si="3"/>
        <v>3272</v>
      </c>
      <c r="E28" s="33">
        <f t="shared" si="4"/>
        <v>336</v>
      </c>
      <c r="F28" s="33">
        <f t="shared" si="5"/>
        <v>4</v>
      </c>
      <c r="G28" s="33">
        <v>4</v>
      </c>
      <c r="H28" s="33">
        <v>81379</v>
      </c>
      <c r="I28" s="33" t="s">
        <v>104</v>
      </c>
      <c r="J28" s="33">
        <v>61967719</v>
      </c>
      <c r="K28" s="33" t="s">
        <v>3962</v>
      </c>
      <c r="L28" s="28" t="s">
        <v>3964</v>
      </c>
      <c r="M28" s="33">
        <v>99900</v>
      </c>
      <c r="N28" s="33" t="str">
        <f t="shared" si="6"/>
        <v>BXGY</v>
      </c>
      <c r="O28" s="34" t="str">
        <f t="shared" si="7"/>
        <v>B3 DISC 10%</v>
      </c>
      <c r="P28" s="33" t="str">
        <f t="shared" si="8"/>
        <v>BXGY</v>
      </c>
    </row>
    <row r="29" spans="1:16" x14ac:dyDescent="0.25">
      <c r="A29" s="33" t="str">
        <f t="shared" si="0"/>
        <v>2025 OCT - DEC B3D10</v>
      </c>
      <c r="B29" s="8">
        <f t="shared" si="1"/>
        <v>46099</v>
      </c>
      <c r="C29" s="8">
        <f t="shared" si="2"/>
        <v>46113</v>
      </c>
      <c r="D29" s="33">
        <f t="shared" si="3"/>
        <v>3272</v>
      </c>
      <c r="E29" s="33">
        <f t="shared" si="4"/>
        <v>336</v>
      </c>
      <c r="F29" s="33">
        <f t="shared" si="5"/>
        <v>4</v>
      </c>
      <c r="G29" s="33">
        <v>4</v>
      </c>
      <c r="H29" s="33">
        <v>81379</v>
      </c>
      <c r="I29" s="33" t="s">
        <v>104</v>
      </c>
      <c r="J29" s="33">
        <v>61967728</v>
      </c>
      <c r="K29" s="33" t="s">
        <v>3962</v>
      </c>
      <c r="L29" s="28" t="s">
        <v>3965</v>
      </c>
      <c r="M29" s="33">
        <v>99900</v>
      </c>
      <c r="N29" s="33" t="str">
        <f t="shared" si="6"/>
        <v>BXGY</v>
      </c>
      <c r="O29" s="34" t="str">
        <f t="shared" si="7"/>
        <v>B3 DISC 10%</v>
      </c>
      <c r="P29" s="33" t="str">
        <f t="shared" si="8"/>
        <v>BXGY</v>
      </c>
    </row>
    <row r="30" spans="1:16" x14ac:dyDescent="0.25">
      <c r="A30" s="33" t="str">
        <f t="shared" si="0"/>
        <v>2025 OCT - DEC B3D10</v>
      </c>
      <c r="B30" s="8">
        <f t="shared" si="1"/>
        <v>46099</v>
      </c>
      <c r="C30" s="8">
        <f t="shared" si="2"/>
        <v>46113</v>
      </c>
      <c r="D30" s="33">
        <f t="shared" si="3"/>
        <v>3272</v>
      </c>
      <c r="E30" s="33">
        <f t="shared" si="4"/>
        <v>336</v>
      </c>
      <c r="F30" s="33">
        <f t="shared" si="5"/>
        <v>4</v>
      </c>
      <c r="G30" s="33">
        <v>4</v>
      </c>
      <c r="H30" s="33">
        <v>81379</v>
      </c>
      <c r="I30" s="33" t="s">
        <v>104</v>
      </c>
      <c r="J30" s="33">
        <v>61967737</v>
      </c>
      <c r="K30" s="33" t="s">
        <v>3962</v>
      </c>
      <c r="L30" s="28" t="s">
        <v>3966</v>
      </c>
      <c r="M30" s="33">
        <v>99900</v>
      </c>
      <c r="N30" s="33" t="str">
        <f t="shared" si="6"/>
        <v>BXGY</v>
      </c>
      <c r="O30" s="34" t="str">
        <f t="shared" si="7"/>
        <v>B3 DISC 10%</v>
      </c>
      <c r="P30" s="33" t="str">
        <f t="shared" si="8"/>
        <v>BXGY</v>
      </c>
    </row>
    <row r="31" spans="1:16" x14ac:dyDescent="0.25">
      <c r="A31" s="33" t="str">
        <f t="shared" si="0"/>
        <v>2025 OCT - DEC B3D10</v>
      </c>
      <c r="B31" s="8">
        <f t="shared" si="1"/>
        <v>46099</v>
      </c>
      <c r="C31" s="8">
        <f t="shared" si="2"/>
        <v>46113</v>
      </c>
      <c r="D31" s="33">
        <f t="shared" si="3"/>
        <v>3272</v>
      </c>
      <c r="E31" s="33">
        <f t="shared" si="4"/>
        <v>336</v>
      </c>
      <c r="F31" s="33">
        <f t="shared" si="5"/>
        <v>4</v>
      </c>
      <c r="G31" s="33">
        <v>4</v>
      </c>
      <c r="H31" s="33">
        <v>81379</v>
      </c>
      <c r="I31" s="33" t="s">
        <v>104</v>
      </c>
      <c r="J31" s="33">
        <v>61967746</v>
      </c>
      <c r="K31" s="33" t="s">
        <v>3962</v>
      </c>
      <c r="L31" s="28" t="s">
        <v>3967</v>
      </c>
      <c r="M31" s="33">
        <v>99900</v>
      </c>
      <c r="N31" s="33" t="str">
        <f t="shared" si="6"/>
        <v>BXGY</v>
      </c>
      <c r="O31" s="34" t="str">
        <f t="shared" si="7"/>
        <v>B3 DISC 10%</v>
      </c>
      <c r="P31" s="33" t="str">
        <f t="shared" si="8"/>
        <v>BXGY</v>
      </c>
    </row>
    <row r="32" spans="1:16" x14ac:dyDescent="0.25">
      <c r="A32" s="33" t="str">
        <f t="shared" si="0"/>
        <v>2025 OCT - DEC B3D10</v>
      </c>
      <c r="B32" s="8">
        <f t="shared" si="1"/>
        <v>46099</v>
      </c>
      <c r="C32" s="8">
        <f t="shared" si="2"/>
        <v>46113</v>
      </c>
      <c r="D32" s="33">
        <f t="shared" si="3"/>
        <v>3272</v>
      </c>
      <c r="E32" s="33">
        <f t="shared" si="4"/>
        <v>336</v>
      </c>
      <c r="F32" s="33">
        <f t="shared" si="5"/>
        <v>4</v>
      </c>
      <c r="G32" s="33">
        <v>4</v>
      </c>
      <c r="H32" s="33">
        <v>81379</v>
      </c>
      <c r="I32" s="33" t="s">
        <v>104</v>
      </c>
      <c r="J32" s="33">
        <v>61967755</v>
      </c>
      <c r="K32" s="33" t="s">
        <v>3962</v>
      </c>
      <c r="L32" s="28" t="s">
        <v>3968</v>
      </c>
      <c r="M32" s="33">
        <v>99900</v>
      </c>
      <c r="N32" s="33" t="str">
        <f t="shared" si="6"/>
        <v>BXGY</v>
      </c>
      <c r="O32" s="34" t="str">
        <f t="shared" si="7"/>
        <v>B3 DISC 10%</v>
      </c>
      <c r="P32" s="33" t="str">
        <f t="shared" si="8"/>
        <v>BXGY</v>
      </c>
    </row>
    <row r="33" spans="1:16" x14ac:dyDescent="0.25">
      <c r="A33" s="33" t="str">
        <f t="shared" si="0"/>
        <v>2025 OCT - DEC B3D10</v>
      </c>
      <c r="B33" s="8">
        <f t="shared" si="1"/>
        <v>46099</v>
      </c>
      <c r="C33" s="8">
        <f t="shared" si="2"/>
        <v>46113</v>
      </c>
      <c r="D33" s="33">
        <f t="shared" si="3"/>
        <v>3272</v>
      </c>
      <c r="E33" s="33">
        <f t="shared" si="4"/>
        <v>336</v>
      </c>
      <c r="F33" s="33">
        <f t="shared" si="5"/>
        <v>4</v>
      </c>
      <c r="G33" s="33">
        <v>4</v>
      </c>
      <c r="H33" s="33">
        <v>81379</v>
      </c>
      <c r="I33" s="33" t="s">
        <v>104</v>
      </c>
      <c r="J33" s="33">
        <v>61967764</v>
      </c>
      <c r="K33" s="33" t="s">
        <v>3962</v>
      </c>
      <c r="L33" s="28" t="s">
        <v>3969</v>
      </c>
      <c r="M33" s="33">
        <v>99900</v>
      </c>
      <c r="N33" s="33" t="str">
        <f t="shared" si="6"/>
        <v>BXGY</v>
      </c>
      <c r="O33" s="34" t="str">
        <f t="shared" si="7"/>
        <v>B3 DISC 10%</v>
      </c>
      <c r="P33" s="33" t="str">
        <f t="shared" si="8"/>
        <v>BXGY</v>
      </c>
    </row>
    <row r="34" spans="1:16" x14ac:dyDescent="0.25">
      <c r="A34" s="33" t="str">
        <f t="shared" si="0"/>
        <v>2025 OCT - DEC B3D10</v>
      </c>
      <c r="B34" s="8">
        <f t="shared" si="1"/>
        <v>46099</v>
      </c>
      <c r="C34" s="8">
        <f t="shared" si="2"/>
        <v>46113</v>
      </c>
      <c r="D34" s="33">
        <f t="shared" si="3"/>
        <v>3272</v>
      </c>
      <c r="E34" s="33">
        <f t="shared" si="4"/>
        <v>336</v>
      </c>
      <c r="F34" s="33">
        <f t="shared" si="5"/>
        <v>4</v>
      </c>
      <c r="G34" s="33">
        <v>5</v>
      </c>
      <c r="H34" s="33">
        <v>81379</v>
      </c>
      <c r="I34" s="33" t="s">
        <v>104</v>
      </c>
      <c r="J34" s="33">
        <v>61967773</v>
      </c>
      <c r="K34" s="33" t="s">
        <v>3970</v>
      </c>
      <c r="L34" s="28" t="s">
        <v>3971</v>
      </c>
      <c r="M34" s="33">
        <v>149900</v>
      </c>
      <c r="N34" s="33" t="str">
        <f t="shared" si="6"/>
        <v>BXGY</v>
      </c>
      <c r="O34" s="34" t="str">
        <f t="shared" si="7"/>
        <v>B3 DISC 10%</v>
      </c>
      <c r="P34" s="33" t="str">
        <f t="shared" si="8"/>
        <v>BXGY</v>
      </c>
    </row>
    <row r="35" spans="1:16" x14ac:dyDescent="0.25">
      <c r="A35" s="33" t="str">
        <f t="shared" ref="A35:A67" si="9">A34</f>
        <v>2025 OCT - DEC B3D10</v>
      </c>
      <c r="B35" s="8">
        <f t="shared" ref="B35:B67" si="10">B34</f>
        <v>46099</v>
      </c>
      <c r="C35" s="8">
        <f t="shared" ref="C35:C67" si="11">C34</f>
        <v>46113</v>
      </c>
      <c r="D35" s="33">
        <f t="shared" ref="D35:D67" si="12">D34</f>
        <v>3272</v>
      </c>
      <c r="E35" s="33">
        <f t="shared" ref="E35:E67" si="13">E34</f>
        <v>336</v>
      </c>
      <c r="F35" s="33">
        <f t="shared" ref="F35:F67" si="14">F34</f>
        <v>4</v>
      </c>
      <c r="G35" s="33">
        <v>5</v>
      </c>
      <c r="H35" s="33">
        <v>81379</v>
      </c>
      <c r="I35" s="33" t="s">
        <v>104</v>
      </c>
      <c r="J35" s="33">
        <v>61967782</v>
      </c>
      <c r="K35" s="33" t="s">
        <v>3970</v>
      </c>
      <c r="L35" s="28" t="s">
        <v>3972</v>
      </c>
      <c r="M35" s="33">
        <v>149900</v>
      </c>
      <c r="N35" s="33" t="str">
        <f t="shared" ref="N35:N67" si="15">N34</f>
        <v>BXGY</v>
      </c>
      <c r="O35" s="34" t="str">
        <f t="shared" ref="O35:O67" si="16">O34</f>
        <v>B3 DISC 10%</v>
      </c>
      <c r="P35" s="33" t="str">
        <f t="shared" ref="P35:P67" si="17">P34</f>
        <v>BXGY</v>
      </c>
    </row>
    <row r="36" spans="1:16" x14ac:dyDescent="0.25">
      <c r="A36" s="33" t="str">
        <f t="shared" si="9"/>
        <v>2025 OCT - DEC B3D10</v>
      </c>
      <c r="B36" s="8">
        <f t="shared" si="10"/>
        <v>46099</v>
      </c>
      <c r="C36" s="8">
        <f t="shared" si="11"/>
        <v>46113</v>
      </c>
      <c r="D36" s="33">
        <f t="shared" si="12"/>
        <v>3272</v>
      </c>
      <c r="E36" s="33">
        <f t="shared" si="13"/>
        <v>336</v>
      </c>
      <c r="F36" s="33">
        <f t="shared" si="14"/>
        <v>4</v>
      </c>
      <c r="G36" s="33">
        <v>5</v>
      </c>
      <c r="H36" s="33">
        <v>81379</v>
      </c>
      <c r="I36" s="33" t="s">
        <v>104</v>
      </c>
      <c r="J36" s="33">
        <v>61967791</v>
      </c>
      <c r="K36" s="33" t="s">
        <v>3970</v>
      </c>
      <c r="L36" s="28" t="s">
        <v>3973</v>
      </c>
      <c r="M36" s="33">
        <v>149900</v>
      </c>
      <c r="N36" s="33" t="str">
        <f t="shared" si="15"/>
        <v>BXGY</v>
      </c>
      <c r="O36" s="34" t="str">
        <f t="shared" si="16"/>
        <v>B3 DISC 10%</v>
      </c>
      <c r="P36" s="33" t="str">
        <f t="shared" si="17"/>
        <v>BXGY</v>
      </c>
    </row>
    <row r="37" spans="1:16" x14ac:dyDescent="0.25">
      <c r="A37" s="33" t="str">
        <f t="shared" si="9"/>
        <v>2025 OCT - DEC B3D10</v>
      </c>
      <c r="B37" s="8">
        <f t="shared" si="10"/>
        <v>46099</v>
      </c>
      <c r="C37" s="8">
        <f t="shared" si="11"/>
        <v>46113</v>
      </c>
      <c r="D37" s="33">
        <f t="shared" si="12"/>
        <v>3272</v>
      </c>
      <c r="E37" s="33">
        <f t="shared" si="13"/>
        <v>336</v>
      </c>
      <c r="F37" s="33">
        <f t="shared" si="14"/>
        <v>4</v>
      </c>
      <c r="G37" s="33">
        <v>5</v>
      </c>
      <c r="H37" s="33">
        <v>81379</v>
      </c>
      <c r="I37" s="33" t="s">
        <v>104</v>
      </c>
      <c r="J37" s="33">
        <v>61967808</v>
      </c>
      <c r="K37" s="33" t="s">
        <v>3970</v>
      </c>
      <c r="L37" s="28" t="s">
        <v>3974</v>
      </c>
      <c r="M37" s="33">
        <v>149900</v>
      </c>
      <c r="N37" s="33" t="str">
        <f t="shared" si="15"/>
        <v>BXGY</v>
      </c>
      <c r="O37" s="34" t="str">
        <f t="shared" si="16"/>
        <v>B3 DISC 10%</v>
      </c>
      <c r="P37" s="33" t="str">
        <f t="shared" si="17"/>
        <v>BXGY</v>
      </c>
    </row>
    <row r="38" spans="1:16" x14ac:dyDescent="0.25">
      <c r="A38" s="33" t="str">
        <f t="shared" si="9"/>
        <v>2025 OCT - DEC B3D10</v>
      </c>
      <c r="B38" s="8">
        <f t="shared" si="10"/>
        <v>46099</v>
      </c>
      <c r="C38" s="8">
        <f t="shared" si="11"/>
        <v>46113</v>
      </c>
      <c r="D38" s="33">
        <f t="shared" si="12"/>
        <v>3272</v>
      </c>
      <c r="E38" s="33">
        <f t="shared" si="13"/>
        <v>336</v>
      </c>
      <c r="F38" s="33">
        <f t="shared" si="14"/>
        <v>4</v>
      </c>
      <c r="G38" s="33">
        <v>5</v>
      </c>
      <c r="H38" s="33">
        <v>81379</v>
      </c>
      <c r="I38" s="33" t="s">
        <v>104</v>
      </c>
      <c r="J38" s="33">
        <v>61967817</v>
      </c>
      <c r="K38" s="33" t="s">
        <v>3970</v>
      </c>
      <c r="L38" s="28" t="s">
        <v>3975</v>
      </c>
      <c r="M38" s="33">
        <v>149900</v>
      </c>
      <c r="N38" s="33" t="str">
        <f t="shared" si="15"/>
        <v>BXGY</v>
      </c>
      <c r="O38" s="34" t="str">
        <f t="shared" si="16"/>
        <v>B3 DISC 10%</v>
      </c>
      <c r="P38" s="33" t="str">
        <f t="shared" si="17"/>
        <v>BXGY</v>
      </c>
    </row>
    <row r="39" spans="1:16" x14ac:dyDescent="0.25">
      <c r="A39" s="33" t="str">
        <f t="shared" si="9"/>
        <v>2025 OCT - DEC B3D10</v>
      </c>
      <c r="B39" s="8">
        <f t="shared" si="10"/>
        <v>46099</v>
      </c>
      <c r="C39" s="8">
        <f t="shared" si="11"/>
        <v>46113</v>
      </c>
      <c r="D39" s="33">
        <f t="shared" si="12"/>
        <v>3272</v>
      </c>
      <c r="E39" s="33">
        <f t="shared" si="13"/>
        <v>336</v>
      </c>
      <c r="F39" s="33">
        <f t="shared" si="14"/>
        <v>4</v>
      </c>
      <c r="G39" s="33">
        <v>5</v>
      </c>
      <c r="H39" s="33">
        <v>81379</v>
      </c>
      <c r="I39" s="33" t="s">
        <v>104</v>
      </c>
      <c r="J39" s="33">
        <v>61967826</v>
      </c>
      <c r="K39" s="33" t="s">
        <v>3970</v>
      </c>
      <c r="L39" s="28" t="s">
        <v>3976</v>
      </c>
      <c r="M39" s="33">
        <v>149900</v>
      </c>
      <c r="N39" s="33" t="str">
        <f t="shared" si="15"/>
        <v>BXGY</v>
      </c>
      <c r="O39" s="34" t="str">
        <f t="shared" si="16"/>
        <v>B3 DISC 10%</v>
      </c>
      <c r="P39" s="33" t="str">
        <f t="shared" si="17"/>
        <v>BXGY</v>
      </c>
    </row>
    <row r="40" spans="1:16" x14ac:dyDescent="0.25">
      <c r="A40" s="33" t="str">
        <f t="shared" si="9"/>
        <v>2025 OCT - DEC B3D10</v>
      </c>
      <c r="B40" s="8">
        <f t="shared" si="10"/>
        <v>46099</v>
      </c>
      <c r="C40" s="8">
        <f t="shared" si="11"/>
        <v>46113</v>
      </c>
      <c r="D40" s="33">
        <f t="shared" si="12"/>
        <v>3272</v>
      </c>
      <c r="E40" s="33">
        <f t="shared" si="13"/>
        <v>336</v>
      </c>
      <c r="F40" s="33">
        <f t="shared" si="14"/>
        <v>4</v>
      </c>
      <c r="G40" s="33">
        <v>5</v>
      </c>
      <c r="H40" s="33">
        <v>81379</v>
      </c>
      <c r="I40" s="33" t="s">
        <v>104</v>
      </c>
      <c r="J40" s="33">
        <v>61967835</v>
      </c>
      <c r="K40" s="33" t="s">
        <v>3970</v>
      </c>
      <c r="L40" s="28" t="s">
        <v>3977</v>
      </c>
      <c r="M40" s="33">
        <v>149900</v>
      </c>
      <c r="N40" s="33" t="str">
        <f t="shared" si="15"/>
        <v>BXGY</v>
      </c>
      <c r="O40" s="34" t="str">
        <f t="shared" si="16"/>
        <v>B3 DISC 10%</v>
      </c>
      <c r="P40" s="33" t="str">
        <f t="shared" si="17"/>
        <v>BXGY</v>
      </c>
    </row>
    <row r="41" spans="1:16" x14ac:dyDescent="0.25">
      <c r="A41" s="33" t="str">
        <f t="shared" si="9"/>
        <v>2025 OCT - DEC B3D10</v>
      </c>
      <c r="B41" s="8">
        <f t="shared" si="10"/>
        <v>46099</v>
      </c>
      <c r="C41" s="8">
        <f t="shared" si="11"/>
        <v>46113</v>
      </c>
      <c r="D41" s="33">
        <f t="shared" si="12"/>
        <v>3272</v>
      </c>
      <c r="E41" s="33">
        <f t="shared" si="13"/>
        <v>336</v>
      </c>
      <c r="F41" s="33">
        <f t="shared" si="14"/>
        <v>4</v>
      </c>
      <c r="G41" s="33">
        <v>5</v>
      </c>
      <c r="H41" s="33">
        <v>81379</v>
      </c>
      <c r="I41" s="33" t="s">
        <v>104</v>
      </c>
      <c r="J41" s="33">
        <v>61967844</v>
      </c>
      <c r="K41" s="33" t="s">
        <v>3970</v>
      </c>
      <c r="L41" s="28" t="s">
        <v>3978</v>
      </c>
      <c r="M41" s="33">
        <v>149900</v>
      </c>
      <c r="N41" s="33" t="str">
        <f t="shared" si="15"/>
        <v>BXGY</v>
      </c>
      <c r="O41" s="34" t="str">
        <f t="shared" si="16"/>
        <v>B3 DISC 10%</v>
      </c>
      <c r="P41" s="33" t="str">
        <f t="shared" si="17"/>
        <v>BXGY</v>
      </c>
    </row>
    <row r="42" spans="1:16" x14ac:dyDescent="0.25">
      <c r="A42" s="33" t="str">
        <f t="shared" si="9"/>
        <v>2025 OCT - DEC B3D10</v>
      </c>
      <c r="B42" s="8">
        <f t="shared" si="10"/>
        <v>46099</v>
      </c>
      <c r="C42" s="8">
        <f t="shared" si="11"/>
        <v>46113</v>
      </c>
      <c r="D42" s="33">
        <f t="shared" si="12"/>
        <v>3272</v>
      </c>
      <c r="E42" s="33">
        <f t="shared" si="13"/>
        <v>336</v>
      </c>
      <c r="F42" s="33">
        <f t="shared" si="14"/>
        <v>4</v>
      </c>
      <c r="G42" s="33">
        <v>5</v>
      </c>
      <c r="H42" s="33">
        <v>81379</v>
      </c>
      <c r="I42" s="33" t="s">
        <v>104</v>
      </c>
      <c r="J42" s="33">
        <v>61968138</v>
      </c>
      <c r="K42" s="33" t="s">
        <v>3979</v>
      </c>
      <c r="L42" s="28" t="s">
        <v>3980</v>
      </c>
      <c r="M42" s="33">
        <v>149900</v>
      </c>
      <c r="N42" s="33" t="str">
        <f t="shared" si="15"/>
        <v>BXGY</v>
      </c>
      <c r="O42" s="34" t="str">
        <f t="shared" si="16"/>
        <v>B3 DISC 10%</v>
      </c>
      <c r="P42" s="33" t="str">
        <f t="shared" si="17"/>
        <v>BXGY</v>
      </c>
    </row>
    <row r="43" spans="1:16" x14ac:dyDescent="0.25">
      <c r="A43" s="33" t="str">
        <f t="shared" si="9"/>
        <v>2025 OCT - DEC B3D10</v>
      </c>
      <c r="B43" s="8">
        <f t="shared" si="10"/>
        <v>46099</v>
      </c>
      <c r="C43" s="8">
        <f t="shared" si="11"/>
        <v>46113</v>
      </c>
      <c r="D43" s="33">
        <f t="shared" si="12"/>
        <v>3272</v>
      </c>
      <c r="E43" s="33">
        <f t="shared" si="13"/>
        <v>336</v>
      </c>
      <c r="F43" s="33">
        <f t="shared" si="14"/>
        <v>4</v>
      </c>
      <c r="G43" s="33">
        <v>5</v>
      </c>
      <c r="H43" s="33">
        <v>81379</v>
      </c>
      <c r="I43" s="33" t="s">
        <v>104</v>
      </c>
      <c r="J43" s="33">
        <v>61968147</v>
      </c>
      <c r="K43" s="33" t="s">
        <v>3979</v>
      </c>
      <c r="L43" s="28" t="s">
        <v>3981</v>
      </c>
      <c r="M43" s="33">
        <v>149900</v>
      </c>
      <c r="N43" s="33" t="str">
        <f t="shared" si="15"/>
        <v>BXGY</v>
      </c>
      <c r="O43" s="34" t="str">
        <f t="shared" si="16"/>
        <v>B3 DISC 10%</v>
      </c>
      <c r="P43" s="33" t="str">
        <f t="shared" si="17"/>
        <v>BXGY</v>
      </c>
    </row>
    <row r="44" spans="1:16" x14ac:dyDescent="0.25">
      <c r="A44" s="33" t="str">
        <f t="shared" si="9"/>
        <v>2025 OCT - DEC B3D10</v>
      </c>
      <c r="B44" s="8">
        <f t="shared" si="10"/>
        <v>46099</v>
      </c>
      <c r="C44" s="8">
        <f t="shared" si="11"/>
        <v>46113</v>
      </c>
      <c r="D44" s="33">
        <f t="shared" si="12"/>
        <v>3272</v>
      </c>
      <c r="E44" s="33">
        <f t="shared" si="13"/>
        <v>336</v>
      </c>
      <c r="F44" s="33">
        <f t="shared" si="14"/>
        <v>4</v>
      </c>
      <c r="G44" s="33">
        <v>5</v>
      </c>
      <c r="H44" s="33">
        <v>81379</v>
      </c>
      <c r="I44" s="33" t="s">
        <v>104</v>
      </c>
      <c r="J44" s="33">
        <v>61968156</v>
      </c>
      <c r="K44" s="33" t="s">
        <v>3979</v>
      </c>
      <c r="L44" s="28" t="s">
        <v>3982</v>
      </c>
      <c r="M44" s="33">
        <v>149900</v>
      </c>
      <c r="N44" s="33" t="str">
        <f t="shared" si="15"/>
        <v>BXGY</v>
      </c>
      <c r="O44" s="34" t="str">
        <f t="shared" si="16"/>
        <v>B3 DISC 10%</v>
      </c>
      <c r="P44" s="33" t="str">
        <f t="shared" si="17"/>
        <v>BXGY</v>
      </c>
    </row>
    <row r="45" spans="1:16" x14ac:dyDescent="0.25">
      <c r="A45" s="33" t="str">
        <f t="shared" si="9"/>
        <v>2025 OCT - DEC B3D10</v>
      </c>
      <c r="B45" s="8">
        <f t="shared" si="10"/>
        <v>46099</v>
      </c>
      <c r="C45" s="8">
        <f t="shared" si="11"/>
        <v>46113</v>
      </c>
      <c r="D45" s="33">
        <f t="shared" si="12"/>
        <v>3272</v>
      </c>
      <c r="E45" s="33">
        <f t="shared" si="13"/>
        <v>336</v>
      </c>
      <c r="F45" s="33">
        <f t="shared" si="14"/>
        <v>4</v>
      </c>
      <c r="G45" s="33">
        <v>5</v>
      </c>
      <c r="H45" s="33">
        <v>81379</v>
      </c>
      <c r="I45" s="33" t="s">
        <v>104</v>
      </c>
      <c r="J45" s="33">
        <v>61968165</v>
      </c>
      <c r="K45" s="33" t="s">
        <v>3979</v>
      </c>
      <c r="L45" s="28" t="s">
        <v>3983</v>
      </c>
      <c r="M45" s="33">
        <v>149900</v>
      </c>
      <c r="N45" s="33" t="str">
        <f t="shared" si="15"/>
        <v>BXGY</v>
      </c>
      <c r="O45" s="34" t="str">
        <f t="shared" si="16"/>
        <v>B3 DISC 10%</v>
      </c>
      <c r="P45" s="33" t="str">
        <f t="shared" si="17"/>
        <v>BXGY</v>
      </c>
    </row>
    <row r="46" spans="1:16" x14ac:dyDescent="0.25">
      <c r="A46" s="33" t="str">
        <f t="shared" si="9"/>
        <v>2025 OCT - DEC B3D10</v>
      </c>
      <c r="B46" s="8">
        <f t="shared" si="10"/>
        <v>46099</v>
      </c>
      <c r="C46" s="8">
        <f t="shared" si="11"/>
        <v>46113</v>
      </c>
      <c r="D46" s="33">
        <f t="shared" si="12"/>
        <v>3272</v>
      </c>
      <c r="E46" s="33">
        <f t="shared" si="13"/>
        <v>336</v>
      </c>
      <c r="F46" s="33">
        <f t="shared" si="14"/>
        <v>4</v>
      </c>
      <c r="G46" s="33">
        <v>4</v>
      </c>
      <c r="H46" s="33">
        <v>81379</v>
      </c>
      <c r="I46" s="33" t="s">
        <v>104</v>
      </c>
      <c r="J46" s="33">
        <v>61968898</v>
      </c>
      <c r="K46" s="33" t="s">
        <v>3893</v>
      </c>
      <c r="L46" s="28" t="s">
        <v>3894</v>
      </c>
      <c r="M46" s="33">
        <v>99900</v>
      </c>
      <c r="N46" s="33" t="str">
        <f t="shared" si="15"/>
        <v>BXGY</v>
      </c>
      <c r="O46" s="34" t="str">
        <f t="shared" si="16"/>
        <v>B3 DISC 10%</v>
      </c>
      <c r="P46" s="33" t="str">
        <f t="shared" si="17"/>
        <v>BXGY</v>
      </c>
    </row>
    <row r="47" spans="1:16" x14ac:dyDescent="0.25">
      <c r="A47" s="33" t="str">
        <f t="shared" si="9"/>
        <v>2025 OCT - DEC B3D10</v>
      </c>
      <c r="B47" s="8">
        <f t="shared" si="10"/>
        <v>46099</v>
      </c>
      <c r="C47" s="8">
        <f t="shared" si="11"/>
        <v>46113</v>
      </c>
      <c r="D47" s="33">
        <f t="shared" si="12"/>
        <v>3272</v>
      </c>
      <c r="E47" s="33">
        <f t="shared" si="13"/>
        <v>336</v>
      </c>
      <c r="F47" s="33">
        <f t="shared" si="14"/>
        <v>4</v>
      </c>
      <c r="G47" s="33">
        <v>4</v>
      </c>
      <c r="H47" s="33">
        <v>81379</v>
      </c>
      <c r="I47" s="33" t="s">
        <v>104</v>
      </c>
      <c r="J47" s="33">
        <v>61968905</v>
      </c>
      <c r="K47" s="33" t="s">
        <v>3893</v>
      </c>
      <c r="L47" s="28" t="s">
        <v>3895</v>
      </c>
      <c r="M47" s="33">
        <v>99900</v>
      </c>
      <c r="N47" s="33" t="str">
        <f t="shared" si="15"/>
        <v>BXGY</v>
      </c>
      <c r="O47" s="34" t="str">
        <f t="shared" si="16"/>
        <v>B3 DISC 10%</v>
      </c>
      <c r="P47" s="33" t="str">
        <f t="shared" si="17"/>
        <v>BXGY</v>
      </c>
    </row>
    <row r="48" spans="1:16" x14ac:dyDescent="0.25">
      <c r="A48" s="33" t="str">
        <f t="shared" si="9"/>
        <v>2025 OCT - DEC B3D10</v>
      </c>
      <c r="B48" s="8">
        <f t="shared" si="10"/>
        <v>46099</v>
      </c>
      <c r="C48" s="8">
        <f t="shared" si="11"/>
        <v>46113</v>
      </c>
      <c r="D48" s="33">
        <f t="shared" si="12"/>
        <v>3272</v>
      </c>
      <c r="E48" s="33">
        <f t="shared" si="13"/>
        <v>336</v>
      </c>
      <c r="F48" s="33">
        <f t="shared" si="14"/>
        <v>4</v>
      </c>
      <c r="G48" s="33">
        <v>4</v>
      </c>
      <c r="H48" s="33">
        <v>81379</v>
      </c>
      <c r="I48" s="33" t="s">
        <v>104</v>
      </c>
      <c r="J48" s="33">
        <v>61968914</v>
      </c>
      <c r="K48" s="33" t="s">
        <v>3893</v>
      </c>
      <c r="L48" s="28" t="s">
        <v>3896</v>
      </c>
      <c r="M48" s="33">
        <v>99900</v>
      </c>
      <c r="N48" s="33" t="str">
        <f t="shared" si="15"/>
        <v>BXGY</v>
      </c>
      <c r="O48" s="34" t="str">
        <f t="shared" si="16"/>
        <v>B3 DISC 10%</v>
      </c>
      <c r="P48" s="33" t="str">
        <f t="shared" si="17"/>
        <v>BXGY</v>
      </c>
    </row>
    <row r="49" spans="1:16" x14ac:dyDescent="0.25">
      <c r="A49" s="33" t="str">
        <f t="shared" si="9"/>
        <v>2025 OCT - DEC B3D10</v>
      </c>
      <c r="B49" s="8">
        <f t="shared" si="10"/>
        <v>46099</v>
      </c>
      <c r="C49" s="8">
        <f t="shared" si="11"/>
        <v>46113</v>
      </c>
      <c r="D49" s="33">
        <f t="shared" si="12"/>
        <v>3272</v>
      </c>
      <c r="E49" s="33">
        <f t="shared" si="13"/>
        <v>336</v>
      </c>
      <c r="F49" s="33">
        <f t="shared" si="14"/>
        <v>4</v>
      </c>
      <c r="G49" s="33">
        <v>4</v>
      </c>
      <c r="H49" s="33">
        <v>81379</v>
      </c>
      <c r="I49" s="33" t="s">
        <v>104</v>
      </c>
      <c r="J49" s="33">
        <v>61968923</v>
      </c>
      <c r="K49" s="33" t="s">
        <v>3893</v>
      </c>
      <c r="L49" s="28" t="s">
        <v>3897</v>
      </c>
      <c r="M49" s="33">
        <v>99900</v>
      </c>
      <c r="N49" s="33" t="str">
        <f t="shared" si="15"/>
        <v>BXGY</v>
      </c>
      <c r="O49" s="34" t="str">
        <f t="shared" si="16"/>
        <v>B3 DISC 10%</v>
      </c>
      <c r="P49" s="33" t="str">
        <f t="shared" si="17"/>
        <v>BXGY</v>
      </c>
    </row>
    <row r="50" spans="1:16" x14ac:dyDescent="0.25">
      <c r="A50" s="33" t="str">
        <f t="shared" si="9"/>
        <v>2025 OCT - DEC B3D10</v>
      </c>
      <c r="B50" s="8">
        <f t="shared" si="10"/>
        <v>46099</v>
      </c>
      <c r="C50" s="8">
        <f t="shared" si="11"/>
        <v>46113</v>
      </c>
      <c r="D50" s="33">
        <f t="shared" si="12"/>
        <v>3272</v>
      </c>
      <c r="E50" s="33">
        <f t="shared" si="13"/>
        <v>336</v>
      </c>
      <c r="F50" s="33">
        <f t="shared" si="14"/>
        <v>4</v>
      </c>
      <c r="G50" s="33">
        <v>4</v>
      </c>
      <c r="H50" s="33">
        <v>81379</v>
      </c>
      <c r="I50" s="33" t="s">
        <v>104</v>
      </c>
      <c r="J50" s="33">
        <v>61968932</v>
      </c>
      <c r="K50" s="33" t="s">
        <v>3893</v>
      </c>
      <c r="L50" s="28" t="s">
        <v>3898</v>
      </c>
      <c r="M50" s="33">
        <v>99900</v>
      </c>
      <c r="N50" s="33" t="str">
        <f t="shared" si="15"/>
        <v>BXGY</v>
      </c>
      <c r="O50" s="34" t="str">
        <f t="shared" si="16"/>
        <v>B3 DISC 10%</v>
      </c>
      <c r="P50" s="33" t="str">
        <f t="shared" si="17"/>
        <v>BXGY</v>
      </c>
    </row>
    <row r="51" spans="1:16" x14ac:dyDescent="0.25">
      <c r="A51" s="33" t="str">
        <f t="shared" si="9"/>
        <v>2025 OCT - DEC B3D10</v>
      </c>
      <c r="B51" s="8">
        <f t="shared" si="10"/>
        <v>46099</v>
      </c>
      <c r="C51" s="8">
        <f t="shared" si="11"/>
        <v>46113</v>
      </c>
      <c r="D51" s="33">
        <f t="shared" si="12"/>
        <v>3272</v>
      </c>
      <c r="E51" s="33">
        <f t="shared" si="13"/>
        <v>336</v>
      </c>
      <c r="F51" s="33">
        <f t="shared" si="14"/>
        <v>4</v>
      </c>
      <c r="G51" s="33">
        <v>4</v>
      </c>
      <c r="H51" s="33">
        <v>81379</v>
      </c>
      <c r="I51" s="33" t="s">
        <v>104</v>
      </c>
      <c r="J51" s="33">
        <v>61968941</v>
      </c>
      <c r="K51" s="33" t="s">
        <v>3893</v>
      </c>
      <c r="L51" s="28" t="s">
        <v>3899</v>
      </c>
      <c r="M51" s="33">
        <v>99900</v>
      </c>
      <c r="N51" s="33" t="str">
        <f t="shared" si="15"/>
        <v>BXGY</v>
      </c>
      <c r="O51" s="34" t="str">
        <f t="shared" si="16"/>
        <v>B3 DISC 10%</v>
      </c>
      <c r="P51" s="33" t="str">
        <f t="shared" si="17"/>
        <v>BXGY</v>
      </c>
    </row>
    <row r="52" spans="1:16" x14ac:dyDescent="0.25">
      <c r="A52" s="33" t="str">
        <f t="shared" si="9"/>
        <v>2025 OCT - DEC B3D10</v>
      </c>
      <c r="B52" s="8">
        <f t="shared" si="10"/>
        <v>46099</v>
      </c>
      <c r="C52" s="8">
        <f t="shared" si="11"/>
        <v>46113</v>
      </c>
      <c r="D52" s="33">
        <f t="shared" si="12"/>
        <v>3272</v>
      </c>
      <c r="E52" s="33">
        <f t="shared" si="13"/>
        <v>336</v>
      </c>
      <c r="F52" s="33">
        <f t="shared" si="14"/>
        <v>4</v>
      </c>
      <c r="G52" s="33">
        <v>4</v>
      </c>
      <c r="H52" s="33">
        <v>81379</v>
      </c>
      <c r="I52" s="33" t="s">
        <v>104</v>
      </c>
      <c r="J52" s="33">
        <v>61968950</v>
      </c>
      <c r="K52" s="33" t="s">
        <v>3893</v>
      </c>
      <c r="L52" s="28" t="s">
        <v>3900</v>
      </c>
      <c r="M52" s="33">
        <v>99900</v>
      </c>
      <c r="N52" s="33" t="str">
        <f t="shared" si="15"/>
        <v>BXGY</v>
      </c>
      <c r="O52" s="34" t="str">
        <f t="shared" si="16"/>
        <v>B3 DISC 10%</v>
      </c>
      <c r="P52" s="33" t="str">
        <f t="shared" si="17"/>
        <v>BXGY</v>
      </c>
    </row>
    <row r="53" spans="1:16" x14ac:dyDescent="0.25">
      <c r="A53" s="33" t="str">
        <f t="shared" si="9"/>
        <v>2025 OCT - DEC B3D10</v>
      </c>
      <c r="B53" s="8">
        <f t="shared" si="10"/>
        <v>46099</v>
      </c>
      <c r="C53" s="8">
        <f t="shared" si="11"/>
        <v>46113</v>
      </c>
      <c r="D53" s="33">
        <f t="shared" si="12"/>
        <v>3272</v>
      </c>
      <c r="E53" s="33">
        <f t="shared" si="13"/>
        <v>336</v>
      </c>
      <c r="F53" s="33">
        <f t="shared" si="14"/>
        <v>4</v>
      </c>
      <c r="G53" s="33">
        <v>5</v>
      </c>
      <c r="H53" s="33">
        <v>81379</v>
      </c>
      <c r="I53" s="33" t="s">
        <v>104</v>
      </c>
      <c r="J53" s="33">
        <v>61968825</v>
      </c>
      <c r="K53" s="33" t="s">
        <v>3901</v>
      </c>
      <c r="L53" s="28" t="s">
        <v>3902</v>
      </c>
      <c r="M53" s="33">
        <v>149900</v>
      </c>
      <c r="N53" s="33" t="str">
        <f t="shared" si="15"/>
        <v>BXGY</v>
      </c>
      <c r="O53" s="34" t="str">
        <f t="shared" si="16"/>
        <v>B3 DISC 10%</v>
      </c>
      <c r="P53" s="33" t="str">
        <f t="shared" si="17"/>
        <v>BXGY</v>
      </c>
    </row>
    <row r="54" spans="1:16" x14ac:dyDescent="0.25">
      <c r="A54" s="33" t="str">
        <f t="shared" si="9"/>
        <v>2025 OCT - DEC B3D10</v>
      </c>
      <c r="B54" s="8">
        <f t="shared" si="10"/>
        <v>46099</v>
      </c>
      <c r="C54" s="8">
        <f t="shared" si="11"/>
        <v>46113</v>
      </c>
      <c r="D54" s="33">
        <f t="shared" si="12"/>
        <v>3272</v>
      </c>
      <c r="E54" s="33">
        <f t="shared" si="13"/>
        <v>336</v>
      </c>
      <c r="F54" s="33">
        <f t="shared" si="14"/>
        <v>4</v>
      </c>
      <c r="G54" s="33">
        <v>5</v>
      </c>
      <c r="H54" s="33">
        <v>81379</v>
      </c>
      <c r="I54" s="33" t="s">
        <v>104</v>
      </c>
      <c r="J54" s="33">
        <v>61968834</v>
      </c>
      <c r="K54" s="33" t="s">
        <v>3901</v>
      </c>
      <c r="L54" s="28" t="s">
        <v>3903</v>
      </c>
      <c r="M54" s="33">
        <v>149900</v>
      </c>
      <c r="N54" s="33" t="str">
        <f t="shared" si="15"/>
        <v>BXGY</v>
      </c>
      <c r="O54" s="34" t="str">
        <f t="shared" si="16"/>
        <v>B3 DISC 10%</v>
      </c>
      <c r="P54" s="33" t="str">
        <f t="shared" si="17"/>
        <v>BXGY</v>
      </c>
    </row>
    <row r="55" spans="1:16" x14ac:dyDescent="0.25">
      <c r="A55" s="33" t="str">
        <f t="shared" si="9"/>
        <v>2025 OCT - DEC B3D10</v>
      </c>
      <c r="B55" s="8">
        <f t="shared" si="10"/>
        <v>46099</v>
      </c>
      <c r="C55" s="8">
        <f t="shared" si="11"/>
        <v>46113</v>
      </c>
      <c r="D55" s="33">
        <f t="shared" si="12"/>
        <v>3272</v>
      </c>
      <c r="E55" s="33">
        <f t="shared" si="13"/>
        <v>336</v>
      </c>
      <c r="F55" s="33">
        <f t="shared" si="14"/>
        <v>4</v>
      </c>
      <c r="G55" s="33">
        <v>5</v>
      </c>
      <c r="H55" s="33">
        <v>81379</v>
      </c>
      <c r="I55" s="33" t="s">
        <v>104</v>
      </c>
      <c r="J55" s="33">
        <v>61968843</v>
      </c>
      <c r="K55" s="33" t="s">
        <v>3901</v>
      </c>
      <c r="L55" s="28" t="s">
        <v>3904</v>
      </c>
      <c r="M55" s="33">
        <v>149900</v>
      </c>
      <c r="N55" s="33" t="str">
        <f t="shared" si="15"/>
        <v>BXGY</v>
      </c>
      <c r="O55" s="34" t="str">
        <f t="shared" si="16"/>
        <v>B3 DISC 10%</v>
      </c>
      <c r="P55" s="33" t="str">
        <f t="shared" si="17"/>
        <v>BXGY</v>
      </c>
    </row>
    <row r="56" spans="1:16" x14ac:dyDescent="0.25">
      <c r="A56" s="33" t="str">
        <f t="shared" si="9"/>
        <v>2025 OCT - DEC B3D10</v>
      </c>
      <c r="B56" s="8">
        <f t="shared" si="10"/>
        <v>46099</v>
      </c>
      <c r="C56" s="8">
        <f t="shared" si="11"/>
        <v>46113</v>
      </c>
      <c r="D56" s="33">
        <f t="shared" si="12"/>
        <v>3272</v>
      </c>
      <c r="E56" s="33">
        <f t="shared" si="13"/>
        <v>336</v>
      </c>
      <c r="F56" s="33">
        <f t="shared" si="14"/>
        <v>4</v>
      </c>
      <c r="G56" s="33">
        <v>5</v>
      </c>
      <c r="H56" s="33">
        <v>81379</v>
      </c>
      <c r="I56" s="33" t="s">
        <v>104</v>
      </c>
      <c r="J56" s="33">
        <v>61968852</v>
      </c>
      <c r="K56" s="33" t="s">
        <v>3901</v>
      </c>
      <c r="L56" s="28" t="s">
        <v>3905</v>
      </c>
      <c r="M56" s="33">
        <v>149900</v>
      </c>
      <c r="N56" s="33" t="str">
        <f t="shared" si="15"/>
        <v>BXGY</v>
      </c>
      <c r="O56" s="34" t="str">
        <f t="shared" si="16"/>
        <v>B3 DISC 10%</v>
      </c>
      <c r="P56" s="33" t="str">
        <f t="shared" si="17"/>
        <v>BXGY</v>
      </c>
    </row>
    <row r="57" spans="1:16" x14ac:dyDescent="0.25">
      <c r="A57" s="33" t="str">
        <f t="shared" si="9"/>
        <v>2025 OCT - DEC B3D10</v>
      </c>
      <c r="B57" s="8">
        <f t="shared" si="10"/>
        <v>46099</v>
      </c>
      <c r="C57" s="8">
        <f t="shared" si="11"/>
        <v>46113</v>
      </c>
      <c r="D57" s="33">
        <f t="shared" si="12"/>
        <v>3272</v>
      </c>
      <c r="E57" s="33">
        <f t="shared" si="13"/>
        <v>336</v>
      </c>
      <c r="F57" s="33">
        <f t="shared" si="14"/>
        <v>4</v>
      </c>
      <c r="G57" s="33">
        <v>5</v>
      </c>
      <c r="H57" s="33">
        <v>81379</v>
      </c>
      <c r="I57" s="33" t="s">
        <v>104</v>
      </c>
      <c r="J57" s="33">
        <v>61968861</v>
      </c>
      <c r="K57" s="33" t="s">
        <v>3901</v>
      </c>
      <c r="L57" s="28" t="s">
        <v>3906</v>
      </c>
      <c r="M57" s="33">
        <v>149900</v>
      </c>
      <c r="N57" s="33" t="str">
        <f t="shared" si="15"/>
        <v>BXGY</v>
      </c>
      <c r="O57" s="34" t="str">
        <f t="shared" si="16"/>
        <v>B3 DISC 10%</v>
      </c>
      <c r="P57" s="33" t="str">
        <f t="shared" si="17"/>
        <v>BXGY</v>
      </c>
    </row>
    <row r="58" spans="1:16" x14ac:dyDescent="0.25">
      <c r="A58" s="33" t="str">
        <f t="shared" si="9"/>
        <v>2025 OCT - DEC B3D10</v>
      </c>
      <c r="B58" s="8">
        <f t="shared" si="10"/>
        <v>46099</v>
      </c>
      <c r="C58" s="8">
        <f t="shared" si="11"/>
        <v>46113</v>
      </c>
      <c r="D58" s="33">
        <f t="shared" si="12"/>
        <v>3272</v>
      </c>
      <c r="E58" s="33">
        <f t="shared" si="13"/>
        <v>336</v>
      </c>
      <c r="F58" s="33">
        <f t="shared" si="14"/>
        <v>4</v>
      </c>
      <c r="G58" s="33">
        <v>5</v>
      </c>
      <c r="H58" s="33">
        <v>81379</v>
      </c>
      <c r="I58" s="33" t="s">
        <v>104</v>
      </c>
      <c r="J58" s="33">
        <v>61968870</v>
      </c>
      <c r="K58" s="33" t="s">
        <v>3901</v>
      </c>
      <c r="L58" s="28" t="s">
        <v>3907</v>
      </c>
      <c r="M58" s="33">
        <v>149900</v>
      </c>
      <c r="N58" s="33" t="str">
        <f t="shared" si="15"/>
        <v>BXGY</v>
      </c>
      <c r="O58" s="34" t="str">
        <f t="shared" si="16"/>
        <v>B3 DISC 10%</v>
      </c>
      <c r="P58" s="33" t="str">
        <f t="shared" si="17"/>
        <v>BXGY</v>
      </c>
    </row>
    <row r="59" spans="1:16" x14ac:dyDescent="0.25">
      <c r="A59" s="33" t="str">
        <f t="shared" si="9"/>
        <v>2025 OCT - DEC B3D10</v>
      </c>
      <c r="B59" s="8">
        <f t="shared" si="10"/>
        <v>46099</v>
      </c>
      <c r="C59" s="8">
        <f t="shared" si="11"/>
        <v>46113</v>
      </c>
      <c r="D59" s="33">
        <f t="shared" si="12"/>
        <v>3272</v>
      </c>
      <c r="E59" s="33">
        <f t="shared" si="13"/>
        <v>336</v>
      </c>
      <c r="F59" s="33">
        <f t="shared" si="14"/>
        <v>4</v>
      </c>
      <c r="G59" s="33">
        <v>5</v>
      </c>
      <c r="H59" s="33">
        <v>81379</v>
      </c>
      <c r="I59" s="33" t="s">
        <v>104</v>
      </c>
      <c r="J59" s="33">
        <v>61968889</v>
      </c>
      <c r="K59" s="33" t="s">
        <v>3901</v>
      </c>
      <c r="L59" s="28" t="s">
        <v>3908</v>
      </c>
      <c r="M59" s="33">
        <v>149900</v>
      </c>
      <c r="N59" s="33" t="str">
        <f t="shared" si="15"/>
        <v>BXGY</v>
      </c>
      <c r="O59" s="34" t="str">
        <f t="shared" si="16"/>
        <v>B3 DISC 10%</v>
      </c>
      <c r="P59" s="33" t="str">
        <f t="shared" si="17"/>
        <v>BXGY</v>
      </c>
    </row>
    <row r="60" spans="1:16" x14ac:dyDescent="0.25">
      <c r="A60" s="33" t="str">
        <f t="shared" si="9"/>
        <v>2025 OCT - DEC B3D10</v>
      </c>
      <c r="B60" s="8">
        <f t="shared" si="10"/>
        <v>46099</v>
      </c>
      <c r="C60" s="8">
        <f t="shared" si="11"/>
        <v>46113</v>
      </c>
      <c r="D60" s="33">
        <f t="shared" si="12"/>
        <v>3272</v>
      </c>
      <c r="E60" s="33">
        <f t="shared" si="13"/>
        <v>336</v>
      </c>
      <c r="F60" s="33">
        <f t="shared" si="14"/>
        <v>4</v>
      </c>
      <c r="G60" s="33">
        <v>4</v>
      </c>
      <c r="H60" s="33">
        <v>81379</v>
      </c>
      <c r="I60" s="33" t="s">
        <v>104</v>
      </c>
      <c r="J60" s="33">
        <v>68614033</v>
      </c>
      <c r="K60" s="33" t="s">
        <v>3995</v>
      </c>
      <c r="L60" s="28" t="s">
        <v>3996</v>
      </c>
      <c r="M60" s="33">
        <v>99900</v>
      </c>
      <c r="N60" s="33" t="str">
        <f t="shared" si="15"/>
        <v>BXGY</v>
      </c>
      <c r="O60" s="34" t="str">
        <f t="shared" si="16"/>
        <v>B3 DISC 10%</v>
      </c>
      <c r="P60" s="33" t="str">
        <f t="shared" si="17"/>
        <v>BXGY</v>
      </c>
    </row>
    <row r="61" spans="1:16" x14ac:dyDescent="0.25">
      <c r="A61" s="33" t="str">
        <f t="shared" si="9"/>
        <v>2025 OCT - DEC B3D10</v>
      </c>
      <c r="B61" s="8">
        <f t="shared" si="10"/>
        <v>46099</v>
      </c>
      <c r="C61" s="8">
        <f t="shared" si="11"/>
        <v>46113</v>
      </c>
      <c r="D61" s="33">
        <f t="shared" si="12"/>
        <v>3272</v>
      </c>
      <c r="E61" s="33">
        <f t="shared" si="13"/>
        <v>336</v>
      </c>
      <c r="F61" s="33">
        <f t="shared" si="14"/>
        <v>4</v>
      </c>
      <c r="G61" s="33">
        <v>4</v>
      </c>
      <c r="H61" s="33">
        <v>81379</v>
      </c>
      <c r="I61" s="33" t="s">
        <v>104</v>
      </c>
      <c r="J61" s="33">
        <v>68614042</v>
      </c>
      <c r="K61" s="33" t="s">
        <v>3995</v>
      </c>
      <c r="L61" s="28" t="s">
        <v>3997</v>
      </c>
      <c r="M61" s="33">
        <v>99900</v>
      </c>
      <c r="N61" s="33" t="str">
        <f t="shared" si="15"/>
        <v>BXGY</v>
      </c>
      <c r="O61" s="34" t="str">
        <f t="shared" si="16"/>
        <v>B3 DISC 10%</v>
      </c>
      <c r="P61" s="33" t="str">
        <f t="shared" si="17"/>
        <v>BXGY</v>
      </c>
    </row>
    <row r="62" spans="1:16" x14ac:dyDescent="0.25">
      <c r="A62" s="33" t="str">
        <f t="shared" si="9"/>
        <v>2025 OCT - DEC B3D10</v>
      </c>
      <c r="B62" s="8">
        <f t="shared" si="10"/>
        <v>46099</v>
      </c>
      <c r="C62" s="8">
        <f t="shared" si="11"/>
        <v>46113</v>
      </c>
      <c r="D62" s="33">
        <f t="shared" si="12"/>
        <v>3272</v>
      </c>
      <c r="E62" s="33">
        <f t="shared" si="13"/>
        <v>336</v>
      </c>
      <c r="F62" s="33">
        <f t="shared" si="14"/>
        <v>4</v>
      </c>
      <c r="G62" s="33">
        <v>4</v>
      </c>
      <c r="H62" s="33">
        <v>81379</v>
      </c>
      <c r="I62" s="33" t="s">
        <v>104</v>
      </c>
      <c r="J62" s="33">
        <v>68614051</v>
      </c>
      <c r="K62" s="33" t="s">
        <v>3995</v>
      </c>
      <c r="L62" s="28" t="s">
        <v>3998</v>
      </c>
      <c r="M62" s="33">
        <v>99900</v>
      </c>
      <c r="N62" s="33" t="str">
        <f t="shared" si="15"/>
        <v>BXGY</v>
      </c>
      <c r="O62" s="34" t="str">
        <f t="shared" si="16"/>
        <v>B3 DISC 10%</v>
      </c>
      <c r="P62" s="33" t="str">
        <f t="shared" si="17"/>
        <v>BXGY</v>
      </c>
    </row>
    <row r="63" spans="1:16" x14ac:dyDescent="0.25">
      <c r="A63" s="33" t="str">
        <f t="shared" si="9"/>
        <v>2025 OCT - DEC B3D10</v>
      </c>
      <c r="B63" s="8">
        <f t="shared" si="10"/>
        <v>46099</v>
      </c>
      <c r="C63" s="8">
        <f t="shared" si="11"/>
        <v>46113</v>
      </c>
      <c r="D63" s="33">
        <f t="shared" si="12"/>
        <v>3272</v>
      </c>
      <c r="E63" s="33">
        <f t="shared" si="13"/>
        <v>336</v>
      </c>
      <c r="F63" s="33">
        <f t="shared" si="14"/>
        <v>4</v>
      </c>
      <c r="G63" s="33">
        <v>4</v>
      </c>
      <c r="H63" s="33">
        <v>81379</v>
      </c>
      <c r="I63" s="33" t="s">
        <v>104</v>
      </c>
      <c r="J63" s="33">
        <v>68614060</v>
      </c>
      <c r="K63" s="33" t="s">
        <v>3995</v>
      </c>
      <c r="L63" s="28" t="s">
        <v>3999</v>
      </c>
      <c r="M63" s="33">
        <v>99900</v>
      </c>
      <c r="N63" s="33" t="str">
        <f t="shared" si="15"/>
        <v>BXGY</v>
      </c>
      <c r="O63" s="34" t="str">
        <f t="shared" si="16"/>
        <v>B3 DISC 10%</v>
      </c>
      <c r="P63" s="33" t="str">
        <f t="shared" si="17"/>
        <v>BXGY</v>
      </c>
    </row>
    <row r="64" spans="1:16" x14ac:dyDescent="0.25">
      <c r="A64" s="33" t="str">
        <f t="shared" si="9"/>
        <v>2025 OCT - DEC B3D10</v>
      </c>
      <c r="B64" s="8">
        <f t="shared" si="10"/>
        <v>46099</v>
      </c>
      <c r="C64" s="8">
        <f t="shared" si="11"/>
        <v>46113</v>
      </c>
      <c r="D64" s="33">
        <f t="shared" si="12"/>
        <v>3272</v>
      </c>
      <c r="E64" s="33">
        <f t="shared" si="13"/>
        <v>336</v>
      </c>
      <c r="F64" s="33">
        <f t="shared" si="14"/>
        <v>4</v>
      </c>
      <c r="G64" s="33">
        <v>4</v>
      </c>
      <c r="H64" s="33">
        <v>81379</v>
      </c>
      <c r="I64" s="33" t="s">
        <v>104</v>
      </c>
      <c r="J64" s="33">
        <v>68614079</v>
      </c>
      <c r="K64" s="33" t="s">
        <v>3995</v>
      </c>
      <c r="L64" s="28" t="s">
        <v>4000</v>
      </c>
      <c r="M64" s="33">
        <v>99900</v>
      </c>
      <c r="N64" s="33" t="str">
        <f t="shared" si="15"/>
        <v>BXGY</v>
      </c>
      <c r="O64" s="34" t="str">
        <f t="shared" si="16"/>
        <v>B3 DISC 10%</v>
      </c>
      <c r="P64" s="33" t="str">
        <f t="shared" si="17"/>
        <v>BXGY</v>
      </c>
    </row>
    <row r="65" spans="1:16" x14ac:dyDescent="0.25">
      <c r="A65" s="33" t="str">
        <f t="shared" si="9"/>
        <v>2025 OCT - DEC B3D10</v>
      </c>
      <c r="B65" s="8">
        <f t="shared" si="10"/>
        <v>46099</v>
      </c>
      <c r="C65" s="8">
        <f t="shared" si="11"/>
        <v>46113</v>
      </c>
      <c r="D65" s="33">
        <f t="shared" si="12"/>
        <v>3272</v>
      </c>
      <c r="E65" s="33">
        <f t="shared" si="13"/>
        <v>336</v>
      </c>
      <c r="F65" s="33">
        <f t="shared" si="14"/>
        <v>4</v>
      </c>
      <c r="G65" s="33">
        <v>4</v>
      </c>
      <c r="H65" s="33">
        <v>81379</v>
      </c>
      <c r="I65" s="33" t="s">
        <v>104</v>
      </c>
      <c r="J65" s="33">
        <v>68614088</v>
      </c>
      <c r="K65" s="33" t="s">
        <v>3995</v>
      </c>
      <c r="L65" s="28" t="s">
        <v>4001</v>
      </c>
      <c r="M65" s="33">
        <v>99900</v>
      </c>
      <c r="N65" s="33" t="str">
        <f t="shared" si="15"/>
        <v>BXGY</v>
      </c>
      <c r="O65" s="34" t="str">
        <f t="shared" si="16"/>
        <v>B3 DISC 10%</v>
      </c>
      <c r="P65" s="33" t="str">
        <f t="shared" si="17"/>
        <v>BXGY</v>
      </c>
    </row>
    <row r="66" spans="1:16" x14ac:dyDescent="0.25">
      <c r="A66" s="33" t="str">
        <f t="shared" si="9"/>
        <v>2025 OCT - DEC B3D10</v>
      </c>
      <c r="B66" s="8">
        <f t="shared" si="10"/>
        <v>46099</v>
      </c>
      <c r="C66" s="8">
        <f t="shared" si="11"/>
        <v>46113</v>
      </c>
      <c r="D66" s="33">
        <f t="shared" si="12"/>
        <v>3272</v>
      </c>
      <c r="E66" s="33">
        <f t="shared" si="13"/>
        <v>336</v>
      </c>
      <c r="F66" s="33">
        <f t="shared" si="14"/>
        <v>4</v>
      </c>
      <c r="G66" s="33">
        <v>4</v>
      </c>
      <c r="H66" s="33">
        <v>81379</v>
      </c>
      <c r="I66" s="33" t="s">
        <v>104</v>
      </c>
      <c r="J66" s="33">
        <v>68614097</v>
      </c>
      <c r="K66" s="33" t="s">
        <v>3995</v>
      </c>
      <c r="L66" s="28" t="s">
        <v>4002</v>
      </c>
      <c r="M66" s="33">
        <v>99900</v>
      </c>
      <c r="N66" s="33" t="str">
        <f t="shared" si="15"/>
        <v>BXGY</v>
      </c>
      <c r="O66" s="34" t="str">
        <f t="shared" si="16"/>
        <v>B3 DISC 10%</v>
      </c>
      <c r="P66" s="33" t="str">
        <f t="shared" si="17"/>
        <v>BXGY</v>
      </c>
    </row>
    <row r="67" spans="1:16" x14ac:dyDescent="0.25">
      <c r="A67" s="33" t="str">
        <f t="shared" si="9"/>
        <v>2025 OCT - DEC B3D10</v>
      </c>
      <c r="B67" s="8">
        <f t="shared" si="10"/>
        <v>46099</v>
      </c>
      <c r="C67" s="8">
        <f t="shared" si="11"/>
        <v>46113</v>
      </c>
      <c r="D67" s="33">
        <f t="shared" si="12"/>
        <v>3272</v>
      </c>
      <c r="E67" s="33">
        <f t="shared" si="13"/>
        <v>336</v>
      </c>
      <c r="F67" s="33">
        <f t="shared" si="14"/>
        <v>4</v>
      </c>
      <c r="G67" s="33">
        <v>4</v>
      </c>
      <c r="H67" s="33">
        <v>81379</v>
      </c>
      <c r="I67" s="33" t="s">
        <v>104</v>
      </c>
      <c r="J67" s="33">
        <v>68614104</v>
      </c>
      <c r="K67" s="33" t="s">
        <v>3995</v>
      </c>
      <c r="L67" s="28" t="s">
        <v>4003</v>
      </c>
      <c r="M67" s="33">
        <v>99900</v>
      </c>
      <c r="N67" s="33" t="str">
        <f t="shared" si="15"/>
        <v>BXGY</v>
      </c>
      <c r="O67" s="34" t="str">
        <f t="shared" si="16"/>
        <v>B3 DISC 10%</v>
      </c>
      <c r="P67" s="33" t="str">
        <f t="shared" si="17"/>
        <v>BXGY</v>
      </c>
    </row>
    <row r="68" spans="1:16" x14ac:dyDescent="0.25">
      <c r="A68" s="33" t="str">
        <f t="shared" ref="A68:A131" si="18">A67</f>
        <v>2025 OCT - DEC B3D10</v>
      </c>
      <c r="B68" s="8">
        <f t="shared" ref="B68:B131" si="19">B67</f>
        <v>46099</v>
      </c>
      <c r="C68" s="8">
        <f t="shared" ref="C68:C131" si="20">C67</f>
        <v>46113</v>
      </c>
      <c r="D68" s="33">
        <f t="shared" ref="D68:D131" si="21">D67</f>
        <v>3272</v>
      </c>
      <c r="E68" s="6">
        <v>336</v>
      </c>
      <c r="F68" s="33">
        <f t="shared" ref="F68:F131" si="22">F67</f>
        <v>4</v>
      </c>
      <c r="G68" s="33">
        <v>3</v>
      </c>
      <c r="H68" s="33">
        <v>81574</v>
      </c>
      <c r="I68" s="33" t="s">
        <v>104</v>
      </c>
      <c r="J68" s="33">
        <v>68612919</v>
      </c>
      <c r="K68" s="33" t="s">
        <v>4004</v>
      </c>
      <c r="L68" s="28" t="s">
        <v>4005</v>
      </c>
      <c r="M68" s="33">
        <v>229900</v>
      </c>
      <c r="N68" s="33" t="str">
        <f t="shared" ref="N68:N131" si="23">N67</f>
        <v>BXGY</v>
      </c>
      <c r="O68" s="34" t="str">
        <f t="shared" ref="O68:O131" si="24">O67</f>
        <v>B3 DISC 10%</v>
      </c>
      <c r="P68" s="33" t="str">
        <f t="shared" ref="P68:P131" si="25">P67</f>
        <v>BXGY</v>
      </c>
    </row>
    <row r="69" spans="1:16" x14ac:dyDescent="0.25">
      <c r="A69" s="33" t="str">
        <f t="shared" si="18"/>
        <v>2025 OCT - DEC B3D10</v>
      </c>
      <c r="B69" s="8">
        <f t="shared" si="19"/>
        <v>46099</v>
      </c>
      <c r="C69" s="8">
        <f t="shared" si="20"/>
        <v>46113</v>
      </c>
      <c r="D69" s="33">
        <f t="shared" si="21"/>
        <v>3272</v>
      </c>
      <c r="E69" s="33">
        <f>E67</f>
        <v>336</v>
      </c>
      <c r="F69" s="33">
        <f t="shared" si="22"/>
        <v>4</v>
      </c>
      <c r="G69" s="33">
        <v>3</v>
      </c>
      <c r="H69" s="33">
        <v>81574</v>
      </c>
      <c r="I69" s="33" t="s">
        <v>104</v>
      </c>
      <c r="J69" s="33">
        <v>68612928</v>
      </c>
      <c r="K69" s="33" t="s">
        <v>4004</v>
      </c>
      <c r="L69" s="28" t="s">
        <v>4006</v>
      </c>
      <c r="M69" s="33">
        <v>229900</v>
      </c>
      <c r="N69" s="33" t="str">
        <f t="shared" si="23"/>
        <v>BXGY</v>
      </c>
      <c r="O69" s="34" t="str">
        <f t="shared" si="24"/>
        <v>B3 DISC 10%</v>
      </c>
      <c r="P69" s="33" t="str">
        <f t="shared" si="25"/>
        <v>BXGY</v>
      </c>
    </row>
    <row r="70" spans="1:16" x14ac:dyDescent="0.25">
      <c r="A70" s="33" t="str">
        <f t="shared" si="18"/>
        <v>2025 OCT - DEC B3D10</v>
      </c>
      <c r="B70" s="8">
        <f t="shared" si="19"/>
        <v>46099</v>
      </c>
      <c r="C70" s="8">
        <f t="shared" si="20"/>
        <v>46113</v>
      </c>
      <c r="D70" s="33">
        <f t="shared" si="21"/>
        <v>3272</v>
      </c>
      <c r="E70" s="33">
        <f t="shared" ref="E70:E75" si="26">E69</f>
        <v>336</v>
      </c>
      <c r="F70" s="33">
        <f t="shared" si="22"/>
        <v>4</v>
      </c>
      <c r="G70" s="33">
        <v>3</v>
      </c>
      <c r="H70" s="33">
        <v>81574</v>
      </c>
      <c r="I70" s="33" t="s">
        <v>104</v>
      </c>
      <c r="J70" s="33">
        <v>68612937</v>
      </c>
      <c r="K70" s="33" t="s">
        <v>4004</v>
      </c>
      <c r="L70" s="28" t="s">
        <v>4007</v>
      </c>
      <c r="M70" s="33">
        <v>229900</v>
      </c>
      <c r="N70" s="33" t="str">
        <f t="shared" si="23"/>
        <v>BXGY</v>
      </c>
      <c r="O70" s="34" t="str">
        <f t="shared" si="24"/>
        <v>B3 DISC 10%</v>
      </c>
      <c r="P70" s="33" t="str">
        <f t="shared" si="25"/>
        <v>BXGY</v>
      </c>
    </row>
    <row r="71" spans="1:16" x14ac:dyDescent="0.25">
      <c r="A71" s="33" t="str">
        <f t="shared" si="18"/>
        <v>2025 OCT - DEC B3D10</v>
      </c>
      <c r="B71" s="8">
        <f t="shared" si="19"/>
        <v>46099</v>
      </c>
      <c r="C71" s="8">
        <f t="shared" si="20"/>
        <v>46113</v>
      </c>
      <c r="D71" s="33">
        <f t="shared" si="21"/>
        <v>3272</v>
      </c>
      <c r="E71" s="33">
        <f t="shared" si="26"/>
        <v>336</v>
      </c>
      <c r="F71" s="33">
        <f t="shared" si="22"/>
        <v>4</v>
      </c>
      <c r="G71" s="33">
        <v>3</v>
      </c>
      <c r="H71" s="33">
        <v>81574</v>
      </c>
      <c r="I71" s="33" t="s">
        <v>104</v>
      </c>
      <c r="J71" s="33">
        <v>68612946</v>
      </c>
      <c r="K71" s="33" t="s">
        <v>4004</v>
      </c>
      <c r="L71" s="28" t="s">
        <v>4008</v>
      </c>
      <c r="M71" s="33">
        <v>229900</v>
      </c>
      <c r="N71" s="33" t="str">
        <f t="shared" si="23"/>
        <v>BXGY</v>
      </c>
      <c r="O71" s="34" t="str">
        <f t="shared" si="24"/>
        <v>B3 DISC 10%</v>
      </c>
      <c r="P71" s="33" t="str">
        <f t="shared" si="25"/>
        <v>BXGY</v>
      </c>
    </row>
    <row r="72" spans="1:16" x14ac:dyDescent="0.25">
      <c r="A72" s="33" t="str">
        <f t="shared" si="18"/>
        <v>2025 OCT - DEC B3D10</v>
      </c>
      <c r="B72" s="8">
        <f t="shared" si="19"/>
        <v>46099</v>
      </c>
      <c r="C72" s="8">
        <f t="shared" si="20"/>
        <v>46113</v>
      </c>
      <c r="D72" s="33">
        <f t="shared" si="21"/>
        <v>3272</v>
      </c>
      <c r="E72" s="33">
        <f t="shared" si="26"/>
        <v>336</v>
      </c>
      <c r="F72" s="33">
        <f t="shared" si="22"/>
        <v>4</v>
      </c>
      <c r="G72" s="33">
        <v>3</v>
      </c>
      <c r="H72" s="33">
        <v>81574</v>
      </c>
      <c r="I72" s="33" t="s">
        <v>104</v>
      </c>
      <c r="J72" s="33">
        <v>68612955</v>
      </c>
      <c r="K72" s="33" t="s">
        <v>4004</v>
      </c>
      <c r="L72" s="28" t="s">
        <v>4009</v>
      </c>
      <c r="M72" s="33">
        <v>229900</v>
      </c>
      <c r="N72" s="33" t="str">
        <f t="shared" si="23"/>
        <v>BXGY</v>
      </c>
      <c r="O72" s="34" t="str">
        <f t="shared" si="24"/>
        <v>B3 DISC 10%</v>
      </c>
      <c r="P72" s="33" t="str">
        <f t="shared" si="25"/>
        <v>BXGY</v>
      </c>
    </row>
    <row r="73" spans="1:16" x14ac:dyDescent="0.25">
      <c r="A73" s="33" t="str">
        <f t="shared" si="18"/>
        <v>2025 OCT - DEC B3D10</v>
      </c>
      <c r="B73" s="8">
        <f t="shared" si="19"/>
        <v>46099</v>
      </c>
      <c r="C73" s="8">
        <f t="shared" si="20"/>
        <v>46113</v>
      </c>
      <c r="D73" s="33">
        <f t="shared" si="21"/>
        <v>3272</v>
      </c>
      <c r="E73" s="33">
        <f t="shared" si="26"/>
        <v>336</v>
      </c>
      <c r="F73" s="33">
        <f t="shared" si="22"/>
        <v>4</v>
      </c>
      <c r="G73" s="33">
        <v>3</v>
      </c>
      <c r="H73" s="33">
        <v>81574</v>
      </c>
      <c r="I73" s="33" t="s">
        <v>104</v>
      </c>
      <c r="J73" s="33">
        <v>68612964</v>
      </c>
      <c r="K73" s="33" t="s">
        <v>4004</v>
      </c>
      <c r="L73" s="28" t="s">
        <v>4010</v>
      </c>
      <c r="M73" s="33">
        <v>229900</v>
      </c>
      <c r="N73" s="33" t="str">
        <f t="shared" si="23"/>
        <v>BXGY</v>
      </c>
      <c r="O73" s="34" t="str">
        <f t="shared" si="24"/>
        <v>B3 DISC 10%</v>
      </c>
      <c r="P73" s="33" t="str">
        <f t="shared" si="25"/>
        <v>BXGY</v>
      </c>
    </row>
    <row r="74" spans="1:16" x14ac:dyDescent="0.25">
      <c r="A74" s="33" t="str">
        <f t="shared" si="18"/>
        <v>2025 OCT - DEC B3D10</v>
      </c>
      <c r="B74" s="8">
        <f t="shared" si="19"/>
        <v>46099</v>
      </c>
      <c r="C74" s="8">
        <f t="shared" si="20"/>
        <v>46113</v>
      </c>
      <c r="D74" s="33">
        <f t="shared" si="21"/>
        <v>3272</v>
      </c>
      <c r="E74" s="33">
        <f t="shared" si="26"/>
        <v>336</v>
      </c>
      <c r="F74" s="33">
        <f t="shared" si="22"/>
        <v>4</v>
      </c>
      <c r="G74" s="33">
        <v>3</v>
      </c>
      <c r="H74" s="33">
        <v>81574</v>
      </c>
      <c r="I74" s="33" t="s">
        <v>104</v>
      </c>
      <c r="J74" s="33">
        <v>68612973</v>
      </c>
      <c r="K74" s="33" t="s">
        <v>4004</v>
      </c>
      <c r="L74" s="28" t="s">
        <v>4011</v>
      </c>
      <c r="M74" s="33">
        <v>229900</v>
      </c>
      <c r="N74" s="33" t="str">
        <f t="shared" si="23"/>
        <v>BXGY</v>
      </c>
      <c r="O74" s="34" t="str">
        <f t="shared" si="24"/>
        <v>B3 DISC 10%</v>
      </c>
      <c r="P74" s="33" t="str">
        <f t="shared" si="25"/>
        <v>BXGY</v>
      </c>
    </row>
    <row r="75" spans="1:16" x14ac:dyDescent="0.25">
      <c r="A75" s="33" t="str">
        <f t="shared" si="18"/>
        <v>2025 OCT - DEC B3D10</v>
      </c>
      <c r="B75" s="8">
        <f t="shared" si="19"/>
        <v>46099</v>
      </c>
      <c r="C75" s="8">
        <f t="shared" si="20"/>
        <v>46113</v>
      </c>
      <c r="D75" s="33">
        <f t="shared" si="21"/>
        <v>3272</v>
      </c>
      <c r="E75" s="33">
        <f t="shared" si="26"/>
        <v>336</v>
      </c>
      <c r="F75" s="33">
        <f t="shared" si="22"/>
        <v>4</v>
      </c>
      <c r="G75" s="33">
        <v>3</v>
      </c>
      <c r="H75" s="33">
        <v>81574</v>
      </c>
      <c r="I75" s="33" t="s">
        <v>104</v>
      </c>
      <c r="J75" s="33">
        <v>68612982</v>
      </c>
      <c r="K75" s="33" t="s">
        <v>4004</v>
      </c>
      <c r="L75" s="28" t="s">
        <v>4012</v>
      </c>
      <c r="M75" s="33">
        <v>229900</v>
      </c>
      <c r="N75" s="33" t="str">
        <f t="shared" si="23"/>
        <v>BXGY</v>
      </c>
      <c r="O75" s="34" t="str">
        <f t="shared" si="24"/>
        <v>B3 DISC 10%</v>
      </c>
      <c r="P75" s="33" t="str">
        <f t="shared" si="25"/>
        <v>BXGY</v>
      </c>
    </row>
    <row r="76" spans="1:16" x14ac:dyDescent="0.25">
      <c r="A76" s="33" t="str">
        <f t="shared" si="18"/>
        <v>2025 OCT - DEC B3D10</v>
      </c>
      <c r="B76" s="8">
        <f t="shared" si="19"/>
        <v>46099</v>
      </c>
      <c r="C76" s="8">
        <f t="shared" si="20"/>
        <v>46113</v>
      </c>
      <c r="D76" s="33">
        <f t="shared" si="21"/>
        <v>3272</v>
      </c>
      <c r="E76" s="6">
        <v>336</v>
      </c>
      <c r="F76" s="33">
        <f t="shared" si="22"/>
        <v>4</v>
      </c>
      <c r="G76" s="33">
        <v>1</v>
      </c>
      <c r="H76" s="33">
        <v>4953</v>
      </c>
      <c r="I76" s="33" t="s">
        <v>104</v>
      </c>
      <c r="J76" s="33">
        <v>61967004</v>
      </c>
      <c r="K76" s="33" t="s">
        <v>3715</v>
      </c>
      <c r="L76" s="22" t="s">
        <v>3716</v>
      </c>
      <c r="M76" s="49">
        <v>99900</v>
      </c>
      <c r="N76" s="33" t="str">
        <f t="shared" si="23"/>
        <v>BXGY</v>
      </c>
      <c r="O76" s="34" t="str">
        <f t="shared" si="24"/>
        <v>B3 DISC 10%</v>
      </c>
      <c r="P76" s="33" t="str">
        <f t="shared" si="25"/>
        <v>BXGY</v>
      </c>
    </row>
    <row r="77" spans="1:16" x14ac:dyDescent="0.25">
      <c r="A77" s="33" t="str">
        <f t="shared" si="18"/>
        <v>2025 OCT - DEC B3D10</v>
      </c>
      <c r="B77" s="8">
        <f t="shared" si="19"/>
        <v>46099</v>
      </c>
      <c r="C77" s="8">
        <f t="shared" si="20"/>
        <v>46113</v>
      </c>
      <c r="D77" s="33">
        <f t="shared" si="21"/>
        <v>3272</v>
      </c>
      <c r="E77" s="33">
        <f t="shared" ref="E77:E108" si="27">E76</f>
        <v>336</v>
      </c>
      <c r="F77" s="33">
        <f t="shared" si="22"/>
        <v>4</v>
      </c>
      <c r="G77" s="33">
        <v>1</v>
      </c>
      <c r="H77" s="33">
        <v>4953</v>
      </c>
      <c r="I77" s="33" t="s">
        <v>104</v>
      </c>
      <c r="J77" s="33">
        <v>61967013</v>
      </c>
      <c r="K77" s="33" t="s">
        <v>3715</v>
      </c>
      <c r="L77" s="22" t="s">
        <v>3717</v>
      </c>
      <c r="M77" s="49">
        <v>99900</v>
      </c>
      <c r="N77" s="33" t="str">
        <f t="shared" si="23"/>
        <v>BXGY</v>
      </c>
      <c r="O77" s="34" t="str">
        <f t="shared" si="24"/>
        <v>B3 DISC 10%</v>
      </c>
      <c r="P77" s="33" t="str">
        <f t="shared" si="25"/>
        <v>BXGY</v>
      </c>
    </row>
    <row r="78" spans="1:16" x14ac:dyDescent="0.25">
      <c r="A78" s="33" t="str">
        <f t="shared" si="18"/>
        <v>2025 OCT - DEC B3D10</v>
      </c>
      <c r="B78" s="8">
        <f t="shared" si="19"/>
        <v>46099</v>
      </c>
      <c r="C78" s="8">
        <f t="shared" si="20"/>
        <v>46113</v>
      </c>
      <c r="D78" s="33">
        <f t="shared" si="21"/>
        <v>3272</v>
      </c>
      <c r="E78" s="33">
        <f t="shared" si="27"/>
        <v>336</v>
      </c>
      <c r="F78" s="33">
        <f t="shared" si="22"/>
        <v>4</v>
      </c>
      <c r="G78" s="33">
        <v>1</v>
      </c>
      <c r="H78" s="33">
        <v>4953</v>
      </c>
      <c r="I78" s="33" t="s">
        <v>104</v>
      </c>
      <c r="J78" s="33">
        <v>61967022</v>
      </c>
      <c r="K78" s="33" t="s">
        <v>3715</v>
      </c>
      <c r="L78" s="22" t="s">
        <v>3718</v>
      </c>
      <c r="M78" s="49">
        <v>99900</v>
      </c>
      <c r="N78" s="33" t="str">
        <f t="shared" si="23"/>
        <v>BXGY</v>
      </c>
      <c r="O78" s="34" t="str">
        <f t="shared" si="24"/>
        <v>B3 DISC 10%</v>
      </c>
      <c r="P78" s="33" t="str">
        <f t="shared" si="25"/>
        <v>BXGY</v>
      </c>
    </row>
    <row r="79" spans="1:16" x14ac:dyDescent="0.25">
      <c r="A79" s="33" t="str">
        <f t="shared" si="18"/>
        <v>2025 OCT - DEC B3D10</v>
      </c>
      <c r="B79" s="8">
        <f t="shared" si="19"/>
        <v>46099</v>
      </c>
      <c r="C79" s="8">
        <f t="shared" si="20"/>
        <v>46113</v>
      </c>
      <c r="D79" s="33">
        <f t="shared" si="21"/>
        <v>3272</v>
      </c>
      <c r="E79" s="33">
        <f t="shared" si="27"/>
        <v>336</v>
      </c>
      <c r="F79" s="33">
        <f t="shared" si="22"/>
        <v>4</v>
      </c>
      <c r="G79" s="33">
        <v>1</v>
      </c>
      <c r="H79" s="33">
        <v>4953</v>
      </c>
      <c r="I79" s="33" t="s">
        <v>104</v>
      </c>
      <c r="J79" s="33">
        <v>61967031</v>
      </c>
      <c r="K79" s="33" t="s">
        <v>3715</v>
      </c>
      <c r="L79" s="22" t="s">
        <v>3719</v>
      </c>
      <c r="M79" s="49">
        <v>99900</v>
      </c>
      <c r="N79" s="33" t="str">
        <f t="shared" si="23"/>
        <v>BXGY</v>
      </c>
      <c r="O79" s="34" t="str">
        <f t="shared" si="24"/>
        <v>B3 DISC 10%</v>
      </c>
      <c r="P79" s="33" t="str">
        <f t="shared" si="25"/>
        <v>BXGY</v>
      </c>
    </row>
    <row r="80" spans="1:16" x14ac:dyDescent="0.25">
      <c r="A80" s="33" t="str">
        <f t="shared" si="18"/>
        <v>2025 OCT - DEC B3D10</v>
      </c>
      <c r="B80" s="8">
        <f t="shared" si="19"/>
        <v>46099</v>
      </c>
      <c r="C80" s="8">
        <f t="shared" si="20"/>
        <v>46113</v>
      </c>
      <c r="D80" s="33">
        <f t="shared" si="21"/>
        <v>3272</v>
      </c>
      <c r="E80" s="33">
        <f t="shared" si="27"/>
        <v>336</v>
      </c>
      <c r="F80" s="33">
        <f t="shared" si="22"/>
        <v>4</v>
      </c>
      <c r="G80" s="33">
        <v>1</v>
      </c>
      <c r="H80" s="33">
        <v>4953</v>
      </c>
      <c r="I80" s="33" t="s">
        <v>104</v>
      </c>
      <c r="J80" s="33">
        <v>61967040</v>
      </c>
      <c r="K80" s="33" t="s">
        <v>3715</v>
      </c>
      <c r="L80" s="22" t="s">
        <v>3720</v>
      </c>
      <c r="M80" s="49">
        <v>99900</v>
      </c>
      <c r="N80" s="33" t="str">
        <f t="shared" si="23"/>
        <v>BXGY</v>
      </c>
      <c r="O80" s="34" t="str">
        <f t="shared" si="24"/>
        <v>B3 DISC 10%</v>
      </c>
      <c r="P80" s="33" t="str">
        <f t="shared" si="25"/>
        <v>BXGY</v>
      </c>
    </row>
    <row r="81" spans="1:16" x14ac:dyDescent="0.25">
      <c r="A81" s="33" t="str">
        <f t="shared" si="18"/>
        <v>2025 OCT - DEC B3D10</v>
      </c>
      <c r="B81" s="8">
        <f t="shared" si="19"/>
        <v>46099</v>
      </c>
      <c r="C81" s="8">
        <f t="shared" si="20"/>
        <v>46113</v>
      </c>
      <c r="D81" s="33">
        <f t="shared" si="21"/>
        <v>3272</v>
      </c>
      <c r="E81" s="33">
        <f t="shared" si="27"/>
        <v>336</v>
      </c>
      <c r="F81" s="33">
        <f t="shared" si="22"/>
        <v>4</v>
      </c>
      <c r="G81" s="33">
        <v>1</v>
      </c>
      <c r="H81" s="33">
        <v>4953</v>
      </c>
      <c r="I81" s="33" t="s">
        <v>104</v>
      </c>
      <c r="J81" s="33">
        <v>61967059</v>
      </c>
      <c r="K81" s="33" t="s">
        <v>3715</v>
      </c>
      <c r="L81" s="22" t="s">
        <v>3721</v>
      </c>
      <c r="M81" s="49">
        <v>99900</v>
      </c>
      <c r="N81" s="33" t="str">
        <f t="shared" si="23"/>
        <v>BXGY</v>
      </c>
      <c r="O81" s="34" t="str">
        <f t="shared" si="24"/>
        <v>B3 DISC 10%</v>
      </c>
      <c r="P81" s="33" t="str">
        <f t="shared" si="25"/>
        <v>BXGY</v>
      </c>
    </row>
    <row r="82" spans="1:16" x14ac:dyDescent="0.25">
      <c r="A82" s="33" t="str">
        <f t="shared" si="18"/>
        <v>2025 OCT - DEC B3D10</v>
      </c>
      <c r="B82" s="8">
        <f t="shared" si="19"/>
        <v>46099</v>
      </c>
      <c r="C82" s="8">
        <f t="shared" si="20"/>
        <v>46113</v>
      </c>
      <c r="D82" s="33">
        <f t="shared" si="21"/>
        <v>3272</v>
      </c>
      <c r="E82" s="33">
        <f t="shared" si="27"/>
        <v>336</v>
      </c>
      <c r="F82" s="33">
        <f t="shared" si="22"/>
        <v>4</v>
      </c>
      <c r="G82" s="33">
        <v>1</v>
      </c>
      <c r="H82" s="33">
        <v>4953</v>
      </c>
      <c r="I82" s="33" t="s">
        <v>104</v>
      </c>
      <c r="J82" s="33">
        <v>61967068</v>
      </c>
      <c r="K82" s="33" t="s">
        <v>3715</v>
      </c>
      <c r="L82" s="22" t="s">
        <v>3722</v>
      </c>
      <c r="M82" s="49">
        <v>99900</v>
      </c>
      <c r="N82" s="33" t="str">
        <f t="shared" si="23"/>
        <v>BXGY</v>
      </c>
      <c r="O82" s="34" t="str">
        <f t="shared" si="24"/>
        <v>B3 DISC 10%</v>
      </c>
      <c r="P82" s="33" t="str">
        <f t="shared" si="25"/>
        <v>BXGY</v>
      </c>
    </row>
    <row r="83" spans="1:16" x14ac:dyDescent="0.25">
      <c r="A83" s="33" t="str">
        <f t="shared" si="18"/>
        <v>2025 OCT - DEC B3D10</v>
      </c>
      <c r="B83" s="8">
        <f t="shared" si="19"/>
        <v>46099</v>
      </c>
      <c r="C83" s="8">
        <f t="shared" si="20"/>
        <v>46113</v>
      </c>
      <c r="D83" s="33">
        <f t="shared" si="21"/>
        <v>3272</v>
      </c>
      <c r="E83" s="33">
        <f t="shared" si="27"/>
        <v>336</v>
      </c>
      <c r="F83" s="33">
        <f t="shared" si="22"/>
        <v>4</v>
      </c>
      <c r="G83" s="33">
        <v>1</v>
      </c>
      <c r="H83" s="33">
        <v>4953</v>
      </c>
      <c r="I83" s="33" t="s">
        <v>104</v>
      </c>
      <c r="J83" s="33">
        <v>61967077</v>
      </c>
      <c r="K83" s="33" t="s">
        <v>3723</v>
      </c>
      <c r="L83" s="22" t="s">
        <v>3724</v>
      </c>
      <c r="M83" s="49">
        <v>99900</v>
      </c>
      <c r="N83" s="33" t="str">
        <f t="shared" si="23"/>
        <v>BXGY</v>
      </c>
      <c r="O83" s="34" t="str">
        <f t="shared" si="24"/>
        <v>B3 DISC 10%</v>
      </c>
      <c r="P83" s="33" t="str">
        <f t="shared" si="25"/>
        <v>BXGY</v>
      </c>
    </row>
    <row r="84" spans="1:16" x14ac:dyDescent="0.25">
      <c r="A84" s="33" t="str">
        <f t="shared" si="18"/>
        <v>2025 OCT - DEC B3D10</v>
      </c>
      <c r="B84" s="8">
        <f t="shared" si="19"/>
        <v>46099</v>
      </c>
      <c r="C84" s="8">
        <f t="shared" si="20"/>
        <v>46113</v>
      </c>
      <c r="D84" s="33">
        <f t="shared" si="21"/>
        <v>3272</v>
      </c>
      <c r="E84" s="33">
        <f t="shared" si="27"/>
        <v>336</v>
      </c>
      <c r="F84" s="33">
        <f t="shared" si="22"/>
        <v>4</v>
      </c>
      <c r="G84" s="33">
        <v>1</v>
      </c>
      <c r="H84" s="33">
        <v>4953</v>
      </c>
      <c r="I84" s="33" t="s">
        <v>104</v>
      </c>
      <c r="J84" s="33">
        <v>61967086</v>
      </c>
      <c r="K84" s="33" t="s">
        <v>3723</v>
      </c>
      <c r="L84" s="22" t="s">
        <v>3725</v>
      </c>
      <c r="M84" s="49">
        <v>99900</v>
      </c>
      <c r="N84" s="33" t="str">
        <f t="shared" si="23"/>
        <v>BXGY</v>
      </c>
      <c r="O84" s="34" t="str">
        <f t="shared" si="24"/>
        <v>B3 DISC 10%</v>
      </c>
      <c r="P84" s="33" t="str">
        <f t="shared" si="25"/>
        <v>BXGY</v>
      </c>
    </row>
    <row r="85" spans="1:16" x14ac:dyDescent="0.25">
      <c r="A85" s="33" t="str">
        <f t="shared" si="18"/>
        <v>2025 OCT - DEC B3D10</v>
      </c>
      <c r="B85" s="8">
        <f t="shared" si="19"/>
        <v>46099</v>
      </c>
      <c r="C85" s="8">
        <f t="shared" si="20"/>
        <v>46113</v>
      </c>
      <c r="D85" s="33">
        <f t="shared" si="21"/>
        <v>3272</v>
      </c>
      <c r="E85" s="33">
        <f t="shared" si="27"/>
        <v>336</v>
      </c>
      <c r="F85" s="33">
        <f t="shared" si="22"/>
        <v>4</v>
      </c>
      <c r="G85" s="33">
        <v>1</v>
      </c>
      <c r="H85" s="33">
        <v>4953</v>
      </c>
      <c r="I85" s="33" t="s">
        <v>104</v>
      </c>
      <c r="J85" s="33">
        <v>61967095</v>
      </c>
      <c r="K85" s="33" t="s">
        <v>3723</v>
      </c>
      <c r="L85" s="22" t="s">
        <v>3726</v>
      </c>
      <c r="M85" s="49">
        <v>99900</v>
      </c>
      <c r="N85" s="33" t="str">
        <f t="shared" si="23"/>
        <v>BXGY</v>
      </c>
      <c r="O85" s="34" t="str">
        <f t="shared" si="24"/>
        <v>B3 DISC 10%</v>
      </c>
      <c r="P85" s="33" t="str">
        <f t="shared" si="25"/>
        <v>BXGY</v>
      </c>
    </row>
    <row r="86" spans="1:16" x14ac:dyDescent="0.25">
      <c r="A86" s="33" t="str">
        <f t="shared" si="18"/>
        <v>2025 OCT - DEC B3D10</v>
      </c>
      <c r="B86" s="8">
        <f t="shared" si="19"/>
        <v>46099</v>
      </c>
      <c r="C86" s="8">
        <f t="shared" si="20"/>
        <v>46113</v>
      </c>
      <c r="D86" s="33">
        <f t="shared" si="21"/>
        <v>3272</v>
      </c>
      <c r="E86" s="33">
        <f t="shared" si="27"/>
        <v>336</v>
      </c>
      <c r="F86" s="33">
        <f t="shared" si="22"/>
        <v>4</v>
      </c>
      <c r="G86" s="33">
        <v>1</v>
      </c>
      <c r="H86" s="33">
        <v>4953</v>
      </c>
      <c r="I86" s="33" t="s">
        <v>104</v>
      </c>
      <c r="J86" s="33">
        <v>61967102</v>
      </c>
      <c r="K86" s="33" t="s">
        <v>3723</v>
      </c>
      <c r="L86" s="22" t="s">
        <v>3727</v>
      </c>
      <c r="M86" s="49">
        <v>99900</v>
      </c>
      <c r="N86" s="33" t="str">
        <f t="shared" si="23"/>
        <v>BXGY</v>
      </c>
      <c r="O86" s="34" t="str">
        <f t="shared" si="24"/>
        <v>B3 DISC 10%</v>
      </c>
      <c r="P86" s="33" t="str">
        <f t="shared" si="25"/>
        <v>BXGY</v>
      </c>
    </row>
    <row r="87" spans="1:16" x14ac:dyDescent="0.25">
      <c r="A87" s="33" t="str">
        <f t="shared" si="18"/>
        <v>2025 OCT - DEC B3D10</v>
      </c>
      <c r="B87" s="8">
        <f t="shared" si="19"/>
        <v>46099</v>
      </c>
      <c r="C87" s="8">
        <f t="shared" si="20"/>
        <v>46113</v>
      </c>
      <c r="D87" s="33">
        <f t="shared" si="21"/>
        <v>3272</v>
      </c>
      <c r="E87" s="33">
        <f t="shared" si="27"/>
        <v>336</v>
      </c>
      <c r="F87" s="33">
        <f t="shared" si="22"/>
        <v>4</v>
      </c>
      <c r="G87" s="33">
        <v>1</v>
      </c>
      <c r="H87" s="33">
        <v>4953</v>
      </c>
      <c r="I87" s="33" t="s">
        <v>104</v>
      </c>
      <c r="J87" s="33">
        <v>61967111</v>
      </c>
      <c r="K87" s="33" t="s">
        <v>3723</v>
      </c>
      <c r="L87" s="22" t="s">
        <v>3728</v>
      </c>
      <c r="M87" s="49">
        <v>99900</v>
      </c>
      <c r="N87" s="33" t="str">
        <f t="shared" si="23"/>
        <v>BXGY</v>
      </c>
      <c r="O87" s="34" t="str">
        <f t="shared" si="24"/>
        <v>B3 DISC 10%</v>
      </c>
      <c r="P87" s="33" t="str">
        <f t="shared" si="25"/>
        <v>BXGY</v>
      </c>
    </row>
    <row r="88" spans="1:16" x14ac:dyDescent="0.25">
      <c r="A88" s="33" t="str">
        <f t="shared" si="18"/>
        <v>2025 OCT - DEC B3D10</v>
      </c>
      <c r="B88" s="8">
        <f t="shared" si="19"/>
        <v>46099</v>
      </c>
      <c r="C88" s="8">
        <f t="shared" si="20"/>
        <v>46113</v>
      </c>
      <c r="D88" s="33">
        <f t="shared" si="21"/>
        <v>3272</v>
      </c>
      <c r="E88" s="33">
        <f t="shared" si="27"/>
        <v>336</v>
      </c>
      <c r="F88" s="33">
        <f t="shared" si="22"/>
        <v>4</v>
      </c>
      <c r="G88" s="33">
        <v>1</v>
      </c>
      <c r="H88" s="33">
        <v>4953</v>
      </c>
      <c r="I88" s="33" t="s">
        <v>104</v>
      </c>
      <c r="J88" s="33">
        <v>61967120</v>
      </c>
      <c r="K88" s="33" t="s">
        <v>3723</v>
      </c>
      <c r="L88" s="22" t="s">
        <v>3729</v>
      </c>
      <c r="M88" s="49">
        <v>99900</v>
      </c>
      <c r="N88" s="33" t="str">
        <f t="shared" si="23"/>
        <v>BXGY</v>
      </c>
      <c r="O88" s="34" t="str">
        <f t="shared" si="24"/>
        <v>B3 DISC 10%</v>
      </c>
      <c r="P88" s="33" t="str">
        <f t="shared" si="25"/>
        <v>BXGY</v>
      </c>
    </row>
    <row r="89" spans="1:16" x14ac:dyDescent="0.25">
      <c r="A89" s="33" t="str">
        <f t="shared" si="18"/>
        <v>2025 OCT - DEC B3D10</v>
      </c>
      <c r="B89" s="8">
        <f t="shared" si="19"/>
        <v>46099</v>
      </c>
      <c r="C89" s="8">
        <f t="shared" si="20"/>
        <v>46113</v>
      </c>
      <c r="D89" s="33">
        <f t="shared" si="21"/>
        <v>3272</v>
      </c>
      <c r="E89" s="33">
        <f t="shared" si="27"/>
        <v>336</v>
      </c>
      <c r="F89" s="33">
        <f t="shared" si="22"/>
        <v>4</v>
      </c>
      <c r="G89" s="33">
        <v>1</v>
      </c>
      <c r="H89" s="33">
        <v>4953</v>
      </c>
      <c r="I89" s="33" t="s">
        <v>104</v>
      </c>
      <c r="J89" s="33">
        <v>61967139</v>
      </c>
      <c r="K89" s="33" t="s">
        <v>3723</v>
      </c>
      <c r="L89" s="22" t="s">
        <v>3730</v>
      </c>
      <c r="M89" s="49">
        <v>99900</v>
      </c>
      <c r="N89" s="33" t="str">
        <f t="shared" si="23"/>
        <v>BXGY</v>
      </c>
      <c r="O89" s="34" t="str">
        <f t="shared" si="24"/>
        <v>B3 DISC 10%</v>
      </c>
      <c r="P89" s="33" t="str">
        <f t="shared" si="25"/>
        <v>BXGY</v>
      </c>
    </row>
    <row r="90" spans="1:16" x14ac:dyDescent="0.25">
      <c r="A90" s="33" t="str">
        <f t="shared" si="18"/>
        <v>2025 OCT - DEC B3D10</v>
      </c>
      <c r="B90" s="8">
        <f t="shared" si="19"/>
        <v>46099</v>
      </c>
      <c r="C90" s="8">
        <f t="shared" si="20"/>
        <v>46113</v>
      </c>
      <c r="D90" s="33">
        <f t="shared" si="21"/>
        <v>3272</v>
      </c>
      <c r="E90" s="33">
        <f t="shared" si="27"/>
        <v>336</v>
      </c>
      <c r="F90" s="33">
        <f t="shared" si="22"/>
        <v>4</v>
      </c>
      <c r="G90" s="33">
        <v>1</v>
      </c>
      <c r="H90" s="33">
        <v>4953</v>
      </c>
      <c r="I90" s="33" t="s">
        <v>104</v>
      </c>
      <c r="J90" s="33">
        <v>61967148</v>
      </c>
      <c r="K90" s="33" t="s">
        <v>3731</v>
      </c>
      <c r="L90" s="22" t="s">
        <v>3732</v>
      </c>
      <c r="M90" s="49">
        <v>99900</v>
      </c>
      <c r="N90" s="33" t="str">
        <f t="shared" si="23"/>
        <v>BXGY</v>
      </c>
      <c r="O90" s="34" t="str">
        <f t="shared" si="24"/>
        <v>B3 DISC 10%</v>
      </c>
      <c r="P90" s="33" t="str">
        <f t="shared" si="25"/>
        <v>BXGY</v>
      </c>
    </row>
    <row r="91" spans="1:16" x14ac:dyDescent="0.25">
      <c r="A91" s="33" t="str">
        <f t="shared" si="18"/>
        <v>2025 OCT - DEC B3D10</v>
      </c>
      <c r="B91" s="8">
        <f t="shared" si="19"/>
        <v>46099</v>
      </c>
      <c r="C91" s="8">
        <f t="shared" si="20"/>
        <v>46113</v>
      </c>
      <c r="D91" s="33">
        <f t="shared" si="21"/>
        <v>3272</v>
      </c>
      <c r="E91" s="33">
        <f t="shared" si="27"/>
        <v>336</v>
      </c>
      <c r="F91" s="33">
        <f t="shared" si="22"/>
        <v>4</v>
      </c>
      <c r="G91" s="33">
        <v>1</v>
      </c>
      <c r="H91" s="33">
        <v>4953</v>
      </c>
      <c r="I91" s="33" t="s">
        <v>104</v>
      </c>
      <c r="J91" s="33">
        <v>61967157</v>
      </c>
      <c r="K91" s="33" t="s">
        <v>3731</v>
      </c>
      <c r="L91" s="22" t="s">
        <v>3733</v>
      </c>
      <c r="M91" s="49">
        <v>99900</v>
      </c>
      <c r="N91" s="33" t="str">
        <f t="shared" si="23"/>
        <v>BXGY</v>
      </c>
      <c r="O91" s="34" t="str">
        <f t="shared" si="24"/>
        <v>B3 DISC 10%</v>
      </c>
      <c r="P91" s="33" t="str">
        <f t="shared" si="25"/>
        <v>BXGY</v>
      </c>
    </row>
    <row r="92" spans="1:16" x14ac:dyDescent="0.25">
      <c r="A92" s="33" t="str">
        <f t="shared" si="18"/>
        <v>2025 OCT - DEC B3D10</v>
      </c>
      <c r="B92" s="8">
        <f t="shared" si="19"/>
        <v>46099</v>
      </c>
      <c r="C92" s="8">
        <f t="shared" si="20"/>
        <v>46113</v>
      </c>
      <c r="D92" s="33">
        <f t="shared" si="21"/>
        <v>3272</v>
      </c>
      <c r="E92" s="33">
        <f t="shared" si="27"/>
        <v>336</v>
      </c>
      <c r="F92" s="33">
        <f t="shared" si="22"/>
        <v>4</v>
      </c>
      <c r="G92" s="33">
        <v>1</v>
      </c>
      <c r="H92" s="33">
        <v>4953</v>
      </c>
      <c r="I92" s="33" t="s">
        <v>104</v>
      </c>
      <c r="J92" s="33">
        <v>61967166</v>
      </c>
      <c r="K92" s="33" t="s">
        <v>3731</v>
      </c>
      <c r="L92" s="22" t="s">
        <v>3734</v>
      </c>
      <c r="M92" s="49">
        <v>99900</v>
      </c>
      <c r="N92" s="33" t="str">
        <f t="shared" si="23"/>
        <v>BXGY</v>
      </c>
      <c r="O92" s="34" t="str">
        <f t="shared" si="24"/>
        <v>B3 DISC 10%</v>
      </c>
      <c r="P92" s="33" t="str">
        <f t="shared" si="25"/>
        <v>BXGY</v>
      </c>
    </row>
    <row r="93" spans="1:16" x14ac:dyDescent="0.25">
      <c r="A93" s="33" t="str">
        <f t="shared" si="18"/>
        <v>2025 OCT - DEC B3D10</v>
      </c>
      <c r="B93" s="8">
        <f t="shared" si="19"/>
        <v>46099</v>
      </c>
      <c r="C93" s="8">
        <f t="shared" si="20"/>
        <v>46113</v>
      </c>
      <c r="D93" s="33">
        <f t="shared" si="21"/>
        <v>3272</v>
      </c>
      <c r="E93" s="33">
        <f t="shared" si="27"/>
        <v>336</v>
      </c>
      <c r="F93" s="33">
        <f t="shared" si="22"/>
        <v>4</v>
      </c>
      <c r="G93" s="33">
        <v>1</v>
      </c>
      <c r="H93" s="33">
        <v>4953</v>
      </c>
      <c r="I93" s="33" t="s">
        <v>104</v>
      </c>
      <c r="J93" s="33">
        <v>61967175</v>
      </c>
      <c r="K93" s="33" t="s">
        <v>3731</v>
      </c>
      <c r="L93" s="22" t="s">
        <v>3735</v>
      </c>
      <c r="M93" s="49">
        <v>99900</v>
      </c>
      <c r="N93" s="33" t="str">
        <f t="shared" si="23"/>
        <v>BXGY</v>
      </c>
      <c r="O93" s="34" t="str">
        <f t="shared" si="24"/>
        <v>B3 DISC 10%</v>
      </c>
      <c r="P93" s="33" t="str">
        <f t="shared" si="25"/>
        <v>BXGY</v>
      </c>
    </row>
    <row r="94" spans="1:16" x14ac:dyDescent="0.25">
      <c r="A94" s="33" t="str">
        <f t="shared" si="18"/>
        <v>2025 OCT - DEC B3D10</v>
      </c>
      <c r="B94" s="8">
        <f t="shared" si="19"/>
        <v>46099</v>
      </c>
      <c r="C94" s="8">
        <f t="shared" si="20"/>
        <v>46113</v>
      </c>
      <c r="D94" s="33">
        <f t="shared" si="21"/>
        <v>3272</v>
      </c>
      <c r="E94" s="33">
        <f t="shared" si="27"/>
        <v>336</v>
      </c>
      <c r="F94" s="33">
        <f t="shared" si="22"/>
        <v>4</v>
      </c>
      <c r="G94" s="33">
        <v>1</v>
      </c>
      <c r="H94" s="33">
        <v>4953</v>
      </c>
      <c r="I94" s="33" t="s">
        <v>104</v>
      </c>
      <c r="J94" s="33">
        <v>61967184</v>
      </c>
      <c r="K94" s="33" t="s">
        <v>3731</v>
      </c>
      <c r="L94" s="22" t="s">
        <v>3736</v>
      </c>
      <c r="M94" s="49">
        <v>99900</v>
      </c>
      <c r="N94" s="33" t="str">
        <f t="shared" si="23"/>
        <v>BXGY</v>
      </c>
      <c r="O94" s="34" t="str">
        <f t="shared" si="24"/>
        <v>B3 DISC 10%</v>
      </c>
      <c r="P94" s="33" t="str">
        <f t="shared" si="25"/>
        <v>BXGY</v>
      </c>
    </row>
    <row r="95" spans="1:16" x14ac:dyDescent="0.25">
      <c r="A95" s="33" t="str">
        <f t="shared" si="18"/>
        <v>2025 OCT - DEC B3D10</v>
      </c>
      <c r="B95" s="8">
        <f t="shared" si="19"/>
        <v>46099</v>
      </c>
      <c r="C95" s="8">
        <f t="shared" si="20"/>
        <v>46113</v>
      </c>
      <c r="D95" s="33">
        <f t="shared" si="21"/>
        <v>3272</v>
      </c>
      <c r="E95" s="33">
        <f t="shared" si="27"/>
        <v>336</v>
      </c>
      <c r="F95" s="33">
        <f t="shared" si="22"/>
        <v>4</v>
      </c>
      <c r="G95" s="33">
        <v>1</v>
      </c>
      <c r="H95" s="33">
        <v>4953</v>
      </c>
      <c r="I95" s="33" t="s">
        <v>104</v>
      </c>
      <c r="J95" s="33">
        <v>61967193</v>
      </c>
      <c r="K95" s="33" t="s">
        <v>3731</v>
      </c>
      <c r="L95" s="22" t="s">
        <v>3737</v>
      </c>
      <c r="M95" s="49">
        <v>99900</v>
      </c>
      <c r="N95" s="33" t="str">
        <f t="shared" si="23"/>
        <v>BXGY</v>
      </c>
      <c r="O95" s="34" t="str">
        <f t="shared" si="24"/>
        <v>B3 DISC 10%</v>
      </c>
      <c r="P95" s="33" t="str">
        <f t="shared" si="25"/>
        <v>BXGY</v>
      </c>
    </row>
    <row r="96" spans="1:16" x14ac:dyDescent="0.25">
      <c r="A96" s="33" t="str">
        <f t="shared" si="18"/>
        <v>2025 OCT - DEC B3D10</v>
      </c>
      <c r="B96" s="8">
        <f t="shared" si="19"/>
        <v>46099</v>
      </c>
      <c r="C96" s="8">
        <f t="shared" si="20"/>
        <v>46113</v>
      </c>
      <c r="D96" s="33">
        <f t="shared" si="21"/>
        <v>3272</v>
      </c>
      <c r="E96" s="33">
        <f t="shared" si="27"/>
        <v>336</v>
      </c>
      <c r="F96" s="33">
        <f t="shared" si="22"/>
        <v>4</v>
      </c>
      <c r="G96" s="33">
        <v>1</v>
      </c>
      <c r="H96" s="33">
        <v>4953</v>
      </c>
      <c r="I96" s="33" t="s">
        <v>104</v>
      </c>
      <c r="J96" s="33">
        <v>61967200</v>
      </c>
      <c r="K96" s="33" t="s">
        <v>3731</v>
      </c>
      <c r="L96" s="22" t="s">
        <v>3738</v>
      </c>
      <c r="M96" s="49">
        <v>99900</v>
      </c>
      <c r="N96" s="33" t="str">
        <f t="shared" si="23"/>
        <v>BXGY</v>
      </c>
      <c r="O96" s="34" t="str">
        <f t="shared" si="24"/>
        <v>B3 DISC 10%</v>
      </c>
      <c r="P96" s="33" t="str">
        <f t="shared" si="25"/>
        <v>BXGY</v>
      </c>
    </row>
    <row r="97" spans="1:16" x14ac:dyDescent="0.25">
      <c r="A97" s="33" t="str">
        <f t="shared" si="18"/>
        <v>2025 OCT - DEC B3D10</v>
      </c>
      <c r="B97" s="8">
        <f t="shared" si="19"/>
        <v>46099</v>
      </c>
      <c r="C97" s="8">
        <f t="shared" si="20"/>
        <v>46113</v>
      </c>
      <c r="D97" s="33">
        <f t="shared" si="21"/>
        <v>3272</v>
      </c>
      <c r="E97" s="33">
        <f t="shared" si="27"/>
        <v>336</v>
      </c>
      <c r="F97" s="33">
        <f t="shared" si="22"/>
        <v>4</v>
      </c>
      <c r="G97" s="33">
        <v>1</v>
      </c>
      <c r="H97" s="33">
        <v>81379</v>
      </c>
      <c r="I97" s="33" t="s">
        <v>104</v>
      </c>
      <c r="J97" s="33">
        <v>61099863</v>
      </c>
      <c r="K97" s="33" t="s">
        <v>3747</v>
      </c>
      <c r="L97" s="22" t="s">
        <v>3748</v>
      </c>
      <c r="M97" s="49">
        <v>99900</v>
      </c>
      <c r="N97" s="33" t="str">
        <f t="shared" si="23"/>
        <v>BXGY</v>
      </c>
      <c r="O97" s="34" t="str">
        <f t="shared" si="24"/>
        <v>B3 DISC 10%</v>
      </c>
      <c r="P97" s="33" t="str">
        <f t="shared" si="25"/>
        <v>BXGY</v>
      </c>
    </row>
    <row r="98" spans="1:16" x14ac:dyDescent="0.25">
      <c r="A98" s="33" t="str">
        <f t="shared" si="18"/>
        <v>2025 OCT - DEC B3D10</v>
      </c>
      <c r="B98" s="8">
        <f t="shared" si="19"/>
        <v>46099</v>
      </c>
      <c r="C98" s="8">
        <f t="shared" si="20"/>
        <v>46113</v>
      </c>
      <c r="D98" s="33">
        <f t="shared" si="21"/>
        <v>3272</v>
      </c>
      <c r="E98" s="33">
        <f t="shared" si="27"/>
        <v>336</v>
      </c>
      <c r="F98" s="33">
        <f t="shared" si="22"/>
        <v>4</v>
      </c>
      <c r="G98" s="33">
        <v>1</v>
      </c>
      <c r="H98" s="33">
        <v>81379</v>
      </c>
      <c r="I98" s="33" t="s">
        <v>104</v>
      </c>
      <c r="J98" s="33">
        <v>61099872</v>
      </c>
      <c r="K98" s="33" t="s">
        <v>3747</v>
      </c>
      <c r="L98" s="22" t="s">
        <v>3749</v>
      </c>
      <c r="M98" s="49">
        <v>99900</v>
      </c>
      <c r="N98" s="33" t="str">
        <f t="shared" si="23"/>
        <v>BXGY</v>
      </c>
      <c r="O98" s="34" t="str">
        <f t="shared" si="24"/>
        <v>B3 DISC 10%</v>
      </c>
      <c r="P98" s="33" t="str">
        <f t="shared" si="25"/>
        <v>BXGY</v>
      </c>
    </row>
    <row r="99" spans="1:16" x14ac:dyDescent="0.25">
      <c r="A99" s="33" t="str">
        <f t="shared" si="18"/>
        <v>2025 OCT - DEC B3D10</v>
      </c>
      <c r="B99" s="8">
        <f t="shared" si="19"/>
        <v>46099</v>
      </c>
      <c r="C99" s="8">
        <f t="shared" si="20"/>
        <v>46113</v>
      </c>
      <c r="D99" s="33">
        <f t="shared" si="21"/>
        <v>3272</v>
      </c>
      <c r="E99" s="33">
        <f t="shared" si="27"/>
        <v>336</v>
      </c>
      <c r="F99" s="33">
        <f t="shared" si="22"/>
        <v>4</v>
      </c>
      <c r="G99" s="33">
        <v>1</v>
      </c>
      <c r="H99" s="33">
        <v>81379</v>
      </c>
      <c r="I99" s="33" t="s">
        <v>104</v>
      </c>
      <c r="J99" s="33">
        <v>61099881</v>
      </c>
      <c r="K99" s="33" t="s">
        <v>3747</v>
      </c>
      <c r="L99" s="22" t="s">
        <v>3750</v>
      </c>
      <c r="M99" s="49">
        <v>99900</v>
      </c>
      <c r="N99" s="33" t="str">
        <f t="shared" si="23"/>
        <v>BXGY</v>
      </c>
      <c r="O99" s="34" t="str">
        <f t="shared" si="24"/>
        <v>B3 DISC 10%</v>
      </c>
      <c r="P99" s="33" t="str">
        <f t="shared" si="25"/>
        <v>BXGY</v>
      </c>
    </row>
    <row r="100" spans="1:16" x14ac:dyDescent="0.25">
      <c r="A100" s="33" t="str">
        <f t="shared" si="18"/>
        <v>2025 OCT - DEC B3D10</v>
      </c>
      <c r="B100" s="8">
        <f t="shared" si="19"/>
        <v>46099</v>
      </c>
      <c r="C100" s="8">
        <f t="shared" si="20"/>
        <v>46113</v>
      </c>
      <c r="D100" s="33">
        <f t="shared" si="21"/>
        <v>3272</v>
      </c>
      <c r="E100" s="33">
        <f t="shared" si="27"/>
        <v>336</v>
      </c>
      <c r="F100" s="33">
        <f t="shared" si="22"/>
        <v>4</v>
      </c>
      <c r="G100" s="33">
        <v>1</v>
      </c>
      <c r="H100" s="33">
        <v>81379</v>
      </c>
      <c r="I100" s="33" t="s">
        <v>104</v>
      </c>
      <c r="J100" s="33">
        <v>61099890</v>
      </c>
      <c r="K100" s="33" t="s">
        <v>3747</v>
      </c>
      <c r="L100" s="22" t="s">
        <v>3751</v>
      </c>
      <c r="M100" s="49">
        <v>99900</v>
      </c>
      <c r="N100" s="33" t="str">
        <f t="shared" si="23"/>
        <v>BXGY</v>
      </c>
      <c r="O100" s="34" t="str">
        <f t="shared" si="24"/>
        <v>B3 DISC 10%</v>
      </c>
      <c r="P100" s="33" t="str">
        <f t="shared" si="25"/>
        <v>BXGY</v>
      </c>
    </row>
    <row r="101" spans="1:16" x14ac:dyDescent="0.25">
      <c r="A101" s="33" t="str">
        <f t="shared" si="18"/>
        <v>2025 OCT - DEC B3D10</v>
      </c>
      <c r="B101" s="8">
        <f t="shared" si="19"/>
        <v>46099</v>
      </c>
      <c r="C101" s="8">
        <f t="shared" si="20"/>
        <v>46113</v>
      </c>
      <c r="D101" s="33">
        <f t="shared" si="21"/>
        <v>3272</v>
      </c>
      <c r="E101" s="33">
        <f t="shared" si="27"/>
        <v>336</v>
      </c>
      <c r="F101" s="33">
        <f t="shared" si="22"/>
        <v>4</v>
      </c>
      <c r="G101" s="33">
        <v>1</v>
      </c>
      <c r="H101" s="33">
        <v>81379</v>
      </c>
      <c r="I101" s="33" t="s">
        <v>104</v>
      </c>
      <c r="J101" s="33">
        <v>61099907</v>
      </c>
      <c r="K101" s="33" t="s">
        <v>3747</v>
      </c>
      <c r="L101" s="22" t="s">
        <v>3752</v>
      </c>
      <c r="M101" s="49">
        <v>99900</v>
      </c>
      <c r="N101" s="33" t="str">
        <f t="shared" si="23"/>
        <v>BXGY</v>
      </c>
      <c r="O101" s="34" t="str">
        <f t="shared" si="24"/>
        <v>B3 DISC 10%</v>
      </c>
      <c r="P101" s="33" t="str">
        <f t="shared" si="25"/>
        <v>BXGY</v>
      </c>
    </row>
    <row r="102" spans="1:16" x14ac:dyDescent="0.25">
      <c r="A102" s="33" t="str">
        <f t="shared" si="18"/>
        <v>2025 OCT - DEC B3D10</v>
      </c>
      <c r="B102" s="8">
        <f t="shared" si="19"/>
        <v>46099</v>
      </c>
      <c r="C102" s="8">
        <f t="shared" si="20"/>
        <v>46113</v>
      </c>
      <c r="D102" s="33">
        <f t="shared" si="21"/>
        <v>3272</v>
      </c>
      <c r="E102" s="33">
        <f t="shared" si="27"/>
        <v>336</v>
      </c>
      <c r="F102" s="33">
        <f t="shared" si="22"/>
        <v>4</v>
      </c>
      <c r="G102" s="33">
        <v>1</v>
      </c>
      <c r="H102" s="33">
        <v>81379</v>
      </c>
      <c r="I102" s="33" t="s">
        <v>104</v>
      </c>
      <c r="J102" s="33">
        <v>61099916</v>
      </c>
      <c r="K102" s="33" t="s">
        <v>3747</v>
      </c>
      <c r="L102" s="22" t="s">
        <v>3753</v>
      </c>
      <c r="M102" s="49">
        <v>99900</v>
      </c>
      <c r="N102" s="33" t="str">
        <f t="shared" si="23"/>
        <v>BXGY</v>
      </c>
      <c r="O102" s="34" t="str">
        <f t="shared" si="24"/>
        <v>B3 DISC 10%</v>
      </c>
      <c r="P102" s="33" t="str">
        <f t="shared" si="25"/>
        <v>BXGY</v>
      </c>
    </row>
    <row r="103" spans="1:16" x14ac:dyDescent="0.25">
      <c r="A103" s="33" t="str">
        <f t="shared" si="18"/>
        <v>2025 OCT - DEC B3D10</v>
      </c>
      <c r="B103" s="8">
        <f t="shared" si="19"/>
        <v>46099</v>
      </c>
      <c r="C103" s="8">
        <f t="shared" si="20"/>
        <v>46113</v>
      </c>
      <c r="D103" s="33">
        <f t="shared" si="21"/>
        <v>3272</v>
      </c>
      <c r="E103" s="33">
        <f t="shared" si="27"/>
        <v>336</v>
      </c>
      <c r="F103" s="33">
        <f t="shared" si="22"/>
        <v>4</v>
      </c>
      <c r="G103" s="33">
        <v>1</v>
      </c>
      <c r="H103" s="33">
        <v>81379</v>
      </c>
      <c r="I103" s="33" t="s">
        <v>104</v>
      </c>
      <c r="J103" s="33">
        <v>61099925</v>
      </c>
      <c r="K103" s="33" t="s">
        <v>3747</v>
      </c>
      <c r="L103" s="22" t="s">
        <v>3754</v>
      </c>
      <c r="M103" s="49">
        <v>99900</v>
      </c>
      <c r="N103" s="33" t="str">
        <f t="shared" si="23"/>
        <v>BXGY</v>
      </c>
      <c r="O103" s="34" t="str">
        <f t="shared" si="24"/>
        <v>B3 DISC 10%</v>
      </c>
      <c r="P103" s="33" t="str">
        <f t="shared" si="25"/>
        <v>BXGY</v>
      </c>
    </row>
    <row r="104" spans="1:16" x14ac:dyDescent="0.25">
      <c r="A104" s="33" t="str">
        <f t="shared" si="18"/>
        <v>2025 OCT - DEC B3D10</v>
      </c>
      <c r="B104" s="8">
        <f t="shared" si="19"/>
        <v>46099</v>
      </c>
      <c r="C104" s="8">
        <f t="shared" si="20"/>
        <v>46113</v>
      </c>
      <c r="D104" s="33">
        <f t="shared" si="21"/>
        <v>3272</v>
      </c>
      <c r="E104" s="33">
        <f t="shared" si="27"/>
        <v>336</v>
      </c>
      <c r="F104" s="33">
        <f t="shared" si="22"/>
        <v>4</v>
      </c>
      <c r="G104" s="33">
        <v>1</v>
      </c>
      <c r="H104" s="33">
        <v>81379</v>
      </c>
      <c r="I104" s="33" t="s">
        <v>104</v>
      </c>
      <c r="J104" s="33">
        <v>61099934</v>
      </c>
      <c r="K104" s="33" t="s">
        <v>3755</v>
      </c>
      <c r="L104" s="22" t="s">
        <v>3756</v>
      </c>
      <c r="M104" s="49">
        <v>99900</v>
      </c>
      <c r="N104" s="33" t="str">
        <f t="shared" si="23"/>
        <v>BXGY</v>
      </c>
      <c r="O104" s="34" t="str">
        <f t="shared" si="24"/>
        <v>B3 DISC 10%</v>
      </c>
      <c r="P104" s="33" t="str">
        <f t="shared" si="25"/>
        <v>BXGY</v>
      </c>
    </row>
    <row r="105" spans="1:16" x14ac:dyDescent="0.25">
      <c r="A105" s="33" t="str">
        <f t="shared" si="18"/>
        <v>2025 OCT - DEC B3D10</v>
      </c>
      <c r="B105" s="8">
        <f t="shared" si="19"/>
        <v>46099</v>
      </c>
      <c r="C105" s="8">
        <f t="shared" si="20"/>
        <v>46113</v>
      </c>
      <c r="D105" s="33">
        <f t="shared" si="21"/>
        <v>3272</v>
      </c>
      <c r="E105" s="33">
        <f t="shared" si="27"/>
        <v>336</v>
      </c>
      <c r="F105" s="33">
        <f t="shared" si="22"/>
        <v>4</v>
      </c>
      <c r="G105" s="33">
        <v>1</v>
      </c>
      <c r="H105" s="33">
        <v>81379</v>
      </c>
      <c r="I105" s="33" t="s">
        <v>104</v>
      </c>
      <c r="J105" s="33">
        <v>61099943</v>
      </c>
      <c r="K105" s="33" t="s">
        <v>3755</v>
      </c>
      <c r="L105" s="22" t="s">
        <v>3757</v>
      </c>
      <c r="M105" s="49">
        <v>99900</v>
      </c>
      <c r="N105" s="33" t="str">
        <f t="shared" si="23"/>
        <v>BXGY</v>
      </c>
      <c r="O105" s="34" t="str">
        <f t="shared" si="24"/>
        <v>B3 DISC 10%</v>
      </c>
      <c r="P105" s="33" t="str">
        <f t="shared" si="25"/>
        <v>BXGY</v>
      </c>
    </row>
    <row r="106" spans="1:16" x14ac:dyDescent="0.25">
      <c r="A106" s="33" t="str">
        <f t="shared" si="18"/>
        <v>2025 OCT - DEC B3D10</v>
      </c>
      <c r="B106" s="8">
        <f t="shared" si="19"/>
        <v>46099</v>
      </c>
      <c r="C106" s="8">
        <f t="shared" si="20"/>
        <v>46113</v>
      </c>
      <c r="D106" s="33">
        <f t="shared" si="21"/>
        <v>3272</v>
      </c>
      <c r="E106" s="33">
        <f t="shared" si="27"/>
        <v>336</v>
      </c>
      <c r="F106" s="33">
        <f t="shared" si="22"/>
        <v>4</v>
      </c>
      <c r="G106" s="33">
        <v>1</v>
      </c>
      <c r="H106" s="33">
        <v>81379</v>
      </c>
      <c r="I106" s="33" t="s">
        <v>104</v>
      </c>
      <c r="J106" s="33">
        <v>61099952</v>
      </c>
      <c r="K106" s="33" t="s">
        <v>3755</v>
      </c>
      <c r="L106" s="22" t="s">
        <v>3758</v>
      </c>
      <c r="M106" s="49">
        <v>99900</v>
      </c>
      <c r="N106" s="33" t="str">
        <f t="shared" si="23"/>
        <v>BXGY</v>
      </c>
      <c r="O106" s="34" t="str">
        <f t="shared" si="24"/>
        <v>B3 DISC 10%</v>
      </c>
      <c r="P106" s="33" t="str">
        <f t="shared" si="25"/>
        <v>BXGY</v>
      </c>
    </row>
    <row r="107" spans="1:16" x14ac:dyDescent="0.25">
      <c r="A107" s="33" t="str">
        <f t="shared" si="18"/>
        <v>2025 OCT - DEC B3D10</v>
      </c>
      <c r="B107" s="8">
        <f t="shared" si="19"/>
        <v>46099</v>
      </c>
      <c r="C107" s="8">
        <f t="shared" si="20"/>
        <v>46113</v>
      </c>
      <c r="D107" s="33">
        <f t="shared" si="21"/>
        <v>3272</v>
      </c>
      <c r="E107" s="33">
        <f t="shared" si="27"/>
        <v>336</v>
      </c>
      <c r="F107" s="33">
        <f t="shared" si="22"/>
        <v>4</v>
      </c>
      <c r="G107" s="33">
        <v>1</v>
      </c>
      <c r="H107" s="33">
        <v>81379</v>
      </c>
      <c r="I107" s="33" t="s">
        <v>104</v>
      </c>
      <c r="J107" s="33">
        <v>61099961</v>
      </c>
      <c r="K107" s="33" t="s">
        <v>3755</v>
      </c>
      <c r="L107" s="22" t="s">
        <v>3759</v>
      </c>
      <c r="M107" s="49">
        <v>99900</v>
      </c>
      <c r="N107" s="33" t="str">
        <f t="shared" si="23"/>
        <v>BXGY</v>
      </c>
      <c r="O107" s="34" t="str">
        <f t="shared" si="24"/>
        <v>B3 DISC 10%</v>
      </c>
      <c r="P107" s="33" t="str">
        <f t="shared" si="25"/>
        <v>BXGY</v>
      </c>
    </row>
    <row r="108" spans="1:16" x14ac:dyDescent="0.25">
      <c r="A108" s="33" t="str">
        <f t="shared" si="18"/>
        <v>2025 OCT - DEC B3D10</v>
      </c>
      <c r="B108" s="8">
        <f t="shared" si="19"/>
        <v>46099</v>
      </c>
      <c r="C108" s="8">
        <f t="shared" si="20"/>
        <v>46113</v>
      </c>
      <c r="D108" s="33">
        <f t="shared" si="21"/>
        <v>3272</v>
      </c>
      <c r="E108" s="33">
        <f t="shared" si="27"/>
        <v>336</v>
      </c>
      <c r="F108" s="33">
        <f t="shared" si="22"/>
        <v>4</v>
      </c>
      <c r="G108" s="33">
        <v>1</v>
      </c>
      <c r="H108" s="33">
        <v>81379</v>
      </c>
      <c r="I108" s="33" t="s">
        <v>104</v>
      </c>
      <c r="J108" s="33">
        <v>61099970</v>
      </c>
      <c r="K108" s="33" t="s">
        <v>3755</v>
      </c>
      <c r="L108" s="22" t="s">
        <v>3760</v>
      </c>
      <c r="M108" s="49">
        <v>99900</v>
      </c>
      <c r="N108" s="33" t="str">
        <f t="shared" si="23"/>
        <v>BXGY</v>
      </c>
      <c r="O108" s="34" t="str">
        <f t="shared" si="24"/>
        <v>B3 DISC 10%</v>
      </c>
      <c r="P108" s="33" t="str">
        <f t="shared" si="25"/>
        <v>BXGY</v>
      </c>
    </row>
    <row r="109" spans="1:16" x14ac:dyDescent="0.25">
      <c r="A109" s="33" t="str">
        <f t="shared" si="18"/>
        <v>2025 OCT - DEC B3D10</v>
      </c>
      <c r="B109" s="8">
        <f t="shared" si="19"/>
        <v>46099</v>
      </c>
      <c r="C109" s="8">
        <f t="shared" si="20"/>
        <v>46113</v>
      </c>
      <c r="D109" s="33">
        <f t="shared" si="21"/>
        <v>3272</v>
      </c>
      <c r="E109" s="33">
        <f t="shared" ref="E109:F140" si="28">E108</f>
        <v>336</v>
      </c>
      <c r="F109" s="33">
        <f t="shared" si="22"/>
        <v>4</v>
      </c>
      <c r="G109" s="33">
        <v>1</v>
      </c>
      <c r="H109" s="33">
        <v>81379</v>
      </c>
      <c r="I109" s="33" t="s">
        <v>104</v>
      </c>
      <c r="J109" s="33">
        <v>61099989</v>
      </c>
      <c r="K109" s="33" t="s">
        <v>3755</v>
      </c>
      <c r="L109" s="22" t="s">
        <v>3761</v>
      </c>
      <c r="M109" s="49">
        <v>99900</v>
      </c>
      <c r="N109" s="33" t="str">
        <f t="shared" si="23"/>
        <v>BXGY</v>
      </c>
      <c r="O109" s="34" t="str">
        <f t="shared" si="24"/>
        <v>B3 DISC 10%</v>
      </c>
      <c r="P109" s="33" t="str">
        <f t="shared" si="25"/>
        <v>BXGY</v>
      </c>
    </row>
    <row r="110" spans="1:16" x14ac:dyDescent="0.25">
      <c r="A110" s="33" t="str">
        <f t="shared" si="18"/>
        <v>2025 OCT - DEC B3D10</v>
      </c>
      <c r="B110" s="8">
        <f t="shared" si="19"/>
        <v>46099</v>
      </c>
      <c r="C110" s="8">
        <f t="shared" si="20"/>
        <v>46113</v>
      </c>
      <c r="D110" s="33">
        <f t="shared" si="21"/>
        <v>3272</v>
      </c>
      <c r="E110" s="33">
        <f t="shared" si="28"/>
        <v>336</v>
      </c>
      <c r="F110" s="33">
        <f t="shared" si="22"/>
        <v>4</v>
      </c>
      <c r="G110" s="33">
        <v>1</v>
      </c>
      <c r="H110" s="33">
        <v>81379</v>
      </c>
      <c r="I110" s="33" t="s">
        <v>104</v>
      </c>
      <c r="J110" s="33">
        <v>61099998</v>
      </c>
      <c r="K110" s="33" t="s">
        <v>3755</v>
      </c>
      <c r="L110" s="22" t="s">
        <v>3762</v>
      </c>
      <c r="M110" s="49">
        <v>99900</v>
      </c>
      <c r="N110" s="33" t="str">
        <f t="shared" si="23"/>
        <v>BXGY</v>
      </c>
      <c r="O110" s="34" t="str">
        <f t="shared" si="24"/>
        <v>B3 DISC 10%</v>
      </c>
      <c r="P110" s="33" t="str">
        <f t="shared" si="25"/>
        <v>BXGY</v>
      </c>
    </row>
    <row r="111" spans="1:16" x14ac:dyDescent="0.25">
      <c r="A111" s="33" t="str">
        <f t="shared" si="18"/>
        <v>2025 OCT - DEC B3D10</v>
      </c>
      <c r="B111" s="8">
        <f t="shared" si="19"/>
        <v>46099</v>
      </c>
      <c r="C111" s="8">
        <f t="shared" si="20"/>
        <v>46113</v>
      </c>
      <c r="D111" s="33">
        <f t="shared" si="21"/>
        <v>3272</v>
      </c>
      <c r="E111" s="33">
        <f t="shared" si="28"/>
        <v>336</v>
      </c>
      <c r="F111" s="33">
        <f t="shared" si="22"/>
        <v>4</v>
      </c>
      <c r="G111" s="33">
        <v>1</v>
      </c>
      <c r="H111" s="33">
        <v>81379</v>
      </c>
      <c r="I111" s="33" t="s">
        <v>104</v>
      </c>
      <c r="J111" s="33">
        <v>61967219</v>
      </c>
      <c r="K111" s="33" t="s">
        <v>3763</v>
      </c>
      <c r="L111" s="22" t="s">
        <v>3764</v>
      </c>
      <c r="M111" s="49">
        <v>99900</v>
      </c>
      <c r="N111" s="33" t="str">
        <f t="shared" si="23"/>
        <v>BXGY</v>
      </c>
      <c r="O111" s="34" t="str">
        <f t="shared" si="24"/>
        <v>B3 DISC 10%</v>
      </c>
      <c r="P111" s="33" t="str">
        <f t="shared" si="25"/>
        <v>BXGY</v>
      </c>
    </row>
    <row r="112" spans="1:16" x14ac:dyDescent="0.25">
      <c r="A112" s="33" t="str">
        <f t="shared" si="18"/>
        <v>2025 OCT - DEC B3D10</v>
      </c>
      <c r="B112" s="8">
        <f t="shared" si="19"/>
        <v>46099</v>
      </c>
      <c r="C112" s="8">
        <f t="shared" si="20"/>
        <v>46113</v>
      </c>
      <c r="D112" s="33">
        <f t="shared" si="21"/>
        <v>3272</v>
      </c>
      <c r="E112" s="33">
        <f t="shared" si="28"/>
        <v>336</v>
      </c>
      <c r="F112" s="33">
        <f t="shared" si="22"/>
        <v>4</v>
      </c>
      <c r="G112" s="33">
        <v>1</v>
      </c>
      <c r="H112" s="33">
        <v>81379</v>
      </c>
      <c r="I112" s="33" t="s">
        <v>104</v>
      </c>
      <c r="J112" s="33">
        <v>61967228</v>
      </c>
      <c r="K112" s="33" t="s">
        <v>3763</v>
      </c>
      <c r="L112" s="22" t="s">
        <v>3765</v>
      </c>
      <c r="M112" s="49">
        <v>99900</v>
      </c>
      <c r="N112" s="33" t="str">
        <f t="shared" si="23"/>
        <v>BXGY</v>
      </c>
      <c r="O112" s="34" t="str">
        <f t="shared" si="24"/>
        <v>B3 DISC 10%</v>
      </c>
      <c r="P112" s="33" t="str">
        <f t="shared" si="25"/>
        <v>BXGY</v>
      </c>
    </row>
    <row r="113" spans="1:16" x14ac:dyDescent="0.25">
      <c r="A113" s="33" t="str">
        <f t="shared" si="18"/>
        <v>2025 OCT - DEC B3D10</v>
      </c>
      <c r="B113" s="8">
        <f t="shared" si="19"/>
        <v>46099</v>
      </c>
      <c r="C113" s="8">
        <f t="shared" si="20"/>
        <v>46113</v>
      </c>
      <c r="D113" s="33">
        <f t="shared" si="21"/>
        <v>3272</v>
      </c>
      <c r="E113" s="33">
        <f t="shared" si="28"/>
        <v>336</v>
      </c>
      <c r="F113" s="33">
        <f t="shared" si="22"/>
        <v>4</v>
      </c>
      <c r="G113" s="33">
        <v>1</v>
      </c>
      <c r="H113" s="33">
        <v>81379</v>
      </c>
      <c r="I113" s="33" t="s">
        <v>104</v>
      </c>
      <c r="J113" s="33">
        <v>61967237</v>
      </c>
      <c r="K113" s="33" t="s">
        <v>3763</v>
      </c>
      <c r="L113" s="22" t="s">
        <v>3766</v>
      </c>
      <c r="M113" s="49">
        <v>99900</v>
      </c>
      <c r="N113" s="33" t="str">
        <f t="shared" si="23"/>
        <v>BXGY</v>
      </c>
      <c r="O113" s="34" t="str">
        <f t="shared" si="24"/>
        <v>B3 DISC 10%</v>
      </c>
      <c r="P113" s="33" t="str">
        <f t="shared" si="25"/>
        <v>BXGY</v>
      </c>
    </row>
    <row r="114" spans="1:16" x14ac:dyDescent="0.25">
      <c r="A114" s="33" t="str">
        <f t="shared" si="18"/>
        <v>2025 OCT - DEC B3D10</v>
      </c>
      <c r="B114" s="8">
        <f t="shared" si="19"/>
        <v>46099</v>
      </c>
      <c r="C114" s="8">
        <f t="shared" si="20"/>
        <v>46113</v>
      </c>
      <c r="D114" s="33">
        <f t="shared" si="21"/>
        <v>3272</v>
      </c>
      <c r="E114" s="33">
        <f t="shared" si="28"/>
        <v>336</v>
      </c>
      <c r="F114" s="33">
        <f t="shared" si="22"/>
        <v>4</v>
      </c>
      <c r="G114" s="33">
        <v>1</v>
      </c>
      <c r="H114" s="33">
        <v>81379</v>
      </c>
      <c r="I114" s="33" t="s">
        <v>104</v>
      </c>
      <c r="J114" s="33">
        <v>61967246</v>
      </c>
      <c r="K114" s="33" t="s">
        <v>3763</v>
      </c>
      <c r="L114" s="22" t="s">
        <v>3767</v>
      </c>
      <c r="M114" s="49">
        <v>99900</v>
      </c>
      <c r="N114" s="33" t="str">
        <f t="shared" si="23"/>
        <v>BXGY</v>
      </c>
      <c r="O114" s="34" t="str">
        <f t="shared" si="24"/>
        <v>B3 DISC 10%</v>
      </c>
      <c r="P114" s="33" t="str">
        <f t="shared" si="25"/>
        <v>BXGY</v>
      </c>
    </row>
    <row r="115" spans="1:16" x14ac:dyDescent="0.25">
      <c r="A115" s="33" t="str">
        <f t="shared" si="18"/>
        <v>2025 OCT - DEC B3D10</v>
      </c>
      <c r="B115" s="8">
        <f t="shared" si="19"/>
        <v>46099</v>
      </c>
      <c r="C115" s="8">
        <f t="shared" si="20"/>
        <v>46113</v>
      </c>
      <c r="D115" s="33">
        <f t="shared" si="21"/>
        <v>3272</v>
      </c>
      <c r="E115" s="33">
        <f t="shared" si="28"/>
        <v>336</v>
      </c>
      <c r="F115" s="33">
        <f t="shared" si="22"/>
        <v>4</v>
      </c>
      <c r="G115" s="33">
        <v>1</v>
      </c>
      <c r="H115" s="33">
        <v>81379</v>
      </c>
      <c r="I115" s="33" t="s">
        <v>104</v>
      </c>
      <c r="J115" s="33">
        <v>61967255</v>
      </c>
      <c r="K115" s="33" t="s">
        <v>3763</v>
      </c>
      <c r="L115" s="22" t="s">
        <v>3768</v>
      </c>
      <c r="M115" s="49">
        <v>99900</v>
      </c>
      <c r="N115" s="33" t="str">
        <f t="shared" si="23"/>
        <v>BXGY</v>
      </c>
      <c r="O115" s="34" t="str">
        <f t="shared" si="24"/>
        <v>B3 DISC 10%</v>
      </c>
      <c r="P115" s="33" t="str">
        <f t="shared" si="25"/>
        <v>BXGY</v>
      </c>
    </row>
    <row r="116" spans="1:16" x14ac:dyDescent="0.25">
      <c r="A116" s="33" t="str">
        <f t="shared" si="18"/>
        <v>2025 OCT - DEC B3D10</v>
      </c>
      <c r="B116" s="8">
        <f t="shared" si="19"/>
        <v>46099</v>
      </c>
      <c r="C116" s="8">
        <f t="shared" si="20"/>
        <v>46113</v>
      </c>
      <c r="D116" s="33">
        <f t="shared" si="21"/>
        <v>3272</v>
      </c>
      <c r="E116" s="33">
        <f t="shared" si="28"/>
        <v>336</v>
      </c>
      <c r="F116" s="33">
        <f t="shared" si="22"/>
        <v>4</v>
      </c>
      <c r="G116" s="33">
        <v>1</v>
      </c>
      <c r="H116" s="33">
        <v>81379</v>
      </c>
      <c r="I116" s="33" t="s">
        <v>104</v>
      </c>
      <c r="J116" s="33">
        <v>61967264</v>
      </c>
      <c r="K116" s="33" t="s">
        <v>3763</v>
      </c>
      <c r="L116" s="22" t="s">
        <v>3769</v>
      </c>
      <c r="M116" s="49">
        <v>99900</v>
      </c>
      <c r="N116" s="33" t="str">
        <f t="shared" si="23"/>
        <v>BXGY</v>
      </c>
      <c r="O116" s="34" t="str">
        <f t="shared" si="24"/>
        <v>B3 DISC 10%</v>
      </c>
      <c r="P116" s="33" t="str">
        <f t="shared" si="25"/>
        <v>BXGY</v>
      </c>
    </row>
    <row r="117" spans="1:16" x14ac:dyDescent="0.25">
      <c r="A117" s="33" t="str">
        <f t="shared" si="18"/>
        <v>2025 OCT - DEC B3D10</v>
      </c>
      <c r="B117" s="8">
        <f t="shared" si="19"/>
        <v>46099</v>
      </c>
      <c r="C117" s="8">
        <f t="shared" si="20"/>
        <v>46113</v>
      </c>
      <c r="D117" s="33">
        <f t="shared" si="21"/>
        <v>3272</v>
      </c>
      <c r="E117" s="33">
        <f t="shared" si="28"/>
        <v>336</v>
      </c>
      <c r="F117" s="33">
        <f t="shared" si="22"/>
        <v>4</v>
      </c>
      <c r="G117" s="33">
        <v>1</v>
      </c>
      <c r="H117" s="33">
        <v>81379</v>
      </c>
      <c r="I117" s="33" t="s">
        <v>104</v>
      </c>
      <c r="J117" s="33">
        <v>61967273</v>
      </c>
      <c r="K117" s="33" t="s">
        <v>3763</v>
      </c>
      <c r="L117" s="22" t="s">
        <v>3770</v>
      </c>
      <c r="M117" s="49">
        <v>99900</v>
      </c>
      <c r="N117" s="33" t="str">
        <f t="shared" si="23"/>
        <v>BXGY</v>
      </c>
      <c r="O117" s="34" t="str">
        <f t="shared" si="24"/>
        <v>B3 DISC 10%</v>
      </c>
      <c r="P117" s="33" t="str">
        <f t="shared" si="25"/>
        <v>BXGY</v>
      </c>
    </row>
    <row r="118" spans="1:16" x14ac:dyDescent="0.25">
      <c r="A118" s="33" t="str">
        <f t="shared" si="18"/>
        <v>2025 OCT - DEC B3D10</v>
      </c>
      <c r="B118" s="8">
        <f t="shared" si="19"/>
        <v>46099</v>
      </c>
      <c r="C118" s="8">
        <f t="shared" si="20"/>
        <v>46113</v>
      </c>
      <c r="D118" s="33">
        <f t="shared" si="21"/>
        <v>3272</v>
      </c>
      <c r="E118" s="33">
        <f t="shared" si="28"/>
        <v>336</v>
      </c>
      <c r="F118" s="33">
        <f t="shared" si="22"/>
        <v>4</v>
      </c>
      <c r="G118" s="33">
        <v>1</v>
      </c>
      <c r="H118" s="33">
        <v>81379</v>
      </c>
      <c r="I118" s="33" t="s">
        <v>104</v>
      </c>
      <c r="J118" s="33">
        <v>61967353</v>
      </c>
      <c r="K118" s="33" t="s">
        <v>3779</v>
      </c>
      <c r="L118" s="22" t="s">
        <v>3780</v>
      </c>
      <c r="M118" s="49">
        <v>99900</v>
      </c>
      <c r="N118" s="33" t="str">
        <f t="shared" si="23"/>
        <v>BXGY</v>
      </c>
      <c r="O118" s="34" t="str">
        <f t="shared" si="24"/>
        <v>B3 DISC 10%</v>
      </c>
      <c r="P118" s="33" t="str">
        <f t="shared" si="25"/>
        <v>BXGY</v>
      </c>
    </row>
    <row r="119" spans="1:16" x14ac:dyDescent="0.25">
      <c r="A119" s="33" t="str">
        <f t="shared" si="18"/>
        <v>2025 OCT - DEC B3D10</v>
      </c>
      <c r="B119" s="8">
        <f t="shared" si="19"/>
        <v>46099</v>
      </c>
      <c r="C119" s="8">
        <f t="shared" si="20"/>
        <v>46113</v>
      </c>
      <c r="D119" s="33">
        <f t="shared" si="21"/>
        <v>3272</v>
      </c>
      <c r="E119" s="33">
        <f t="shared" si="28"/>
        <v>336</v>
      </c>
      <c r="F119" s="33">
        <f t="shared" si="22"/>
        <v>4</v>
      </c>
      <c r="G119" s="33">
        <v>1</v>
      </c>
      <c r="H119" s="33">
        <v>81379</v>
      </c>
      <c r="I119" s="33" t="s">
        <v>104</v>
      </c>
      <c r="J119" s="33">
        <v>61967362</v>
      </c>
      <c r="K119" s="33" t="s">
        <v>3779</v>
      </c>
      <c r="L119" s="22" t="s">
        <v>3781</v>
      </c>
      <c r="M119" s="49">
        <v>99900</v>
      </c>
      <c r="N119" s="33" t="str">
        <f t="shared" si="23"/>
        <v>BXGY</v>
      </c>
      <c r="O119" s="34" t="str">
        <f t="shared" si="24"/>
        <v>B3 DISC 10%</v>
      </c>
      <c r="P119" s="33" t="str">
        <f t="shared" si="25"/>
        <v>BXGY</v>
      </c>
    </row>
    <row r="120" spans="1:16" x14ac:dyDescent="0.25">
      <c r="A120" s="33" t="str">
        <f t="shared" si="18"/>
        <v>2025 OCT - DEC B3D10</v>
      </c>
      <c r="B120" s="8">
        <f t="shared" si="19"/>
        <v>46099</v>
      </c>
      <c r="C120" s="8">
        <f t="shared" si="20"/>
        <v>46113</v>
      </c>
      <c r="D120" s="33">
        <f t="shared" si="21"/>
        <v>3272</v>
      </c>
      <c r="E120" s="33">
        <f t="shared" si="28"/>
        <v>336</v>
      </c>
      <c r="F120" s="33">
        <f t="shared" si="22"/>
        <v>4</v>
      </c>
      <c r="G120" s="33">
        <v>1</v>
      </c>
      <c r="H120" s="33">
        <v>81379</v>
      </c>
      <c r="I120" s="33" t="s">
        <v>104</v>
      </c>
      <c r="J120" s="33">
        <v>61967371</v>
      </c>
      <c r="K120" s="33" t="s">
        <v>3779</v>
      </c>
      <c r="L120" s="22" t="s">
        <v>3782</v>
      </c>
      <c r="M120" s="49">
        <v>99900</v>
      </c>
      <c r="N120" s="33" t="str">
        <f t="shared" si="23"/>
        <v>BXGY</v>
      </c>
      <c r="O120" s="34" t="str">
        <f t="shared" si="24"/>
        <v>B3 DISC 10%</v>
      </c>
      <c r="P120" s="33" t="str">
        <f t="shared" si="25"/>
        <v>BXGY</v>
      </c>
    </row>
    <row r="121" spans="1:16" x14ac:dyDescent="0.25">
      <c r="A121" s="33" t="str">
        <f t="shared" si="18"/>
        <v>2025 OCT - DEC B3D10</v>
      </c>
      <c r="B121" s="8">
        <f t="shared" si="19"/>
        <v>46099</v>
      </c>
      <c r="C121" s="8">
        <f t="shared" si="20"/>
        <v>46113</v>
      </c>
      <c r="D121" s="33">
        <f t="shared" si="21"/>
        <v>3272</v>
      </c>
      <c r="E121" s="33">
        <f t="shared" si="28"/>
        <v>336</v>
      </c>
      <c r="F121" s="33">
        <f t="shared" si="22"/>
        <v>4</v>
      </c>
      <c r="G121" s="33">
        <v>1</v>
      </c>
      <c r="H121" s="33">
        <v>81379</v>
      </c>
      <c r="I121" s="33" t="s">
        <v>104</v>
      </c>
      <c r="J121" s="33">
        <v>61967380</v>
      </c>
      <c r="K121" s="33" t="s">
        <v>3779</v>
      </c>
      <c r="L121" s="22" t="s">
        <v>3783</v>
      </c>
      <c r="M121" s="49">
        <v>99900</v>
      </c>
      <c r="N121" s="33" t="str">
        <f t="shared" si="23"/>
        <v>BXGY</v>
      </c>
      <c r="O121" s="34" t="str">
        <f t="shared" si="24"/>
        <v>B3 DISC 10%</v>
      </c>
      <c r="P121" s="33" t="str">
        <f t="shared" si="25"/>
        <v>BXGY</v>
      </c>
    </row>
    <row r="122" spans="1:16" x14ac:dyDescent="0.25">
      <c r="A122" s="33" t="str">
        <f t="shared" si="18"/>
        <v>2025 OCT - DEC B3D10</v>
      </c>
      <c r="B122" s="8">
        <f t="shared" si="19"/>
        <v>46099</v>
      </c>
      <c r="C122" s="8">
        <f t="shared" si="20"/>
        <v>46113</v>
      </c>
      <c r="D122" s="33">
        <f t="shared" si="21"/>
        <v>3272</v>
      </c>
      <c r="E122" s="33">
        <f t="shared" si="28"/>
        <v>336</v>
      </c>
      <c r="F122" s="33">
        <f t="shared" si="22"/>
        <v>4</v>
      </c>
      <c r="G122" s="33">
        <v>1</v>
      </c>
      <c r="H122" s="33">
        <v>81379</v>
      </c>
      <c r="I122" s="33" t="s">
        <v>104</v>
      </c>
      <c r="J122" s="33">
        <v>61967399</v>
      </c>
      <c r="K122" s="33" t="s">
        <v>3779</v>
      </c>
      <c r="L122" s="22" t="s">
        <v>3784</v>
      </c>
      <c r="M122" s="49">
        <v>99900</v>
      </c>
      <c r="N122" s="33" t="str">
        <f t="shared" si="23"/>
        <v>BXGY</v>
      </c>
      <c r="O122" s="34" t="str">
        <f t="shared" si="24"/>
        <v>B3 DISC 10%</v>
      </c>
      <c r="P122" s="33" t="str">
        <f t="shared" si="25"/>
        <v>BXGY</v>
      </c>
    </row>
    <row r="123" spans="1:16" x14ac:dyDescent="0.25">
      <c r="A123" s="33" t="str">
        <f t="shared" si="18"/>
        <v>2025 OCT - DEC B3D10</v>
      </c>
      <c r="B123" s="8">
        <f t="shared" si="19"/>
        <v>46099</v>
      </c>
      <c r="C123" s="8">
        <f t="shared" si="20"/>
        <v>46113</v>
      </c>
      <c r="D123" s="33">
        <f t="shared" si="21"/>
        <v>3272</v>
      </c>
      <c r="E123" s="33">
        <f t="shared" si="28"/>
        <v>336</v>
      </c>
      <c r="F123" s="33">
        <f t="shared" si="22"/>
        <v>4</v>
      </c>
      <c r="G123" s="33">
        <v>1</v>
      </c>
      <c r="H123" s="33">
        <v>81379</v>
      </c>
      <c r="I123" s="33" t="s">
        <v>104</v>
      </c>
      <c r="J123" s="33">
        <v>61967406</v>
      </c>
      <c r="K123" s="33" t="s">
        <v>3779</v>
      </c>
      <c r="L123" s="22" t="s">
        <v>3785</v>
      </c>
      <c r="M123" s="49">
        <v>99900</v>
      </c>
      <c r="N123" s="33" t="str">
        <f t="shared" si="23"/>
        <v>BXGY</v>
      </c>
      <c r="O123" s="34" t="str">
        <f t="shared" si="24"/>
        <v>B3 DISC 10%</v>
      </c>
      <c r="P123" s="33" t="str">
        <f t="shared" si="25"/>
        <v>BXGY</v>
      </c>
    </row>
    <row r="124" spans="1:16" x14ac:dyDescent="0.25">
      <c r="A124" s="33" t="str">
        <f t="shared" si="18"/>
        <v>2025 OCT - DEC B3D10</v>
      </c>
      <c r="B124" s="8">
        <f t="shared" si="19"/>
        <v>46099</v>
      </c>
      <c r="C124" s="8">
        <f t="shared" si="20"/>
        <v>46113</v>
      </c>
      <c r="D124" s="33">
        <f t="shared" si="21"/>
        <v>3272</v>
      </c>
      <c r="E124" s="33">
        <f t="shared" si="28"/>
        <v>336</v>
      </c>
      <c r="F124" s="33">
        <f t="shared" si="22"/>
        <v>4</v>
      </c>
      <c r="G124" s="33">
        <v>1</v>
      </c>
      <c r="H124" s="33">
        <v>81379</v>
      </c>
      <c r="I124" s="33" t="s">
        <v>104</v>
      </c>
      <c r="J124" s="33">
        <v>61967415</v>
      </c>
      <c r="K124" s="33" t="s">
        <v>3779</v>
      </c>
      <c r="L124" s="22" t="s">
        <v>3786</v>
      </c>
      <c r="M124" s="49">
        <v>99900</v>
      </c>
      <c r="N124" s="33" t="str">
        <f t="shared" si="23"/>
        <v>BXGY</v>
      </c>
      <c r="O124" s="34" t="str">
        <f t="shared" si="24"/>
        <v>B3 DISC 10%</v>
      </c>
      <c r="P124" s="33" t="str">
        <f t="shared" si="25"/>
        <v>BXGY</v>
      </c>
    </row>
    <row r="125" spans="1:16" x14ac:dyDescent="0.25">
      <c r="A125" s="33" t="str">
        <f t="shared" si="18"/>
        <v>2025 OCT - DEC B3D10</v>
      </c>
      <c r="B125" s="8">
        <f t="shared" si="19"/>
        <v>46099</v>
      </c>
      <c r="C125" s="8">
        <f t="shared" si="20"/>
        <v>46113</v>
      </c>
      <c r="D125" s="33">
        <f t="shared" si="21"/>
        <v>3272</v>
      </c>
      <c r="E125" s="33">
        <f t="shared" si="28"/>
        <v>336</v>
      </c>
      <c r="F125" s="33">
        <f t="shared" si="22"/>
        <v>4</v>
      </c>
      <c r="G125" s="33">
        <v>1</v>
      </c>
      <c r="H125" s="33">
        <v>81379</v>
      </c>
      <c r="I125" s="33" t="s">
        <v>104</v>
      </c>
      <c r="J125" s="33">
        <v>61967424</v>
      </c>
      <c r="K125" s="33" t="s">
        <v>3787</v>
      </c>
      <c r="L125" s="22" t="s">
        <v>3788</v>
      </c>
      <c r="M125" s="49">
        <v>99900</v>
      </c>
      <c r="N125" s="33" t="str">
        <f t="shared" si="23"/>
        <v>BXGY</v>
      </c>
      <c r="O125" s="34" t="str">
        <f t="shared" si="24"/>
        <v>B3 DISC 10%</v>
      </c>
      <c r="P125" s="33" t="str">
        <f t="shared" si="25"/>
        <v>BXGY</v>
      </c>
    </row>
    <row r="126" spans="1:16" x14ac:dyDescent="0.25">
      <c r="A126" s="33" t="str">
        <f t="shared" si="18"/>
        <v>2025 OCT - DEC B3D10</v>
      </c>
      <c r="B126" s="8">
        <f t="shared" si="19"/>
        <v>46099</v>
      </c>
      <c r="C126" s="8">
        <f t="shared" si="20"/>
        <v>46113</v>
      </c>
      <c r="D126" s="33">
        <f t="shared" si="21"/>
        <v>3272</v>
      </c>
      <c r="E126" s="33">
        <f t="shared" si="28"/>
        <v>336</v>
      </c>
      <c r="F126" s="33">
        <f t="shared" si="22"/>
        <v>4</v>
      </c>
      <c r="G126" s="33">
        <v>1</v>
      </c>
      <c r="H126" s="33">
        <v>81379</v>
      </c>
      <c r="I126" s="33" t="s">
        <v>104</v>
      </c>
      <c r="J126" s="33">
        <v>61967433</v>
      </c>
      <c r="K126" s="33" t="s">
        <v>3787</v>
      </c>
      <c r="L126" s="22" t="s">
        <v>3789</v>
      </c>
      <c r="M126" s="49">
        <v>99900</v>
      </c>
      <c r="N126" s="33" t="str">
        <f t="shared" si="23"/>
        <v>BXGY</v>
      </c>
      <c r="O126" s="34" t="str">
        <f t="shared" si="24"/>
        <v>B3 DISC 10%</v>
      </c>
      <c r="P126" s="33" t="str">
        <f t="shared" si="25"/>
        <v>BXGY</v>
      </c>
    </row>
    <row r="127" spans="1:16" x14ac:dyDescent="0.25">
      <c r="A127" s="33" t="str">
        <f t="shared" si="18"/>
        <v>2025 OCT - DEC B3D10</v>
      </c>
      <c r="B127" s="8">
        <f t="shared" si="19"/>
        <v>46099</v>
      </c>
      <c r="C127" s="8">
        <f t="shared" si="20"/>
        <v>46113</v>
      </c>
      <c r="D127" s="33">
        <f t="shared" si="21"/>
        <v>3272</v>
      </c>
      <c r="E127" s="33">
        <f t="shared" si="28"/>
        <v>336</v>
      </c>
      <c r="F127" s="33">
        <f t="shared" si="22"/>
        <v>4</v>
      </c>
      <c r="G127" s="33">
        <v>1</v>
      </c>
      <c r="H127" s="33">
        <v>81379</v>
      </c>
      <c r="I127" s="33" t="s">
        <v>104</v>
      </c>
      <c r="J127" s="33">
        <v>61967442</v>
      </c>
      <c r="K127" s="33" t="s">
        <v>3787</v>
      </c>
      <c r="L127" s="22" t="s">
        <v>3790</v>
      </c>
      <c r="M127" s="49">
        <v>99900</v>
      </c>
      <c r="N127" s="33" t="str">
        <f t="shared" si="23"/>
        <v>BXGY</v>
      </c>
      <c r="O127" s="34" t="str">
        <f t="shared" si="24"/>
        <v>B3 DISC 10%</v>
      </c>
      <c r="P127" s="33" t="str">
        <f t="shared" si="25"/>
        <v>BXGY</v>
      </c>
    </row>
    <row r="128" spans="1:16" x14ac:dyDescent="0.25">
      <c r="A128" s="33" t="str">
        <f t="shared" si="18"/>
        <v>2025 OCT - DEC B3D10</v>
      </c>
      <c r="B128" s="8">
        <f t="shared" si="19"/>
        <v>46099</v>
      </c>
      <c r="C128" s="8">
        <f t="shared" si="20"/>
        <v>46113</v>
      </c>
      <c r="D128" s="33">
        <f t="shared" si="21"/>
        <v>3272</v>
      </c>
      <c r="E128" s="33">
        <f t="shared" si="28"/>
        <v>336</v>
      </c>
      <c r="F128" s="33">
        <f t="shared" si="22"/>
        <v>4</v>
      </c>
      <c r="G128" s="33">
        <v>1</v>
      </c>
      <c r="H128" s="33">
        <v>81379</v>
      </c>
      <c r="I128" s="33" t="s">
        <v>104</v>
      </c>
      <c r="J128" s="33">
        <v>61967451</v>
      </c>
      <c r="K128" s="33" t="s">
        <v>3787</v>
      </c>
      <c r="L128" s="22" t="s">
        <v>3791</v>
      </c>
      <c r="M128" s="49">
        <v>99900</v>
      </c>
      <c r="N128" s="33" t="str">
        <f t="shared" si="23"/>
        <v>BXGY</v>
      </c>
      <c r="O128" s="34" t="str">
        <f t="shared" si="24"/>
        <v>B3 DISC 10%</v>
      </c>
      <c r="P128" s="33" t="str">
        <f t="shared" si="25"/>
        <v>BXGY</v>
      </c>
    </row>
    <row r="129" spans="1:16" x14ac:dyDescent="0.25">
      <c r="A129" s="33" t="str">
        <f t="shared" si="18"/>
        <v>2025 OCT - DEC B3D10</v>
      </c>
      <c r="B129" s="8">
        <f t="shared" si="19"/>
        <v>46099</v>
      </c>
      <c r="C129" s="8">
        <f t="shared" si="20"/>
        <v>46113</v>
      </c>
      <c r="D129" s="33">
        <f t="shared" si="21"/>
        <v>3272</v>
      </c>
      <c r="E129" s="33">
        <f t="shared" si="28"/>
        <v>336</v>
      </c>
      <c r="F129" s="33">
        <f t="shared" si="22"/>
        <v>4</v>
      </c>
      <c r="G129" s="33">
        <v>1</v>
      </c>
      <c r="H129" s="33">
        <v>81379</v>
      </c>
      <c r="I129" s="33" t="s">
        <v>104</v>
      </c>
      <c r="J129" s="33">
        <v>61967460</v>
      </c>
      <c r="K129" s="33" t="s">
        <v>3787</v>
      </c>
      <c r="L129" s="22" t="s">
        <v>3792</v>
      </c>
      <c r="M129" s="49">
        <v>99900</v>
      </c>
      <c r="N129" s="33" t="str">
        <f t="shared" si="23"/>
        <v>BXGY</v>
      </c>
      <c r="O129" s="34" t="str">
        <f t="shared" si="24"/>
        <v>B3 DISC 10%</v>
      </c>
      <c r="P129" s="33" t="str">
        <f t="shared" si="25"/>
        <v>BXGY</v>
      </c>
    </row>
    <row r="130" spans="1:16" x14ac:dyDescent="0.25">
      <c r="A130" s="33" t="str">
        <f t="shared" si="18"/>
        <v>2025 OCT - DEC B3D10</v>
      </c>
      <c r="B130" s="8">
        <f t="shared" si="19"/>
        <v>46099</v>
      </c>
      <c r="C130" s="8">
        <f t="shared" si="20"/>
        <v>46113</v>
      </c>
      <c r="D130" s="33">
        <f t="shared" si="21"/>
        <v>3272</v>
      </c>
      <c r="E130" s="33">
        <f t="shared" si="28"/>
        <v>336</v>
      </c>
      <c r="F130" s="33">
        <f t="shared" si="22"/>
        <v>4</v>
      </c>
      <c r="G130" s="33">
        <v>1</v>
      </c>
      <c r="H130" s="33">
        <v>81379</v>
      </c>
      <c r="I130" s="33" t="s">
        <v>104</v>
      </c>
      <c r="J130" s="33">
        <v>61967479</v>
      </c>
      <c r="K130" s="33" t="s">
        <v>3787</v>
      </c>
      <c r="L130" s="22" t="s">
        <v>3793</v>
      </c>
      <c r="M130" s="49">
        <v>99900</v>
      </c>
      <c r="N130" s="33" t="str">
        <f t="shared" si="23"/>
        <v>BXGY</v>
      </c>
      <c r="O130" s="34" t="str">
        <f t="shared" si="24"/>
        <v>B3 DISC 10%</v>
      </c>
      <c r="P130" s="33" t="str">
        <f t="shared" si="25"/>
        <v>BXGY</v>
      </c>
    </row>
    <row r="131" spans="1:16" x14ac:dyDescent="0.25">
      <c r="A131" s="33" t="str">
        <f t="shared" si="18"/>
        <v>2025 OCT - DEC B3D10</v>
      </c>
      <c r="B131" s="8">
        <f t="shared" si="19"/>
        <v>46099</v>
      </c>
      <c r="C131" s="8">
        <f t="shared" si="20"/>
        <v>46113</v>
      </c>
      <c r="D131" s="33">
        <f t="shared" si="21"/>
        <v>3272</v>
      </c>
      <c r="E131" s="33">
        <f t="shared" si="28"/>
        <v>336</v>
      </c>
      <c r="F131" s="33">
        <f t="shared" si="22"/>
        <v>4</v>
      </c>
      <c r="G131" s="33">
        <v>1</v>
      </c>
      <c r="H131" s="33">
        <v>81379</v>
      </c>
      <c r="I131" s="33" t="s">
        <v>104</v>
      </c>
      <c r="J131" s="33">
        <v>61967488</v>
      </c>
      <c r="K131" s="33" t="s">
        <v>3787</v>
      </c>
      <c r="L131" s="22" t="s">
        <v>3794</v>
      </c>
      <c r="M131" s="49">
        <v>99900</v>
      </c>
      <c r="N131" s="33" t="str">
        <f t="shared" si="23"/>
        <v>BXGY</v>
      </c>
      <c r="O131" s="34" t="str">
        <f t="shared" si="24"/>
        <v>B3 DISC 10%</v>
      </c>
      <c r="P131" s="33" t="str">
        <f t="shared" si="25"/>
        <v>BXGY</v>
      </c>
    </row>
    <row r="132" spans="1:16" x14ac:dyDescent="0.25">
      <c r="A132" s="33" t="str">
        <f t="shared" ref="A132:A195" si="29">A131</f>
        <v>2025 OCT - DEC B3D10</v>
      </c>
      <c r="B132" s="8">
        <f t="shared" ref="B132:B195" si="30">B131</f>
        <v>46099</v>
      </c>
      <c r="C132" s="8">
        <f t="shared" ref="C132:C195" si="31">C131</f>
        <v>46113</v>
      </c>
      <c r="D132" s="33">
        <f t="shared" ref="D132:D195" si="32">D131</f>
        <v>3272</v>
      </c>
      <c r="E132" s="33">
        <f t="shared" si="28"/>
        <v>336</v>
      </c>
      <c r="F132" s="33">
        <f t="shared" si="28"/>
        <v>4</v>
      </c>
      <c r="G132" s="33">
        <v>1</v>
      </c>
      <c r="H132" s="33">
        <v>81379</v>
      </c>
      <c r="I132" s="33" t="s">
        <v>104</v>
      </c>
      <c r="J132" s="33">
        <v>61967497</v>
      </c>
      <c r="K132" s="33" t="s">
        <v>3795</v>
      </c>
      <c r="L132" s="22" t="s">
        <v>3796</v>
      </c>
      <c r="M132" s="49">
        <v>99900</v>
      </c>
      <c r="N132" s="33" t="str">
        <f t="shared" ref="N132:N195" si="33">N131</f>
        <v>BXGY</v>
      </c>
      <c r="O132" s="34" t="str">
        <f t="shared" ref="O132:O195" si="34">O131</f>
        <v>B3 DISC 10%</v>
      </c>
      <c r="P132" s="33" t="str">
        <f t="shared" ref="P132:P195" si="35">P131</f>
        <v>BXGY</v>
      </c>
    </row>
    <row r="133" spans="1:16" x14ac:dyDescent="0.25">
      <c r="A133" s="33" t="str">
        <f t="shared" si="29"/>
        <v>2025 OCT - DEC B3D10</v>
      </c>
      <c r="B133" s="8">
        <f t="shared" si="30"/>
        <v>46099</v>
      </c>
      <c r="C133" s="8">
        <f t="shared" si="31"/>
        <v>46113</v>
      </c>
      <c r="D133" s="33">
        <f t="shared" si="32"/>
        <v>3272</v>
      </c>
      <c r="E133" s="33">
        <f t="shared" si="28"/>
        <v>336</v>
      </c>
      <c r="F133" s="33">
        <f t="shared" si="28"/>
        <v>4</v>
      </c>
      <c r="G133" s="33">
        <v>1</v>
      </c>
      <c r="H133" s="33">
        <v>81379</v>
      </c>
      <c r="I133" s="33" t="s">
        <v>104</v>
      </c>
      <c r="J133" s="33">
        <v>61967504</v>
      </c>
      <c r="K133" s="33" t="s">
        <v>3795</v>
      </c>
      <c r="L133" s="22" t="s">
        <v>3797</v>
      </c>
      <c r="M133" s="49">
        <v>99900</v>
      </c>
      <c r="N133" s="33" t="str">
        <f t="shared" si="33"/>
        <v>BXGY</v>
      </c>
      <c r="O133" s="34" t="str">
        <f t="shared" si="34"/>
        <v>B3 DISC 10%</v>
      </c>
      <c r="P133" s="33" t="str">
        <f t="shared" si="35"/>
        <v>BXGY</v>
      </c>
    </row>
    <row r="134" spans="1:16" x14ac:dyDescent="0.25">
      <c r="A134" s="33" t="str">
        <f t="shared" si="29"/>
        <v>2025 OCT - DEC B3D10</v>
      </c>
      <c r="B134" s="8">
        <f t="shared" si="30"/>
        <v>46099</v>
      </c>
      <c r="C134" s="8">
        <f t="shared" si="31"/>
        <v>46113</v>
      </c>
      <c r="D134" s="33">
        <f t="shared" si="32"/>
        <v>3272</v>
      </c>
      <c r="E134" s="33">
        <f t="shared" si="28"/>
        <v>336</v>
      </c>
      <c r="F134" s="33">
        <f t="shared" si="28"/>
        <v>4</v>
      </c>
      <c r="G134" s="33">
        <v>1</v>
      </c>
      <c r="H134" s="33">
        <v>81379</v>
      </c>
      <c r="I134" s="33" t="s">
        <v>104</v>
      </c>
      <c r="J134" s="33">
        <v>61967513</v>
      </c>
      <c r="K134" s="33" t="s">
        <v>3795</v>
      </c>
      <c r="L134" s="22" t="s">
        <v>3798</v>
      </c>
      <c r="M134" s="49">
        <v>99900</v>
      </c>
      <c r="N134" s="33" t="str">
        <f t="shared" si="33"/>
        <v>BXGY</v>
      </c>
      <c r="O134" s="34" t="str">
        <f t="shared" si="34"/>
        <v>B3 DISC 10%</v>
      </c>
      <c r="P134" s="33" t="str">
        <f t="shared" si="35"/>
        <v>BXGY</v>
      </c>
    </row>
    <row r="135" spans="1:16" x14ac:dyDescent="0.25">
      <c r="A135" s="33" t="str">
        <f t="shared" si="29"/>
        <v>2025 OCT - DEC B3D10</v>
      </c>
      <c r="B135" s="8">
        <f t="shared" si="30"/>
        <v>46099</v>
      </c>
      <c r="C135" s="8">
        <f t="shared" si="31"/>
        <v>46113</v>
      </c>
      <c r="D135" s="33">
        <f t="shared" si="32"/>
        <v>3272</v>
      </c>
      <c r="E135" s="33">
        <f t="shared" si="28"/>
        <v>336</v>
      </c>
      <c r="F135" s="33">
        <f t="shared" si="28"/>
        <v>4</v>
      </c>
      <c r="G135" s="33">
        <v>1</v>
      </c>
      <c r="H135" s="33">
        <v>81379</v>
      </c>
      <c r="I135" s="33" t="s">
        <v>104</v>
      </c>
      <c r="J135" s="33">
        <v>61967522</v>
      </c>
      <c r="K135" s="33" t="s">
        <v>3795</v>
      </c>
      <c r="L135" s="22" t="s">
        <v>3799</v>
      </c>
      <c r="M135" s="49">
        <v>99900</v>
      </c>
      <c r="N135" s="33" t="str">
        <f t="shared" si="33"/>
        <v>BXGY</v>
      </c>
      <c r="O135" s="34" t="str">
        <f t="shared" si="34"/>
        <v>B3 DISC 10%</v>
      </c>
      <c r="P135" s="33" t="str">
        <f t="shared" si="35"/>
        <v>BXGY</v>
      </c>
    </row>
    <row r="136" spans="1:16" x14ac:dyDescent="0.25">
      <c r="A136" s="33" t="str">
        <f t="shared" si="29"/>
        <v>2025 OCT - DEC B3D10</v>
      </c>
      <c r="B136" s="8">
        <f t="shared" si="30"/>
        <v>46099</v>
      </c>
      <c r="C136" s="8">
        <f t="shared" si="31"/>
        <v>46113</v>
      </c>
      <c r="D136" s="33">
        <f t="shared" si="32"/>
        <v>3272</v>
      </c>
      <c r="E136" s="33">
        <f t="shared" si="28"/>
        <v>336</v>
      </c>
      <c r="F136" s="33">
        <f t="shared" si="28"/>
        <v>4</v>
      </c>
      <c r="G136" s="33">
        <v>1</v>
      </c>
      <c r="H136" s="33">
        <v>81379</v>
      </c>
      <c r="I136" s="33" t="s">
        <v>104</v>
      </c>
      <c r="J136" s="33">
        <v>61967531</v>
      </c>
      <c r="K136" s="33" t="s">
        <v>3795</v>
      </c>
      <c r="L136" s="22" t="s">
        <v>3800</v>
      </c>
      <c r="M136" s="49">
        <v>99900</v>
      </c>
      <c r="N136" s="33" t="str">
        <f t="shared" si="33"/>
        <v>BXGY</v>
      </c>
      <c r="O136" s="34" t="str">
        <f t="shared" si="34"/>
        <v>B3 DISC 10%</v>
      </c>
      <c r="P136" s="33" t="str">
        <f t="shared" si="35"/>
        <v>BXGY</v>
      </c>
    </row>
    <row r="137" spans="1:16" x14ac:dyDescent="0.25">
      <c r="A137" s="33" t="str">
        <f t="shared" si="29"/>
        <v>2025 OCT - DEC B3D10</v>
      </c>
      <c r="B137" s="8">
        <f t="shared" si="30"/>
        <v>46099</v>
      </c>
      <c r="C137" s="8">
        <f t="shared" si="31"/>
        <v>46113</v>
      </c>
      <c r="D137" s="33">
        <f t="shared" si="32"/>
        <v>3272</v>
      </c>
      <c r="E137" s="33">
        <f t="shared" si="28"/>
        <v>336</v>
      </c>
      <c r="F137" s="33">
        <f t="shared" si="28"/>
        <v>4</v>
      </c>
      <c r="G137" s="33">
        <v>1</v>
      </c>
      <c r="H137" s="33">
        <v>81379</v>
      </c>
      <c r="I137" s="33" t="s">
        <v>104</v>
      </c>
      <c r="J137" s="33">
        <v>61967540</v>
      </c>
      <c r="K137" s="33" t="s">
        <v>3795</v>
      </c>
      <c r="L137" s="22" t="s">
        <v>3801</v>
      </c>
      <c r="M137" s="49">
        <v>99900</v>
      </c>
      <c r="N137" s="33" t="str">
        <f t="shared" si="33"/>
        <v>BXGY</v>
      </c>
      <c r="O137" s="34" t="str">
        <f t="shared" si="34"/>
        <v>B3 DISC 10%</v>
      </c>
      <c r="P137" s="33" t="str">
        <f t="shared" si="35"/>
        <v>BXGY</v>
      </c>
    </row>
    <row r="138" spans="1:16" x14ac:dyDescent="0.25">
      <c r="A138" s="33" t="str">
        <f t="shared" si="29"/>
        <v>2025 OCT - DEC B3D10</v>
      </c>
      <c r="B138" s="8">
        <f t="shared" si="30"/>
        <v>46099</v>
      </c>
      <c r="C138" s="8">
        <f t="shared" si="31"/>
        <v>46113</v>
      </c>
      <c r="D138" s="33">
        <f t="shared" si="32"/>
        <v>3272</v>
      </c>
      <c r="E138" s="33">
        <f t="shared" si="28"/>
        <v>336</v>
      </c>
      <c r="F138" s="33">
        <f t="shared" si="28"/>
        <v>4</v>
      </c>
      <c r="G138" s="33">
        <v>1</v>
      </c>
      <c r="H138" s="33">
        <v>81379</v>
      </c>
      <c r="I138" s="33" t="s">
        <v>104</v>
      </c>
      <c r="J138" s="33">
        <v>61967559</v>
      </c>
      <c r="K138" s="33" t="s">
        <v>3795</v>
      </c>
      <c r="L138" s="22" t="s">
        <v>3802</v>
      </c>
      <c r="M138" s="49">
        <v>99900</v>
      </c>
      <c r="N138" s="33" t="str">
        <f t="shared" si="33"/>
        <v>BXGY</v>
      </c>
      <c r="O138" s="34" t="str">
        <f t="shared" si="34"/>
        <v>B3 DISC 10%</v>
      </c>
      <c r="P138" s="33" t="str">
        <f t="shared" si="35"/>
        <v>BXGY</v>
      </c>
    </row>
    <row r="139" spans="1:16" x14ac:dyDescent="0.25">
      <c r="A139" s="33" t="str">
        <f t="shared" si="29"/>
        <v>2025 OCT - DEC B3D10</v>
      </c>
      <c r="B139" s="8">
        <f t="shared" si="30"/>
        <v>46099</v>
      </c>
      <c r="C139" s="8">
        <f t="shared" si="31"/>
        <v>46113</v>
      </c>
      <c r="D139" s="33">
        <f t="shared" si="32"/>
        <v>3272</v>
      </c>
      <c r="E139" s="33">
        <f t="shared" si="28"/>
        <v>336</v>
      </c>
      <c r="F139" s="33">
        <f t="shared" si="28"/>
        <v>4</v>
      </c>
      <c r="G139" s="33">
        <v>1</v>
      </c>
      <c r="H139" s="33">
        <v>81379</v>
      </c>
      <c r="I139" s="33" t="s">
        <v>104</v>
      </c>
      <c r="J139" s="33">
        <v>61967853</v>
      </c>
      <c r="K139" s="33" t="s">
        <v>3803</v>
      </c>
      <c r="L139" s="22" t="s">
        <v>3804</v>
      </c>
      <c r="M139" s="49">
        <v>99900</v>
      </c>
      <c r="N139" s="33" t="str">
        <f t="shared" si="33"/>
        <v>BXGY</v>
      </c>
      <c r="O139" s="34" t="str">
        <f t="shared" si="34"/>
        <v>B3 DISC 10%</v>
      </c>
      <c r="P139" s="33" t="str">
        <f t="shared" si="35"/>
        <v>BXGY</v>
      </c>
    </row>
    <row r="140" spans="1:16" x14ac:dyDescent="0.25">
      <c r="A140" s="33" t="str">
        <f t="shared" si="29"/>
        <v>2025 OCT - DEC B3D10</v>
      </c>
      <c r="B140" s="8">
        <f t="shared" si="30"/>
        <v>46099</v>
      </c>
      <c r="C140" s="8">
        <f t="shared" si="31"/>
        <v>46113</v>
      </c>
      <c r="D140" s="33">
        <f t="shared" si="32"/>
        <v>3272</v>
      </c>
      <c r="E140" s="33">
        <f t="shared" si="28"/>
        <v>336</v>
      </c>
      <c r="F140" s="33">
        <f t="shared" si="28"/>
        <v>4</v>
      </c>
      <c r="G140" s="33">
        <v>1</v>
      </c>
      <c r="H140" s="33">
        <v>81379</v>
      </c>
      <c r="I140" s="33" t="s">
        <v>104</v>
      </c>
      <c r="J140" s="33">
        <v>61967862</v>
      </c>
      <c r="K140" s="33" t="s">
        <v>3803</v>
      </c>
      <c r="L140" s="22" t="s">
        <v>3805</v>
      </c>
      <c r="M140" s="49">
        <v>99900</v>
      </c>
      <c r="N140" s="33" t="str">
        <f t="shared" si="33"/>
        <v>BXGY</v>
      </c>
      <c r="O140" s="34" t="str">
        <f t="shared" si="34"/>
        <v>B3 DISC 10%</v>
      </c>
      <c r="P140" s="33" t="str">
        <f t="shared" si="35"/>
        <v>BXGY</v>
      </c>
    </row>
    <row r="141" spans="1:16" x14ac:dyDescent="0.25">
      <c r="A141" s="33" t="str">
        <f t="shared" si="29"/>
        <v>2025 OCT - DEC B3D10</v>
      </c>
      <c r="B141" s="8">
        <f t="shared" si="30"/>
        <v>46099</v>
      </c>
      <c r="C141" s="8">
        <f t="shared" si="31"/>
        <v>46113</v>
      </c>
      <c r="D141" s="33">
        <f t="shared" si="32"/>
        <v>3272</v>
      </c>
      <c r="E141" s="33">
        <f t="shared" ref="E141:F172" si="36">E140</f>
        <v>336</v>
      </c>
      <c r="F141" s="33">
        <f t="shared" si="36"/>
        <v>4</v>
      </c>
      <c r="G141" s="33">
        <v>1</v>
      </c>
      <c r="H141" s="33">
        <v>81379</v>
      </c>
      <c r="I141" s="33" t="s">
        <v>104</v>
      </c>
      <c r="J141" s="33">
        <v>61967871</v>
      </c>
      <c r="K141" s="33" t="s">
        <v>3803</v>
      </c>
      <c r="L141" s="22" t="s">
        <v>3806</v>
      </c>
      <c r="M141" s="49">
        <v>99900</v>
      </c>
      <c r="N141" s="33" t="str">
        <f t="shared" si="33"/>
        <v>BXGY</v>
      </c>
      <c r="O141" s="34" t="str">
        <f t="shared" si="34"/>
        <v>B3 DISC 10%</v>
      </c>
      <c r="P141" s="33" t="str">
        <f t="shared" si="35"/>
        <v>BXGY</v>
      </c>
    </row>
    <row r="142" spans="1:16" x14ac:dyDescent="0.25">
      <c r="A142" s="33" t="str">
        <f t="shared" si="29"/>
        <v>2025 OCT - DEC B3D10</v>
      </c>
      <c r="B142" s="8">
        <f t="shared" si="30"/>
        <v>46099</v>
      </c>
      <c r="C142" s="8">
        <f t="shared" si="31"/>
        <v>46113</v>
      </c>
      <c r="D142" s="33">
        <f t="shared" si="32"/>
        <v>3272</v>
      </c>
      <c r="E142" s="33">
        <f t="shared" si="36"/>
        <v>336</v>
      </c>
      <c r="F142" s="33">
        <f t="shared" si="36"/>
        <v>4</v>
      </c>
      <c r="G142" s="33">
        <v>1</v>
      </c>
      <c r="H142" s="33">
        <v>81379</v>
      </c>
      <c r="I142" s="33" t="s">
        <v>104</v>
      </c>
      <c r="J142" s="33">
        <v>61967880</v>
      </c>
      <c r="K142" s="33" t="s">
        <v>3803</v>
      </c>
      <c r="L142" s="22" t="s">
        <v>3807</v>
      </c>
      <c r="M142" s="49">
        <v>99900</v>
      </c>
      <c r="N142" s="33" t="str">
        <f t="shared" si="33"/>
        <v>BXGY</v>
      </c>
      <c r="O142" s="34" t="str">
        <f t="shared" si="34"/>
        <v>B3 DISC 10%</v>
      </c>
      <c r="P142" s="33" t="str">
        <f t="shared" si="35"/>
        <v>BXGY</v>
      </c>
    </row>
    <row r="143" spans="1:16" x14ac:dyDescent="0.25">
      <c r="A143" s="33" t="str">
        <f t="shared" si="29"/>
        <v>2025 OCT - DEC B3D10</v>
      </c>
      <c r="B143" s="8">
        <f t="shared" si="30"/>
        <v>46099</v>
      </c>
      <c r="C143" s="8">
        <f t="shared" si="31"/>
        <v>46113</v>
      </c>
      <c r="D143" s="33">
        <f t="shared" si="32"/>
        <v>3272</v>
      </c>
      <c r="E143" s="33">
        <f t="shared" si="36"/>
        <v>336</v>
      </c>
      <c r="F143" s="33">
        <f t="shared" si="36"/>
        <v>4</v>
      </c>
      <c r="G143" s="33">
        <v>1</v>
      </c>
      <c r="H143" s="33">
        <v>81379</v>
      </c>
      <c r="I143" s="33" t="s">
        <v>104</v>
      </c>
      <c r="J143" s="33">
        <v>61967899</v>
      </c>
      <c r="K143" s="33" t="s">
        <v>3808</v>
      </c>
      <c r="L143" s="22" t="s">
        <v>3809</v>
      </c>
      <c r="M143" s="49">
        <v>99900</v>
      </c>
      <c r="N143" s="33" t="str">
        <f t="shared" si="33"/>
        <v>BXGY</v>
      </c>
      <c r="O143" s="34" t="str">
        <f t="shared" si="34"/>
        <v>B3 DISC 10%</v>
      </c>
      <c r="P143" s="33" t="str">
        <f t="shared" si="35"/>
        <v>BXGY</v>
      </c>
    </row>
    <row r="144" spans="1:16" x14ac:dyDescent="0.25">
      <c r="A144" s="33" t="str">
        <f t="shared" si="29"/>
        <v>2025 OCT - DEC B3D10</v>
      </c>
      <c r="B144" s="8">
        <f t="shared" si="30"/>
        <v>46099</v>
      </c>
      <c r="C144" s="8">
        <f t="shared" si="31"/>
        <v>46113</v>
      </c>
      <c r="D144" s="33">
        <f t="shared" si="32"/>
        <v>3272</v>
      </c>
      <c r="E144" s="33">
        <f t="shared" si="36"/>
        <v>336</v>
      </c>
      <c r="F144" s="33">
        <f t="shared" si="36"/>
        <v>4</v>
      </c>
      <c r="G144" s="33">
        <v>1</v>
      </c>
      <c r="H144" s="33">
        <v>81379</v>
      </c>
      <c r="I144" s="33" t="s">
        <v>104</v>
      </c>
      <c r="J144" s="33">
        <v>61967906</v>
      </c>
      <c r="K144" s="33" t="s">
        <v>3808</v>
      </c>
      <c r="L144" s="22" t="s">
        <v>3810</v>
      </c>
      <c r="M144" s="49">
        <v>99900</v>
      </c>
      <c r="N144" s="33" t="str">
        <f t="shared" si="33"/>
        <v>BXGY</v>
      </c>
      <c r="O144" s="34" t="str">
        <f t="shared" si="34"/>
        <v>B3 DISC 10%</v>
      </c>
      <c r="P144" s="33" t="str">
        <f t="shared" si="35"/>
        <v>BXGY</v>
      </c>
    </row>
    <row r="145" spans="1:16" x14ac:dyDescent="0.25">
      <c r="A145" s="33" t="str">
        <f t="shared" si="29"/>
        <v>2025 OCT - DEC B3D10</v>
      </c>
      <c r="B145" s="8">
        <f t="shared" si="30"/>
        <v>46099</v>
      </c>
      <c r="C145" s="8">
        <f t="shared" si="31"/>
        <v>46113</v>
      </c>
      <c r="D145" s="33">
        <f t="shared" si="32"/>
        <v>3272</v>
      </c>
      <c r="E145" s="33">
        <f t="shared" si="36"/>
        <v>336</v>
      </c>
      <c r="F145" s="33">
        <f t="shared" si="36"/>
        <v>4</v>
      </c>
      <c r="G145" s="33">
        <v>1</v>
      </c>
      <c r="H145" s="33">
        <v>81379</v>
      </c>
      <c r="I145" s="33" t="s">
        <v>104</v>
      </c>
      <c r="J145" s="33">
        <v>61967915</v>
      </c>
      <c r="K145" s="33" t="s">
        <v>3808</v>
      </c>
      <c r="L145" s="22" t="s">
        <v>3811</v>
      </c>
      <c r="M145" s="49">
        <v>99900</v>
      </c>
      <c r="N145" s="33" t="str">
        <f t="shared" si="33"/>
        <v>BXGY</v>
      </c>
      <c r="O145" s="34" t="str">
        <f t="shared" si="34"/>
        <v>B3 DISC 10%</v>
      </c>
      <c r="P145" s="33" t="str">
        <f t="shared" si="35"/>
        <v>BXGY</v>
      </c>
    </row>
    <row r="146" spans="1:16" x14ac:dyDescent="0.25">
      <c r="A146" s="33" t="str">
        <f t="shared" si="29"/>
        <v>2025 OCT - DEC B3D10</v>
      </c>
      <c r="B146" s="8">
        <f t="shared" si="30"/>
        <v>46099</v>
      </c>
      <c r="C146" s="8">
        <f t="shared" si="31"/>
        <v>46113</v>
      </c>
      <c r="D146" s="33">
        <f t="shared" si="32"/>
        <v>3272</v>
      </c>
      <c r="E146" s="33">
        <f t="shared" si="36"/>
        <v>336</v>
      </c>
      <c r="F146" s="33">
        <f t="shared" si="36"/>
        <v>4</v>
      </c>
      <c r="G146" s="33">
        <v>1</v>
      </c>
      <c r="H146" s="33">
        <v>81379</v>
      </c>
      <c r="I146" s="33" t="s">
        <v>104</v>
      </c>
      <c r="J146" s="33">
        <v>61967924</v>
      </c>
      <c r="K146" s="33" t="s">
        <v>3808</v>
      </c>
      <c r="L146" s="22" t="s">
        <v>3812</v>
      </c>
      <c r="M146" s="49">
        <v>99900</v>
      </c>
      <c r="N146" s="33" t="str">
        <f t="shared" si="33"/>
        <v>BXGY</v>
      </c>
      <c r="O146" s="34" t="str">
        <f t="shared" si="34"/>
        <v>B3 DISC 10%</v>
      </c>
      <c r="P146" s="33" t="str">
        <f t="shared" si="35"/>
        <v>BXGY</v>
      </c>
    </row>
    <row r="147" spans="1:16" x14ac:dyDescent="0.25">
      <c r="A147" s="33" t="str">
        <f t="shared" si="29"/>
        <v>2025 OCT - DEC B3D10</v>
      </c>
      <c r="B147" s="8">
        <f t="shared" si="30"/>
        <v>46099</v>
      </c>
      <c r="C147" s="8">
        <f t="shared" si="31"/>
        <v>46113</v>
      </c>
      <c r="D147" s="33">
        <f t="shared" si="32"/>
        <v>3272</v>
      </c>
      <c r="E147" s="33">
        <f t="shared" si="36"/>
        <v>336</v>
      </c>
      <c r="F147" s="33">
        <f t="shared" si="36"/>
        <v>4</v>
      </c>
      <c r="G147" s="33">
        <v>1</v>
      </c>
      <c r="H147" s="33">
        <v>81379</v>
      </c>
      <c r="I147" s="33" t="s">
        <v>104</v>
      </c>
      <c r="J147" s="33">
        <v>61967933</v>
      </c>
      <c r="K147" s="33" t="s">
        <v>3813</v>
      </c>
      <c r="L147" s="22" t="s">
        <v>3814</v>
      </c>
      <c r="M147" s="49">
        <v>99900</v>
      </c>
      <c r="N147" s="33" t="str">
        <f t="shared" si="33"/>
        <v>BXGY</v>
      </c>
      <c r="O147" s="34" t="str">
        <f t="shared" si="34"/>
        <v>B3 DISC 10%</v>
      </c>
      <c r="P147" s="33" t="str">
        <f t="shared" si="35"/>
        <v>BXGY</v>
      </c>
    </row>
    <row r="148" spans="1:16" x14ac:dyDescent="0.25">
      <c r="A148" s="33" t="str">
        <f t="shared" si="29"/>
        <v>2025 OCT - DEC B3D10</v>
      </c>
      <c r="B148" s="8">
        <f t="shared" si="30"/>
        <v>46099</v>
      </c>
      <c r="C148" s="8">
        <f t="shared" si="31"/>
        <v>46113</v>
      </c>
      <c r="D148" s="33">
        <f t="shared" si="32"/>
        <v>3272</v>
      </c>
      <c r="E148" s="33">
        <f t="shared" si="36"/>
        <v>336</v>
      </c>
      <c r="F148" s="33">
        <f t="shared" si="36"/>
        <v>4</v>
      </c>
      <c r="G148" s="33">
        <v>1</v>
      </c>
      <c r="H148" s="33">
        <v>81379</v>
      </c>
      <c r="I148" s="33" t="s">
        <v>104</v>
      </c>
      <c r="J148" s="33">
        <v>61967942</v>
      </c>
      <c r="K148" s="33" t="s">
        <v>3813</v>
      </c>
      <c r="L148" s="22" t="s">
        <v>3815</v>
      </c>
      <c r="M148" s="49">
        <v>99900</v>
      </c>
      <c r="N148" s="33" t="str">
        <f t="shared" si="33"/>
        <v>BXGY</v>
      </c>
      <c r="O148" s="34" t="str">
        <f t="shared" si="34"/>
        <v>B3 DISC 10%</v>
      </c>
      <c r="P148" s="33" t="str">
        <f t="shared" si="35"/>
        <v>BXGY</v>
      </c>
    </row>
    <row r="149" spans="1:16" x14ac:dyDescent="0.25">
      <c r="A149" s="33" t="str">
        <f t="shared" si="29"/>
        <v>2025 OCT - DEC B3D10</v>
      </c>
      <c r="B149" s="8">
        <f t="shared" si="30"/>
        <v>46099</v>
      </c>
      <c r="C149" s="8">
        <f t="shared" si="31"/>
        <v>46113</v>
      </c>
      <c r="D149" s="33">
        <f t="shared" si="32"/>
        <v>3272</v>
      </c>
      <c r="E149" s="33">
        <f t="shared" si="36"/>
        <v>336</v>
      </c>
      <c r="F149" s="33">
        <f t="shared" si="36"/>
        <v>4</v>
      </c>
      <c r="G149" s="33">
        <v>1</v>
      </c>
      <c r="H149" s="33">
        <v>81379</v>
      </c>
      <c r="I149" s="33" t="s">
        <v>104</v>
      </c>
      <c r="J149" s="33">
        <v>61967951</v>
      </c>
      <c r="K149" s="33" t="s">
        <v>3813</v>
      </c>
      <c r="L149" s="22" t="s">
        <v>3816</v>
      </c>
      <c r="M149" s="49">
        <v>99900</v>
      </c>
      <c r="N149" s="33" t="str">
        <f t="shared" si="33"/>
        <v>BXGY</v>
      </c>
      <c r="O149" s="34" t="str">
        <f t="shared" si="34"/>
        <v>B3 DISC 10%</v>
      </c>
      <c r="P149" s="33" t="str">
        <f t="shared" si="35"/>
        <v>BXGY</v>
      </c>
    </row>
    <row r="150" spans="1:16" x14ac:dyDescent="0.25">
      <c r="A150" s="33" t="str">
        <f t="shared" si="29"/>
        <v>2025 OCT - DEC B3D10</v>
      </c>
      <c r="B150" s="8">
        <f t="shared" si="30"/>
        <v>46099</v>
      </c>
      <c r="C150" s="8">
        <f t="shared" si="31"/>
        <v>46113</v>
      </c>
      <c r="D150" s="33">
        <f t="shared" si="32"/>
        <v>3272</v>
      </c>
      <c r="E150" s="33">
        <f t="shared" si="36"/>
        <v>336</v>
      </c>
      <c r="F150" s="33">
        <f t="shared" si="36"/>
        <v>4</v>
      </c>
      <c r="G150" s="33">
        <v>1</v>
      </c>
      <c r="H150" s="33">
        <v>81379</v>
      </c>
      <c r="I150" s="33" t="s">
        <v>104</v>
      </c>
      <c r="J150" s="33">
        <v>61967960</v>
      </c>
      <c r="K150" s="33" t="s">
        <v>3813</v>
      </c>
      <c r="L150" s="22" t="s">
        <v>3817</v>
      </c>
      <c r="M150" s="49">
        <v>99900</v>
      </c>
      <c r="N150" s="33" t="str">
        <f t="shared" si="33"/>
        <v>BXGY</v>
      </c>
      <c r="O150" s="34" t="str">
        <f t="shared" si="34"/>
        <v>B3 DISC 10%</v>
      </c>
      <c r="P150" s="33" t="str">
        <f t="shared" si="35"/>
        <v>BXGY</v>
      </c>
    </row>
    <row r="151" spans="1:16" x14ac:dyDescent="0.25">
      <c r="A151" s="33" t="str">
        <f t="shared" si="29"/>
        <v>2025 OCT - DEC B3D10</v>
      </c>
      <c r="B151" s="8">
        <f t="shared" si="30"/>
        <v>46099</v>
      </c>
      <c r="C151" s="8">
        <f t="shared" si="31"/>
        <v>46113</v>
      </c>
      <c r="D151" s="33">
        <f t="shared" si="32"/>
        <v>3272</v>
      </c>
      <c r="E151" s="33">
        <f t="shared" si="36"/>
        <v>336</v>
      </c>
      <c r="F151" s="33">
        <f t="shared" si="36"/>
        <v>4</v>
      </c>
      <c r="G151" s="33">
        <v>1</v>
      </c>
      <c r="H151" s="33">
        <v>81379</v>
      </c>
      <c r="I151" s="33" t="s">
        <v>104</v>
      </c>
      <c r="J151" s="33">
        <v>61967979</v>
      </c>
      <c r="K151" s="33" t="s">
        <v>3818</v>
      </c>
      <c r="L151" s="22" t="s">
        <v>3819</v>
      </c>
      <c r="M151" s="49">
        <v>99900</v>
      </c>
      <c r="N151" s="33" t="str">
        <f t="shared" si="33"/>
        <v>BXGY</v>
      </c>
      <c r="O151" s="34" t="str">
        <f t="shared" si="34"/>
        <v>B3 DISC 10%</v>
      </c>
      <c r="P151" s="33" t="str">
        <f t="shared" si="35"/>
        <v>BXGY</v>
      </c>
    </row>
    <row r="152" spans="1:16" x14ac:dyDescent="0.25">
      <c r="A152" s="33" t="str">
        <f t="shared" si="29"/>
        <v>2025 OCT - DEC B3D10</v>
      </c>
      <c r="B152" s="8">
        <f t="shared" si="30"/>
        <v>46099</v>
      </c>
      <c r="C152" s="8">
        <f t="shared" si="31"/>
        <v>46113</v>
      </c>
      <c r="D152" s="33">
        <f t="shared" si="32"/>
        <v>3272</v>
      </c>
      <c r="E152" s="33">
        <f t="shared" si="36"/>
        <v>336</v>
      </c>
      <c r="F152" s="33">
        <f t="shared" si="36"/>
        <v>4</v>
      </c>
      <c r="G152" s="33">
        <v>1</v>
      </c>
      <c r="H152" s="33">
        <v>81379</v>
      </c>
      <c r="I152" s="33" t="s">
        <v>104</v>
      </c>
      <c r="J152" s="33">
        <v>61967988</v>
      </c>
      <c r="K152" s="33" t="s">
        <v>3818</v>
      </c>
      <c r="L152" s="22" t="s">
        <v>3820</v>
      </c>
      <c r="M152" s="49">
        <v>99900</v>
      </c>
      <c r="N152" s="33" t="str">
        <f t="shared" si="33"/>
        <v>BXGY</v>
      </c>
      <c r="O152" s="34" t="str">
        <f t="shared" si="34"/>
        <v>B3 DISC 10%</v>
      </c>
      <c r="P152" s="33" t="str">
        <f t="shared" si="35"/>
        <v>BXGY</v>
      </c>
    </row>
    <row r="153" spans="1:16" x14ac:dyDescent="0.25">
      <c r="A153" s="33" t="str">
        <f t="shared" si="29"/>
        <v>2025 OCT - DEC B3D10</v>
      </c>
      <c r="B153" s="8">
        <f t="shared" si="30"/>
        <v>46099</v>
      </c>
      <c r="C153" s="8">
        <f t="shared" si="31"/>
        <v>46113</v>
      </c>
      <c r="D153" s="33">
        <f t="shared" si="32"/>
        <v>3272</v>
      </c>
      <c r="E153" s="33">
        <f t="shared" si="36"/>
        <v>336</v>
      </c>
      <c r="F153" s="33">
        <f t="shared" si="36"/>
        <v>4</v>
      </c>
      <c r="G153" s="33">
        <v>1</v>
      </c>
      <c r="H153" s="33">
        <v>81379</v>
      </c>
      <c r="I153" s="33" t="s">
        <v>104</v>
      </c>
      <c r="J153" s="33">
        <v>61967997</v>
      </c>
      <c r="K153" s="33" t="s">
        <v>3818</v>
      </c>
      <c r="L153" s="22" t="s">
        <v>3821</v>
      </c>
      <c r="M153" s="49">
        <v>99900</v>
      </c>
      <c r="N153" s="33" t="str">
        <f t="shared" si="33"/>
        <v>BXGY</v>
      </c>
      <c r="O153" s="34" t="str">
        <f t="shared" si="34"/>
        <v>B3 DISC 10%</v>
      </c>
      <c r="P153" s="33" t="str">
        <f t="shared" si="35"/>
        <v>BXGY</v>
      </c>
    </row>
    <row r="154" spans="1:16" x14ac:dyDescent="0.25">
      <c r="A154" s="33" t="str">
        <f t="shared" si="29"/>
        <v>2025 OCT - DEC B3D10</v>
      </c>
      <c r="B154" s="8">
        <f t="shared" si="30"/>
        <v>46099</v>
      </c>
      <c r="C154" s="8">
        <f t="shared" si="31"/>
        <v>46113</v>
      </c>
      <c r="D154" s="33">
        <f t="shared" si="32"/>
        <v>3272</v>
      </c>
      <c r="E154" s="33">
        <f t="shared" si="36"/>
        <v>336</v>
      </c>
      <c r="F154" s="33">
        <f t="shared" si="36"/>
        <v>4</v>
      </c>
      <c r="G154" s="33">
        <v>1</v>
      </c>
      <c r="H154" s="33">
        <v>81379</v>
      </c>
      <c r="I154" s="33" t="s">
        <v>104</v>
      </c>
      <c r="J154" s="33">
        <v>61968003</v>
      </c>
      <c r="K154" s="33" t="s">
        <v>3818</v>
      </c>
      <c r="L154" s="22" t="s">
        <v>3822</v>
      </c>
      <c r="M154" s="49">
        <v>99900</v>
      </c>
      <c r="N154" s="33" t="str">
        <f t="shared" si="33"/>
        <v>BXGY</v>
      </c>
      <c r="O154" s="34" t="str">
        <f t="shared" si="34"/>
        <v>B3 DISC 10%</v>
      </c>
      <c r="P154" s="33" t="str">
        <f t="shared" si="35"/>
        <v>BXGY</v>
      </c>
    </row>
    <row r="155" spans="1:16" x14ac:dyDescent="0.25">
      <c r="A155" s="33" t="str">
        <f t="shared" si="29"/>
        <v>2025 OCT - DEC B3D10</v>
      </c>
      <c r="B155" s="8">
        <f t="shared" si="30"/>
        <v>46099</v>
      </c>
      <c r="C155" s="8">
        <f t="shared" si="31"/>
        <v>46113</v>
      </c>
      <c r="D155" s="33">
        <f t="shared" si="32"/>
        <v>3272</v>
      </c>
      <c r="E155" s="33">
        <f t="shared" si="36"/>
        <v>336</v>
      </c>
      <c r="F155" s="33">
        <f t="shared" si="36"/>
        <v>4</v>
      </c>
      <c r="G155" s="33">
        <v>1</v>
      </c>
      <c r="H155" s="33">
        <v>81379</v>
      </c>
      <c r="I155" s="33" t="s">
        <v>104</v>
      </c>
      <c r="J155" s="33">
        <v>61968012</v>
      </c>
      <c r="K155" s="33" t="s">
        <v>3823</v>
      </c>
      <c r="L155" s="22" t="s">
        <v>3824</v>
      </c>
      <c r="M155" s="49">
        <v>99900</v>
      </c>
      <c r="N155" s="33" t="str">
        <f t="shared" si="33"/>
        <v>BXGY</v>
      </c>
      <c r="O155" s="34" t="str">
        <f t="shared" si="34"/>
        <v>B3 DISC 10%</v>
      </c>
      <c r="P155" s="33" t="str">
        <f t="shared" si="35"/>
        <v>BXGY</v>
      </c>
    </row>
    <row r="156" spans="1:16" x14ac:dyDescent="0.25">
      <c r="A156" s="33" t="str">
        <f t="shared" si="29"/>
        <v>2025 OCT - DEC B3D10</v>
      </c>
      <c r="B156" s="8">
        <f t="shared" si="30"/>
        <v>46099</v>
      </c>
      <c r="C156" s="8">
        <f t="shared" si="31"/>
        <v>46113</v>
      </c>
      <c r="D156" s="33">
        <f t="shared" si="32"/>
        <v>3272</v>
      </c>
      <c r="E156" s="33">
        <f t="shared" si="36"/>
        <v>336</v>
      </c>
      <c r="F156" s="33">
        <f t="shared" si="36"/>
        <v>4</v>
      </c>
      <c r="G156" s="33">
        <v>1</v>
      </c>
      <c r="H156" s="33">
        <v>81379</v>
      </c>
      <c r="I156" s="33" t="s">
        <v>104</v>
      </c>
      <c r="J156" s="33">
        <v>61968021</v>
      </c>
      <c r="K156" s="33" t="s">
        <v>3823</v>
      </c>
      <c r="L156" s="22" t="s">
        <v>3825</v>
      </c>
      <c r="M156" s="49">
        <v>99900</v>
      </c>
      <c r="N156" s="33" t="str">
        <f t="shared" si="33"/>
        <v>BXGY</v>
      </c>
      <c r="O156" s="34" t="str">
        <f t="shared" si="34"/>
        <v>B3 DISC 10%</v>
      </c>
      <c r="P156" s="33" t="str">
        <f t="shared" si="35"/>
        <v>BXGY</v>
      </c>
    </row>
    <row r="157" spans="1:16" x14ac:dyDescent="0.25">
      <c r="A157" s="33" t="str">
        <f t="shared" si="29"/>
        <v>2025 OCT - DEC B3D10</v>
      </c>
      <c r="B157" s="8">
        <f t="shared" si="30"/>
        <v>46099</v>
      </c>
      <c r="C157" s="8">
        <f t="shared" si="31"/>
        <v>46113</v>
      </c>
      <c r="D157" s="33">
        <f t="shared" si="32"/>
        <v>3272</v>
      </c>
      <c r="E157" s="33">
        <f t="shared" si="36"/>
        <v>336</v>
      </c>
      <c r="F157" s="33">
        <f t="shared" si="36"/>
        <v>4</v>
      </c>
      <c r="G157" s="33">
        <v>1</v>
      </c>
      <c r="H157" s="33">
        <v>81379</v>
      </c>
      <c r="I157" s="33" t="s">
        <v>104</v>
      </c>
      <c r="J157" s="33">
        <v>61968030</v>
      </c>
      <c r="K157" s="33" t="s">
        <v>3823</v>
      </c>
      <c r="L157" s="22" t="s">
        <v>3826</v>
      </c>
      <c r="M157" s="49">
        <v>99900</v>
      </c>
      <c r="N157" s="33" t="str">
        <f t="shared" si="33"/>
        <v>BXGY</v>
      </c>
      <c r="O157" s="34" t="str">
        <f t="shared" si="34"/>
        <v>B3 DISC 10%</v>
      </c>
      <c r="P157" s="33" t="str">
        <f t="shared" si="35"/>
        <v>BXGY</v>
      </c>
    </row>
    <row r="158" spans="1:16" x14ac:dyDescent="0.25">
      <c r="A158" s="33" t="str">
        <f t="shared" si="29"/>
        <v>2025 OCT - DEC B3D10</v>
      </c>
      <c r="B158" s="8">
        <f t="shared" si="30"/>
        <v>46099</v>
      </c>
      <c r="C158" s="8">
        <f t="shared" si="31"/>
        <v>46113</v>
      </c>
      <c r="D158" s="33">
        <f t="shared" si="32"/>
        <v>3272</v>
      </c>
      <c r="E158" s="33">
        <f t="shared" si="36"/>
        <v>336</v>
      </c>
      <c r="F158" s="33">
        <f t="shared" si="36"/>
        <v>4</v>
      </c>
      <c r="G158" s="33">
        <v>1</v>
      </c>
      <c r="H158" s="33">
        <v>81379</v>
      </c>
      <c r="I158" s="33" t="s">
        <v>104</v>
      </c>
      <c r="J158" s="33">
        <v>61968049</v>
      </c>
      <c r="K158" s="33" t="s">
        <v>3823</v>
      </c>
      <c r="L158" s="22" t="s">
        <v>3827</v>
      </c>
      <c r="M158" s="49">
        <v>99900</v>
      </c>
      <c r="N158" s="33" t="str">
        <f t="shared" si="33"/>
        <v>BXGY</v>
      </c>
      <c r="O158" s="34" t="str">
        <f t="shared" si="34"/>
        <v>B3 DISC 10%</v>
      </c>
      <c r="P158" s="33" t="str">
        <f t="shared" si="35"/>
        <v>BXGY</v>
      </c>
    </row>
    <row r="159" spans="1:16" x14ac:dyDescent="0.25">
      <c r="A159" s="33" t="str">
        <f t="shared" si="29"/>
        <v>2025 OCT - DEC B3D10</v>
      </c>
      <c r="B159" s="8">
        <f t="shared" si="30"/>
        <v>46099</v>
      </c>
      <c r="C159" s="8">
        <f t="shared" si="31"/>
        <v>46113</v>
      </c>
      <c r="D159" s="33">
        <f t="shared" si="32"/>
        <v>3272</v>
      </c>
      <c r="E159" s="33">
        <f t="shared" si="36"/>
        <v>336</v>
      </c>
      <c r="F159" s="33">
        <f t="shared" si="36"/>
        <v>4</v>
      </c>
      <c r="G159" s="33">
        <v>1</v>
      </c>
      <c r="H159" s="33">
        <v>81379</v>
      </c>
      <c r="I159" s="33" t="s">
        <v>104</v>
      </c>
      <c r="J159" s="33">
        <v>61968058</v>
      </c>
      <c r="K159" s="33" t="s">
        <v>3828</v>
      </c>
      <c r="L159" s="22" t="s">
        <v>3829</v>
      </c>
      <c r="M159" s="49">
        <v>99900</v>
      </c>
      <c r="N159" s="33" t="str">
        <f t="shared" si="33"/>
        <v>BXGY</v>
      </c>
      <c r="O159" s="34" t="str">
        <f t="shared" si="34"/>
        <v>B3 DISC 10%</v>
      </c>
      <c r="P159" s="33" t="str">
        <f t="shared" si="35"/>
        <v>BXGY</v>
      </c>
    </row>
    <row r="160" spans="1:16" x14ac:dyDescent="0.25">
      <c r="A160" s="33" t="str">
        <f t="shared" si="29"/>
        <v>2025 OCT - DEC B3D10</v>
      </c>
      <c r="B160" s="8">
        <f t="shared" si="30"/>
        <v>46099</v>
      </c>
      <c r="C160" s="8">
        <f t="shared" si="31"/>
        <v>46113</v>
      </c>
      <c r="D160" s="33">
        <f t="shared" si="32"/>
        <v>3272</v>
      </c>
      <c r="E160" s="33">
        <f t="shared" si="36"/>
        <v>336</v>
      </c>
      <c r="F160" s="33">
        <f t="shared" si="36"/>
        <v>4</v>
      </c>
      <c r="G160" s="33">
        <v>1</v>
      </c>
      <c r="H160" s="33">
        <v>81379</v>
      </c>
      <c r="I160" s="33" t="s">
        <v>104</v>
      </c>
      <c r="J160" s="33">
        <v>61968067</v>
      </c>
      <c r="K160" s="33" t="s">
        <v>3828</v>
      </c>
      <c r="L160" s="22" t="s">
        <v>3830</v>
      </c>
      <c r="M160" s="49">
        <v>99900</v>
      </c>
      <c r="N160" s="33" t="str">
        <f t="shared" si="33"/>
        <v>BXGY</v>
      </c>
      <c r="O160" s="34" t="str">
        <f t="shared" si="34"/>
        <v>B3 DISC 10%</v>
      </c>
      <c r="P160" s="33" t="str">
        <f t="shared" si="35"/>
        <v>BXGY</v>
      </c>
    </row>
    <row r="161" spans="1:16" x14ac:dyDescent="0.25">
      <c r="A161" s="33" t="str">
        <f t="shared" si="29"/>
        <v>2025 OCT - DEC B3D10</v>
      </c>
      <c r="B161" s="8">
        <f t="shared" si="30"/>
        <v>46099</v>
      </c>
      <c r="C161" s="8">
        <f t="shared" si="31"/>
        <v>46113</v>
      </c>
      <c r="D161" s="33">
        <f t="shared" si="32"/>
        <v>3272</v>
      </c>
      <c r="E161" s="33">
        <f t="shared" si="36"/>
        <v>336</v>
      </c>
      <c r="F161" s="33">
        <f t="shared" si="36"/>
        <v>4</v>
      </c>
      <c r="G161" s="33">
        <v>1</v>
      </c>
      <c r="H161" s="33">
        <v>81379</v>
      </c>
      <c r="I161" s="33" t="s">
        <v>104</v>
      </c>
      <c r="J161" s="33">
        <v>61968076</v>
      </c>
      <c r="K161" s="33" t="s">
        <v>3828</v>
      </c>
      <c r="L161" s="22" t="s">
        <v>3831</v>
      </c>
      <c r="M161" s="49">
        <v>99900</v>
      </c>
      <c r="N161" s="33" t="str">
        <f t="shared" si="33"/>
        <v>BXGY</v>
      </c>
      <c r="O161" s="34" t="str">
        <f t="shared" si="34"/>
        <v>B3 DISC 10%</v>
      </c>
      <c r="P161" s="33" t="str">
        <f t="shared" si="35"/>
        <v>BXGY</v>
      </c>
    </row>
    <row r="162" spans="1:16" x14ac:dyDescent="0.25">
      <c r="A162" s="33" t="str">
        <f t="shared" si="29"/>
        <v>2025 OCT - DEC B3D10</v>
      </c>
      <c r="B162" s="8">
        <f t="shared" si="30"/>
        <v>46099</v>
      </c>
      <c r="C162" s="8">
        <f t="shared" si="31"/>
        <v>46113</v>
      </c>
      <c r="D162" s="33">
        <f t="shared" si="32"/>
        <v>3272</v>
      </c>
      <c r="E162" s="33">
        <f t="shared" si="36"/>
        <v>336</v>
      </c>
      <c r="F162" s="33">
        <f t="shared" si="36"/>
        <v>4</v>
      </c>
      <c r="G162" s="33">
        <v>1</v>
      </c>
      <c r="H162" s="33">
        <v>81379</v>
      </c>
      <c r="I162" s="33" t="s">
        <v>104</v>
      </c>
      <c r="J162" s="33">
        <v>61968085</v>
      </c>
      <c r="K162" s="33" t="s">
        <v>3828</v>
      </c>
      <c r="L162" s="22" t="s">
        <v>3832</v>
      </c>
      <c r="M162" s="49">
        <v>99900</v>
      </c>
      <c r="N162" s="33" t="str">
        <f t="shared" si="33"/>
        <v>BXGY</v>
      </c>
      <c r="O162" s="34" t="str">
        <f t="shared" si="34"/>
        <v>B3 DISC 10%</v>
      </c>
      <c r="P162" s="33" t="str">
        <f t="shared" si="35"/>
        <v>BXGY</v>
      </c>
    </row>
    <row r="163" spans="1:16" x14ac:dyDescent="0.25">
      <c r="A163" s="33" t="str">
        <f t="shared" si="29"/>
        <v>2025 OCT - DEC B3D10</v>
      </c>
      <c r="B163" s="8">
        <f t="shared" si="30"/>
        <v>46099</v>
      </c>
      <c r="C163" s="8">
        <f t="shared" si="31"/>
        <v>46113</v>
      </c>
      <c r="D163" s="33">
        <f t="shared" si="32"/>
        <v>3272</v>
      </c>
      <c r="E163" s="33">
        <f t="shared" si="36"/>
        <v>336</v>
      </c>
      <c r="F163" s="33">
        <f t="shared" si="36"/>
        <v>4</v>
      </c>
      <c r="G163" s="33">
        <v>1</v>
      </c>
      <c r="H163" s="33">
        <v>81379</v>
      </c>
      <c r="I163" s="33" t="s">
        <v>104</v>
      </c>
      <c r="J163" s="33">
        <v>61968094</v>
      </c>
      <c r="K163" s="33" t="s">
        <v>3833</v>
      </c>
      <c r="L163" s="22" t="s">
        <v>3834</v>
      </c>
      <c r="M163" s="49">
        <v>99900</v>
      </c>
      <c r="N163" s="33" t="str">
        <f t="shared" si="33"/>
        <v>BXGY</v>
      </c>
      <c r="O163" s="34" t="str">
        <f t="shared" si="34"/>
        <v>B3 DISC 10%</v>
      </c>
      <c r="P163" s="33" t="str">
        <f t="shared" si="35"/>
        <v>BXGY</v>
      </c>
    </row>
    <row r="164" spans="1:16" x14ac:dyDescent="0.25">
      <c r="A164" s="33" t="str">
        <f t="shared" si="29"/>
        <v>2025 OCT - DEC B3D10</v>
      </c>
      <c r="B164" s="8">
        <f t="shared" si="30"/>
        <v>46099</v>
      </c>
      <c r="C164" s="8">
        <f t="shared" si="31"/>
        <v>46113</v>
      </c>
      <c r="D164" s="33">
        <f t="shared" si="32"/>
        <v>3272</v>
      </c>
      <c r="E164" s="33">
        <f t="shared" si="36"/>
        <v>336</v>
      </c>
      <c r="F164" s="33">
        <f t="shared" si="36"/>
        <v>4</v>
      </c>
      <c r="G164" s="33">
        <v>1</v>
      </c>
      <c r="H164" s="33">
        <v>81379</v>
      </c>
      <c r="I164" s="33" t="s">
        <v>104</v>
      </c>
      <c r="J164" s="33">
        <v>61968101</v>
      </c>
      <c r="K164" s="33" t="s">
        <v>3833</v>
      </c>
      <c r="L164" s="22" t="s">
        <v>3835</v>
      </c>
      <c r="M164" s="49">
        <v>99900</v>
      </c>
      <c r="N164" s="33" t="str">
        <f t="shared" si="33"/>
        <v>BXGY</v>
      </c>
      <c r="O164" s="34" t="str">
        <f t="shared" si="34"/>
        <v>B3 DISC 10%</v>
      </c>
      <c r="P164" s="33" t="str">
        <f t="shared" si="35"/>
        <v>BXGY</v>
      </c>
    </row>
    <row r="165" spans="1:16" x14ac:dyDescent="0.25">
      <c r="A165" s="33" t="str">
        <f t="shared" si="29"/>
        <v>2025 OCT - DEC B3D10</v>
      </c>
      <c r="B165" s="8">
        <f t="shared" si="30"/>
        <v>46099</v>
      </c>
      <c r="C165" s="8">
        <f t="shared" si="31"/>
        <v>46113</v>
      </c>
      <c r="D165" s="33">
        <f t="shared" si="32"/>
        <v>3272</v>
      </c>
      <c r="E165" s="33">
        <f t="shared" si="36"/>
        <v>336</v>
      </c>
      <c r="F165" s="33">
        <f t="shared" si="36"/>
        <v>4</v>
      </c>
      <c r="G165" s="33">
        <v>1</v>
      </c>
      <c r="H165" s="33">
        <v>81379</v>
      </c>
      <c r="I165" s="33" t="s">
        <v>104</v>
      </c>
      <c r="J165" s="33">
        <v>61968110</v>
      </c>
      <c r="K165" s="33" t="s">
        <v>3833</v>
      </c>
      <c r="L165" s="22" t="s">
        <v>3836</v>
      </c>
      <c r="M165" s="49">
        <v>99900</v>
      </c>
      <c r="N165" s="33" t="str">
        <f t="shared" si="33"/>
        <v>BXGY</v>
      </c>
      <c r="O165" s="34" t="str">
        <f t="shared" si="34"/>
        <v>B3 DISC 10%</v>
      </c>
      <c r="P165" s="33" t="str">
        <f t="shared" si="35"/>
        <v>BXGY</v>
      </c>
    </row>
    <row r="166" spans="1:16" x14ac:dyDescent="0.25">
      <c r="A166" s="33" t="str">
        <f t="shared" si="29"/>
        <v>2025 OCT - DEC B3D10</v>
      </c>
      <c r="B166" s="8">
        <f t="shared" si="30"/>
        <v>46099</v>
      </c>
      <c r="C166" s="8">
        <f t="shared" si="31"/>
        <v>46113</v>
      </c>
      <c r="D166" s="33">
        <f t="shared" si="32"/>
        <v>3272</v>
      </c>
      <c r="E166" s="33">
        <f t="shared" si="36"/>
        <v>336</v>
      </c>
      <c r="F166" s="33">
        <f t="shared" si="36"/>
        <v>4</v>
      </c>
      <c r="G166" s="33">
        <v>1</v>
      </c>
      <c r="H166" s="33">
        <v>81379</v>
      </c>
      <c r="I166" s="33" t="s">
        <v>104</v>
      </c>
      <c r="J166" s="33">
        <v>61968129</v>
      </c>
      <c r="K166" s="33" t="s">
        <v>3833</v>
      </c>
      <c r="L166" s="22" t="s">
        <v>3837</v>
      </c>
      <c r="M166" s="49">
        <v>99900</v>
      </c>
      <c r="N166" s="33" t="str">
        <f t="shared" si="33"/>
        <v>BXGY</v>
      </c>
      <c r="O166" s="34" t="str">
        <f t="shared" si="34"/>
        <v>B3 DISC 10%</v>
      </c>
      <c r="P166" s="33" t="str">
        <f t="shared" si="35"/>
        <v>BXGY</v>
      </c>
    </row>
    <row r="167" spans="1:16" x14ac:dyDescent="0.25">
      <c r="A167" s="33" t="str">
        <f t="shared" si="29"/>
        <v>2025 OCT - DEC B3D10</v>
      </c>
      <c r="B167" s="8">
        <f t="shared" si="30"/>
        <v>46099</v>
      </c>
      <c r="C167" s="8">
        <f t="shared" si="31"/>
        <v>46113</v>
      </c>
      <c r="D167" s="33">
        <f t="shared" si="32"/>
        <v>3272</v>
      </c>
      <c r="E167" s="33">
        <f t="shared" si="36"/>
        <v>336</v>
      </c>
      <c r="F167" s="33">
        <f t="shared" si="36"/>
        <v>4</v>
      </c>
      <c r="G167" s="33">
        <v>1</v>
      </c>
      <c r="H167" s="33">
        <v>81379</v>
      </c>
      <c r="I167" s="33" t="s">
        <v>104</v>
      </c>
      <c r="J167" s="33">
        <v>61968174</v>
      </c>
      <c r="K167" s="33" t="s">
        <v>3838</v>
      </c>
      <c r="L167" s="22" t="s">
        <v>3839</v>
      </c>
      <c r="M167" s="49">
        <v>99900</v>
      </c>
      <c r="N167" s="33" t="str">
        <f t="shared" si="33"/>
        <v>BXGY</v>
      </c>
      <c r="O167" s="34" t="str">
        <f t="shared" si="34"/>
        <v>B3 DISC 10%</v>
      </c>
      <c r="P167" s="33" t="str">
        <f t="shared" si="35"/>
        <v>BXGY</v>
      </c>
    </row>
    <row r="168" spans="1:16" x14ac:dyDescent="0.25">
      <c r="A168" s="33" t="str">
        <f t="shared" si="29"/>
        <v>2025 OCT - DEC B3D10</v>
      </c>
      <c r="B168" s="8">
        <f t="shared" si="30"/>
        <v>46099</v>
      </c>
      <c r="C168" s="8">
        <f t="shared" si="31"/>
        <v>46113</v>
      </c>
      <c r="D168" s="33">
        <f t="shared" si="32"/>
        <v>3272</v>
      </c>
      <c r="E168" s="33">
        <f t="shared" si="36"/>
        <v>336</v>
      </c>
      <c r="F168" s="33">
        <f t="shared" si="36"/>
        <v>4</v>
      </c>
      <c r="G168" s="33">
        <v>1</v>
      </c>
      <c r="H168" s="33">
        <v>81379</v>
      </c>
      <c r="I168" s="33" t="s">
        <v>104</v>
      </c>
      <c r="J168" s="33">
        <v>61968183</v>
      </c>
      <c r="K168" s="33" t="s">
        <v>3838</v>
      </c>
      <c r="L168" s="22" t="s">
        <v>3840</v>
      </c>
      <c r="M168" s="49">
        <v>99900</v>
      </c>
      <c r="N168" s="33" t="str">
        <f t="shared" si="33"/>
        <v>BXGY</v>
      </c>
      <c r="O168" s="34" t="str">
        <f t="shared" si="34"/>
        <v>B3 DISC 10%</v>
      </c>
      <c r="P168" s="33" t="str">
        <f t="shared" si="35"/>
        <v>BXGY</v>
      </c>
    </row>
    <row r="169" spans="1:16" x14ac:dyDescent="0.25">
      <c r="A169" s="33" t="str">
        <f t="shared" si="29"/>
        <v>2025 OCT - DEC B3D10</v>
      </c>
      <c r="B169" s="8">
        <f t="shared" si="30"/>
        <v>46099</v>
      </c>
      <c r="C169" s="8">
        <f t="shared" si="31"/>
        <v>46113</v>
      </c>
      <c r="D169" s="33">
        <f t="shared" si="32"/>
        <v>3272</v>
      </c>
      <c r="E169" s="33">
        <f t="shared" si="36"/>
        <v>336</v>
      </c>
      <c r="F169" s="33">
        <f t="shared" si="36"/>
        <v>4</v>
      </c>
      <c r="G169" s="33">
        <v>1</v>
      </c>
      <c r="H169" s="33">
        <v>81379</v>
      </c>
      <c r="I169" s="33" t="s">
        <v>104</v>
      </c>
      <c r="J169" s="33">
        <v>61968192</v>
      </c>
      <c r="K169" s="33" t="s">
        <v>3838</v>
      </c>
      <c r="L169" s="22" t="s">
        <v>3841</v>
      </c>
      <c r="M169" s="49">
        <v>99900</v>
      </c>
      <c r="N169" s="33" t="str">
        <f t="shared" si="33"/>
        <v>BXGY</v>
      </c>
      <c r="O169" s="34" t="str">
        <f t="shared" si="34"/>
        <v>B3 DISC 10%</v>
      </c>
      <c r="P169" s="33" t="str">
        <f t="shared" si="35"/>
        <v>BXGY</v>
      </c>
    </row>
    <row r="170" spans="1:16" x14ac:dyDescent="0.25">
      <c r="A170" s="33" t="str">
        <f t="shared" si="29"/>
        <v>2025 OCT - DEC B3D10</v>
      </c>
      <c r="B170" s="8">
        <f t="shared" si="30"/>
        <v>46099</v>
      </c>
      <c r="C170" s="8">
        <f t="shared" si="31"/>
        <v>46113</v>
      </c>
      <c r="D170" s="33">
        <f t="shared" si="32"/>
        <v>3272</v>
      </c>
      <c r="E170" s="33">
        <f t="shared" si="36"/>
        <v>336</v>
      </c>
      <c r="F170" s="33">
        <f t="shared" si="36"/>
        <v>4</v>
      </c>
      <c r="G170" s="33">
        <v>1</v>
      </c>
      <c r="H170" s="33">
        <v>81379</v>
      </c>
      <c r="I170" s="33" t="s">
        <v>104</v>
      </c>
      <c r="J170" s="33">
        <v>61968209</v>
      </c>
      <c r="K170" s="33" t="s">
        <v>3838</v>
      </c>
      <c r="L170" s="22" t="s">
        <v>3842</v>
      </c>
      <c r="M170" s="49">
        <v>99900</v>
      </c>
      <c r="N170" s="33" t="str">
        <f t="shared" si="33"/>
        <v>BXGY</v>
      </c>
      <c r="O170" s="34" t="str">
        <f t="shared" si="34"/>
        <v>B3 DISC 10%</v>
      </c>
      <c r="P170" s="33" t="str">
        <f t="shared" si="35"/>
        <v>BXGY</v>
      </c>
    </row>
    <row r="171" spans="1:16" x14ac:dyDescent="0.25">
      <c r="A171" s="33" t="str">
        <f t="shared" si="29"/>
        <v>2025 OCT - DEC B3D10</v>
      </c>
      <c r="B171" s="8">
        <f t="shared" si="30"/>
        <v>46099</v>
      </c>
      <c r="C171" s="8">
        <f t="shared" si="31"/>
        <v>46113</v>
      </c>
      <c r="D171" s="33">
        <f t="shared" si="32"/>
        <v>3272</v>
      </c>
      <c r="E171" s="33">
        <f t="shared" si="36"/>
        <v>336</v>
      </c>
      <c r="F171" s="33">
        <f t="shared" si="36"/>
        <v>4</v>
      </c>
      <c r="G171" s="33">
        <v>1</v>
      </c>
      <c r="H171" s="33">
        <v>81379</v>
      </c>
      <c r="I171" s="33" t="s">
        <v>104</v>
      </c>
      <c r="J171" s="33">
        <v>61968218</v>
      </c>
      <c r="K171" s="33" t="s">
        <v>3843</v>
      </c>
      <c r="L171" s="22" t="s">
        <v>3844</v>
      </c>
      <c r="M171" s="49">
        <v>99900</v>
      </c>
      <c r="N171" s="33" t="str">
        <f t="shared" si="33"/>
        <v>BXGY</v>
      </c>
      <c r="O171" s="34" t="str">
        <f t="shared" si="34"/>
        <v>B3 DISC 10%</v>
      </c>
      <c r="P171" s="33" t="str">
        <f t="shared" si="35"/>
        <v>BXGY</v>
      </c>
    </row>
    <row r="172" spans="1:16" x14ac:dyDescent="0.25">
      <c r="A172" s="33" t="str">
        <f t="shared" si="29"/>
        <v>2025 OCT - DEC B3D10</v>
      </c>
      <c r="B172" s="8">
        <f t="shared" si="30"/>
        <v>46099</v>
      </c>
      <c r="C172" s="8">
        <f t="shared" si="31"/>
        <v>46113</v>
      </c>
      <c r="D172" s="33">
        <f t="shared" si="32"/>
        <v>3272</v>
      </c>
      <c r="E172" s="33">
        <f t="shared" si="36"/>
        <v>336</v>
      </c>
      <c r="F172" s="33">
        <f t="shared" si="36"/>
        <v>4</v>
      </c>
      <c r="G172" s="33">
        <v>1</v>
      </c>
      <c r="H172" s="33">
        <v>81379</v>
      </c>
      <c r="I172" s="33" t="s">
        <v>104</v>
      </c>
      <c r="J172" s="33">
        <v>61968227</v>
      </c>
      <c r="K172" s="33" t="s">
        <v>3843</v>
      </c>
      <c r="L172" s="22" t="s">
        <v>3845</v>
      </c>
      <c r="M172" s="49">
        <v>99900</v>
      </c>
      <c r="N172" s="33" t="str">
        <f t="shared" si="33"/>
        <v>BXGY</v>
      </c>
      <c r="O172" s="34" t="str">
        <f t="shared" si="34"/>
        <v>B3 DISC 10%</v>
      </c>
      <c r="P172" s="33" t="str">
        <f t="shared" si="35"/>
        <v>BXGY</v>
      </c>
    </row>
    <row r="173" spans="1:16" x14ac:dyDescent="0.25">
      <c r="A173" s="33" t="str">
        <f t="shared" si="29"/>
        <v>2025 OCT - DEC B3D10</v>
      </c>
      <c r="B173" s="8">
        <f t="shared" si="30"/>
        <v>46099</v>
      </c>
      <c r="C173" s="8">
        <f t="shared" si="31"/>
        <v>46113</v>
      </c>
      <c r="D173" s="33">
        <f t="shared" si="32"/>
        <v>3272</v>
      </c>
      <c r="E173" s="33">
        <f t="shared" ref="E173:F204" si="37">E172</f>
        <v>336</v>
      </c>
      <c r="F173" s="33">
        <f t="shared" si="37"/>
        <v>4</v>
      </c>
      <c r="G173" s="33">
        <v>1</v>
      </c>
      <c r="H173" s="33">
        <v>81379</v>
      </c>
      <c r="I173" s="33" t="s">
        <v>104</v>
      </c>
      <c r="J173" s="33">
        <v>61968236</v>
      </c>
      <c r="K173" s="33" t="s">
        <v>3843</v>
      </c>
      <c r="L173" s="22" t="s">
        <v>3846</v>
      </c>
      <c r="M173" s="49">
        <v>99900</v>
      </c>
      <c r="N173" s="33" t="str">
        <f t="shared" si="33"/>
        <v>BXGY</v>
      </c>
      <c r="O173" s="34" t="str">
        <f t="shared" si="34"/>
        <v>B3 DISC 10%</v>
      </c>
      <c r="P173" s="33" t="str">
        <f t="shared" si="35"/>
        <v>BXGY</v>
      </c>
    </row>
    <row r="174" spans="1:16" x14ac:dyDescent="0.25">
      <c r="A174" s="33" t="str">
        <f t="shared" si="29"/>
        <v>2025 OCT - DEC B3D10</v>
      </c>
      <c r="B174" s="8">
        <f t="shared" si="30"/>
        <v>46099</v>
      </c>
      <c r="C174" s="8">
        <f t="shared" si="31"/>
        <v>46113</v>
      </c>
      <c r="D174" s="33">
        <f t="shared" si="32"/>
        <v>3272</v>
      </c>
      <c r="E174" s="33">
        <f t="shared" si="37"/>
        <v>336</v>
      </c>
      <c r="F174" s="33">
        <f t="shared" si="37"/>
        <v>4</v>
      </c>
      <c r="G174" s="33">
        <v>1</v>
      </c>
      <c r="H174" s="33">
        <v>81379</v>
      </c>
      <c r="I174" s="33" t="s">
        <v>104</v>
      </c>
      <c r="J174" s="33">
        <v>61968245</v>
      </c>
      <c r="K174" s="33" t="s">
        <v>3843</v>
      </c>
      <c r="L174" s="22" t="s">
        <v>3847</v>
      </c>
      <c r="M174" s="49">
        <v>99900</v>
      </c>
      <c r="N174" s="33" t="str">
        <f t="shared" si="33"/>
        <v>BXGY</v>
      </c>
      <c r="O174" s="34" t="str">
        <f t="shared" si="34"/>
        <v>B3 DISC 10%</v>
      </c>
      <c r="P174" s="33" t="str">
        <f t="shared" si="35"/>
        <v>BXGY</v>
      </c>
    </row>
    <row r="175" spans="1:16" x14ac:dyDescent="0.25">
      <c r="A175" s="33" t="str">
        <f t="shared" si="29"/>
        <v>2025 OCT - DEC B3D10</v>
      </c>
      <c r="B175" s="8">
        <f t="shared" si="30"/>
        <v>46099</v>
      </c>
      <c r="C175" s="8">
        <f t="shared" si="31"/>
        <v>46113</v>
      </c>
      <c r="D175" s="33">
        <f t="shared" si="32"/>
        <v>3272</v>
      </c>
      <c r="E175" s="33">
        <f t="shared" si="37"/>
        <v>336</v>
      </c>
      <c r="F175" s="33">
        <f t="shared" si="37"/>
        <v>4</v>
      </c>
      <c r="G175" s="33">
        <v>1</v>
      </c>
      <c r="H175" s="33">
        <v>81379</v>
      </c>
      <c r="I175" s="33" t="s">
        <v>104</v>
      </c>
      <c r="J175" s="33">
        <v>61968254</v>
      </c>
      <c r="K175" s="33" t="s">
        <v>3848</v>
      </c>
      <c r="L175" s="22" t="s">
        <v>3849</v>
      </c>
      <c r="M175" s="49">
        <v>99900</v>
      </c>
      <c r="N175" s="33" t="str">
        <f t="shared" si="33"/>
        <v>BXGY</v>
      </c>
      <c r="O175" s="34" t="str">
        <f t="shared" si="34"/>
        <v>B3 DISC 10%</v>
      </c>
      <c r="P175" s="33" t="str">
        <f t="shared" si="35"/>
        <v>BXGY</v>
      </c>
    </row>
    <row r="176" spans="1:16" x14ac:dyDescent="0.25">
      <c r="A176" s="33" t="str">
        <f t="shared" si="29"/>
        <v>2025 OCT - DEC B3D10</v>
      </c>
      <c r="B176" s="8">
        <f t="shared" si="30"/>
        <v>46099</v>
      </c>
      <c r="C176" s="8">
        <f t="shared" si="31"/>
        <v>46113</v>
      </c>
      <c r="D176" s="33">
        <f t="shared" si="32"/>
        <v>3272</v>
      </c>
      <c r="E176" s="33">
        <f t="shared" si="37"/>
        <v>336</v>
      </c>
      <c r="F176" s="33">
        <f t="shared" si="37"/>
        <v>4</v>
      </c>
      <c r="G176" s="33">
        <v>1</v>
      </c>
      <c r="H176" s="33">
        <v>81379</v>
      </c>
      <c r="I176" s="33" t="s">
        <v>104</v>
      </c>
      <c r="J176" s="33">
        <v>61968263</v>
      </c>
      <c r="K176" s="33" t="s">
        <v>3848</v>
      </c>
      <c r="L176" s="22" t="s">
        <v>3850</v>
      </c>
      <c r="M176" s="49">
        <v>99900</v>
      </c>
      <c r="N176" s="33" t="str">
        <f t="shared" si="33"/>
        <v>BXGY</v>
      </c>
      <c r="O176" s="34" t="str">
        <f t="shared" si="34"/>
        <v>B3 DISC 10%</v>
      </c>
      <c r="P176" s="33" t="str">
        <f t="shared" si="35"/>
        <v>BXGY</v>
      </c>
    </row>
    <row r="177" spans="1:16" x14ac:dyDescent="0.25">
      <c r="A177" s="33" t="str">
        <f t="shared" si="29"/>
        <v>2025 OCT - DEC B3D10</v>
      </c>
      <c r="B177" s="8">
        <f t="shared" si="30"/>
        <v>46099</v>
      </c>
      <c r="C177" s="8">
        <f t="shared" si="31"/>
        <v>46113</v>
      </c>
      <c r="D177" s="33">
        <f t="shared" si="32"/>
        <v>3272</v>
      </c>
      <c r="E177" s="33">
        <f t="shared" si="37"/>
        <v>336</v>
      </c>
      <c r="F177" s="33">
        <f t="shared" si="37"/>
        <v>4</v>
      </c>
      <c r="G177" s="33">
        <v>1</v>
      </c>
      <c r="H177" s="33">
        <v>81379</v>
      </c>
      <c r="I177" s="33" t="s">
        <v>104</v>
      </c>
      <c r="J177" s="33">
        <v>61968272</v>
      </c>
      <c r="K177" s="33" t="s">
        <v>3848</v>
      </c>
      <c r="L177" s="22" t="s">
        <v>3851</v>
      </c>
      <c r="M177" s="49">
        <v>99900</v>
      </c>
      <c r="N177" s="33" t="str">
        <f t="shared" si="33"/>
        <v>BXGY</v>
      </c>
      <c r="O177" s="34" t="str">
        <f t="shared" si="34"/>
        <v>B3 DISC 10%</v>
      </c>
      <c r="P177" s="33" t="str">
        <f t="shared" si="35"/>
        <v>BXGY</v>
      </c>
    </row>
    <row r="178" spans="1:16" x14ac:dyDescent="0.25">
      <c r="A178" s="33" t="str">
        <f t="shared" si="29"/>
        <v>2025 OCT - DEC B3D10</v>
      </c>
      <c r="B178" s="8">
        <f t="shared" si="30"/>
        <v>46099</v>
      </c>
      <c r="C178" s="8">
        <f t="shared" si="31"/>
        <v>46113</v>
      </c>
      <c r="D178" s="33">
        <f t="shared" si="32"/>
        <v>3272</v>
      </c>
      <c r="E178" s="33">
        <f t="shared" si="37"/>
        <v>336</v>
      </c>
      <c r="F178" s="33">
        <f t="shared" si="37"/>
        <v>4</v>
      </c>
      <c r="G178" s="33">
        <v>1</v>
      </c>
      <c r="H178" s="33">
        <v>81379</v>
      </c>
      <c r="I178" s="33" t="s">
        <v>104</v>
      </c>
      <c r="J178" s="33">
        <v>61968281</v>
      </c>
      <c r="K178" s="33" t="s">
        <v>3848</v>
      </c>
      <c r="L178" s="22" t="s">
        <v>3852</v>
      </c>
      <c r="M178" s="49">
        <v>99900</v>
      </c>
      <c r="N178" s="33" t="str">
        <f t="shared" si="33"/>
        <v>BXGY</v>
      </c>
      <c r="O178" s="34" t="str">
        <f t="shared" si="34"/>
        <v>B3 DISC 10%</v>
      </c>
      <c r="P178" s="33" t="str">
        <f t="shared" si="35"/>
        <v>BXGY</v>
      </c>
    </row>
    <row r="179" spans="1:16" x14ac:dyDescent="0.25">
      <c r="A179" s="33" t="str">
        <f t="shared" si="29"/>
        <v>2025 OCT - DEC B3D10</v>
      </c>
      <c r="B179" s="8">
        <f t="shared" si="30"/>
        <v>46099</v>
      </c>
      <c r="C179" s="8">
        <f t="shared" si="31"/>
        <v>46113</v>
      </c>
      <c r="D179" s="33">
        <f t="shared" si="32"/>
        <v>3272</v>
      </c>
      <c r="E179" s="33">
        <f t="shared" si="37"/>
        <v>336</v>
      </c>
      <c r="F179" s="33">
        <f t="shared" si="37"/>
        <v>4</v>
      </c>
      <c r="G179" s="33">
        <v>1</v>
      </c>
      <c r="H179" s="33">
        <v>81379</v>
      </c>
      <c r="I179" s="33" t="s">
        <v>104</v>
      </c>
      <c r="J179" s="33">
        <v>61968478</v>
      </c>
      <c r="K179" s="33" t="s">
        <v>3853</v>
      </c>
      <c r="L179" s="22" t="s">
        <v>3854</v>
      </c>
      <c r="M179" s="49">
        <v>99900</v>
      </c>
      <c r="N179" s="33" t="str">
        <f t="shared" si="33"/>
        <v>BXGY</v>
      </c>
      <c r="O179" s="34" t="str">
        <f t="shared" si="34"/>
        <v>B3 DISC 10%</v>
      </c>
      <c r="P179" s="33" t="str">
        <f t="shared" si="35"/>
        <v>BXGY</v>
      </c>
    </row>
    <row r="180" spans="1:16" x14ac:dyDescent="0.25">
      <c r="A180" s="33" t="str">
        <f t="shared" si="29"/>
        <v>2025 OCT - DEC B3D10</v>
      </c>
      <c r="B180" s="8">
        <f t="shared" si="30"/>
        <v>46099</v>
      </c>
      <c r="C180" s="8">
        <f t="shared" si="31"/>
        <v>46113</v>
      </c>
      <c r="D180" s="33">
        <f t="shared" si="32"/>
        <v>3272</v>
      </c>
      <c r="E180" s="33">
        <f t="shared" si="37"/>
        <v>336</v>
      </c>
      <c r="F180" s="33">
        <f t="shared" si="37"/>
        <v>4</v>
      </c>
      <c r="G180" s="33">
        <v>1</v>
      </c>
      <c r="H180" s="33">
        <v>81379</v>
      </c>
      <c r="I180" s="33" t="s">
        <v>104</v>
      </c>
      <c r="J180" s="33">
        <v>61968487</v>
      </c>
      <c r="K180" s="33" t="s">
        <v>3853</v>
      </c>
      <c r="L180" s="22" t="s">
        <v>3855</v>
      </c>
      <c r="M180" s="49">
        <v>99900</v>
      </c>
      <c r="N180" s="33" t="str">
        <f t="shared" si="33"/>
        <v>BXGY</v>
      </c>
      <c r="O180" s="34" t="str">
        <f t="shared" si="34"/>
        <v>B3 DISC 10%</v>
      </c>
      <c r="P180" s="33" t="str">
        <f t="shared" si="35"/>
        <v>BXGY</v>
      </c>
    </row>
    <row r="181" spans="1:16" x14ac:dyDescent="0.25">
      <c r="A181" s="33" t="str">
        <f t="shared" si="29"/>
        <v>2025 OCT - DEC B3D10</v>
      </c>
      <c r="B181" s="8">
        <f t="shared" si="30"/>
        <v>46099</v>
      </c>
      <c r="C181" s="8">
        <f t="shared" si="31"/>
        <v>46113</v>
      </c>
      <c r="D181" s="33">
        <f t="shared" si="32"/>
        <v>3272</v>
      </c>
      <c r="E181" s="33">
        <f t="shared" si="37"/>
        <v>336</v>
      </c>
      <c r="F181" s="33">
        <f t="shared" si="37"/>
        <v>4</v>
      </c>
      <c r="G181" s="33">
        <v>1</v>
      </c>
      <c r="H181" s="33">
        <v>81379</v>
      </c>
      <c r="I181" s="33" t="s">
        <v>104</v>
      </c>
      <c r="J181" s="33">
        <v>61968496</v>
      </c>
      <c r="K181" s="33" t="s">
        <v>3853</v>
      </c>
      <c r="L181" s="22" t="s">
        <v>3856</v>
      </c>
      <c r="M181" s="49">
        <v>99900</v>
      </c>
      <c r="N181" s="33" t="str">
        <f t="shared" si="33"/>
        <v>BXGY</v>
      </c>
      <c r="O181" s="34" t="str">
        <f t="shared" si="34"/>
        <v>B3 DISC 10%</v>
      </c>
      <c r="P181" s="33" t="str">
        <f t="shared" si="35"/>
        <v>BXGY</v>
      </c>
    </row>
    <row r="182" spans="1:16" x14ac:dyDescent="0.25">
      <c r="A182" s="33" t="str">
        <f t="shared" si="29"/>
        <v>2025 OCT - DEC B3D10</v>
      </c>
      <c r="B182" s="8">
        <f t="shared" si="30"/>
        <v>46099</v>
      </c>
      <c r="C182" s="8">
        <f t="shared" si="31"/>
        <v>46113</v>
      </c>
      <c r="D182" s="33">
        <f t="shared" si="32"/>
        <v>3272</v>
      </c>
      <c r="E182" s="33">
        <f t="shared" si="37"/>
        <v>336</v>
      </c>
      <c r="F182" s="33">
        <f t="shared" si="37"/>
        <v>4</v>
      </c>
      <c r="G182" s="33">
        <v>1</v>
      </c>
      <c r="H182" s="33">
        <v>81379</v>
      </c>
      <c r="I182" s="33" t="s">
        <v>104</v>
      </c>
      <c r="J182" s="33">
        <v>61968503</v>
      </c>
      <c r="K182" s="33" t="s">
        <v>3853</v>
      </c>
      <c r="L182" s="22" t="s">
        <v>3857</v>
      </c>
      <c r="M182" s="49">
        <v>99900</v>
      </c>
      <c r="N182" s="33" t="str">
        <f t="shared" si="33"/>
        <v>BXGY</v>
      </c>
      <c r="O182" s="34" t="str">
        <f t="shared" si="34"/>
        <v>B3 DISC 10%</v>
      </c>
      <c r="P182" s="33" t="str">
        <f t="shared" si="35"/>
        <v>BXGY</v>
      </c>
    </row>
    <row r="183" spans="1:16" x14ac:dyDescent="0.25">
      <c r="A183" s="33" t="str">
        <f t="shared" si="29"/>
        <v>2025 OCT - DEC B3D10</v>
      </c>
      <c r="B183" s="8">
        <f t="shared" si="30"/>
        <v>46099</v>
      </c>
      <c r="C183" s="8">
        <f t="shared" si="31"/>
        <v>46113</v>
      </c>
      <c r="D183" s="33">
        <f t="shared" si="32"/>
        <v>3272</v>
      </c>
      <c r="E183" s="33">
        <f t="shared" si="37"/>
        <v>336</v>
      </c>
      <c r="F183" s="33">
        <f t="shared" si="37"/>
        <v>4</v>
      </c>
      <c r="G183" s="33">
        <v>1</v>
      </c>
      <c r="H183" s="33">
        <v>81379</v>
      </c>
      <c r="I183" s="33" t="s">
        <v>104</v>
      </c>
      <c r="J183" s="33">
        <v>61968512</v>
      </c>
      <c r="K183" s="33" t="s">
        <v>3853</v>
      </c>
      <c r="L183" s="22" t="s">
        <v>3858</v>
      </c>
      <c r="M183" s="49">
        <v>99900</v>
      </c>
      <c r="N183" s="33" t="str">
        <f t="shared" si="33"/>
        <v>BXGY</v>
      </c>
      <c r="O183" s="34" t="str">
        <f t="shared" si="34"/>
        <v>B3 DISC 10%</v>
      </c>
      <c r="P183" s="33" t="str">
        <f t="shared" si="35"/>
        <v>BXGY</v>
      </c>
    </row>
    <row r="184" spans="1:16" x14ac:dyDescent="0.25">
      <c r="A184" s="33" t="str">
        <f t="shared" si="29"/>
        <v>2025 OCT - DEC B3D10</v>
      </c>
      <c r="B184" s="8">
        <f t="shared" si="30"/>
        <v>46099</v>
      </c>
      <c r="C184" s="8">
        <f t="shared" si="31"/>
        <v>46113</v>
      </c>
      <c r="D184" s="33">
        <f t="shared" si="32"/>
        <v>3272</v>
      </c>
      <c r="E184" s="33">
        <f t="shared" si="37"/>
        <v>336</v>
      </c>
      <c r="F184" s="33">
        <f t="shared" si="37"/>
        <v>4</v>
      </c>
      <c r="G184" s="33">
        <v>1</v>
      </c>
      <c r="H184" s="33">
        <v>81379</v>
      </c>
      <c r="I184" s="33" t="s">
        <v>104</v>
      </c>
      <c r="J184" s="33">
        <v>61968521</v>
      </c>
      <c r="K184" s="33" t="s">
        <v>3853</v>
      </c>
      <c r="L184" s="22" t="s">
        <v>3859</v>
      </c>
      <c r="M184" s="49">
        <v>99900</v>
      </c>
      <c r="N184" s="33" t="str">
        <f t="shared" si="33"/>
        <v>BXGY</v>
      </c>
      <c r="O184" s="34" t="str">
        <f t="shared" si="34"/>
        <v>B3 DISC 10%</v>
      </c>
      <c r="P184" s="33" t="str">
        <f t="shared" si="35"/>
        <v>BXGY</v>
      </c>
    </row>
    <row r="185" spans="1:16" x14ac:dyDescent="0.25">
      <c r="A185" s="33" t="str">
        <f t="shared" si="29"/>
        <v>2025 OCT - DEC B3D10</v>
      </c>
      <c r="B185" s="8">
        <f t="shared" si="30"/>
        <v>46099</v>
      </c>
      <c r="C185" s="8">
        <f t="shared" si="31"/>
        <v>46113</v>
      </c>
      <c r="D185" s="33">
        <f t="shared" si="32"/>
        <v>3272</v>
      </c>
      <c r="E185" s="33">
        <f t="shared" si="37"/>
        <v>336</v>
      </c>
      <c r="F185" s="33">
        <f t="shared" si="37"/>
        <v>4</v>
      </c>
      <c r="G185" s="33">
        <v>1</v>
      </c>
      <c r="H185" s="33">
        <v>81379</v>
      </c>
      <c r="I185" s="33" t="s">
        <v>104</v>
      </c>
      <c r="J185" s="33">
        <v>61968530</v>
      </c>
      <c r="K185" s="33" t="s">
        <v>3853</v>
      </c>
      <c r="L185" s="22" t="s">
        <v>3860</v>
      </c>
      <c r="M185" s="49">
        <v>99900</v>
      </c>
      <c r="N185" s="33" t="str">
        <f t="shared" si="33"/>
        <v>BXGY</v>
      </c>
      <c r="O185" s="34" t="str">
        <f t="shared" si="34"/>
        <v>B3 DISC 10%</v>
      </c>
      <c r="P185" s="33" t="str">
        <f t="shared" si="35"/>
        <v>BXGY</v>
      </c>
    </row>
    <row r="186" spans="1:16" x14ac:dyDescent="0.25">
      <c r="A186" s="33" t="str">
        <f t="shared" si="29"/>
        <v>2025 OCT - DEC B3D10</v>
      </c>
      <c r="B186" s="8">
        <f t="shared" si="30"/>
        <v>46099</v>
      </c>
      <c r="C186" s="8">
        <f t="shared" si="31"/>
        <v>46113</v>
      </c>
      <c r="D186" s="33">
        <f t="shared" si="32"/>
        <v>3272</v>
      </c>
      <c r="E186" s="33">
        <f t="shared" si="37"/>
        <v>336</v>
      </c>
      <c r="F186" s="33">
        <f t="shared" si="37"/>
        <v>4</v>
      </c>
      <c r="G186" s="33">
        <v>1</v>
      </c>
      <c r="H186" s="33">
        <v>81379</v>
      </c>
      <c r="I186" s="33" t="s">
        <v>104</v>
      </c>
      <c r="J186" s="33">
        <v>61968549</v>
      </c>
      <c r="K186" s="33" t="s">
        <v>3861</v>
      </c>
      <c r="L186" s="22" t="s">
        <v>3862</v>
      </c>
      <c r="M186" s="49">
        <v>99900</v>
      </c>
      <c r="N186" s="33" t="str">
        <f t="shared" si="33"/>
        <v>BXGY</v>
      </c>
      <c r="O186" s="34" t="str">
        <f t="shared" si="34"/>
        <v>B3 DISC 10%</v>
      </c>
      <c r="P186" s="33" t="str">
        <f t="shared" si="35"/>
        <v>BXGY</v>
      </c>
    </row>
    <row r="187" spans="1:16" x14ac:dyDescent="0.25">
      <c r="A187" s="33" t="str">
        <f t="shared" si="29"/>
        <v>2025 OCT - DEC B3D10</v>
      </c>
      <c r="B187" s="8">
        <f t="shared" si="30"/>
        <v>46099</v>
      </c>
      <c r="C187" s="8">
        <f t="shared" si="31"/>
        <v>46113</v>
      </c>
      <c r="D187" s="33">
        <f t="shared" si="32"/>
        <v>3272</v>
      </c>
      <c r="E187" s="33">
        <f t="shared" si="37"/>
        <v>336</v>
      </c>
      <c r="F187" s="33">
        <f t="shared" si="37"/>
        <v>4</v>
      </c>
      <c r="G187" s="33">
        <v>1</v>
      </c>
      <c r="H187" s="33">
        <v>81379</v>
      </c>
      <c r="I187" s="33" t="s">
        <v>104</v>
      </c>
      <c r="J187" s="33">
        <v>61968558</v>
      </c>
      <c r="K187" s="33" t="s">
        <v>3861</v>
      </c>
      <c r="L187" s="22" t="s">
        <v>3863</v>
      </c>
      <c r="M187" s="49">
        <v>99900</v>
      </c>
      <c r="N187" s="33" t="str">
        <f t="shared" si="33"/>
        <v>BXGY</v>
      </c>
      <c r="O187" s="34" t="str">
        <f t="shared" si="34"/>
        <v>B3 DISC 10%</v>
      </c>
      <c r="P187" s="33" t="str">
        <f t="shared" si="35"/>
        <v>BXGY</v>
      </c>
    </row>
    <row r="188" spans="1:16" x14ac:dyDescent="0.25">
      <c r="A188" s="33" t="str">
        <f t="shared" si="29"/>
        <v>2025 OCT - DEC B3D10</v>
      </c>
      <c r="B188" s="8">
        <f t="shared" si="30"/>
        <v>46099</v>
      </c>
      <c r="C188" s="8">
        <f t="shared" si="31"/>
        <v>46113</v>
      </c>
      <c r="D188" s="33">
        <f t="shared" si="32"/>
        <v>3272</v>
      </c>
      <c r="E188" s="33">
        <f t="shared" si="37"/>
        <v>336</v>
      </c>
      <c r="F188" s="33">
        <f t="shared" si="37"/>
        <v>4</v>
      </c>
      <c r="G188" s="33">
        <v>1</v>
      </c>
      <c r="H188" s="33">
        <v>81379</v>
      </c>
      <c r="I188" s="33" t="s">
        <v>104</v>
      </c>
      <c r="J188" s="33">
        <v>61968567</v>
      </c>
      <c r="K188" s="33" t="s">
        <v>3861</v>
      </c>
      <c r="L188" s="22" t="s">
        <v>3864</v>
      </c>
      <c r="M188" s="49">
        <v>99900</v>
      </c>
      <c r="N188" s="33" t="str">
        <f t="shared" si="33"/>
        <v>BXGY</v>
      </c>
      <c r="O188" s="34" t="str">
        <f t="shared" si="34"/>
        <v>B3 DISC 10%</v>
      </c>
      <c r="P188" s="33" t="str">
        <f t="shared" si="35"/>
        <v>BXGY</v>
      </c>
    </row>
    <row r="189" spans="1:16" x14ac:dyDescent="0.25">
      <c r="A189" s="33" t="str">
        <f t="shared" si="29"/>
        <v>2025 OCT - DEC B3D10</v>
      </c>
      <c r="B189" s="8">
        <f t="shared" si="30"/>
        <v>46099</v>
      </c>
      <c r="C189" s="8">
        <f t="shared" si="31"/>
        <v>46113</v>
      </c>
      <c r="D189" s="33">
        <f t="shared" si="32"/>
        <v>3272</v>
      </c>
      <c r="E189" s="33">
        <f t="shared" si="37"/>
        <v>336</v>
      </c>
      <c r="F189" s="33">
        <f t="shared" si="37"/>
        <v>4</v>
      </c>
      <c r="G189" s="33">
        <v>1</v>
      </c>
      <c r="H189" s="33">
        <v>81379</v>
      </c>
      <c r="I189" s="33" t="s">
        <v>104</v>
      </c>
      <c r="J189" s="33">
        <v>61968576</v>
      </c>
      <c r="K189" s="33" t="s">
        <v>3861</v>
      </c>
      <c r="L189" s="22" t="s">
        <v>3865</v>
      </c>
      <c r="M189" s="49">
        <v>99900</v>
      </c>
      <c r="N189" s="33" t="str">
        <f t="shared" si="33"/>
        <v>BXGY</v>
      </c>
      <c r="O189" s="34" t="str">
        <f t="shared" si="34"/>
        <v>B3 DISC 10%</v>
      </c>
      <c r="P189" s="33" t="str">
        <f t="shared" si="35"/>
        <v>BXGY</v>
      </c>
    </row>
    <row r="190" spans="1:16" x14ac:dyDescent="0.25">
      <c r="A190" s="33" t="str">
        <f t="shared" si="29"/>
        <v>2025 OCT - DEC B3D10</v>
      </c>
      <c r="B190" s="8">
        <f t="shared" si="30"/>
        <v>46099</v>
      </c>
      <c r="C190" s="8">
        <f t="shared" si="31"/>
        <v>46113</v>
      </c>
      <c r="D190" s="33">
        <f t="shared" si="32"/>
        <v>3272</v>
      </c>
      <c r="E190" s="33">
        <f t="shared" si="37"/>
        <v>336</v>
      </c>
      <c r="F190" s="33">
        <f t="shared" si="37"/>
        <v>4</v>
      </c>
      <c r="G190" s="33">
        <v>1</v>
      </c>
      <c r="H190" s="33">
        <v>81379</v>
      </c>
      <c r="I190" s="33" t="s">
        <v>104</v>
      </c>
      <c r="J190" s="33">
        <v>61968585</v>
      </c>
      <c r="K190" s="33" t="s">
        <v>3861</v>
      </c>
      <c r="L190" s="22" t="s">
        <v>3866</v>
      </c>
      <c r="M190" s="49">
        <v>99900</v>
      </c>
      <c r="N190" s="33" t="str">
        <f t="shared" si="33"/>
        <v>BXGY</v>
      </c>
      <c r="O190" s="34" t="str">
        <f t="shared" si="34"/>
        <v>B3 DISC 10%</v>
      </c>
      <c r="P190" s="33" t="str">
        <f t="shared" si="35"/>
        <v>BXGY</v>
      </c>
    </row>
    <row r="191" spans="1:16" x14ac:dyDescent="0.25">
      <c r="A191" s="33" t="str">
        <f t="shared" si="29"/>
        <v>2025 OCT - DEC B3D10</v>
      </c>
      <c r="B191" s="8">
        <f t="shared" si="30"/>
        <v>46099</v>
      </c>
      <c r="C191" s="8">
        <f t="shared" si="31"/>
        <v>46113</v>
      </c>
      <c r="D191" s="33">
        <f t="shared" si="32"/>
        <v>3272</v>
      </c>
      <c r="E191" s="33">
        <f t="shared" si="37"/>
        <v>336</v>
      </c>
      <c r="F191" s="33">
        <f t="shared" si="37"/>
        <v>4</v>
      </c>
      <c r="G191" s="33">
        <v>1</v>
      </c>
      <c r="H191" s="33">
        <v>81379</v>
      </c>
      <c r="I191" s="33" t="s">
        <v>104</v>
      </c>
      <c r="J191" s="33">
        <v>61968594</v>
      </c>
      <c r="K191" s="33" t="s">
        <v>3861</v>
      </c>
      <c r="L191" s="22" t="s">
        <v>3867</v>
      </c>
      <c r="M191" s="49">
        <v>99900</v>
      </c>
      <c r="N191" s="33" t="str">
        <f t="shared" si="33"/>
        <v>BXGY</v>
      </c>
      <c r="O191" s="34" t="str">
        <f t="shared" si="34"/>
        <v>B3 DISC 10%</v>
      </c>
      <c r="P191" s="33" t="str">
        <f t="shared" si="35"/>
        <v>BXGY</v>
      </c>
    </row>
    <row r="192" spans="1:16" x14ac:dyDescent="0.25">
      <c r="A192" s="33" t="str">
        <f t="shared" si="29"/>
        <v>2025 OCT - DEC B3D10</v>
      </c>
      <c r="B192" s="8">
        <f t="shared" si="30"/>
        <v>46099</v>
      </c>
      <c r="C192" s="8">
        <f t="shared" si="31"/>
        <v>46113</v>
      </c>
      <c r="D192" s="33">
        <f t="shared" si="32"/>
        <v>3272</v>
      </c>
      <c r="E192" s="33">
        <f t="shared" si="37"/>
        <v>336</v>
      </c>
      <c r="F192" s="33">
        <f t="shared" si="37"/>
        <v>4</v>
      </c>
      <c r="G192" s="33">
        <v>1</v>
      </c>
      <c r="H192" s="33">
        <v>81379</v>
      </c>
      <c r="I192" s="33" t="s">
        <v>104</v>
      </c>
      <c r="J192" s="33">
        <v>61968601</v>
      </c>
      <c r="K192" s="33" t="s">
        <v>3861</v>
      </c>
      <c r="L192" s="22" t="s">
        <v>3868</v>
      </c>
      <c r="M192" s="49">
        <v>99900</v>
      </c>
      <c r="N192" s="33" t="str">
        <f t="shared" si="33"/>
        <v>BXGY</v>
      </c>
      <c r="O192" s="34" t="str">
        <f t="shared" si="34"/>
        <v>B3 DISC 10%</v>
      </c>
      <c r="P192" s="33" t="str">
        <f t="shared" si="35"/>
        <v>BXGY</v>
      </c>
    </row>
    <row r="193" spans="1:16" x14ac:dyDescent="0.25">
      <c r="A193" s="33" t="str">
        <f t="shared" si="29"/>
        <v>2025 OCT - DEC B3D10</v>
      </c>
      <c r="B193" s="8">
        <f t="shared" si="30"/>
        <v>46099</v>
      </c>
      <c r="C193" s="8">
        <f t="shared" si="31"/>
        <v>46113</v>
      </c>
      <c r="D193" s="33">
        <f t="shared" si="32"/>
        <v>3272</v>
      </c>
      <c r="E193" s="33">
        <f t="shared" si="37"/>
        <v>336</v>
      </c>
      <c r="F193" s="33">
        <f t="shared" si="37"/>
        <v>4</v>
      </c>
      <c r="G193" s="33">
        <v>1</v>
      </c>
      <c r="H193" s="33">
        <v>81379</v>
      </c>
      <c r="I193" s="33" t="s">
        <v>104</v>
      </c>
      <c r="J193" s="33">
        <v>61968683</v>
      </c>
      <c r="K193" s="33" t="s">
        <v>3869</v>
      </c>
      <c r="L193" s="22" t="s">
        <v>3870</v>
      </c>
      <c r="M193" s="49">
        <v>99900</v>
      </c>
      <c r="N193" s="33" t="str">
        <f t="shared" si="33"/>
        <v>BXGY</v>
      </c>
      <c r="O193" s="34" t="str">
        <f t="shared" si="34"/>
        <v>B3 DISC 10%</v>
      </c>
      <c r="P193" s="33" t="str">
        <f t="shared" si="35"/>
        <v>BXGY</v>
      </c>
    </row>
    <row r="194" spans="1:16" x14ac:dyDescent="0.25">
      <c r="A194" s="33" t="str">
        <f t="shared" si="29"/>
        <v>2025 OCT - DEC B3D10</v>
      </c>
      <c r="B194" s="8">
        <f t="shared" si="30"/>
        <v>46099</v>
      </c>
      <c r="C194" s="8">
        <f t="shared" si="31"/>
        <v>46113</v>
      </c>
      <c r="D194" s="33">
        <f t="shared" si="32"/>
        <v>3272</v>
      </c>
      <c r="E194" s="33">
        <f t="shared" si="37"/>
        <v>336</v>
      </c>
      <c r="F194" s="33">
        <f t="shared" si="37"/>
        <v>4</v>
      </c>
      <c r="G194" s="33">
        <v>1</v>
      </c>
      <c r="H194" s="33">
        <v>81379</v>
      </c>
      <c r="I194" s="33" t="s">
        <v>104</v>
      </c>
      <c r="J194" s="33">
        <v>61968692</v>
      </c>
      <c r="K194" s="33" t="s">
        <v>3869</v>
      </c>
      <c r="L194" s="22" t="s">
        <v>3871</v>
      </c>
      <c r="M194" s="49">
        <v>99900</v>
      </c>
      <c r="N194" s="33" t="str">
        <f t="shared" si="33"/>
        <v>BXGY</v>
      </c>
      <c r="O194" s="34" t="str">
        <f t="shared" si="34"/>
        <v>B3 DISC 10%</v>
      </c>
      <c r="P194" s="33" t="str">
        <f t="shared" si="35"/>
        <v>BXGY</v>
      </c>
    </row>
    <row r="195" spans="1:16" x14ac:dyDescent="0.25">
      <c r="A195" s="33" t="str">
        <f t="shared" si="29"/>
        <v>2025 OCT - DEC B3D10</v>
      </c>
      <c r="B195" s="8">
        <f t="shared" si="30"/>
        <v>46099</v>
      </c>
      <c r="C195" s="8">
        <f t="shared" si="31"/>
        <v>46113</v>
      </c>
      <c r="D195" s="33">
        <f t="shared" si="32"/>
        <v>3272</v>
      </c>
      <c r="E195" s="33">
        <f t="shared" si="37"/>
        <v>336</v>
      </c>
      <c r="F195" s="33">
        <f t="shared" si="37"/>
        <v>4</v>
      </c>
      <c r="G195" s="33">
        <v>1</v>
      </c>
      <c r="H195" s="33">
        <v>81379</v>
      </c>
      <c r="I195" s="33" t="s">
        <v>104</v>
      </c>
      <c r="J195" s="33">
        <v>61968709</v>
      </c>
      <c r="K195" s="33" t="s">
        <v>3869</v>
      </c>
      <c r="L195" s="22" t="s">
        <v>3872</v>
      </c>
      <c r="M195" s="49">
        <v>99900</v>
      </c>
      <c r="N195" s="33" t="str">
        <f t="shared" si="33"/>
        <v>BXGY</v>
      </c>
      <c r="O195" s="34" t="str">
        <f t="shared" si="34"/>
        <v>B3 DISC 10%</v>
      </c>
      <c r="P195" s="33" t="str">
        <f t="shared" si="35"/>
        <v>BXGY</v>
      </c>
    </row>
    <row r="196" spans="1:16" x14ac:dyDescent="0.25">
      <c r="A196" s="33" t="str">
        <f t="shared" ref="A196:A258" si="38">A195</f>
        <v>2025 OCT - DEC B3D10</v>
      </c>
      <c r="B196" s="8">
        <f t="shared" ref="B196:B258" si="39">B195</f>
        <v>46099</v>
      </c>
      <c r="C196" s="8">
        <f t="shared" ref="C196:C258" si="40">C195</f>
        <v>46113</v>
      </c>
      <c r="D196" s="33">
        <f t="shared" ref="D196:D258" si="41">D195</f>
        <v>3272</v>
      </c>
      <c r="E196" s="33">
        <f t="shared" si="37"/>
        <v>336</v>
      </c>
      <c r="F196" s="33">
        <f t="shared" si="37"/>
        <v>4</v>
      </c>
      <c r="G196" s="33">
        <v>1</v>
      </c>
      <c r="H196" s="33">
        <v>81379</v>
      </c>
      <c r="I196" s="33" t="s">
        <v>104</v>
      </c>
      <c r="J196" s="33">
        <v>61968718</v>
      </c>
      <c r="K196" s="33" t="s">
        <v>3869</v>
      </c>
      <c r="L196" s="22" t="s">
        <v>3873</v>
      </c>
      <c r="M196" s="49">
        <v>99900</v>
      </c>
      <c r="N196" s="33" t="str">
        <f t="shared" ref="N196:N258" si="42">N195</f>
        <v>BXGY</v>
      </c>
      <c r="O196" s="34" t="str">
        <f t="shared" ref="O196:O258" si="43">O195</f>
        <v>B3 DISC 10%</v>
      </c>
      <c r="P196" s="33" t="str">
        <f t="shared" ref="P196:P258" si="44">P195</f>
        <v>BXGY</v>
      </c>
    </row>
    <row r="197" spans="1:16" x14ac:dyDescent="0.25">
      <c r="A197" s="33" t="str">
        <f t="shared" si="38"/>
        <v>2025 OCT - DEC B3D10</v>
      </c>
      <c r="B197" s="8">
        <f t="shared" si="39"/>
        <v>46099</v>
      </c>
      <c r="C197" s="8">
        <f t="shared" si="40"/>
        <v>46113</v>
      </c>
      <c r="D197" s="33">
        <f t="shared" si="41"/>
        <v>3272</v>
      </c>
      <c r="E197" s="33">
        <f t="shared" si="37"/>
        <v>336</v>
      </c>
      <c r="F197" s="33">
        <f t="shared" si="37"/>
        <v>4</v>
      </c>
      <c r="G197" s="33">
        <v>1</v>
      </c>
      <c r="H197" s="33">
        <v>81379</v>
      </c>
      <c r="I197" s="33" t="s">
        <v>104</v>
      </c>
      <c r="J197" s="33">
        <v>61968727</v>
      </c>
      <c r="K197" s="33" t="s">
        <v>3869</v>
      </c>
      <c r="L197" s="22" t="s">
        <v>3874</v>
      </c>
      <c r="M197" s="49">
        <v>99900</v>
      </c>
      <c r="N197" s="33" t="str">
        <f t="shared" si="42"/>
        <v>BXGY</v>
      </c>
      <c r="O197" s="34" t="str">
        <f t="shared" si="43"/>
        <v>B3 DISC 10%</v>
      </c>
      <c r="P197" s="33" t="str">
        <f t="shared" si="44"/>
        <v>BXGY</v>
      </c>
    </row>
    <row r="198" spans="1:16" x14ac:dyDescent="0.25">
      <c r="A198" s="33" t="str">
        <f t="shared" si="38"/>
        <v>2025 OCT - DEC B3D10</v>
      </c>
      <c r="B198" s="8">
        <f t="shared" si="39"/>
        <v>46099</v>
      </c>
      <c r="C198" s="8">
        <f t="shared" si="40"/>
        <v>46113</v>
      </c>
      <c r="D198" s="33">
        <f t="shared" si="41"/>
        <v>3272</v>
      </c>
      <c r="E198" s="33">
        <f t="shared" si="37"/>
        <v>336</v>
      </c>
      <c r="F198" s="33">
        <f t="shared" si="37"/>
        <v>4</v>
      </c>
      <c r="G198" s="33">
        <v>1</v>
      </c>
      <c r="H198" s="33">
        <v>81379</v>
      </c>
      <c r="I198" s="33" t="s">
        <v>104</v>
      </c>
      <c r="J198" s="33">
        <v>61968736</v>
      </c>
      <c r="K198" s="33" t="s">
        <v>3869</v>
      </c>
      <c r="L198" s="22" t="s">
        <v>3875</v>
      </c>
      <c r="M198" s="49">
        <v>99900</v>
      </c>
      <c r="N198" s="33" t="str">
        <f t="shared" si="42"/>
        <v>BXGY</v>
      </c>
      <c r="O198" s="34" t="str">
        <f t="shared" si="43"/>
        <v>B3 DISC 10%</v>
      </c>
      <c r="P198" s="33" t="str">
        <f t="shared" si="44"/>
        <v>BXGY</v>
      </c>
    </row>
    <row r="199" spans="1:16" x14ac:dyDescent="0.25">
      <c r="A199" s="33" t="str">
        <f t="shared" si="38"/>
        <v>2025 OCT - DEC B3D10</v>
      </c>
      <c r="B199" s="8">
        <f t="shared" si="39"/>
        <v>46099</v>
      </c>
      <c r="C199" s="8">
        <f t="shared" si="40"/>
        <v>46113</v>
      </c>
      <c r="D199" s="33">
        <f t="shared" si="41"/>
        <v>3272</v>
      </c>
      <c r="E199" s="33">
        <f t="shared" si="37"/>
        <v>336</v>
      </c>
      <c r="F199" s="33">
        <f t="shared" si="37"/>
        <v>4</v>
      </c>
      <c r="G199" s="33">
        <v>1</v>
      </c>
      <c r="H199" s="33">
        <v>81379</v>
      </c>
      <c r="I199" s="33" t="s">
        <v>104</v>
      </c>
      <c r="J199" s="33">
        <v>61968745</v>
      </c>
      <c r="K199" s="33" t="s">
        <v>3869</v>
      </c>
      <c r="L199" s="22" t="s">
        <v>3876</v>
      </c>
      <c r="M199" s="49">
        <v>99900</v>
      </c>
      <c r="N199" s="33" t="str">
        <f t="shared" si="42"/>
        <v>BXGY</v>
      </c>
      <c r="O199" s="34" t="str">
        <f t="shared" si="43"/>
        <v>B3 DISC 10%</v>
      </c>
      <c r="P199" s="33" t="str">
        <f t="shared" si="44"/>
        <v>BXGY</v>
      </c>
    </row>
    <row r="200" spans="1:16" x14ac:dyDescent="0.25">
      <c r="A200" s="33" t="str">
        <f t="shared" si="38"/>
        <v>2025 OCT - DEC B3D10</v>
      </c>
      <c r="B200" s="8">
        <f t="shared" si="39"/>
        <v>46099</v>
      </c>
      <c r="C200" s="8">
        <f t="shared" si="40"/>
        <v>46113</v>
      </c>
      <c r="D200" s="33">
        <f t="shared" si="41"/>
        <v>3272</v>
      </c>
      <c r="E200" s="33">
        <f t="shared" si="37"/>
        <v>336</v>
      </c>
      <c r="F200" s="33">
        <f t="shared" si="37"/>
        <v>4</v>
      </c>
      <c r="G200" s="33">
        <v>1</v>
      </c>
      <c r="H200" s="33">
        <v>81379</v>
      </c>
      <c r="I200" s="33" t="s">
        <v>104</v>
      </c>
      <c r="J200" s="33">
        <v>61968334</v>
      </c>
      <c r="K200" s="33" t="s">
        <v>3877</v>
      </c>
      <c r="L200" s="22" t="s">
        <v>3878</v>
      </c>
      <c r="M200" s="49">
        <v>99900</v>
      </c>
      <c r="N200" s="33" t="str">
        <f t="shared" si="42"/>
        <v>BXGY</v>
      </c>
      <c r="O200" s="34" t="str">
        <f t="shared" si="43"/>
        <v>B3 DISC 10%</v>
      </c>
      <c r="P200" s="33" t="str">
        <f t="shared" si="44"/>
        <v>BXGY</v>
      </c>
    </row>
    <row r="201" spans="1:16" x14ac:dyDescent="0.25">
      <c r="A201" s="33" t="str">
        <f t="shared" si="38"/>
        <v>2025 OCT - DEC B3D10</v>
      </c>
      <c r="B201" s="8">
        <f t="shared" si="39"/>
        <v>46099</v>
      </c>
      <c r="C201" s="8">
        <f t="shared" si="40"/>
        <v>46113</v>
      </c>
      <c r="D201" s="33">
        <f t="shared" si="41"/>
        <v>3272</v>
      </c>
      <c r="E201" s="33">
        <f t="shared" si="37"/>
        <v>336</v>
      </c>
      <c r="F201" s="33">
        <f t="shared" si="37"/>
        <v>4</v>
      </c>
      <c r="G201" s="33">
        <v>1</v>
      </c>
      <c r="H201" s="33">
        <v>81379</v>
      </c>
      <c r="I201" s="33" t="s">
        <v>104</v>
      </c>
      <c r="J201" s="33">
        <v>61968343</v>
      </c>
      <c r="K201" s="33" t="s">
        <v>3877</v>
      </c>
      <c r="L201" s="22" t="s">
        <v>3879</v>
      </c>
      <c r="M201" s="49">
        <v>99900</v>
      </c>
      <c r="N201" s="33" t="str">
        <f t="shared" si="42"/>
        <v>BXGY</v>
      </c>
      <c r="O201" s="34" t="str">
        <f t="shared" si="43"/>
        <v>B3 DISC 10%</v>
      </c>
      <c r="P201" s="33" t="str">
        <f t="shared" si="44"/>
        <v>BXGY</v>
      </c>
    </row>
    <row r="202" spans="1:16" x14ac:dyDescent="0.25">
      <c r="A202" s="33" t="str">
        <f t="shared" si="38"/>
        <v>2025 OCT - DEC B3D10</v>
      </c>
      <c r="B202" s="8">
        <f t="shared" si="39"/>
        <v>46099</v>
      </c>
      <c r="C202" s="8">
        <f t="shared" si="40"/>
        <v>46113</v>
      </c>
      <c r="D202" s="33">
        <f t="shared" si="41"/>
        <v>3272</v>
      </c>
      <c r="E202" s="33">
        <f t="shared" si="37"/>
        <v>336</v>
      </c>
      <c r="F202" s="33">
        <f t="shared" si="37"/>
        <v>4</v>
      </c>
      <c r="G202" s="33">
        <v>1</v>
      </c>
      <c r="H202" s="33">
        <v>81379</v>
      </c>
      <c r="I202" s="33" t="s">
        <v>104</v>
      </c>
      <c r="J202" s="33">
        <v>61968352</v>
      </c>
      <c r="K202" s="33" t="s">
        <v>3877</v>
      </c>
      <c r="L202" s="22" t="s">
        <v>3880</v>
      </c>
      <c r="M202" s="49">
        <v>99900</v>
      </c>
      <c r="N202" s="33" t="str">
        <f t="shared" si="42"/>
        <v>BXGY</v>
      </c>
      <c r="O202" s="34" t="str">
        <f t="shared" si="43"/>
        <v>B3 DISC 10%</v>
      </c>
      <c r="P202" s="33" t="str">
        <f t="shared" si="44"/>
        <v>BXGY</v>
      </c>
    </row>
    <row r="203" spans="1:16" x14ac:dyDescent="0.25">
      <c r="A203" s="33" t="str">
        <f t="shared" si="38"/>
        <v>2025 OCT - DEC B3D10</v>
      </c>
      <c r="B203" s="8">
        <f t="shared" si="39"/>
        <v>46099</v>
      </c>
      <c r="C203" s="8">
        <f t="shared" si="40"/>
        <v>46113</v>
      </c>
      <c r="D203" s="33">
        <f t="shared" si="41"/>
        <v>3272</v>
      </c>
      <c r="E203" s="33">
        <f t="shared" si="37"/>
        <v>336</v>
      </c>
      <c r="F203" s="33">
        <f t="shared" si="37"/>
        <v>4</v>
      </c>
      <c r="G203" s="33">
        <v>1</v>
      </c>
      <c r="H203" s="33">
        <v>81379</v>
      </c>
      <c r="I203" s="33" t="s">
        <v>104</v>
      </c>
      <c r="J203" s="33">
        <v>61968361</v>
      </c>
      <c r="K203" s="33" t="s">
        <v>3877</v>
      </c>
      <c r="L203" s="22" t="s">
        <v>3881</v>
      </c>
      <c r="M203" s="49">
        <v>99900</v>
      </c>
      <c r="N203" s="33" t="str">
        <f t="shared" si="42"/>
        <v>BXGY</v>
      </c>
      <c r="O203" s="34" t="str">
        <f t="shared" si="43"/>
        <v>B3 DISC 10%</v>
      </c>
      <c r="P203" s="33" t="str">
        <f t="shared" si="44"/>
        <v>BXGY</v>
      </c>
    </row>
    <row r="204" spans="1:16" x14ac:dyDescent="0.25">
      <c r="A204" s="33" t="str">
        <f t="shared" si="38"/>
        <v>2025 OCT - DEC B3D10</v>
      </c>
      <c r="B204" s="8">
        <f t="shared" si="39"/>
        <v>46099</v>
      </c>
      <c r="C204" s="8">
        <f t="shared" si="40"/>
        <v>46113</v>
      </c>
      <c r="D204" s="33">
        <f t="shared" si="41"/>
        <v>3272</v>
      </c>
      <c r="E204" s="33">
        <f t="shared" si="37"/>
        <v>336</v>
      </c>
      <c r="F204" s="33">
        <f t="shared" si="37"/>
        <v>4</v>
      </c>
      <c r="G204" s="33">
        <v>1</v>
      </c>
      <c r="H204" s="33">
        <v>81379</v>
      </c>
      <c r="I204" s="33" t="s">
        <v>104</v>
      </c>
      <c r="J204" s="33">
        <v>61968370</v>
      </c>
      <c r="K204" s="33" t="s">
        <v>3877</v>
      </c>
      <c r="L204" s="22" t="s">
        <v>3882</v>
      </c>
      <c r="M204" s="49">
        <v>99900</v>
      </c>
      <c r="N204" s="33" t="str">
        <f t="shared" si="42"/>
        <v>BXGY</v>
      </c>
      <c r="O204" s="34" t="str">
        <f t="shared" si="43"/>
        <v>B3 DISC 10%</v>
      </c>
      <c r="P204" s="33" t="str">
        <f t="shared" si="44"/>
        <v>BXGY</v>
      </c>
    </row>
    <row r="205" spans="1:16" x14ac:dyDescent="0.25">
      <c r="A205" s="33" t="str">
        <f t="shared" si="38"/>
        <v>2025 OCT - DEC B3D10</v>
      </c>
      <c r="B205" s="8">
        <f t="shared" si="39"/>
        <v>46099</v>
      </c>
      <c r="C205" s="8">
        <f t="shared" si="40"/>
        <v>46113</v>
      </c>
      <c r="D205" s="33">
        <f t="shared" si="41"/>
        <v>3272</v>
      </c>
      <c r="E205" s="33">
        <f t="shared" ref="E205:F222" si="45">E204</f>
        <v>336</v>
      </c>
      <c r="F205" s="33">
        <f t="shared" si="45"/>
        <v>4</v>
      </c>
      <c r="G205" s="33">
        <v>1</v>
      </c>
      <c r="H205" s="33">
        <v>81379</v>
      </c>
      <c r="I205" s="33" t="s">
        <v>104</v>
      </c>
      <c r="J205" s="33">
        <v>61968389</v>
      </c>
      <c r="K205" s="33" t="s">
        <v>3877</v>
      </c>
      <c r="L205" s="22" t="s">
        <v>3883</v>
      </c>
      <c r="M205" s="49">
        <v>99900</v>
      </c>
      <c r="N205" s="33" t="str">
        <f t="shared" si="42"/>
        <v>BXGY</v>
      </c>
      <c r="O205" s="34" t="str">
        <f t="shared" si="43"/>
        <v>B3 DISC 10%</v>
      </c>
      <c r="P205" s="33" t="str">
        <f t="shared" si="44"/>
        <v>BXGY</v>
      </c>
    </row>
    <row r="206" spans="1:16" x14ac:dyDescent="0.25">
      <c r="A206" s="33" t="str">
        <f t="shared" si="38"/>
        <v>2025 OCT - DEC B3D10</v>
      </c>
      <c r="B206" s="8">
        <f t="shared" si="39"/>
        <v>46099</v>
      </c>
      <c r="C206" s="8">
        <f t="shared" si="40"/>
        <v>46113</v>
      </c>
      <c r="D206" s="33">
        <f t="shared" si="41"/>
        <v>3272</v>
      </c>
      <c r="E206" s="33">
        <f t="shared" si="45"/>
        <v>336</v>
      </c>
      <c r="F206" s="33">
        <f t="shared" si="45"/>
        <v>4</v>
      </c>
      <c r="G206" s="33">
        <v>1</v>
      </c>
      <c r="H206" s="33">
        <v>81379</v>
      </c>
      <c r="I206" s="33" t="s">
        <v>104</v>
      </c>
      <c r="J206" s="33">
        <v>61968398</v>
      </c>
      <c r="K206" s="33" t="s">
        <v>3877</v>
      </c>
      <c r="L206" s="22" t="s">
        <v>3884</v>
      </c>
      <c r="M206" s="49">
        <v>99900</v>
      </c>
      <c r="N206" s="33" t="str">
        <f t="shared" si="42"/>
        <v>BXGY</v>
      </c>
      <c r="O206" s="34" t="str">
        <f t="shared" si="43"/>
        <v>B3 DISC 10%</v>
      </c>
      <c r="P206" s="33" t="str">
        <f t="shared" si="44"/>
        <v>BXGY</v>
      </c>
    </row>
    <row r="207" spans="1:16" x14ac:dyDescent="0.25">
      <c r="A207" s="33" t="str">
        <f t="shared" si="38"/>
        <v>2025 OCT - DEC B3D10</v>
      </c>
      <c r="B207" s="8">
        <f t="shared" si="39"/>
        <v>46099</v>
      </c>
      <c r="C207" s="8">
        <f t="shared" si="40"/>
        <v>46113</v>
      </c>
      <c r="D207" s="33">
        <f t="shared" si="41"/>
        <v>3272</v>
      </c>
      <c r="E207" s="33">
        <f t="shared" si="45"/>
        <v>336</v>
      </c>
      <c r="F207" s="33">
        <f t="shared" si="45"/>
        <v>4</v>
      </c>
      <c r="G207" s="33">
        <v>1</v>
      </c>
      <c r="H207" s="33">
        <v>81379</v>
      </c>
      <c r="I207" s="33" t="s">
        <v>104</v>
      </c>
      <c r="J207" s="33">
        <v>61968405</v>
      </c>
      <c r="K207" s="33" t="s">
        <v>3885</v>
      </c>
      <c r="L207" s="22" t="s">
        <v>3886</v>
      </c>
      <c r="M207" s="49">
        <v>99900</v>
      </c>
      <c r="N207" s="33" t="str">
        <f t="shared" si="42"/>
        <v>BXGY</v>
      </c>
      <c r="O207" s="34" t="str">
        <f t="shared" si="43"/>
        <v>B3 DISC 10%</v>
      </c>
      <c r="P207" s="33" t="str">
        <f t="shared" si="44"/>
        <v>BXGY</v>
      </c>
    </row>
    <row r="208" spans="1:16" x14ac:dyDescent="0.25">
      <c r="A208" s="33" t="str">
        <f t="shared" si="38"/>
        <v>2025 OCT - DEC B3D10</v>
      </c>
      <c r="B208" s="8">
        <f t="shared" si="39"/>
        <v>46099</v>
      </c>
      <c r="C208" s="8">
        <f t="shared" si="40"/>
        <v>46113</v>
      </c>
      <c r="D208" s="33">
        <f t="shared" si="41"/>
        <v>3272</v>
      </c>
      <c r="E208" s="33">
        <f t="shared" si="45"/>
        <v>336</v>
      </c>
      <c r="F208" s="33">
        <f t="shared" si="45"/>
        <v>4</v>
      </c>
      <c r="G208" s="33">
        <v>1</v>
      </c>
      <c r="H208" s="33">
        <v>81379</v>
      </c>
      <c r="I208" s="33" t="s">
        <v>104</v>
      </c>
      <c r="J208" s="33">
        <v>61968414</v>
      </c>
      <c r="K208" s="33" t="s">
        <v>3885</v>
      </c>
      <c r="L208" s="22" t="s">
        <v>3887</v>
      </c>
      <c r="M208" s="49">
        <v>99900</v>
      </c>
      <c r="N208" s="33" t="str">
        <f t="shared" si="42"/>
        <v>BXGY</v>
      </c>
      <c r="O208" s="34" t="str">
        <f t="shared" si="43"/>
        <v>B3 DISC 10%</v>
      </c>
      <c r="P208" s="33" t="str">
        <f t="shared" si="44"/>
        <v>BXGY</v>
      </c>
    </row>
    <row r="209" spans="1:16" x14ac:dyDescent="0.25">
      <c r="A209" s="33" t="str">
        <f t="shared" si="38"/>
        <v>2025 OCT - DEC B3D10</v>
      </c>
      <c r="B209" s="8">
        <f t="shared" si="39"/>
        <v>46099</v>
      </c>
      <c r="C209" s="8">
        <f t="shared" si="40"/>
        <v>46113</v>
      </c>
      <c r="D209" s="33">
        <f t="shared" si="41"/>
        <v>3272</v>
      </c>
      <c r="E209" s="33">
        <f t="shared" si="45"/>
        <v>336</v>
      </c>
      <c r="F209" s="33">
        <f t="shared" si="45"/>
        <v>4</v>
      </c>
      <c r="G209" s="33">
        <v>1</v>
      </c>
      <c r="H209" s="33">
        <v>81379</v>
      </c>
      <c r="I209" s="33" t="s">
        <v>104</v>
      </c>
      <c r="J209" s="33">
        <v>61968423</v>
      </c>
      <c r="K209" s="33" t="s">
        <v>3885</v>
      </c>
      <c r="L209" s="22" t="s">
        <v>3888</v>
      </c>
      <c r="M209" s="49">
        <v>99900</v>
      </c>
      <c r="N209" s="33" t="str">
        <f t="shared" si="42"/>
        <v>BXGY</v>
      </c>
      <c r="O209" s="34" t="str">
        <f t="shared" si="43"/>
        <v>B3 DISC 10%</v>
      </c>
      <c r="P209" s="33" t="str">
        <f t="shared" si="44"/>
        <v>BXGY</v>
      </c>
    </row>
    <row r="210" spans="1:16" x14ac:dyDescent="0.25">
      <c r="A210" s="33" t="str">
        <f t="shared" si="38"/>
        <v>2025 OCT - DEC B3D10</v>
      </c>
      <c r="B210" s="8">
        <f t="shared" si="39"/>
        <v>46099</v>
      </c>
      <c r="C210" s="8">
        <f t="shared" si="40"/>
        <v>46113</v>
      </c>
      <c r="D210" s="33">
        <f t="shared" si="41"/>
        <v>3272</v>
      </c>
      <c r="E210" s="33">
        <f t="shared" si="45"/>
        <v>336</v>
      </c>
      <c r="F210" s="33">
        <f t="shared" si="45"/>
        <v>4</v>
      </c>
      <c r="G210" s="33">
        <v>1</v>
      </c>
      <c r="H210" s="33">
        <v>81379</v>
      </c>
      <c r="I210" s="33" t="s">
        <v>104</v>
      </c>
      <c r="J210" s="33">
        <v>61968432</v>
      </c>
      <c r="K210" s="33" t="s">
        <v>3885</v>
      </c>
      <c r="L210" s="22" t="s">
        <v>3889</v>
      </c>
      <c r="M210" s="49">
        <v>99900</v>
      </c>
      <c r="N210" s="33" t="str">
        <f t="shared" si="42"/>
        <v>BXGY</v>
      </c>
      <c r="O210" s="34" t="str">
        <f t="shared" si="43"/>
        <v>B3 DISC 10%</v>
      </c>
      <c r="P210" s="33" t="str">
        <f t="shared" si="44"/>
        <v>BXGY</v>
      </c>
    </row>
    <row r="211" spans="1:16" x14ac:dyDescent="0.25">
      <c r="A211" s="33" t="str">
        <f t="shared" si="38"/>
        <v>2025 OCT - DEC B3D10</v>
      </c>
      <c r="B211" s="8">
        <f t="shared" si="39"/>
        <v>46099</v>
      </c>
      <c r="C211" s="8">
        <f t="shared" si="40"/>
        <v>46113</v>
      </c>
      <c r="D211" s="33">
        <f t="shared" si="41"/>
        <v>3272</v>
      </c>
      <c r="E211" s="33">
        <f t="shared" si="45"/>
        <v>336</v>
      </c>
      <c r="F211" s="33">
        <f t="shared" si="45"/>
        <v>4</v>
      </c>
      <c r="G211" s="33">
        <v>1</v>
      </c>
      <c r="H211" s="33">
        <v>81379</v>
      </c>
      <c r="I211" s="33" t="s">
        <v>104</v>
      </c>
      <c r="J211" s="33">
        <v>61968441</v>
      </c>
      <c r="K211" s="33" t="s">
        <v>3885</v>
      </c>
      <c r="L211" s="22" t="s">
        <v>3890</v>
      </c>
      <c r="M211" s="49">
        <v>99900</v>
      </c>
      <c r="N211" s="33" t="str">
        <f t="shared" si="42"/>
        <v>BXGY</v>
      </c>
      <c r="O211" s="34" t="str">
        <f t="shared" si="43"/>
        <v>B3 DISC 10%</v>
      </c>
      <c r="P211" s="33" t="str">
        <f t="shared" si="44"/>
        <v>BXGY</v>
      </c>
    </row>
    <row r="212" spans="1:16" x14ac:dyDescent="0.25">
      <c r="A212" s="33" t="str">
        <f t="shared" si="38"/>
        <v>2025 OCT - DEC B3D10</v>
      </c>
      <c r="B212" s="8">
        <f t="shared" si="39"/>
        <v>46099</v>
      </c>
      <c r="C212" s="8">
        <f t="shared" si="40"/>
        <v>46113</v>
      </c>
      <c r="D212" s="33">
        <f t="shared" si="41"/>
        <v>3272</v>
      </c>
      <c r="E212" s="33">
        <f t="shared" si="45"/>
        <v>336</v>
      </c>
      <c r="F212" s="33">
        <f t="shared" si="45"/>
        <v>4</v>
      </c>
      <c r="G212" s="33">
        <v>1</v>
      </c>
      <c r="H212" s="33">
        <v>81379</v>
      </c>
      <c r="I212" s="33" t="s">
        <v>104</v>
      </c>
      <c r="J212" s="33">
        <v>61968450</v>
      </c>
      <c r="K212" s="33" t="s">
        <v>3885</v>
      </c>
      <c r="L212" s="22" t="s">
        <v>3891</v>
      </c>
      <c r="M212" s="49">
        <v>99900</v>
      </c>
      <c r="N212" s="33" t="str">
        <f t="shared" si="42"/>
        <v>BXGY</v>
      </c>
      <c r="O212" s="34" t="str">
        <f t="shared" si="43"/>
        <v>B3 DISC 10%</v>
      </c>
      <c r="P212" s="33" t="str">
        <f t="shared" si="44"/>
        <v>BXGY</v>
      </c>
    </row>
    <row r="213" spans="1:16" x14ac:dyDescent="0.25">
      <c r="A213" s="33" t="str">
        <f t="shared" si="38"/>
        <v>2025 OCT - DEC B3D10</v>
      </c>
      <c r="B213" s="8">
        <f t="shared" si="39"/>
        <v>46099</v>
      </c>
      <c r="C213" s="8">
        <f t="shared" si="40"/>
        <v>46113</v>
      </c>
      <c r="D213" s="33">
        <f t="shared" si="41"/>
        <v>3272</v>
      </c>
      <c r="E213" s="33">
        <f t="shared" si="45"/>
        <v>336</v>
      </c>
      <c r="F213" s="33">
        <f t="shared" si="45"/>
        <v>4</v>
      </c>
      <c r="G213" s="33">
        <v>1</v>
      </c>
      <c r="H213" s="33">
        <v>81379</v>
      </c>
      <c r="I213" s="33" t="s">
        <v>104</v>
      </c>
      <c r="J213" s="33">
        <v>61968469</v>
      </c>
      <c r="K213" s="33" t="s">
        <v>3885</v>
      </c>
      <c r="L213" s="22" t="s">
        <v>3892</v>
      </c>
      <c r="M213" s="49">
        <v>99900</v>
      </c>
      <c r="N213" s="33" t="str">
        <f t="shared" si="42"/>
        <v>BXGY</v>
      </c>
      <c r="O213" s="34" t="str">
        <f t="shared" si="43"/>
        <v>B3 DISC 10%</v>
      </c>
      <c r="P213" s="33" t="str">
        <f t="shared" si="44"/>
        <v>BXGY</v>
      </c>
    </row>
    <row r="214" spans="1:16" x14ac:dyDescent="0.25">
      <c r="A214" s="33" t="str">
        <f t="shared" si="38"/>
        <v>2025 OCT - DEC B3D10</v>
      </c>
      <c r="B214" s="8">
        <f t="shared" si="39"/>
        <v>46099</v>
      </c>
      <c r="C214" s="8">
        <f t="shared" si="40"/>
        <v>46113</v>
      </c>
      <c r="D214" s="33">
        <f t="shared" si="41"/>
        <v>3272</v>
      </c>
      <c r="E214" s="33">
        <f t="shared" si="45"/>
        <v>336</v>
      </c>
      <c r="F214" s="33">
        <f t="shared" si="45"/>
        <v>4</v>
      </c>
      <c r="G214" s="33">
        <v>1</v>
      </c>
      <c r="H214" s="33">
        <v>81379</v>
      </c>
      <c r="I214" s="33" t="s">
        <v>104</v>
      </c>
      <c r="J214" s="33">
        <v>61968290</v>
      </c>
      <c r="K214" s="33" t="s">
        <v>3984</v>
      </c>
      <c r="L214" s="22" t="s">
        <v>3985</v>
      </c>
      <c r="M214" s="34">
        <v>99900</v>
      </c>
      <c r="N214" s="33" t="str">
        <f t="shared" si="42"/>
        <v>BXGY</v>
      </c>
      <c r="O214" s="34" t="str">
        <f t="shared" si="43"/>
        <v>B3 DISC 10%</v>
      </c>
      <c r="P214" s="33" t="str">
        <f t="shared" si="44"/>
        <v>BXGY</v>
      </c>
    </row>
    <row r="215" spans="1:16" x14ac:dyDescent="0.25">
      <c r="A215" s="33" t="str">
        <f t="shared" si="38"/>
        <v>2025 OCT - DEC B3D10</v>
      </c>
      <c r="B215" s="8">
        <f t="shared" si="39"/>
        <v>46099</v>
      </c>
      <c r="C215" s="8">
        <f t="shared" si="40"/>
        <v>46113</v>
      </c>
      <c r="D215" s="33">
        <f t="shared" si="41"/>
        <v>3272</v>
      </c>
      <c r="E215" s="33">
        <f t="shared" si="45"/>
        <v>336</v>
      </c>
      <c r="F215" s="33">
        <f t="shared" si="45"/>
        <v>4</v>
      </c>
      <c r="G215" s="33">
        <v>1</v>
      </c>
      <c r="H215" s="33">
        <v>81379</v>
      </c>
      <c r="I215" s="33" t="s">
        <v>104</v>
      </c>
      <c r="J215" s="33">
        <v>61968307</v>
      </c>
      <c r="K215" s="33" t="s">
        <v>3984</v>
      </c>
      <c r="L215" s="22" t="s">
        <v>3986</v>
      </c>
      <c r="M215" s="34">
        <v>99900</v>
      </c>
      <c r="N215" s="33" t="str">
        <f t="shared" si="42"/>
        <v>BXGY</v>
      </c>
      <c r="O215" s="34" t="str">
        <f t="shared" si="43"/>
        <v>B3 DISC 10%</v>
      </c>
      <c r="P215" s="33" t="str">
        <f t="shared" si="44"/>
        <v>BXGY</v>
      </c>
    </row>
    <row r="216" spans="1:16" x14ac:dyDescent="0.25">
      <c r="A216" s="33" t="str">
        <f t="shared" si="38"/>
        <v>2025 OCT - DEC B3D10</v>
      </c>
      <c r="B216" s="8">
        <f t="shared" si="39"/>
        <v>46099</v>
      </c>
      <c r="C216" s="8">
        <f t="shared" si="40"/>
        <v>46113</v>
      </c>
      <c r="D216" s="33">
        <f t="shared" si="41"/>
        <v>3272</v>
      </c>
      <c r="E216" s="33">
        <f t="shared" si="45"/>
        <v>336</v>
      </c>
      <c r="F216" s="33">
        <f t="shared" si="45"/>
        <v>4</v>
      </c>
      <c r="G216" s="33">
        <v>1</v>
      </c>
      <c r="H216" s="33">
        <v>81379</v>
      </c>
      <c r="I216" s="33" t="s">
        <v>104</v>
      </c>
      <c r="J216" s="33">
        <v>61968316</v>
      </c>
      <c r="K216" s="33" t="s">
        <v>3984</v>
      </c>
      <c r="L216" s="22" t="s">
        <v>3987</v>
      </c>
      <c r="M216" s="34">
        <v>99900</v>
      </c>
      <c r="N216" s="33" t="str">
        <f t="shared" si="42"/>
        <v>BXGY</v>
      </c>
      <c r="O216" s="34" t="str">
        <f t="shared" si="43"/>
        <v>B3 DISC 10%</v>
      </c>
      <c r="P216" s="33" t="str">
        <f t="shared" si="44"/>
        <v>BXGY</v>
      </c>
    </row>
    <row r="217" spans="1:16" x14ac:dyDescent="0.25">
      <c r="A217" s="33" t="str">
        <f t="shared" si="38"/>
        <v>2025 OCT - DEC B3D10</v>
      </c>
      <c r="B217" s="8">
        <f t="shared" si="39"/>
        <v>46099</v>
      </c>
      <c r="C217" s="8">
        <f t="shared" si="40"/>
        <v>46113</v>
      </c>
      <c r="D217" s="33">
        <f t="shared" si="41"/>
        <v>3272</v>
      </c>
      <c r="E217" s="33">
        <f t="shared" si="45"/>
        <v>336</v>
      </c>
      <c r="F217" s="33">
        <f t="shared" si="45"/>
        <v>4</v>
      </c>
      <c r="G217" s="33">
        <v>1</v>
      </c>
      <c r="H217" s="33">
        <v>81379</v>
      </c>
      <c r="I217" s="33" t="s">
        <v>104</v>
      </c>
      <c r="J217" s="33">
        <v>61968325</v>
      </c>
      <c r="K217" s="33" t="s">
        <v>3984</v>
      </c>
      <c r="L217" s="22" t="s">
        <v>3988</v>
      </c>
      <c r="M217" s="34">
        <v>99900</v>
      </c>
      <c r="N217" s="33" t="str">
        <f t="shared" si="42"/>
        <v>BXGY</v>
      </c>
      <c r="O217" s="34" t="str">
        <f t="shared" si="43"/>
        <v>B3 DISC 10%</v>
      </c>
      <c r="P217" s="33" t="str">
        <f t="shared" si="44"/>
        <v>BXGY</v>
      </c>
    </row>
    <row r="218" spans="1:16" x14ac:dyDescent="0.25">
      <c r="A218" s="33" t="str">
        <f t="shared" si="38"/>
        <v>2025 OCT - DEC B3D10</v>
      </c>
      <c r="B218" s="8">
        <f t="shared" si="39"/>
        <v>46099</v>
      </c>
      <c r="C218" s="8">
        <f t="shared" si="40"/>
        <v>46113</v>
      </c>
      <c r="D218" s="33">
        <f t="shared" si="41"/>
        <v>3272</v>
      </c>
      <c r="E218" s="33">
        <f t="shared" si="45"/>
        <v>336</v>
      </c>
      <c r="F218" s="33">
        <f t="shared" si="45"/>
        <v>4</v>
      </c>
      <c r="G218" s="33">
        <v>1</v>
      </c>
      <c r="H218" s="33">
        <v>81379</v>
      </c>
      <c r="I218" s="33" t="s">
        <v>104</v>
      </c>
      <c r="J218" s="33">
        <v>68613758</v>
      </c>
      <c r="K218" s="33" t="s">
        <v>3989</v>
      </c>
      <c r="L218" s="22" t="s">
        <v>3990</v>
      </c>
      <c r="M218" s="34">
        <v>99900</v>
      </c>
      <c r="N218" s="33" t="str">
        <f t="shared" si="42"/>
        <v>BXGY</v>
      </c>
      <c r="O218" s="34" t="str">
        <f t="shared" si="43"/>
        <v>B3 DISC 10%</v>
      </c>
      <c r="P218" s="33" t="str">
        <f t="shared" si="44"/>
        <v>BXGY</v>
      </c>
    </row>
    <row r="219" spans="1:16" x14ac:dyDescent="0.25">
      <c r="A219" s="33" t="str">
        <f t="shared" si="38"/>
        <v>2025 OCT - DEC B3D10</v>
      </c>
      <c r="B219" s="8">
        <f t="shared" si="39"/>
        <v>46099</v>
      </c>
      <c r="C219" s="8">
        <f t="shared" si="40"/>
        <v>46113</v>
      </c>
      <c r="D219" s="33">
        <f t="shared" si="41"/>
        <v>3272</v>
      </c>
      <c r="E219" s="33">
        <f t="shared" si="45"/>
        <v>336</v>
      </c>
      <c r="F219" s="33">
        <f t="shared" si="45"/>
        <v>4</v>
      </c>
      <c r="G219" s="33">
        <v>1</v>
      </c>
      <c r="H219" s="33">
        <v>81379</v>
      </c>
      <c r="I219" s="33" t="s">
        <v>104</v>
      </c>
      <c r="J219" s="33">
        <v>68613767</v>
      </c>
      <c r="K219" s="33" t="s">
        <v>3989</v>
      </c>
      <c r="L219" s="22" t="s">
        <v>3991</v>
      </c>
      <c r="M219" s="34">
        <v>99900</v>
      </c>
      <c r="N219" s="33" t="str">
        <f t="shared" si="42"/>
        <v>BXGY</v>
      </c>
      <c r="O219" s="34" t="str">
        <f t="shared" si="43"/>
        <v>B3 DISC 10%</v>
      </c>
      <c r="P219" s="33" t="str">
        <f t="shared" si="44"/>
        <v>BXGY</v>
      </c>
    </row>
    <row r="220" spans="1:16" x14ac:dyDescent="0.25">
      <c r="A220" s="33" t="str">
        <f t="shared" si="38"/>
        <v>2025 OCT - DEC B3D10</v>
      </c>
      <c r="B220" s="8">
        <f t="shared" si="39"/>
        <v>46099</v>
      </c>
      <c r="C220" s="8">
        <f t="shared" si="40"/>
        <v>46113</v>
      </c>
      <c r="D220" s="33">
        <f t="shared" si="41"/>
        <v>3272</v>
      </c>
      <c r="E220" s="33">
        <f t="shared" si="45"/>
        <v>336</v>
      </c>
      <c r="F220" s="33">
        <f t="shared" si="45"/>
        <v>4</v>
      </c>
      <c r="G220" s="33">
        <v>1</v>
      </c>
      <c r="H220" s="33">
        <v>81379</v>
      </c>
      <c r="I220" s="33" t="s">
        <v>104</v>
      </c>
      <c r="J220" s="33">
        <v>68613776</v>
      </c>
      <c r="K220" s="33" t="s">
        <v>3989</v>
      </c>
      <c r="L220" s="22" t="s">
        <v>3992</v>
      </c>
      <c r="M220" s="34">
        <v>99900</v>
      </c>
      <c r="N220" s="33" t="str">
        <f t="shared" si="42"/>
        <v>BXGY</v>
      </c>
      <c r="O220" s="34" t="str">
        <f t="shared" si="43"/>
        <v>B3 DISC 10%</v>
      </c>
      <c r="P220" s="33" t="str">
        <f t="shared" si="44"/>
        <v>BXGY</v>
      </c>
    </row>
    <row r="221" spans="1:16" x14ac:dyDescent="0.25">
      <c r="A221" s="33" t="str">
        <f t="shared" si="38"/>
        <v>2025 OCT - DEC B3D10</v>
      </c>
      <c r="B221" s="8">
        <f t="shared" si="39"/>
        <v>46099</v>
      </c>
      <c r="C221" s="8">
        <f t="shared" si="40"/>
        <v>46113</v>
      </c>
      <c r="D221" s="33">
        <f t="shared" si="41"/>
        <v>3272</v>
      </c>
      <c r="E221" s="33">
        <f t="shared" si="45"/>
        <v>336</v>
      </c>
      <c r="F221" s="33">
        <f t="shared" si="45"/>
        <v>4</v>
      </c>
      <c r="G221" s="33">
        <v>1</v>
      </c>
      <c r="H221" s="33">
        <v>81379</v>
      </c>
      <c r="I221" s="33" t="s">
        <v>104</v>
      </c>
      <c r="J221" s="33">
        <v>68613785</v>
      </c>
      <c r="K221" s="33" t="s">
        <v>3989</v>
      </c>
      <c r="L221" s="22" t="s">
        <v>3993</v>
      </c>
      <c r="M221" s="34">
        <v>99900</v>
      </c>
      <c r="N221" s="33" t="str">
        <f t="shared" si="42"/>
        <v>BXGY</v>
      </c>
      <c r="O221" s="34" t="str">
        <f t="shared" si="43"/>
        <v>B3 DISC 10%</v>
      </c>
      <c r="P221" s="33" t="str">
        <f t="shared" si="44"/>
        <v>BXGY</v>
      </c>
    </row>
    <row r="222" spans="1:16" x14ac:dyDescent="0.25">
      <c r="A222" s="33" t="str">
        <f t="shared" si="38"/>
        <v>2025 OCT - DEC B3D10</v>
      </c>
      <c r="B222" s="8">
        <f t="shared" si="39"/>
        <v>46099</v>
      </c>
      <c r="C222" s="8">
        <f t="shared" si="40"/>
        <v>46113</v>
      </c>
      <c r="D222" s="33">
        <f t="shared" si="41"/>
        <v>3272</v>
      </c>
      <c r="E222" s="33">
        <f t="shared" si="45"/>
        <v>336</v>
      </c>
      <c r="F222" s="33">
        <f t="shared" si="45"/>
        <v>4</v>
      </c>
      <c r="G222" s="33">
        <v>1</v>
      </c>
      <c r="H222" s="33">
        <v>81379</v>
      </c>
      <c r="I222" s="33" t="s">
        <v>104</v>
      </c>
      <c r="J222" s="33">
        <v>68613794</v>
      </c>
      <c r="K222" s="33" t="s">
        <v>3989</v>
      </c>
      <c r="L222" s="22" t="s">
        <v>3994</v>
      </c>
      <c r="M222" s="34">
        <v>99900</v>
      </c>
      <c r="N222" s="33" t="str">
        <f t="shared" si="42"/>
        <v>BXGY</v>
      </c>
      <c r="O222" s="34" t="str">
        <f t="shared" si="43"/>
        <v>B3 DISC 10%</v>
      </c>
      <c r="P222" s="33" t="str">
        <f t="shared" si="44"/>
        <v>BXGY</v>
      </c>
    </row>
    <row r="223" spans="1:16" ht="14.25" customHeight="1" x14ac:dyDescent="0.25">
      <c r="A223" s="33" t="str">
        <f t="shared" si="38"/>
        <v>2025 OCT - DEC B3D10</v>
      </c>
      <c r="B223" s="8">
        <f t="shared" si="39"/>
        <v>46099</v>
      </c>
      <c r="C223" s="8">
        <f t="shared" si="40"/>
        <v>46113</v>
      </c>
      <c r="D223" s="33">
        <f t="shared" si="41"/>
        <v>3272</v>
      </c>
      <c r="E223" s="33">
        <f>'2025 AUG B1G1'!E43</f>
        <v>336</v>
      </c>
      <c r="F223" s="33">
        <f t="shared" ref="F223:F258" si="46">F222</f>
        <v>4</v>
      </c>
      <c r="G223" s="33">
        <v>1</v>
      </c>
      <c r="H223" s="33">
        <v>81379</v>
      </c>
      <c r="I223" s="33" t="str">
        <f>'2025 AUG B1G1'!I43</f>
        <v>CHARACTER</v>
      </c>
      <c r="J223" s="33">
        <v>55385958</v>
      </c>
      <c r="K223" s="17" t="s">
        <v>3578</v>
      </c>
      <c r="L223" s="28" t="s">
        <v>3579</v>
      </c>
      <c r="M223" s="33">
        <v>99900</v>
      </c>
      <c r="N223" s="33" t="str">
        <f t="shared" si="42"/>
        <v>BXGY</v>
      </c>
      <c r="O223" s="34" t="str">
        <f t="shared" si="43"/>
        <v>B3 DISC 10%</v>
      </c>
      <c r="P223" s="33" t="str">
        <f t="shared" si="44"/>
        <v>BXGY</v>
      </c>
    </row>
    <row r="224" spans="1:16" x14ac:dyDescent="0.25">
      <c r="A224" s="33" t="str">
        <f t="shared" si="38"/>
        <v>2025 OCT - DEC B3D10</v>
      </c>
      <c r="B224" s="8">
        <f t="shared" si="39"/>
        <v>46099</v>
      </c>
      <c r="C224" s="8">
        <f t="shared" si="40"/>
        <v>46113</v>
      </c>
      <c r="D224" s="33">
        <f t="shared" si="41"/>
        <v>3272</v>
      </c>
      <c r="E224" s="33">
        <f t="shared" ref="E224:E229" si="47">E223</f>
        <v>336</v>
      </c>
      <c r="F224" s="33">
        <f t="shared" si="46"/>
        <v>4</v>
      </c>
      <c r="G224" s="33">
        <v>1</v>
      </c>
      <c r="H224" s="33">
        <v>81379</v>
      </c>
      <c r="I224" s="33" t="str">
        <f t="shared" ref="I224:I229" si="48">I223</f>
        <v>CHARACTER</v>
      </c>
      <c r="J224" s="33">
        <v>55385967</v>
      </c>
      <c r="K224" s="17" t="s">
        <v>3578</v>
      </c>
      <c r="L224" s="28" t="s">
        <v>3580</v>
      </c>
      <c r="M224" s="33">
        <v>99900</v>
      </c>
      <c r="N224" s="33" t="str">
        <f t="shared" si="42"/>
        <v>BXGY</v>
      </c>
      <c r="O224" s="34" t="str">
        <f t="shared" si="43"/>
        <v>B3 DISC 10%</v>
      </c>
      <c r="P224" s="33" t="str">
        <f t="shared" si="44"/>
        <v>BXGY</v>
      </c>
    </row>
    <row r="225" spans="1:16" x14ac:dyDescent="0.25">
      <c r="A225" s="33" t="str">
        <f t="shared" si="38"/>
        <v>2025 OCT - DEC B3D10</v>
      </c>
      <c r="B225" s="8">
        <f t="shared" si="39"/>
        <v>46099</v>
      </c>
      <c r="C225" s="8">
        <f t="shared" si="40"/>
        <v>46113</v>
      </c>
      <c r="D225" s="33">
        <f t="shared" si="41"/>
        <v>3272</v>
      </c>
      <c r="E225" s="33">
        <f t="shared" si="47"/>
        <v>336</v>
      </c>
      <c r="F225" s="33">
        <f t="shared" si="46"/>
        <v>4</v>
      </c>
      <c r="G225" s="33">
        <v>1</v>
      </c>
      <c r="H225" s="33">
        <v>81379</v>
      </c>
      <c r="I225" s="33" t="str">
        <f t="shared" si="48"/>
        <v>CHARACTER</v>
      </c>
      <c r="J225" s="33">
        <v>55385976</v>
      </c>
      <c r="K225" s="17" t="s">
        <v>3578</v>
      </c>
      <c r="L225" s="28" t="s">
        <v>3581</v>
      </c>
      <c r="M225" s="33">
        <v>99900</v>
      </c>
      <c r="N225" s="33" t="str">
        <f t="shared" si="42"/>
        <v>BXGY</v>
      </c>
      <c r="O225" s="34" t="str">
        <f t="shared" si="43"/>
        <v>B3 DISC 10%</v>
      </c>
      <c r="P225" s="33" t="str">
        <f t="shared" si="44"/>
        <v>BXGY</v>
      </c>
    </row>
    <row r="226" spans="1:16" x14ac:dyDescent="0.25">
      <c r="A226" s="33" t="str">
        <f t="shared" si="38"/>
        <v>2025 OCT - DEC B3D10</v>
      </c>
      <c r="B226" s="8">
        <f t="shared" si="39"/>
        <v>46099</v>
      </c>
      <c r="C226" s="8">
        <f t="shared" si="40"/>
        <v>46113</v>
      </c>
      <c r="D226" s="33">
        <f t="shared" si="41"/>
        <v>3272</v>
      </c>
      <c r="E226" s="33">
        <f t="shared" si="47"/>
        <v>336</v>
      </c>
      <c r="F226" s="33">
        <f t="shared" si="46"/>
        <v>4</v>
      </c>
      <c r="G226" s="33">
        <v>1</v>
      </c>
      <c r="H226" s="33">
        <v>81379</v>
      </c>
      <c r="I226" s="33" t="str">
        <f t="shared" si="48"/>
        <v>CHARACTER</v>
      </c>
      <c r="J226" s="33">
        <v>55385985</v>
      </c>
      <c r="K226" s="17" t="s">
        <v>3578</v>
      </c>
      <c r="L226" s="28" t="s">
        <v>3582</v>
      </c>
      <c r="M226" s="33">
        <v>99900</v>
      </c>
      <c r="N226" s="33" t="str">
        <f t="shared" si="42"/>
        <v>BXGY</v>
      </c>
      <c r="O226" s="34" t="str">
        <f t="shared" si="43"/>
        <v>B3 DISC 10%</v>
      </c>
      <c r="P226" s="33" t="str">
        <f t="shared" si="44"/>
        <v>BXGY</v>
      </c>
    </row>
    <row r="227" spans="1:16" x14ac:dyDescent="0.25">
      <c r="A227" s="33" t="str">
        <f t="shared" si="38"/>
        <v>2025 OCT - DEC B3D10</v>
      </c>
      <c r="B227" s="8">
        <f t="shared" si="39"/>
        <v>46099</v>
      </c>
      <c r="C227" s="8">
        <f t="shared" si="40"/>
        <v>46113</v>
      </c>
      <c r="D227" s="33">
        <f t="shared" si="41"/>
        <v>3272</v>
      </c>
      <c r="E227" s="33">
        <f t="shared" si="47"/>
        <v>336</v>
      </c>
      <c r="F227" s="33">
        <f t="shared" si="46"/>
        <v>4</v>
      </c>
      <c r="G227" s="33">
        <v>1</v>
      </c>
      <c r="H227" s="33">
        <v>81379</v>
      </c>
      <c r="I227" s="33" t="str">
        <f t="shared" si="48"/>
        <v>CHARACTER</v>
      </c>
      <c r="J227" s="33">
        <v>55385994</v>
      </c>
      <c r="K227" s="17" t="s">
        <v>3578</v>
      </c>
      <c r="L227" s="28" t="s">
        <v>3583</v>
      </c>
      <c r="M227" s="33">
        <v>99900</v>
      </c>
      <c r="N227" s="33" t="str">
        <f t="shared" si="42"/>
        <v>BXGY</v>
      </c>
      <c r="O227" s="34" t="str">
        <f t="shared" si="43"/>
        <v>B3 DISC 10%</v>
      </c>
      <c r="P227" s="33" t="str">
        <f t="shared" si="44"/>
        <v>BXGY</v>
      </c>
    </row>
    <row r="228" spans="1:16" x14ac:dyDescent="0.25">
      <c r="A228" s="33" t="str">
        <f t="shared" si="38"/>
        <v>2025 OCT - DEC B3D10</v>
      </c>
      <c r="B228" s="8">
        <f t="shared" si="39"/>
        <v>46099</v>
      </c>
      <c r="C228" s="8">
        <f t="shared" si="40"/>
        <v>46113</v>
      </c>
      <c r="D228" s="33">
        <f t="shared" si="41"/>
        <v>3272</v>
      </c>
      <c r="E228" s="33">
        <f t="shared" si="47"/>
        <v>336</v>
      </c>
      <c r="F228" s="33">
        <f t="shared" si="46"/>
        <v>4</v>
      </c>
      <c r="G228" s="33">
        <v>1</v>
      </c>
      <c r="H228" s="33">
        <v>81379</v>
      </c>
      <c r="I228" s="33" t="str">
        <f t="shared" si="48"/>
        <v>CHARACTER</v>
      </c>
      <c r="J228" s="33">
        <v>55386000</v>
      </c>
      <c r="K228" s="17" t="s">
        <v>3578</v>
      </c>
      <c r="L228" s="28" t="s">
        <v>3584</v>
      </c>
      <c r="M228" s="33">
        <v>99900</v>
      </c>
      <c r="N228" s="33" t="str">
        <f t="shared" si="42"/>
        <v>BXGY</v>
      </c>
      <c r="O228" s="34" t="str">
        <f t="shared" si="43"/>
        <v>B3 DISC 10%</v>
      </c>
      <c r="P228" s="33" t="str">
        <f t="shared" si="44"/>
        <v>BXGY</v>
      </c>
    </row>
    <row r="229" spans="1:16" x14ac:dyDescent="0.25">
      <c r="A229" s="33" t="str">
        <f t="shared" si="38"/>
        <v>2025 OCT - DEC B3D10</v>
      </c>
      <c r="B229" s="8">
        <f t="shared" si="39"/>
        <v>46099</v>
      </c>
      <c r="C229" s="8">
        <f t="shared" si="40"/>
        <v>46113</v>
      </c>
      <c r="D229" s="33">
        <f t="shared" si="41"/>
        <v>3272</v>
      </c>
      <c r="E229" s="33">
        <f t="shared" si="47"/>
        <v>336</v>
      </c>
      <c r="F229" s="33">
        <f t="shared" si="46"/>
        <v>4</v>
      </c>
      <c r="G229" s="33">
        <v>1</v>
      </c>
      <c r="H229" s="33">
        <v>81379</v>
      </c>
      <c r="I229" s="33" t="str">
        <f t="shared" si="48"/>
        <v>CHARACTER</v>
      </c>
      <c r="J229" s="33">
        <v>55386019</v>
      </c>
      <c r="K229" s="17" t="s">
        <v>3578</v>
      </c>
      <c r="L229" s="28" t="s">
        <v>3585</v>
      </c>
      <c r="M229" s="33">
        <v>99900</v>
      </c>
      <c r="N229" s="33" t="str">
        <f t="shared" si="42"/>
        <v>BXGY</v>
      </c>
      <c r="O229" s="34" t="str">
        <f t="shared" si="43"/>
        <v>B3 DISC 10%</v>
      </c>
      <c r="P229" s="33" t="str">
        <f t="shared" si="44"/>
        <v>BXGY</v>
      </c>
    </row>
    <row r="230" spans="1:16" x14ac:dyDescent="0.25">
      <c r="A230" s="33" t="str">
        <f t="shared" si="38"/>
        <v>2025 OCT - DEC B3D10</v>
      </c>
      <c r="B230" s="8">
        <f t="shared" si="39"/>
        <v>46099</v>
      </c>
      <c r="C230" s="8">
        <f t="shared" si="40"/>
        <v>46113</v>
      </c>
      <c r="D230" s="33">
        <f t="shared" si="41"/>
        <v>3272</v>
      </c>
      <c r="E230" s="33">
        <f>'2025 AUG B1G1'!E50</f>
        <v>336</v>
      </c>
      <c r="F230" s="33">
        <f t="shared" si="46"/>
        <v>4</v>
      </c>
      <c r="G230" s="33">
        <v>1</v>
      </c>
      <c r="H230" s="33">
        <v>81379</v>
      </c>
      <c r="I230" s="33" t="str">
        <f>'2025 AUG B1G1'!I50</f>
        <v>CHARACTER</v>
      </c>
      <c r="J230" s="33">
        <v>55386091</v>
      </c>
      <c r="K230" s="17" t="s">
        <v>3594</v>
      </c>
      <c r="L230" s="28" t="s">
        <v>3595</v>
      </c>
      <c r="M230" s="33">
        <v>99900</v>
      </c>
      <c r="N230" s="33" t="str">
        <f t="shared" si="42"/>
        <v>BXGY</v>
      </c>
      <c r="O230" s="34" t="str">
        <f t="shared" si="43"/>
        <v>B3 DISC 10%</v>
      </c>
      <c r="P230" s="33" t="str">
        <f t="shared" si="44"/>
        <v>BXGY</v>
      </c>
    </row>
    <row r="231" spans="1:16" x14ac:dyDescent="0.25">
      <c r="A231" s="33" t="str">
        <f t="shared" si="38"/>
        <v>2025 OCT - DEC B3D10</v>
      </c>
      <c r="B231" s="8">
        <f t="shared" si="39"/>
        <v>46099</v>
      </c>
      <c r="C231" s="8">
        <f t="shared" si="40"/>
        <v>46113</v>
      </c>
      <c r="D231" s="33">
        <f t="shared" si="41"/>
        <v>3272</v>
      </c>
      <c r="E231" s="33">
        <f t="shared" ref="E231:E243" si="49">E230</f>
        <v>336</v>
      </c>
      <c r="F231" s="33">
        <f t="shared" si="46"/>
        <v>4</v>
      </c>
      <c r="G231" s="33">
        <v>1</v>
      </c>
      <c r="H231" s="33">
        <v>81379</v>
      </c>
      <c r="I231" s="33" t="str">
        <f t="shared" ref="I231:I258" si="50">I230</f>
        <v>CHARACTER</v>
      </c>
      <c r="J231" s="33">
        <v>55386108</v>
      </c>
      <c r="K231" s="17" t="s">
        <v>3594</v>
      </c>
      <c r="L231" s="28" t="s">
        <v>3596</v>
      </c>
      <c r="M231" s="33">
        <v>99900</v>
      </c>
      <c r="N231" s="33" t="str">
        <f t="shared" si="42"/>
        <v>BXGY</v>
      </c>
      <c r="O231" s="34" t="str">
        <f t="shared" si="43"/>
        <v>B3 DISC 10%</v>
      </c>
      <c r="P231" s="33" t="str">
        <f t="shared" si="44"/>
        <v>BXGY</v>
      </c>
    </row>
    <row r="232" spans="1:16" x14ac:dyDescent="0.25">
      <c r="A232" s="33" t="str">
        <f t="shared" si="38"/>
        <v>2025 OCT - DEC B3D10</v>
      </c>
      <c r="B232" s="8">
        <f t="shared" si="39"/>
        <v>46099</v>
      </c>
      <c r="C232" s="8">
        <f t="shared" si="40"/>
        <v>46113</v>
      </c>
      <c r="D232" s="33">
        <f t="shared" si="41"/>
        <v>3272</v>
      </c>
      <c r="E232" s="33">
        <f t="shared" si="49"/>
        <v>336</v>
      </c>
      <c r="F232" s="33">
        <f t="shared" si="46"/>
        <v>4</v>
      </c>
      <c r="G232" s="33">
        <v>1</v>
      </c>
      <c r="H232" s="33">
        <v>81379</v>
      </c>
      <c r="I232" s="33" t="str">
        <f t="shared" si="50"/>
        <v>CHARACTER</v>
      </c>
      <c r="J232" s="33">
        <v>55386117</v>
      </c>
      <c r="K232" s="17" t="s">
        <v>3594</v>
      </c>
      <c r="L232" s="28" t="s">
        <v>3597</v>
      </c>
      <c r="M232" s="33">
        <v>99900</v>
      </c>
      <c r="N232" s="33" t="str">
        <f t="shared" si="42"/>
        <v>BXGY</v>
      </c>
      <c r="O232" s="34" t="str">
        <f t="shared" si="43"/>
        <v>B3 DISC 10%</v>
      </c>
      <c r="P232" s="33" t="str">
        <f t="shared" si="44"/>
        <v>BXGY</v>
      </c>
    </row>
    <row r="233" spans="1:16" x14ac:dyDescent="0.25">
      <c r="A233" s="33" t="str">
        <f t="shared" si="38"/>
        <v>2025 OCT - DEC B3D10</v>
      </c>
      <c r="B233" s="8">
        <f t="shared" si="39"/>
        <v>46099</v>
      </c>
      <c r="C233" s="8">
        <f t="shared" si="40"/>
        <v>46113</v>
      </c>
      <c r="D233" s="33">
        <f t="shared" si="41"/>
        <v>3272</v>
      </c>
      <c r="E233" s="33">
        <f t="shared" si="49"/>
        <v>336</v>
      </c>
      <c r="F233" s="33">
        <f t="shared" si="46"/>
        <v>4</v>
      </c>
      <c r="G233" s="33">
        <v>1</v>
      </c>
      <c r="H233" s="33">
        <v>81379</v>
      </c>
      <c r="I233" s="33" t="str">
        <f t="shared" si="50"/>
        <v>CHARACTER</v>
      </c>
      <c r="J233" s="33">
        <v>55386126</v>
      </c>
      <c r="K233" s="17" t="s">
        <v>3594</v>
      </c>
      <c r="L233" s="28" t="s">
        <v>3598</v>
      </c>
      <c r="M233" s="33">
        <v>99900</v>
      </c>
      <c r="N233" s="33" t="str">
        <f t="shared" si="42"/>
        <v>BXGY</v>
      </c>
      <c r="O233" s="34" t="str">
        <f t="shared" si="43"/>
        <v>B3 DISC 10%</v>
      </c>
      <c r="P233" s="33" t="str">
        <f t="shared" si="44"/>
        <v>BXGY</v>
      </c>
    </row>
    <row r="234" spans="1:16" x14ac:dyDescent="0.25">
      <c r="A234" s="33" t="str">
        <f t="shared" si="38"/>
        <v>2025 OCT - DEC B3D10</v>
      </c>
      <c r="B234" s="8">
        <f t="shared" si="39"/>
        <v>46099</v>
      </c>
      <c r="C234" s="8">
        <f t="shared" si="40"/>
        <v>46113</v>
      </c>
      <c r="D234" s="33">
        <f t="shared" si="41"/>
        <v>3272</v>
      </c>
      <c r="E234" s="33">
        <f t="shared" si="49"/>
        <v>336</v>
      </c>
      <c r="F234" s="33">
        <f t="shared" si="46"/>
        <v>4</v>
      </c>
      <c r="G234" s="33">
        <v>1</v>
      </c>
      <c r="H234" s="33">
        <v>81379</v>
      </c>
      <c r="I234" s="33" t="str">
        <f t="shared" si="50"/>
        <v>CHARACTER</v>
      </c>
      <c r="J234" s="33">
        <v>55386135</v>
      </c>
      <c r="K234" s="17" t="s">
        <v>3594</v>
      </c>
      <c r="L234" s="28" t="s">
        <v>3599</v>
      </c>
      <c r="M234" s="33">
        <v>99900</v>
      </c>
      <c r="N234" s="33" t="str">
        <f t="shared" si="42"/>
        <v>BXGY</v>
      </c>
      <c r="O234" s="34" t="str">
        <f t="shared" si="43"/>
        <v>B3 DISC 10%</v>
      </c>
      <c r="P234" s="33" t="str">
        <f t="shared" si="44"/>
        <v>BXGY</v>
      </c>
    </row>
    <row r="235" spans="1:16" x14ac:dyDescent="0.25">
      <c r="A235" s="33" t="str">
        <f t="shared" si="38"/>
        <v>2025 OCT - DEC B3D10</v>
      </c>
      <c r="B235" s="8">
        <f t="shared" si="39"/>
        <v>46099</v>
      </c>
      <c r="C235" s="8">
        <f t="shared" si="40"/>
        <v>46113</v>
      </c>
      <c r="D235" s="33">
        <f t="shared" si="41"/>
        <v>3272</v>
      </c>
      <c r="E235" s="33">
        <f t="shared" si="49"/>
        <v>336</v>
      </c>
      <c r="F235" s="33">
        <f t="shared" si="46"/>
        <v>4</v>
      </c>
      <c r="G235" s="33">
        <v>1</v>
      </c>
      <c r="H235" s="33">
        <v>81379</v>
      </c>
      <c r="I235" s="33" t="str">
        <f t="shared" si="50"/>
        <v>CHARACTER</v>
      </c>
      <c r="J235" s="33">
        <v>55386144</v>
      </c>
      <c r="K235" s="17" t="s">
        <v>3594</v>
      </c>
      <c r="L235" s="28" t="s">
        <v>3600</v>
      </c>
      <c r="M235" s="33">
        <v>99900</v>
      </c>
      <c r="N235" s="33" t="str">
        <f t="shared" si="42"/>
        <v>BXGY</v>
      </c>
      <c r="O235" s="34" t="str">
        <f t="shared" si="43"/>
        <v>B3 DISC 10%</v>
      </c>
      <c r="P235" s="33" t="str">
        <f t="shared" si="44"/>
        <v>BXGY</v>
      </c>
    </row>
    <row r="236" spans="1:16" x14ac:dyDescent="0.25">
      <c r="A236" s="33" t="str">
        <f t="shared" si="38"/>
        <v>2025 OCT - DEC B3D10</v>
      </c>
      <c r="B236" s="8">
        <f t="shared" si="39"/>
        <v>46099</v>
      </c>
      <c r="C236" s="8">
        <f t="shared" si="40"/>
        <v>46113</v>
      </c>
      <c r="D236" s="33">
        <f t="shared" si="41"/>
        <v>3272</v>
      </c>
      <c r="E236" s="33">
        <f t="shared" si="49"/>
        <v>336</v>
      </c>
      <c r="F236" s="33">
        <f t="shared" si="46"/>
        <v>4</v>
      </c>
      <c r="G236" s="33">
        <v>1</v>
      </c>
      <c r="H236" s="33">
        <v>81379</v>
      </c>
      <c r="I236" s="33" t="str">
        <f t="shared" si="50"/>
        <v>CHARACTER</v>
      </c>
      <c r="J236" s="33">
        <v>55386153</v>
      </c>
      <c r="K236" s="17" t="s">
        <v>3594</v>
      </c>
      <c r="L236" s="28" t="s">
        <v>3601</v>
      </c>
      <c r="M236" s="33">
        <v>99900</v>
      </c>
      <c r="N236" s="33" t="str">
        <f t="shared" si="42"/>
        <v>BXGY</v>
      </c>
      <c r="O236" s="34" t="str">
        <f t="shared" si="43"/>
        <v>B3 DISC 10%</v>
      </c>
      <c r="P236" s="33" t="str">
        <f t="shared" si="44"/>
        <v>BXGY</v>
      </c>
    </row>
    <row r="237" spans="1:16" x14ac:dyDescent="0.25">
      <c r="A237" s="33" t="str">
        <f t="shared" si="38"/>
        <v>2025 OCT - DEC B3D10</v>
      </c>
      <c r="B237" s="8">
        <f t="shared" si="39"/>
        <v>46099</v>
      </c>
      <c r="C237" s="8">
        <f t="shared" si="40"/>
        <v>46113</v>
      </c>
      <c r="D237" s="33">
        <f t="shared" si="41"/>
        <v>3272</v>
      </c>
      <c r="E237" s="33">
        <f t="shared" si="49"/>
        <v>336</v>
      </c>
      <c r="F237" s="33">
        <f t="shared" si="46"/>
        <v>4</v>
      </c>
      <c r="G237" s="33">
        <v>1</v>
      </c>
      <c r="H237" s="33">
        <v>81379</v>
      </c>
      <c r="I237" s="33" t="str">
        <f t="shared" si="50"/>
        <v>CHARACTER</v>
      </c>
      <c r="J237" s="33">
        <v>55386162</v>
      </c>
      <c r="K237" s="17" t="s">
        <v>3602</v>
      </c>
      <c r="L237" s="28" t="s">
        <v>3603</v>
      </c>
      <c r="M237" s="33">
        <v>99900</v>
      </c>
      <c r="N237" s="33" t="str">
        <f t="shared" si="42"/>
        <v>BXGY</v>
      </c>
      <c r="O237" s="34" t="str">
        <f t="shared" si="43"/>
        <v>B3 DISC 10%</v>
      </c>
      <c r="P237" s="33" t="str">
        <f t="shared" si="44"/>
        <v>BXGY</v>
      </c>
    </row>
    <row r="238" spans="1:16" x14ac:dyDescent="0.25">
      <c r="A238" s="33" t="str">
        <f t="shared" si="38"/>
        <v>2025 OCT - DEC B3D10</v>
      </c>
      <c r="B238" s="8">
        <f t="shared" si="39"/>
        <v>46099</v>
      </c>
      <c r="C238" s="8">
        <f t="shared" si="40"/>
        <v>46113</v>
      </c>
      <c r="D238" s="33">
        <f t="shared" si="41"/>
        <v>3272</v>
      </c>
      <c r="E238" s="33">
        <f t="shared" si="49"/>
        <v>336</v>
      </c>
      <c r="F238" s="33">
        <f t="shared" si="46"/>
        <v>4</v>
      </c>
      <c r="G238" s="33">
        <v>1</v>
      </c>
      <c r="H238" s="33">
        <v>81379</v>
      </c>
      <c r="I238" s="33" t="str">
        <f t="shared" si="50"/>
        <v>CHARACTER</v>
      </c>
      <c r="J238" s="33">
        <v>55386171</v>
      </c>
      <c r="K238" s="17" t="s">
        <v>3602</v>
      </c>
      <c r="L238" s="28" t="s">
        <v>3604</v>
      </c>
      <c r="M238" s="33">
        <v>99900</v>
      </c>
      <c r="N238" s="33" t="str">
        <f t="shared" si="42"/>
        <v>BXGY</v>
      </c>
      <c r="O238" s="34" t="str">
        <f t="shared" si="43"/>
        <v>B3 DISC 10%</v>
      </c>
      <c r="P238" s="33" t="str">
        <f t="shared" si="44"/>
        <v>BXGY</v>
      </c>
    </row>
    <row r="239" spans="1:16" x14ac:dyDescent="0.25">
      <c r="A239" s="33" t="str">
        <f t="shared" si="38"/>
        <v>2025 OCT - DEC B3D10</v>
      </c>
      <c r="B239" s="8">
        <f t="shared" si="39"/>
        <v>46099</v>
      </c>
      <c r="C239" s="8">
        <f t="shared" si="40"/>
        <v>46113</v>
      </c>
      <c r="D239" s="33">
        <f t="shared" si="41"/>
        <v>3272</v>
      </c>
      <c r="E239" s="33">
        <f t="shared" si="49"/>
        <v>336</v>
      </c>
      <c r="F239" s="33">
        <f t="shared" si="46"/>
        <v>4</v>
      </c>
      <c r="G239" s="33">
        <v>1</v>
      </c>
      <c r="H239" s="33">
        <v>81379</v>
      </c>
      <c r="I239" s="33" t="str">
        <f t="shared" si="50"/>
        <v>CHARACTER</v>
      </c>
      <c r="J239" s="33">
        <v>55386180</v>
      </c>
      <c r="K239" s="17" t="s">
        <v>3602</v>
      </c>
      <c r="L239" s="28" t="s">
        <v>3605</v>
      </c>
      <c r="M239" s="33">
        <v>99900</v>
      </c>
      <c r="N239" s="33" t="str">
        <f t="shared" si="42"/>
        <v>BXGY</v>
      </c>
      <c r="O239" s="34" t="str">
        <f t="shared" si="43"/>
        <v>B3 DISC 10%</v>
      </c>
      <c r="P239" s="33" t="str">
        <f t="shared" si="44"/>
        <v>BXGY</v>
      </c>
    </row>
    <row r="240" spans="1:16" x14ac:dyDescent="0.25">
      <c r="A240" s="33" t="str">
        <f t="shared" si="38"/>
        <v>2025 OCT - DEC B3D10</v>
      </c>
      <c r="B240" s="8">
        <f t="shared" si="39"/>
        <v>46099</v>
      </c>
      <c r="C240" s="8">
        <f t="shared" si="40"/>
        <v>46113</v>
      </c>
      <c r="D240" s="33">
        <f t="shared" si="41"/>
        <v>3272</v>
      </c>
      <c r="E240" s="33">
        <f t="shared" si="49"/>
        <v>336</v>
      </c>
      <c r="F240" s="33">
        <f t="shared" si="46"/>
        <v>4</v>
      </c>
      <c r="G240" s="33">
        <v>1</v>
      </c>
      <c r="H240" s="33">
        <v>81379</v>
      </c>
      <c r="I240" s="33" t="str">
        <f t="shared" si="50"/>
        <v>CHARACTER</v>
      </c>
      <c r="J240" s="33">
        <v>55386199</v>
      </c>
      <c r="K240" s="17" t="s">
        <v>3602</v>
      </c>
      <c r="L240" s="28" t="s">
        <v>3606</v>
      </c>
      <c r="M240" s="33">
        <v>99900</v>
      </c>
      <c r="N240" s="33" t="str">
        <f t="shared" si="42"/>
        <v>BXGY</v>
      </c>
      <c r="O240" s="34" t="str">
        <f t="shared" si="43"/>
        <v>B3 DISC 10%</v>
      </c>
      <c r="P240" s="33" t="str">
        <f t="shared" si="44"/>
        <v>BXGY</v>
      </c>
    </row>
    <row r="241" spans="1:16" x14ac:dyDescent="0.25">
      <c r="A241" s="33" t="str">
        <f t="shared" si="38"/>
        <v>2025 OCT - DEC B3D10</v>
      </c>
      <c r="B241" s="8">
        <f t="shared" si="39"/>
        <v>46099</v>
      </c>
      <c r="C241" s="8">
        <f t="shared" si="40"/>
        <v>46113</v>
      </c>
      <c r="D241" s="33">
        <f t="shared" si="41"/>
        <v>3272</v>
      </c>
      <c r="E241" s="33">
        <f t="shared" si="49"/>
        <v>336</v>
      </c>
      <c r="F241" s="33">
        <f t="shared" si="46"/>
        <v>4</v>
      </c>
      <c r="G241" s="33">
        <v>1</v>
      </c>
      <c r="H241" s="33">
        <v>81379</v>
      </c>
      <c r="I241" s="33" t="str">
        <f t="shared" si="50"/>
        <v>CHARACTER</v>
      </c>
      <c r="J241" s="33">
        <v>55386206</v>
      </c>
      <c r="K241" s="17" t="s">
        <v>3602</v>
      </c>
      <c r="L241" s="28" t="s">
        <v>3607</v>
      </c>
      <c r="M241" s="33">
        <v>99900</v>
      </c>
      <c r="N241" s="33" t="str">
        <f t="shared" si="42"/>
        <v>BXGY</v>
      </c>
      <c r="O241" s="34" t="str">
        <f t="shared" si="43"/>
        <v>B3 DISC 10%</v>
      </c>
      <c r="P241" s="33" t="str">
        <f t="shared" si="44"/>
        <v>BXGY</v>
      </c>
    </row>
    <row r="242" spans="1:16" x14ac:dyDescent="0.25">
      <c r="A242" s="33" t="str">
        <f t="shared" si="38"/>
        <v>2025 OCT - DEC B3D10</v>
      </c>
      <c r="B242" s="8">
        <f t="shared" si="39"/>
        <v>46099</v>
      </c>
      <c r="C242" s="8">
        <f t="shared" si="40"/>
        <v>46113</v>
      </c>
      <c r="D242" s="33">
        <f t="shared" si="41"/>
        <v>3272</v>
      </c>
      <c r="E242" s="33">
        <f t="shared" si="49"/>
        <v>336</v>
      </c>
      <c r="F242" s="33">
        <f t="shared" si="46"/>
        <v>4</v>
      </c>
      <c r="G242" s="33">
        <v>1</v>
      </c>
      <c r="H242" s="33">
        <v>81379</v>
      </c>
      <c r="I242" s="33" t="str">
        <f t="shared" si="50"/>
        <v>CHARACTER</v>
      </c>
      <c r="J242" s="33">
        <v>55386215</v>
      </c>
      <c r="K242" s="17" t="s">
        <v>3602</v>
      </c>
      <c r="L242" s="28" t="s">
        <v>3608</v>
      </c>
      <c r="M242" s="33">
        <v>99900</v>
      </c>
      <c r="N242" s="33" t="str">
        <f t="shared" si="42"/>
        <v>BXGY</v>
      </c>
      <c r="O242" s="34" t="str">
        <f t="shared" si="43"/>
        <v>B3 DISC 10%</v>
      </c>
      <c r="P242" s="33" t="str">
        <f t="shared" si="44"/>
        <v>BXGY</v>
      </c>
    </row>
    <row r="243" spans="1:16" x14ac:dyDescent="0.25">
      <c r="A243" s="33" t="str">
        <f t="shared" si="38"/>
        <v>2025 OCT - DEC B3D10</v>
      </c>
      <c r="B243" s="8">
        <f t="shared" si="39"/>
        <v>46099</v>
      </c>
      <c r="C243" s="8">
        <f t="shared" si="40"/>
        <v>46113</v>
      </c>
      <c r="D243" s="33">
        <f t="shared" si="41"/>
        <v>3272</v>
      </c>
      <c r="E243" s="33">
        <f t="shared" si="49"/>
        <v>336</v>
      </c>
      <c r="F243" s="33">
        <f t="shared" si="46"/>
        <v>4</v>
      </c>
      <c r="G243" s="33">
        <v>1</v>
      </c>
      <c r="H243" s="33">
        <v>81379</v>
      </c>
      <c r="I243" s="33" t="str">
        <f t="shared" si="50"/>
        <v>CHARACTER</v>
      </c>
      <c r="J243" s="33">
        <v>55386224</v>
      </c>
      <c r="K243" s="17" t="s">
        <v>3602</v>
      </c>
      <c r="L243" s="28" t="s">
        <v>3609</v>
      </c>
      <c r="M243" s="33">
        <v>99900</v>
      </c>
      <c r="N243" s="33" t="str">
        <f t="shared" si="42"/>
        <v>BXGY</v>
      </c>
      <c r="O243" s="34" t="str">
        <f t="shared" si="43"/>
        <v>B3 DISC 10%</v>
      </c>
      <c r="P243" s="33" t="str">
        <f t="shared" si="44"/>
        <v>BXGY</v>
      </c>
    </row>
    <row r="244" spans="1:16" x14ac:dyDescent="0.25">
      <c r="A244" s="33" t="str">
        <f t="shared" si="38"/>
        <v>2025 OCT - DEC B3D10</v>
      </c>
      <c r="B244" s="8">
        <f t="shared" si="39"/>
        <v>46099</v>
      </c>
      <c r="C244" s="8">
        <f t="shared" si="40"/>
        <v>46113</v>
      </c>
      <c r="D244" s="33">
        <f t="shared" si="41"/>
        <v>3272</v>
      </c>
      <c r="E244" s="33">
        <v>336</v>
      </c>
      <c r="F244" s="33">
        <f t="shared" si="46"/>
        <v>4</v>
      </c>
      <c r="G244" s="33">
        <v>1</v>
      </c>
      <c r="H244" s="33">
        <v>81379</v>
      </c>
      <c r="I244" s="33" t="str">
        <f t="shared" si="50"/>
        <v>CHARACTER</v>
      </c>
      <c r="J244" s="33">
        <v>61099710</v>
      </c>
      <c r="K244" s="33" t="s">
        <v>3626</v>
      </c>
      <c r="L244" s="22" t="s">
        <v>3629</v>
      </c>
      <c r="M244" s="34">
        <v>99900</v>
      </c>
      <c r="N244" s="33" t="str">
        <f t="shared" si="42"/>
        <v>BXGY</v>
      </c>
      <c r="O244" s="34" t="str">
        <f t="shared" si="43"/>
        <v>B3 DISC 10%</v>
      </c>
      <c r="P244" s="33" t="str">
        <f t="shared" si="44"/>
        <v>BXGY</v>
      </c>
    </row>
    <row r="245" spans="1:16" x14ac:dyDescent="0.25">
      <c r="A245" s="33" t="str">
        <f t="shared" si="38"/>
        <v>2025 OCT - DEC B3D10</v>
      </c>
      <c r="B245" s="8">
        <f t="shared" si="39"/>
        <v>46099</v>
      </c>
      <c r="C245" s="8">
        <f t="shared" si="40"/>
        <v>46113</v>
      </c>
      <c r="D245" s="33">
        <f t="shared" si="41"/>
        <v>3272</v>
      </c>
      <c r="E245" s="33">
        <f t="shared" ref="E245:E258" si="51">E244</f>
        <v>336</v>
      </c>
      <c r="F245" s="33">
        <f t="shared" si="46"/>
        <v>4</v>
      </c>
      <c r="G245" s="33">
        <v>1</v>
      </c>
      <c r="H245" s="33">
        <v>81379</v>
      </c>
      <c r="I245" s="33" t="str">
        <f t="shared" si="50"/>
        <v>CHARACTER</v>
      </c>
      <c r="J245" s="33">
        <v>61099729</v>
      </c>
      <c r="K245" s="33" t="s">
        <v>3626</v>
      </c>
      <c r="L245" s="22" t="s">
        <v>3630</v>
      </c>
      <c r="M245" s="34">
        <v>99900</v>
      </c>
      <c r="N245" s="33" t="str">
        <f t="shared" si="42"/>
        <v>BXGY</v>
      </c>
      <c r="O245" s="34" t="str">
        <f t="shared" si="43"/>
        <v>B3 DISC 10%</v>
      </c>
      <c r="P245" s="33" t="str">
        <f t="shared" si="44"/>
        <v>BXGY</v>
      </c>
    </row>
    <row r="246" spans="1:16" x14ac:dyDescent="0.25">
      <c r="A246" s="33" t="str">
        <f t="shared" si="38"/>
        <v>2025 OCT - DEC B3D10</v>
      </c>
      <c r="B246" s="8">
        <f t="shared" si="39"/>
        <v>46099</v>
      </c>
      <c r="C246" s="8">
        <f t="shared" si="40"/>
        <v>46113</v>
      </c>
      <c r="D246" s="33">
        <f t="shared" si="41"/>
        <v>3272</v>
      </c>
      <c r="E246" s="33">
        <f t="shared" si="51"/>
        <v>336</v>
      </c>
      <c r="F246" s="33">
        <f t="shared" si="46"/>
        <v>4</v>
      </c>
      <c r="G246" s="33">
        <v>1</v>
      </c>
      <c r="H246" s="33">
        <v>81379</v>
      </c>
      <c r="I246" s="33" t="str">
        <f t="shared" si="50"/>
        <v>CHARACTER</v>
      </c>
      <c r="J246" s="33">
        <v>61099738</v>
      </c>
      <c r="K246" s="33" t="s">
        <v>3626</v>
      </c>
      <c r="L246" s="22" t="s">
        <v>3631</v>
      </c>
      <c r="M246" s="34">
        <v>99900</v>
      </c>
      <c r="N246" s="33" t="str">
        <f t="shared" si="42"/>
        <v>BXGY</v>
      </c>
      <c r="O246" s="34" t="str">
        <f t="shared" si="43"/>
        <v>B3 DISC 10%</v>
      </c>
      <c r="P246" s="33" t="str">
        <f t="shared" si="44"/>
        <v>BXGY</v>
      </c>
    </row>
    <row r="247" spans="1:16" x14ac:dyDescent="0.25">
      <c r="A247" s="33" t="str">
        <f t="shared" si="38"/>
        <v>2025 OCT - DEC B3D10</v>
      </c>
      <c r="B247" s="8">
        <f t="shared" si="39"/>
        <v>46099</v>
      </c>
      <c r="C247" s="8">
        <f t="shared" si="40"/>
        <v>46113</v>
      </c>
      <c r="D247" s="33">
        <f t="shared" si="41"/>
        <v>3272</v>
      </c>
      <c r="E247" s="33">
        <f t="shared" si="51"/>
        <v>336</v>
      </c>
      <c r="F247" s="33">
        <f t="shared" si="46"/>
        <v>4</v>
      </c>
      <c r="G247" s="33">
        <v>1</v>
      </c>
      <c r="H247" s="33">
        <v>81379</v>
      </c>
      <c r="I247" s="33" t="str">
        <f t="shared" si="50"/>
        <v>CHARACTER</v>
      </c>
      <c r="J247" s="33">
        <v>61099747</v>
      </c>
      <c r="K247" s="33" t="s">
        <v>3626</v>
      </c>
      <c r="L247" s="22" t="s">
        <v>3632</v>
      </c>
      <c r="M247" s="34">
        <v>99900</v>
      </c>
      <c r="N247" s="33" t="str">
        <f t="shared" si="42"/>
        <v>BXGY</v>
      </c>
      <c r="O247" s="34" t="str">
        <f t="shared" si="43"/>
        <v>B3 DISC 10%</v>
      </c>
      <c r="P247" s="33" t="str">
        <f t="shared" si="44"/>
        <v>BXGY</v>
      </c>
    </row>
    <row r="248" spans="1:16" x14ac:dyDescent="0.25">
      <c r="A248" s="33" t="str">
        <f t="shared" si="38"/>
        <v>2025 OCT - DEC B3D10</v>
      </c>
      <c r="B248" s="8">
        <f t="shared" si="39"/>
        <v>46099</v>
      </c>
      <c r="C248" s="8">
        <f t="shared" si="40"/>
        <v>46113</v>
      </c>
      <c r="D248" s="33">
        <f t="shared" si="41"/>
        <v>3272</v>
      </c>
      <c r="E248" s="33">
        <f t="shared" si="51"/>
        <v>336</v>
      </c>
      <c r="F248" s="33">
        <f t="shared" si="46"/>
        <v>4</v>
      </c>
      <c r="G248" s="33">
        <v>1</v>
      </c>
      <c r="H248" s="33">
        <v>81379</v>
      </c>
      <c r="I248" s="33" t="str">
        <f t="shared" si="50"/>
        <v>CHARACTER</v>
      </c>
      <c r="J248" s="33">
        <v>61099756</v>
      </c>
      <c r="K248" s="33" t="s">
        <v>3627</v>
      </c>
      <c r="L248" s="22" t="s">
        <v>3633</v>
      </c>
      <c r="M248" s="34">
        <v>99900</v>
      </c>
      <c r="N248" s="33" t="str">
        <f t="shared" si="42"/>
        <v>BXGY</v>
      </c>
      <c r="O248" s="34" t="str">
        <f t="shared" si="43"/>
        <v>B3 DISC 10%</v>
      </c>
      <c r="P248" s="33" t="str">
        <f t="shared" si="44"/>
        <v>BXGY</v>
      </c>
    </row>
    <row r="249" spans="1:16" x14ac:dyDescent="0.25">
      <c r="A249" s="33" t="str">
        <f t="shared" si="38"/>
        <v>2025 OCT - DEC B3D10</v>
      </c>
      <c r="B249" s="8">
        <f t="shared" si="39"/>
        <v>46099</v>
      </c>
      <c r="C249" s="8">
        <f t="shared" si="40"/>
        <v>46113</v>
      </c>
      <c r="D249" s="33">
        <f t="shared" si="41"/>
        <v>3272</v>
      </c>
      <c r="E249" s="33">
        <f t="shared" si="51"/>
        <v>336</v>
      </c>
      <c r="F249" s="33">
        <f t="shared" si="46"/>
        <v>4</v>
      </c>
      <c r="G249" s="33">
        <v>1</v>
      </c>
      <c r="H249" s="33">
        <v>81379</v>
      </c>
      <c r="I249" s="33" t="str">
        <f t="shared" si="50"/>
        <v>CHARACTER</v>
      </c>
      <c r="J249" s="33">
        <v>61099765</v>
      </c>
      <c r="K249" s="33" t="s">
        <v>3627</v>
      </c>
      <c r="L249" s="22" t="s">
        <v>3634</v>
      </c>
      <c r="M249" s="34">
        <v>99900</v>
      </c>
      <c r="N249" s="33" t="str">
        <f t="shared" si="42"/>
        <v>BXGY</v>
      </c>
      <c r="O249" s="34" t="str">
        <f t="shared" si="43"/>
        <v>B3 DISC 10%</v>
      </c>
      <c r="P249" s="33" t="str">
        <f t="shared" si="44"/>
        <v>BXGY</v>
      </c>
    </row>
    <row r="250" spans="1:16" x14ac:dyDescent="0.25">
      <c r="A250" s="33" t="str">
        <f t="shared" si="38"/>
        <v>2025 OCT - DEC B3D10</v>
      </c>
      <c r="B250" s="8">
        <f t="shared" si="39"/>
        <v>46099</v>
      </c>
      <c r="C250" s="8">
        <f t="shared" si="40"/>
        <v>46113</v>
      </c>
      <c r="D250" s="33">
        <f t="shared" si="41"/>
        <v>3272</v>
      </c>
      <c r="E250" s="33">
        <f t="shared" si="51"/>
        <v>336</v>
      </c>
      <c r="F250" s="33">
        <f t="shared" si="46"/>
        <v>4</v>
      </c>
      <c r="G250" s="33">
        <v>1</v>
      </c>
      <c r="H250" s="33">
        <v>81379</v>
      </c>
      <c r="I250" s="33" t="str">
        <f t="shared" si="50"/>
        <v>CHARACTER</v>
      </c>
      <c r="J250" s="33">
        <v>61099774</v>
      </c>
      <c r="K250" s="33" t="s">
        <v>3627</v>
      </c>
      <c r="L250" s="22" t="s">
        <v>3635</v>
      </c>
      <c r="M250" s="34">
        <v>99900</v>
      </c>
      <c r="N250" s="33" t="str">
        <f t="shared" si="42"/>
        <v>BXGY</v>
      </c>
      <c r="O250" s="34" t="str">
        <f t="shared" si="43"/>
        <v>B3 DISC 10%</v>
      </c>
      <c r="P250" s="33" t="str">
        <f t="shared" si="44"/>
        <v>BXGY</v>
      </c>
    </row>
    <row r="251" spans="1:16" x14ac:dyDescent="0.25">
      <c r="A251" s="33" t="str">
        <f t="shared" si="38"/>
        <v>2025 OCT - DEC B3D10</v>
      </c>
      <c r="B251" s="8">
        <f t="shared" si="39"/>
        <v>46099</v>
      </c>
      <c r="C251" s="8">
        <f t="shared" si="40"/>
        <v>46113</v>
      </c>
      <c r="D251" s="33">
        <f t="shared" si="41"/>
        <v>3272</v>
      </c>
      <c r="E251" s="33">
        <f t="shared" si="51"/>
        <v>336</v>
      </c>
      <c r="F251" s="33">
        <f t="shared" si="46"/>
        <v>4</v>
      </c>
      <c r="G251" s="33">
        <v>1</v>
      </c>
      <c r="H251" s="33">
        <v>81379</v>
      </c>
      <c r="I251" s="33" t="str">
        <f t="shared" si="50"/>
        <v>CHARACTER</v>
      </c>
      <c r="J251" s="33">
        <v>61099783</v>
      </c>
      <c r="K251" s="33" t="s">
        <v>3627</v>
      </c>
      <c r="L251" s="22" t="s">
        <v>3636</v>
      </c>
      <c r="M251" s="34">
        <v>99900</v>
      </c>
      <c r="N251" s="33" t="str">
        <f t="shared" si="42"/>
        <v>BXGY</v>
      </c>
      <c r="O251" s="34" t="str">
        <f t="shared" si="43"/>
        <v>B3 DISC 10%</v>
      </c>
      <c r="P251" s="33" t="str">
        <f t="shared" si="44"/>
        <v>BXGY</v>
      </c>
    </row>
    <row r="252" spans="1:16" x14ac:dyDescent="0.25">
      <c r="A252" s="33" t="str">
        <f t="shared" si="38"/>
        <v>2025 OCT - DEC B3D10</v>
      </c>
      <c r="B252" s="8">
        <f t="shared" si="39"/>
        <v>46099</v>
      </c>
      <c r="C252" s="8">
        <f t="shared" si="40"/>
        <v>46113</v>
      </c>
      <c r="D252" s="33">
        <f t="shared" si="41"/>
        <v>3272</v>
      </c>
      <c r="E252" s="33">
        <f t="shared" si="51"/>
        <v>336</v>
      </c>
      <c r="F252" s="33">
        <f t="shared" si="46"/>
        <v>4</v>
      </c>
      <c r="G252" s="33">
        <v>4</v>
      </c>
      <c r="H252" s="33">
        <v>81676</v>
      </c>
      <c r="I252" s="33" t="str">
        <f t="shared" si="50"/>
        <v>CHARACTER</v>
      </c>
      <c r="J252" s="33">
        <v>61100047</v>
      </c>
      <c r="K252" s="33" t="s">
        <v>3628</v>
      </c>
      <c r="L252" s="22" t="s">
        <v>3637</v>
      </c>
      <c r="M252" s="34">
        <v>129900</v>
      </c>
      <c r="N252" s="33" t="str">
        <f t="shared" si="42"/>
        <v>BXGY</v>
      </c>
      <c r="O252" s="34" t="str">
        <f t="shared" si="43"/>
        <v>B3 DISC 10%</v>
      </c>
      <c r="P252" s="33" t="str">
        <f t="shared" si="44"/>
        <v>BXGY</v>
      </c>
    </row>
    <row r="253" spans="1:16" x14ac:dyDescent="0.25">
      <c r="A253" s="33" t="str">
        <f t="shared" si="38"/>
        <v>2025 OCT - DEC B3D10</v>
      </c>
      <c r="B253" s="8">
        <f t="shared" si="39"/>
        <v>46099</v>
      </c>
      <c r="C253" s="8">
        <f t="shared" si="40"/>
        <v>46113</v>
      </c>
      <c r="D253" s="33">
        <f t="shared" si="41"/>
        <v>3272</v>
      </c>
      <c r="E253" s="33">
        <f t="shared" si="51"/>
        <v>336</v>
      </c>
      <c r="F253" s="33">
        <f t="shared" si="46"/>
        <v>4</v>
      </c>
      <c r="G253" s="33">
        <v>4</v>
      </c>
      <c r="H253" s="33">
        <v>81676</v>
      </c>
      <c r="I253" s="33" t="str">
        <f t="shared" si="50"/>
        <v>CHARACTER</v>
      </c>
      <c r="J253" s="33">
        <v>61100056</v>
      </c>
      <c r="K253" s="33" t="s">
        <v>3628</v>
      </c>
      <c r="L253" s="22" t="s">
        <v>3638</v>
      </c>
      <c r="M253" s="34">
        <v>129900</v>
      </c>
      <c r="N253" s="33" t="str">
        <f t="shared" si="42"/>
        <v>BXGY</v>
      </c>
      <c r="O253" s="34" t="str">
        <f t="shared" si="43"/>
        <v>B3 DISC 10%</v>
      </c>
      <c r="P253" s="33" t="str">
        <f t="shared" si="44"/>
        <v>BXGY</v>
      </c>
    </row>
    <row r="254" spans="1:16" x14ac:dyDescent="0.25">
      <c r="A254" s="33" t="str">
        <f t="shared" si="38"/>
        <v>2025 OCT - DEC B3D10</v>
      </c>
      <c r="B254" s="8">
        <f t="shared" si="39"/>
        <v>46099</v>
      </c>
      <c r="C254" s="8">
        <f t="shared" si="40"/>
        <v>46113</v>
      </c>
      <c r="D254" s="33">
        <f t="shared" si="41"/>
        <v>3272</v>
      </c>
      <c r="E254" s="33">
        <f t="shared" si="51"/>
        <v>336</v>
      </c>
      <c r="F254" s="33">
        <f t="shared" si="46"/>
        <v>4</v>
      </c>
      <c r="G254" s="33">
        <v>4</v>
      </c>
      <c r="H254" s="33">
        <v>81676</v>
      </c>
      <c r="I254" s="33" t="str">
        <f t="shared" si="50"/>
        <v>CHARACTER</v>
      </c>
      <c r="J254" s="33">
        <v>61100065</v>
      </c>
      <c r="K254" s="33" t="s">
        <v>3628</v>
      </c>
      <c r="L254" s="22" t="s">
        <v>3639</v>
      </c>
      <c r="M254" s="34">
        <v>129900</v>
      </c>
      <c r="N254" s="33" t="str">
        <f t="shared" si="42"/>
        <v>BXGY</v>
      </c>
      <c r="O254" s="34" t="str">
        <f t="shared" si="43"/>
        <v>B3 DISC 10%</v>
      </c>
      <c r="P254" s="33" t="str">
        <f t="shared" si="44"/>
        <v>BXGY</v>
      </c>
    </row>
    <row r="255" spans="1:16" x14ac:dyDescent="0.25">
      <c r="A255" s="33" t="str">
        <f t="shared" si="38"/>
        <v>2025 OCT - DEC B3D10</v>
      </c>
      <c r="B255" s="8">
        <f t="shared" si="39"/>
        <v>46099</v>
      </c>
      <c r="C255" s="8">
        <f t="shared" si="40"/>
        <v>46113</v>
      </c>
      <c r="D255" s="33">
        <f t="shared" si="41"/>
        <v>3272</v>
      </c>
      <c r="E255" s="33">
        <f t="shared" si="51"/>
        <v>336</v>
      </c>
      <c r="F255" s="33">
        <f t="shared" si="46"/>
        <v>4</v>
      </c>
      <c r="G255" s="33">
        <v>4</v>
      </c>
      <c r="H255" s="33">
        <v>81676</v>
      </c>
      <c r="I255" s="33" t="str">
        <f t="shared" si="50"/>
        <v>CHARACTER</v>
      </c>
      <c r="J255" s="33">
        <v>61100074</v>
      </c>
      <c r="K255" s="33" t="s">
        <v>3628</v>
      </c>
      <c r="L255" s="22" t="s">
        <v>3640</v>
      </c>
      <c r="M255" s="34">
        <v>129900</v>
      </c>
      <c r="N255" s="33" t="str">
        <f t="shared" si="42"/>
        <v>BXGY</v>
      </c>
      <c r="O255" s="34" t="str">
        <f t="shared" si="43"/>
        <v>B3 DISC 10%</v>
      </c>
      <c r="P255" s="33" t="str">
        <f t="shared" si="44"/>
        <v>BXGY</v>
      </c>
    </row>
    <row r="256" spans="1:16" x14ac:dyDescent="0.25">
      <c r="A256" s="33" t="str">
        <f t="shared" si="38"/>
        <v>2025 OCT - DEC B3D10</v>
      </c>
      <c r="B256" s="8">
        <f t="shared" si="39"/>
        <v>46099</v>
      </c>
      <c r="C256" s="8">
        <f t="shared" si="40"/>
        <v>46113</v>
      </c>
      <c r="D256" s="33">
        <f t="shared" si="41"/>
        <v>3272</v>
      </c>
      <c r="E256" s="33">
        <f t="shared" si="51"/>
        <v>336</v>
      </c>
      <c r="F256" s="33">
        <f t="shared" si="46"/>
        <v>4</v>
      </c>
      <c r="G256" s="33">
        <v>4</v>
      </c>
      <c r="H256" s="33">
        <v>81676</v>
      </c>
      <c r="I256" s="33" t="str">
        <f t="shared" si="50"/>
        <v>CHARACTER</v>
      </c>
      <c r="J256" s="33">
        <v>61100083</v>
      </c>
      <c r="K256" s="33" t="s">
        <v>3628</v>
      </c>
      <c r="L256" s="22" t="s">
        <v>3641</v>
      </c>
      <c r="M256" s="34">
        <v>129900</v>
      </c>
      <c r="N256" s="33" t="str">
        <f t="shared" si="42"/>
        <v>BXGY</v>
      </c>
      <c r="O256" s="34" t="str">
        <f t="shared" si="43"/>
        <v>B3 DISC 10%</v>
      </c>
      <c r="P256" s="33" t="str">
        <f t="shared" si="44"/>
        <v>BXGY</v>
      </c>
    </row>
    <row r="257" spans="1:16" x14ac:dyDescent="0.25">
      <c r="A257" s="33" t="str">
        <f t="shared" si="38"/>
        <v>2025 OCT - DEC B3D10</v>
      </c>
      <c r="B257" s="8">
        <f t="shared" si="39"/>
        <v>46099</v>
      </c>
      <c r="C257" s="8">
        <f t="shared" si="40"/>
        <v>46113</v>
      </c>
      <c r="D257" s="33">
        <f t="shared" si="41"/>
        <v>3272</v>
      </c>
      <c r="E257" s="33">
        <f t="shared" si="51"/>
        <v>336</v>
      </c>
      <c r="F257" s="33">
        <f t="shared" si="46"/>
        <v>4</v>
      </c>
      <c r="G257" s="33">
        <v>4</v>
      </c>
      <c r="H257" s="33">
        <v>81676</v>
      </c>
      <c r="I257" s="33" t="str">
        <f t="shared" si="50"/>
        <v>CHARACTER</v>
      </c>
      <c r="J257" s="33">
        <v>61100092</v>
      </c>
      <c r="K257" s="33" t="s">
        <v>3628</v>
      </c>
      <c r="L257" s="22" t="s">
        <v>3642</v>
      </c>
      <c r="M257" s="34">
        <v>129900</v>
      </c>
      <c r="N257" s="33" t="str">
        <f t="shared" si="42"/>
        <v>BXGY</v>
      </c>
      <c r="O257" s="34" t="str">
        <f t="shared" si="43"/>
        <v>B3 DISC 10%</v>
      </c>
      <c r="P257" s="33" t="str">
        <f t="shared" si="44"/>
        <v>BXGY</v>
      </c>
    </row>
    <row r="258" spans="1:16" x14ac:dyDescent="0.25">
      <c r="A258" s="33" t="str">
        <f t="shared" si="38"/>
        <v>2025 OCT - DEC B3D10</v>
      </c>
      <c r="B258" s="8">
        <f t="shared" si="39"/>
        <v>46099</v>
      </c>
      <c r="C258" s="8">
        <f t="shared" si="40"/>
        <v>46113</v>
      </c>
      <c r="D258" s="33">
        <f t="shared" si="41"/>
        <v>3272</v>
      </c>
      <c r="E258" s="33">
        <f t="shared" si="51"/>
        <v>336</v>
      </c>
      <c r="F258" s="33">
        <f t="shared" si="46"/>
        <v>4</v>
      </c>
      <c r="G258" s="33">
        <v>4</v>
      </c>
      <c r="H258" s="33">
        <v>81676</v>
      </c>
      <c r="I258" s="33" t="str">
        <f t="shared" si="50"/>
        <v>CHARACTER</v>
      </c>
      <c r="J258" s="33">
        <v>61100109</v>
      </c>
      <c r="K258" s="33" t="s">
        <v>3628</v>
      </c>
      <c r="L258" s="22" t="s">
        <v>3643</v>
      </c>
      <c r="M258" s="34">
        <v>129900</v>
      </c>
      <c r="N258" s="33" t="str">
        <f t="shared" si="42"/>
        <v>BXGY</v>
      </c>
      <c r="O258" s="34" t="str">
        <f t="shared" si="43"/>
        <v>B3 DISC 10%</v>
      </c>
      <c r="P258" s="33" t="str">
        <f t="shared" si="44"/>
        <v>BXGY</v>
      </c>
    </row>
  </sheetData>
  <autoFilter ref="A1:P1" xr:uid="{3335B2F2-FEB9-4444-96B9-79A2EDE9ED61}"/>
  <conditionalFormatting sqref="J1:J1048576">
    <cfRule type="duplicateValues" dxfId="49" priority="314"/>
  </conditionalFormatting>
  <conditionalFormatting sqref="J46:J59">
    <cfRule type="duplicateValues" dxfId="48" priority="33"/>
  </conditionalFormatting>
  <conditionalFormatting sqref="J76:J222">
    <cfRule type="duplicateValues" dxfId="47" priority="21"/>
    <cfRule type="duplicateValues" dxfId="46" priority="22"/>
    <cfRule type="duplicateValues" dxfId="45" priority="23"/>
    <cfRule type="duplicateValues" dxfId="44" priority="24"/>
    <cfRule type="duplicateValues" dxfId="43" priority="25"/>
    <cfRule type="duplicateValues" dxfId="42" priority="26"/>
    <cfRule type="duplicateValues" dxfId="41" priority="27"/>
    <cfRule type="duplicateValues" dxfId="40" priority="28"/>
    <cfRule type="duplicateValues" dxfId="39" priority="29"/>
    <cfRule type="duplicateValues" dxfId="38" priority="30"/>
    <cfRule type="duplicateValues" dxfId="37" priority="31"/>
  </conditionalFormatting>
  <conditionalFormatting sqref="J223:J229">
    <cfRule type="duplicateValues" dxfId="36" priority="11"/>
  </conditionalFormatting>
  <conditionalFormatting sqref="J230:J243">
    <cfRule type="duplicateValues" dxfId="35" priority="10"/>
  </conditionalFormatting>
  <conditionalFormatting sqref="J259:J1048576 J1:J75">
    <cfRule type="duplicateValues" dxfId="34" priority="32"/>
    <cfRule type="duplicateValues" dxfId="33" priority="34"/>
    <cfRule type="duplicateValues" dxfId="32" priority="35"/>
    <cfRule type="duplicateValues" dxfId="31" priority="36"/>
    <cfRule type="duplicateValues" dxfId="30" priority="37"/>
    <cfRule type="duplicateValues" dxfId="29" priority="38"/>
    <cfRule type="duplicateValues" dxfId="28" priority="39"/>
  </conditionalFormatting>
  <conditionalFormatting sqref="J259:J1048576 J1:J222">
    <cfRule type="duplicateValues" dxfId="27" priority="312"/>
  </conditionalFormatting>
  <conditionalFormatting sqref="J259:J1048576 J1:J243">
    <cfRule type="duplicateValues" dxfId="26" priority="313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3E69-66C8-4049-B9B6-1D7A30B78EA8}">
  <dimension ref="A1:P197"/>
  <sheetViews>
    <sheetView zoomScale="77" zoomScaleNormal="77" workbookViewId="0">
      <selection activeCell="C3" sqref="C3"/>
    </sheetView>
  </sheetViews>
  <sheetFormatPr defaultRowHeight="15" x14ac:dyDescent="0.25"/>
  <cols>
    <col min="1" max="1" width="24.42578125" bestFit="1" customWidth="1"/>
    <col min="2" max="2" width="15" bestFit="1" customWidth="1"/>
    <col min="3" max="3" width="13" bestFit="1" customWidth="1"/>
    <col min="9" max="9" width="11.42578125" bestFit="1" customWidth="1"/>
    <col min="10" max="10" width="11" bestFit="1" customWidth="1"/>
    <col min="11" max="11" width="11.42578125" bestFit="1" customWidth="1"/>
    <col min="12" max="12" width="89.140625" bestFit="1" customWidth="1"/>
    <col min="13" max="13" width="16" style="24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2" t="s">
        <v>4244</v>
      </c>
      <c r="B2" s="8">
        <f>'2019 ALL D95'!B2</f>
        <v>46099</v>
      </c>
      <c r="C2" s="8">
        <f>'2019 ALL D95'!C2</f>
        <v>46113</v>
      </c>
      <c r="D2" s="35">
        <v>3272</v>
      </c>
      <c r="E2" s="35">
        <v>336</v>
      </c>
      <c r="F2" s="35">
        <v>4</v>
      </c>
      <c r="G2" s="22">
        <v>1</v>
      </c>
      <c r="H2" s="22">
        <v>81379</v>
      </c>
      <c r="I2" s="22" t="s">
        <v>104</v>
      </c>
      <c r="J2" s="22">
        <v>61967282</v>
      </c>
      <c r="K2" s="22" t="s">
        <v>3771</v>
      </c>
      <c r="L2" s="22" t="s">
        <v>3772</v>
      </c>
      <c r="M2" s="36">
        <v>99900</v>
      </c>
      <c r="N2" s="35" t="s">
        <v>618</v>
      </c>
      <c r="O2" s="36" t="s">
        <v>4242</v>
      </c>
      <c r="P2" s="35" t="s">
        <v>618</v>
      </c>
    </row>
    <row r="3" spans="1:16" x14ac:dyDescent="0.25">
      <c r="A3" s="22" t="str">
        <f t="shared" ref="A3:A34" si="0">A2</f>
        <v>2026 JAN - FEB B3D10</v>
      </c>
      <c r="B3" s="8">
        <f t="shared" ref="B3:B34" si="1">B2</f>
        <v>46099</v>
      </c>
      <c r="C3" s="8">
        <f t="shared" ref="C3:C34" si="2">C2</f>
        <v>46113</v>
      </c>
      <c r="D3" s="35">
        <v>3272</v>
      </c>
      <c r="E3" s="35">
        <v>336</v>
      </c>
      <c r="F3" s="35">
        <v>4</v>
      </c>
      <c r="G3" s="22">
        <v>1</v>
      </c>
      <c r="H3" s="22">
        <v>81379</v>
      </c>
      <c r="I3" s="22" t="s">
        <v>104</v>
      </c>
      <c r="J3" s="22">
        <v>61967291</v>
      </c>
      <c r="K3" s="22" t="s">
        <v>3771</v>
      </c>
      <c r="L3" s="22" t="s">
        <v>3773</v>
      </c>
      <c r="M3" s="36">
        <v>99900</v>
      </c>
      <c r="N3" s="35" t="str">
        <f t="shared" ref="N3:N34" si="3">N2</f>
        <v>BXGY</v>
      </c>
      <c r="O3" s="36" t="str">
        <f t="shared" ref="O3:O34" si="4">O2</f>
        <v>B3 DISC 10%</v>
      </c>
      <c r="P3" s="35" t="str">
        <f t="shared" ref="P3:P34" si="5">P2</f>
        <v>BXGY</v>
      </c>
    </row>
    <row r="4" spans="1:16" x14ac:dyDescent="0.25">
      <c r="A4" s="22" t="str">
        <f t="shared" si="0"/>
        <v>2026 JAN - FEB B3D10</v>
      </c>
      <c r="B4" s="8">
        <f t="shared" si="1"/>
        <v>46099</v>
      </c>
      <c r="C4" s="8">
        <f t="shared" si="2"/>
        <v>46113</v>
      </c>
      <c r="D4" s="35">
        <v>3272</v>
      </c>
      <c r="E4" s="35">
        <v>336</v>
      </c>
      <c r="F4" s="35">
        <v>4</v>
      </c>
      <c r="G4" s="22">
        <v>1</v>
      </c>
      <c r="H4" s="22">
        <v>81379</v>
      </c>
      <c r="I4" s="22" t="s">
        <v>104</v>
      </c>
      <c r="J4" s="22">
        <v>61967308</v>
      </c>
      <c r="K4" s="22" t="s">
        <v>3771</v>
      </c>
      <c r="L4" s="22" t="s">
        <v>3774</v>
      </c>
      <c r="M4" s="36">
        <v>99900</v>
      </c>
      <c r="N4" s="35" t="str">
        <f t="shared" si="3"/>
        <v>BXGY</v>
      </c>
      <c r="O4" s="36" t="str">
        <f t="shared" si="4"/>
        <v>B3 DISC 10%</v>
      </c>
      <c r="P4" s="35" t="str">
        <f t="shared" si="5"/>
        <v>BXGY</v>
      </c>
    </row>
    <row r="5" spans="1:16" x14ac:dyDescent="0.25">
      <c r="A5" s="22" t="str">
        <f t="shared" si="0"/>
        <v>2026 JAN - FEB B3D10</v>
      </c>
      <c r="B5" s="8">
        <f t="shared" si="1"/>
        <v>46099</v>
      </c>
      <c r="C5" s="8">
        <f t="shared" si="2"/>
        <v>46113</v>
      </c>
      <c r="D5" s="35">
        <v>3272</v>
      </c>
      <c r="E5" s="35">
        <v>336</v>
      </c>
      <c r="F5" s="35">
        <v>4</v>
      </c>
      <c r="G5" s="22">
        <v>1</v>
      </c>
      <c r="H5" s="22">
        <v>81379</v>
      </c>
      <c r="I5" s="22" t="s">
        <v>104</v>
      </c>
      <c r="J5" s="22">
        <v>61967317</v>
      </c>
      <c r="K5" s="22" t="s">
        <v>3771</v>
      </c>
      <c r="L5" s="22" t="s">
        <v>3775</v>
      </c>
      <c r="M5" s="36">
        <v>99900</v>
      </c>
      <c r="N5" s="35" t="str">
        <f t="shared" si="3"/>
        <v>BXGY</v>
      </c>
      <c r="O5" s="36" t="str">
        <f t="shared" si="4"/>
        <v>B3 DISC 10%</v>
      </c>
      <c r="P5" s="35" t="str">
        <f t="shared" si="5"/>
        <v>BXGY</v>
      </c>
    </row>
    <row r="6" spans="1:16" x14ac:dyDescent="0.25">
      <c r="A6" s="22" t="str">
        <f t="shared" si="0"/>
        <v>2026 JAN - FEB B3D10</v>
      </c>
      <c r="B6" s="8">
        <f t="shared" si="1"/>
        <v>46099</v>
      </c>
      <c r="C6" s="8">
        <f t="shared" si="2"/>
        <v>46113</v>
      </c>
      <c r="D6" s="35">
        <v>3272</v>
      </c>
      <c r="E6" s="35">
        <v>336</v>
      </c>
      <c r="F6" s="35">
        <v>4</v>
      </c>
      <c r="G6" s="22">
        <v>1</v>
      </c>
      <c r="H6" s="22">
        <v>81379</v>
      </c>
      <c r="I6" s="22" t="s">
        <v>104</v>
      </c>
      <c r="J6" s="22">
        <v>61967326</v>
      </c>
      <c r="K6" s="22" t="s">
        <v>3771</v>
      </c>
      <c r="L6" s="22" t="s">
        <v>3776</v>
      </c>
      <c r="M6" s="36">
        <v>99900</v>
      </c>
      <c r="N6" s="35" t="str">
        <f t="shared" si="3"/>
        <v>BXGY</v>
      </c>
      <c r="O6" s="36" t="str">
        <f t="shared" si="4"/>
        <v>B3 DISC 10%</v>
      </c>
      <c r="P6" s="35" t="str">
        <f t="shared" si="5"/>
        <v>BXGY</v>
      </c>
    </row>
    <row r="7" spans="1:16" x14ac:dyDescent="0.25">
      <c r="A7" s="22" t="str">
        <f t="shared" si="0"/>
        <v>2026 JAN - FEB B3D10</v>
      </c>
      <c r="B7" s="8">
        <f t="shared" si="1"/>
        <v>46099</v>
      </c>
      <c r="C7" s="8">
        <f t="shared" si="2"/>
        <v>46113</v>
      </c>
      <c r="D7" s="35">
        <v>3272</v>
      </c>
      <c r="E7" s="35">
        <v>336</v>
      </c>
      <c r="F7" s="35">
        <v>4</v>
      </c>
      <c r="G7" s="22">
        <v>1</v>
      </c>
      <c r="H7" s="22">
        <v>81379</v>
      </c>
      <c r="I7" s="22" t="s">
        <v>104</v>
      </c>
      <c r="J7" s="22">
        <v>61967335</v>
      </c>
      <c r="K7" s="22" t="s">
        <v>3771</v>
      </c>
      <c r="L7" s="22" t="s">
        <v>3777</v>
      </c>
      <c r="M7" s="36">
        <v>99900</v>
      </c>
      <c r="N7" s="35" t="str">
        <f t="shared" si="3"/>
        <v>BXGY</v>
      </c>
      <c r="O7" s="36" t="str">
        <f t="shared" si="4"/>
        <v>B3 DISC 10%</v>
      </c>
      <c r="P7" s="35" t="str">
        <f t="shared" si="5"/>
        <v>BXGY</v>
      </c>
    </row>
    <row r="8" spans="1:16" x14ac:dyDescent="0.25">
      <c r="A8" s="22" t="str">
        <f t="shared" si="0"/>
        <v>2026 JAN - FEB B3D10</v>
      </c>
      <c r="B8" s="8">
        <f t="shared" si="1"/>
        <v>46099</v>
      </c>
      <c r="C8" s="8">
        <f t="shared" si="2"/>
        <v>46113</v>
      </c>
      <c r="D8" s="35">
        <v>3272</v>
      </c>
      <c r="E8" s="35">
        <v>336</v>
      </c>
      <c r="F8" s="35">
        <v>4</v>
      </c>
      <c r="G8" s="22">
        <v>1</v>
      </c>
      <c r="H8" s="22">
        <v>81379</v>
      </c>
      <c r="I8" s="22" t="s">
        <v>104</v>
      </c>
      <c r="J8" s="22">
        <v>61967344</v>
      </c>
      <c r="K8" s="22" t="s">
        <v>3771</v>
      </c>
      <c r="L8" s="22" t="s">
        <v>3778</v>
      </c>
      <c r="M8" s="36">
        <v>99900</v>
      </c>
      <c r="N8" s="35" t="str">
        <f t="shared" si="3"/>
        <v>BXGY</v>
      </c>
      <c r="O8" s="36" t="str">
        <f t="shared" si="4"/>
        <v>B3 DISC 10%</v>
      </c>
      <c r="P8" s="35" t="str">
        <f t="shared" si="5"/>
        <v>BXGY</v>
      </c>
    </row>
    <row r="9" spans="1:16" x14ac:dyDescent="0.25">
      <c r="A9" s="22" t="str">
        <f t="shared" si="0"/>
        <v>2026 JAN - FEB B3D10</v>
      </c>
      <c r="B9" s="8">
        <f t="shared" si="1"/>
        <v>46099</v>
      </c>
      <c r="C9" s="8">
        <f t="shared" si="2"/>
        <v>46113</v>
      </c>
      <c r="D9" s="35">
        <v>3272</v>
      </c>
      <c r="E9" s="35">
        <v>336</v>
      </c>
      <c r="F9" s="35">
        <v>4</v>
      </c>
      <c r="G9" s="22">
        <v>1</v>
      </c>
      <c r="H9" s="22">
        <v>81379</v>
      </c>
      <c r="I9" s="22" t="s">
        <v>104</v>
      </c>
      <c r="J9" s="22">
        <v>68613687</v>
      </c>
      <c r="K9" s="22" t="s">
        <v>4047</v>
      </c>
      <c r="L9" s="22" t="s">
        <v>4024</v>
      </c>
      <c r="M9" s="36">
        <v>99900</v>
      </c>
      <c r="N9" s="35" t="str">
        <f t="shared" si="3"/>
        <v>BXGY</v>
      </c>
      <c r="O9" s="36" t="str">
        <f t="shared" si="4"/>
        <v>B3 DISC 10%</v>
      </c>
      <c r="P9" s="35" t="str">
        <f t="shared" si="5"/>
        <v>BXGY</v>
      </c>
    </row>
    <row r="10" spans="1:16" x14ac:dyDescent="0.25">
      <c r="A10" s="22" t="str">
        <f t="shared" si="0"/>
        <v>2026 JAN - FEB B3D10</v>
      </c>
      <c r="B10" s="8">
        <f t="shared" si="1"/>
        <v>46099</v>
      </c>
      <c r="C10" s="8">
        <f t="shared" si="2"/>
        <v>46113</v>
      </c>
      <c r="D10" s="35">
        <v>3272</v>
      </c>
      <c r="E10" s="35">
        <v>336</v>
      </c>
      <c r="F10" s="35">
        <v>4</v>
      </c>
      <c r="G10" s="22">
        <v>1</v>
      </c>
      <c r="H10" s="22">
        <v>81379</v>
      </c>
      <c r="I10" s="22" t="s">
        <v>104</v>
      </c>
      <c r="J10" s="22">
        <v>68613696</v>
      </c>
      <c r="K10" s="22" t="s">
        <v>4047</v>
      </c>
      <c r="L10" s="22" t="s">
        <v>4025</v>
      </c>
      <c r="M10" s="36">
        <v>99900</v>
      </c>
      <c r="N10" s="35" t="str">
        <f t="shared" si="3"/>
        <v>BXGY</v>
      </c>
      <c r="O10" s="36" t="str">
        <f t="shared" si="4"/>
        <v>B3 DISC 10%</v>
      </c>
      <c r="P10" s="35" t="str">
        <f t="shared" si="5"/>
        <v>BXGY</v>
      </c>
    </row>
    <row r="11" spans="1:16" x14ac:dyDescent="0.25">
      <c r="A11" s="22" t="str">
        <f t="shared" si="0"/>
        <v>2026 JAN - FEB B3D10</v>
      </c>
      <c r="B11" s="8">
        <f t="shared" si="1"/>
        <v>46099</v>
      </c>
      <c r="C11" s="8">
        <f t="shared" si="2"/>
        <v>46113</v>
      </c>
      <c r="D11" s="35">
        <v>3272</v>
      </c>
      <c r="E11" s="35">
        <v>336</v>
      </c>
      <c r="F11" s="35">
        <v>4</v>
      </c>
      <c r="G11" s="22">
        <v>1</v>
      </c>
      <c r="H11" s="22">
        <v>81379</v>
      </c>
      <c r="I11" s="22" t="s">
        <v>104</v>
      </c>
      <c r="J11" s="22">
        <v>68613703</v>
      </c>
      <c r="K11" s="22" t="s">
        <v>4047</v>
      </c>
      <c r="L11" s="22" t="s">
        <v>4026</v>
      </c>
      <c r="M11" s="36">
        <v>99900</v>
      </c>
      <c r="N11" s="35" t="str">
        <f t="shared" si="3"/>
        <v>BXGY</v>
      </c>
      <c r="O11" s="36" t="str">
        <f t="shared" si="4"/>
        <v>B3 DISC 10%</v>
      </c>
      <c r="P11" s="35" t="str">
        <f t="shared" si="5"/>
        <v>BXGY</v>
      </c>
    </row>
    <row r="12" spans="1:16" x14ac:dyDescent="0.25">
      <c r="A12" s="22" t="str">
        <f t="shared" si="0"/>
        <v>2026 JAN - FEB B3D10</v>
      </c>
      <c r="B12" s="8">
        <f t="shared" si="1"/>
        <v>46099</v>
      </c>
      <c r="C12" s="8">
        <f t="shared" si="2"/>
        <v>46113</v>
      </c>
      <c r="D12" s="35">
        <v>3272</v>
      </c>
      <c r="E12" s="35">
        <v>336</v>
      </c>
      <c r="F12" s="35">
        <v>4</v>
      </c>
      <c r="G12" s="22">
        <v>1</v>
      </c>
      <c r="H12" s="22">
        <v>81379</v>
      </c>
      <c r="I12" s="22" t="s">
        <v>104</v>
      </c>
      <c r="J12" s="22">
        <v>68613712</v>
      </c>
      <c r="K12" s="22" t="s">
        <v>4047</v>
      </c>
      <c r="L12" s="22" t="s">
        <v>4027</v>
      </c>
      <c r="M12" s="36">
        <v>99900</v>
      </c>
      <c r="N12" s="35" t="str">
        <f t="shared" si="3"/>
        <v>BXGY</v>
      </c>
      <c r="O12" s="36" t="str">
        <f t="shared" si="4"/>
        <v>B3 DISC 10%</v>
      </c>
      <c r="P12" s="35" t="str">
        <f t="shared" si="5"/>
        <v>BXGY</v>
      </c>
    </row>
    <row r="13" spans="1:16" x14ac:dyDescent="0.25">
      <c r="A13" s="22" t="str">
        <f t="shared" si="0"/>
        <v>2026 JAN - FEB B3D10</v>
      </c>
      <c r="B13" s="8">
        <f t="shared" si="1"/>
        <v>46099</v>
      </c>
      <c r="C13" s="8">
        <f t="shared" si="2"/>
        <v>46113</v>
      </c>
      <c r="D13" s="35">
        <v>3272</v>
      </c>
      <c r="E13" s="35">
        <v>336</v>
      </c>
      <c r="F13" s="35">
        <v>4</v>
      </c>
      <c r="G13" s="22">
        <v>1</v>
      </c>
      <c r="H13" s="22">
        <v>81379</v>
      </c>
      <c r="I13" s="22" t="s">
        <v>104</v>
      </c>
      <c r="J13" s="22">
        <v>68613721</v>
      </c>
      <c r="K13" s="22" t="s">
        <v>4047</v>
      </c>
      <c r="L13" s="22" t="s">
        <v>4028</v>
      </c>
      <c r="M13" s="36">
        <v>99900</v>
      </c>
      <c r="N13" s="35" t="str">
        <f t="shared" si="3"/>
        <v>BXGY</v>
      </c>
      <c r="O13" s="36" t="str">
        <f t="shared" si="4"/>
        <v>B3 DISC 10%</v>
      </c>
      <c r="P13" s="35" t="str">
        <f t="shared" si="5"/>
        <v>BXGY</v>
      </c>
    </row>
    <row r="14" spans="1:16" x14ac:dyDescent="0.25">
      <c r="A14" s="22" t="str">
        <f t="shared" si="0"/>
        <v>2026 JAN - FEB B3D10</v>
      </c>
      <c r="B14" s="8">
        <f t="shared" si="1"/>
        <v>46099</v>
      </c>
      <c r="C14" s="8">
        <f t="shared" si="2"/>
        <v>46113</v>
      </c>
      <c r="D14" s="35">
        <v>3272</v>
      </c>
      <c r="E14" s="35">
        <v>336</v>
      </c>
      <c r="F14" s="35">
        <v>4</v>
      </c>
      <c r="G14" s="22">
        <v>1</v>
      </c>
      <c r="H14" s="22">
        <v>81379</v>
      </c>
      <c r="I14" s="22" t="s">
        <v>104</v>
      </c>
      <c r="J14" s="22">
        <v>68613730</v>
      </c>
      <c r="K14" s="22" t="s">
        <v>4047</v>
      </c>
      <c r="L14" s="22" t="s">
        <v>4029</v>
      </c>
      <c r="M14" s="36">
        <v>99900</v>
      </c>
      <c r="N14" s="35" t="str">
        <f t="shared" si="3"/>
        <v>BXGY</v>
      </c>
      <c r="O14" s="36" t="str">
        <f t="shared" si="4"/>
        <v>B3 DISC 10%</v>
      </c>
      <c r="P14" s="35" t="str">
        <f t="shared" si="5"/>
        <v>BXGY</v>
      </c>
    </row>
    <row r="15" spans="1:16" x14ac:dyDescent="0.25">
      <c r="A15" s="22" t="str">
        <f t="shared" si="0"/>
        <v>2026 JAN - FEB B3D10</v>
      </c>
      <c r="B15" s="8">
        <f t="shared" si="1"/>
        <v>46099</v>
      </c>
      <c r="C15" s="8">
        <f t="shared" si="2"/>
        <v>46113</v>
      </c>
      <c r="D15" s="35">
        <v>3272</v>
      </c>
      <c r="E15" s="35">
        <v>336</v>
      </c>
      <c r="F15" s="35">
        <v>4</v>
      </c>
      <c r="G15" s="22">
        <v>1</v>
      </c>
      <c r="H15" s="22">
        <v>81379</v>
      </c>
      <c r="I15" s="22" t="s">
        <v>104</v>
      </c>
      <c r="J15" s="22">
        <v>68613749</v>
      </c>
      <c r="K15" s="22" t="s">
        <v>4047</v>
      </c>
      <c r="L15" s="22" t="s">
        <v>4030</v>
      </c>
      <c r="M15" s="36">
        <v>99900</v>
      </c>
      <c r="N15" s="35" t="str">
        <f t="shared" si="3"/>
        <v>BXGY</v>
      </c>
      <c r="O15" s="36" t="str">
        <f t="shared" si="4"/>
        <v>B3 DISC 10%</v>
      </c>
      <c r="P15" s="35" t="str">
        <f t="shared" si="5"/>
        <v>BXGY</v>
      </c>
    </row>
    <row r="16" spans="1:16" x14ac:dyDescent="0.25">
      <c r="A16" s="22" t="str">
        <f t="shared" si="0"/>
        <v>2026 JAN - FEB B3D10</v>
      </c>
      <c r="B16" s="8">
        <f t="shared" si="1"/>
        <v>46099</v>
      </c>
      <c r="C16" s="8">
        <f t="shared" si="2"/>
        <v>46113</v>
      </c>
      <c r="D16" s="35">
        <v>3272</v>
      </c>
      <c r="E16" s="35">
        <v>336</v>
      </c>
      <c r="F16" s="35">
        <v>4</v>
      </c>
      <c r="G16" s="22">
        <v>1</v>
      </c>
      <c r="H16" s="22">
        <v>81379</v>
      </c>
      <c r="I16" s="22" t="s">
        <v>104</v>
      </c>
      <c r="J16" s="22">
        <v>68613801</v>
      </c>
      <c r="K16" s="22" t="s">
        <v>4048</v>
      </c>
      <c r="L16" s="22" t="s">
        <v>4031</v>
      </c>
      <c r="M16" s="36">
        <v>99900</v>
      </c>
      <c r="N16" s="35" t="str">
        <f t="shared" si="3"/>
        <v>BXGY</v>
      </c>
      <c r="O16" s="36" t="str">
        <f t="shared" si="4"/>
        <v>B3 DISC 10%</v>
      </c>
      <c r="P16" s="35" t="str">
        <f t="shared" si="5"/>
        <v>BXGY</v>
      </c>
    </row>
    <row r="17" spans="1:16" x14ac:dyDescent="0.25">
      <c r="A17" s="22" t="str">
        <f t="shared" si="0"/>
        <v>2026 JAN - FEB B3D10</v>
      </c>
      <c r="B17" s="8">
        <f t="shared" si="1"/>
        <v>46099</v>
      </c>
      <c r="C17" s="8">
        <f t="shared" si="2"/>
        <v>46113</v>
      </c>
      <c r="D17" s="35">
        <v>3272</v>
      </c>
      <c r="E17" s="35">
        <v>336</v>
      </c>
      <c r="F17" s="35">
        <v>4</v>
      </c>
      <c r="G17" s="22">
        <v>1</v>
      </c>
      <c r="H17" s="22">
        <v>81379</v>
      </c>
      <c r="I17" s="22" t="s">
        <v>104</v>
      </c>
      <c r="J17" s="22">
        <v>68613810</v>
      </c>
      <c r="K17" s="22" t="s">
        <v>4048</v>
      </c>
      <c r="L17" s="22" t="s">
        <v>4032</v>
      </c>
      <c r="M17" s="36">
        <v>99900</v>
      </c>
      <c r="N17" s="35" t="str">
        <f t="shared" si="3"/>
        <v>BXGY</v>
      </c>
      <c r="O17" s="36" t="str">
        <f t="shared" si="4"/>
        <v>B3 DISC 10%</v>
      </c>
      <c r="P17" s="35" t="str">
        <f t="shared" si="5"/>
        <v>BXGY</v>
      </c>
    </row>
    <row r="18" spans="1:16" x14ac:dyDescent="0.25">
      <c r="A18" s="22" t="str">
        <f t="shared" si="0"/>
        <v>2026 JAN - FEB B3D10</v>
      </c>
      <c r="B18" s="8">
        <f t="shared" si="1"/>
        <v>46099</v>
      </c>
      <c r="C18" s="8">
        <f t="shared" si="2"/>
        <v>46113</v>
      </c>
      <c r="D18" s="35">
        <v>3272</v>
      </c>
      <c r="E18" s="35">
        <v>336</v>
      </c>
      <c r="F18" s="35">
        <v>4</v>
      </c>
      <c r="G18" s="22">
        <v>1</v>
      </c>
      <c r="H18" s="22">
        <v>81379</v>
      </c>
      <c r="I18" s="22" t="s">
        <v>104</v>
      </c>
      <c r="J18" s="22">
        <v>68613829</v>
      </c>
      <c r="K18" s="22" t="s">
        <v>4048</v>
      </c>
      <c r="L18" s="22" t="s">
        <v>4033</v>
      </c>
      <c r="M18" s="36">
        <v>99900</v>
      </c>
      <c r="N18" s="35" t="str">
        <f t="shared" si="3"/>
        <v>BXGY</v>
      </c>
      <c r="O18" s="36" t="str">
        <f t="shared" si="4"/>
        <v>B3 DISC 10%</v>
      </c>
      <c r="P18" s="35" t="str">
        <f t="shared" si="5"/>
        <v>BXGY</v>
      </c>
    </row>
    <row r="19" spans="1:16" x14ac:dyDescent="0.25">
      <c r="A19" s="22" t="str">
        <f t="shared" si="0"/>
        <v>2026 JAN - FEB B3D10</v>
      </c>
      <c r="B19" s="8">
        <f t="shared" si="1"/>
        <v>46099</v>
      </c>
      <c r="C19" s="8">
        <f t="shared" si="2"/>
        <v>46113</v>
      </c>
      <c r="D19" s="35">
        <v>3272</v>
      </c>
      <c r="E19" s="35">
        <v>336</v>
      </c>
      <c r="F19" s="35">
        <v>4</v>
      </c>
      <c r="G19" s="22">
        <v>1</v>
      </c>
      <c r="H19" s="22">
        <v>81379</v>
      </c>
      <c r="I19" s="22" t="s">
        <v>104</v>
      </c>
      <c r="J19" s="22">
        <v>68613838</v>
      </c>
      <c r="K19" s="22" t="s">
        <v>4048</v>
      </c>
      <c r="L19" s="22" t="s">
        <v>4034</v>
      </c>
      <c r="M19" s="36">
        <v>99900</v>
      </c>
      <c r="N19" s="35" t="str">
        <f t="shared" si="3"/>
        <v>BXGY</v>
      </c>
      <c r="O19" s="36" t="str">
        <f t="shared" si="4"/>
        <v>B3 DISC 10%</v>
      </c>
      <c r="P19" s="35" t="str">
        <f t="shared" si="5"/>
        <v>BXGY</v>
      </c>
    </row>
    <row r="20" spans="1:16" x14ac:dyDescent="0.25">
      <c r="A20" s="22" t="str">
        <f t="shared" si="0"/>
        <v>2026 JAN - FEB B3D10</v>
      </c>
      <c r="B20" s="8">
        <f t="shared" si="1"/>
        <v>46099</v>
      </c>
      <c r="C20" s="8">
        <f t="shared" si="2"/>
        <v>46113</v>
      </c>
      <c r="D20" s="35">
        <v>3272</v>
      </c>
      <c r="E20" s="35">
        <v>336</v>
      </c>
      <c r="F20" s="35">
        <v>4</v>
      </c>
      <c r="G20" s="22">
        <v>1</v>
      </c>
      <c r="H20" s="22">
        <v>81379</v>
      </c>
      <c r="I20" s="22" t="s">
        <v>104</v>
      </c>
      <c r="J20" s="22">
        <v>68613847</v>
      </c>
      <c r="K20" s="22" t="s">
        <v>4048</v>
      </c>
      <c r="L20" s="22" t="s">
        <v>4035</v>
      </c>
      <c r="M20" s="36">
        <v>99900</v>
      </c>
      <c r="N20" s="35" t="str">
        <f t="shared" si="3"/>
        <v>BXGY</v>
      </c>
      <c r="O20" s="36" t="str">
        <f t="shared" si="4"/>
        <v>B3 DISC 10%</v>
      </c>
      <c r="P20" s="35" t="str">
        <f t="shared" si="5"/>
        <v>BXGY</v>
      </c>
    </row>
    <row r="21" spans="1:16" x14ac:dyDescent="0.25">
      <c r="A21" s="22" t="str">
        <f t="shared" si="0"/>
        <v>2026 JAN - FEB B3D10</v>
      </c>
      <c r="B21" s="8">
        <f t="shared" si="1"/>
        <v>46099</v>
      </c>
      <c r="C21" s="8">
        <f t="shared" si="2"/>
        <v>46113</v>
      </c>
      <c r="D21" s="35">
        <v>3272</v>
      </c>
      <c r="E21" s="35">
        <v>336</v>
      </c>
      <c r="F21" s="35">
        <v>4</v>
      </c>
      <c r="G21" s="22">
        <v>1</v>
      </c>
      <c r="H21" s="22">
        <v>81379</v>
      </c>
      <c r="I21" s="22" t="s">
        <v>104</v>
      </c>
      <c r="J21" s="22">
        <v>68613856</v>
      </c>
      <c r="K21" s="22" t="s">
        <v>4048</v>
      </c>
      <c r="L21" s="22" t="s">
        <v>4036</v>
      </c>
      <c r="M21" s="36">
        <v>99900</v>
      </c>
      <c r="N21" s="35" t="str">
        <f t="shared" si="3"/>
        <v>BXGY</v>
      </c>
      <c r="O21" s="36" t="str">
        <f t="shared" si="4"/>
        <v>B3 DISC 10%</v>
      </c>
      <c r="P21" s="35" t="str">
        <f t="shared" si="5"/>
        <v>BXGY</v>
      </c>
    </row>
    <row r="22" spans="1:16" x14ac:dyDescent="0.25">
      <c r="A22" s="22" t="str">
        <f t="shared" si="0"/>
        <v>2026 JAN - FEB B3D10</v>
      </c>
      <c r="B22" s="8">
        <f t="shared" si="1"/>
        <v>46099</v>
      </c>
      <c r="C22" s="8">
        <f t="shared" si="2"/>
        <v>46113</v>
      </c>
      <c r="D22" s="35">
        <v>3272</v>
      </c>
      <c r="E22" s="35">
        <v>336</v>
      </c>
      <c r="F22" s="35">
        <v>4</v>
      </c>
      <c r="G22" s="22">
        <v>1</v>
      </c>
      <c r="H22" s="22">
        <v>81379</v>
      </c>
      <c r="I22" s="22" t="s">
        <v>104</v>
      </c>
      <c r="J22" s="22">
        <v>68613865</v>
      </c>
      <c r="K22" s="22" t="s">
        <v>4048</v>
      </c>
      <c r="L22" s="22" t="s">
        <v>4037</v>
      </c>
      <c r="M22" s="36">
        <v>99900</v>
      </c>
      <c r="N22" s="35" t="str">
        <f t="shared" si="3"/>
        <v>BXGY</v>
      </c>
      <c r="O22" s="36" t="str">
        <f t="shared" si="4"/>
        <v>B3 DISC 10%</v>
      </c>
      <c r="P22" s="35" t="str">
        <f t="shared" si="5"/>
        <v>BXGY</v>
      </c>
    </row>
    <row r="23" spans="1:16" x14ac:dyDescent="0.25">
      <c r="A23" s="22" t="str">
        <f t="shared" si="0"/>
        <v>2026 JAN - FEB B3D10</v>
      </c>
      <c r="B23" s="8">
        <f t="shared" si="1"/>
        <v>46099</v>
      </c>
      <c r="C23" s="8">
        <f t="shared" si="2"/>
        <v>46113</v>
      </c>
      <c r="D23" s="35">
        <v>3272</v>
      </c>
      <c r="E23" s="35">
        <v>336</v>
      </c>
      <c r="F23" s="35">
        <v>4</v>
      </c>
      <c r="G23" s="22">
        <v>1</v>
      </c>
      <c r="H23" s="22">
        <v>81379</v>
      </c>
      <c r="I23" s="22" t="s">
        <v>104</v>
      </c>
      <c r="J23" s="22">
        <v>68613874</v>
      </c>
      <c r="K23" s="22" t="s">
        <v>4048</v>
      </c>
      <c r="L23" s="22" t="s">
        <v>4038</v>
      </c>
      <c r="M23" s="36">
        <v>99900</v>
      </c>
      <c r="N23" s="35" t="str">
        <f t="shared" si="3"/>
        <v>BXGY</v>
      </c>
      <c r="O23" s="36" t="str">
        <f t="shared" si="4"/>
        <v>B3 DISC 10%</v>
      </c>
      <c r="P23" s="35" t="str">
        <f t="shared" si="5"/>
        <v>BXGY</v>
      </c>
    </row>
    <row r="24" spans="1:16" x14ac:dyDescent="0.25">
      <c r="A24" s="22" t="str">
        <f t="shared" si="0"/>
        <v>2026 JAN - FEB B3D10</v>
      </c>
      <c r="B24" s="8">
        <f t="shared" si="1"/>
        <v>46099</v>
      </c>
      <c r="C24" s="8">
        <f t="shared" si="2"/>
        <v>46113</v>
      </c>
      <c r="D24" s="35">
        <v>3272</v>
      </c>
      <c r="E24" s="35">
        <v>336</v>
      </c>
      <c r="F24" s="35">
        <v>4</v>
      </c>
      <c r="G24" s="22">
        <v>1</v>
      </c>
      <c r="H24" s="22">
        <v>81379</v>
      </c>
      <c r="I24" s="22" t="s">
        <v>104</v>
      </c>
      <c r="J24" s="22">
        <v>68614435</v>
      </c>
      <c r="K24" s="22" t="s">
        <v>4049</v>
      </c>
      <c r="L24" s="22" t="s">
        <v>4039</v>
      </c>
      <c r="M24" s="36">
        <v>99900</v>
      </c>
      <c r="N24" s="35" t="str">
        <f t="shared" si="3"/>
        <v>BXGY</v>
      </c>
      <c r="O24" s="36" t="str">
        <f t="shared" si="4"/>
        <v>B3 DISC 10%</v>
      </c>
      <c r="P24" s="35" t="str">
        <f t="shared" si="5"/>
        <v>BXGY</v>
      </c>
    </row>
    <row r="25" spans="1:16" x14ac:dyDescent="0.25">
      <c r="A25" s="22" t="str">
        <f t="shared" si="0"/>
        <v>2026 JAN - FEB B3D10</v>
      </c>
      <c r="B25" s="8">
        <f t="shared" si="1"/>
        <v>46099</v>
      </c>
      <c r="C25" s="8">
        <f t="shared" si="2"/>
        <v>46113</v>
      </c>
      <c r="D25" s="35">
        <v>3272</v>
      </c>
      <c r="E25" s="35">
        <v>336</v>
      </c>
      <c r="F25" s="35">
        <v>4</v>
      </c>
      <c r="G25" s="22">
        <v>1</v>
      </c>
      <c r="H25" s="22">
        <v>81379</v>
      </c>
      <c r="I25" s="22" t="s">
        <v>104</v>
      </c>
      <c r="J25" s="22">
        <v>68614444</v>
      </c>
      <c r="K25" s="22" t="s">
        <v>4049</v>
      </c>
      <c r="L25" s="22" t="s">
        <v>4040</v>
      </c>
      <c r="M25" s="36">
        <v>99900</v>
      </c>
      <c r="N25" s="35" t="str">
        <f t="shared" si="3"/>
        <v>BXGY</v>
      </c>
      <c r="O25" s="36" t="str">
        <f t="shared" si="4"/>
        <v>B3 DISC 10%</v>
      </c>
      <c r="P25" s="35" t="str">
        <f t="shared" si="5"/>
        <v>BXGY</v>
      </c>
    </row>
    <row r="26" spans="1:16" x14ac:dyDescent="0.25">
      <c r="A26" s="22" t="str">
        <f t="shared" si="0"/>
        <v>2026 JAN - FEB B3D10</v>
      </c>
      <c r="B26" s="8">
        <f t="shared" si="1"/>
        <v>46099</v>
      </c>
      <c r="C26" s="8">
        <f t="shared" si="2"/>
        <v>46113</v>
      </c>
      <c r="D26" s="35">
        <v>3272</v>
      </c>
      <c r="E26" s="35">
        <v>336</v>
      </c>
      <c r="F26" s="35">
        <v>4</v>
      </c>
      <c r="G26" s="22">
        <v>1</v>
      </c>
      <c r="H26" s="22">
        <v>81379</v>
      </c>
      <c r="I26" s="22" t="s">
        <v>104</v>
      </c>
      <c r="J26" s="22">
        <v>68614453</v>
      </c>
      <c r="K26" s="22" t="s">
        <v>4049</v>
      </c>
      <c r="L26" s="22" t="s">
        <v>4041</v>
      </c>
      <c r="M26" s="36">
        <v>99900</v>
      </c>
      <c r="N26" s="35" t="str">
        <f t="shared" si="3"/>
        <v>BXGY</v>
      </c>
      <c r="O26" s="36" t="str">
        <f t="shared" si="4"/>
        <v>B3 DISC 10%</v>
      </c>
      <c r="P26" s="35" t="str">
        <f t="shared" si="5"/>
        <v>BXGY</v>
      </c>
    </row>
    <row r="27" spans="1:16" x14ac:dyDescent="0.25">
      <c r="A27" s="22" t="str">
        <f t="shared" si="0"/>
        <v>2026 JAN - FEB B3D10</v>
      </c>
      <c r="B27" s="8">
        <f t="shared" si="1"/>
        <v>46099</v>
      </c>
      <c r="C27" s="8">
        <f t="shared" si="2"/>
        <v>46113</v>
      </c>
      <c r="D27" s="35">
        <v>3272</v>
      </c>
      <c r="E27" s="35">
        <v>336</v>
      </c>
      <c r="F27" s="35">
        <v>4</v>
      </c>
      <c r="G27" s="22">
        <v>1</v>
      </c>
      <c r="H27" s="22">
        <v>81379</v>
      </c>
      <c r="I27" s="22" t="s">
        <v>104</v>
      </c>
      <c r="J27" s="22">
        <v>68614462</v>
      </c>
      <c r="K27" s="22" t="s">
        <v>4049</v>
      </c>
      <c r="L27" s="22" t="s">
        <v>4042</v>
      </c>
      <c r="M27" s="36">
        <v>99900</v>
      </c>
      <c r="N27" s="35" t="str">
        <f t="shared" si="3"/>
        <v>BXGY</v>
      </c>
      <c r="O27" s="36" t="str">
        <f t="shared" si="4"/>
        <v>B3 DISC 10%</v>
      </c>
      <c r="P27" s="35" t="str">
        <f t="shared" si="5"/>
        <v>BXGY</v>
      </c>
    </row>
    <row r="28" spans="1:16" x14ac:dyDescent="0.25">
      <c r="A28" s="22" t="str">
        <f t="shared" si="0"/>
        <v>2026 JAN - FEB B3D10</v>
      </c>
      <c r="B28" s="8">
        <f t="shared" si="1"/>
        <v>46099</v>
      </c>
      <c r="C28" s="8">
        <f t="shared" si="2"/>
        <v>46113</v>
      </c>
      <c r="D28" s="35">
        <v>3272</v>
      </c>
      <c r="E28" s="35">
        <v>336</v>
      </c>
      <c r="F28" s="35">
        <v>4</v>
      </c>
      <c r="G28" s="22">
        <v>1</v>
      </c>
      <c r="H28" s="22">
        <v>81379</v>
      </c>
      <c r="I28" s="22" t="s">
        <v>104</v>
      </c>
      <c r="J28" s="22">
        <v>68614471</v>
      </c>
      <c r="K28" s="22" t="s">
        <v>4049</v>
      </c>
      <c r="L28" s="22" t="s">
        <v>4043</v>
      </c>
      <c r="M28" s="36">
        <v>99900</v>
      </c>
      <c r="N28" s="35" t="str">
        <f t="shared" si="3"/>
        <v>BXGY</v>
      </c>
      <c r="O28" s="36" t="str">
        <f t="shared" si="4"/>
        <v>B3 DISC 10%</v>
      </c>
      <c r="P28" s="35" t="str">
        <f t="shared" si="5"/>
        <v>BXGY</v>
      </c>
    </row>
    <row r="29" spans="1:16" x14ac:dyDescent="0.25">
      <c r="A29" s="22" t="str">
        <f t="shared" si="0"/>
        <v>2026 JAN - FEB B3D10</v>
      </c>
      <c r="B29" s="8">
        <f t="shared" si="1"/>
        <v>46099</v>
      </c>
      <c r="C29" s="8">
        <f t="shared" si="2"/>
        <v>46113</v>
      </c>
      <c r="D29" s="35">
        <v>3272</v>
      </c>
      <c r="E29" s="35">
        <v>336</v>
      </c>
      <c r="F29" s="35">
        <v>4</v>
      </c>
      <c r="G29" s="22">
        <v>1</v>
      </c>
      <c r="H29" s="22">
        <v>81379</v>
      </c>
      <c r="I29" s="22" t="s">
        <v>104</v>
      </c>
      <c r="J29" s="22">
        <v>68614480</v>
      </c>
      <c r="K29" s="22" t="s">
        <v>4049</v>
      </c>
      <c r="L29" s="22" t="s">
        <v>4044</v>
      </c>
      <c r="M29" s="36">
        <v>99900</v>
      </c>
      <c r="N29" s="35" t="str">
        <f t="shared" si="3"/>
        <v>BXGY</v>
      </c>
      <c r="O29" s="36" t="str">
        <f t="shared" si="4"/>
        <v>B3 DISC 10%</v>
      </c>
      <c r="P29" s="35" t="str">
        <f t="shared" si="5"/>
        <v>BXGY</v>
      </c>
    </row>
    <row r="30" spans="1:16" x14ac:dyDescent="0.25">
      <c r="A30" s="22" t="str">
        <f t="shared" si="0"/>
        <v>2026 JAN - FEB B3D10</v>
      </c>
      <c r="B30" s="8">
        <f t="shared" si="1"/>
        <v>46099</v>
      </c>
      <c r="C30" s="8">
        <f t="shared" si="2"/>
        <v>46113</v>
      </c>
      <c r="D30" s="35">
        <v>3272</v>
      </c>
      <c r="E30" s="35">
        <v>336</v>
      </c>
      <c r="F30" s="35">
        <v>4</v>
      </c>
      <c r="G30" s="22">
        <v>1</v>
      </c>
      <c r="H30" s="22">
        <v>81379</v>
      </c>
      <c r="I30" s="22" t="s">
        <v>104</v>
      </c>
      <c r="J30" s="22">
        <v>68614499</v>
      </c>
      <c r="K30" s="22" t="s">
        <v>4049</v>
      </c>
      <c r="L30" s="22" t="s">
        <v>4045</v>
      </c>
      <c r="M30" s="36">
        <v>99900</v>
      </c>
      <c r="N30" s="35" t="str">
        <f t="shared" si="3"/>
        <v>BXGY</v>
      </c>
      <c r="O30" s="36" t="str">
        <f t="shared" si="4"/>
        <v>B3 DISC 10%</v>
      </c>
      <c r="P30" s="35" t="str">
        <f t="shared" si="5"/>
        <v>BXGY</v>
      </c>
    </row>
    <row r="31" spans="1:16" x14ac:dyDescent="0.25">
      <c r="A31" s="22" t="str">
        <f t="shared" si="0"/>
        <v>2026 JAN - FEB B3D10</v>
      </c>
      <c r="B31" s="8">
        <f t="shared" si="1"/>
        <v>46099</v>
      </c>
      <c r="C31" s="8">
        <f t="shared" si="2"/>
        <v>46113</v>
      </c>
      <c r="D31" s="35">
        <v>3272</v>
      </c>
      <c r="E31" s="35">
        <v>336</v>
      </c>
      <c r="F31" s="35">
        <v>4</v>
      </c>
      <c r="G31" s="22">
        <v>1</v>
      </c>
      <c r="H31" s="22">
        <v>81379</v>
      </c>
      <c r="I31" s="22" t="s">
        <v>104</v>
      </c>
      <c r="J31" s="22">
        <v>68614506</v>
      </c>
      <c r="K31" s="22" t="s">
        <v>4049</v>
      </c>
      <c r="L31" s="22" t="s">
        <v>4046</v>
      </c>
      <c r="M31" s="36">
        <v>99900</v>
      </c>
      <c r="N31" s="35" t="str">
        <f t="shared" si="3"/>
        <v>BXGY</v>
      </c>
      <c r="O31" s="36" t="str">
        <f t="shared" si="4"/>
        <v>B3 DISC 10%</v>
      </c>
      <c r="P31" s="35" t="str">
        <f t="shared" si="5"/>
        <v>BXGY</v>
      </c>
    </row>
    <row r="32" spans="1:16" x14ac:dyDescent="0.25">
      <c r="A32" s="22" t="str">
        <f t="shared" si="0"/>
        <v>2026 JAN - FEB B3D10</v>
      </c>
      <c r="B32" s="8">
        <f t="shared" si="1"/>
        <v>46099</v>
      </c>
      <c r="C32" s="8">
        <f t="shared" si="2"/>
        <v>46113</v>
      </c>
      <c r="D32" s="35">
        <v>3272</v>
      </c>
      <c r="E32" s="35">
        <v>336</v>
      </c>
      <c r="F32" s="35">
        <v>4</v>
      </c>
      <c r="G32" s="22">
        <v>1</v>
      </c>
      <c r="H32" s="22">
        <v>4953</v>
      </c>
      <c r="I32" s="22" t="s">
        <v>104</v>
      </c>
      <c r="J32" s="22">
        <v>68613043</v>
      </c>
      <c r="K32" s="22" t="s">
        <v>4056</v>
      </c>
      <c r="L32" s="22" t="s">
        <v>4078</v>
      </c>
      <c r="M32" s="35">
        <v>99900</v>
      </c>
      <c r="N32" s="35" t="str">
        <f t="shared" si="3"/>
        <v>BXGY</v>
      </c>
      <c r="O32" s="36" t="str">
        <f t="shared" si="4"/>
        <v>B3 DISC 10%</v>
      </c>
      <c r="P32" s="35" t="str">
        <f t="shared" si="5"/>
        <v>BXGY</v>
      </c>
    </row>
    <row r="33" spans="1:16" x14ac:dyDescent="0.25">
      <c r="A33" s="22" t="str">
        <f t="shared" si="0"/>
        <v>2026 JAN - FEB B3D10</v>
      </c>
      <c r="B33" s="8">
        <f t="shared" si="1"/>
        <v>46099</v>
      </c>
      <c r="C33" s="8">
        <f t="shared" si="2"/>
        <v>46113</v>
      </c>
      <c r="D33" s="35">
        <v>3272</v>
      </c>
      <c r="E33" s="35">
        <v>336</v>
      </c>
      <c r="F33" s="35">
        <v>4</v>
      </c>
      <c r="G33" s="22">
        <v>1</v>
      </c>
      <c r="H33" s="22">
        <v>4953</v>
      </c>
      <c r="I33" s="22" t="s">
        <v>104</v>
      </c>
      <c r="J33" s="22">
        <v>68613052</v>
      </c>
      <c r="K33" s="22" t="s">
        <v>4056</v>
      </c>
      <c r="L33" s="22" t="s">
        <v>4079</v>
      </c>
      <c r="M33" s="35">
        <v>99900</v>
      </c>
      <c r="N33" s="35" t="str">
        <f t="shared" si="3"/>
        <v>BXGY</v>
      </c>
      <c r="O33" s="36" t="str">
        <f t="shared" si="4"/>
        <v>B3 DISC 10%</v>
      </c>
      <c r="P33" s="35" t="str">
        <f t="shared" si="5"/>
        <v>BXGY</v>
      </c>
    </row>
    <row r="34" spans="1:16" x14ac:dyDescent="0.25">
      <c r="A34" s="22" t="str">
        <f t="shared" si="0"/>
        <v>2026 JAN - FEB B3D10</v>
      </c>
      <c r="B34" s="8">
        <f t="shared" si="1"/>
        <v>46099</v>
      </c>
      <c r="C34" s="8">
        <f t="shared" si="2"/>
        <v>46113</v>
      </c>
      <c r="D34" s="35">
        <v>3272</v>
      </c>
      <c r="E34" s="35">
        <v>336</v>
      </c>
      <c r="F34" s="35">
        <v>4</v>
      </c>
      <c r="G34" s="22">
        <v>1</v>
      </c>
      <c r="H34" s="22">
        <v>4953</v>
      </c>
      <c r="I34" s="22" t="s">
        <v>104</v>
      </c>
      <c r="J34" s="22">
        <v>68613061</v>
      </c>
      <c r="K34" s="22" t="s">
        <v>4056</v>
      </c>
      <c r="L34" s="22" t="s">
        <v>4080</v>
      </c>
      <c r="M34" s="35">
        <v>99900</v>
      </c>
      <c r="N34" s="35" t="str">
        <f t="shared" si="3"/>
        <v>BXGY</v>
      </c>
      <c r="O34" s="36" t="str">
        <f t="shared" si="4"/>
        <v>B3 DISC 10%</v>
      </c>
      <c r="P34" s="35" t="str">
        <f t="shared" si="5"/>
        <v>BXGY</v>
      </c>
    </row>
    <row r="35" spans="1:16" x14ac:dyDescent="0.25">
      <c r="A35" s="22" t="str">
        <f t="shared" ref="A35:A66" si="6">A34</f>
        <v>2026 JAN - FEB B3D10</v>
      </c>
      <c r="B35" s="8">
        <f t="shared" ref="B35:B66" si="7">B34</f>
        <v>46099</v>
      </c>
      <c r="C35" s="8">
        <f t="shared" ref="C35:C66" si="8">C34</f>
        <v>46113</v>
      </c>
      <c r="D35" s="35">
        <v>3272</v>
      </c>
      <c r="E35" s="35">
        <v>336</v>
      </c>
      <c r="F35" s="35">
        <v>4</v>
      </c>
      <c r="G35" s="22">
        <v>1</v>
      </c>
      <c r="H35" s="22">
        <v>4953</v>
      </c>
      <c r="I35" s="22" t="s">
        <v>104</v>
      </c>
      <c r="J35" s="22">
        <v>68613070</v>
      </c>
      <c r="K35" s="22" t="s">
        <v>4056</v>
      </c>
      <c r="L35" s="22" t="s">
        <v>4081</v>
      </c>
      <c r="M35" s="35">
        <v>99900</v>
      </c>
      <c r="N35" s="35" t="str">
        <f t="shared" ref="N35:N66" si="9">N34</f>
        <v>BXGY</v>
      </c>
      <c r="O35" s="36" t="str">
        <f t="shared" ref="O35:O66" si="10">O34</f>
        <v>B3 DISC 10%</v>
      </c>
      <c r="P35" s="35" t="str">
        <f t="shared" ref="P35:P66" si="11">P34</f>
        <v>BXGY</v>
      </c>
    </row>
    <row r="36" spans="1:16" x14ac:dyDescent="0.25">
      <c r="A36" s="22" t="str">
        <f t="shared" si="6"/>
        <v>2026 JAN - FEB B3D10</v>
      </c>
      <c r="B36" s="8">
        <f t="shared" si="7"/>
        <v>46099</v>
      </c>
      <c r="C36" s="8">
        <f t="shared" si="8"/>
        <v>46113</v>
      </c>
      <c r="D36" s="35">
        <v>3272</v>
      </c>
      <c r="E36" s="35">
        <v>336</v>
      </c>
      <c r="F36" s="35">
        <v>4</v>
      </c>
      <c r="G36" s="22">
        <v>1</v>
      </c>
      <c r="H36" s="22">
        <v>4953</v>
      </c>
      <c r="I36" s="22" t="s">
        <v>104</v>
      </c>
      <c r="J36" s="22">
        <v>68613089</v>
      </c>
      <c r="K36" s="22" t="s">
        <v>4056</v>
      </c>
      <c r="L36" s="22" t="s">
        <v>4082</v>
      </c>
      <c r="M36" s="35">
        <v>99900</v>
      </c>
      <c r="N36" s="35" t="str">
        <f t="shared" si="9"/>
        <v>BXGY</v>
      </c>
      <c r="O36" s="36" t="str">
        <f t="shared" si="10"/>
        <v>B3 DISC 10%</v>
      </c>
      <c r="P36" s="35" t="str">
        <f t="shared" si="11"/>
        <v>BXGY</v>
      </c>
    </row>
    <row r="37" spans="1:16" x14ac:dyDescent="0.25">
      <c r="A37" s="22" t="str">
        <f t="shared" si="6"/>
        <v>2026 JAN - FEB B3D10</v>
      </c>
      <c r="B37" s="8">
        <f t="shared" si="7"/>
        <v>46099</v>
      </c>
      <c r="C37" s="8">
        <f t="shared" si="8"/>
        <v>46113</v>
      </c>
      <c r="D37" s="35">
        <v>3272</v>
      </c>
      <c r="E37" s="35">
        <v>336</v>
      </c>
      <c r="F37" s="35">
        <v>4</v>
      </c>
      <c r="G37" s="22">
        <v>1</v>
      </c>
      <c r="H37" s="22">
        <v>4953</v>
      </c>
      <c r="I37" s="22" t="s">
        <v>104</v>
      </c>
      <c r="J37" s="22">
        <v>68613098</v>
      </c>
      <c r="K37" s="22" t="s">
        <v>4056</v>
      </c>
      <c r="L37" s="22" t="s">
        <v>4083</v>
      </c>
      <c r="M37" s="35">
        <v>99900</v>
      </c>
      <c r="N37" s="35" t="str">
        <f t="shared" si="9"/>
        <v>BXGY</v>
      </c>
      <c r="O37" s="36" t="str">
        <f t="shared" si="10"/>
        <v>B3 DISC 10%</v>
      </c>
      <c r="P37" s="35" t="str">
        <f t="shared" si="11"/>
        <v>BXGY</v>
      </c>
    </row>
    <row r="38" spans="1:16" x14ac:dyDescent="0.25">
      <c r="A38" s="22" t="str">
        <f t="shared" si="6"/>
        <v>2026 JAN - FEB B3D10</v>
      </c>
      <c r="B38" s="8">
        <f t="shared" si="7"/>
        <v>46099</v>
      </c>
      <c r="C38" s="8">
        <f t="shared" si="8"/>
        <v>46113</v>
      </c>
      <c r="D38" s="35">
        <v>3272</v>
      </c>
      <c r="E38" s="35">
        <v>336</v>
      </c>
      <c r="F38" s="35">
        <v>4</v>
      </c>
      <c r="G38" s="22">
        <v>1</v>
      </c>
      <c r="H38" s="22">
        <v>4953</v>
      </c>
      <c r="I38" s="22" t="s">
        <v>104</v>
      </c>
      <c r="J38" s="22">
        <v>68613105</v>
      </c>
      <c r="K38" s="22" t="s">
        <v>4056</v>
      </c>
      <c r="L38" s="22" t="s">
        <v>4084</v>
      </c>
      <c r="M38" s="35">
        <v>99900</v>
      </c>
      <c r="N38" s="35" t="str">
        <f t="shared" si="9"/>
        <v>BXGY</v>
      </c>
      <c r="O38" s="36" t="str">
        <f t="shared" si="10"/>
        <v>B3 DISC 10%</v>
      </c>
      <c r="P38" s="35" t="str">
        <f t="shared" si="11"/>
        <v>BXGY</v>
      </c>
    </row>
    <row r="39" spans="1:16" x14ac:dyDescent="0.25">
      <c r="A39" s="22" t="str">
        <f t="shared" si="6"/>
        <v>2026 JAN - FEB B3D10</v>
      </c>
      <c r="B39" s="8">
        <f t="shared" si="7"/>
        <v>46099</v>
      </c>
      <c r="C39" s="8">
        <f t="shared" si="8"/>
        <v>46113</v>
      </c>
      <c r="D39" s="35">
        <v>3272</v>
      </c>
      <c r="E39" s="35">
        <v>336</v>
      </c>
      <c r="F39" s="35">
        <v>4</v>
      </c>
      <c r="G39" s="22">
        <v>1</v>
      </c>
      <c r="H39" s="22">
        <v>4953</v>
      </c>
      <c r="I39" s="22" t="s">
        <v>104</v>
      </c>
      <c r="J39" s="22">
        <v>68613114</v>
      </c>
      <c r="K39" s="22" t="s">
        <v>4056</v>
      </c>
      <c r="L39" s="22" t="s">
        <v>4085</v>
      </c>
      <c r="M39" s="35">
        <v>99900</v>
      </c>
      <c r="N39" s="35" t="str">
        <f t="shared" si="9"/>
        <v>BXGY</v>
      </c>
      <c r="O39" s="36" t="str">
        <f t="shared" si="10"/>
        <v>B3 DISC 10%</v>
      </c>
      <c r="P39" s="35" t="str">
        <f t="shared" si="11"/>
        <v>BXGY</v>
      </c>
    </row>
    <row r="40" spans="1:16" x14ac:dyDescent="0.25">
      <c r="A40" s="22" t="str">
        <f t="shared" si="6"/>
        <v>2026 JAN - FEB B3D10</v>
      </c>
      <c r="B40" s="8">
        <f t="shared" si="7"/>
        <v>46099</v>
      </c>
      <c r="C40" s="8">
        <f t="shared" si="8"/>
        <v>46113</v>
      </c>
      <c r="D40" s="35">
        <v>3272</v>
      </c>
      <c r="E40" s="35">
        <v>336</v>
      </c>
      <c r="F40" s="35">
        <v>4</v>
      </c>
      <c r="G40" s="22">
        <v>1</v>
      </c>
      <c r="H40" s="22">
        <v>4953</v>
      </c>
      <c r="I40" s="22" t="s">
        <v>104</v>
      </c>
      <c r="J40" s="22">
        <v>68613123</v>
      </c>
      <c r="K40" s="22" t="s">
        <v>4057</v>
      </c>
      <c r="L40" s="22" t="s">
        <v>4086</v>
      </c>
      <c r="M40" s="35">
        <v>99900</v>
      </c>
      <c r="N40" s="35" t="str">
        <f t="shared" si="9"/>
        <v>BXGY</v>
      </c>
      <c r="O40" s="36" t="str">
        <f t="shared" si="10"/>
        <v>B3 DISC 10%</v>
      </c>
      <c r="P40" s="35" t="str">
        <f t="shared" si="11"/>
        <v>BXGY</v>
      </c>
    </row>
    <row r="41" spans="1:16" x14ac:dyDescent="0.25">
      <c r="A41" s="22" t="str">
        <f t="shared" si="6"/>
        <v>2026 JAN - FEB B3D10</v>
      </c>
      <c r="B41" s="8">
        <f t="shared" si="7"/>
        <v>46099</v>
      </c>
      <c r="C41" s="8">
        <f t="shared" si="8"/>
        <v>46113</v>
      </c>
      <c r="D41" s="35">
        <v>3272</v>
      </c>
      <c r="E41" s="35">
        <v>336</v>
      </c>
      <c r="F41" s="35">
        <v>4</v>
      </c>
      <c r="G41" s="22">
        <v>1</v>
      </c>
      <c r="H41" s="22">
        <v>4953</v>
      </c>
      <c r="I41" s="22" t="s">
        <v>104</v>
      </c>
      <c r="J41" s="22">
        <v>68613132</v>
      </c>
      <c r="K41" s="22" t="s">
        <v>4057</v>
      </c>
      <c r="L41" s="22" t="s">
        <v>4087</v>
      </c>
      <c r="M41" s="35">
        <v>99900</v>
      </c>
      <c r="N41" s="35" t="str">
        <f t="shared" si="9"/>
        <v>BXGY</v>
      </c>
      <c r="O41" s="36" t="str">
        <f t="shared" si="10"/>
        <v>B3 DISC 10%</v>
      </c>
      <c r="P41" s="35" t="str">
        <f t="shared" si="11"/>
        <v>BXGY</v>
      </c>
    </row>
    <row r="42" spans="1:16" x14ac:dyDescent="0.25">
      <c r="A42" s="22" t="str">
        <f t="shared" si="6"/>
        <v>2026 JAN - FEB B3D10</v>
      </c>
      <c r="B42" s="8">
        <f t="shared" si="7"/>
        <v>46099</v>
      </c>
      <c r="C42" s="8">
        <f t="shared" si="8"/>
        <v>46113</v>
      </c>
      <c r="D42" s="35">
        <v>3272</v>
      </c>
      <c r="E42" s="35">
        <v>336</v>
      </c>
      <c r="F42" s="35">
        <v>4</v>
      </c>
      <c r="G42" s="22">
        <v>1</v>
      </c>
      <c r="H42" s="22">
        <v>4953</v>
      </c>
      <c r="I42" s="22" t="s">
        <v>104</v>
      </c>
      <c r="J42" s="22">
        <v>68613141</v>
      </c>
      <c r="K42" s="22" t="s">
        <v>4057</v>
      </c>
      <c r="L42" s="22" t="s">
        <v>4088</v>
      </c>
      <c r="M42" s="35">
        <v>99900</v>
      </c>
      <c r="N42" s="35" t="str">
        <f t="shared" si="9"/>
        <v>BXGY</v>
      </c>
      <c r="O42" s="36" t="str">
        <f t="shared" si="10"/>
        <v>B3 DISC 10%</v>
      </c>
      <c r="P42" s="35" t="str">
        <f t="shared" si="11"/>
        <v>BXGY</v>
      </c>
    </row>
    <row r="43" spans="1:16" x14ac:dyDescent="0.25">
      <c r="A43" s="22" t="str">
        <f t="shared" si="6"/>
        <v>2026 JAN - FEB B3D10</v>
      </c>
      <c r="B43" s="8">
        <f t="shared" si="7"/>
        <v>46099</v>
      </c>
      <c r="C43" s="8">
        <f t="shared" si="8"/>
        <v>46113</v>
      </c>
      <c r="D43" s="35">
        <v>3272</v>
      </c>
      <c r="E43" s="35">
        <v>336</v>
      </c>
      <c r="F43" s="35">
        <v>4</v>
      </c>
      <c r="G43" s="22">
        <v>1</v>
      </c>
      <c r="H43" s="22">
        <v>4953</v>
      </c>
      <c r="I43" s="22" t="s">
        <v>104</v>
      </c>
      <c r="J43" s="22">
        <v>68613150</v>
      </c>
      <c r="K43" s="22" t="s">
        <v>4057</v>
      </c>
      <c r="L43" s="22" t="s">
        <v>4089</v>
      </c>
      <c r="M43" s="35">
        <v>99900</v>
      </c>
      <c r="N43" s="35" t="str">
        <f t="shared" si="9"/>
        <v>BXGY</v>
      </c>
      <c r="O43" s="36" t="str">
        <f t="shared" si="10"/>
        <v>B3 DISC 10%</v>
      </c>
      <c r="P43" s="35" t="str">
        <f t="shared" si="11"/>
        <v>BXGY</v>
      </c>
    </row>
    <row r="44" spans="1:16" x14ac:dyDescent="0.25">
      <c r="A44" s="22" t="str">
        <f t="shared" si="6"/>
        <v>2026 JAN - FEB B3D10</v>
      </c>
      <c r="B44" s="8">
        <f t="shared" si="7"/>
        <v>46099</v>
      </c>
      <c r="C44" s="8">
        <f t="shared" si="8"/>
        <v>46113</v>
      </c>
      <c r="D44" s="35">
        <v>3272</v>
      </c>
      <c r="E44" s="35">
        <v>336</v>
      </c>
      <c r="F44" s="35">
        <v>4</v>
      </c>
      <c r="G44" s="22">
        <v>1</v>
      </c>
      <c r="H44" s="22">
        <v>4953</v>
      </c>
      <c r="I44" s="22" t="s">
        <v>104</v>
      </c>
      <c r="J44" s="22">
        <v>68613169</v>
      </c>
      <c r="K44" s="22" t="s">
        <v>4057</v>
      </c>
      <c r="L44" s="22" t="s">
        <v>4090</v>
      </c>
      <c r="M44" s="35">
        <v>99900</v>
      </c>
      <c r="N44" s="35" t="str">
        <f t="shared" si="9"/>
        <v>BXGY</v>
      </c>
      <c r="O44" s="36" t="str">
        <f t="shared" si="10"/>
        <v>B3 DISC 10%</v>
      </c>
      <c r="P44" s="35" t="str">
        <f t="shared" si="11"/>
        <v>BXGY</v>
      </c>
    </row>
    <row r="45" spans="1:16" x14ac:dyDescent="0.25">
      <c r="A45" s="22" t="str">
        <f t="shared" si="6"/>
        <v>2026 JAN - FEB B3D10</v>
      </c>
      <c r="B45" s="8">
        <f t="shared" si="7"/>
        <v>46099</v>
      </c>
      <c r="C45" s="8">
        <f t="shared" si="8"/>
        <v>46113</v>
      </c>
      <c r="D45" s="35">
        <v>3272</v>
      </c>
      <c r="E45" s="35">
        <v>336</v>
      </c>
      <c r="F45" s="35">
        <v>4</v>
      </c>
      <c r="G45" s="22">
        <v>1</v>
      </c>
      <c r="H45" s="22">
        <v>4953</v>
      </c>
      <c r="I45" s="22" t="s">
        <v>104</v>
      </c>
      <c r="J45" s="22">
        <v>68613178</v>
      </c>
      <c r="K45" s="22" t="s">
        <v>4057</v>
      </c>
      <c r="L45" s="22" t="s">
        <v>4091</v>
      </c>
      <c r="M45" s="35">
        <v>99900</v>
      </c>
      <c r="N45" s="35" t="str">
        <f t="shared" si="9"/>
        <v>BXGY</v>
      </c>
      <c r="O45" s="36" t="str">
        <f t="shared" si="10"/>
        <v>B3 DISC 10%</v>
      </c>
      <c r="P45" s="35" t="str">
        <f t="shared" si="11"/>
        <v>BXGY</v>
      </c>
    </row>
    <row r="46" spans="1:16" x14ac:dyDescent="0.25">
      <c r="A46" s="22" t="str">
        <f t="shared" si="6"/>
        <v>2026 JAN - FEB B3D10</v>
      </c>
      <c r="B46" s="8">
        <f t="shared" si="7"/>
        <v>46099</v>
      </c>
      <c r="C46" s="8">
        <f t="shared" si="8"/>
        <v>46113</v>
      </c>
      <c r="D46" s="35">
        <v>3272</v>
      </c>
      <c r="E46" s="35">
        <v>336</v>
      </c>
      <c r="F46" s="35">
        <v>4</v>
      </c>
      <c r="G46" s="22">
        <v>1</v>
      </c>
      <c r="H46" s="22">
        <v>4953</v>
      </c>
      <c r="I46" s="22" t="s">
        <v>104</v>
      </c>
      <c r="J46" s="22">
        <v>68613187</v>
      </c>
      <c r="K46" s="22" t="s">
        <v>4057</v>
      </c>
      <c r="L46" s="22" t="s">
        <v>4092</v>
      </c>
      <c r="M46" s="35">
        <v>99900</v>
      </c>
      <c r="N46" s="35" t="str">
        <f t="shared" si="9"/>
        <v>BXGY</v>
      </c>
      <c r="O46" s="36" t="str">
        <f t="shared" si="10"/>
        <v>B3 DISC 10%</v>
      </c>
      <c r="P46" s="35" t="str">
        <f t="shared" si="11"/>
        <v>BXGY</v>
      </c>
    </row>
    <row r="47" spans="1:16" x14ac:dyDescent="0.25">
      <c r="A47" s="22" t="str">
        <f t="shared" si="6"/>
        <v>2026 JAN - FEB B3D10</v>
      </c>
      <c r="B47" s="8">
        <f t="shared" si="7"/>
        <v>46099</v>
      </c>
      <c r="C47" s="8">
        <f t="shared" si="8"/>
        <v>46113</v>
      </c>
      <c r="D47" s="35">
        <v>3272</v>
      </c>
      <c r="E47" s="35">
        <v>336</v>
      </c>
      <c r="F47" s="35">
        <v>4</v>
      </c>
      <c r="G47" s="22">
        <v>1</v>
      </c>
      <c r="H47" s="22">
        <v>4953</v>
      </c>
      <c r="I47" s="22" t="s">
        <v>104</v>
      </c>
      <c r="J47" s="22">
        <v>68613196</v>
      </c>
      <c r="K47" s="22" t="s">
        <v>4057</v>
      </c>
      <c r="L47" s="22" t="s">
        <v>4093</v>
      </c>
      <c r="M47" s="35">
        <v>99900</v>
      </c>
      <c r="N47" s="35" t="str">
        <f t="shared" si="9"/>
        <v>BXGY</v>
      </c>
      <c r="O47" s="36" t="str">
        <f t="shared" si="10"/>
        <v>B3 DISC 10%</v>
      </c>
      <c r="P47" s="35" t="str">
        <f t="shared" si="11"/>
        <v>BXGY</v>
      </c>
    </row>
    <row r="48" spans="1:16" x14ac:dyDescent="0.25">
      <c r="A48" s="22" t="str">
        <f t="shared" si="6"/>
        <v>2026 JAN - FEB B3D10</v>
      </c>
      <c r="B48" s="8">
        <f t="shared" si="7"/>
        <v>46099</v>
      </c>
      <c r="C48" s="8">
        <f t="shared" si="8"/>
        <v>46113</v>
      </c>
      <c r="D48" s="35">
        <v>3272</v>
      </c>
      <c r="E48" s="35">
        <v>336</v>
      </c>
      <c r="F48" s="35">
        <v>4</v>
      </c>
      <c r="G48" s="22">
        <v>1</v>
      </c>
      <c r="H48" s="22">
        <v>4953</v>
      </c>
      <c r="I48" s="22" t="s">
        <v>104</v>
      </c>
      <c r="J48" s="22">
        <v>68613203</v>
      </c>
      <c r="K48" s="22" t="s">
        <v>4058</v>
      </c>
      <c r="L48" s="22" t="s">
        <v>4094</v>
      </c>
      <c r="M48" s="35">
        <v>99900</v>
      </c>
      <c r="N48" s="35" t="str">
        <f t="shared" si="9"/>
        <v>BXGY</v>
      </c>
      <c r="O48" s="36" t="str">
        <f t="shared" si="10"/>
        <v>B3 DISC 10%</v>
      </c>
      <c r="P48" s="35" t="str">
        <f t="shared" si="11"/>
        <v>BXGY</v>
      </c>
    </row>
    <row r="49" spans="1:16" x14ac:dyDescent="0.25">
      <c r="A49" s="22" t="str">
        <f t="shared" si="6"/>
        <v>2026 JAN - FEB B3D10</v>
      </c>
      <c r="B49" s="8">
        <f t="shared" si="7"/>
        <v>46099</v>
      </c>
      <c r="C49" s="8">
        <f t="shared" si="8"/>
        <v>46113</v>
      </c>
      <c r="D49" s="35">
        <v>3272</v>
      </c>
      <c r="E49" s="35">
        <v>336</v>
      </c>
      <c r="F49" s="35">
        <v>4</v>
      </c>
      <c r="G49" s="22">
        <v>1</v>
      </c>
      <c r="H49" s="22">
        <v>4953</v>
      </c>
      <c r="I49" s="22" t="s">
        <v>104</v>
      </c>
      <c r="J49" s="22">
        <v>68613212</v>
      </c>
      <c r="K49" s="22" t="s">
        <v>4058</v>
      </c>
      <c r="L49" s="22" t="s">
        <v>4095</v>
      </c>
      <c r="M49" s="35">
        <v>99900</v>
      </c>
      <c r="N49" s="35" t="str">
        <f t="shared" si="9"/>
        <v>BXGY</v>
      </c>
      <c r="O49" s="36" t="str">
        <f t="shared" si="10"/>
        <v>B3 DISC 10%</v>
      </c>
      <c r="P49" s="35" t="str">
        <f t="shared" si="11"/>
        <v>BXGY</v>
      </c>
    </row>
    <row r="50" spans="1:16" x14ac:dyDescent="0.25">
      <c r="A50" s="22" t="str">
        <f t="shared" si="6"/>
        <v>2026 JAN - FEB B3D10</v>
      </c>
      <c r="B50" s="8">
        <f t="shared" si="7"/>
        <v>46099</v>
      </c>
      <c r="C50" s="8">
        <f t="shared" si="8"/>
        <v>46113</v>
      </c>
      <c r="D50" s="35">
        <v>3272</v>
      </c>
      <c r="E50" s="35">
        <v>336</v>
      </c>
      <c r="F50" s="35">
        <v>4</v>
      </c>
      <c r="G50" s="22">
        <v>1</v>
      </c>
      <c r="H50" s="22">
        <v>4953</v>
      </c>
      <c r="I50" s="22" t="s">
        <v>104</v>
      </c>
      <c r="J50" s="22">
        <v>68613221</v>
      </c>
      <c r="K50" s="22" t="s">
        <v>4058</v>
      </c>
      <c r="L50" s="22" t="s">
        <v>4096</v>
      </c>
      <c r="M50" s="35">
        <v>99900</v>
      </c>
      <c r="N50" s="35" t="str">
        <f t="shared" si="9"/>
        <v>BXGY</v>
      </c>
      <c r="O50" s="36" t="str">
        <f t="shared" si="10"/>
        <v>B3 DISC 10%</v>
      </c>
      <c r="P50" s="35" t="str">
        <f t="shared" si="11"/>
        <v>BXGY</v>
      </c>
    </row>
    <row r="51" spans="1:16" x14ac:dyDescent="0.25">
      <c r="A51" s="22" t="str">
        <f t="shared" si="6"/>
        <v>2026 JAN - FEB B3D10</v>
      </c>
      <c r="B51" s="8">
        <f t="shared" si="7"/>
        <v>46099</v>
      </c>
      <c r="C51" s="8">
        <f t="shared" si="8"/>
        <v>46113</v>
      </c>
      <c r="D51" s="35">
        <v>3272</v>
      </c>
      <c r="E51" s="35">
        <v>336</v>
      </c>
      <c r="F51" s="35">
        <v>4</v>
      </c>
      <c r="G51" s="22">
        <v>1</v>
      </c>
      <c r="H51" s="22">
        <v>4953</v>
      </c>
      <c r="I51" s="22" t="s">
        <v>104</v>
      </c>
      <c r="J51" s="22">
        <v>68613230</v>
      </c>
      <c r="K51" s="22" t="s">
        <v>4058</v>
      </c>
      <c r="L51" s="22" t="s">
        <v>4097</v>
      </c>
      <c r="M51" s="35">
        <v>99900</v>
      </c>
      <c r="N51" s="35" t="str">
        <f t="shared" si="9"/>
        <v>BXGY</v>
      </c>
      <c r="O51" s="36" t="str">
        <f t="shared" si="10"/>
        <v>B3 DISC 10%</v>
      </c>
      <c r="P51" s="35" t="str">
        <f t="shared" si="11"/>
        <v>BXGY</v>
      </c>
    </row>
    <row r="52" spans="1:16" x14ac:dyDescent="0.25">
      <c r="A52" s="22" t="str">
        <f t="shared" si="6"/>
        <v>2026 JAN - FEB B3D10</v>
      </c>
      <c r="B52" s="8">
        <f t="shared" si="7"/>
        <v>46099</v>
      </c>
      <c r="C52" s="8">
        <f t="shared" si="8"/>
        <v>46113</v>
      </c>
      <c r="D52" s="35">
        <v>3272</v>
      </c>
      <c r="E52" s="35">
        <v>336</v>
      </c>
      <c r="F52" s="35">
        <v>4</v>
      </c>
      <c r="G52" s="22">
        <v>1</v>
      </c>
      <c r="H52" s="22">
        <v>4953</v>
      </c>
      <c r="I52" s="22" t="s">
        <v>104</v>
      </c>
      <c r="J52" s="22">
        <v>68613249</v>
      </c>
      <c r="K52" s="22" t="s">
        <v>4058</v>
      </c>
      <c r="L52" s="22" t="s">
        <v>4098</v>
      </c>
      <c r="M52" s="35">
        <v>99900</v>
      </c>
      <c r="N52" s="35" t="str">
        <f t="shared" si="9"/>
        <v>BXGY</v>
      </c>
      <c r="O52" s="36" t="str">
        <f t="shared" si="10"/>
        <v>B3 DISC 10%</v>
      </c>
      <c r="P52" s="35" t="str">
        <f t="shared" si="11"/>
        <v>BXGY</v>
      </c>
    </row>
    <row r="53" spans="1:16" x14ac:dyDescent="0.25">
      <c r="A53" s="22" t="str">
        <f t="shared" si="6"/>
        <v>2026 JAN - FEB B3D10</v>
      </c>
      <c r="B53" s="8">
        <f t="shared" si="7"/>
        <v>46099</v>
      </c>
      <c r="C53" s="8">
        <f t="shared" si="8"/>
        <v>46113</v>
      </c>
      <c r="D53" s="35">
        <v>3272</v>
      </c>
      <c r="E53" s="35">
        <v>336</v>
      </c>
      <c r="F53" s="35">
        <v>4</v>
      </c>
      <c r="G53" s="22">
        <v>1</v>
      </c>
      <c r="H53" s="22">
        <v>4953</v>
      </c>
      <c r="I53" s="22" t="s">
        <v>104</v>
      </c>
      <c r="J53" s="22">
        <v>68613258</v>
      </c>
      <c r="K53" s="22" t="s">
        <v>4058</v>
      </c>
      <c r="L53" s="22" t="s">
        <v>4099</v>
      </c>
      <c r="M53" s="35">
        <v>99900</v>
      </c>
      <c r="N53" s="35" t="str">
        <f t="shared" si="9"/>
        <v>BXGY</v>
      </c>
      <c r="O53" s="36" t="str">
        <f t="shared" si="10"/>
        <v>B3 DISC 10%</v>
      </c>
      <c r="P53" s="35" t="str">
        <f t="shared" si="11"/>
        <v>BXGY</v>
      </c>
    </row>
    <row r="54" spans="1:16" x14ac:dyDescent="0.25">
      <c r="A54" s="22" t="str">
        <f t="shared" si="6"/>
        <v>2026 JAN - FEB B3D10</v>
      </c>
      <c r="B54" s="8">
        <f t="shared" si="7"/>
        <v>46099</v>
      </c>
      <c r="C54" s="8">
        <f t="shared" si="8"/>
        <v>46113</v>
      </c>
      <c r="D54" s="35">
        <v>3272</v>
      </c>
      <c r="E54" s="35">
        <v>336</v>
      </c>
      <c r="F54" s="35">
        <v>4</v>
      </c>
      <c r="G54" s="22">
        <v>1</v>
      </c>
      <c r="H54" s="22">
        <v>4953</v>
      </c>
      <c r="I54" s="22" t="s">
        <v>104</v>
      </c>
      <c r="J54" s="22">
        <v>68613267</v>
      </c>
      <c r="K54" s="22" t="s">
        <v>4058</v>
      </c>
      <c r="L54" s="22" t="s">
        <v>4100</v>
      </c>
      <c r="M54" s="35">
        <v>99900</v>
      </c>
      <c r="N54" s="35" t="str">
        <f t="shared" si="9"/>
        <v>BXGY</v>
      </c>
      <c r="O54" s="36" t="str">
        <f t="shared" si="10"/>
        <v>B3 DISC 10%</v>
      </c>
      <c r="P54" s="35" t="str">
        <f t="shared" si="11"/>
        <v>BXGY</v>
      </c>
    </row>
    <row r="55" spans="1:16" x14ac:dyDescent="0.25">
      <c r="A55" s="22" t="str">
        <f t="shared" si="6"/>
        <v>2026 JAN - FEB B3D10</v>
      </c>
      <c r="B55" s="8">
        <f t="shared" si="7"/>
        <v>46099</v>
      </c>
      <c r="C55" s="8">
        <f t="shared" si="8"/>
        <v>46113</v>
      </c>
      <c r="D55" s="35">
        <v>3272</v>
      </c>
      <c r="E55" s="35">
        <v>336</v>
      </c>
      <c r="F55" s="35">
        <v>4</v>
      </c>
      <c r="G55" s="22">
        <v>1</v>
      </c>
      <c r="H55" s="22">
        <v>4953</v>
      </c>
      <c r="I55" s="22" t="s">
        <v>104</v>
      </c>
      <c r="J55" s="22">
        <v>68613276</v>
      </c>
      <c r="K55" s="22" t="s">
        <v>4058</v>
      </c>
      <c r="L55" s="22" t="s">
        <v>4101</v>
      </c>
      <c r="M55" s="35">
        <v>99900</v>
      </c>
      <c r="N55" s="35" t="str">
        <f t="shared" si="9"/>
        <v>BXGY</v>
      </c>
      <c r="O55" s="36" t="str">
        <f t="shared" si="10"/>
        <v>B3 DISC 10%</v>
      </c>
      <c r="P55" s="35" t="str">
        <f t="shared" si="11"/>
        <v>BXGY</v>
      </c>
    </row>
    <row r="56" spans="1:16" x14ac:dyDescent="0.25">
      <c r="A56" s="22" t="str">
        <f t="shared" si="6"/>
        <v>2026 JAN - FEB B3D10</v>
      </c>
      <c r="B56" s="8">
        <f t="shared" si="7"/>
        <v>46099</v>
      </c>
      <c r="C56" s="8">
        <f t="shared" si="8"/>
        <v>46113</v>
      </c>
      <c r="D56" s="35">
        <v>3272</v>
      </c>
      <c r="E56" s="35">
        <v>336</v>
      </c>
      <c r="F56" s="35">
        <v>4</v>
      </c>
      <c r="G56" s="22">
        <v>1</v>
      </c>
      <c r="H56" s="22">
        <v>81379</v>
      </c>
      <c r="I56" s="22" t="s">
        <v>104</v>
      </c>
      <c r="J56" s="22">
        <v>61099792</v>
      </c>
      <c r="K56" s="22" t="s">
        <v>3739</v>
      </c>
      <c r="L56" s="22" t="s">
        <v>3740</v>
      </c>
      <c r="M56" s="35">
        <v>99900</v>
      </c>
      <c r="N56" s="35" t="str">
        <f t="shared" si="9"/>
        <v>BXGY</v>
      </c>
      <c r="O56" s="36" t="str">
        <f t="shared" si="10"/>
        <v>B3 DISC 10%</v>
      </c>
      <c r="P56" s="35" t="str">
        <f t="shared" si="11"/>
        <v>BXGY</v>
      </c>
    </row>
    <row r="57" spans="1:16" x14ac:dyDescent="0.25">
      <c r="A57" s="22" t="str">
        <f t="shared" si="6"/>
        <v>2026 JAN - FEB B3D10</v>
      </c>
      <c r="B57" s="8">
        <f t="shared" si="7"/>
        <v>46099</v>
      </c>
      <c r="C57" s="8">
        <f t="shared" si="8"/>
        <v>46113</v>
      </c>
      <c r="D57" s="35">
        <v>3272</v>
      </c>
      <c r="E57" s="35">
        <v>336</v>
      </c>
      <c r="F57" s="35">
        <v>4</v>
      </c>
      <c r="G57" s="22">
        <v>1</v>
      </c>
      <c r="H57" s="22">
        <v>81379</v>
      </c>
      <c r="I57" s="22" t="s">
        <v>104</v>
      </c>
      <c r="J57" s="22">
        <v>61099809</v>
      </c>
      <c r="K57" s="22" t="s">
        <v>3739</v>
      </c>
      <c r="L57" s="22" t="s">
        <v>3741</v>
      </c>
      <c r="M57" s="35">
        <v>99900</v>
      </c>
      <c r="N57" s="35" t="str">
        <f t="shared" si="9"/>
        <v>BXGY</v>
      </c>
      <c r="O57" s="36" t="str">
        <f t="shared" si="10"/>
        <v>B3 DISC 10%</v>
      </c>
      <c r="P57" s="35" t="str">
        <f t="shared" si="11"/>
        <v>BXGY</v>
      </c>
    </row>
    <row r="58" spans="1:16" x14ac:dyDescent="0.25">
      <c r="A58" s="22" t="str">
        <f t="shared" si="6"/>
        <v>2026 JAN - FEB B3D10</v>
      </c>
      <c r="B58" s="8">
        <f t="shared" si="7"/>
        <v>46099</v>
      </c>
      <c r="C58" s="8">
        <f t="shared" si="8"/>
        <v>46113</v>
      </c>
      <c r="D58" s="35">
        <v>3272</v>
      </c>
      <c r="E58" s="35">
        <v>336</v>
      </c>
      <c r="F58" s="35">
        <v>4</v>
      </c>
      <c r="G58" s="22">
        <v>1</v>
      </c>
      <c r="H58" s="22">
        <v>81379</v>
      </c>
      <c r="I58" s="22" t="s">
        <v>104</v>
      </c>
      <c r="J58" s="22">
        <v>61099818</v>
      </c>
      <c r="K58" s="22" t="s">
        <v>3739</v>
      </c>
      <c r="L58" s="22" t="s">
        <v>3742</v>
      </c>
      <c r="M58" s="35">
        <v>99900</v>
      </c>
      <c r="N58" s="35" t="str">
        <f t="shared" si="9"/>
        <v>BXGY</v>
      </c>
      <c r="O58" s="36" t="str">
        <f t="shared" si="10"/>
        <v>B3 DISC 10%</v>
      </c>
      <c r="P58" s="35" t="str">
        <f t="shared" si="11"/>
        <v>BXGY</v>
      </c>
    </row>
    <row r="59" spans="1:16" x14ac:dyDescent="0.25">
      <c r="A59" s="22" t="str">
        <f t="shared" si="6"/>
        <v>2026 JAN - FEB B3D10</v>
      </c>
      <c r="B59" s="8">
        <f t="shared" si="7"/>
        <v>46099</v>
      </c>
      <c r="C59" s="8">
        <f t="shared" si="8"/>
        <v>46113</v>
      </c>
      <c r="D59" s="35">
        <v>3272</v>
      </c>
      <c r="E59" s="35">
        <v>336</v>
      </c>
      <c r="F59" s="35">
        <v>4</v>
      </c>
      <c r="G59" s="22">
        <v>1</v>
      </c>
      <c r="H59" s="22">
        <v>81379</v>
      </c>
      <c r="I59" s="22" t="s">
        <v>104</v>
      </c>
      <c r="J59" s="22">
        <v>61099827</v>
      </c>
      <c r="K59" s="22" t="s">
        <v>3739</v>
      </c>
      <c r="L59" s="22" t="s">
        <v>3743</v>
      </c>
      <c r="M59" s="35">
        <v>99900</v>
      </c>
      <c r="N59" s="35" t="str">
        <f t="shared" si="9"/>
        <v>BXGY</v>
      </c>
      <c r="O59" s="36" t="str">
        <f t="shared" si="10"/>
        <v>B3 DISC 10%</v>
      </c>
      <c r="P59" s="35" t="str">
        <f t="shared" si="11"/>
        <v>BXGY</v>
      </c>
    </row>
    <row r="60" spans="1:16" x14ac:dyDescent="0.25">
      <c r="A60" s="22" t="str">
        <f t="shared" si="6"/>
        <v>2026 JAN - FEB B3D10</v>
      </c>
      <c r="B60" s="8">
        <f t="shared" si="7"/>
        <v>46099</v>
      </c>
      <c r="C60" s="8">
        <f t="shared" si="8"/>
        <v>46113</v>
      </c>
      <c r="D60" s="35">
        <v>3272</v>
      </c>
      <c r="E60" s="35">
        <v>336</v>
      </c>
      <c r="F60" s="35">
        <v>4</v>
      </c>
      <c r="G60" s="22">
        <v>1</v>
      </c>
      <c r="H60" s="22">
        <v>81379</v>
      </c>
      <c r="I60" s="22" t="s">
        <v>104</v>
      </c>
      <c r="J60" s="22">
        <v>61099836</v>
      </c>
      <c r="K60" s="22" t="s">
        <v>3739</v>
      </c>
      <c r="L60" s="22" t="s">
        <v>3744</v>
      </c>
      <c r="M60" s="35">
        <v>99900</v>
      </c>
      <c r="N60" s="35" t="str">
        <f t="shared" si="9"/>
        <v>BXGY</v>
      </c>
      <c r="O60" s="36" t="str">
        <f t="shared" si="10"/>
        <v>B3 DISC 10%</v>
      </c>
      <c r="P60" s="35" t="str">
        <f t="shared" si="11"/>
        <v>BXGY</v>
      </c>
    </row>
    <row r="61" spans="1:16" x14ac:dyDescent="0.25">
      <c r="A61" s="22" t="str">
        <f t="shared" si="6"/>
        <v>2026 JAN - FEB B3D10</v>
      </c>
      <c r="B61" s="8">
        <f t="shared" si="7"/>
        <v>46099</v>
      </c>
      <c r="C61" s="8">
        <f t="shared" si="8"/>
        <v>46113</v>
      </c>
      <c r="D61" s="35">
        <v>3272</v>
      </c>
      <c r="E61" s="35">
        <v>336</v>
      </c>
      <c r="F61" s="35">
        <v>4</v>
      </c>
      <c r="G61" s="22">
        <v>1</v>
      </c>
      <c r="H61" s="22">
        <v>81379</v>
      </c>
      <c r="I61" s="22" t="s">
        <v>104</v>
      </c>
      <c r="J61" s="22">
        <v>61099845</v>
      </c>
      <c r="K61" s="22" t="s">
        <v>3739</v>
      </c>
      <c r="L61" s="22" t="s">
        <v>3745</v>
      </c>
      <c r="M61" s="35">
        <v>99900</v>
      </c>
      <c r="N61" s="35" t="str">
        <f t="shared" si="9"/>
        <v>BXGY</v>
      </c>
      <c r="O61" s="36" t="str">
        <f t="shared" si="10"/>
        <v>B3 DISC 10%</v>
      </c>
      <c r="P61" s="35" t="str">
        <f t="shared" si="11"/>
        <v>BXGY</v>
      </c>
    </row>
    <row r="62" spans="1:16" x14ac:dyDescent="0.25">
      <c r="A62" s="22" t="str">
        <f t="shared" si="6"/>
        <v>2026 JAN - FEB B3D10</v>
      </c>
      <c r="B62" s="8">
        <f t="shared" si="7"/>
        <v>46099</v>
      </c>
      <c r="C62" s="8">
        <f t="shared" si="8"/>
        <v>46113</v>
      </c>
      <c r="D62" s="35">
        <v>3272</v>
      </c>
      <c r="E62" s="35">
        <v>336</v>
      </c>
      <c r="F62" s="35">
        <v>4</v>
      </c>
      <c r="G62" s="22">
        <v>1</v>
      </c>
      <c r="H62" s="22">
        <v>81379</v>
      </c>
      <c r="I62" s="22" t="s">
        <v>104</v>
      </c>
      <c r="J62" s="22">
        <v>61099854</v>
      </c>
      <c r="K62" s="22" t="s">
        <v>3739</v>
      </c>
      <c r="L62" s="22" t="s">
        <v>3746</v>
      </c>
      <c r="M62" s="35">
        <v>99900</v>
      </c>
      <c r="N62" s="35" t="str">
        <f t="shared" si="9"/>
        <v>BXGY</v>
      </c>
      <c r="O62" s="36" t="str">
        <f t="shared" si="10"/>
        <v>B3 DISC 10%</v>
      </c>
      <c r="P62" s="35" t="str">
        <f t="shared" si="11"/>
        <v>BXGY</v>
      </c>
    </row>
    <row r="63" spans="1:16" x14ac:dyDescent="0.25">
      <c r="A63" s="22" t="str">
        <f t="shared" si="6"/>
        <v>2026 JAN - FEB B3D10</v>
      </c>
      <c r="B63" s="8">
        <f t="shared" si="7"/>
        <v>46099</v>
      </c>
      <c r="C63" s="8">
        <f t="shared" si="8"/>
        <v>46113</v>
      </c>
      <c r="D63" s="35">
        <v>3272</v>
      </c>
      <c r="E63" s="35">
        <v>336</v>
      </c>
      <c r="F63" s="35">
        <v>4</v>
      </c>
      <c r="G63" s="22">
        <v>1</v>
      </c>
      <c r="H63" s="22">
        <v>81379</v>
      </c>
      <c r="I63" s="22" t="s">
        <v>104</v>
      </c>
      <c r="J63" s="22">
        <v>68612599</v>
      </c>
      <c r="K63" s="22" t="s">
        <v>4059</v>
      </c>
      <c r="L63" s="22" t="s">
        <v>4102</v>
      </c>
      <c r="M63" s="35">
        <v>99900</v>
      </c>
      <c r="N63" s="35" t="str">
        <f t="shared" si="9"/>
        <v>BXGY</v>
      </c>
      <c r="O63" s="36" t="str">
        <f t="shared" si="10"/>
        <v>B3 DISC 10%</v>
      </c>
      <c r="P63" s="35" t="str">
        <f t="shared" si="11"/>
        <v>BXGY</v>
      </c>
    </row>
    <row r="64" spans="1:16" x14ac:dyDescent="0.25">
      <c r="A64" s="22" t="str">
        <f t="shared" si="6"/>
        <v>2026 JAN - FEB B3D10</v>
      </c>
      <c r="B64" s="8">
        <f t="shared" si="7"/>
        <v>46099</v>
      </c>
      <c r="C64" s="8">
        <f t="shared" si="8"/>
        <v>46113</v>
      </c>
      <c r="D64" s="35">
        <v>3272</v>
      </c>
      <c r="E64" s="35">
        <v>336</v>
      </c>
      <c r="F64" s="35">
        <v>4</v>
      </c>
      <c r="G64" s="22">
        <v>1</v>
      </c>
      <c r="H64" s="22">
        <v>81379</v>
      </c>
      <c r="I64" s="22" t="s">
        <v>104</v>
      </c>
      <c r="J64" s="22">
        <v>68612606</v>
      </c>
      <c r="K64" s="22" t="s">
        <v>4059</v>
      </c>
      <c r="L64" s="22" t="s">
        <v>4103</v>
      </c>
      <c r="M64" s="35">
        <v>99900</v>
      </c>
      <c r="N64" s="35" t="str">
        <f t="shared" si="9"/>
        <v>BXGY</v>
      </c>
      <c r="O64" s="36" t="str">
        <f t="shared" si="10"/>
        <v>B3 DISC 10%</v>
      </c>
      <c r="P64" s="35" t="str">
        <f t="shared" si="11"/>
        <v>BXGY</v>
      </c>
    </row>
    <row r="65" spans="1:16" x14ac:dyDescent="0.25">
      <c r="A65" s="22" t="str">
        <f t="shared" si="6"/>
        <v>2026 JAN - FEB B3D10</v>
      </c>
      <c r="B65" s="8">
        <f t="shared" si="7"/>
        <v>46099</v>
      </c>
      <c r="C65" s="8">
        <f t="shared" si="8"/>
        <v>46113</v>
      </c>
      <c r="D65" s="35">
        <v>3272</v>
      </c>
      <c r="E65" s="35">
        <v>336</v>
      </c>
      <c r="F65" s="35">
        <v>4</v>
      </c>
      <c r="G65" s="22">
        <v>1</v>
      </c>
      <c r="H65" s="22">
        <v>81379</v>
      </c>
      <c r="I65" s="22" t="s">
        <v>104</v>
      </c>
      <c r="J65" s="22">
        <v>68612615</v>
      </c>
      <c r="K65" s="22" t="s">
        <v>4059</v>
      </c>
      <c r="L65" s="22" t="s">
        <v>4104</v>
      </c>
      <c r="M65" s="35">
        <v>99900</v>
      </c>
      <c r="N65" s="35" t="str">
        <f t="shared" si="9"/>
        <v>BXGY</v>
      </c>
      <c r="O65" s="36" t="str">
        <f t="shared" si="10"/>
        <v>B3 DISC 10%</v>
      </c>
      <c r="P65" s="35" t="str">
        <f t="shared" si="11"/>
        <v>BXGY</v>
      </c>
    </row>
    <row r="66" spans="1:16" x14ac:dyDescent="0.25">
      <c r="A66" s="22" t="str">
        <f t="shared" si="6"/>
        <v>2026 JAN - FEB B3D10</v>
      </c>
      <c r="B66" s="8">
        <f t="shared" si="7"/>
        <v>46099</v>
      </c>
      <c r="C66" s="8">
        <f t="shared" si="8"/>
        <v>46113</v>
      </c>
      <c r="D66" s="35">
        <v>3272</v>
      </c>
      <c r="E66" s="35">
        <v>336</v>
      </c>
      <c r="F66" s="35">
        <v>4</v>
      </c>
      <c r="G66" s="22">
        <v>1</v>
      </c>
      <c r="H66" s="22">
        <v>81379</v>
      </c>
      <c r="I66" s="22" t="s">
        <v>104</v>
      </c>
      <c r="J66" s="22">
        <v>68612624</v>
      </c>
      <c r="K66" s="22" t="s">
        <v>4059</v>
      </c>
      <c r="L66" s="22" t="s">
        <v>4105</v>
      </c>
      <c r="M66" s="35">
        <v>99900</v>
      </c>
      <c r="N66" s="35" t="str">
        <f t="shared" si="9"/>
        <v>BXGY</v>
      </c>
      <c r="O66" s="36" t="str">
        <f t="shared" si="10"/>
        <v>B3 DISC 10%</v>
      </c>
      <c r="P66" s="35" t="str">
        <f t="shared" si="11"/>
        <v>BXGY</v>
      </c>
    </row>
    <row r="67" spans="1:16" x14ac:dyDescent="0.25">
      <c r="A67" s="22" t="str">
        <f t="shared" ref="A67:A98" si="12">A66</f>
        <v>2026 JAN - FEB B3D10</v>
      </c>
      <c r="B67" s="8">
        <f t="shared" ref="B67:B98" si="13">B66</f>
        <v>46099</v>
      </c>
      <c r="C67" s="8">
        <f t="shared" ref="C67:C98" si="14">C66</f>
        <v>46113</v>
      </c>
      <c r="D67" s="35">
        <v>3272</v>
      </c>
      <c r="E67" s="35">
        <v>336</v>
      </c>
      <c r="F67" s="35">
        <v>4</v>
      </c>
      <c r="G67" s="22">
        <v>1</v>
      </c>
      <c r="H67" s="22">
        <v>81379</v>
      </c>
      <c r="I67" s="22" t="s">
        <v>104</v>
      </c>
      <c r="J67" s="22">
        <v>68612633</v>
      </c>
      <c r="K67" s="22" t="s">
        <v>4059</v>
      </c>
      <c r="L67" s="22" t="s">
        <v>4106</v>
      </c>
      <c r="M67" s="35">
        <v>99900</v>
      </c>
      <c r="N67" s="35" t="str">
        <f t="shared" ref="N67:N98" si="15">N66</f>
        <v>BXGY</v>
      </c>
      <c r="O67" s="36" t="str">
        <f t="shared" ref="O67:O98" si="16">O66</f>
        <v>B3 DISC 10%</v>
      </c>
      <c r="P67" s="35" t="str">
        <f t="shared" ref="P67:P98" si="17">P66</f>
        <v>BXGY</v>
      </c>
    </row>
    <row r="68" spans="1:16" x14ac:dyDescent="0.25">
      <c r="A68" s="22" t="str">
        <f t="shared" si="12"/>
        <v>2026 JAN - FEB B3D10</v>
      </c>
      <c r="B68" s="8">
        <f t="shared" si="13"/>
        <v>46099</v>
      </c>
      <c r="C68" s="8">
        <f t="shared" si="14"/>
        <v>46113</v>
      </c>
      <c r="D68" s="35">
        <v>3272</v>
      </c>
      <c r="E68" s="35">
        <v>336</v>
      </c>
      <c r="F68" s="35">
        <v>4</v>
      </c>
      <c r="G68" s="22">
        <v>1</v>
      </c>
      <c r="H68" s="22">
        <v>81379</v>
      </c>
      <c r="I68" s="22" t="s">
        <v>104</v>
      </c>
      <c r="J68" s="22">
        <v>68612642</v>
      </c>
      <c r="K68" s="22" t="s">
        <v>4059</v>
      </c>
      <c r="L68" s="22" t="s">
        <v>4107</v>
      </c>
      <c r="M68" s="35">
        <v>99900</v>
      </c>
      <c r="N68" s="35" t="str">
        <f t="shared" si="15"/>
        <v>BXGY</v>
      </c>
      <c r="O68" s="36" t="str">
        <f t="shared" si="16"/>
        <v>B3 DISC 10%</v>
      </c>
      <c r="P68" s="35" t="str">
        <f t="shared" si="17"/>
        <v>BXGY</v>
      </c>
    </row>
    <row r="69" spans="1:16" x14ac:dyDescent="0.25">
      <c r="A69" s="22" t="str">
        <f t="shared" si="12"/>
        <v>2026 JAN - FEB B3D10</v>
      </c>
      <c r="B69" s="8">
        <f t="shared" si="13"/>
        <v>46099</v>
      </c>
      <c r="C69" s="8">
        <f t="shared" si="14"/>
        <v>46113</v>
      </c>
      <c r="D69" s="35">
        <v>3272</v>
      </c>
      <c r="E69" s="35">
        <v>336</v>
      </c>
      <c r="F69" s="35">
        <v>4</v>
      </c>
      <c r="G69" s="22">
        <v>1</v>
      </c>
      <c r="H69" s="22">
        <v>81379</v>
      </c>
      <c r="I69" s="22" t="s">
        <v>104</v>
      </c>
      <c r="J69" s="22">
        <v>68612651</v>
      </c>
      <c r="K69" s="22" t="s">
        <v>4059</v>
      </c>
      <c r="L69" s="22" t="s">
        <v>4108</v>
      </c>
      <c r="M69" s="35">
        <v>99900</v>
      </c>
      <c r="N69" s="35" t="str">
        <f t="shared" si="15"/>
        <v>BXGY</v>
      </c>
      <c r="O69" s="36" t="str">
        <f t="shared" si="16"/>
        <v>B3 DISC 10%</v>
      </c>
      <c r="P69" s="35" t="str">
        <f t="shared" si="17"/>
        <v>BXGY</v>
      </c>
    </row>
    <row r="70" spans="1:16" x14ac:dyDescent="0.25">
      <c r="A70" s="22" t="str">
        <f t="shared" si="12"/>
        <v>2026 JAN - FEB B3D10</v>
      </c>
      <c r="B70" s="8">
        <f t="shared" si="13"/>
        <v>46099</v>
      </c>
      <c r="C70" s="8">
        <f t="shared" si="14"/>
        <v>46113</v>
      </c>
      <c r="D70" s="35">
        <v>3272</v>
      </c>
      <c r="E70" s="35">
        <v>336</v>
      </c>
      <c r="F70" s="35">
        <v>4</v>
      </c>
      <c r="G70" s="22">
        <v>1</v>
      </c>
      <c r="H70" s="22">
        <v>81379</v>
      </c>
      <c r="I70" s="22" t="s">
        <v>104</v>
      </c>
      <c r="J70" s="22">
        <v>68612660</v>
      </c>
      <c r="K70" s="22" t="s">
        <v>4059</v>
      </c>
      <c r="L70" s="22" t="s">
        <v>4109</v>
      </c>
      <c r="M70" s="35">
        <v>99900</v>
      </c>
      <c r="N70" s="35" t="str">
        <f t="shared" si="15"/>
        <v>BXGY</v>
      </c>
      <c r="O70" s="36" t="str">
        <f t="shared" si="16"/>
        <v>B3 DISC 10%</v>
      </c>
      <c r="P70" s="35" t="str">
        <f t="shared" si="17"/>
        <v>BXGY</v>
      </c>
    </row>
    <row r="71" spans="1:16" x14ac:dyDescent="0.25">
      <c r="A71" s="22" t="str">
        <f t="shared" si="12"/>
        <v>2026 JAN - FEB B3D10</v>
      </c>
      <c r="B71" s="8">
        <f t="shared" si="13"/>
        <v>46099</v>
      </c>
      <c r="C71" s="8">
        <f t="shared" si="14"/>
        <v>46113</v>
      </c>
      <c r="D71" s="35">
        <v>3272</v>
      </c>
      <c r="E71" s="35">
        <v>336</v>
      </c>
      <c r="F71" s="35">
        <v>4</v>
      </c>
      <c r="G71" s="22">
        <v>1</v>
      </c>
      <c r="H71" s="22">
        <v>81379</v>
      </c>
      <c r="I71" s="22" t="s">
        <v>104</v>
      </c>
      <c r="J71" s="22">
        <v>68612679</v>
      </c>
      <c r="K71" s="22" t="s">
        <v>4060</v>
      </c>
      <c r="L71" s="22" t="s">
        <v>4110</v>
      </c>
      <c r="M71" s="35">
        <v>99900</v>
      </c>
      <c r="N71" s="35" t="str">
        <f t="shared" si="15"/>
        <v>BXGY</v>
      </c>
      <c r="O71" s="36" t="str">
        <f t="shared" si="16"/>
        <v>B3 DISC 10%</v>
      </c>
      <c r="P71" s="35" t="str">
        <f t="shared" si="17"/>
        <v>BXGY</v>
      </c>
    </row>
    <row r="72" spans="1:16" x14ac:dyDescent="0.25">
      <c r="A72" s="22" t="str">
        <f t="shared" si="12"/>
        <v>2026 JAN - FEB B3D10</v>
      </c>
      <c r="B72" s="8">
        <f t="shared" si="13"/>
        <v>46099</v>
      </c>
      <c r="C72" s="8">
        <f t="shared" si="14"/>
        <v>46113</v>
      </c>
      <c r="D72" s="35">
        <v>3272</v>
      </c>
      <c r="E72" s="35">
        <v>336</v>
      </c>
      <c r="F72" s="35">
        <v>4</v>
      </c>
      <c r="G72" s="22">
        <v>1</v>
      </c>
      <c r="H72" s="22">
        <v>81379</v>
      </c>
      <c r="I72" s="22" t="s">
        <v>104</v>
      </c>
      <c r="J72" s="22">
        <v>68612688</v>
      </c>
      <c r="K72" s="22" t="s">
        <v>4060</v>
      </c>
      <c r="L72" s="22" t="s">
        <v>4111</v>
      </c>
      <c r="M72" s="35">
        <v>99900</v>
      </c>
      <c r="N72" s="35" t="str">
        <f t="shared" si="15"/>
        <v>BXGY</v>
      </c>
      <c r="O72" s="36" t="str">
        <f t="shared" si="16"/>
        <v>B3 DISC 10%</v>
      </c>
      <c r="P72" s="35" t="str">
        <f t="shared" si="17"/>
        <v>BXGY</v>
      </c>
    </row>
    <row r="73" spans="1:16" x14ac:dyDescent="0.25">
      <c r="A73" s="22" t="str">
        <f t="shared" si="12"/>
        <v>2026 JAN - FEB B3D10</v>
      </c>
      <c r="B73" s="8">
        <f t="shared" si="13"/>
        <v>46099</v>
      </c>
      <c r="C73" s="8">
        <f t="shared" si="14"/>
        <v>46113</v>
      </c>
      <c r="D73" s="35">
        <v>3272</v>
      </c>
      <c r="E73" s="35">
        <v>336</v>
      </c>
      <c r="F73" s="35">
        <v>4</v>
      </c>
      <c r="G73" s="22">
        <v>1</v>
      </c>
      <c r="H73" s="22">
        <v>81379</v>
      </c>
      <c r="I73" s="22" t="s">
        <v>104</v>
      </c>
      <c r="J73" s="22">
        <v>68612697</v>
      </c>
      <c r="K73" s="22" t="s">
        <v>4060</v>
      </c>
      <c r="L73" s="22" t="s">
        <v>4112</v>
      </c>
      <c r="M73" s="35">
        <v>99900</v>
      </c>
      <c r="N73" s="35" t="str">
        <f t="shared" si="15"/>
        <v>BXGY</v>
      </c>
      <c r="O73" s="36" t="str">
        <f t="shared" si="16"/>
        <v>B3 DISC 10%</v>
      </c>
      <c r="P73" s="35" t="str">
        <f t="shared" si="17"/>
        <v>BXGY</v>
      </c>
    </row>
    <row r="74" spans="1:16" x14ac:dyDescent="0.25">
      <c r="A74" s="22" t="str">
        <f t="shared" si="12"/>
        <v>2026 JAN - FEB B3D10</v>
      </c>
      <c r="B74" s="8">
        <f t="shared" si="13"/>
        <v>46099</v>
      </c>
      <c r="C74" s="8">
        <f t="shared" si="14"/>
        <v>46113</v>
      </c>
      <c r="D74" s="35">
        <v>3272</v>
      </c>
      <c r="E74" s="35">
        <v>336</v>
      </c>
      <c r="F74" s="35">
        <v>4</v>
      </c>
      <c r="G74" s="22">
        <v>1</v>
      </c>
      <c r="H74" s="22">
        <v>81379</v>
      </c>
      <c r="I74" s="22" t="s">
        <v>104</v>
      </c>
      <c r="J74" s="22">
        <v>68612704</v>
      </c>
      <c r="K74" s="22" t="s">
        <v>4060</v>
      </c>
      <c r="L74" s="22" t="s">
        <v>4113</v>
      </c>
      <c r="M74" s="35">
        <v>99900</v>
      </c>
      <c r="N74" s="35" t="str">
        <f t="shared" si="15"/>
        <v>BXGY</v>
      </c>
      <c r="O74" s="36" t="str">
        <f t="shared" si="16"/>
        <v>B3 DISC 10%</v>
      </c>
      <c r="P74" s="35" t="str">
        <f t="shared" si="17"/>
        <v>BXGY</v>
      </c>
    </row>
    <row r="75" spans="1:16" x14ac:dyDescent="0.25">
      <c r="A75" s="22" t="str">
        <f t="shared" si="12"/>
        <v>2026 JAN - FEB B3D10</v>
      </c>
      <c r="B75" s="8">
        <f t="shared" si="13"/>
        <v>46099</v>
      </c>
      <c r="C75" s="8">
        <f t="shared" si="14"/>
        <v>46113</v>
      </c>
      <c r="D75" s="35">
        <v>3272</v>
      </c>
      <c r="E75" s="35">
        <v>336</v>
      </c>
      <c r="F75" s="35">
        <v>4</v>
      </c>
      <c r="G75" s="22">
        <v>1</v>
      </c>
      <c r="H75" s="22">
        <v>81379</v>
      </c>
      <c r="I75" s="22" t="s">
        <v>104</v>
      </c>
      <c r="J75" s="22">
        <v>68612713</v>
      </c>
      <c r="K75" s="22" t="s">
        <v>4060</v>
      </c>
      <c r="L75" s="22" t="s">
        <v>4114</v>
      </c>
      <c r="M75" s="35">
        <v>99900</v>
      </c>
      <c r="N75" s="35" t="str">
        <f t="shared" si="15"/>
        <v>BXGY</v>
      </c>
      <c r="O75" s="36" t="str">
        <f t="shared" si="16"/>
        <v>B3 DISC 10%</v>
      </c>
      <c r="P75" s="35" t="str">
        <f t="shared" si="17"/>
        <v>BXGY</v>
      </c>
    </row>
    <row r="76" spans="1:16" x14ac:dyDescent="0.25">
      <c r="A76" s="22" t="str">
        <f t="shared" si="12"/>
        <v>2026 JAN - FEB B3D10</v>
      </c>
      <c r="B76" s="8">
        <f t="shared" si="13"/>
        <v>46099</v>
      </c>
      <c r="C76" s="8">
        <f t="shared" si="14"/>
        <v>46113</v>
      </c>
      <c r="D76" s="35">
        <v>3272</v>
      </c>
      <c r="E76" s="35">
        <v>336</v>
      </c>
      <c r="F76" s="35">
        <v>4</v>
      </c>
      <c r="G76" s="22">
        <v>1</v>
      </c>
      <c r="H76" s="22">
        <v>81379</v>
      </c>
      <c r="I76" s="22" t="s">
        <v>104</v>
      </c>
      <c r="J76" s="22">
        <v>68612722</v>
      </c>
      <c r="K76" s="22" t="s">
        <v>4060</v>
      </c>
      <c r="L76" s="22" t="s">
        <v>4115</v>
      </c>
      <c r="M76" s="35">
        <v>99900</v>
      </c>
      <c r="N76" s="35" t="str">
        <f t="shared" si="15"/>
        <v>BXGY</v>
      </c>
      <c r="O76" s="36" t="str">
        <f t="shared" si="16"/>
        <v>B3 DISC 10%</v>
      </c>
      <c r="P76" s="35" t="str">
        <f t="shared" si="17"/>
        <v>BXGY</v>
      </c>
    </row>
    <row r="77" spans="1:16" x14ac:dyDescent="0.25">
      <c r="A77" s="22" t="str">
        <f t="shared" si="12"/>
        <v>2026 JAN - FEB B3D10</v>
      </c>
      <c r="B77" s="8">
        <f t="shared" si="13"/>
        <v>46099</v>
      </c>
      <c r="C77" s="8">
        <f t="shared" si="14"/>
        <v>46113</v>
      </c>
      <c r="D77" s="35">
        <v>3272</v>
      </c>
      <c r="E77" s="35">
        <v>336</v>
      </c>
      <c r="F77" s="35">
        <v>4</v>
      </c>
      <c r="G77" s="22">
        <v>1</v>
      </c>
      <c r="H77" s="22">
        <v>81379</v>
      </c>
      <c r="I77" s="22" t="s">
        <v>104</v>
      </c>
      <c r="J77" s="22">
        <v>68612731</v>
      </c>
      <c r="K77" s="22" t="s">
        <v>4060</v>
      </c>
      <c r="L77" s="22" t="s">
        <v>4116</v>
      </c>
      <c r="M77" s="35">
        <v>99900</v>
      </c>
      <c r="N77" s="35" t="str">
        <f t="shared" si="15"/>
        <v>BXGY</v>
      </c>
      <c r="O77" s="36" t="str">
        <f t="shared" si="16"/>
        <v>B3 DISC 10%</v>
      </c>
      <c r="P77" s="35" t="str">
        <f t="shared" si="17"/>
        <v>BXGY</v>
      </c>
    </row>
    <row r="78" spans="1:16" x14ac:dyDescent="0.25">
      <c r="A78" s="22" t="str">
        <f t="shared" si="12"/>
        <v>2026 JAN - FEB B3D10</v>
      </c>
      <c r="B78" s="8">
        <f t="shared" si="13"/>
        <v>46099</v>
      </c>
      <c r="C78" s="8">
        <f t="shared" si="14"/>
        <v>46113</v>
      </c>
      <c r="D78" s="35">
        <v>3272</v>
      </c>
      <c r="E78" s="35">
        <v>336</v>
      </c>
      <c r="F78" s="35">
        <v>4</v>
      </c>
      <c r="G78" s="22">
        <v>1</v>
      </c>
      <c r="H78" s="22">
        <v>81379</v>
      </c>
      <c r="I78" s="22" t="s">
        <v>104</v>
      </c>
      <c r="J78" s="22">
        <v>68612740</v>
      </c>
      <c r="K78" s="22" t="s">
        <v>4060</v>
      </c>
      <c r="L78" s="22" t="s">
        <v>4117</v>
      </c>
      <c r="M78" s="35">
        <v>99900</v>
      </c>
      <c r="N78" s="35" t="str">
        <f t="shared" si="15"/>
        <v>BXGY</v>
      </c>
      <c r="O78" s="36" t="str">
        <f t="shared" si="16"/>
        <v>B3 DISC 10%</v>
      </c>
      <c r="P78" s="35" t="str">
        <f t="shared" si="17"/>
        <v>BXGY</v>
      </c>
    </row>
    <row r="79" spans="1:16" x14ac:dyDescent="0.25">
      <c r="A79" s="22" t="str">
        <f t="shared" si="12"/>
        <v>2026 JAN - FEB B3D10</v>
      </c>
      <c r="B79" s="8">
        <f t="shared" si="13"/>
        <v>46099</v>
      </c>
      <c r="C79" s="8">
        <f t="shared" si="14"/>
        <v>46113</v>
      </c>
      <c r="D79" s="35">
        <v>3272</v>
      </c>
      <c r="E79" s="35">
        <v>336</v>
      </c>
      <c r="F79" s="35">
        <v>4</v>
      </c>
      <c r="G79" s="22">
        <v>1</v>
      </c>
      <c r="H79" s="22">
        <v>81379</v>
      </c>
      <c r="I79" s="22" t="s">
        <v>104</v>
      </c>
      <c r="J79" s="22">
        <v>68612759</v>
      </c>
      <c r="K79" s="22" t="s">
        <v>4061</v>
      </c>
      <c r="L79" s="22" t="s">
        <v>4118</v>
      </c>
      <c r="M79" s="35">
        <v>129900</v>
      </c>
      <c r="N79" s="35" t="str">
        <f t="shared" si="15"/>
        <v>BXGY</v>
      </c>
      <c r="O79" s="36" t="str">
        <f t="shared" si="16"/>
        <v>B3 DISC 10%</v>
      </c>
      <c r="P79" s="35" t="str">
        <f t="shared" si="17"/>
        <v>BXGY</v>
      </c>
    </row>
    <row r="80" spans="1:16" x14ac:dyDescent="0.25">
      <c r="A80" s="22" t="str">
        <f t="shared" si="12"/>
        <v>2026 JAN - FEB B3D10</v>
      </c>
      <c r="B80" s="8">
        <f t="shared" si="13"/>
        <v>46099</v>
      </c>
      <c r="C80" s="8">
        <f t="shared" si="14"/>
        <v>46113</v>
      </c>
      <c r="D80" s="35">
        <v>3272</v>
      </c>
      <c r="E80" s="35">
        <v>336</v>
      </c>
      <c r="F80" s="35">
        <v>4</v>
      </c>
      <c r="G80" s="22">
        <v>1</v>
      </c>
      <c r="H80" s="22">
        <v>81379</v>
      </c>
      <c r="I80" s="22" t="s">
        <v>104</v>
      </c>
      <c r="J80" s="22">
        <v>68612768</v>
      </c>
      <c r="K80" s="22" t="s">
        <v>4061</v>
      </c>
      <c r="L80" s="22" t="s">
        <v>4119</v>
      </c>
      <c r="M80" s="35">
        <v>129900</v>
      </c>
      <c r="N80" s="35" t="str">
        <f t="shared" si="15"/>
        <v>BXGY</v>
      </c>
      <c r="O80" s="36" t="str">
        <f t="shared" si="16"/>
        <v>B3 DISC 10%</v>
      </c>
      <c r="P80" s="35" t="str">
        <f t="shared" si="17"/>
        <v>BXGY</v>
      </c>
    </row>
    <row r="81" spans="1:16" x14ac:dyDescent="0.25">
      <c r="A81" s="22" t="str">
        <f t="shared" si="12"/>
        <v>2026 JAN - FEB B3D10</v>
      </c>
      <c r="B81" s="8">
        <f t="shared" si="13"/>
        <v>46099</v>
      </c>
      <c r="C81" s="8">
        <f t="shared" si="14"/>
        <v>46113</v>
      </c>
      <c r="D81" s="35">
        <v>3272</v>
      </c>
      <c r="E81" s="35">
        <v>336</v>
      </c>
      <c r="F81" s="35">
        <v>4</v>
      </c>
      <c r="G81" s="22">
        <v>1</v>
      </c>
      <c r="H81" s="22">
        <v>81379</v>
      </c>
      <c r="I81" s="22" t="s">
        <v>104</v>
      </c>
      <c r="J81" s="22">
        <v>68612777</v>
      </c>
      <c r="K81" s="22" t="s">
        <v>4061</v>
      </c>
      <c r="L81" s="22" t="s">
        <v>4120</v>
      </c>
      <c r="M81" s="35">
        <v>129900</v>
      </c>
      <c r="N81" s="35" t="str">
        <f t="shared" si="15"/>
        <v>BXGY</v>
      </c>
      <c r="O81" s="36" t="str">
        <f t="shared" si="16"/>
        <v>B3 DISC 10%</v>
      </c>
      <c r="P81" s="35" t="str">
        <f t="shared" si="17"/>
        <v>BXGY</v>
      </c>
    </row>
    <row r="82" spans="1:16" x14ac:dyDescent="0.25">
      <c r="A82" s="22" t="str">
        <f t="shared" si="12"/>
        <v>2026 JAN - FEB B3D10</v>
      </c>
      <c r="B82" s="8">
        <f t="shared" si="13"/>
        <v>46099</v>
      </c>
      <c r="C82" s="8">
        <f t="shared" si="14"/>
        <v>46113</v>
      </c>
      <c r="D82" s="35">
        <v>3272</v>
      </c>
      <c r="E82" s="35">
        <v>336</v>
      </c>
      <c r="F82" s="35">
        <v>4</v>
      </c>
      <c r="G82" s="22">
        <v>1</v>
      </c>
      <c r="H82" s="22">
        <v>81379</v>
      </c>
      <c r="I82" s="22" t="s">
        <v>104</v>
      </c>
      <c r="J82" s="22">
        <v>68612786</v>
      </c>
      <c r="K82" s="22" t="s">
        <v>4061</v>
      </c>
      <c r="L82" s="22" t="s">
        <v>4121</v>
      </c>
      <c r="M82" s="35">
        <v>129900</v>
      </c>
      <c r="N82" s="35" t="str">
        <f t="shared" si="15"/>
        <v>BXGY</v>
      </c>
      <c r="O82" s="36" t="str">
        <f t="shared" si="16"/>
        <v>B3 DISC 10%</v>
      </c>
      <c r="P82" s="35" t="str">
        <f t="shared" si="17"/>
        <v>BXGY</v>
      </c>
    </row>
    <row r="83" spans="1:16" x14ac:dyDescent="0.25">
      <c r="A83" s="22" t="str">
        <f t="shared" si="12"/>
        <v>2026 JAN - FEB B3D10</v>
      </c>
      <c r="B83" s="8">
        <f t="shared" si="13"/>
        <v>46099</v>
      </c>
      <c r="C83" s="8">
        <f t="shared" si="14"/>
        <v>46113</v>
      </c>
      <c r="D83" s="35">
        <v>3272</v>
      </c>
      <c r="E83" s="35">
        <v>336</v>
      </c>
      <c r="F83" s="35">
        <v>4</v>
      </c>
      <c r="G83" s="22">
        <v>1</v>
      </c>
      <c r="H83" s="22">
        <v>81379</v>
      </c>
      <c r="I83" s="22" t="s">
        <v>104</v>
      </c>
      <c r="J83" s="22">
        <v>68612795</v>
      </c>
      <c r="K83" s="22" t="s">
        <v>4061</v>
      </c>
      <c r="L83" s="22" t="s">
        <v>4122</v>
      </c>
      <c r="M83" s="35">
        <v>129900</v>
      </c>
      <c r="N83" s="35" t="str">
        <f t="shared" si="15"/>
        <v>BXGY</v>
      </c>
      <c r="O83" s="36" t="str">
        <f t="shared" si="16"/>
        <v>B3 DISC 10%</v>
      </c>
      <c r="P83" s="35" t="str">
        <f t="shared" si="17"/>
        <v>BXGY</v>
      </c>
    </row>
    <row r="84" spans="1:16" x14ac:dyDescent="0.25">
      <c r="A84" s="22" t="str">
        <f t="shared" si="12"/>
        <v>2026 JAN - FEB B3D10</v>
      </c>
      <c r="B84" s="8">
        <f t="shared" si="13"/>
        <v>46099</v>
      </c>
      <c r="C84" s="8">
        <f t="shared" si="14"/>
        <v>46113</v>
      </c>
      <c r="D84" s="35">
        <v>3272</v>
      </c>
      <c r="E84" s="35">
        <v>336</v>
      </c>
      <c r="F84" s="35">
        <v>4</v>
      </c>
      <c r="G84" s="22">
        <v>1</v>
      </c>
      <c r="H84" s="22">
        <v>81379</v>
      </c>
      <c r="I84" s="22" t="s">
        <v>104</v>
      </c>
      <c r="J84" s="22">
        <v>68612802</v>
      </c>
      <c r="K84" s="22" t="s">
        <v>4061</v>
      </c>
      <c r="L84" s="22" t="s">
        <v>4123</v>
      </c>
      <c r="M84" s="35">
        <v>129900</v>
      </c>
      <c r="N84" s="35" t="str">
        <f t="shared" si="15"/>
        <v>BXGY</v>
      </c>
      <c r="O84" s="36" t="str">
        <f t="shared" si="16"/>
        <v>B3 DISC 10%</v>
      </c>
      <c r="P84" s="35" t="str">
        <f t="shared" si="17"/>
        <v>BXGY</v>
      </c>
    </row>
    <row r="85" spans="1:16" x14ac:dyDescent="0.25">
      <c r="A85" s="22" t="str">
        <f t="shared" si="12"/>
        <v>2026 JAN - FEB B3D10</v>
      </c>
      <c r="B85" s="8">
        <f t="shared" si="13"/>
        <v>46099</v>
      </c>
      <c r="C85" s="8">
        <f t="shared" si="14"/>
        <v>46113</v>
      </c>
      <c r="D85" s="35">
        <v>3272</v>
      </c>
      <c r="E85" s="35">
        <v>336</v>
      </c>
      <c r="F85" s="35">
        <v>4</v>
      </c>
      <c r="G85" s="22">
        <v>1</v>
      </c>
      <c r="H85" s="22">
        <v>81379</v>
      </c>
      <c r="I85" s="22" t="s">
        <v>104</v>
      </c>
      <c r="J85" s="22">
        <v>68612811</v>
      </c>
      <c r="K85" s="22" t="s">
        <v>4061</v>
      </c>
      <c r="L85" s="22" t="s">
        <v>4124</v>
      </c>
      <c r="M85" s="35">
        <v>129900</v>
      </c>
      <c r="N85" s="35" t="str">
        <f t="shared" si="15"/>
        <v>BXGY</v>
      </c>
      <c r="O85" s="36" t="str">
        <f t="shared" si="16"/>
        <v>B3 DISC 10%</v>
      </c>
      <c r="P85" s="35" t="str">
        <f t="shared" si="17"/>
        <v>BXGY</v>
      </c>
    </row>
    <row r="86" spans="1:16" x14ac:dyDescent="0.25">
      <c r="A86" s="22" t="str">
        <f t="shared" si="12"/>
        <v>2026 JAN - FEB B3D10</v>
      </c>
      <c r="B86" s="8">
        <f t="shared" si="13"/>
        <v>46099</v>
      </c>
      <c r="C86" s="8">
        <f t="shared" si="14"/>
        <v>46113</v>
      </c>
      <c r="D86" s="35">
        <v>3272</v>
      </c>
      <c r="E86" s="35">
        <v>336</v>
      </c>
      <c r="F86" s="35">
        <v>4</v>
      </c>
      <c r="G86" s="22">
        <v>1</v>
      </c>
      <c r="H86" s="22">
        <v>81379</v>
      </c>
      <c r="I86" s="22" t="s">
        <v>104</v>
      </c>
      <c r="J86" s="22">
        <v>68612820</v>
      </c>
      <c r="K86" s="22" t="s">
        <v>4061</v>
      </c>
      <c r="L86" s="22" t="s">
        <v>4125</v>
      </c>
      <c r="M86" s="35">
        <v>129900</v>
      </c>
      <c r="N86" s="35" t="str">
        <f t="shared" si="15"/>
        <v>BXGY</v>
      </c>
      <c r="O86" s="36" t="str">
        <f t="shared" si="16"/>
        <v>B3 DISC 10%</v>
      </c>
      <c r="P86" s="35" t="str">
        <f t="shared" si="17"/>
        <v>BXGY</v>
      </c>
    </row>
    <row r="87" spans="1:16" x14ac:dyDescent="0.25">
      <c r="A87" s="22" t="str">
        <f t="shared" si="12"/>
        <v>2026 JAN - FEB B3D10</v>
      </c>
      <c r="B87" s="8">
        <f t="shared" si="13"/>
        <v>46099</v>
      </c>
      <c r="C87" s="8">
        <f t="shared" si="14"/>
        <v>46113</v>
      </c>
      <c r="D87" s="35">
        <v>3272</v>
      </c>
      <c r="E87" s="35">
        <v>336</v>
      </c>
      <c r="F87" s="35">
        <v>4</v>
      </c>
      <c r="G87" s="22">
        <v>1</v>
      </c>
      <c r="H87" s="22">
        <v>81379</v>
      </c>
      <c r="I87" s="22" t="s">
        <v>104</v>
      </c>
      <c r="J87" s="22">
        <v>68612991</v>
      </c>
      <c r="K87" s="22" t="s">
        <v>4062</v>
      </c>
      <c r="L87" s="22" t="s">
        <v>4126</v>
      </c>
      <c r="M87" s="35">
        <v>99900</v>
      </c>
      <c r="N87" s="35" t="str">
        <f t="shared" si="15"/>
        <v>BXGY</v>
      </c>
      <c r="O87" s="36" t="str">
        <f t="shared" si="16"/>
        <v>B3 DISC 10%</v>
      </c>
      <c r="P87" s="35" t="str">
        <f t="shared" si="17"/>
        <v>BXGY</v>
      </c>
    </row>
    <row r="88" spans="1:16" x14ac:dyDescent="0.25">
      <c r="A88" s="22" t="str">
        <f t="shared" si="12"/>
        <v>2026 JAN - FEB B3D10</v>
      </c>
      <c r="B88" s="8">
        <f t="shared" si="13"/>
        <v>46099</v>
      </c>
      <c r="C88" s="8">
        <f t="shared" si="14"/>
        <v>46113</v>
      </c>
      <c r="D88" s="35">
        <v>3272</v>
      </c>
      <c r="E88" s="35">
        <v>336</v>
      </c>
      <c r="F88" s="35">
        <v>4</v>
      </c>
      <c r="G88" s="22">
        <v>1</v>
      </c>
      <c r="H88" s="22">
        <v>81379</v>
      </c>
      <c r="I88" s="22" t="s">
        <v>104</v>
      </c>
      <c r="J88" s="22">
        <v>68613007</v>
      </c>
      <c r="K88" s="22" t="s">
        <v>4062</v>
      </c>
      <c r="L88" s="22" t="s">
        <v>4127</v>
      </c>
      <c r="M88" s="35">
        <v>99900</v>
      </c>
      <c r="N88" s="35" t="str">
        <f t="shared" si="15"/>
        <v>BXGY</v>
      </c>
      <c r="O88" s="36" t="str">
        <f t="shared" si="16"/>
        <v>B3 DISC 10%</v>
      </c>
      <c r="P88" s="35" t="str">
        <f t="shared" si="17"/>
        <v>BXGY</v>
      </c>
    </row>
    <row r="89" spans="1:16" x14ac:dyDescent="0.25">
      <c r="A89" s="22" t="str">
        <f t="shared" si="12"/>
        <v>2026 JAN - FEB B3D10</v>
      </c>
      <c r="B89" s="8">
        <f t="shared" si="13"/>
        <v>46099</v>
      </c>
      <c r="C89" s="8">
        <f t="shared" si="14"/>
        <v>46113</v>
      </c>
      <c r="D89" s="35">
        <v>3272</v>
      </c>
      <c r="E89" s="35">
        <v>336</v>
      </c>
      <c r="F89" s="35">
        <v>4</v>
      </c>
      <c r="G89" s="22">
        <v>1</v>
      </c>
      <c r="H89" s="22">
        <v>81379</v>
      </c>
      <c r="I89" s="22" t="s">
        <v>104</v>
      </c>
      <c r="J89" s="22">
        <v>68613016</v>
      </c>
      <c r="K89" s="22" t="s">
        <v>4062</v>
      </c>
      <c r="L89" s="22" t="s">
        <v>4128</v>
      </c>
      <c r="M89" s="35">
        <v>99900</v>
      </c>
      <c r="N89" s="35" t="str">
        <f t="shared" si="15"/>
        <v>BXGY</v>
      </c>
      <c r="O89" s="36" t="str">
        <f t="shared" si="16"/>
        <v>B3 DISC 10%</v>
      </c>
      <c r="P89" s="35" t="str">
        <f t="shared" si="17"/>
        <v>BXGY</v>
      </c>
    </row>
    <row r="90" spans="1:16" x14ac:dyDescent="0.25">
      <c r="A90" s="22" t="str">
        <f t="shared" si="12"/>
        <v>2026 JAN - FEB B3D10</v>
      </c>
      <c r="B90" s="8">
        <f t="shared" si="13"/>
        <v>46099</v>
      </c>
      <c r="C90" s="8">
        <f t="shared" si="14"/>
        <v>46113</v>
      </c>
      <c r="D90" s="35">
        <v>3272</v>
      </c>
      <c r="E90" s="35">
        <v>336</v>
      </c>
      <c r="F90" s="35">
        <v>4</v>
      </c>
      <c r="G90" s="22">
        <v>1</v>
      </c>
      <c r="H90" s="22">
        <v>81379</v>
      </c>
      <c r="I90" s="22" t="s">
        <v>104</v>
      </c>
      <c r="J90" s="22">
        <v>68613025</v>
      </c>
      <c r="K90" s="22" t="s">
        <v>4062</v>
      </c>
      <c r="L90" s="22" t="s">
        <v>4129</v>
      </c>
      <c r="M90" s="35">
        <v>99900</v>
      </c>
      <c r="N90" s="35" t="str">
        <f t="shared" si="15"/>
        <v>BXGY</v>
      </c>
      <c r="O90" s="36" t="str">
        <f t="shared" si="16"/>
        <v>B3 DISC 10%</v>
      </c>
      <c r="P90" s="35" t="str">
        <f t="shared" si="17"/>
        <v>BXGY</v>
      </c>
    </row>
    <row r="91" spans="1:16" x14ac:dyDescent="0.25">
      <c r="A91" s="22" t="str">
        <f t="shared" si="12"/>
        <v>2026 JAN - FEB B3D10</v>
      </c>
      <c r="B91" s="8">
        <f t="shared" si="13"/>
        <v>46099</v>
      </c>
      <c r="C91" s="8">
        <f t="shared" si="14"/>
        <v>46113</v>
      </c>
      <c r="D91" s="35">
        <v>3272</v>
      </c>
      <c r="E91" s="35">
        <v>336</v>
      </c>
      <c r="F91" s="35">
        <v>4</v>
      </c>
      <c r="G91" s="22">
        <v>1</v>
      </c>
      <c r="H91" s="22">
        <v>81379</v>
      </c>
      <c r="I91" s="22" t="s">
        <v>104</v>
      </c>
      <c r="J91" s="22">
        <v>68613034</v>
      </c>
      <c r="K91" s="22" t="s">
        <v>4062</v>
      </c>
      <c r="L91" s="22" t="s">
        <v>4130</v>
      </c>
      <c r="M91" s="35">
        <v>99900</v>
      </c>
      <c r="N91" s="35" t="str">
        <f t="shared" si="15"/>
        <v>BXGY</v>
      </c>
      <c r="O91" s="36" t="str">
        <f t="shared" si="16"/>
        <v>B3 DISC 10%</v>
      </c>
      <c r="P91" s="35" t="str">
        <f t="shared" si="17"/>
        <v>BXGY</v>
      </c>
    </row>
    <row r="92" spans="1:16" x14ac:dyDescent="0.25">
      <c r="A92" s="22" t="str">
        <f t="shared" si="12"/>
        <v>2026 JAN - FEB B3D10</v>
      </c>
      <c r="B92" s="8">
        <f t="shared" si="13"/>
        <v>46099</v>
      </c>
      <c r="C92" s="8">
        <f t="shared" si="14"/>
        <v>46113</v>
      </c>
      <c r="D92" s="35">
        <v>3272</v>
      </c>
      <c r="E92" s="35">
        <v>336</v>
      </c>
      <c r="F92" s="35">
        <v>4</v>
      </c>
      <c r="G92" s="22">
        <v>1</v>
      </c>
      <c r="H92" s="22">
        <v>81379</v>
      </c>
      <c r="I92" s="22" t="s">
        <v>104</v>
      </c>
      <c r="J92" s="22">
        <v>68613525</v>
      </c>
      <c r="K92" s="22" t="s">
        <v>4063</v>
      </c>
      <c r="L92" s="22" t="s">
        <v>4131</v>
      </c>
      <c r="M92" s="35">
        <v>99900</v>
      </c>
      <c r="N92" s="35" t="str">
        <f t="shared" si="15"/>
        <v>BXGY</v>
      </c>
      <c r="O92" s="36" t="str">
        <f t="shared" si="16"/>
        <v>B3 DISC 10%</v>
      </c>
      <c r="P92" s="35" t="str">
        <f t="shared" si="17"/>
        <v>BXGY</v>
      </c>
    </row>
    <row r="93" spans="1:16" x14ac:dyDescent="0.25">
      <c r="A93" s="22" t="str">
        <f t="shared" si="12"/>
        <v>2026 JAN - FEB B3D10</v>
      </c>
      <c r="B93" s="8">
        <f t="shared" si="13"/>
        <v>46099</v>
      </c>
      <c r="C93" s="8">
        <f t="shared" si="14"/>
        <v>46113</v>
      </c>
      <c r="D93" s="35">
        <v>3272</v>
      </c>
      <c r="E93" s="35">
        <v>336</v>
      </c>
      <c r="F93" s="35">
        <v>4</v>
      </c>
      <c r="G93" s="22">
        <v>1</v>
      </c>
      <c r="H93" s="22">
        <v>81379</v>
      </c>
      <c r="I93" s="22" t="s">
        <v>104</v>
      </c>
      <c r="J93" s="22">
        <v>68613534</v>
      </c>
      <c r="K93" s="22" t="s">
        <v>4063</v>
      </c>
      <c r="L93" s="22" t="s">
        <v>4132</v>
      </c>
      <c r="M93" s="35">
        <v>99900</v>
      </c>
      <c r="N93" s="35" t="str">
        <f t="shared" si="15"/>
        <v>BXGY</v>
      </c>
      <c r="O93" s="36" t="str">
        <f t="shared" si="16"/>
        <v>B3 DISC 10%</v>
      </c>
      <c r="P93" s="35" t="str">
        <f t="shared" si="17"/>
        <v>BXGY</v>
      </c>
    </row>
    <row r="94" spans="1:16" x14ac:dyDescent="0.25">
      <c r="A94" s="22" t="str">
        <f t="shared" si="12"/>
        <v>2026 JAN - FEB B3D10</v>
      </c>
      <c r="B94" s="8">
        <f t="shared" si="13"/>
        <v>46099</v>
      </c>
      <c r="C94" s="8">
        <f t="shared" si="14"/>
        <v>46113</v>
      </c>
      <c r="D94" s="35">
        <v>3272</v>
      </c>
      <c r="E94" s="35">
        <v>336</v>
      </c>
      <c r="F94" s="35">
        <v>4</v>
      </c>
      <c r="G94" s="22">
        <v>1</v>
      </c>
      <c r="H94" s="22">
        <v>81379</v>
      </c>
      <c r="I94" s="22" t="s">
        <v>104</v>
      </c>
      <c r="J94" s="22">
        <v>68613543</v>
      </c>
      <c r="K94" s="22" t="s">
        <v>4063</v>
      </c>
      <c r="L94" s="22" t="s">
        <v>4133</v>
      </c>
      <c r="M94" s="35">
        <v>99900</v>
      </c>
      <c r="N94" s="35" t="str">
        <f t="shared" si="15"/>
        <v>BXGY</v>
      </c>
      <c r="O94" s="36" t="str">
        <f t="shared" si="16"/>
        <v>B3 DISC 10%</v>
      </c>
      <c r="P94" s="35" t="str">
        <f t="shared" si="17"/>
        <v>BXGY</v>
      </c>
    </row>
    <row r="95" spans="1:16" x14ac:dyDescent="0.25">
      <c r="A95" s="22" t="str">
        <f t="shared" si="12"/>
        <v>2026 JAN - FEB B3D10</v>
      </c>
      <c r="B95" s="8">
        <f t="shared" si="13"/>
        <v>46099</v>
      </c>
      <c r="C95" s="8">
        <f t="shared" si="14"/>
        <v>46113</v>
      </c>
      <c r="D95" s="35">
        <v>3272</v>
      </c>
      <c r="E95" s="35">
        <v>336</v>
      </c>
      <c r="F95" s="35">
        <v>4</v>
      </c>
      <c r="G95" s="22">
        <v>1</v>
      </c>
      <c r="H95" s="22">
        <v>81379</v>
      </c>
      <c r="I95" s="22" t="s">
        <v>104</v>
      </c>
      <c r="J95" s="22">
        <v>68613552</v>
      </c>
      <c r="K95" s="22" t="s">
        <v>4063</v>
      </c>
      <c r="L95" s="22" t="s">
        <v>4134</v>
      </c>
      <c r="M95" s="35">
        <v>99900</v>
      </c>
      <c r="N95" s="35" t="str">
        <f t="shared" si="15"/>
        <v>BXGY</v>
      </c>
      <c r="O95" s="36" t="str">
        <f t="shared" si="16"/>
        <v>B3 DISC 10%</v>
      </c>
      <c r="P95" s="35" t="str">
        <f t="shared" si="17"/>
        <v>BXGY</v>
      </c>
    </row>
    <row r="96" spans="1:16" x14ac:dyDescent="0.25">
      <c r="A96" s="22" t="str">
        <f t="shared" si="12"/>
        <v>2026 JAN - FEB B3D10</v>
      </c>
      <c r="B96" s="8">
        <f t="shared" si="13"/>
        <v>46099</v>
      </c>
      <c r="C96" s="8">
        <f t="shared" si="14"/>
        <v>46113</v>
      </c>
      <c r="D96" s="35">
        <v>3272</v>
      </c>
      <c r="E96" s="35">
        <v>336</v>
      </c>
      <c r="F96" s="35">
        <v>4</v>
      </c>
      <c r="G96" s="22">
        <v>1</v>
      </c>
      <c r="H96" s="22">
        <v>81379</v>
      </c>
      <c r="I96" s="22" t="s">
        <v>104</v>
      </c>
      <c r="J96" s="22">
        <v>68613561</v>
      </c>
      <c r="K96" s="22" t="s">
        <v>4063</v>
      </c>
      <c r="L96" s="22" t="s">
        <v>4135</v>
      </c>
      <c r="M96" s="35">
        <v>99900</v>
      </c>
      <c r="N96" s="35" t="str">
        <f t="shared" si="15"/>
        <v>BXGY</v>
      </c>
      <c r="O96" s="36" t="str">
        <f t="shared" si="16"/>
        <v>B3 DISC 10%</v>
      </c>
      <c r="P96" s="35" t="str">
        <f t="shared" si="17"/>
        <v>BXGY</v>
      </c>
    </row>
    <row r="97" spans="1:16" x14ac:dyDescent="0.25">
      <c r="A97" s="22" t="str">
        <f t="shared" si="12"/>
        <v>2026 JAN - FEB B3D10</v>
      </c>
      <c r="B97" s="8">
        <f t="shared" si="13"/>
        <v>46099</v>
      </c>
      <c r="C97" s="8">
        <f t="shared" si="14"/>
        <v>46113</v>
      </c>
      <c r="D97" s="35">
        <v>3272</v>
      </c>
      <c r="E97" s="35">
        <v>336</v>
      </c>
      <c r="F97" s="35">
        <v>4</v>
      </c>
      <c r="G97" s="22">
        <v>1</v>
      </c>
      <c r="H97" s="22">
        <v>81379</v>
      </c>
      <c r="I97" s="22" t="s">
        <v>104</v>
      </c>
      <c r="J97" s="22">
        <v>68613570</v>
      </c>
      <c r="K97" s="22" t="s">
        <v>4063</v>
      </c>
      <c r="L97" s="22" t="s">
        <v>4136</v>
      </c>
      <c r="M97" s="35">
        <v>99900</v>
      </c>
      <c r="N97" s="35" t="str">
        <f t="shared" si="15"/>
        <v>BXGY</v>
      </c>
      <c r="O97" s="36" t="str">
        <f t="shared" si="16"/>
        <v>B3 DISC 10%</v>
      </c>
      <c r="P97" s="35" t="str">
        <f t="shared" si="17"/>
        <v>BXGY</v>
      </c>
    </row>
    <row r="98" spans="1:16" x14ac:dyDescent="0.25">
      <c r="A98" s="22" t="str">
        <f t="shared" si="12"/>
        <v>2026 JAN - FEB B3D10</v>
      </c>
      <c r="B98" s="8">
        <f t="shared" si="13"/>
        <v>46099</v>
      </c>
      <c r="C98" s="8">
        <f t="shared" si="14"/>
        <v>46113</v>
      </c>
      <c r="D98" s="35">
        <v>3272</v>
      </c>
      <c r="E98" s="35">
        <v>336</v>
      </c>
      <c r="F98" s="35">
        <v>4</v>
      </c>
      <c r="G98" s="22">
        <v>1</v>
      </c>
      <c r="H98" s="22">
        <v>81379</v>
      </c>
      <c r="I98" s="22" t="s">
        <v>104</v>
      </c>
      <c r="J98" s="22">
        <v>68613589</v>
      </c>
      <c r="K98" s="22" t="s">
        <v>4063</v>
      </c>
      <c r="L98" s="22" t="s">
        <v>4137</v>
      </c>
      <c r="M98" s="35">
        <v>99900</v>
      </c>
      <c r="N98" s="35" t="str">
        <f t="shared" si="15"/>
        <v>BXGY</v>
      </c>
      <c r="O98" s="36" t="str">
        <f t="shared" si="16"/>
        <v>B3 DISC 10%</v>
      </c>
      <c r="P98" s="35" t="str">
        <f t="shared" si="17"/>
        <v>BXGY</v>
      </c>
    </row>
    <row r="99" spans="1:16" x14ac:dyDescent="0.25">
      <c r="A99" s="22" t="str">
        <f t="shared" ref="A99:A130" si="18">A98</f>
        <v>2026 JAN - FEB B3D10</v>
      </c>
      <c r="B99" s="8">
        <f t="shared" ref="B99:B130" si="19">B98</f>
        <v>46099</v>
      </c>
      <c r="C99" s="8">
        <f t="shared" ref="C99:C130" si="20">C98</f>
        <v>46113</v>
      </c>
      <c r="D99" s="35">
        <v>3272</v>
      </c>
      <c r="E99" s="35">
        <v>336</v>
      </c>
      <c r="F99" s="35">
        <v>4</v>
      </c>
      <c r="G99" s="22">
        <v>1</v>
      </c>
      <c r="H99" s="22">
        <v>81379</v>
      </c>
      <c r="I99" s="22" t="s">
        <v>104</v>
      </c>
      <c r="J99" s="22">
        <v>68613598</v>
      </c>
      <c r="K99" s="22" t="s">
        <v>4063</v>
      </c>
      <c r="L99" s="22" t="s">
        <v>4138</v>
      </c>
      <c r="M99" s="35">
        <v>99900</v>
      </c>
      <c r="N99" s="35" t="str">
        <f t="shared" ref="N99:N130" si="21">N98</f>
        <v>BXGY</v>
      </c>
      <c r="O99" s="36" t="str">
        <f t="shared" ref="O99:O130" si="22">O98</f>
        <v>B3 DISC 10%</v>
      </c>
      <c r="P99" s="35" t="str">
        <f t="shared" ref="P99:P130" si="23">P98</f>
        <v>BXGY</v>
      </c>
    </row>
    <row r="100" spans="1:16" x14ac:dyDescent="0.25">
      <c r="A100" s="22" t="str">
        <f t="shared" si="18"/>
        <v>2026 JAN - FEB B3D10</v>
      </c>
      <c r="B100" s="8">
        <f t="shared" si="19"/>
        <v>46099</v>
      </c>
      <c r="C100" s="8">
        <f t="shared" si="20"/>
        <v>46113</v>
      </c>
      <c r="D100" s="35">
        <v>3272</v>
      </c>
      <c r="E100" s="35">
        <v>336</v>
      </c>
      <c r="F100" s="35">
        <v>4</v>
      </c>
      <c r="G100" s="22">
        <v>1</v>
      </c>
      <c r="H100" s="22">
        <v>81379</v>
      </c>
      <c r="I100" s="22" t="s">
        <v>104</v>
      </c>
      <c r="J100" s="22">
        <v>68613605</v>
      </c>
      <c r="K100" s="22" t="s">
        <v>4064</v>
      </c>
      <c r="L100" s="22" t="s">
        <v>4139</v>
      </c>
      <c r="M100" s="35">
        <v>99900</v>
      </c>
      <c r="N100" s="35" t="str">
        <f t="shared" si="21"/>
        <v>BXGY</v>
      </c>
      <c r="O100" s="36" t="str">
        <f t="shared" si="22"/>
        <v>B3 DISC 10%</v>
      </c>
      <c r="P100" s="35" t="str">
        <f t="shared" si="23"/>
        <v>BXGY</v>
      </c>
    </row>
    <row r="101" spans="1:16" x14ac:dyDescent="0.25">
      <c r="A101" s="22" t="str">
        <f t="shared" si="18"/>
        <v>2026 JAN - FEB B3D10</v>
      </c>
      <c r="B101" s="8">
        <f t="shared" si="19"/>
        <v>46099</v>
      </c>
      <c r="C101" s="8">
        <f t="shared" si="20"/>
        <v>46113</v>
      </c>
      <c r="D101" s="35">
        <v>3272</v>
      </c>
      <c r="E101" s="35">
        <v>336</v>
      </c>
      <c r="F101" s="35">
        <v>4</v>
      </c>
      <c r="G101" s="22">
        <v>1</v>
      </c>
      <c r="H101" s="22">
        <v>81379</v>
      </c>
      <c r="I101" s="22" t="s">
        <v>104</v>
      </c>
      <c r="J101" s="22">
        <v>68613614</v>
      </c>
      <c r="K101" s="22" t="s">
        <v>4064</v>
      </c>
      <c r="L101" s="22" t="s">
        <v>4140</v>
      </c>
      <c r="M101" s="35">
        <v>99900</v>
      </c>
      <c r="N101" s="35" t="str">
        <f t="shared" si="21"/>
        <v>BXGY</v>
      </c>
      <c r="O101" s="36" t="str">
        <f t="shared" si="22"/>
        <v>B3 DISC 10%</v>
      </c>
      <c r="P101" s="35" t="str">
        <f t="shared" si="23"/>
        <v>BXGY</v>
      </c>
    </row>
    <row r="102" spans="1:16" x14ac:dyDescent="0.25">
      <c r="A102" s="22" t="str">
        <f t="shared" si="18"/>
        <v>2026 JAN - FEB B3D10</v>
      </c>
      <c r="B102" s="8">
        <f t="shared" si="19"/>
        <v>46099</v>
      </c>
      <c r="C102" s="8">
        <f t="shared" si="20"/>
        <v>46113</v>
      </c>
      <c r="D102" s="35">
        <v>3272</v>
      </c>
      <c r="E102" s="35">
        <v>336</v>
      </c>
      <c r="F102" s="35">
        <v>4</v>
      </c>
      <c r="G102" s="22">
        <v>1</v>
      </c>
      <c r="H102" s="22">
        <v>81379</v>
      </c>
      <c r="I102" s="22" t="s">
        <v>104</v>
      </c>
      <c r="J102" s="22">
        <v>68613623</v>
      </c>
      <c r="K102" s="22" t="s">
        <v>4064</v>
      </c>
      <c r="L102" s="22" t="s">
        <v>4141</v>
      </c>
      <c r="M102" s="35">
        <v>99900</v>
      </c>
      <c r="N102" s="35" t="str">
        <f t="shared" si="21"/>
        <v>BXGY</v>
      </c>
      <c r="O102" s="36" t="str">
        <f t="shared" si="22"/>
        <v>B3 DISC 10%</v>
      </c>
      <c r="P102" s="35" t="str">
        <f t="shared" si="23"/>
        <v>BXGY</v>
      </c>
    </row>
    <row r="103" spans="1:16" x14ac:dyDescent="0.25">
      <c r="A103" s="22" t="str">
        <f t="shared" si="18"/>
        <v>2026 JAN - FEB B3D10</v>
      </c>
      <c r="B103" s="8">
        <f t="shared" si="19"/>
        <v>46099</v>
      </c>
      <c r="C103" s="8">
        <f t="shared" si="20"/>
        <v>46113</v>
      </c>
      <c r="D103" s="35">
        <v>3272</v>
      </c>
      <c r="E103" s="35">
        <v>336</v>
      </c>
      <c r="F103" s="35">
        <v>4</v>
      </c>
      <c r="G103" s="22">
        <v>1</v>
      </c>
      <c r="H103" s="22">
        <v>81379</v>
      </c>
      <c r="I103" s="22" t="s">
        <v>104</v>
      </c>
      <c r="J103" s="22">
        <v>68613632</v>
      </c>
      <c r="K103" s="22" t="s">
        <v>4064</v>
      </c>
      <c r="L103" s="22" t="s">
        <v>4142</v>
      </c>
      <c r="M103" s="35">
        <v>99900</v>
      </c>
      <c r="N103" s="35" t="str">
        <f t="shared" si="21"/>
        <v>BXGY</v>
      </c>
      <c r="O103" s="36" t="str">
        <f t="shared" si="22"/>
        <v>B3 DISC 10%</v>
      </c>
      <c r="P103" s="35" t="str">
        <f t="shared" si="23"/>
        <v>BXGY</v>
      </c>
    </row>
    <row r="104" spans="1:16" x14ac:dyDescent="0.25">
      <c r="A104" s="22" t="str">
        <f t="shared" si="18"/>
        <v>2026 JAN - FEB B3D10</v>
      </c>
      <c r="B104" s="8">
        <f t="shared" si="19"/>
        <v>46099</v>
      </c>
      <c r="C104" s="8">
        <f t="shared" si="20"/>
        <v>46113</v>
      </c>
      <c r="D104" s="35">
        <v>3272</v>
      </c>
      <c r="E104" s="35">
        <v>336</v>
      </c>
      <c r="F104" s="35">
        <v>4</v>
      </c>
      <c r="G104" s="22">
        <v>1</v>
      </c>
      <c r="H104" s="22">
        <v>81379</v>
      </c>
      <c r="I104" s="22" t="s">
        <v>104</v>
      </c>
      <c r="J104" s="22">
        <v>68613641</v>
      </c>
      <c r="K104" s="22" t="s">
        <v>4064</v>
      </c>
      <c r="L104" s="22" t="s">
        <v>4143</v>
      </c>
      <c r="M104" s="35">
        <v>99900</v>
      </c>
      <c r="N104" s="35" t="str">
        <f t="shared" si="21"/>
        <v>BXGY</v>
      </c>
      <c r="O104" s="36" t="str">
        <f t="shared" si="22"/>
        <v>B3 DISC 10%</v>
      </c>
      <c r="P104" s="35" t="str">
        <f t="shared" si="23"/>
        <v>BXGY</v>
      </c>
    </row>
    <row r="105" spans="1:16" x14ac:dyDescent="0.25">
      <c r="A105" s="22" t="str">
        <f t="shared" si="18"/>
        <v>2026 JAN - FEB B3D10</v>
      </c>
      <c r="B105" s="8">
        <f t="shared" si="19"/>
        <v>46099</v>
      </c>
      <c r="C105" s="8">
        <f t="shared" si="20"/>
        <v>46113</v>
      </c>
      <c r="D105" s="35">
        <v>3272</v>
      </c>
      <c r="E105" s="35">
        <v>336</v>
      </c>
      <c r="F105" s="35">
        <v>4</v>
      </c>
      <c r="G105" s="22">
        <v>1</v>
      </c>
      <c r="H105" s="22">
        <v>81379</v>
      </c>
      <c r="I105" s="22" t="s">
        <v>104</v>
      </c>
      <c r="J105" s="22">
        <v>68613650</v>
      </c>
      <c r="K105" s="22" t="s">
        <v>4064</v>
      </c>
      <c r="L105" s="22" t="s">
        <v>4144</v>
      </c>
      <c r="M105" s="35">
        <v>99900</v>
      </c>
      <c r="N105" s="35" t="str">
        <f t="shared" si="21"/>
        <v>BXGY</v>
      </c>
      <c r="O105" s="36" t="str">
        <f t="shared" si="22"/>
        <v>B3 DISC 10%</v>
      </c>
      <c r="P105" s="35" t="str">
        <f t="shared" si="23"/>
        <v>BXGY</v>
      </c>
    </row>
    <row r="106" spans="1:16" x14ac:dyDescent="0.25">
      <c r="A106" s="22" t="str">
        <f t="shared" si="18"/>
        <v>2026 JAN - FEB B3D10</v>
      </c>
      <c r="B106" s="8">
        <f t="shared" si="19"/>
        <v>46099</v>
      </c>
      <c r="C106" s="8">
        <f t="shared" si="20"/>
        <v>46113</v>
      </c>
      <c r="D106" s="35">
        <v>3272</v>
      </c>
      <c r="E106" s="35">
        <v>336</v>
      </c>
      <c r="F106" s="35">
        <v>4</v>
      </c>
      <c r="G106" s="22">
        <v>1</v>
      </c>
      <c r="H106" s="22">
        <v>81379</v>
      </c>
      <c r="I106" s="22" t="s">
        <v>104</v>
      </c>
      <c r="J106" s="22">
        <v>68613669</v>
      </c>
      <c r="K106" s="22" t="s">
        <v>4064</v>
      </c>
      <c r="L106" s="22" t="s">
        <v>4145</v>
      </c>
      <c r="M106" s="35">
        <v>99900</v>
      </c>
      <c r="N106" s="35" t="str">
        <f t="shared" si="21"/>
        <v>BXGY</v>
      </c>
      <c r="O106" s="36" t="str">
        <f t="shared" si="22"/>
        <v>B3 DISC 10%</v>
      </c>
      <c r="P106" s="35" t="str">
        <f t="shared" si="23"/>
        <v>BXGY</v>
      </c>
    </row>
    <row r="107" spans="1:16" x14ac:dyDescent="0.25">
      <c r="A107" s="22" t="str">
        <f t="shared" si="18"/>
        <v>2026 JAN - FEB B3D10</v>
      </c>
      <c r="B107" s="8">
        <f t="shared" si="19"/>
        <v>46099</v>
      </c>
      <c r="C107" s="8">
        <f t="shared" si="20"/>
        <v>46113</v>
      </c>
      <c r="D107" s="35">
        <v>3272</v>
      </c>
      <c r="E107" s="35">
        <v>336</v>
      </c>
      <c r="F107" s="35">
        <v>4</v>
      </c>
      <c r="G107" s="22">
        <v>1</v>
      </c>
      <c r="H107" s="22">
        <v>81379</v>
      </c>
      <c r="I107" s="22" t="s">
        <v>104</v>
      </c>
      <c r="J107" s="22">
        <v>68613678</v>
      </c>
      <c r="K107" s="22" t="s">
        <v>4064</v>
      </c>
      <c r="L107" s="22" t="s">
        <v>4146</v>
      </c>
      <c r="M107" s="35">
        <v>99900</v>
      </c>
      <c r="N107" s="35" t="str">
        <f t="shared" si="21"/>
        <v>BXGY</v>
      </c>
      <c r="O107" s="36" t="str">
        <f t="shared" si="22"/>
        <v>B3 DISC 10%</v>
      </c>
      <c r="P107" s="35" t="str">
        <f t="shared" si="23"/>
        <v>BXGY</v>
      </c>
    </row>
    <row r="108" spans="1:16" x14ac:dyDescent="0.25">
      <c r="A108" s="22" t="str">
        <f t="shared" si="18"/>
        <v>2026 JAN - FEB B3D10</v>
      </c>
      <c r="B108" s="8">
        <f t="shared" si="19"/>
        <v>46099</v>
      </c>
      <c r="C108" s="8">
        <f t="shared" si="20"/>
        <v>46113</v>
      </c>
      <c r="D108" s="35">
        <v>3272</v>
      </c>
      <c r="E108" s="35">
        <v>336</v>
      </c>
      <c r="F108" s="35">
        <v>4</v>
      </c>
      <c r="G108" s="22">
        <v>1</v>
      </c>
      <c r="H108" s="22">
        <v>81379</v>
      </c>
      <c r="I108" s="22" t="s">
        <v>104</v>
      </c>
      <c r="J108" s="22">
        <v>68614355</v>
      </c>
      <c r="K108" s="22" t="s">
        <v>4065</v>
      </c>
      <c r="L108" s="22" t="s">
        <v>4147</v>
      </c>
      <c r="M108" s="35">
        <v>99900</v>
      </c>
      <c r="N108" s="35" t="str">
        <f t="shared" si="21"/>
        <v>BXGY</v>
      </c>
      <c r="O108" s="36" t="str">
        <f t="shared" si="22"/>
        <v>B3 DISC 10%</v>
      </c>
      <c r="P108" s="35" t="str">
        <f t="shared" si="23"/>
        <v>BXGY</v>
      </c>
    </row>
    <row r="109" spans="1:16" x14ac:dyDescent="0.25">
      <c r="A109" s="22" t="str">
        <f t="shared" si="18"/>
        <v>2026 JAN - FEB B3D10</v>
      </c>
      <c r="B109" s="8">
        <f t="shared" si="19"/>
        <v>46099</v>
      </c>
      <c r="C109" s="8">
        <f t="shared" si="20"/>
        <v>46113</v>
      </c>
      <c r="D109" s="35">
        <v>3272</v>
      </c>
      <c r="E109" s="35">
        <v>336</v>
      </c>
      <c r="F109" s="35">
        <v>4</v>
      </c>
      <c r="G109" s="22">
        <v>1</v>
      </c>
      <c r="H109" s="22">
        <v>81379</v>
      </c>
      <c r="I109" s="22" t="s">
        <v>104</v>
      </c>
      <c r="J109" s="22">
        <v>68614364</v>
      </c>
      <c r="K109" s="22" t="s">
        <v>4065</v>
      </c>
      <c r="L109" s="22" t="s">
        <v>4148</v>
      </c>
      <c r="M109" s="35">
        <v>99900</v>
      </c>
      <c r="N109" s="35" t="str">
        <f t="shared" si="21"/>
        <v>BXGY</v>
      </c>
      <c r="O109" s="36" t="str">
        <f t="shared" si="22"/>
        <v>B3 DISC 10%</v>
      </c>
      <c r="P109" s="35" t="str">
        <f t="shared" si="23"/>
        <v>BXGY</v>
      </c>
    </row>
    <row r="110" spans="1:16" x14ac:dyDescent="0.25">
      <c r="A110" s="22" t="str">
        <f t="shared" si="18"/>
        <v>2026 JAN - FEB B3D10</v>
      </c>
      <c r="B110" s="8">
        <f t="shared" si="19"/>
        <v>46099</v>
      </c>
      <c r="C110" s="8">
        <f t="shared" si="20"/>
        <v>46113</v>
      </c>
      <c r="D110" s="35">
        <v>3272</v>
      </c>
      <c r="E110" s="35">
        <v>336</v>
      </c>
      <c r="F110" s="35">
        <v>4</v>
      </c>
      <c r="G110" s="22">
        <v>1</v>
      </c>
      <c r="H110" s="22">
        <v>81379</v>
      </c>
      <c r="I110" s="22" t="s">
        <v>104</v>
      </c>
      <c r="J110" s="22">
        <v>68614373</v>
      </c>
      <c r="K110" s="22" t="s">
        <v>4065</v>
      </c>
      <c r="L110" s="22" t="s">
        <v>4149</v>
      </c>
      <c r="M110" s="35">
        <v>99900</v>
      </c>
      <c r="N110" s="35" t="str">
        <f t="shared" si="21"/>
        <v>BXGY</v>
      </c>
      <c r="O110" s="36" t="str">
        <f t="shared" si="22"/>
        <v>B3 DISC 10%</v>
      </c>
      <c r="P110" s="35" t="str">
        <f t="shared" si="23"/>
        <v>BXGY</v>
      </c>
    </row>
    <row r="111" spans="1:16" x14ac:dyDescent="0.25">
      <c r="A111" s="22" t="str">
        <f t="shared" si="18"/>
        <v>2026 JAN - FEB B3D10</v>
      </c>
      <c r="B111" s="8">
        <f t="shared" si="19"/>
        <v>46099</v>
      </c>
      <c r="C111" s="8">
        <f t="shared" si="20"/>
        <v>46113</v>
      </c>
      <c r="D111" s="35">
        <v>3272</v>
      </c>
      <c r="E111" s="35">
        <v>336</v>
      </c>
      <c r="F111" s="35">
        <v>4</v>
      </c>
      <c r="G111" s="22">
        <v>1</v>
      </c>
      <c r="H111" s="22">
        <v>81379</v>
      </c>
      <c r="I111" s="22" t="s">
        <v>104</v>
      </c>
      <c r="J111" s="22">
        <v>68614382</v>
      </c>
      <c r="K111" s="22" t="s">
        <v>4065</v>
      </c>
      <c r="L111" s="22" t="s">
        <v>4150</v>
      </c>
      <c r="M111" s="35">
        <v>99900</v>
      </c>
      <c r="N111" s="35" t="str">
        <f t="shared" si="21"/>
        <v>BXGY</v>
      </c>
      <c r="O111" s="36" t="str">
        <f t="shared" si="22"/>
        <v>B3 DISC 10%</v>
      </c>
      <c r="P111" s="35" t="str">
        <f t="shared" si="23"/>
        <v>BXGY</v>
      </c>
    </row>
    <row r="112" spans="1:16" x14ac:dyDescent="0.25">
      <c r="A112" s="22" t="str">
        <f t="shared" si="18"/>
        <v>2026 JAN - FEB B3D10</v>
      </c>
      <c r="B112" s="8">
        <f t="shared" si="19"/>
        <v>46099</v>
      </c>
      <c r="C112" s="8">
        <f t="shared" si="20"/>
        <v>46113</v>
      </c>
      <c r="D112" s="35">
        <v>3272</v>
      </c>
      <c r="E112" s="35">
        <v>336</v>
      </c>
      <c r="F112" s="35">
        <v>4</v>
      </c>
      <c r="G112" s="22">
        <v>1</v>
      </c>
      <c r="H112" s="22">
        <v>81379</v>
      </c>
      <c r="I112" s="22" t="s">
        <v>104</v>
      </c>
      <c r="J112" s="22">
        <v>68614391</v>
      </c>
      <c r="K112" s="22" t="s">
        <v>4065</v>
      </c>
      <c r="L112" s="22" t="s">
        <v>4151</v>
      </c>
      <c r="M112" s="35">
        <v>99900</v>
      </c>
      <c r="N112" s="35" t="str">
        <f t="shared" si="21"/>
        <v>BXGY</v>
      </c>
      <c r="O112" s="36" t="str">
        <f t="shared" si="22"/>
        <v>B3 DISC 10%</v>
      </c>
      <c r="P112" s="35" t="str">
        <f t="shared" si="23"/>
        <v>BXGY</v>
      </c>
    </row>
    <row r="113" spans="1:16" x14ac:dyDescent="0.25">
      <c r="A113" s="22" t="str">
        <f t="shared" si="18"/>
        <v>2026 JAN - FEB B3D10</v>
      </c>
      <c r="B113" s="8">
        <f t="shared" si="19"/>
        <v>46099</v>
      </c>
      <c r="C113" s="8">
        <f t="shared" si="20"/>
        <v>46113</v>
      </c>
      <c r="D113" s="35">
        <v>3272</v>
      </c>
      <c r="E113" s="35">
        <v>336</v>
      </c>
      <c r="F113" s="35">
        <v>4</v>
      </c>
      <c r="G113" s="22">
        <v>1</v>
      </c>
      <c r="H113" s="22">
        <v>81379</v>
      </c>
      <c r="I113" s="22" t="s">
        <v>104</v>
      </c>
      <c r="J113" s="22">
        <v>68614408</v>
      </c>
      <c r="K113" s="22" t="s">
        <v>4065</v>
      </c>
      <c r="L113" s="22" t="s">
        <v>4152</v>
      </c>
      <c r="M113" s="35">
        <v>99900</v>
      </c>
      <c r="N113" s="35" t="str">
        <f t="shared" si="21"/>
        <v>BXGY</v>
      </c>
      <c r="O113" s="36" t="str">
        <f t="shared" si="22"/>
        <v>B3 DISC 10%</v>
      </c>
      <c r="P113" s="35" t="str">
        <f t="shared" si="23"/>
        <v>BXGY</v>
      </c>
    </row>
    <row r="114" spans="1:16" x14ac:dyDescent="0.25">
      <c r="A114" s="22" t="str">
        <f t="shared" si="18"/>
        <v>2026 JAN - FEB B3D10</v>
      </c>
      <c r="B114" s="8">
        <f t="shared" si="19"/>
        <v>46099</v>
      </c>
      <c r="C114" s="8">
        <f t="shared" si="20"/>
        <v>46113</v>
      </c>
      <c r="D114" s="35">
        <v>3272</v>
      </c>
      <c r="E114" s="35">
        <v>336</v>
      </c>
      <c r="F114" s="35">
        <v>4</v>
      </c>
      <c r="G114" s="22">
        <v>1</v>
      </c>
      <c r="H114" s="22">
        <v>81379</v>
      </c>
      <c r="I114" s="22" t="s">
        <v>104</v>
      </c>
      <c r="J114" s="22">
        <v>68614417</v>
      </c>
      <c r="K114" s="22" t="s">
        <v>4065</v>
      </c>
      <c r="L114" s="22" t="s">
        <v>4153</v>
      </c>
      <c r="M114" s="35">
        <v>99900</v>
      </c>
      <c r="N114" s="35" t="str">
        <f t="shared" si="21"/>
        <v>BXGY</v>
      </c>
      <c r="O114" s="36" t="str">
        <f t="shared" si="22"/>
        <v>B3 DISC 10%</v>
      </c>
      <c r="P114" s="35" t="str">
        <f t="shared" si="23"/>
        <v>BXGY</v>
      </c>
    </row>
    <row r="115" spans="1:16" x14ac:dyDescent="0.25">
      <c r="A115" s="22" t="str">
        <f t="shared" si="18"/>
        <v>2026 JAN - FEB B3D10</v>
      </c>
      <c r="B115" s="8">
        <f t="shared" si="19"/>
        <v>46099</v>
      </c>
      <c r="C115" s="8">
        <f t="shared" si="20"/>
        <v>46113</v>
      </c>
      <c r="D115" s="35">
        <v>3272</v>
      </c>
      <c r="E115" s="35">
        <v>336</v>
      </c>
      <c r="F115" s="35">
        <v>4</v>
      </c>
      <c r="G115" s="22">
        <v>1</v>
      </c>
      <c r="H115" s="22">
        <v>81379</v>
      </c>
      <c r="I115" s="22" t="s">
        <v>104</v>
      </c>
      <c r="J115" s="22">
        <v>68614426</v>
      </c>
      <c r="K115" s="22" t="s">
        <v>4065</v>
      </c>
      <c r="L115" s="22" t="s">
        <v>4154</v>
      </c>
      <c r="M115" s="35">
        <v>99900</v>
      </c>
      <c r="N115" s="35" t="str">
        <f t="shared" si="21"/>
        <v>BXGY</v>
      </c>
      <c r="O115" s="36" t="str">
        <f t="shared" si="22"/>
        <v>B3 DISC 10%</v>
      </c>
      <c r="P115" s="35" t="str">
        <f t="shared" si="23"/>
        <v>BXGY</v>
      </c>
    </row>
    <row r="116" spans="1:16" x14ac:dyDescent="0.25">
      <c r="A116" s="22" t="str">
        <f t="shared" si="18"/>
        <v>2026 JAN - FEB B3D10</v>
      </c>
      <c r="B116" s="8">
        <f t="shared" si="19"/>
        <v>46099</v>
      </c>
      <c r="C116" s="8">
        <f t="shared" si="20"/>
        <v>46113</v>
      </c>
      <c r="D116" s="35">
        <v>3272</v>
      </c>
      <c r="E116" s="35">
        <v>336</v>
      </c>
      <c r="F116" s="35">
        <v>4</v>
      </c>
      <c r="G116" s="22">
        <v>1</v>
      </c>
      <c r="H116" s="22">
        <v>81379</v>
      </c>
      <c r="I116" s="22" t="s">
        <v>104</v>
      </c>
      <c r="J116" s="22">
        <v>68614515</v>
      </c>
      <c r="K116" s="22" t="s">
        <v>4066</v>
      </c>
      <c r="L116" s="22" t="s">
        <v>4155</v>
      </c>
      <c r="M116" s="35">
        <v>99900</v>
      </c>
      <c r="N116" s="35" t="str">
        <f t="shared" si="21"/>
        <v>BXGY</v>
      </c>
      <c r="O116" s="36" t="str">
        <f t="shared" si="22"/>
        <v>B3 DISC 10%</v>
      </c>
      <c r="P116" s="35" t="str">
        <f t="shared" si="23"/>
        <v>BXGY</v>
      </c>
    </row>
    <row r="117" spans="1:16" x14ac:dyDescent="0.25">
      <c r="A117" s="22" t="str">
        <f t="shared" si="18"/>
        <v>2026 JAN - FEB B3D10</v>
      </c>
      <c r="B117" s="8">
        <f t="shared" si="19"/>
        <v>46099</v>
      </c>
      <c r="C117" s="8">
        <f t="shared" si="20"/>
        <v>46113</v>
      </c>
      <c r="D117" s="35">
        <v>3272</v>
      </c>
      <c r="E117" s="35">
        <v>336</v>
      </c>
      <c r="F117" s="35">
        <v>4</v>
      </c>
      <c r="G117" s="22">
        <v>1</v>
      </c>
      <c r="H117" s="22">
        <v>81379</v>
      </c>
      <c r="I117" s="22" t="s">
        <v>104</v>
      </c>
      <c r="J117" s="22">
        <v>68614524</v>
      </c>
      <c r="K117" s="22" t="s">
        <v>4066</v>
      </c>
      <c r="L117" s="22" t="s">
        <v>4156</v>
      </c>
      <c r="M117" s="35">
        <v>99900</v>
      </c>
      <c r="N117" s="35" t="str">
        <f t="shared" si="21"/>
        <v>BXGY</v>
      </c>
      <c r="O117" s="36" t="str">
        <f t="shared" si="22"/>
        <v>B3 DISC 10%</v>
      </c>
      <c r="P117" s="35" t="str">
        <f t="shared" si="23"/>
        <v>BXGY</v>
      </c>
    </row>
    <row r="118" spans="1:16" x14ac:dyDescent="0.25">
      <c r="A118" s="22" t="str">
        <f t="shared" si="18"/>
        <v>2026 JAN - FEB B3D10</v>
      </c>
      <c r="B118" s="8">
        <f t="shared" si="19"/>
        <v>46099</v>
      </c>
      <c r="C118" s="8">
        <f t="shared" si="20"/>
        <v>46113</v>
      </c>
      <c r="D118" s="35">
        <v>3272</v>
      </c>
      <c r="E118" s="35">
        <v>336</v>
      </c>
      <c r="F118" s="35">
        <v>4</v>
      </c>
      <c r="G118" s="22">
        <v>1</v>
      </c>
      <c r="H118" s="22">
        <v>81379</v>
      </c>
      <c r="I118" s="22" t="s">
        <v>104</v>
      </c>
      <c r="J118" s="22">
        <v>68614533</v>
      </c>
      <c r="K118" s="22" t="s">
        <v>4066</v>
      </c>
      <c r="L118" s="22" t="s">
        <v>4157</v>
      </c>
      <c r="M118" s="35">
        <v>99900</v>
      </c>
      <c r="N118" s="35" t="str">
        <f t="shared" si="21"/>
        <v>BXGY</v>
      </c>
      <c r="O118" s="36" t="str">
        <f t="shared" si="22"/>
        <v>B3 DISC 10%</v>
      </c>
      <c r="P118" s="35" t="str">
        <f t="shared" si="23"/>
        <v>BXGY</v>
      </c>
    </row>
    <row r="119" spans="1:16" x14ac:dyDescent="0.25">
      <c r="A119" s="22" t="str">
        <f t="shared" si="18"/>
        <v>2026 JAN - FEB B3D10</v>
      </c>
      <c r="B119" s="8">
        <f t="shared" si="19"/>
        <v>46099</v>
      </c>
      <c r="C119" s="8">
        <f t="shared" si="20"/>
        <v>46113</v>
      </c>
      <c r="D119" s="35">
        <v>3272</v>
      </c>
      <c r="E119" s="35">
        <v>336</v>
      </c>
      <c r="F119" s="35">
        <v>4</v>
      </c>
      <c r="G119" s="22">
        <v>1</v>
      </c>
      <c r="H119" s="22">
        <v>81379</v>
      </c>
      <c r="I119" s="22" t="s">
        <v>104</v>
      </c>
      <c r="J119" s="22">
        <v>68614542</v>
      </c>
      <c r="K119" s="22" t="s">
        <v>4066</v>
      </c>
      <c r="L119" s="22" t="s">
        <v>4158</v>
      </c>
      <c r="M119" s="35">
        <v>99900</v>
      </c>
      <c r="N119" s="35" t="str">
        <f t="shared" si="21"/>
        <v>BXGY</v>
      </c>
      <c r="O119" s="36" t="str">
        <f t="shared" si="22"/>
        <v>B3 DISC 10%</v>
      </c>
      <c r="P119" s="35" t="str">
        <f t="shared" si="23"/>
        <v>BXGY</v>
      </c>
    </row>
    <row r="120" spans="1:16" x14ac:dyDescent="0.25">
      <c r="A120" s="22" t="str">
        <f t="shared" si="18"/>
        <v>2026 JAN - FEB B3D10</v>
      </c>
      <c r="B120" s="8">
        <f t="shared" si="19"/>
        <v>46099</v>
      </c>
      <c r="C120" s="8">
        <f t="shared" si="20"/>
        <v>46113</v>
      </c>
      <c r="D120" s="35">
        <v>3272</v>
      </c>
      <c r="E120" s="35">
        <v>336</v>
      </c>
      <c r="F120" s="35">
        <v>4</v>
      </c>
      <c r="G120" s="22">
        <v>1</v>
      </c>
      <c r="H120" s="22">
        <v>81379</v>
      </c>
      <c r="I120" s="22" t="s">
        <v>104</v>
      </c>
      <c r="J120" s="22">
        <v>68614551</v>
      </c>
      <c r="K120" s="22" t="s">
        <v>4066</v>
      </c>
      <c r="L120" s="22" t="s">
        <v>4159</v>
      </c>
      <c r="M120" s="35">
        <v>99900</v>
      </c>
      <c r="N120" s="35" t="str">
        <f t="shared" si="21"/>
        <v>BXGY</v>
      </c>
      <c r="O120" s="36" t="str">
        <f t="shared" si="22"/>
        <v>B3 DISC 10%</v>
      </c>
      <c r="P120" s="35" t="str">
        <f t="shared" si="23"/>
        <v>BXGY</v>
      </c>
    </row>
    <row r="121" spans="1:16" x14ac:dyDescent="0.25">
      <c r="A121" s="22" t="str">
        <f t="shared" si="18"/>
        <v>2026 JAN - FEB B3D10</v>
      </c>
      <c r="B121" s="8">
        <f t="shared" si="19"/>
        <v>46099</v>
      </c>
      <c r="C121" s="8">
        <f t="shared" si="20"/>
        <v>46113</v>
      </c>
      <c r="D121" s="35">
        <v>3272</v>
      </c>
      <c r="E121" s="35">
        <v>336</v>
      </c>
      <c r="F121" s="35">
        <v>4</v>
      </c>
      <c r="G121" s="22">
        <v>1</v>
      </c>
      <c r="H121" s="22">
        <v>81379</v>
      </c>
      <c r="I121" s="22" t="s">
        <v>104</v>
      </c>
      <c r="J121" s="22">
        <v>68614560</v>
      </c>
      <c r="K121" s="22" t="s">
        <v>4066</v>
      </c>
      <c r="L121" s="22" t="s">
        <v>4160</v>
      </c>
      <c r="M121" s="35">
        <v>99900</v>
      </c>
      <c r="N121" s="35" t="str">
        <f t="shared" si="21"/>
        <v>BXGY</v>
      </c>
      <c r="O121" s="36" t="str">
        <f t="shared" si="22"/>
        <v>B3 DISC 10%</v>
      </c>
      <c r="P121" s="35" t="str">
        <f t="shared" si="23"/>
        <v>BXGY</v>
      </c>
    </row>
    <row r="122" spans="1:16" x14ac:dyDescent="0.25">
      <c r="A122" s="22" t="str">
        <f t="shared" si="18"/>
        <v>2026 JAN - FEB B3D10</v>
      </c>
      <c r="B122" s="8">
        <f t="shared" si="19"/>
        <v>46099</v>
      </c>
      <c r="C122" s="8">
        <f t="shared" si="20"/>
        <v>46113</v>
      </c>
      <c r="D122" s="35">
        <v>3272</v>
      </c>
      <c r="E122" s="35">
        <v>336</v>
      </c>
      <c r="F122" s="35">
        <v>4</v>
      </c>
      <c r="G122" s="22">
        <v>1</v>
      </c>
      <c r="H122" s="22">
        <v>81379</v>
      </c>
      <c r="I122" s="22" t="s">
        <v>104</v>
      </c>
      <c r="J122" s="22">
        <v>68614579</v>
      </c>
      <c r="K122" s="22" t="s">
        <v>4066</v>
      </c>
      <c r="L122" s="22" t="s">
        <v>4161</v>
      </c>
      <c r="M122" s="35">
        <v>99900</v>
      </c>
      <c r="N122" s="35" t="str">
        <f t="shared" si="21"/>
        <v>BXGY</v>
      </c>
      <c r="O122" s="36" t="str">
        <f t="shared" si="22"/>
        <v>B3 DISC 10%</v>
      </c>
      <c r="P122" s="35" t="str">
        <f t="shared" si="23"/>
        <v>BXGY</v>
      </c>
    </row>
    <row r="123" spans="1:16" x14ac:dyDescent="0.25">
      <c r="A123" s="22" t="str">
        <f t="shared" si="18"/>
        <v>2026 JAN - FEB B3D10</v>
      </c>
      <c r="B123" s="8">
        <f t="shared" si="19"/>
        <v>46099</v>
      </c>
      <c r="C123" s="8">
        <f t="shared" si="20"/>
        <v>46113</v>
      </c>
      <c r="D123" s="35">
        <v>3272</v>
      </c>
      <c r="E123" s="35">
        <v>336</v>
      </c>
      <c r="F123" s="35">
        <v>4</v>
      </c>
      <c r="G123" s="22">
        <v>1</v>
      </c>
      <c r="H123" s="22">
        <v>81379</v>
      </c>
      <c r="I123" s="22" t="s">
        <v>104</v>
      </c>
      <c r="J123" s="22">
        <v>68614588</v>
      </c>
      <c r="K123" s="22" t="s">
        <v>4066</v>
      </c>
      <c r="L123" s="22" t="s">
        <v>4162</v>
      </c>
      <c r="M123" s="35">
        <v>99900</v>
      </c>
      <c r="N123" s="35" t="str">
        <f t="shared" si="21"/>
        <v>BXGY</v>
      </c>
      <c r="O123" s="36" t="str">
        <f t="shared" si="22"/>
        <v>B3 DISC 10%</v>
      </c>
      <c r="P123" s="35" t="str">
        <f t="shared" si="23"/>
        <v>BXGY</v>
      </c>
    </row>
    <row r="124" spans="1:16" x14ac:dyDescent="0.25">
      <c r="A124" s="22" t="str">
        <f t="shared" si="18"/>
        <v>2026 JAN - FEB B3D10</v>
      </c>
      <c r="B124" s="8">
        <f t="shared" si="19"/>
        <v>46099</v>
      </c>
      <c r="C124" s="8">
        <f t="shared" si="20"/>
        <v>46113</v>
      </c>
      <c r="D124" s="35">
        <v>3272</v>
      </c>
      <c r="E124" s="35">
        <v>336</v>
      </c>
      <c r="F124" s="35">
        <v>4</v>
      </c>
      <c r="G124" s="22">
        <v>1</v>
      </c>
      <c r="H124" s="22">
        <v>81379</v>
      </c>
      <c r="I124" s="22" t="s">
        <v>104</v>
      </c>
      <c r="J124" s="22">
        <v>68615550</v>
      </c>
      <c r="K124" s="22" t="s">
        <v>4067</v>
      </c>
      <c r="L124" s="22" t="s">
        <v>4163</v>
      </c>
      <c r="M124" s="35">
        <v>99900</v>
      </c>
      <c r="N124" s="35" t="str">
        <f t="shared" si="21"/>
        <v>BXGY</v>
      </c>
      <c r="O124" s="36" t="str">
        <f t="shared" si="22"/>
        <v>B3 DISC 10%</v>
      </c>
      <c r="P124" s="35" t="str">
        <f t="shared" si="23"/>
        <v>BXGY</v>
      </c>
    </row>
    <row r="125" spans="1:16" x14ac:dyDescent="0.25">
      <c r="A125" s="22" t="str">
        <f t="shared" si="18"/>
        <v>2026 JAN - FEB B3D10</v>
      </c>
      <c r="B125" s="8">
        <f t="shared" si="19"/>
        <v>46099</v>
      </c>
      <c r="C125" s="8">
        <f t="shared" si="20"/>
        <v>46113</v>
      </c>
      <c r="D125" s="35">
        <v>3272</v>
      </c>
      <c r="E125" s="35">
        <v>336</v>
      </c>
      <c r="F125" s="35">
        <v>4</v>
      </c>
      <c r="G125" s="22">
        <v>1</v>
      </c>
      <c r="H125" s="22">
        <v>81379</v>
      </c>
      <c r="I125" s="22" t="s">
        <v>104</v>
      </c>
      <c r="J125" s="22">
        <v>68615569</v>
      </c>
      <c r="K125" s="22" t="s">
        <v>4067</v>
      </c>
      <c r="L125" s="22" t="s">
        <v>4164</v>
      </c>
      <c r="M125" s="35">
        <v>99900</v>
      </c>
      <c r="N125" s="35" t="str">
        <f t="shared" si="21"/>
        <v>BXGY</v>
      </c>
      <c r="O125" s="36" t="str">
        <f t="shared" si="22"/>
        <v>B3 DISC 10%</v>
      </c>
      <c r="P125" s="35" t="str">
        <f t="shared" si="23"/>
        <v>BXGY</v>
      </c>
    </row>
    <row r="126" spans="1:16" x14ac:dyDescent="0.25">
      <c r="A126" s="22" t="str">
        <f t="shared" si="18"/>
        <v>2026 JAN - FEB B3D10</v>
      </c>
      <c r="B126" s="8">
        <f t="shared" si="19"/>
        <v>46099</v>
      </c>
      <c r="C126" s="8">
        <f t="shared" si="20"/>
        <v>46113</v>
      </c>
      <c r="D126" s="35">
        <v>3272</v>
      </c>
      <c r="E126" s="35">
        <v>336</v>
      </c>
      <c r="F126" s="35">
        <v>4</v>
      </c>
      <c r="G126" s="22">
        <v>1</v>
      </c>
      <c r="H126" s="22">
        <v>81379</v>
      </c>
      <c r="I126" s="22" t="s">
        <v>104</v>
      </c>
      <c r="J126" s="22">
        <v>68615578</v>
      </c>
      <c r="K126" s="22" t="s">
        <v>4067</v>
      </c>
      <c r="L126" s="22" t="s">
        <v>4165</v>
      </c>
      <c r="M126" s="35">
        <v>99900</v>
      </c>
      <c r="N126" s="35" t="str">
        <f t="shared" si="21"/>
        <v>BXGY</v>
      </c>
      <c r="O126" s="36" t="str">
        <f t="shared" si="22"/>
        <v>B3 DISC 10%</v>
      </c>
      <c r="P126" s="35" t="str">
        <f t="shared" si="23"/>
        <v>BXGY</v>
      </c>
    </row>
    <row r="127" spans="1:16" x14ac:dyDescent="0.25">
      <c r="A127" s="22" t="str">
        <f t="shared" si="18"/>
        <v>2026 JAN - FEB B3D10</v>
      </c>
      <c r="B127" s="8">
        <f t="shared" si="19"/>
        <v>46099</v>
      </c>
      <c r="C127" s="8">
        <f t="shared" si="20"/>
        <v>46113</v>
      </c>
      <c r="D127" s="35">
        <v>3272</v>
      </c>
      <c r="E127" s="35">
        <v>336</v>
      </c>
      <c r="F127" s="35">
        <v>4</v>
      </c>
      <c r="G127" s="22">
        <v>1</v>
      </c>
      <c r="H127" s="22">
        <v>81379</v>
      </c>
      <c r="I127" s="22" t="s">
        <v>104</v>
      </c>
      <c r="J127" s="22">
        <v>68615587</v>
      </c>
      <c r="K127" s="22" t="s">
        <v>4067</v>
      </c>
      <c r="L127" s="22" t="s">
        <v>4166</v>
      </c>
      <c r="M127" s="35">
        <v>99900</v>
      </c>
      <c r="N127" s="35" t="str">
        <f t="shared" si="21"/>
        <v>BXGY</v>
      </c>
      <c r="O127" s="36" t="str">
        <f t="shared" si="22"/>
        <v>B3 DISC 10%</v>
      </c>
      <c r="P127" s="35" t="str">
        <f t="shared" si="23"/>
        <v>BXGY</v>
      </c>
    </row>
    <row r="128" spans="1:16" x14ac:dyDescent="0.25">
      <c r="A128" s="22" t="str">
        <f t="shared" si="18"/>
        <v>2026 JAN - FEB B3D10</v>
      </c>
      <c r="B128" s="8">
        <f t="shared" si="19"/>
        <v>46099</v>
      </c>
      <c r="C128" s="8">
        <f t="shared" si="20"/>
        <v>46113</v>
      </c>
      <c r="D128" s="35">
        <v>3272</v>
      </c>
      <c r="E128" s="35">
        <v>336</v>
      </c>
      <c r="F128" s="35">
        <v>4</v>
      </c>
      <c r="G128" s="22">
        <v>1</v>
      </c>
      <c r="H128" s="22">
        <v>81379</v>
      </c>
      <c r="I128" s="22" t="s">
        <v>104</v>
      </c>
      <c r="J128" s="22">
        <v>68615596</v>
      </c>
      <c r="K128" s="22" t="s">
        <v>4067</v>
      </c>
      <c r="L128" s="22" t="s">
        <v>4167</v>
      </c>
      <c r="M128" s="35">
        <v>99900</v>
      </c>
      <c r="N128" s="35" t="str">
        <f t="shared" si="21"/>
        <v>BXGY</v>
      </c>
      <c r="O128" s="36" t="str">
        <f t="shared" si="22"/>
        <v>B3 DISC 10%</v>
      </c>
      <c r="P128" s="35" t="str">
        <f t="shared" si="23"/>
        <v>BXGY</v>
      </c>
    </row>
    <row r="129" spans="1:16" x14ac:dyDescent="0.25">
      <c r="A129" s="22" t="str">
        <f t="shared" si="18"/>
        <v>2026 JAN - FEB B3D10</v>
      </c>
      <c r="B129" s="8">
        <f t="shared" si="19"/>
        <v>46099</v>
      </c>
      <c r="C129" s="8">
        <f t="shared" si="20"/>
        <v>46113</v>
      </c>
      <c r="D129" s="35">
        <v>3272</v>
      </c>
      <c r="E129" s="35">
        <v>336</v>
      </c>
      <c r="F129" s="35">
        <v>4</v>
      </c>
      <c r="G129" s="22">
        <v>1</v>
      </c>
      <c r="H129" s="22">
        <v>81379</v>
      </c>
      <c r="I129" s="22" t="s">
        <v>104</v>
      </c>
      <c r="J129" s="22">
        <v>68615658</v>
      </c>
      <c r="K129" s="22" t="s">
        <v>4068</v>
      </c>
      <c r="L129" s="22" t="s">
        <v>4168</v>
      </c>
      <c r="M129" s="35">
        <v>99900</v>
      </c>
      <c r="N129" s="35" t="str">
        <f t="shared" si="21"/>
        <v>BXGY</v>
      </c>
      <c r="O129" s="36" t="str">
        <f t="shared" si="22"/>
        <v>B3 DISC 10%</v>
      </c>
      <c r="P129" s="35" t="str">
        <f t="shared" si="23"/>
        <v>BXGY</v>
      </c>
    </row>
    <row r="130" spans="1:16" x14ac:dyDescent="0.25">
      <c r="A130" s="22" t="str">
        <f t="shared" si="18"/>
        <v>2026 JAN - FEB B3D10</v>
      </c>
      <c r="B130" s="8">
        <f t="shared" si="19"/>
        <v>46099</v>
      </c>
      <c r="C130" s="8">
        <f t="shared" si="20"/>
        <v>46113</v>
      </c>
      <c r="D130" s="35">
        <v>3272</v>
      </c>
      <c r="E130" s="35">
        <v>336</v>
      </c>
      <c r="F130" s="35">
        <v>4</v>
      </c>
      <c r="G130" s="22">
        <v>1</v>
      </c>
      <c r="H130" s="22">
        <v>81379</v>
      </c>
      <c r="I130" s="22" t="s">
        <v>104</v>
      </c>
      <c r="J130" s="22">
        <v>68615667</v>
      </c>
      <c r="K130" s="22" t="s">
        <v>4068</v>
      </c>
      <c r="L130" s="22" t="s">
        <v>4169</v>
      </c>
      <c r="M130" s="35">
        <v>99900</v>
      </c>
      <c r="N130" s="35" t="str">
        <f t="shared" si="21"/>
        <v>BXGY</v>
      </c>
      <c r="O130" s="36" t="str">
        <f t="shared" si="22"/>
        <v>B3 DISC 10%</v>
      </c>
      <c r="P130" s="35" t="str">
        <f t="shared" si="23"/>
        <v>BXGY</v>
      </c>
    </row>
    <row r="131" spans="1:16" x14ac:dyDescent="0.25">
      <c r="A131" s="22" t="str">
        <f t="shared" ref="A131:A162" si="24">A130</f>
        <v>2026 JAN - FEB B3D10</v>
      </c>
      <c r="B131" s="8">
        <f t="shared" ref="B131:B162" si="25">B130</f>
        <v>46099</v>
      </c>
      <c r="C131" s="8">
        <f t="shared" ref="C131:C162" si="26">C130</f>
        <v>46113</v>
      </c>
      <c r="D131" s="35">
        <v>3272</v>
      </c>
      <c r="E131" s="35">
        <v>336</v>
      </c>
      <c r="F131" s="35">
        <v>4</v>
      </c>
      <c r="G131" s="22">
        <v>1</v>
      </c>
      <c r="H131" s="22">
        <v>81379</v>
      </c>
      <c r="I131" s="22" t="s">
        <v>104</v>
      </c>
      <c r="J131" s="22">
        <v>68615676</v>
      </c>
      <c r="K131" s="22" t="s">
        <v>4068</v>
      </c>
      <c r="L131" s="22" t="s">
        <v>4170</v>
      </c>
      <c r="M131" s="35">
        <v>99900</v>
      </c>
      <c r="N131" s="35" t="str">
        <f t="shared" ref="N131:N162" si="27">N130</f>
        <v>BXGY</v>
      </c>
      <c r="O131" s="36" t="str">
        <f t="shared" ref="O131:O162" si="28">O130</f>
        <v>B3 DISC 10%</v>
      </c>
      <c r="P131" s="35" t="str">
        <f t="shared" ref="P131:P162" si="29">P130</f>
        <v>BXGY</v>
      </c>
    </row>
    <row r="132" spans="1:16" x14ac:dyDescent="0.25">
      <c r="A132" s="22" t="str">
        <f t="shared" si="24"/>
        <v>2026 JAN - FEB B3D10</v>
      </c>
      <c r="B132" s="8">
        <f t="shared" si="25"/>
        <v>46099</v>
      </c>
      <c r="C132" s="8">
        <f t="shared" si="26"/>
        <v>46113</v>
      </c>
      <c r="D132" s="35">
        <v>3272</v>
      </c>
      <c r="E132" s="35">
        <v>336</v>
      </c>
      <c r="F132" s="35">
        <v>4</v>
      </c>
      <c r="G132" s="22">
        <v>1</v>
      </c>
      <c r="H132" s="22">
        <v>81379</v>
      </c>
      <c r="I132" s="22" t="s">
        <v>104</v>
      </c>
      <c r="J132" s="22">
        <v>68615685</v>
      </c>
      <c r="K132" s="22" t="s">
        <v>4068</v>
      </c>
      <c r="L132" s="22" t="s">
        <v>4171</v>
      </c>
      <c r="M132" s="35">
        <v>99900</v>
      </c>
      <c r="N132" s="35" t="str">
        <f t="shared" si="27"/>
        <v>BXGY</v>
      </c>
      <c r="O132" s="36" t="str">
        <f t="shared" si="28"/>
        <v>B3 DISC 10%</v>
      </c>
      <c r="P132" s="35" t="str">
        <f t="shared" si="29"/>
        <v>BXGY</v>
      </c>
    </row>
    <row r="133" spans="1:16" x14ac:dyDescent="0.25">
      <c r="A133" s="22" t="str">
        <f t="shared" si="24"/>
        <v>2026 JAN - FEB B3D10</v>
      </c>
      <c r="B133" s="8">
        <f t="shared" si="25"/>
        <v>46099</v>
      </c>
      <c r="C133" s="8">
        <f t="shared" si="26"/>
        <v>46113</v>
      </c>
      <c r="D133" s="35">
        <v>3272</v>
      </c>
      <c r="E133" s="35">
        <v>336</v>
      </c>
      <c r="F133" s="35">
        <v>4</v>
      </c>
      <c r="G133" s="22">
        <v>1</v>
      </c>
      <c r="H133" s="22">
        <v>81379</v>
      </c>
      <c r="I133" s="22" t="s">
        <v>104</v>
      </c>
      <c r="J133" s="22">
        <v>68615694</v>
      </c>
      <c r="K133" s="22" t="s">
        <v>4068</v>
      </c>
      <c r="L133" s="22" t="s">
        <v>4172</v>
      </c>
      <c r="M133" s="35">
        <v>99900</v>
      </c>
      <c r="N133" s="35" t="str">
        <f t="shared" si="27"/>
        <v>BXGY</v>
      </c>
      <c r="O133" s="36" t="str">
        <f t="shared" si="28"/>
        <v>B3 DISC 10%</v>
      </c>
      <c r="P133" s="35" t="str">
        <f t="shared" si="29"/>
        <v>BXGY</v>
      </c>
    </row>
    <row r="134" spans="1:16" x14ac:dyDescent="0.25">
      <c r="A134" s="22" t="str">
        <f t="shared" si="24"/>
        <v>2026 JAN - FEB B3D10</v>
      </c>
      <c r="B134" s="8">
        <f t="shared" si="25"/>
        <v>46099</v>
      </c>
      <c r="C134" s="8">
        <f t="shared" si="26"/>
        <v>46113</v>
      </c>
      <c r="D134" s="35">
        <v>3272</v>
      </c>
      <c r="E134" s="35">
        <v>336</v>
      </c>
      <c r="F134" s="35">
        <v>4</v>
      </c>
      <c r="G134" s="22">
        <v>1</v>
      </c>
      <c r="H134" s="22">
        <v>81379</v>
      </c>
      <c r="I134" s="22" t="s">
        <v>104</v>
      </c>
      <c r="J134" s="22">
        <v>68615701</v>
      </c>
      <c r="K134" s="22" t="s">
        <v>4068</v>
      </c>
      <c r="L134" s="22" t="s">
        <v>4173</v>
      </c>
      <c r="M134" s="35">
        <v>99900</v>
      </c>
      <c r="N134" s="35" t="str">
        <f t="shared" si="27"/>
        <v>BXGY</v>
      </c>
      <c r="O134" s="36" t="str">
        <f t="shared" si="28"/>
        <v>B3 DISC 10%</v>
      </c>
      <c r="P134" s="35" t="str">
        <f t="shared" si="29"/>
        <v>BXGY</v>
      </c>
    </row>
    <row r="135" spans="1:16" x14ac:dyDescent="0.25">
      <c r="A135" s="22" t="str">
        <f t="shared" si="24"/>
        <v>2026 JAN - FEB B3D10</v>
      </c>
      <c r="B135" s="8">
        <f t="shared" si="25"/>
        <v>46099</v>
      </c>
      <c r="C135" s="8">
        <f t="shared" si="26"/>
        <v>46113</v>
      </c>
      <c r="D135" s="35">
        <v>3272</v>
      </c>
      <c r="E135" s="35">
        <v>336</v>
      </c>
      <c r="F135" s="35">
        <v>4</v>
      </c>
      <c r="G135" s="22">
        <v>1</v>
      </c>
      <c r="H135" s="22">
        <v>81379</v>
      </c>
      <c r="I135" s="22" t="s">
        <v>104</v>
      </c>
      <c r="J135" s="22">
        <v>68615710</v>
      </c>
      <c r="K135" s="22" t="s">
        <v>4068</v>
      </c>
      <c r="L135" s="22" t="s">
        <v>4174</v>
      </c>
      <c r="M135" s="35">
        <v>99900</v>
      </c>
      <c r="N135" s="35" t="str">
        <f t="shared" si="27"/>
        <v>BXGY</v>
      </c>
      <c r="O135" s="36" t="str">
        <f t="shared" si="28"/>
        <v>B3 DISC 10%</v>
      </c>
      <c r="P135" s="35" t="str">
        <f t="shared" si="29"/>
        <v>BXGY</v>
      </c>
    </row>
    <row r="136" spans="1:16" x14ac:dyDescent="0.25">
      <c r="A136" s="22" t="str">
        <f t="shared" si="24"/>
        <v>2026 JAN - FEB B3D10</v>
      </c>
      <c r="B136" s="8">
        <f t="shared" si="25"/>
        <v>46099</v>
      </c>
      <c r="C136" s="8">
        <f t="shared" si="26"/>
        <v>46113</v>
      </c>
      <c r="D136" s="35">
        <v>3272</v>
      </c>
      <c r="E136" s="35">
        <v>336</v>
      </c>
      <c r="F136" s="35">
        <v>4</v>
      </c>
      <c r="G136" s="22">
        <v>1</v>
      </c>
      <c r="H136" s="22">
        <v>81379</v>
      </c>
      <c r="I136" s="22" t="s">
        <v>104</v>
      </c>
      <c r="J136" s="22">
        <v>68615729</v>
      </c>
      <c r="K136" s="22" t="s">
        <v>4068</v>
      </c>
      <c r="L136" s="22" t="s">
        <v>4175</v>
      </c>
      <c r="M136" s="35">
        <v>99900</v>
      </c>
      <c r="N136" s="35" t="str">
        <f t="shared" si="27"/>
        <v>BXGY</v>
      </c>
      <c r="O136" s="36" t="str">
        <f t="shared" si="28"/>
        <v>B3 DISC 10%</v>
      </c>
      <c r="P136" s="35" t="str">
        <f t="shared" si="29"/>
        <v>BXGY</v>
      </c>
    </row>
    <row r="137" spans="1:16" x14ac:dyDescent="0.25">
      <c r="A137" s="22" t="str">
        <f t="shared" si="24"/>
        <v>2026 JAN - FEB B3D10</v>
      </c>
      <c r="B137" s="8">
        <f t="shared" si="25"/>
        <v>46099</v>
      </c>
      <c r="C137" s="8">
        <f t="shared" si="26"/>
        <v>46113</v>
      </c>
      <c r="D137" s="35">
        <v>3272</v>
      </c>
      <c r="E137" s="35">
        <v>336</v>
      </c>
      <c r="F137" s="35">
        <v>4</v>
      </c>
      <c r="G137" s="22">
        <v>1</v>
      </c>
      <c r="H137" s="22">
        <v>81379</v>
      </c>
      <c r="I137" s="22" t="s">
        <v>104</v>
      </c>
      <c r="J137" s="22">
        <v>68615890</v>
      </c>
      <c r="K137" s="22" t="s">
        <v>4069</v>
      </c>
      <c r="L137" s="22" t="s">
        <v>4176</v>
      </c>
      <c r="M137" s="35">
        <v>99900</v>
      </c>
      <c r="N137" s="35" t="str">
        <f t="shared" si="27"/>
        <v>BXGY</v>
      </c>
      <c r="O137" s="36" t="str">
        <f t="shared" si="28"/>
        <v>B3 DISC 10%</v>
      </c>
      <c r="P137" s="35" t="str">
        <f t="shared" si="29"/>
        <v>BXGY</v>
      </c>
    </row>
    <row r="138" spans="1:16" x14ac:dyDescent="0.25">
      <c r="A138" s="22" t="str">
        <f t="shared" si="24"/>
        <v>2026 JAN - FEB B3D10</v>
      </c>
      <c r="B138" s="8">
        <f t="shared" si="25"/>
        <v>46099</v>
      </c>
      <c r="C138" s="8">
        <f t="shared" si="26"/>
        <v>46113</v>
      </c>
      <c r="D138" s="35">
        <v>3272</v>
      </c>
      <c r="E138" s="35">
        <v>336</v>
      </c>
      <c r="F138" s="35">
        <v>4</v>
      </c>
      <c r="G138" s="22">
        <v>1</v>
      </c>
      <c r="H138" s="22">
        <v>81379</v>
      </c>
      <c r="I138" s="22" t="s">
        <v>104</v>
      </c>
      <c r="J138" s="22">
        <v>68615907</v>
      </c>
      <c r="K138" s="22" t="s">
        <v>4069</v>
      </c>
      <c r="L138" s="22" t="s">
        <v>4177</v>
      </c>
      <c r="M138" s="35">
        <v>99900</v>
      </c>
      <c r="N138" s="35" t="str">
        <f t="shared" si="27"/>
        <v>BXGY</v>
      </c>
      <c r="O138" s="36" t="str">
        <f t="shared" si="28"/>
        <v>B3 DISC 10%</v>
      </c>
      <c r="P138" s="35" t="str">
        <f t="shared" si="29"/>
        <v>BXGY</v>
      </c>
    </row>
    <row r="139" spans="1:16" x14ac:dyDescent="0.25">
      <c r="A139" s="22" t="str">
        <f t="shared" si="24"/>
        <v>2026 JAN - FEB B3D10</v>
      </c>
      <c r="B139" s="8">
        <f t="shared" si="25"/>
        <v>46099</v>
      </c>
      <c r="C139" s="8">
        <f t="shared" si="26"/>
        <v>46113</v>
      </c>
      <c r="D139" s="35">
        <v>3272</v>
      </c>
      <c r="E139" s="35">
        <v>336</v>
      </c>
      <c r="F139" s="35">
        <v>4</v>
      </c>
      <c r="G139" s="22">
        <v>1</v>
      </c>
      <c r="H139" s="22">
        <v>81379</v>
      </c>
      <c r="I139" s="22" t="s">
        <v>104</v>
      </c>
      <c r="J139" s="22">
        <v>68615916</v>
      </c>
      <c r="K139" s="22" t="s">
        <v>4069</v>
      </c>
      <c r="L139" s="22" t="s">
        <v>4178</v>
      </c>
      <c r="M139" s="35">
        <v>99900</v>
      </c>
      <c r="N139" s="35" t="str">
        <f t="shared" si="27"/>
        <v>BXGY</v>
      </c>
      <c r="O139" s="36" t="str">
        <f t="shared" si="28"/>
        <v>B3 DISC 10%</v>
      </c>
      <c r="P139" s="35" t="str">
        <f t="shared" si="29"/>
        <v>BXGY</v>
      </c>
    </row>
    <row r="140" spans="1:16" x14ac:dyDescent="0.25">
      <c r="A140" s="22" t="str">
        <f t="shared" si="24"/>
        <v>2026 JAN - FEB B3D10</v>
      </c>
      <c r="B140" s="8">
        <f t="shared" si="25"/>
        <v>46099</v>
      </c>
      <c r="C140" s="8">
        <f t="shared" si="26"/>
        <v>46113</v>
      </c>
      <c r="D140" s="35">
        <v>3272</v>
      </c>
      <c r="E140" s="35">
        <v>336</v>
      </c>
      <c r="F140" s="35">
        <v>4</v>
      </c>
      <c r="G140" s="22">
        <v>1</v>
      </c>
      <c r="H140" s="22">
        <v>81379</v>
      </c>
      <c r="I140" s="22" t="s">
        <v>104</v>
      </c>
      <c r="J140" s="22">
        <v>68615925</v>
      </c>
      <c r="K140" s="22" t="s">
        <v>4069</v>
      </c>
      <c r="L140" s="22" t="s">
        <v>4179</v>
      </c>
      <c r="M140" s="35">
        <v>99900</v>
      </c>
      <c r="N140" s="35" t="str">
        <f t="shared" si="27"/>
        <v>BXGY</v>
      </c>
      <c r="O140" s="36" t="str">
        <f t="shared" si="28"/>
        <v>B3 DISC 10%</v>
      </c>
      <c r="P140" s="35" t="str">
        <f t="shared" si="29"/>
        <v>BXGY</v>
      </c>
    </row>
    <row r="141" spans="1:16" x14ac:dyDescent="0.25">
      <c r="A141" s="22" t="str">
        <f t="shared" si="24"/>
        <v>2026 JAN - FEB B3D10</v>
      </c>
      <c r="B141" s="8">
        <f t="shared" si="25"/>
        <v>46099</v>
      </c>
      <c r="C141" s="8">
        <f t="shared" si="26"/>
        <v>46113</v>
      </c>
      <c r="D141" s="35">
        <v>3272</v>
      </c>
      <c r="E141" s="35">
        <v>336</v>
      </c>
      <c r="F141" s="35">
        <v>4</v>
      </c>
      <c r="G141" s="22">
        <v>1</v>
      </c>
      <c r="H141" s="22">
        <v>81379</v>
      </c>
      <c r="I141" s="22" t="s">
        <v>104</v>
      </c>
      <c r="J141" s="22">
        <v>68615934</v>
      </c>
      <c r="K141" s="22" t="s">
        <v>4069</v>
      </c>
      <c r="L141" s="22" t="s">
        <v>4180</v>
      </c>
      <c r="M141" s="35">
        <v>99900</v>
      </c>
      <c r="N141" s="35" t="str">
        <f t="shared" si="27"/>
        <v>BXGY</v>
      </c>
      <c r="O141" s="36" t="str">
        <f t="shared" si="28"/>
        <v>B3 DISC 10%</v>
      </c>
      <c r="P141" s="35" t="str">
        <f t="shared" si="29"/>
        <v>BXGY</v>
      </c>
    </row>
    <row r="142" spans="1:16" x14ac:dyDescent="0.25">
      <c r="A142" s="22" t="str">
        <f t="shared" si="24"/>
        <v>2026 JAN - FEB B3D10</v>
      </c>
      <c r="B142" s="8">
        <f t="shared" si="25"/>
        <v>46099</v>
      </c>
      <c r="C142" s="8">
        <f t="shared" si="26"/>
        <v>46113</v>
      </c>
      <c r="D142" s="35">
        <v>3272</v>
      </c>
      <c r="E142" s="35">
        <v>336</v>
      </c>
      <c r="F142" s="35">
        <v>4</v>
      </c>
      <c r="G142" s="22">
        <v>1</v>
      </c>
      <c r="H142" s="22">
        <v>81379</v>
      </c>
      <c r="I142" s="22" t="s">
        <v>104</v>
      </c>
      <c r="J142" s="22">
        <v>68615943</v>
      </c>
      <c r="K142" s="22" t="s">
        <v>4069</v>
      </c>
      <c r="L142" s="22" t="s">
        <v>4181</v>
      </c>
      <c r="M142" s="35">
        <v>99900</v>
      </c>
      <c r="N142" s="35" t="str">
        <f t="shared" si="27"/>
        <v>BXGY</v>
      </c>
      <c r="O142" s="36" t="str">
        <f t="shared" si="28"/>
        <v>B3 DISC 10%</v>
      </c>
      <c r="P142" s="35" t="str">
        <f t="shared" si="29"/>
        <v>BXGY</v>
      </c>
    </row>
    <row r="143" spans="1:16" x14ac:dyDescent="0.25">
      <c r="A143" s="22" t="str">
        <f t="shared" si="24"/>
        <v>2026 JAN - FEB B3D10</v>
      </c>
      <c r="B143" s="8">
        <f t="shared" si="25"/>
        <v>46099</v>
      </c>
      <c r="C143" s="8">
        <f t="shared" si="26"/>
        <v>46113</v>
      </c>
      <c r="D143" s="35">
        <v>3272</v>
      </c>
      <c r="E143" s="35">
        <v>336</v>
      </c>
      <c r="F143" s="35">
        <v>4</v>
      </c>
      <c r="G143" s="22">
        <v>1</v>
      </c>
      <c r="H143" s="22">
        <v>81379</v>
      </c>
      <c r="I143" s="22" t="s">
        <v>104</v>
      </c>
      <c r="J143" s="22">
        <v>68615952</v>
      </c>
      <c r="K143" s="22" t="s">
        <v>4069</v>
      </c>
      <c r="L143" s="22" t="s">
        <v>4182</v>
      </c>
      <c r="M143" s="35">
        <v>99900</v>
      </c>
      <c r="N143" s="35" t="str">
        <f t="shared" si="27"/>
        <v>BXGY</v>
      </c>
      <c r="O143" s="36" t="str">
        <f t="shared" si="28"/>
        <v>B3 DISC 10%</v>
      </c>
      <c r="P143" s="35" t="str">
        <f t="shared" si="29"/>
        <v>BXGY</v>
      </c>
    </row>
    <row r="144" spans="1:16" x14ac:dyDescent="0.25">
      <c r="A144" s="22" t="str">
        <f t="shared" si="24"/>
        <v>2026 JAN - FEB B3D10</v>
      </c>
      <c r="B144" s="8">
        <f t="shared" si="25"/>
        <v>46099</v>
      </c>
      <c r="C144" s="8">
        <f t="shared" si="26"/>
        <v>46113</v>
      </c>
      <c r="D144" s="35">
        <v>3272</v>
      </c>
      <c r="E144" s="35">
        <v>336</v>
      </c>
      <c r="F144" s="35">
        <v>4</v>
      </c>
      <c r="G144" s="22">
        <v>1</v>
      </c>
      <c r="H144" s="22">
        <v>81379</v>
      </c>
      <c r="I144" s="22" t="s">
        <v>104</v>
      </c>
      <c r="J144" s="22">
        <v>68615961</v>
      </c>
      <c r="K144" s="22" t="s">
        <v>4069</v>
      </c>
      <c r="L144" s="22" t="s">
        <v>4183</v>
      </c>
      <c r="M144" s="35">
        <v>99900</v>
      </c>
      <c r="N144" s="35" t="str">
        <f t="shared" si="27"/>
        <v>BXGY</v>
      </c>
      <c r="O144" s="36" t="str">
        <f t="shared" si="28"/>
        <v>B3 DISC 10%</v>
      </c>
      <c r="P144" s="35" t="str">
        <f t="shared" si="29"/>
        <v>BXGY</v>
      </c>
    </row>
    <row r="145" spans="1:16" x14ac:dyDescent="0.25">
      <c r="A145" s="22" t="str">
        <f t="shared" si="24"/>
        <v>2026 JAN - FEB B3D10</v>
      </c>
      <c r="B145" s="8">
        <f t="shared" si="25"/>
        <v>46099</v>
      </c>
      <c r="C145" s="8">
        <f t="shared" si="26"/>
        <v>46113</v>
      </c>
      <c r="D145" s="35">
        <v>3272</v>
      </c>
      <c r="E145" s="35">
        <v>336</v>
      </c>
      <c r="F145" s="35">
        <v>4</v>
      </c>
      <c r="G145" s="22">
        <v>1</v>
      </c>
      <c r="H145" s="22">
        <v>81379</v>
      </c>
      <c r="I145" s="22" t="s">
        <v>104</v>
      </c>
      <c r="J145" s="22">
        <v>68615970</v>
      </c>
      <c r="K145" s="22" t="s">
        <v>4070</v>
      </c>
      <c r="L145" s="22" t="s">
        <v>4184</v>
      </c>
      <c r="M145" s="35">
        <v>99900</v>
      </c>
      <c r="N145" s="35" t="str">
        <f t="shared" si="27"/>
        <v>BXGY</v>
      </c>
      <c r="O145" s="36" t="str">
        <f t="shared" si="28"/>
        <v>B3 DISC 10%</v>
      </c>
      <c r="P145" s="35" t="str">
        <f t="shared" si="29"/>
        <v>BXGY</v>
      </c>
    </row>
    <row r="146" spans="1:16" x14ac:dyDescent="0.25">
      <c r="A146" s="22" t="str">
        <f t="shared" si="24"/>
        <v>2026 JAN - FEB B3D10</v>
      </c>
      <c r="B146" s="8">
        <f t="shared" si="25"/>
        <v>46099</v>
      </c>
      <c r="C146" s="8">
        <f t="shared" si="26"/>
        <v>46113</v>
      </c>
      <c r="D146" s="35">
        <v>3272</v>
      </c>
      <c r="E146" s="35">
        <v>336</v>
      </c>
      <c r="F146" s="35">
        <v>4</v>
      </c>
      <c r="G146" s="22">
        <v>1</v>
      </c>
      <c r="H146" s="22">
        <v>81379</v>
      </c>
      <c r="I146" s="22" t="s">
        <v>104</v>
      </c>
      <c r="J146" s="22">
        <v>68615989</v>
      </c>
      <c r="K146" s="22" t="s">
        <v>4070</v>
      </c>
      <c r="L146" s="22" t="s">
        <v>4185</v>
      </c>
      <c r="M146" s="35">
        <v>99900</v>
      </c>
      <c r="N146" s="35" t="str">
        <f t="shared" si="27"/>
        <v>BXGY</v>
      </c>
      <c r="O146" s="36" t="str">
        <f t="shared" si="28"/>
        <v>B3 DISC 10%</v>
      </c>
      <c r="P146" s="35" t="str">
        <f t="shared" si="29"/>
        <v>BXGY</v>
      </c>
    </row>
    <row r="147" spans="1:16" x14ac:dyDescent="0.25">
      <c r="A147" s="22" t="str">
        <f t="shared" si="24"/>
        <v>2026 JAN - FEB B3D10</v>
      </c>
      <c r="B147" s="8">
        <f t="shared" si="25"/>
        <v>46099</v>
      </c>
      <c r="C147" s="8">
        <f t="shared" si="26"/>
        <v>46113</v>
      </c>
      <c r="D147" s="35">
        <v>3272</v>
      </c>
      <c r="E147" s="35">
        <v>336</v>
      </c>
      <c r="F147" s="35">
        <v>4</v>
      </c>
      <c r="G147" s="22">
        <v>1</v>
      </c>
      <c r="H147" s="22">
        <v>81379</v>
      </c>
      <c r="I147" s="22" t="s">
        <v>104</v>
      </c>
      <c r="J147" s="22">
        <v>68615998</v>
      </c>
      <c r="K147" s="22" t="s">
        <v>4070</v>
      </c>
      <c r="L147" s="22" t="s">
        <v>4186</v>
      </c>
      <c r="M147" s="35">
        <v>99900</v>
      </c>
      <c r="N147" s="35" t="str">
        <f t="shared" si="27"/>
        <v>BXGY</v>
      </c>
      <c r="O147" s="36" t="str">
        <f t="shared" si="28"/>
        <v>B3 DISC 10%</v>
      </c>
      <c r="P147" s="35" t="str">
        <f t="shared" si="29"/>
        <v>BXGY</v>
      </c>
    </row>
    <row r="148" spans="1:16" x14ac:dyDescent="0.25">
      <c r="A148" s="22" t="str">
        <f t="shared" si="24"/>
        <v>2026 JAN - FEB B3D10</v>
      </c>
      <c r="B148" s="8">
        <f t="shared" si="25"/>
        <v>46099</v>
      </c>
      <c r="C148" s="8">
        <f t="shared" si="26"/>
        <v>46113</v>
      </c>
      <c r="D148" s="35">
        <v>3272</v>
      </c>
      <c r="E148" s="35">
        <v>336</v>
      </c>
      <c r="F148" s="35">
        <v>4</v>
      </c>
      <c r="G148" s="22">
        <v>1</v>
      </c>
      <c r="H148" s="22">
        <v>81379</v>
      </c>
      <c r="I148" s="22" t="s">
        <v>104</v>
      </c>
      <c r="J148" s="22">
        <v>68616004</v>
      </c>
      <c r="K148" s="22" t="s">
        <v>4070</v>
      </c>
      <c r="L148" s="22" t="s">
        <v>4187</v>
      </c>
      <c r="M148" s="35">
        <v>99900</v>
      </c>
      <c r="N148" s="35" t="str">
        <f t="shared" si="27"/>
        <v>BXGY</v>
      </c>
      <c r="O148" s="36" t="str">
        <f t="shared" si="28"/>
        <v>B3 DISC 10%</v>
      </c>
      <c r="P148" s="35" t="str">
        <f t="shared" si="29"/>
        <v>BXGY</v>
      </c>
    </row>
    <row r="149" spans="1:16" x14ac:dyDescent="0.25">
      <c r="A149" s="22" t="str">
        <f t="shared" si="24"/>
        <v>2026 JAN - FEB B3D10</v>
      </c>
      <c r="B149" s="8">
        <f t="shared" si="25"/>
        <v>46099</v>
      </c>
      <c r="C149" s="8">
        <f t="shared" si="26"/>
        <v>46113</v>
      </c>
      <c r="D149" s="35">
        <v>3272</v>
      </c>
      <c r="E149" s="35">
        <v>336</v>
      </c>
      <c r="F149" s="35">
        <v>4</v>
      </c>
      <c r="G149" s="22">
        <v>1</v>
      </c>
      <c r="H149" s="22">
        <v>81379</v>
      </c>
      <c r="I149" s="22" t="s">
        <v>104</v>
      </c>
      <c r="J149" s="22">
        <v>68616013</v>
      </c>
      <c r="K149" s="22" t="s">
        <v>4070</v>
      </c>
      <c r="L149" s="22" t="s">
        <v>4188</v>
      </c>
      <c r="M149" s="35">
        <v>99900</v>
      </c>
      <c r="N149" s="35" t="str">
        <f t="shared" si="27"/>
        <v>BXGY</v>
      </c>
      <c r="O149" s="36" t="str">
        <f t="shared" si="28"/>
        <v>B3 DISC 10%</v>
      </c>
      <c r="P149" s="35" t="str">
        <f t="shared" si="29"/>
        <v>BXGY</v>
      </c>
    </row>
    <row r="150" spans="1:16" x14ac:dyDescent="0.25">
      <c r="A150" s="22" t="str">
        <f t="shared" si="24"/>
        <v>2026 JAN - FEB B3D10</v>
      </c>
      <c r="B150" s="8">
        <f t="shared" si="25"/>
        <v>46099</v>
      </c>
      <c r="C150" s="8">
        <f t="shared" si="26"/>
        <v>46113</v>
      </c>
      <c r="D150" s="35">
        <v>3272</v>
      </c>
      <c r="E150" s="35">
        <v>336</v>
      </c>
      <c r="F150" s="35">
        <v>4</v>
      </c>
      <c r="G150" s="22">
        <v>1</v>
      </c>
      <c r="H150" s="22">
        <v>81379</v>
      </c>
      <c r="I150" s="22" t="s">
        <v>104</v>
      </c>
      <c r="J150" s="22">
        <v>68616022</v>
      </c>
      <c r="K150" s="22" t="s">
        <v>4071</v>
      </c>
      <c r="L150" s="22" t="s">
        <v>4189</v>
      </c>
      <c r="M150" s="35">
        <v>99900</v>
      </c>
      <c r="N150" s="35" t="str">
        <f t="shared" si="27"/>
        <v>BXGY</v>
      </c>
      <c r="O150" s="36" t="str">
        <f t="shared" si="28"/>
        <v>B3 DISC 10%</v>
      </c>
      <c r="P150" s="35" t="str">
        <f t="shared" si="29"/>
        <v>BXGY</v>
      </c>
    </row>
    <row r="151" spans="1:16" x14ac:dyDescent="0.25">
      <c r="A151" s="22" t="str">
        <f t="shared" si="24"/>
        <v>2026 JAN - FEB B3D10</v>
      </c>
      <c r="B151" s="8">
        <f t="shared" si="25"/>
        <v>46099</v>
      </c>
      <c r="C151" s="8">
        <f t="shared" si="26"/>
        <v>46113</v>
      </c>
      <c r="D151" s="35">
        <v>3272</v>
      </c>
      <c r="E151" s="35">
        <v>336</v>
      </c>
      <c r="F151" s="35">
        <v>4</v>
      </c>
      <c r="G151" s="22">
        <v>1</v>
      </c>
      <c r="H151" s="22">
        <v>81379</v>
      </c>
      <c r="I151" s="22" t="s">
        <v>104</v>
      </c>
      <c r="J151" s="22">
        <v>68616031</v>
      </c>
      <c r="K151" s="22" t="s">
        <v>4071</v>
      </c>
      <c r="L151" s="22" t="s">
        <v>4190</v>
      </c>
      <c r="M151" s="35">
        <v>99900</v>
      </c>
      <c r="N151" s="35" t="str">
        <f t="shared" si="27"/>
        <v>BXGY</v>
      </c>
      <c r="O151" s="36" t="str">
        <f t="shared" si="28"/>
        <v>B3 DISC 10%</v>
      </c>
      <c r="P151" s="35" t="str">
        <f t="shared" si="29"/>
        <v>BXGY</v>
      </c>
    </row>
    <row r="152" spans="1:16" x14ac:dyDescent="0.25">
      <c r="A152" s="22" t="str">
        <f t="shared" si="24"/>
        <v>2026 JAN - FEB B3D10</v>
      </c>
      <c r="B152" s="8">
        <f t="shared" si="25"/>
        <v>46099</v>
      </c>
      <c r="C152" s="8">
        <f t="shared" si="26"/>
        <v>46113</v>
      </c>
      <c r="D152" s="35">
        <v>3272</v>
      </c>
      <c r="E152" s="35">
        <v>336</v>
      </c>
      <c r="F152" s="35">
        <v>4</v>
      </c>
      <c r="G152" s="22">
        <v>1</v>
      </c>
      <c r="H152" s="22">
        <v>81379</v>
      </c>
      <c r="I152" s="22" t="s">
        <v>104</v>
      </c>
      <c r="J152" s="22">
        <v>68616040</v>
      </c>
      <c r="K152" s="22" t="s">
        <v>4071</v>
      </c>
      <c r="L152" s="22" t="s">
        <v>4191</v>
      </c>
      <c r="M152" s="35">
        <v>99900</v>
      </c>
      <c r="N152" s="35" t="str">
        <f t="shared" si="27"/>
        <v>BXGY</v>
      </c>
      <c r="O152" s="36" t="str">
        <f t="shared" si="28"/>
        <v>B3 DISC 10%</v>
      </c>
      <c r="P152" s="35" t="str">
        <f t="shared" si="29"/>
        <v>BXGY</v>
      </c>
    </row>
    <row r="153" spans="1:16" x14ac:dyDescent="0.25">
      <c r="A153" s="22" t="str">
        <f t="shared" si="24"/>
        <v>2026 JAN - FEB B3D10</v>
      </c>
      <c r="B153" s="8">
        <f t="shared" si="25"/>
        <v>46099</v>
      </c>
      <c r="C153" s="8">
        <f t="shared" si="26"/>
        <v>46113</v>
      </c>
      <c r="D153" s="35">
        <v>3272</v>
      </c>
      <c r="E153" s="35">
        <v>336</v>
      </c>
      <c r="F153" s="35">
        <v>4</v>
      </c>
      <c r="G153" s="22">
        <v>1</v>
      </c>
      <c r="H153" s="22">
        <v>81379</v>
      </c>
      <c r="I153" s="22" t="s">
        <v>104</v>
      </c>
      <c r="J153" s="22">
        <v>68616059</v>
      </c>
      <c r="K153" s="22" t="s">
        <v>4071</v>
      </c>
      <c r="L153" s="22" t="s">
        <v>4192</v>
      </c>
      <c r="M153" s="35">
        <v>99900</v>
      </c>
      <c r="N153" s="35" t="str">
        <f t="shared" si="27"/>
        <v>BXGY</v>
      </c>
      <c r="O153" s="36" t="str">
        <f t="shared" si="28"/>
        <v>B3 DISC 10%</v>
      </c>
      <c r="P153" s="35" t="str">
        <f t="shared" si="29"/>
        <v>BXGY</v>
      </c>
    </row>
    <row r="154" spans="1:16" x14ac:dyDescent="0.25">
      <c r="A154" s="22" t="str">
        <f t="shared" si="24"/>
        <v>2026 JAN - FEB B3D10</v>
      </c>
      <c r="B154" s="8">
        <f t="shared" si="25"/>
        <v>46099</v>
      </c>
      <c r="C154" s="8">
        <f t="shared" si="26"/>
        <v>46113</v>
      </c>
      <c r="D154" s="35">
        <v>3272</v>
      </c>
      <c r="E154" s="35">
        <v>336</v>
      </c>
      <c r="F154" s="35">
        <v>4</v>
      </c>
      <c r="G154" s="22">
        <v>1</v>
      </c>
      <c r="H154" s="22">
        <v>81379</v>
      </c>
      <c r="I154" s="22" t="s">
        <v>104</v>
      </c>
      <c r="J154" s="22">
        <v>68616068</v>
      </c>
      <c r="K154" s="22" t="s">
        <v>4071</v>
      </c>
      <c r="L154" s="22" t="s">
        <v>4193</v>
      </c>
      <c r="M154" s="35">
        <v>99900</v>
      </c>
      <c r="N154" s="35" t="str">
        <f t="shared" si="27"/>
        <v>BXGY</v>
      </c>
      <c r="O154" s="36" t="str">
        <f t="shared" si="28"/>
        <v>B3 DISC 10%</v>
      </c>
      <c r="P154" s="35" t="str">
        <f t="shared" si="29"/>
        <v>BXGY</v>
      </c>
    </row>
    <row r="155" spans="1:16" x14ac:dyDescent="0.25">
      <c r="A155" s="22" t="str">
        <f t="shared" si="24"/>
        <v>2026 JAN - FEB B3D10</v>
      </c>
      <c r="B155" s="8">
        <f t="shared" si="25"/>
        <v>46099</v>
      </c>
      <c r="C155" s="8">
        <f t="shared" si="26"/>
        <v>46113</v>
      </c>
      <c r="D155" s="35">
        <v>3272</v>
      </c>
      <c r="E155" s="35">
        <v>336</v>
      </c>
      <c r="F155" s="35">
        <v>4</v>
      </c>
      <c r="G155" s="22">
        <v>1</v>
      </c>
      <c r="H155" s="22">
        <v>81379</v>
      </c>
      <c r="I155" s="22" t="s">
        <v>104</v>
      </c>
      <c r="J155" s="22">
        <v>68616077</v>
      </c>
      <c r="K155" s="22" t="s">
        <v>4072</v>
      </c>
      <c r="L155" s="22" t="s">
        <v>4194</v>
      </c>
      <c r="M155" s="35">
        <v>99900</v>
      </c>
      <c r="N155" s="35" t="str">
        <f t="shared" si="27"/>
        <v>BXGY</v>
      </c>
      <c r="O155" s="36" t="str">
        <f t="shared" si="28"/>
        <v>B3 DISC 10%</v>
      </c>
      <c r="P155" s="35" t="str">
        <f t="shared" si="29"/>
        <v>BXGY</v>
      </c>
    </row>
    <row r="156" spans="1:16" x14ac:dyDescent="0.25">
      <c r="A156" s="22" t="str">
        <f t="shared" si="24"/>
        <v>2026 JAN - FEB B3D10</v>
      </c>
      <c r="B156" s="8">
        <f t="shared" si="25"/>
        <v>46099</v>
      </c>
      <c r="C156" s="8">
        <f t="shared" si="26"/>
        <v>46113</v>
      </c>
      <c r="D156" s="35">
        <v>3272</v>
      </c>
      <c r="E156" s="35">
        <v>336</v>
      </c>
      <c r="F156" s="35">
        <v>4</v>
      </c>
      <c r="G156" s="22">
        <v>1</v>
      </c>
      <c r="H156" s="22">
        <v>81379</v>
      </c>
      <c r="I156" s="22" t="s">
        <v>104</v>
      </c>
      <c r="J156" s="22">
        <v>68616086</v>
      </c>
      <c r="K156" s="22" t="s">
        <v>4072</v>
      </c>
      <c r="L156" s="22" t="s">
        <v>4195</v>
      </c>
      <c r="M156" s="35">
        <v>99900</v>
      </c>
      <c r="N156" s="35" t="str">
        <f t="shared" si="27"/>
        <v>BXGY</v>
      </c>
      <c r="O156" s="36" t="str">
        <f t="shared" si="28"/>
        <v>B3 DISC 10%</v>
      </c>
      <c r="P156" s="35" t="str">
        <f t="shared" si="29"/>
        <v>BXGY</v>
      </c>
    </row>
    <row r="157" spans="1:16" x14ac:dyDescent="0.25">
      <c r="A157" s="22" t="str">
        <f t="shared" si="24"/>
        <v>2026 JAN - FEB B3D10</v>
      </c>
      <c r="B157" s="8">
        <f t="shared" si="25"/>
        <v>46099</v>
      </c>
      <c r="C157" s="8">
        <f t="shared" si="26"/>
        <v>46113</v>
      </c>
      <c r="D157" s="35">
        <v>3272</v>
      </c>
      <c r="E157" s="35">
        <v>336</v>
      </c>
      <c r="F157" s="35">
        <v>4</v>
      </c>
      <c r="G157" s="22">
        <v>1</v>
      </c>
      <c r="H157" s="22">
        <v>81379</v>
      </c>
      <c r="I157" s="22" t="s">
        <v>104</v>
      </c>
      <c r="J157" s="22">
        <v>68616095</v>
      </c>
      <c r="K157" s="22" t="s">
        <v>4072</v>
      </c>
      <c r="L157" s="22" t="s">
        <v>4196</v>
      </c>
      <c r="M157" s="35">
        <v>99900</v>
      </c>
      <c r="N157" s="35" t="str">
        <f t="shared" si="27"/>
        <v>BXGY</v>
      </c>
      <c r="O157" s="36" t="str">
        <f t="shared" si="28"/>
        <v>B3 DISC 10%</v>
      </c>
      <c r="P157" s="35" t="str">
        <f t="shared" si="29"/>
        <v>BXGY</v>
      </c>
    </row>
    <row r="158" spans="1:16" x14ac:dyDescent="0.25">
      <c r="A158" s="22" t="str">
        <f t="shared" si="24"/>
        <v>2026 JAN - FEB B3D10</v>
      </c>
      <c r="B158" s="8">
        <f t="shared" si="25"/>
        <v>46099</v>
      </c>
      <c r="C158" s="8">
        <f t="shared" si="26"/>
        <v>46113</v>
      </c>
      <c r="D158" s="35">
        <v>3272</v>
      </c>
      <c r="E158" s="35">
        <v>336</v>
      </c>
      <c r="F158" s="35">
        <v>4</v>
      </c>
      <c r="G158" s="22">
        <v>1</v>
      </c>
      <c r="H158" s="22">
        <v>81379</v>
      </c>
      <c r="I158" s="22" t="s">
        <v>104</v>
      </c>
      <c r="J158" s="22">
        <v>68616102</v>
      </c>
      <c r="K158" s="22" t="s">
        <v>4072</v>
      </c>
      <c r="L158" s="22" t="s">
        <v>4197</v>
      </c>
      <c r="M158" s="35">
        <v>99900</v>
      </c>
      <c r="N158" s="35" t="str">
        <f t="shared" si="27"/>
        <v>BXGY</v>
      </c>
      <c r="O158" s="36" t="str">
        <f t="shared" si="28"/>
        <v>B3 DISC 10%</v>
      </c>
      <c r="P158" s="35" t="str">
        <f t="shared" si="29"/>
        <v>BXGY</v>
      </c>
    </row>
    <row r="159" spans="1:16" x14ac:dyDescent="0.25">
      <c r="A159" s="22" t="str">
        <f t="shared" si="24"/>
        <v>2026 JAN - FEB B3D10</v>
      </c>
      <c r="B159" s="8">
        <f t="shared" si="25"/>
        <v>46099</v>
      </c>
      <c r="C159" s="8">
        <f t="shared" si="26"/>
        <v>46113</v>
      </c>
      <c r="D159" s="35">
        <v>3272</v>
      </c>
      <c r="E159" s="35">
        <v>336</v>
      </c>
      <c r="F159" s="35">
        <v>4</v>
      </c>
      <c r="G159" s="22">
        <v>1</v>
      </c>
      <c r="H159" s="22">
        <v>81379</v>
      </c>
      <c r="I159" s="22" t="s">
        <v>104</v>
      </c>
      <c r="J159" s="22">
        <v>68616111</v>
      </c>
      <c r="K159" s="22" t="s">
        <v>4072</v>
      </c>
      <c r="L159" s="22" t="s">
        <v>4198</v>
      </c>
      <c r="M159" s="35">
        <v>99900</v>
      </c>
      <c r="N159" s="35" t="str">
        <f t="shared" si="27"/>
        <v>BXGY</v>
      </c>
      <c r="O159" s="36" t="str">
        <f t="shared" si="28"/>
        <v>B3 DISC 10%</v>
      </c>
      <c r="P159" s="35" t="str">
        <f t="shared" si="29"/>
        <v>BXGY</v>
      </c>
    </row>
    <row r="160" spans="1:16" x14ac:dyDescent="0.25">
      <c r="A160" s="22" t="str">
        <f t="shared" si="24"/>
        <v>2026 JAN - FEB B3D10</v>
      </c>
      <c r="B160" s="8">
        <f t="shared" si="25"/>
        <v>46099</v>
      </c>
      <c r="C160" s="8">
        <f t="shared" si="26"/>
        <v>46113</v>
      </c>
      <c r="D160" s="35">
        <v>3272</v>
      </c>
      <c r="E160" s="35">
        <v>336</v>
      </c>
      <c r="F160" s="35">
        <v>4</v>
      </c>
      <c r="G160" s="22">
        <v>1</v>
      </c>
      <c r="H160" s="22">
        <v>81379</v>
      </c>
      <c r="I160" s="22" t="s">
        <v>104</v>
      </c>
      <c r="J160" s="22">
        <v>68954014</v>
      </c>
      <c r="K160" s="22" t="s">
        <v>4073</v>
      </c>
      <c r="L160" s="22" t="s">
        <v>4199</v>
      </c>
      <c r="M160" s="35">
        <v>99900</v>
      </c>
      <c r="N160" s="35" t="str">
        <f t="shared" si="27"/>
        <v>BXGY</v>
      </c>
      <c r="O160" s="36" t="str">
        <f t="shared" si="28"/>
        <v>B3 DISC 10%</v>
      </c>
      <c r="P160" s="35" t="str">
        <f t="shared" si="29"/>
        <v>BXGY</v>
      </c>
    </row>
    <row r="161" spans="1:16" x14ac:dyDescent="0.25">
      <c r="A161" s="22" t="str">
        <f t="shared" si="24"/>
        <v>2026 JAN - FEB B3D10</v>
      </c>
      <c r="B161" s="8">
        <f t="shared" si="25"/>
        <v>46099</v>
      </c>
      <c r="C161" s="8">
        <f t="shared" si="26"/>
        <v>46113</v>
      </c>
      <c r="D161" s="35">
        <v>3272</v>
      </c>
      <c r="E161" s="35">
        <v>336</v>
      </c>
      <c r="F161" s="35">
        <v>4</v>
      </c>
      <c r="G161" s="22">
        <v>1</v>
      </c>
      <c r="H161" s="22">
        <v>81379</v>
      </c>
      <c r="I161" s="22" t="s">
        <v>104</v>
      </c>
      <c r="J161" s="22">
        <v>68954023</v>
      </c>
      <c r="K161" s="22" t="s">
        <v>4073</v>
      </c>
      <c r="L161" s="22" t="s">
        <v>4200</v>
      </c>
      <c r="M161" s="35">
        <v>99900</v>
      </c>
      <c r="N161" s="35" t="str">
        <f t="shared" si="27"/>
        <v>BXGY</v>
      </c>
      <c r="O161" s="36" t="str">
        <f t="shared" si="28"/>
        <v>B3 DISC 10%</v>
      </c>
      <c r="P161" s="35" t="str">
        <f t="shared" si="29"/>
        <v>BXGY</v>
      </c>
    </row>
    <row r="162" spans="1:16" x14ac:dyDescent="0.25">
      <c r="A162" s="22" t="str">
        <f t="shared" si="24"/>
        <v>2026 JAN - FEB B3D10</v>
      </c>
      <c r="B162" s="8">
        <f t="shared" si="25"/>
        <v>46099</v>
      </c>
      <c r="C162" s="8">
        <f t="shared" si="26"/>
        <v>46113</v>
      </c>
      <c r="D162" s="35">
        <v>3272</v>
      </c>
      <c r="E162" s="35">
        <v>336</v>
      </c>
      <c r="F162" s="35">
        <v>4</v>
      </c>
      <c r="G162" s="22">
        <v>1</v>
      </c>
      <c r="H162" s="22">
        <v>81379</v>
      </c>
      <c r="I162" s="22" t="s">
        <v>104</v>
      </c>
      <c r="J162" s="22">
        <v>68954032</v>
      </c>
      <c r="K162" s="22" t="s">
        <v>4073</v>
      </c>
      <c r="L162" s="22" t="s">
        <v>4201</v>
      </c>
      <c r="M162" s="35">
        <v>99900</v>
      </c>
      <c r="N162" s="35" t="str">
        <f t="shared" si="27"/>
        <v>BXGY</v>
      </c>
      <c r="O162" s="36" t="str">
        <f t="shared" si="28"/>
        <v>B3 DISC 10%</v>
      </c>
      <c r="P162" s="35" t="str">
        <f t="shared" si="29"/>
        <v>BXGY</v>
      </c>
    </row>
    <row r="163" spans="1:16" x14ac:dyDescent="0.25">
      <c r="A163" s="22" t="str">
        <f t="shared" ref="A163:A182" si="30">A162</f>
        <v>2026 JAN - FEB B3D10</v>
      </c>
      <c r="B163" s="8">
        <f t="shared" ref="B163:B182" si="31">B162</f>
        <v>46099</v>
      </c>
      <c r="C163" s="8">
        <f t="shared" ref="C163:C182" si="32">C162</f>
        <v>46113</v>
      </c>
      <c r="D163" s="35">
        <v>3272</v>
      </c>
      <c r="E163" s="35">
        <v>336</v>
      </c>
      <c r="F163" s="35">
        <v>4</v>
      </c>
      <c r="G163" s="22">
        <v>1</v>
      </c>
      <c r="H163" s="22">
        <v>81379</v>
      </c>
      <c r="I163" s="22" t="s">
        <v>104</v>
      </c>
      <c r="J163" s="22">
        <v>68954041</v>
      </c>
      <c r="K163" s="22" t="s">
        <v>4073</v>
      </c>
      <c r="L163" s="22" t="s">
        <v>4202</v>
      </c>
      <c r="M163" s="35">
        <v>99900</v>
      </c>
      <c r="N163" s="35" t="str">
        <f t="shared" ref="N163:N182" si="33">N162</f>
        <v>BXGY</v>
      </c>
      <c r="O163" s="36" t="str">
        <f t="shared" ref="O163:O182" si="34">O162</f>
        <v>B3 DISC 10%</v>
      </c>
      <c r="P163" s="35" t="str">
        <f t="shared" ref="P163:P182" si="35">P162</f>
        <v>BXGY</v>
      </c>
    </row>
    <row r="164" spans="1:16" x14ac:dyDescent="0.25">
      <c r="A164" s="22" t="str">
        <f t="shared" si="30"/>
        <v>2026 JAN - FEB B3D10</v>
      </c>
      <c r="B164" s="8">
        <f t="shared" si="31"/>
        <v>46099</v>
      </c>
      <c r="C164" s="8">
        <f t="shared" si="32"/>
        <v>46113</v>
      </c>
      <c r="D164" s="35">
        <v>3272</v>
      </c>
      <c r="E164" s="35">
        <v>336</v>
      </c>
      <c r="F164" s="35">
        <v>4</v>
      </c>
      <c r="G164" s="22">
        <v>1</v>
      </c>
      <c r="H164" s="22">
        <v>81379</v>
      </c>
      <c r="I164" s="22" t="s">
        <v>104</v>
      </c>
      <c r="J164" s="22">
        <v>68954050</v>
      </c>
      <c r="K164" s="22" t="s">
        <v>4073</v>
      </c>
      <c r="L164" s="22" t="s">
        <v>4203</v>
      </c>
      <c r="M164" s="35">
        <v>99900</v>
      </c>
      <c r="N164" s="35" t="str">
        <f t="shared" si="33"/>
        <v>BXGY</v>
      </c>
      <c r="O164" s="36" t="str">
        <f t="shared" si="34"/>
        <v>B3 DISC 10%</v>
      </c>
      <c r="P164" s="35" t="str">
        <f t="shared" si="35"/>
        <v>BXGY</v>
      </c>
    </row>
    <row r="165" spans="1:16" x14ac:dyDescent="0.25">
      <c r="A165" s="22" t="str">
        <f t="shared" si="30"/>
        <v>2026 JAN - FEB B3D10</v>
      </c>
      <c r="B165" s="8">
        <f t="shared" si="31"/>
        <v>46099</v>
      </c>
      <c r="C165" s="8">
        <f t="shared" si="32"/>
        <v>46113</v>
      </c>
      <c r="D165" s="35">
        <v>3272</v>
      </c>
      <c r="E165" s="35">
        <v>336</v>
      </c>
      <c r="F165" s="35">
        <v>4</v>
      </c>
      <c r="G165" s="22">
        <v>1</v>
      </c>
      <c r="H165" s="22">
        <v>81379</v>
      </c>
      <c r="I165" s="22" t="s">
        <v>104</v>
      </c>
      <c r="J165" s="22">
        <v>68954069</v>
      </c>
      <c r="K165" s="22" t="s">
        <v>4073</v>
      </c>
      <c r="L165" s="22" t="s">
        <v>4204</v>
      </c>
      <c r="M165" s="35">
        <v>99900</v>
      </c>
      <c r="N165" s="35" t="str">
        <f t="shared" si="33"/>
        <v>BXGY</v>
      </c>
      <c r="O165" s="36" t="str">
        <f t="shared" si="34"/>
        <v>B3 DISC 10%</v>
      </c>
      <c r="P165" s="35" t="str">
        <f t="shared" si="35"/>
        <v>BXGY</v>
      </c>
    </row>
    <row r="166" spans="1:16" x14ac:dyDescent="0.25">
      <c r="A166" s="22" t="str">
        <f t="shared" si="30"/>
        <v>2026 JAN - FEB B3D10</v>
      </c>
      <c r="B166" s="8">
        <f t="shared" si="31"/>
        <v>46099</v>
      </c>
      <c r="C166" s="8">
        <f t="shared" si="32"/>
        <v>46113</v>
      </c>
      <c r="D166" s="35">
        <v>3272</v>
      </c>
      <c r="E166" s="35">
        <v>336</v>
      </c>
      <c r="F166" s="35">
        <v>4</v>
      </c>
      <c r="G166" s="22">
        <v>1</v>
      </c>
      <c r="H166" s="22">
        <v>81379</v>
      </c>
      <c r="I166" s="22" t="s">
        <v>104</v>
      </c>
      <c r="J166" s="22">
        <v>68954078</v>
      </c>
      <c r="K166" s="22" t="s">
        <v>4073</v>
      </c>
      <c r="L166" s="22" t="s">
        <v>4205</v>
      </c>
      <c r="M166" s="35">
        <v>99900</v>
      </c>
      <c r="N166" s="35" t="str">
        <f t="shared" si="33"/>
        <v>BXGY</v>
      </c>
      <c r="O166" s="36" t="str">
        <f t="shared" si="34"/>
        <v>B3 DISC 10%</v>
      </c>
      <c r="P166" s="35" t="str">
        <f t="shared" si="35"/>
        <v>BXGY</v>
      </c>
    </row>
    <row r="167" spans="1:16" x14ac:dyDescent="0.25">
      <c r="A167" s="22" t="str">
        <f t="shared" si="30"/>
        <v>2026 JAN - FEB B3D10</v>
      </c>
      <c r="B167" s="8">
        <f t="shared" si="31"/>
        <v>46099</v>
      </c>
      <c r="C167" s="8">
        <f t="shared" si="32"/>
        <v>46113</v>
      </c>
      <c r="D167" s="35">
        <v>3272</v>
      </c>
      <c r="E167" s="35">
        <v>336</v>
      </c>
      <c r="F167" s="35">
        <v>4</v>
      </c>
      <c r="G167" s="22">
        <v>1</v>
      </c>
      <c r="H167" s="22">
        <v>81379</v>
      </c>
      <c r="I167" s="22" t="s">
        <v>104</v>
      </c>
      <c r="J167" s="22">
        <v>68954087</v>
      </c>
      <c r="K167" s="22" t="s">
        <v>4073</v>
      </c>
      <c r="L167" s="22" t="s">
        <v>4206</v>
      </c>
      <c r="M167" s="35">
        <v>99900</v>
      </c>
      <c r="N167" s="35" t="str">
        <f t="shared" si="33"/>
        <v>BXGY</v>
      </c>
      <c r="O167" s="36" t="str">
        <f t="shared" si="34"/>
        <v>B3 DISC 10%</v>
      </c>
      <c r="P167" s="35" t="str">
        <f t="shared" si="35"/>
        <v>BXGY</v>
      </c>
    </row>
    <row r="168" spans="1:16" x14ac:dyDescent="0.25">
      <c r="A168" s="22" t="str">
        <f t="shared" si="30"/>
        <v>2026 JAN - FEB B3D10</v>
      </c>
      <c r="B168" s="8">
        <f t="shared" si="31"/>
        <v>46099</v>
      </c>
      <c r="C168" s="8">
        <f t="shared" si="32"/>
        <v>46113</v>
      </c>
      <c r="D168" s="35">
        <v>3272</v>
      </c>
      <c r="E168" s="35">
        <v>336</v>
      </c>
      <c r="F168" s="35">
        <v>4</v>
      </c>
      <c r="G168" s="22">
        <v>1</v>
      </c>
      <c r="H168" s="22">
        <v>81379</v>
      </c>
      <c r="I168" s="22" t="s">
        <v>104</v>
      </c>
      <c r="J168" s="22">
        <v>68954096</v>
      </c>
      <c r="K168" s="22" t="s">
        <v>4074</v>
      </c>
      <c r="L168" s="22" t="s">
        <v>4207</v>
      </c>
      <c r="M168" s="35">
        <v>99900</v>
      </c>
      <c r="N168" s="35" t="str">
        <f t="shared" si="33"/>
        <v>BXGY</v>
      </c>
      <c r="O168" s="36" t="str">
        <f t="shared" si="34"/>
        <v>B3 DISC 10%</v>
      </c>
      <c r="P168" s="35" t="str">
        <f t="shared" si="35"/>
        <v>BXGY</v>
      </c>
    </row>
    <row r="169" spans="1:16" x14ac:dyDescent="0.25">
      <c r="A169" s="22" t="str">
        <f t="shared" si="30"/>
        <v>2026 JAN - FEB B3D10</v>
      </c>
      <c r="B169" s="8">
        <f t="shared" si="31"/>
        <v>46099</v>
      </c>
      <c r="C169" s="8">
        <f t="shared" si="32"/>
        <v>46113</v>
      </c>
      <c r="D169" s="35">
        <v>3272</v>
      </c>
      <c r="E169" s="35">
        <v>336</v>
      </c>
      <c r="F169" s="35">
        <v>4</v>
      </c>
      <c r="G169" s="22">
        <v>1</v>
      </c>
      <c r="H169" s="22">
        <v>81379</v>
      </c>
      <c r="I169" s="22" t="s">
        <v>104</v>
      </c>
      <c r="J169" s="22">
        <v>68954103</v>
      </c>
      <c r="K169" s="22" t="s">
        <v>4074</v>
      </c>
      <c r="L169" s="22" t="s">
        <v>4208</v>
      </c>
      <c r="M169" s="35">
        <v>99900</v>
      </c>
      <c r="N169" s="35" t="str">
        <f t="shared" si="33"/>
        <v>BXGY</v>
      </c>
      <c r="O169" s="36" t="str">
        <f t="shared" si="34"/>
        <v>B3 DISC 10%</v>
      </c>
      <c r="P169" s="35" t="str">
        <f t="shared" si="35"/>
        <v>BXGY</v>
      </c>
    </row>
    <row r="170" spans="1:16" x14ac:dyDescent="0.25">
      <c r="A170" s="22" t="str">
        <f t="shared" si="30"/>
        <v>2026 JAN - FEB B3D10</v>
      </c>
      <c r="B170" s="8">
        <f t="shared" si="31"/>
        <v>46099</v>
      </c>
      <c r="C170" s="8">
        <f t="shared" si="32"/>
        <v>46113</v>
      </c>
      <c r="D170" s="35">
        <v>3272</v>
      </c>
      <c r="E170" s="35">
        <v>336</v>
      </c>
      <c r="F170" s="35">
        <v>4</v>
      </c>
      <c r="G170" s="22">
        <v>1</v>
      </c>
      <c r="H170" s="22">
        <v>81379</v>
      </c>
      <c r="I170" s="22" t="s">
        <v>104</v>
      </c>
      <c r="J170" s="22">
        <v>68954112</v>
      </c>
      <c r="K170" s="22" t="s">
        <v>4074</v>
      </c>
      <c r="L170" s="22" t="s">
        <v>4209</v>
      </c>
      <c r="M170" s="35">
        <v>99900</v>
      </c>
      <c r="N170" s="35" t="str">
        <f t="shared" si="33"/>
        <v>BXGY</v>
      </c>
      <c r="O170" s="36" t="str">
        <f t="shared" si="34"/>
        <v>B3 DISC 10%</v>
      </c>
      <c r="P170" s="35" t="str">
        <f t="shared" si="35"/>
        <v>BXGY</v>
      </c>
    </row>
    <row r="171" spans="1:16" x14ac:dyDescent="0.25">
      <c r="A171" s="22" t="str">
        <f t="shared" si="30"/>
        <v>2026 JAN - FEB B3D10</v>
      </c>
      <c r="B171" s="8">
        <f t="shared" si="31"/>
        <v>46099</v>
      </c>
      <c r="C171" s="8">
        <f t="shared" si="32"/>
        <v>46113</v>
      </c>
      <c r="D171" s="35">
        <v>3272</v>
      </c>
      <c r="E171" s="35">
        <v>336</v>
      </c>
      <c r="F171" s="35">
        <v>4</v>
      </c>
      <c r="G171" s="22">
        <v>1</v>
      </c>
      <c r="H171" s="22">
        <v>81379</v>
      </c>
      <c r="I171" s="22" t="s">
        <v>104</v>
      </c>
      <c r="J171" s="22">
        <v>68954121</v>
      </c>
      <c r="K171" s="22" t="s">
        <v>4074</v>
      </c>
      <c r="L171" s="22" t="s">
        <v>4210</v>
      </c>
      <c r="M171" s="35">
        <v>99900</v>
      </c>
      <c r="N171" s="35" t="str">
        <f t="shared" si="33"/>
        <v>BXGY</v>
      </c>
      <c r="O171" s="36" t="str">
        <f t="shared" si="34"/>
        <v>B3 DISC 10%</v>
      </c>
      <c r="P171" s="35" t="str">
        <f t="shared" si="35"/>
        <v>BXGY</v>
      </c>
    </row>
    <row r="172" spans="1:16" x14ac:dyDescent="0.25">
      <c r="A172" s="22" t="str">
        <f t="shared" si="30"/>
        <v>2026 JAN - FEB B3D10</v>
      </c>
      <c r="B172" s="8">
        <f t="shared" si="31"/>
        <v>46099</v>
      </c>
      <c r="C172" s="8">
        <f t="shared" si="32"/>
        <v>46113</v>
      </c>
      <c r="D172" s="35">
        <v>3272</v>
      </c>
      <c r="E172" s="35">
        <v>336</v>
      </c>
      <c r="F172" s="35">
        <v>4</v>
      </c>
      <c r="G172" s="22">
        <v>1</v>
      </c>
      <c r="H172" s="22">
        <v>81379</v>
      </c>
      <c r="I172" s="22" t="s">
        <v>104</v>
      </c>
      <c r="J172" s="22">
        <v>68954130</v>
      </c>
      <c r="K172" s="22" t="s">
        <v>4074</v>
      </c>
      <c r="L172" s="22" t="s">
        <v>4211</v>
      </c>
      <c r="M172" s="35">
        <v>99900</v>
      </c>
      <c r="N172" s="35" t="str">
        <f t="shared" si="33"/>
        <v>BXGY</v>
      </c>
      <c r="O172" s="36" t="str">
        <f t="shared" si="34"/>
        <v>B3 DISC 10%</v>
      </c>
      <c r="P172" s="35" t="str">
        <f t="shared" si="35"/>
        <v>BXGY</v>
      </c>
    </row>
    <row r="173" spans="1:16" x14ac:dyDescent="0.25">
      <c r="A173" s="22" t="str">
        <f t="shared" si="30"/>
        <v>2026 JAN - FEB B3D10</v>
      </c>
      <c r="B173" s="8">
        <f t="shared" si="31"/>
        <v>46099</v>
      </c>
      <c r="C173" s="8">
        <f t="shared" si="32"/>
        <v>46113</v>
      </c>
      <c r="D173" s="35">
        <v>3272</v>
      </c>
      <c r="E173" s="35">
        <v>336</v>
      </c>
      <c r="F173" s="35">
        <v>4</v>
      </c>
      <c r="G173" s="22">
        <v>1</v>
      </c>
      <c r="H173" s="22">
        <v>81379</v>
      </c>
      <c r="I173" s="22" t="s">
        <v>104</v>
      </c>
      <c r="J173" s="22">
        <v>68954149</v>
      </c>
      <c r="K173" s="22" t="s">
        <v>4074</v>
      </c>
      <c r="L173" s="22" t="s">
        <v>4212</v>
      </c>
      <c r="M173" s="35">
        <v>99900</v>
      </c>
      <c r="N173" s="35" t="str">
        <f t="shared" si="33"/>
        <v>BXGY</v>
      </c>
      <c r="O173" s="36" t="str">
        <f t="shared" si="34"/>
        <v>B3 DISC 10%</v>
      </c>
      <c r="P173" s="35" t="str">
        <f t="shared" si="35"/>
        <v>BXGY</v>
      </c>
    </row>
    <row r="174" spans="1:16" x14ac:dyDescent="0.25">
      <c r="A174" s="22" t="str">
        <f t="shared" si="30"/>
        <v>2026 JAN - FEB B3D10</v>
      </c>
      <c r="B174" s="8">
        <f t="shared" si="31"/>
        <v>46099</v>
      </c>
      <c r="C174" s="8">
        <f t="shared" si="32"/>
        <v>46113</v>
      </c>
      <c r="D174" s="35">
        <v>3272</v>
      </c>
      <c r="E174" s="35">
        <v>336</v>
      </c>
      <c r="F174" s="35">
        <v>4</v>
      </c>
      <c r="G174" s="22">
        <v>1</v>
      </c>
      <c r="H174" s="22">
        <v>81379</v>
      </c>
      <c r="I174" s="22" t="s">
        <v>104</v>
      </c>
      <c r="J174" s="22">
        <v>68954158</v>
      </c>
      <c r="K174" s="22" t="s">
        <v>4074</v>
      </c>
      <c r="L174" s="22" t="s">
        <v>4213</v>
      </c>
      <c r="M174" s="35">
        <v>99900</v>
      </c>
      <c r="N174" s="35" t="str">
        <f t="shared" si="33"/>
        <v>BXGY</v>
      </c>
      <c r="O174" s="36" t="str">
        <f t="shared" si="34"/>
        <v>B3 DISC 10%</v>
      </c>
      <c r="P174" s="35" t="str">
        <f t="shared" si="35"/>
        <v>BXGY</v>
      </c>
    </row>
    <row r="175" spans="1:16" x14ac:dyDescent="0.25">
      <c r="A175" s="22" t="str">
        <f t="shared" si="30"/>
        <v>2026 JAN - FEB B3D10</v>
      </c>
      <c r="B175" s="8">
        <f t="shared" si="31"/>
        <v>46099</v>
      </c>
      <c r="C175" s="8">
        <f t="shared" si="32"/>
        <v>46113</v>
      </c>
      <c r="D175" s="35">
        <v>3272</v>
      </c>
      <c r="E175" s="35">
        <v>336</v>
      </c>
      <c r="F175" s="35">
        <v>4</v>
      </c>
      <c r="G175" s="22">
        <v>1</v>
      </c>
      <c r="H175" s="22">
        <v>81379</v>
      </c>
      <c r="I175" s="22" t="s">
        <v>104</v>
      </c>
      <c r="J175" s="22">
        <v>68954167</v>
      </c>
      <c r="K175" s="22" t="s">
        <v>4074</v>
      </c>
      <c r="L175" s="22" t="s">
        <v>4214</v>
      </c>
      <c r="M175" s="35">
        <v>99900</v>
      </c>
      <c r="N175" s="35" t="str">
        <f t="shared" si="33"/>
        <v>BXGY</v>
      </c>
      <c r="O175" s="36" t="str">
        <f t="shared" si="34"/>
        <v>B3 DISC 10%</v>
      </c>
      <c r="P175" s="35" t="str">
        <f t="shared" si="35"/>
        <v>BXGY</v>
      </c>
    </row>
    <row r="176" spans="1:16" x14ac:dyDescent="0.25">
      <c r="A176" s="22" t="str">
        <f t="shared" si="30"/>
        <v>2026 JAN - FEB B3D10</v>
      </c>
      <c r="B176" s="8">
        <f t="shared" si="31"/>
        <v>46099</v>
      </c>
      <c r="C176" s="8">
        <f t="shared" si="32"/>
        <v>46113</v>
      </c>
      <c r="D176" s="35">
        <v>3272</v>
      </c>
      <c r="E176" s="35">
        <v>336</v>
      </c>
      <c r="F176" s="35">
        <v>4</v>
      </c>
      <c r="G176" s="22">
        <v>3</v>
      </c>
      <c r="H176" s="22">
        <v>81676</v>
      </c>
      <c r="I176" s="22" t="s">
        <v>104</v>
      </c>
      <c r="J176" s="22">
        <v>55568322</v>
      </c>
      <c r="K176" s="22" t="s">
        <v>4075</v>
      </c>
      <c r="L176" s="22" t="s">
        <v>4215</v>
      </c>
      <c r="M176" s="35">
        <v>179900</v>
      </c>
      <c r="N176" s="35" t="str">
        <f t="shared" si="33"/>
        <v>BXGY</v>
      </c>
      <c r="O176" s="36" t="str">
        <f t="shared" si="34"/>
        <v>B3 DISC 10%</v>
      </c>
      <c r="P176" s="35" t="str">
        <f t="shared" si="35"/>
        <v>BXGY</v>
      </c>
    </row>
    <row r="177" spans="1:16" x14ac:dyDescent="0.25">
      <c r="A177" s="22" t="str">
        <f t="shared" si="30"/>
        <v>2026 JAN - FEB B3D10</v>
      </c>
      <c r="B177" s="8">
        <f t="shared" si="31"/>
        <v>46099</v>
      </c>
      <c r="C177" s="8">
        <f t="shared" si="32"/>
        <v>46113</v>
      </c>
      <c r="D177" s="35">
        <v>3272</v>
      </c>
      <c r="E177" s="35">
        <v>336</v>
      </c>
      <c r="F177" s="35">
        <v>4</v>
      </c>
      <c r="G177" s="22">
        <v>3</v>
      </c>
      <c r="H177" s="22">
        <v>81676</v>
      </c>
      <c r="I177" s="22" t="s">
        <v>104</v>
      </c>
      <c r="J177" s="22">
        <v>55568331</v>
      </c>
      <c r="K177" s="22" t="s">
        <v>4075</v>
      </c>
      <c r="L177" s="22" t="s">
        <v>4216</v>
      </c>
      <c r="M177" s="35">
        <v>179900</v>
      </c>
      <c r="N177" s="35" t="str">
        <f t="shared" si="33"/>
        <v>BXGY</v>
      </c>
      <c r="O177" s="36" t="str">
        <f t="shared" si="34"/>
        <v>B3 DISC 10%</v>
      </c>
      <c r="P177" s="35" t="str">
        <f t="shared" si="35"/>
        <v>BXGY</v>
      </c>
    </row>
    <row r="178" spans="1:16" x14ac:dyDescent="0.25">
      <c r="A178" s="22" t="str">
        <f t="shared" si="30"/>
        <v>2026 JAN - FEB B3D10</v>
      </c>
      <c r="B178" s="8">
        <f t="shared" si="31"/>
        <v>46099</v>
      </c>
      <c r="C178" s="8">
        <f t="shared" si="32"/>
        <v>46113</v>
      </c>
      <c r="D178" s="35">
        <v>3272</v>
      </c>
      <c r="E178" s="35">
        <v>336</v>
      </c>
      <c r="F178" s="35">
        <v>4</v>
      </c>
      <c r="G178" s="22">
        <v>3</v>
      </c>
      <c r="H178" s="22">
        <v>81676</v>
      </c>
      <c r="I178" s="22" t="s">
        <v>104</v>
      </c>
      <c r="J178" s="22">
        <v>55568340</v>
      </c>
      <c r="K178" s="22" t="s">
        <v>4075</v>
      </c>
      <c r="L178" s="22" t="s">
        <v>4217</v>
      </c>
      <c r="M178" s="35">
        <v>179900</v>
      </c>
      <c r="N178" s="35" t="str">
        <f t="shared" si="33"/>
        <v>BXGY</v>
      </c>
      <c r="O178" s="36" t="str">
        <f t="shared" si="34"/>
        <v>B3 DISC 10%</v>
      </c>
      <c r="P178" s="35" t="str">
        <f t="shared" si="35"/>
        <v>BXGY</v>
      </c>
    </row>
    <row r="179" spans="1:16" x14ac:dyDescent="0.25">
      <c r="A179" s="22" t="str">
        <f t="shared" si="30"/>
        <v>2026 JAN - FEB B3D10</v>
      </c>
      <c r="B179" s="8">
        <f t="shared" si="31"/>
        <v>46099</v>
      </c>
      <c r="C179" s="8">
        <f t="shared" si="32"/>
        <v>46113</v>
      </c>
      <c r="D179" s="35">
        <v>3272</v>
      </c>
      <c r="E179" s="35">
        <v>336</v>
      </c>
      <c r="F179" s="35">
        <v>4</v>
      </c>
      <c r="G179" s="22">
        <v>3</v>
      </c>
      <c r="H179" s="22">
        <v>81676</v>
      </c>
      <c r="I179" s="22" t="s">
        <v>104</v>
      </c>
      <c r="J179" s="22">
        <v>55568359</v>
      </c>
      <c r="K179" s="22" t="s">
        <v>4075</v>
      </c>
      <c r="L179" s="22" t="s">
        <v>4218</v>
      </c>
      <c r="M179" s="35">
        <v>179900</v>
      </c>
      <c r="N179" s="35" t="str">
        <f t="shared" si="33"/>
        <v>BXGY</v>
      </c>
      <c r="O179" s="36" t="str">
        <f t="shared" si="34"/>
        <v>B3 DISC 10%</v>
      </c>
      <c r="P179" s="35" t="str">
        <f t="shared" si="35"/>
        <v>BXGY</v>
      </c>
    </row>
    <row r="180" spans="1:16" x14ac:dyDescent="0.25">
      <c r="A180" s="22" t="str">
        <f t="shared" si="30"/>
        <v>2026 JAN - FEB B3D10</v>
      </c>
      <c r="B180" s="8">
        <f t="shared" si="31"/>
        <v>46099</v>
      </c>
      <c r="C180" s="8">
        <f t="shared" si="32"/>
        <v>46113</v>
      </c>
      <c r="D180" s="35">
        <v>3272</v>
      </c>
      <c r="E180" s="35">
        <v>336</v>
      </c>
      <c r="F180" s="35">
        <v>4</v>
      </c>
      <c r="G180" s="22">
        <v>3</v>
      </c>
      <c r="H180" s="22">
        <v>81676</v>
      </c>
      <c r="I180" s="22" t="s">
        <v>104</v>
      </c>
      <c r="J180" s="22">
        <v>55568368</v>
      </c>
      <c r="K180" s="22" t="s">
        <v>4075</v>
      </c>
      <c r="L180" s="22" t="s">
        <v>4219</v>
      </c>
      <c r="M180" s="35">
        <v>179900</v>
      </c>
      <c r="N180" s="35" t="str">
        <f t="shared" si="33"/>
        <v>BXGY</v>
      </c>
      <c r="O180" s="36" t="str">
        <f t="shared" si="34"/>
        <v>B3 DISC 10%</v>
      </c>
      <c r="P180" s="35" t="str">
        <f t="shared" si="35"/>
        <v>BXGY</v>
      </c>
    </row>
    <row r="181" spans="1:16" x14ac:dyDescent="0.25">
      <c r="A181" s="22" t="str">
        <f t="shared" si="30"/>
        <v>2026 JAN - FEB B3D10</v>
      </c>
      <c r="B181" s="8">
        <f t="shared" si="31"/>
        <v>46099</v>
      </c>
      <c r="C181" s="8">
        <f t="shared" si="32"/>
        <v>46113</v>
      </c>
      <c r="D181" s="35">
        <v>3272</v>
      </c>
      <c r="E181" s="35">
        <v>336</v>
      </c>
      <c r="F181" s="35">
        <v>4</v>
      </c>
      <c r="G181" s="22">
        <v>3</v>
      </c>
      <c r="H181" s="22">
        <v>81676</v>
      </c>
      <c r="I181" s="22" t="s">
        <v>104</v>
      </c>
      <c r="J181" s="22">
        <v>55568377</v>
      </c>
      <c r="K181" s="22" t="s">
        <v>4075</v>
      </c>
      <c r="L181" s="22" t="s">
        <v>4220</v>
      </c>
      <c r="M181" s="35">
        <v>179900</v>
      </c>
      <c r="N181" s="35" t="str">
        <f t="shared" si="33"/>
        <v>BXGY</v>
      </c>
      <c r="O181" s="36" t="str">
        <f t="shared" si="34"/>
        <v>B3 DISC 10%</v>
      </c>
      <c r="P181" s="35" t="str">
        <f t="shared" si="35"/>
        <v>BXGY</v>
      </c>
    </row>
    <row r="182" spans="1:16" x14ac:dyDescent="0.25">
      <c r="A182" s="22" t="str">
        <f t="shared" si="30"/>
        <v>2026 JAN - FEB B3D10</v>
      </c>
      <c r="B182" s="8">
        <f t="shared" si="31"/>
        <v>46099</v>
      </c>
      <c r="C182" s="8">
        <f t="shared" si="32"/>
        <v>46113</v>
      </c>
      <c r="D182" s="35">
        <v>3272</v>
      </c>
      <c r="E182" s="35">
        <v>336</v>
      </c>
      <c r="F182" s="35">
        <v>4</v>
      </c>
      <c r="G182" s="22">
        <v>3</v>
      </c>
      <c r="H182" s="22">
        <v>81676</v>
      </c>
      <c r="I182" s="22" t="s">
        <v>104</v>
      </c>
      <c r="J182" s="22">
        <v>55568386</v>
      </c>
      <c r="K182" s="22" t="s">
        <v>4075</v>
      </c>
      <c r="L182" s="22" t="s">
        <v>4221</v>
      </c>
      <c r="M182" s="35">
        <v>179900</v>
      </c>
      <c r="N182" s="35" t="str">
        <f t="shared" si="33"/>
        <v>BXGY</v>
      </c>
      <c r="O182" s="36" t="str">
        <f t="shared" si="34"/>
        <v>B3 DISC 10%</v>
      </c>
      <c r="P182" s="35" t="str">
        <f t="shared" si="35"/>
        <v>BXGY</v>
      </c>
    </row>
    <row r="183" spans="1:16" x14ac:dyDescent="0.25">
      <c r="A183" s="22" t="str">
        <f t="shared" ref="A183:A197" si="36">A182</f>
        <v>2026 JAN - FEB B3D10</v>
      </c>
      <c r="B183" s="8">
        <f t="shared" ref="B183:B197" si="37">B182</f>
        <v>46099</v>
      </c>
      <c r="C183" s="8">
        <f t="shared" ref="C183:C197" si="38">C182</f>
        <v>46113</v>
      </c>
      <c r="D183" s="35">
        <v>3272</v>
      </c>
      <c r="E183" s="35">
        <v>336</v>
      </c>
      <c r="F183" s="35">
        <v>4</v>
      </c>
      <c r="G183" s="22">
        <v>5</v>
      </c>
      <c r="H183" s="22">
        <v>81574</v>
      </c>
      <c r="I183" s="22" t="s">
        <v>104</v>
      </c>
      <c r="J183" s="22">
        <v>68612839</v>
      </c>
      <c r="K183" s="22" t="s">
        <v>4076</v>
      </c>
      <c r="L183" s="22" t="s">
        <v>4222</v>
      </c>
      <c r="M183" s="35">
        <v>179900</v>
      </c>
      <c r="N183" s="35" t="str">
        <f t="shared" ref="N183:N197" si="39">N182</f>
        <v>BXGY</v>
      </c>
      <c r="O183" s="36" t="str">
        <f t="shared" ref="O183:O197" si="40">O182</f>
        <v>B3 DISC 10%</v>
      </c>
      <c r="P183" s="35" t="str">
        <f t="shared" ref="P183:P197" si="41">P182</f>
        <v>BXGY</v>
      </c>
    </row>
    <row r="184" spans="1:16" x14ac:dyDescent="0.25">
      <c r="A184" s="22" t="str">
        <f t="shared" si="36"/>
        <v>2026 JAN - FEB B3D10</v>
      </c>
      <c r="B184" s="8">
        <f t="shared" si="37"/>
        <v>46099</v>
      </c>
      <c r="C184" s="8">
        <f t="shared" si="38"/>
        <v>46113</v>
      </c>
      <c r="D184" s="35">
        <v>3272</v>
      </c>
      <c r="E184" s="35">
        <v>336</v>
      </c>
      <c r="F184" s="35">
        <v>4</v>
      </c>
      <c r="G184" s="22">
        <v>5</v>
      </c>
      <c r="H184" s="22">
        <v>81574</v>
      </c>
      <c r="I184" s="22" t="s">
        <v>104</v>
      </c>
      <c r="J184" s="22">
        <v>68612848</v>
      </c>
      <c r="K184" s="22" t="s">
        <v>4076</v>
      </c>
      <c r="L184" s="22" t="s">
        <v>4223</v>
      </c>
      <c r="M184" s="35">
        <v>179900</v>
      </c>
      <c r="N184" s="35" t="str">
        <f t="shared" si="39"/>
        <v>BXGY</v>
      </c>
      <c r="O184" s="36" t="str">
        <f t="shared" si="40"/>
        <v>B3 DISC 10%</v>
      </c>
      <c r="P184" s="35" t="str">
        <f t="shared" si="41"/>
        <v>BXGY</v>
      </c>
    </row>
    <row r="185" spans="1:16" x14ac:dyDescent="0.25">
      <c r="A185" s="22" t="str">
        <f t="shared" si="36"/>
        <v>2026 JAN - FEB B3D10</v>
      </c>
      <c r="B185" s="8">
        <f t="shared" si="37"/>
        <v>46099</v>
      </c>
      <c r="C185" s="8">
        <f t="shared" si="38"/>
        <v>46113</v>
      </c>
      <c r="D185" s="35">
        <v>3272</v>
      </c>
      <c r="E185" s="35">
        <v>336</v>
      </c>
      <c r="F185" s="35">
        <v>4</v>
      </c>
      <c r="G185" s="22">
        <v>5</v>
      </c>
      <c r="H185" s="22">
        <v>81574</v>
      </c>
      <c r="I185" s="22" t="s">
        <v>104</v>
      </c>
      <c r="J185" s="22">
        <v>68612857</v>
      </c>
      <c r="K185" s="22" t="s">
        <v>4076</v>
      </c>
      <c r="L185" s="22" t="s">
        <v>4224</v>
      </c>
      <c r="M185" s="35">
        <v>179900</v>
      </c>
      <c r="N185" s="35" t="str">
        <f t="shared" si="39"/>
        <v>BXGY</v>
      </c>
      <c r="O185" s="36" t="str">
        <f t="shared" si="40"/>
        <v>B3 DISC 10%</v>
      </c>
      <c r="P185" s="35" t="str">
        <f t="shared" si="41"/>
        <v>BXGY</v>
      </c>
    </row>
    <row r="186" spans="1:16" x14ac:dyDescent="0.25">
      <c r="A186" s="22" t="str">
        <f t="shared" si="36"/>
        <v>2026 JAN - FEB B3D10</v>
      </c>
      <c r="B186" s="8">
        <f t="shared" si="37"/>
        <v>46099</v>
      </c>
      <c r="C186" s="8">
        <f t="shared" si="38"/>
        <v>46113</v>
      </c>
      <c r="D186" s="35">
        <v>3272</v>
      </c>
      <c r="E186" s="35">
        <v>336</v>
      </c>
      <c r="F186" s="35">
        <v>4</v>
      </c>
      <c r="G186" s="22">
        <v>5</v>
      </c>
      <c r="H186" s="22">
        <v>81574</v>
      </c>
      <c r="I186" s="22" t="s">
        <v>104</v>
      </c>
      <c r="J186" s="22">
        <v>68612866</v>
      </c>
      <c r="K186" s="22" t="s">
        <v>4076</v>
      </c>
      <c r="L186" s="22" t="s">
        <v>4225</v>
      </c>
      <c r="M186" s="35">
        <v>179900</v>
      </c>
      <c r="N186" s="35" t="str">
        <f t="shared" si="39"/>
        <v>BXGY</v>
      </c>
      <c r="O186" s="36" t="str">
        <f t="shared" si="40"/>
        <v>B3 DISC 10%</v>
      </c>
      <c r="P186" s="35" t="str">
        <f t="shared" si="41"/>
        <v>BXGY</v>
      </c>
    </row>
    <row r="187" spans="1:16" x14ac:dyDescent="0.25">
      <c r="A187" s="22" t="str">
        <f t="shared" si="36"/>
        <v>2026 JAN - FEB B3D10</v>
      </c>
      <c r="B187" s="8">
        <f t="shared" si="37"/>
        <v>46099</v>
      </c>
      <c r="C187" s="8">
        <f t="shared" si="38"/>
        <v>46113</v>
      </c>
      <c r="D187" s="35">
        <v>3272</v>
      </c>
      <c r="E187" s="35">
        <v>336</v>
      </c>
      <c r="F187" s="35">
        <v>4</v>
      </c>
      <c r="G187" s="22">
        <v>5</v>
      </c>
      <c r="H187" s="22">
        <v>81574</v>
      </c>
      <c r="I187" s="22" t="s">
        <v>104</v>
      </c>
      <c r="J187" s="22">
        <v>68612875</v>
      </c>
      <c r="K187" s="22" t="s">
        <v>4076</v>
      </c>
      <c r="L187" s="22" t="s">
        <v>4226</v>
      </c>
      <c r="M187" s="35">
        <v>179900</v>
      </c>
      <c r="N187" s="35" t="str">
        <f t="shared" si="39"/>
        <v>BXGY</v>
      </c>
      <c r="O187" s="36" t="str">
        <f t="shared" si="40"/>
        <v>B3 DISC 10%</v>
      </c>
      <c r="P187" s="35" t="str">
        <f t="shared" si="41"/>
        <v>BXGY</v>
      </c>
    </row>
    <row r="188" spans="1:16" x14ac:dyDescent="0.25">
      <c r="A188" s="22" t="str">
        <f t="shared" si="36"/>
        <v>2026 JAN - FEB B3D10</v>
      </c>
      <c r="B188" s="8">
        <f t="shared" si="37"/>
        <v>46099</v>
      </c>
      <c r="C188" s="8">
        <f t="shared" si="38"/>
        <v>46113</v>
      </c>
      <c r="D188" s="35">
        <v>3272</v>
      </c>
      <c r="E188" s="35">
        <v>336</v>
      </c>
      <c r="F188" s="35">
        <v>4</v>
      </c>
      <c r="G188" s="22">
        <v>5</v>
      </c>
      <c r="H188" s="22">
        <v>81574</v>
      </c>
      <c r="I188" s="22" t="s">
        <v>104</v>
      </c>
      <c r="J188" s="22">
        <v>68612884</v>
      </c>
      <c r="K188" s="22" t="s">
        <v>4076</v>
      </c>
      <c r="L188" s="22" t="s">
        <v>4227</v>
      </c>
      <c r="M188" s="35">
        <v>179900</v>
      </c>
      <c r="N188" s="35" t="str">
        <f t="shared" si="39"/>
        <v>BXGY</v>
      </c>
      <c r="O188" s="36" t="str">
        <f t="shared" si="40"/>
        <v>B3 DISC 10%</v>
      </c>
      <c r="P188" s="35" t="str">
        <f t="shared" si="41"/>
        <v>BXGY</v>
      </c>
    </row>
    <row r="189" spans="1:16" x14ac:dyDescent="0.25">
      <c r="A189" s="22" t="str">
        <f t="shared" si="36"/>
        <v>2026 JAN - FEB B3D10</v>
      </c>
      <c r="B189" s="8">
        <f t="shared" si="37"/>
        <v>46099</v>
      </c>
      <c r="C189" s="8">
        <f t="shared" si="38"/>
        <v>46113</v>
      </c>
      <c r="D189" s="35">
        <v>3272</v>
      </c>
      <c r="E189" s="35">
        <v>336</v>
      </c>
      <c r="F189" s="35">
        <v>4</v>
      </c>
      <c r="G189" s="22">
        <v>5</v>
      </c>
      <c r="H189" s="22">
        <v>81574</v>
      </c>
      <c r="I189" s="22" t="s">
        <v>104</v>
      </c>
      <c r="J189" s="22">
        <v>68612893</v>
      </c>
      <c r="K189" s="22" t="s">
        <v>4076</v>
      </c>
      <c r="L189" s="22" t="s">
        <v>4228</v>
      </c>
      <c r="M189" s="35">
        <v>179900</v>
      </c>
      <c r="N189" s="35" t="str">
        <f t="shared" si="39"/>
        <v>BXGY</v>
      </c>
      <c r="O189" s="36" t="str">
        <f t="shared" si="40"/>
        <v>B3 DISC 10%</v>
      </c>
      <c r="P189" s="35" t="str">
        <f t="shared" si="41"/>
        <v>BXGY</v>
      </c>
    </row>
    <row r="190" spans="1:16" x14ac:dyDescent="0.25">
      <c r="A190" s="22" t="str">
        <f t="shared" si="36"/>
        <v>2026 JAN - FEB B3D10</v>
      </c>
      <c r="B190" s="8">
        <f t="shared" si="37"/>
        <v>46099</v>
      </c>
      <c r="C190" s="8">
        <f t="shared" si="38"/>
        <v>46113</v>
      </c>
      <c r="D190" s="35">
        <v>3272</v>
      </c>
      <c r="E190" s="35">
        <v>336</v>
      </c>
      <c r="F190" s="35">
        <v>4</v>
      </c>
      <c r="G190" s="22">
        <v>5</v>
      </c>
      <c r="H190" s="22">
        <v>81574</v>
      </c>
      <c r="I190" s="22" t="s">
        <v>104</v>
      </c>
      <c r="J190" s="22">
        <v>68612900</v>
      </c>
      <c r="K190" s="22" t="s">
        <v>4076</v>
      </c>
      <c r="L190" s="22" t="s">
        <v>4229</v>
      </c>
      <c r="M190" s="35">
        <v>179900</v>
      </c>
      <c r="N190" s="35" t="str">
        <f t="shared" si="39"/>
        <v>BXGY</v>
      </c>
      <c r="O190" s="36" t="str">
        <f t="shared" si="40"/>
        <v>B3 DISC 10%</v>
      </c>
      <c r="P190" s="35" t="str">
        <f t="shared" si="41"/>
        <v>BXGY</v>
      </c>
    </row>
    <row r="191" spans="1:16" x14ac:dyDescent="0.25">
      <c r="A191" s="22" t="str">
        <f t="shared" si="36"/>
        <v>2026 JAN - FEB B3D10</v>
      </c>
      <c r="B191" s="8">
        <f t="shared" si="37"/>
        <v>46099</v>
      </c>
      <c r="C191" s="8">
        <f t="shared" si="38"/>
        <v>46113</v>
      </c>
      <c r="D191" s="35">
        <v>3272</v>
      </c>
      <c r="E191" s="35">
        <v>336</v>
      </c>
      <c r="F191" s="35">
        <v>4</v>
      </c>
      <c r="G191" s="22">
        <v>5</v>
      </c>
      <c r="H191" s="22">
        <v>81676</v>
      </c>
      <c r="I191" s="22" t="s">
        <v>104</v>
      </c>
      <c r="J191" s="22">
        <v>68613963</v>
      </c>
      <c r="K191" s="22" t="s">
        <v>4077</v>
      </c>
      <c r="L191" s="22" t="s">
        <v>4230</v>
      </c>
      <c r="M191" s="35">
        <v>149900</v>
      </c>
      <c r="N191" s="35" t="str">
        <f t="shared" si="39"/>
        <v>BXGY</v>
      </c>
      <c r="O191" s="36" t="str">
        <f t="shared" si="40"/>
        <v>B3 DISC 10%</v>
      </c>
      <c r="P191" s="35" t="str">
        <f t="shared" si="41"/>
        <v>BXGY</v>
      </c>
    </row>
    <row r="192" spans="1:16" x14ac:dyDescent="0.25">
      <c r="A192" s="22" t="str">
        <f t="shared" si="36"/>
        <v>2026 JAN - FEB B3D10</v>
      </c>
      <c r="B192" s="8">
        <f t="shared" si="37"/>
        <v>46099</v>
      </c>
      <c r="C192" s="8">
        <f t="shared" si="38"/>
        <v>46113</v>
      </c>
      <c r="D192" s="35">
        <v>3272</v>
      </c>
      <c r="E192" s="35">
        <v>336</v>
      </c>
      <c r="F192" s="35">
        <v>4</v>
      </c>
      <c r="G192" s="22">
        <v>5</v>
      </c>
      <c r="H192" s="22">
        <v>81676</v>
      </c>
      <c r="I192" s="22" t="s">
        <v>104</v>
      </c>
      <c r="J192" s="22">
        <v>68613972</v>
      </c>
      <c r="K192" s="22" t="s">
        <v>4077</v>
      </c>
      <c r="L192" s="22" t="s">
        <v>4231</v>
      </c>
      <c r="M192" s="35">
        <v>149900</v>
      </c>
      <c r="N192" s="35" t="str">
        <f t="shared" si="39"/>
        <v>BXGY</v>
      </c>
      <c r="O192" s="36" t="str">
        <f t="shared" si="40"/>
        <v>B3 DISC 10%</v>
      </c>
      <c r="P192" s="35" t="str">
        <f t="shared" si="41"/>
        <v>BXGY</v>
      </c>
    </row>
    <row r="193" spans="1:16" x14ac:dyDescent="0.25">
      <c r="A193" s="22" t="str">
        <f t="shared" si="36"/>
        <v>2026 JAN - FEB B3D10</v>
      </c>
      <c r="B193" s="8">
        <f t="shared" si="37"/>
        <v>46099</v>
      </c>
      <c r="C193" s="8">
        <f t="shared" si="38"/>
        <v>46113</v>
      </c>
      <c r="D193" s="35">
        <v>3272</v>
      </c>
      <c r="E193" s="35">
        <v>336</v>
      </c>
      <c r="F193" s="35">
        <v>4</v>
      </c>
      <c r="G193" s="22">
        <v>5</v>
      </c>
      <c r="H193" s="22">
        <v>81676</v>
      </c>
      <c r="I193" s="22" t="s">
        <v>104</v>
      </c>
      <c r="J193" s="22">
        <v>68613981</v>
      </c>
      <c r="K193" s="22" t="s">
        <v>4077</v>
      </c>
      <c r="L193" s="22" t="s">
        <v>4232</v>
      </c>
      <c r="M193" s="35">
        <v>149900</v>
      </c>
      <c r="N193" s="35" t="str">
        <f t="shared" si="39"/>
        <v>BXGY</v>
      </c>
      <c r="O193" s="36" t="str">
        <f t="shared" si="40"/>
        <v>B3 DISC 10%</v>
      </c>
      <c r="P193" s="35" t="str">
        <f t="shared" si="41"/>
        <v>BXGY</v>
      </c>
    </row>
    <row r="194" spans="1:16" x14ac:dyDescent="0.25">
      <c r="A194" s="22" t="str">
        <f t="shared" si="36"/>
        <v>2026 JAN - FEB B3D10</v>
      </c>
      <c r="B194" s="8">
        <f t="shared" si="37"/>
        <v>46099</v>
      </c>
      <c r="C194" s="8">
        <f t="shared" si="38"/>
        <v>46113</v>
      </c>
      <c r="D194" s="35">
        <v>3272</v>
      </c>
      <c r="E194" s="35">
        <v>336</v>
      </c>
      <c r="F194" s="35">
        <v>4</v>
      </c>
      <c r="G194" s="22">
        <v>5</v>
      </c>
      <c r="H194" s="22">
        <v>81676</v>
      </c>
      <c r="I194" s="22" t="s">
        <v>104</v>
      </c>
      <c r="J194" s="22">
        <v>68613990</v>
      </c>
      <c r="K194" s="22" t="s">
        <v>4077</v>
      </c>
      <c r="L194" s="22" t="s">
        <v>4233</v>
      </c>
      <c r="M194" s="35">
        <v>149900</v>
      </c>
      <c r="N194" s="35" t="str">
        <f t="shared" si="39"/>
        <v>BXGY</v>
      </c>
      <c r="O194" s="36" t="str">
        <f t="shared" si="40"/>
        <v>B3 DISC 10%</v>
      </c>
      <c r="P194" s="35" t="str">
        <f t="shared" si="41"/>
        <v>BXGY</v>
      </c>
    </row>
    <row r="195" spans="1:16" x14ac:dyDescent="0.25">
      <c r="A195" s="22" t="str">
        <f t="shared" si="36"/>
        <v>2026 JAN - FEB B3D10</v>
      </c>
      <c r="B195" s="8">
        <f t="shared" si="37"/>
        <v>46099</v>
      </c>
      <c r="C195" s="8">
        <f t="shared" si="38"/>
        <v>46113</v>
      </c>
      <c r="D195" s="35">
        <v>3272</v>
      </c>
      <c r="E195" s="35">
        <v>336</v>
      </c>
      <c r="F195" s="35">
        <v>4</v>
      </c>
      <c r="G195" s="22">
        <v>5</v>
      </c>
      <c r="H195" s="22">
        <v>81676</v>
      </c>
      <c r="I195" s="22" t="s">
        <v>104</v>
      </c>
      <c r="J195" s="22">
        <v>68614006</v>
      </c>
      <c r="K195" s="22" t="s">
        <v>4077</v>
      </c>
      <c r="L195" s="22" t="s">
        <v>4234</v>
      </c>
      <c r="M195" s="35">
        <v>149900</v>
      </c>
      <c r="N195" s="35" t="str">
        <f t="shared" si="39"/>
        <v>BXGY</v>
      </c>
      <c r="O195" s="36" t="str">
        <f t="shared" si="40"/>
        <v>B3 DISC 10%</v>
      </c>
      <c r="P195" s="35" t="str">
        <f t="shared" si="41"/>
        <v>BXGY</v>
      </c>
    </row>
    <row r="196" spans="1:16" x14ac:dyDescent="0.25">
      <c r="A196" s="22" t="str">
        <f t="shared" si="36"/>
        <v>2026 JAN - FEB B3D10</v>
      </c>
      <c r="B196" s="8">
        <f t="shared" si="37"/>
        <v>46099</v>
      </c>
      <c r="C196" s="8">
        <f t="shared" si="38"/>
        <v>46113</v>
      </c>
      <c r="D196" s="35">
        <v>3272</v>
      </c>
      <c r="E196" s="35">
        <v>336</v>
      </c>
      <c r="F196" s="35">
        <v>4</v>
      </c>
      <c r="G196" s="22">
        <v>5</v>
      </c>
      <c r="H196" s="22">
        <v>81676</v>
      </c>
      <c r="I196" s="22" t="s">
        <v>104</v>
      </c>
      <c r="J196" s="22">
        <v>68614015</v>
      </c>
      <c r="K196" s="22" t="s">
        <v>4077</v>
      </c>
      <c r="L196" s="22" t="s">
        <v>4235</v>
      </c>
      <c r="M196" s="35">
        <v>149900</v>
      </c>
      <c r="N196" s="35" t="str">
        <f t="shared" si="39"/>
        <v>BXGY</v>
      </c>
      <c r="O196" s="36" t="str">
        <f t="shared" si="40"/>
        <v>B3 DISC 10%</v>
      </c>
      <c r="P196" s="35" t="str">
        <f t="shared" si="41"/>
        <v>BXGY</v>
      </c>
    </row>
    <row r="197" spans="1:16" x14ac:dyDescent="0.25">
      <c r="A197" s="22" t="str">
        <f t="shared" si="36"/>
        <v>2026 JAN - FEB B3D10</v>
      </c>
      <c r="B197" s="8">
        <f t="shared" si="37"/>
        <v>46099</v>
      </c>
      <c r="C197" s="8">
        <f t="shared" si="38"/>
        <v>46113</v>
      </c>
      <c r="D197" s="35">
        <v>3272</v>
      </c>
      <c r="E197" s="35">
        <v>336</v>
      </c>
      <c r="F197" s="35">
        <v>4</v>
      </c>
      <c r="G197" s="22">
        <v>5</v>
      </c>
      <c r="H197" s="22">
        <v>81676</v>
      </c>
      <c r="I197" s="22" t="s">
        <v>104</v>
      </c>
      <c r="J197" s="22">
        <v>68614024</v>
      </c>
      <c r="K197" s="22" t="s">
        <v>4077</v>
      </c>
      <c r="L197" s="22" t="s">
        <v>4236</v>
      </c>
      <c r="M197" s="35">
        <v>149900</v>
      </c>
      <c r="N197" s="35" t="str">
        <f t="shared" si="39"/>
        <v>BXGY</v>
      </c>
      <c r="O197" s="36" t="str">
        <f t="shared" si="40"/>
        <v>B3 DISC 10%</v>
      </c>
      <c r="P197" s="35" t="str">
        <f t="shared" si="41"/>
        <v>BXGY</v>
      </c>
    </row>
  </sheetData>
  <conditionalFormatting sqref="J1">
    <cfRule type="duplicateValues" dxfId="25" priority="13"/>
    <cfRule type="duplicateValues" dxfId="24" priority="14"/>
    <cfRule type="duplicateValues" dxfId="23" priority="15"/>
    <cfRule type="duplicateValues" dxfId="22" priority="16"/>
  </conditionalFormatting>
  <conditionalFormatting sqref="J1:J1048576">
    <cfRule type="duplicateValues" dxfId="21" priority="17"/>
    <cfRule type="duplicateValues" dxfId="20" priority="316"/>
    <cfRule type="duplicateValues" dxfId="19" priority="317"/>
    <cfRule type="duplicateValues" dxfId="18" priority="318"/>
    <cfRule type="duplicateValues" dxfId="17" priority="319"/>
    <cfRule type="duplicateValues" dxfId="16" priority="320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D8A4-515B-4C34-978C-B67CACFC4426}">
  <sheetPr>
    <tabColor rgb="FFFFFF00"/>
  </sheetPr>
  <dimension ref="A1:P17"/>
  <sheetViews>
    <sheetView topLeftCell="D4" workbookViewId="0">
      <selection activeCell="C3" sqref="C3"/>
    </sheetView>
  </sheetViews>
  <sheetFormatPr defaultRowHeight="15" x14ac:dyDescent="0.25"/>
  <cols>
    <col min="1" max="1" width="25.140625" bestFit="1" customWidth="1"/>
    <col min="2" max="2" width="11.42578125" bestFit="1" customWidth="1"/>
    <col min="3" max="3" width="10.42578125" bestFit="1" customWidth="1"/>
    <col min="9" max="9" width="11.42578125" bestFit="1" customWidth="1"/>
    <col min="12" max="12" width="64.7109375" bestFit="1" customWidth="1"/>
    <col min="16" max="16" width="15.140625" bestFit="1" customWidth="1"/>
  </cols>
  <sheetData>
    <row r="1" spans="1:16" x14ac:dyDescent="0.25">
      <c r="A1" s="50" t="s">
        <v>0</v>
      </c>
      <c r="B1" s="51" t="s">
        <v>1</v>
      </c>
      <c r="C1" s="51" t="s">
        <v>2</v>
      </c>
      <c r="D1" s="50" t="s">
        <v>3</v>
      </c>
      <c r="E1" s="50" t="s">
        <v>4</v>
      </c>
      <c r="F1" s="50" t="s">
        <v>5</v>
      </c>
      <c r="G1" s="52" t="s">
        <v>6</v>
      </c>
      <c r="H1" s="52" t="s">
        <v>7</v>
      </c>
      <c r="I1" s="50" t="s">
        <v>8</v>
      </c>
      <c r="J1" s="50" t="s">
        <v>9</v>
      </c>
      <c r="K1" s="50" t="s">
        <v>10</v>
      </c>
      <c r="L1" s="53" t="s">
        <v>11</v>
      </c>
      <c r="M1" s="54" t="s">
        <v>12</v>
      </c>
      <c r="N1" s="55" t="s">
        <v>13</v>
      </c>
      <c r="O1" s="54" t="s">
        <v>14</v>
      </c>
      <c r="P1" s="50" t="s">
        <v>15</v>
      </c>
    </row>
    <row r="2" spans="1:16" x14ac:dyDescent="0.25">
      <c r="A2" t="s">
        <v>4327</v>
      </c>
      <c r="B2" s="11">
        <f>'2019 ALL D95'!B2</f>
        <v>46099</v>
      </c>
      <c r="C2" s="11">
        <f>'2019 ALL D95'!C2</f>
        <v>46113</v>
      </c>
      <c r="D2" s="6">
        <v>3272</v>
      </c>
      <c r="E2" s="6">
        <v>336</v>
      </c>
      <c r="F2" s="56">
        <v>4</v>
      </c>
      <c r="G2">
        <v>2</v>
      </c>
      <c r="H2" s="24">
        <v>81574</v>
      </c>
      <c r="I2" t="s">
        <v>104</v>
      </c>
      <c r="J2" s="24">
        <v>68217801</v>
      </c>
      <c r="K2" t="s">
        <v>4245</v>
      </c>
      <c r="L2" t="s">
        <v>4246</v>
      </c>
      <c r="M2" s="57">
        <v>179900</v>
      </c>
      <c r="N2" s="67">
        <v>0.6</v>
      </c>
      <c r="O2" s="58">
        <f>M2-((60*M2)/100)</f>
        <v>71960</v>
      </c>
      <c r="P2" s="24" t="s">
        <v>16</v>
      </c>
    </row>
    <row r="3" spans="1:16" x14ac:dyDescent="0.25">
      <c r="A3" t="str">
        <f>A2</f>
        <v xml:space="preserve">2026 BAMUS D60 </v>
      </c>
      <c r="B3" s="59">
        <f>B2</f>
        <v>46099</v>
      </c>
      <c r="C3" s="60">
        <f>C2</f>
        <v>46113</v>
      </c>
      <c r="D3" s="6">
        <v>3272</v>
      </c>
      <c r="E3" s="6">
        <v>336</v>
      </c>
      <c r="F3" s="56">
        <v>4</v>
      </c>
      <c r="G3">
        <v>2</v>
      </c>
      <c r="H3" s="24">
        <v>81574</v>
      </c>
      <c r="I3" t="s">
        <v>104</v>
      </c>
      <c r="J3" s="24">
        <v>68217810</v>
      </c>
      <c r="K3" t="str">
        <f>K2</f>
        <v>KBBTM-2</v>
      </c>
      <c r="L3" t="s">
        <v>4247</v>
      </c>
      <c r="M3" s="57">
        <v>179900</v>
      </c>
      <c r="N3" s="67">
        <f>N2</f>
        <v>0.6</v>
      </c>
      <c r="O3" s="58">
        <f t="shared" ref="O3:O17" si="0">M3-((60*M3)/100)</f>
        <v>71960</v>
      </c>
      <c r="P3" s="24" t="s">
        <v>16</v>
      </c>
    </row>
    <row r="4" spans="1:16" x14ac:dyDescent="0.25">
      <c r="A4" t="str">
        <f t="shared" ref="A4:C17" si="1">A3</f>
        <v xml:space="preserve">2026 BAMUS D60 </v>
      </c>
      <c r="B4" s="59">
        <f t="shared" si="1"/>
        <v>46099</v>
      </c>
      <c r="C4" s="60">
        <f t="shared" si="1"/>
        <v>46113</v>
      </c>
      <c r="D4" s="6">
        <v>3272</v>
      </c>
      <c r="E4" s="6">
        <v>336</v>
      </c>
      <c r="F4" s="56">
        <v>4</v>
      </c>
      <c r="G4">
        <f>G3</f>
        <v>2</v>
      </c>
      <c r="H4" s="24">
        <v>81574</v>
      </c>
      <c r="I4" t="s">
        <v>104</v>
      </c>
      <c r="J4" s="61">
        <v>68217829</v>
      </c>
      <c r="K4" t="str">
        <f t="shared" ref="K4:K9" si="2">K3</f>
        <v>KBBTM-2</v>
      </c>
      <c r="L4" t="s">
        <v>4248</v>
      </c>
      <c r="M4" s="57">
        <v>179900</v>
      </c>
      <c r="N4" s="67">
        <f t="shared" ref="N4:N17" si="3">N3</f>
        <v>0.6</v>
      </c>
      <c r="O4" s="58">
        <f t="shared" si="0"/>
        <v>71960</v>
      </c>
      <c r="P4" s="24" t="s">
        <v>16</v>
      </c>
    </row>
    <row r="5" spans="1:16" x14ac:dyDescent="0.25">
      <c r="A5" t="str">
        <f t="shared" si="1"/>
        <v xml:space="preserve">2026 BAMUS D60 </v>
      </c>
      <c r="B5" s="59">
        <f t="shared" si="1"/>
        <v>46099</v>
      </c>
      <c r="C5" s="60">
        <f t="shared" si="1"/>
        <v>46113</v>
      </c>
      <c r="D5" s="6">
        <v>3272</v>
      </c>
      <c r="E5" s="6">
        <v>336</v>
      </c>
      <c r="F5" s="56">
        <v>4</v>
      </c>
      <c r="G5">
        <f t="shared" ref="G5:H17" si="4">G4</f>
        <v>2</v>
      </c>
      <c r="H5" s="24">
        <v>81574</v>
      </c>
      <c r="I5" t="s">
        <v>104</v>
      </c>
      <c r="J5" s="61">
        <v>68217838</v>
      </c>
      <c r="K5" t="str">
        <f t="shared" si="2"/>
        <v>KBBTM-2</v>
      </c>
      <c r="L5" t="s">
        <v>4249</v>
      </c>
      <c r="M5" s="57">
        <v>179900</v>
      </c>
      <c r="N5" s="67">
        <f t="shared" si="3"/>
        <v>0.6</v>
      </c>
      <c r="O5" s="58">
        <f t="shared" si="0"/>
        <v>71960</v>
      </c>
      <c r="P5" s="24" t="s">
        <v>16</v>
      </c>
    </row>
    <row r="6" spans="1:16" x14ac:dyDescent="0.25">
      <c r="A6" t="str">
        <f t="shared" si="1"/>
        <v xml:space="preserve">2026 BAMUS D60 </v>
      </c>
      <c r="B6" s="59">
        <f t="shared" si="1"/>
        <v>46099</v>
      </c>
      <c r="C6" s="60">
        <f t="shared" si="1"/>
        <v>46113</v>
      </c>
      <c r="D6" s="6">
        <v>3272</v>
      </c>
      <c r="E6" s="6">
        <v>336</v>
      </c>
      <c r="F6" s="56">
        <v>4</v>
      </c>
      <c r="G6">
        <f t="shared" si="4"/>
        <v>2</v>
      </c>
      <c r="H6" s="24">
        <v>81574</v>
      </c>
      <c r="I6" t="s">
        <v>104</v>
      </c>
      <c r="J6" s="24">
        <v>68217847</v>
      </c>
      <c r="K6" t="str">
        <f t="shared" si="2"/>
        <v>KBBTM-2</v>
      </c>
      <c r="L6" t="s">
        <v>4250</v>
      </c>
      <c r="M6" s="57">
        <v>179900</v>
      </c>
      <c r="N6" s="67">
        <f t="shared" si="3"/>
        <v>0.6</v>
      </c>
      <c r="O6" s="58">
        <f t="shared" si="0"/>
        <v>71960</v>
      </c>
      <c r="P6" s="24" t="s">
        <v>16</v>
      </c>
    </row>
    <row r="7" spans="1:16" x14ac:dyDescent="0.25">
      <c r="A7" t="str">
        <f t="shared" si="1"/>
        <v xml:space="preserve">2026 BAMUS D60 </v>
      </c>
      <c r="B7" s="59">
        <f t="shared" si="1"/>
        <v>46099</v>
      </c>
      <c r="C7" s="60">
        <f t="shared" si="1"/>
        <v>46113</v>
      </c>
      <c r="D7" s="6">
        <v>3272</v>
      </c>
      <c r="E7" s="6">
        <v>336</v>
      </c>
      <c r="F7" s="56">
        <v>4</v>
      </c>
      <c r="G7">
        <f t="shared" si="4"/>
        <v>2</v>
      </c>
      <c r="H7" s="24">
        <v>81574</v>
      </c>
      <c r="I7" t="s">
        <v>104</v>
      </c>
      <c r="J7" s="24">
        <v>68217856</v>
      </c>
      <c r="K7" t="str">
        <f t="shared" si="2"/>
        <v>KBBTM-2</v>
      </c>
      <c r="L7" t="s">
        <v>4251</v>
      </c>
      <c r="M7" s="57">
        <v>179900</v>
      </c>
      <c r="N7" s="67">
        <f t="shared" si="3"/>
        <v>0.6</v>
      </c>
      <c r="O7" s="58">
        <f t="shared" si="0"/>
        <v>71960</v>
      </c>
      <c r="P7" s="24" t="s">
        <v>16</v>
      </c>
    </row>
    <row r="8" spans="1:16" x14ac:dyDescent="0.25">
      <c r="A8" t="str">
        <f t="shared" si="1"/>
        <v xml:space="preserve">2026 BAMUS D60 </v>
      </c>
      <c r="B8" s="59">
        <f t="shared" si="1"/>
        <v>46099</v>
      </c>
      <c r="C8" s="60">
        <f t="shared" si="1"/>
        <v>46113</v>
      </c>
      <c r="D8" s="6">
        <v>3272</v>
      </c>
      <c r="E8" s="6">
        <v>336</v>
      </c>
      <c r="F8" s="56">
        <v>4</v>
      </c>
      <c r="G8">
        <f t="shared" si="4"/>
        <v>2</v>
      </c>
      <c r="H8" s="24">
        <v>81574</v>
      </c>
      <c r="I8" t="s">
        <v>104</v>
      </c>
      <c r="J8" s="61">
        <v>68217865</v>
      </c>
      <c r="K8" t="str">
        <f t="shared" si="2"/>
        <v>KBBTM-2</v>
      </c>
      <c r="L8" t="s">
        <v>4252</v>
      </c>
      <c r="M8" s="57">
        <v>179900</v>
      </c>
      <c r="N8" s="67">
        <f t="shared" si="3"/>
        <v>0.6</v>
      </c>
      <c r="O8" s="58">
        <f t="shared" si="0"/>
        <v>71960</v>
      </c>
      <c r="P8" s="24" t="s">
        <v>16</v>
      </c>
    </row>
    <row r="9" spans="1:16" x14ac:dyDescent="0.25">
      <c r="A9" t="str">
        <f t="shared" si="1"/>
        <v xml:space="preserve">2026 BAMUS D60 </v>
      </c>
      <c r="B9" s="59">
        <f t="shared" si="1"/>
        <v>46099</v>
      </c>
      <c r="C9" s="60">
        <f t="shared" si="1"/>
        <v>46113</v>
      </c>
      <c r="D9" s="6">
        <v>3272</v>
      </c>
      <c r="E9" s="6">
        <v>336</v>
      </c>
      <c r="F9" s="56">
        <v>4</v>
      </c>
      <c r="G9">
        <f t="shared" si="4"/>
        <v>2</v>
      </c>
      <c r="H9" s="24">
        <v>81574</v>
      </c>
      <c r="I9" t="s">
        <v>104</v>
      </c>
      <c r="J9" s="61">
        <v>68217874</v>
      </c>
      <c r="K9" t="str">
        <f t="shared" si="2"/>
        <v>KBBTM-2</v>
      </c>
      <c r="L9" t="s">
        <v>4253</v>
      </c>
      <c r="M9" s="57">
        <v>179900</v>
      </c>
      <c r="N9" s="67">
        <f t="shared" si="3"/>
        <v>0.6</v>
      </c>
      <c r="O9" s="58">
        <f t="shared" si="0"/>
        <v>71960</v>
      </c>
      <c r="P9" s="24" t="s">
        <v>16</v>
      </c>
    </row>
    <row r="10" spans="1:16" x14ac:dyDescent="0.25">
      <c r="A10" t="str">
        <f t="shared" si="1"/>
        <v xml:space="preserve">2026 BAMUS D60 </v>
      </c>
      <c r="B10" s="59">
        <f t="shared" si="1"/>
        <v>46099</v>
      </c>
      <c r="C10" s="60">
        <f t="shared" si="1"/>
        <v>46113</v>
      </c>
      <c r="D10" s="6">
        <v>3272</v>
      </c>
      <c r="E10" s="6">
        <v>336</v>
      </c>
      <c r="F10" s="56">
        <v>4</v>
      </c>
      <c r="G10">
        <f t="shared" si="4"/>
        <v>2</v>
      </c>
      <c r="H10" s="24">
        <f>H9</f>
        <v>81574</v>
      </c>
      <c r="I10" t="s">
        <v>104</v>
      </c>
      <c r="J10" s="24">
        <v>68217883</v>
      </c>
      <c r="K10" t="s">
        <v>4254</v>
      </c>
      <c r="L10" t="s">
        <v>4255</v>
      </c>
      <c r="M10" s="57">
        <v>179900</v>
      </c>
      <c r="N10" s="67">
        <f t="shared" si="3"/>
        <v>0.6</v>
      </c>
      <c r="O10" s="58">
        <f t="shared" si="0"/>
        <v>71960</v>
      </c>
      <c r="P10" s="24" t="s">
        <v>16</v>
      </c>
    </row>
    <row r="11" spans="1:16" x14ac:dyDescent="0.25">
      <c r="A11" t="str">
        <f t="shared" si="1"/>
        <v xml:space="preserve">2026 BAMUS D60 </v>
      </c>
      <c r="B11" s="59">
        <f t="shared" si="1"/>
        <v>46099</v>
      </c>
      <c r="C11" s="60">
        <f t="shared" si="1"/>
        <v>46113</v>
      </c>
      <c r="D11" s="6">
        <v>3272</v>
      </c>
      <c r="E11" s="6">
        <v>336</v>
      </c>
      <c r="F11" s="56">
        <v>4</v>
      </c>
      <c r="G11">
        <f t="shared" si="4"/>
        <v>2</v>
      </c>
      <c r="H11" s="24">
        <f t="shared" si="4"/>
        <v>81574</v>
      </c>
      <c r="I11" t="s">
        <v>104</v>
      </c>
      <c r="J11" s="24">
        <v>68217892</v>
      </c>
      <c r="K11" t="str">
        <f>K10</f>
        <v>KBBTM-6</v>
      </c>
      <c r="L11" t="s">
        <v>4256</v>
      </c>
      <c r="M11" s="57">
        <v>179900</v>
      </c>
      <c r="N11" s="67">
        <f t="shared" si="3"/>
        <v>0.6</v>
      </c>
      <c r="O11" s="58">
        <f t="shared" si="0"/>
        <v>71960</v>
      </c>
      <c r="P11" s="24" t="s">
        <v>16</v>
      </c>
    </row>
    <row r="12" spans="1:16" x14ac:dyDescent="0.25">
      <c r="A12" t="str">
        <f t="shared" si="1"/>
        <v xml:space="preserve">2026 BAMUS D60 </v>
      </c>
      <c r="B12" s="59">
        <f t="shared" si="1"/>
        <v>46099</v>
      </c>
      <c r="C12" s="60">
        <f t="shared" si="1"/>
        <v>46113</v>
      </c>
      <c r="D12" s="6">
        <v>3272</v>
      </c>
      <c r="E12" s="6">
        <v>336</v>
      </c>
      <c r="F12" s="56">
        <v>4</v>
      </c>
      <c r="G12">
        <f t="shared" si="4"/>
        <v>2</v>
      </c>
      <c r="H12" s="24">
        <f t="shared" si="4"/>
        <v>81574</v>
      </c>
      <c r="I12" t="s">
        <v>104</v>
      </c>
      <c r="J12" s="61">
        <v>68217909</v>
      </c>
      <c r="K12" t="str">
        <f t="shared" ref="K12:K17" si="5">K11</f>
        <v>KBBTM-6</v>
      </c>
      <c r="L12" t="s">
        <v>4257</v>
      </c>
      <c r="M12" s="57">
        <v>179900</v>
      </c>
      <c r="N12" s="67">
        <f t="shared" si="3"/>
        <v>0.6</v>
      </c>
      <c r="O12" s="58">
        <f t="shared" si="0"/>
        <v>71960</v>
      </c>
      <c r="P12" s="24" t="s">
        <v>16</v>
      </c>
    </row>
    <row r="13" spans="1:16" x14ac:dyDescent="0.25">
      <c r="A13" t="str">
        <f t="shared" si="1"/>
        <v xml:space="preserve">2026 BAMUS D60 </v>
      </c>
      <c r="B13" s="59">
        <f t="shared" si="1"/>
        <v>46099</v>
      </c>
      <c r="C13" s="60">
        <f t="shared" si="1"/>
        <v>46113</v>
      </c>
      <c r="D13" s="6">
        <v>3272</v>
      </c>
      <c r="E13" s="6">
        <v>336</v>
      </c>
      <c r="F13" s="56">
        <v>4</v>
      </c>
      <c r="G13">
        <f t="shared" si="4"/>
        <v>2</v>
      </c>
      <c r="H13" s="24">
        <f t="shared" si="4"/>
        <v>81574</v>
      </c>
      <c r="I13" t="s">
        <v>104</v>
      </c>
      <c r="J13" s="61">
        <v>68217918</v>
      </c>
      <c r="K13" t="str">
        <f t="shared" si="5"/>
        <v>KBBTM-6</v>
      </c>
      <c r="L13" t="s">
        <v>4258</v>
      </c>
      <c r="M13" s="57">
        <v>179900</v>
      </c>
      <c r="N13" s="67">
        <f t="shared" si="3"/>
        <v>0.6</v>
      </c>
      <c r="O13" s="58">
        <f t="shared" si="0"/>
        <v>71960</v>
      </c>
      <c r="P13" s="24" t="s">
        <v>16</v>
      </c>
    </row>
    <row r="14" spans="1:16" x14ac:dyDescent="0.25">
      <c r="A14" t="str">
        <f t="shared" si="1"/>
        <v xml:space="preserve">2026 BAMUS D60 </v>
      </c>
      <c r="B14" s="59">
        <f t="shared" si="1"/>
        <v>46099</v>
      </c>
      <c r="C14" s="60">
        <f t="shared" si="1"/>
        <v>46113</v>
      </c>
      <c r="D14" s="6">
        <v>3272</v>
      </c>
      <c r="E14" s="6">
        <v>336</v>
      </c>
      <c r="F14" s="56">
        <v>4</v>
      </c>
      <c r="G14">
        <f t="shared" si="4"/>
        <v>2</v>
      </c>
      <c r="H14" s="24">
        <f t="shared" si="4"/>
        <v>81574</v>
      </c>
      <c r="I14" t="s">
        <v>104</v>
      </c>
      <c r="J14" s="24">
        <v>68217927</v>
      </c>
      <c r="K14" t="str">
        <f t="shared" si="5"/>
        <v>KBBTM-6</v>
      </c>
      <c r="L14" t="s">
        <v>4259</v>
      </c>
      <c r="M14" s="57">
        <v>179900</v>
      </c>
      <c r="N14" s="67">
        <f t="shared" si="3"/>
        <v>0.6</v>
      </c>
      <c r="O14" s="58">
        <f t="shared" si="0"/>
        <v>71960</v>
      </c>
      <c r="P14" s="24" t="s">
        <v>16</v>
      </c>
    </row>
    <row r="15" spans="1:16" x14ac:dyDescent="0.25">
      <c r="A15" t="str">
        <f t="shared" si="1"/>
        <v xml:space="preserve">2026 BAMUS D60 </v>
      </c>
      <c r="B15" s="59">
        <f t="shared" si="1"/>
        <v>46099</v>
      </c>
      <c r="C15" s="60">
        <f t="shared" si="1"/>
        <v>46113</v>
      </c>
      <c r="D15" s="6">
        <v>3272</v>
      </c>
      <c r="E15" s="6">
        <v>336</v>
      </c>
      <c r="F15" s="56">
        <v>4</v>
      </c>
      <c r="G15">
        <f t="shared" si="4"/>
        <v>2</v>
      </c>
      <c r="H15" s="24">
        <f t="shared" si="4"/>
        <v>81574</v>
      </c>
      <c r="I15" t="s">
        <v>104</v>
      </c>
      <c r="J15" s="24">
        <v>68217936</v>
      </c>
      <c r="K15" t="str">
        <f t="shared" si="5"/>
        <v>KBBTM-6</v>
      </c>
      <c r="L15" t="s">
        <v>4260</v>
      </c>
      <c r="M15" s="57">
        <v>179900</v>
      </c>
      <c r="N15" s="67">
        <f t="shared" si="3"/>
        <v>0.6</v>
      </c>
      <c r="O15" s="58">
        <f t="shared" si="0"/>
        <v>71960</v>
      </c>
      <c r="P15" s="24" t="s">
        <v>16</v>
      </c>
    </row>
    <row r="16" spans="1:16" x14ac:dyDescent="0.25">
      <c r="A16" t="str">
        <f t="shared" si="1"/>
        <v xml:space="preserve">2026 BAMUS D60 </v>
      </c>
      <c r="B16" s="59">
        <f t="shared" si="1"/>
        <v>46099</v>
      </c>
      <c r="C16" s="60">
        <f t="shared" si="1"/>
        <v>46113</v>
      </c>
      <c r="D16" s="6">
        <v>3272</v>
      </c>
      <c r="E16" s="6">
        <v>336</v>
      </c>
      <c r="F16" s="56">
        <v>4</v>
      </c>
      <c r="G16">
        <f t="shared" si="4"/>
        <v>2</v>
      </c>
      <c r="H16" s="24">
        <f t="shared" si="4"/>
        <v>81574</v>
      </c>
      <c r="I16" t="s">
        <v>104</v>
      </c>
      <c r="J16" s="61">
        <v>68217945</v>
      </c>
      <c r="K16" t="str">
        <f t="shared" si="5"/>
        <v>KBBTM-6</v>
      </c>
      <c r="L16" t="s">
        <v>4261</v>
      </c>
      <c r="M16" s="57">
        <v>179900</v>
      </c>
      <c r="N16" s="67">
        <f t="shared" si="3"/>
        <v>0.6</v>
      </c>
      <c r="O16" s="58">
        <f t="shared" si="0"/>
        <v>71960</v>
      </c>
      <c r="P16" s="24" t="s">
        <v>16</v>
      </c>
    </row>
    <row r="17" spans="1:16" x14ac:dyDescent="0.25">
      <c r="A17" t="str">
        <f t="shared" si="1"/>
        <v xml:space="preserve">2026 BAMUS D60 </v>
      </c>
      <c r="B17" s="59">
        <f t="shared" si="1"/>
        <v>46099</v>
      </c>
      <c r="C17" s="60">
        <f t="shared" si="1"/>
        <v>46113</v>
      </c>
      <c r="D17" s="6">
        <v>3272</v>
      </c>
      <c r="E17" s="6">
        <v>336</v>
      </c>
      <c r="F17" s="56">
        <v>4</v>
      </c>
      <c r="G17">
        <f t="shared" si="4"/>
        <v>2</v>
      </c>
      <c r="H17" s="24">
        <f t="shared" si="4"/>
        <v>81574</v>
      </c>
      <c r="I17" t="s">
        <v>104</v>
      </c>
      <c r="J17" s="61">
        <v>68217954</v>
      </c>
      <c r="K17" t="str">
        <f t="shared" si="5"/>
        <v>KBBTM-6</v>
      </c>
      <c r="L17" t="s">
        <v>4262</v>
      </c>
      <c r="M17" s="57">
        <v>179900</v>
      </c>
      <c r="N17" s="67">
        <f t="shared" si="3"/>
        <v>0.6</v>
      </c>
      <c r="O17" s="58">
        <f t="shared" si="0"/>
        <v>71960</v>
      </c>
      <c r="P17" s="24" t="s">
        <v>16</v>
      </c>
    </row>
  </sheetData>
  <conditionalFormatting sqref="J1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71DA-394B-458A-BD3D-C11435E4950C}">
  <dimension ref="A1:P62"/>
  <sheetViews>
    <sheetView workbookViewId="0">
      <selection activeCell="C3" sqref="C3"/>
    </sheetView>
  </sheetViews>
  <sheetFormatPr defaultRowHeight="15" x14ac:dyDescent="0.25"/>
  <cols>
    <col min="2" max="2" width="11.42578125" bestFit="1" customWidth="1"/>
    <col min="3" max="3" width="10.42578125" bestFit="1" customWidth="1"/>
  </cols>
  <sheetData>
    <row r="1" spans="1:16" x14ac:dyDescent="0.25">
      <c r="A1" s="53" t="s">
        <v>0</v>
      </c>
      <c r="B1" s="62" t="s">
        <v>1</v>
      </c>
      <c r="C1" s="62" t="s">
        <v>2</v>
      </c>
      <c r="D1" s="53" t="s">
        <v>3</v>
      </c>
      <c r="E1" s="53" t="s">
        <v>4</v>
      </c>
      <c r="F1" s="53" t="s">
        <v>5</v>
      </c>
      <c r="G1" s="63" t="s">
        <v>6</v>
      </c>
      <c r="H1" s="63" t="s">
        <v>7</v>
      </c>
      <c r="I1" s="53" t="s">
        <v>8</v>
      </c>
      <c r="J1" s="63" t="s">
        <v>9</v>
      </c>
      <c r="K1" s="50" t="s">
        <v>10</v>
      </c>
      <c r="L1" s="53" t="s">
        <v>11</v>
      </c>
      <c r="M1" s="64" t="s">
        <v>12</v>
      </c>
      <c r="N1" s="65" t="s">
        <v>13</v>
      </c>
      <c r="O1" s="66" t="s">
        <v>14</v>
      </c>
      <c r="P1" s="53" t="s">
        <v>15</v>
      </c>
    </row>
    <row r="2" spans="1:16" x14ac:dyDescent="0.25">
      <c r="A2" s="24" t="s">
        <v>4263</v>
      </c>
      <c r="B2" s="11">
        <f>'2019 ALL D95'!B2</f>
        <v>46099</v>
      </c>
      <c r="C2" s="11">
        <f>'2019 ALL D95'!C2</f>
        <v>46113</v>
      </c>
      <c r="D2" s="24">
        <v>3272</v>
      </c>
      <c r="E2" s="24">
        <f>'[1]2025 AUG B1G1'!E64</f>
        <v>336</v>
      </c>
      <c r="F2" s="24">
        <f>'[1]2025 AUG B1G1'!F64</f>
        <v>4</v>
      </c>
      <c r="G2" s="24">
        <v>2</v>
      </c>
      <c r="H2" s="24">
        <v>81574</v>
      </c>
      <c r="I2" s="24" t="s">
        <v>104</v>
      </c>
      <c r="J2" s="24">
        <v>68217963</v>
      </c>
      <c r="K2" s="6" t="s">
        <v>4264</v>
      </c>
      <c r="L2" s="29" t="s">
        <v>4265</v>
      </c>
      <c r="M2" s="58">
        <v>179900</v>
      </c>
      <c r="N2" s="6" t="s">
        <v>618</v>
      </c>
      <c r="O2" s="6" t="s">
        <v>4266</v>
      </c>
      <c r="P2" s="6" t="s">
        <v>618</v>
      </c>
    </row>
    <row r="3" spans="1:16" x14ac:dyDescent="0.25">
      <c r="A3" s="24" t="str">
        <f t="shared" ref="A3:G18" si="0">A2</f>
        <v>2026 HILITE B1 D20 B2G1</v>
      </c>
      <c r="B3" s="11">
        <f t="shared" si="0"/>
        <v>46099</v>
      </c>
      <c r="C3" s="11">
        <f t="shared" si="0"/>
        <v>46113</v>
      </c>
      <c r="D3" s="24">
        <f t="shared" si="0"/>
        <v>3272</v>
      </c>
      <c r="E3" s="24">
        <f t="shared" si="0"/>
        <v>336</v>
      </c>
      <c r="F3" s="24">
        <f t="shared" si="0"/>
        <v>4</v>
      </c>
      <c r="G3" s="24">
        <v>2</v>
      </c>
      <c r="H3" s="24">
        <v>81574</v>
      </c>
      <c r="I3" s="24" t="s">
        <v>104</v>
      </c>
      <c r="J3" s="24">
        <v>68217972</v>
      </c>
      <c r="K3" s="6" t="s">
        <v>4264</v>
      </c>
      <c r="L3" s="29" t="s">
        <v>4265</v>
      </c>
      <c r="M3" s="58">
        <f t="shared" ref="M3:M9" si="1">M2</f>
        <v>179900</v>
      </c>
      <c r="N3" s="6" t="s">
        <v>618</v>
      </c>
      <c r="O3" s="6" t="str">
        <f>O2</f>
        <v>B1 DISC 20% B2G1</v>
      </c>
      <c r="P3" s="6" t="s">
        <v>618</v>
      </c>
    </row>
    <row r="4" spans="1:16" x14ac:dyDescent="0.25">
      <c r="A4" s="24" t="str">
        <f t="shared" si="0"/>
        <v>2026 HILITE B1 D20 B2G1</v>
      </c>
      <c r="B4" s="11">
        <f t="shared" si="0"/>
        <v>46099</v>
      </c>
      <c r="C4" s="11">
        <f t="shared" si="0"/>
        <v>46113</v>
      </c>
      <c r="D4" s="24">
        <f t="shared" si="0"/>
        <v>3272</v>
      </c>
      <c r="E4" s="24">
        <f t="shared" si="0"/>
        <v>336</v>
      </c>
      <c r="F4" s="24">
        <f t="shared" si="0"/>
        <v>4</v>
      </c>
      <c r="G4" s="24">
        <v>2</v>
      </c>
      <c r="H4" s="24">
        <v>81574</v>
      </c>
      <c r="I4" s="24" t="s">
        <v>104</v>
      </c>
      <c r="J4" s="24">
        <v>68217981</v>
      </c>
      <c r="K4" s="6" t="s">
        <v>4264</v>
      </c>
      <c r="L4" s="29" t="s">
        <v>4265</v>
      </c>
      <c r="M4" s="58">
        <f t="shared" si="1"/>
        <v>179900</v>
      </c>
      <c r="N4" s="6" t="s">
        <v>618</v>
      </c>
      <c r="O4" s="6" t="str">
        <f t="shared" ref="O4:O62" si="2">O3</f>
        <v>B1 DISC 20% B2G1</v>
      </c>
      <c r="P4" s="6" t="s">
        <v>618</v>
      </c>
    </row>
    <row r="5" spans="1:16" x14ac:dyDescent="0.25">
      <c r="A5" s="24" t="str">
        <f t="shared" si="0"/>
        <v>2026 HILITE B1 D20 B2G1</v>
      </c>
      <c r="B5" s="11">
        <f t="shared" si="0"/>
        <v>46099</v>
      </c>
      <c r="C5" s="11">
        <f t="shared" si="0"/>
        <v>46113</v>
      </c>
      <c r="D5" s="24">
        <f t="shared" si="0"/>
        <v>3272</v>
      </c>
      <c r="E5" s="24">
        <f t="shared" si="0"/>
        <v>336</v>
      </c>
      <c r="F5" s="24">
        <f t="shared" si="0"/>
        <v>4</v>
      </c>
      <c r="G5" s="24">
        <v>2</v>
      </c>
      <c r="H5" s="24">
        <v>81574</v>
      </c>
      <c r="I5" s="24" t="s">
        <v>104</v>
      </c>
      <c r="J5" s="24">
        <v>68217990</v>
      </c>
      <c r="K5" s="6" t="s">
        <v>4264</v>
      </c>
      <c r="L5" s="29" t="s">
        <v>4265</v>
      </c>
      <c r="M5" s="58">
        <f t="shared" si="1"/>
        <v>179900</v>
      </c>
      <c r="N5" s="6" t="s">
        <v>618</v>
      </c>
      <c r="O5" s="6" t="str">
        <f t="shared" si="2"/>
        <v>B1 DISC 20% B2G1</v>
      </c>
      <c r="P5" s="6" t="s">
        <v>618</v>
      </c>
    </row>
    <row r="6" spans="1:16" x14ac:dyDescent="0.25">
      <c r="A6" s="24" t="str">
        <f t="shared" si="0"/>
        <v>2026 HILITE B1 D20 B2G1</v>
      </c>
      <c r="B6" s="11">
        <f t="shared" si="0"/>
        <v>46099</v>
      </c>
      <c r="C6" s="11">
        <f t="shared" si="0"/>
        <v>46113</v>
      </c>
      <c r="D6" s="24">
        <f t="shared" si="0"/>
        <v>3272</v>
      </c>
      <c r="E6" s="24">
        <f t="shared" si="0"/>
        <v>336</v>
      </c>
      <c r="F6" s="24">
        <f t="shared" si="0"/>
        <v>4</v>
      </c>
      <c r="G6" s="24">
        <v>2</v>
      </c>
      <c r="H6" s="24">
        <v>81574</v>
      </c>
      <c r="I6" s="24" t="s">
        <v>104</v>
      </c>
      <c r="J6" s="24">
        <v>68218006</v>
      </c>
      <c r="K6" s="6" t="s">
        <v>4264</v>
      </c>
      <c r="L6" s="29" t="s">
        <v>4265</v>
      </c>
      <c r="M6" s="58">
        <f t="shared" si="1"/>
        <v>179900</v>
      </c>
      <c r="N6" s="6" t="s">
        <v>618</v>
      </c>
      <c r="O6" s="6" t="str">
        <f t="shared" si="2"/>
        <v>B1 DISC 20% B2G1</v>
      </c>
      <c r="P6" s="6" t="s">
        <v>618</v>
      </c>
    </row>
    <row r="7" spans="1:16" x14ac:dyDescent="0.25">
      <c r="A7" s="24" t="str">
        <f t="shared" si="0"/>
        <v>2026 HILITE B1 D20 B2G1</v>
      </c>
      <c r="B7" s="11">
        <f t="shared" si="0"/>
        <v>46099</v>
      </c>
      <c r="C7" s="11">
        <f t="shared" si="0"/>
        <v>46113</v>
      </c>
      <c r="D7" s="24">
        <f t="shared" si="0"/>
        <v>3272</v>
      </c>
      <c r="E7" s="24">
        <f t="shared" si="0"/>
        <v>336</v>
      </c>
      <c r="F7" s="24">
        <f t="shared" si="0"/>
        <v>4</v>
      </c>
      <c r="G7" s="24">
        <v>2</v>
      </c>
      <c r="H7" s="24">
        <v>81574</v>
      </c>
      <c r="I7" s="24" t="s">
        <v>104</v>
      </c>
      <c r="J7" s="24">
        <v>68218015</v>
      </c>
      <c r="K7" s="6" t="s">
        <v>4264</v>
      </c>
      <c r="L7" s="29" t="s">
        <v>4265</v>
      </c>
      <c r="M7" s="58">
        <f t="shared" si="1"/>
        <v>179900</v>
      </c>
      <c r="N7" s="6" t="s">
        <v>618</v>
      </c>
      <c r="O7" s="6" t="str">
        <f t="shared" si="2"/>
        <v>B1 DISC 20% B2G1</v>
      </c>
      <c r="P7" s="6" t="s">
        <v>618</v>
      </c>
    </row>
    <row r="8" spans="1:16" x14ac:dyDescent="0.25">
      <c r="A8" s="24" t="str">
        <f t="shared" si="0"/>
        <v>2026 HILITE B1 D20 B2G1</v>
      </c>
      <c r="B8" s="11">
        <f t="shared" si="0"/>
        <v>46099</v>
      </c>
      <c r="C8" s="11">
        <f t="shared" si="0"/>
        <v>46113</v>
      </c>
      <c r="D8" s="24">
        <f t="shared" si="0"/>
        <v>3272</v>
      </c>
      <c r="E8" s="24">
        <f t="shared" si="0"/>
        <v>336</v>
      </c>
      <c r="F8" s="24">
        <f t="shared" si="0"/>
        <v>4</v>
      </c>
      <c r="G8" s="24">
        <v>2</v>
      </c>
      <c r="H8" s="24">
        <v>81574</v>
      </c>
      <c r="I8" s="24" t="s">
        <v>104</v>
      </c>
      <c r="J8" s="24">
        <v>68218024</v>
      </c>
      <c r="K8" s="6" t="s">
        <v>4264</v>
      </c>
      <c r="L8" s="29" t="s">
        <v>4265</v>
      </c>
      <c r="M8" s="58">
        <f t="shared" si="1"/>
        <v>179900</v>
      </c>
      <c r="N8" s="6" t="s">
        <v>618</v>
      </c>
      <c r="O8" s="6" t="str">
        <f t="shared" si="2"/>
        <v>B1 DISC 20% B2G1</v>
      </c>
      <c r="P8" s="6" t="s">
        <v>618</v>
      </c>
    </row>
    <row r="9" spans="1:16" x14ac:dyDescent="0.25">
      <c r="A9" s="24" t="str">
        <f t="shared" si="0"/>
        <v>2026 HILITE B1 D20 B2G1</v>
      </c>
      <c r="B9" s="11">
        <f t="shared" si="0"/>
        <v>46099</v>
      </c>
      <c r="C9" s="11">
        <f t="shared" si="0"/>
        <v>46113</v>
      </c>
      <c r="D9" s="24">
        <f t="shared" si="0"/>
        <v>3272</v>
      </c>
      <c r="E9" s="24">
        <f t="shared" si="0"/>
        <v>336</v>
      </c>
      <c r="F9" s="24">
        <f t="shared" si="0"/>
        <v>4</v>
      </c>
      <c r="G9" s="24">
        <v>2</v>
      </c>
      <c r="H9" s="24">
        <v>81574</v>
      </c>
      <c r="I9" s="24" t="s">
        <v>104</v>
      </c>
      <c r="J9" s="24">
        <v>68218033</v>
      </c>
      <c r="K9" s="6" t="s">
        <v>4264</v>
      </c>
      <c r="L9" s="29" t="s">
        <v>4265</v>
      </c>
      <c r="M9" s="58">
        <f t="shared" si="1"/>
        <v>179900</v>
      </c>
      <c r="N9" s="6" t="s">
        <v>618</v>
      </c>
      <c r="O9" s="6" t="str">
        <f t="shared" si="2"/>
        <v>B1 DISC 20% B2G1</v>
      </c>
      <c r="P9" s="6" t="s">
        <v>618</v>
      </c>
    </row>
    <row r="10" spans="1:16" x14ac:dyDescent="0.25">
      <c r="A10" s="24" t="str">
        <f t="shared" si="0"/>
        <v>2026 HILITE B1 D20 B2G1</v>
      </c>
      <c r="B10" s="11">
        <f t="shared" si="0"/>
        <v>46099</v>
      </c>
      <c r="C10" s="11">
        <f t="shared" si="0"/>
        <v>46113</v>
      </c>
      <c r="D10" s="24">
        <f t="shared" si="0"/>
        <v>3272</v>
      </c>
      <c r="E10" s="24">
        <f t="shared" si="0"/>
        <v>336</v>
      </c>
      <c r="F10" s="24">
        <f t="shared" si="0"/>
        <v>4</v>
      </c>
      <c r="G10" s="24">
        <f t="shared" si="0"/>
        <v>2</v>
      </c>
      <c r="H10" s="24">
        <v>81574</v>
      </c>
      <c r="I10" s="24" t="s">
        <v>104</v>
      </c>
      <c r="J10">
        <v>68218042</v>
      </c>
      <c r="K10" s="6" t="s">
        <v>4267</v>
      </c>
      <c r="L10" t="s">
        <v>4268</v>
      </c>
      <c r="M10" s="58">
        <v>199000</v>
      </c>
      <c r="N10" s="6" t="s">
        <v>618</v>
      </c>
      <c r="O10" s="6" t="str">
        <f t="shared" si="2"/>
        <v>B1 DISC 20% B2G1</v>
      </c>
      <c r="P10" s="6" t="s">
        <v>618</v>
      </c>
    </row>
    <row r="11" spans="1:16" x14ac:dyDescent="0.25">
      <c r="A11" s="24" t="str">
        <f t="shared" si="0"/>
        <v>2026 HILITE B1 D20 B2G1</v>
      </c>
      <c r="B11" s="11">
        <f t="shared" si="0"/>
        <v>46099</v>
      </c>
      <c r="C11" s="11">
        <f t="shared" si="0"/>
        <v>46113</v>
      </c>
      <c r="D11" s="24">
        <f t="shared" si="0"/>
        <v>3272</v>
      </c>
      <c r="E11" s="24">
        <f t="shared" si="0"/>
        <v>336</v>
      </c>
      <c r="F11" s="24">
        <f t="shared" si="0"/>
        <v>4</v>
      </c>
      <c r="G11" s="24">
        <f t="shared" si="0"/>
        <v>2</v>
      </c>
      <c r="H11" s="24">
        <v>81574</v>
      </c>
      <c r="I11" s="24" t="s">
        <v>104</v>
      </c>
      <c r="J11">
        <v>68218051</v>
      </c>
      <c r="K11" s="6" t="s">
        <v>4267</v>
      </c>
      <c r="L11" t="s">
        <v>4269</v>
      </c>
      <c r="M11" s="58">
        <f t="shared" ref="M11:M17" si="3">M10</f>
        <v>199000</v>
      </c>
      <c r="N11" s="6" t="s">
        <v>618</v>
      </c>
      <c r="O11" s="6" t="str">
        <f t="shared" si="2"/>
        <v>B1 DISC 20% B2G1</v>
      </c>
      <c r="P11" s="6" t="s">
        <v>618</v>
      </c>
    </row>
    <row r="12" spans="1:16" x14ac:dyDescent="0.25">
      <c r="A12" s="24" t="str">
        <f t="shared" si="0"/>
        <v>2026 HILITE B1 D20 B2G1</v>
      </c>
      <c r="B12" s="11">
        <f t="shared" si="0"/>
        <v>46099</v>
      </c>
      <c r="C12" s="11">
        <f t="shared" si="0"/>
        <v>46113</v>
      </c>
      <c r="D12" s="24">
        <f t="shared" si="0"/>
        <v>3272</v>
      </c>
      <c r="E12" s="24">
        <f t="shared" si="0"/>
        <v>336</v>
      </c>
      <c r="F12" s="24">
        <f t="shared" si="0"/>
        <v>4</v>
      </c>
      <c r="G12" s="24">
        <f t="shared" si="0"/>
        <v>2</v>
      </c>
      <c r="H12" s="24">
        <v>81574</v>
      </c>
      <c r="I12" s="24" t="s">
        <v>104</v>
      </c>
      <c r="J12">
        <v>68218060</v>
      </c>
      <c r="K12" s="6" t="s">
        <v>4267</v>
      </c>
      <c r="L12" t="s">
        <v>4270</v>
      </c>
      <c r="M12" s="58">
        <f t="shared" si="3"/>
        <v>199000</v>
      </c>
      <c r="N12" s="6" t="s">
        <v>618</v>
      </c>
      <c r="O12" s="6" t="str">
        <f t="shared" si="2"/>
        <v>B1 DISC 20% B2G1</v>
      </c>
      <c r="P12" s="6" t="s">
        <v>618</v>
      </c>
    </row>
    <row r="13" spans="1:16" x14ac:dyDescent="0.25">
      <c r="A13" s="24" t="str">
        <f t="shared" si="0"/>
        <v>2026 HILITE B1 D20 B2G1</v>
      </c>
      <c r="B13" s="11">
        <f t="shared" si="0"/>
        <v>46099</v>
      </c>
      <c r="C13" s="11">
        <f t="shared" si="0"/>
        <v>46113</v>
      </c>
      <c r="D13" s="24">
        <f t="shared" si="0"/>
        <v>3272</v>
      </c>
      <c r="E13" s="24">
        <f t="shared" si="0"/>
        <v>336</v>
      </c>
      <c r="F13" s="24">
        <f t="shared" si="0"/>
        <v>4</v>
      </c>
      <c r="G13" s="24">
        <f t="shared" si="0"/>
        <v>2</v>
      </c>
      <c r="H13" s="24">
        <v>81574</v>
      </c>
      <c r="I13" s="24" t="s">
        <v>104</v>
      </c>
      <c r="J13">
        <v>68218079</v>
      </c>
      <c r="K13" s="6" t="s">
        <v>4267</v>
      </c>
      <c r="L13" t="s">
        <v>4271</v>
      </c>
      <c r="M13" s="58">
        <f t="shared" si="3"/>
        <v>199000</v>
      </c>
      <c r="N13" s="6" t="s">
        <v>618</v>
      </c>
      <c r="O13" s="6" t="str">
        <f t="shared" si="2"/>
        <v>B1 DISC 20% B2G1</v>
      </c>
      <c r="P13" s="6" t="s">
        <v>618</v>
      </c>
    </row>
    <row r="14" spans="1:16" x14ac:dyDescent="0.25">
      <c r="A14" s="24" t="str">
        <f t="shared" si="0"/>
        <v>2026 HILITE B1 D20 B2G1</v>
      </c>
      <c r="B14" s="11">
        <f t="shared" si="0"/>
        <v>46099</v>
      </c>
      <c r="C14" s="11">
        <f t="shared" si="0"/>
        <v>46113</v>
      </c>
      <c r="D14" s="24">
        <f t="shared" si="0"/>
        <v>3272</v>
      </c>
      <c r="E14" s="24">
        <f t="shared" si="0"/>
        <v>336</v>
      </c>
      <c r="F14" s="24">
        <f t="shared" si="0"/>
        <v>4</v>
      </c>
      <c r="G14" s="24">
        <f t="shared" si="0"/>
        <v>2</v>
      </c>
      <c r="H14" s="24">
        <v>81574</v>
      </c>
      <c r="I14" s="24" t="s">
        <v>104</v>
      </c>
      <c r="J14">
        <v>68218088</v>
      </c>
      <c r="K14" s="6" t="s">
        <v>4267</v>
      </c>
      <c r="L14" t="s">
        <v>4272</v>
      </c>
      <c r="M14" s="58">
        <f t="shared" si="3"/>
        <v>199000</v>
      </c>
      <c r="N14" s="6" t="s">
        <v>618</v>
      </c>
      <c r="O14" s="6" t="str">
        <f t="shared" si="2"/>
        <v>B1 DISC 20% B2G1</v>
      </c>
      <c r="P14" s="6" t="s">
        <v>618</v>
      </c>
    </row>
    <row r="15" spans="1:16" x14ac:dyDescent="0.25">
      <c r="A15" s="24" t="str">
        <f t="shared" si="0"/>
        <v>2026 HILITE B1 D20 B2G1</v>
      </c>
      <c r="B15" s="11">
        <f t="shared" si="0"/>
        <v>46099</v>
      </c>
      <c r="C15" s="11">
        <f t="shared" si="0"/>
        <v>46113</v>
      </c>
      <c r="D15" s="24">
        <f t="shared" si="0"/>
        <v>3272</v>
      </c>
      <c r="E15" s="24">
        <f t="shared" si="0"/>
        <v>336</v>
      </c>
      <c r="F15" s="24">
        <f t="shared" si="0"/>
        <v>4</v>
      </c>
      <c r="G15" s="24">
        <f t="shared" si="0"/>
        <v>2</v>
      </c>
      <c r="H15" s="24">
        <v>81574</v>
      </c>
      <c r="I15" s="24" t="s">
        <v>104</v>
      </c>
      <c r="J15">
        <v>68218097</v>
      </c>
      <c r="K15" s="6" t="s">
        <v>4267</v>
      </c>
      <c r="L15" t="s">
        <v>4273</v>
      </c>
      <c r="M15" s="58">
        <f t="shared" si="3"/>
        <v>199000</v>
      </c>
      <c r="N15" s="6" t="s">
        <v>618</v>
      </c>
      <c r="O15" s="6" t="str">
        <f t="shared" si="2"/>
        <v>B1 DISC 20% B2G1</v>
      </c>
      <c r="P15" s="6" t="s">
        <v>618</v>
      </c>
    </row>
    <row r="16" spans="1:16" x14ac:dyDescent="0.25">
      <c r="A16" s="24" t="str">
        <f t="shared" si="0"/>
        <v>2026 HILITE B1 D20 B2G1</v>
      </c>
      <c r="B16" s="11">
        <f t="shared" si="0"/>
        <v>46099</v>
      </c>
      <c r="C16" s="11">
        <f t="shared" si="0"/>
        <v>46113</v>
      </c>
      <c r="D16" s="24">
        <f t="shared" si="0"/>
        <v>3272</v>
      </c>
      <c r="E16" s="24">
        <f t="shared" si="0"/>
        <v>336</v>
      </c>
      <c r="F16" s="24">
        <f t="shared" si="0"/>
        <v>4</v>
      </c>
      <c r="G16" s="24">
        <f t="shared" si="0"/>
        <v>2</v>
      </c>
      <c r="H16" s="24">
        <v>81574</v>
      </c>
      <c r="I16" s="24" t="s">
        <v>104</v>
      </c>
      <c r="J16">
        <v>68218104</v>
      </c>
      <c r="K16" s="6" t="s">
        <v>4267</v>
      </c>
      <c r="L16" t="s">
        <v>4274</v>
      </c>
      <c r="M16" s="58">
        <f t="shared" si="3"/>
        <v>199000</v>
      </c>
      <c r="N16" s="6" t="s">
        <v>618</v>
      </c>
      <c r="O16" s="6" t="str">
        <f t="shared" si="2"/>
        <v>B1 DISC 20% B2G1</v>
      </c>
      <c r="P16" s="6" t="s">
        <v>618</v>
      </c>
    </row>
    <row r="17" spans="1:16" x14ac:dyDescent="0.25">
      <c r="A17" s="24" t="str">
        <f t="shared" si="0"/>
        <v>2026 HILITE B1 D20 B2G1</v>
      </c>
      <c r="B17" s="11">
        <f t="shared" si="0"/>
        <v>46099</v>
      </c>
      <c r="C17" s="11">
        <f t="shared" si="0"/>
        <v>46113</v>
      </c>
      <c r="D17" s="24">
        <f t="shared" si="0"/>
        <v>3272</v>
      </c>
      <c r="E17" s="24">
        <f t="shared" si="0"/>
        <v>336</v>
      </c>
      <c r="F17" s="24">
        <f t="shared" si="0"/>
        <v>4</v>
      </c>
      <c r="G17" s="24">
        <f t="shared" si="0"/>
        <v>2</v>
      </c>
      <c r="H17" s="24">
        <v>81574</v>
      </c>
      <c r="I17" s="24" t="s">
        <v>104</v>
      </c>
      <c r="J17">
        <v>68218113</v>
      </c>
      <c r="K17" s="6" t="s">
        <v>4267</v>
      </c>
      <c r="L17" t="s">
        <v>4275</v>
      </c>
      <c r="M17" s="58">
        <f t="shared" si="3"/>
        <v>199000</v>
      </c>
      <c r="N17" s="6" t="s">
        <v>618</v>
      </c>
      <c r="O17" s="6" t="str">
        <f t="shared" si="2"/>
        <v>B1 DISC 20% B2G1</v>
      </c>
      <c r="P17" s="6" t="s">
        <v>618</v>
      </c>
    </row>
    <row r="18" spans="1:16" x14ac:dyDescent="0.25">
      <c r="A18" s="24" t="str">
        <f t="shared" si="0"/>
        <v>2026 HILITE B1 D20 B2G1</v>
      </c>
      <c r="B18" s="11">
        <f t="shared" si="0"/>
        <v>46099</v>
      </c>
      <c r="C18" s="11">
        <f t="shared" si="0"/>
        <v>46113</v>
      </c>
      <c r="D18" s="24">
        <f t="shared" si="0"/>
        <v>3272</v>
      </c>
      <c r="E18" s="24">
        <f t="shared" si="0"/>
        <v>336</v>
      </c>
      <c r="F18" s="24">
        <f t="shared" si="0"/>
        <v>4</v>
      </c>
      <c r="G18" s="24">
        <f t="shared" si="0"/>
        <v>2</v>
      </c>
      <c r="H18" s="24">
        <v>81574</v>
      </c>
      <c r="I18" s="24" t="s">
        <v>104</v>
      </c>
      <c r="J18">
        <v>68218122</v>
      </c>
      <c r="K18" s="6" t="s">
        <v>4276</v>
      </c>
      <c r="L18" t="s">
        <v>4277</v>
      </c>
      <c r="M18" s="58">
        <v>179900</v>
      </c>
      <c r="N18" s="6" t="s">
        <v>618</v>
      </c>
      <c r="O18" s="6" t="str">
        <f t="shared" si="2"/>
        <v>B1 DISC 20% B2G1</v>
      </c>
      <c r="P18" s="6" t="s">
        <v>618</v>
      </c>
    </row>
    <row r="19" spans="1:16" x14ac:dyDescent="0.25">
      <c r="A19" s="24" t="str">
        <f t="shared" ref="A19:H34" si="4">A18</f>
        <v>2026 HILITE B1 D20 B2G1</v>
      </c>
      <c r="B19" s="11">
        <f t="shared" si="4"/>
        <v>46099</v>
      </c>
      <c r="C19" s="11">
        <f t="shared" si="4"/>
        <v>46113</v>
      </c>
      <c r="D19" s="24">
        <f t="shared" si="4"/>
        <v>3272</v>
      </c>
      <c r="E19" s="24">
        <f t="shared" si="4"/>
        <v>336</v>
      </c>
      <c r="F19" s="24">
        <f t="shared" si="4"/>
        <v>4</v>
      </c>
      <c r="G19" s="24">
        <f t="shared" si="4"/>
        <v>2</v>
      </c>
      <c r="H19" s="24">
        <v>81574</v>
      </c>
      <c r="I19" s="24" t="s">
        <v>104</v>
      </c>
      <c r="J19">
        <v>68218131</v>
      </c>
      <c r="K19" s="6" t="s">
        <v>4276</v>
      </c>
      <c r="L19" t="s">
        <v>4278</v>
      </c>
      <c r="M19" s="58">
        <f t="shared" ref="M19:M25" si="5">M18</f>
        <v>179900</v>
      </c>
      <c r="N19" s="6" t="s">
        <v>618</v>
      </c>
      <c r="O19" s="6" t="str">
        <f t="shared" si="2"/>
        <v>B1 DISC 20% B2G1</v>
      </c>
      <c r="P19" s="6" t="s">
        <v>618</v>
      </c>
    </row>
    <row r="20" spans="1:16" x14ac:dyDescent="0.25">
      <c r="A20" s="24" t="str">
        <f t="shared" si="4"/>
        <v>2026 HILITE B1 D20 B2G1</v>
      </c>
      <c r="B20" s="11">
        <f t="shared" si="4"/>
        <v>46099</v>
      </c>
      <c r="C20" s="11">
        <f t="shared" si="4"/>
        <v>46113</v>
      </c>
      <c r="D20" s="24">
        <f t="shared" si="4"/>
        <v>3272</v>
      </c>
      <c r="E20" s="24">
        <f t="shared" si="4"/>
        <v>336</v>
      </c>
      <c r="F20" s="24">
        <f t="shared" si="4"/>
        <v>4</v>
      </c>
      <c r="G20" s="24">
        <f t="shared" si="4"/>
        <v>2</v>
      </c>
      <c r="H20" s="24">
        <v>81574</v>
      </c>
      <c r="I20" s="24" t="s">
        <v>104</v>
      </c>
      <c r="J20">
        <v>68218140</v>
      </c>
      <c r="K20" s="6" t="s">
        <v>4276</v>
      </c>
      <c r="L20" t="s">
        <v>4279</v>
      </c>
      <c r="M20" s="58">
        <f t="shared" si="5"/>
        <v>179900</v>
      </c>
      <c r="N20" s="6" t="s">
        <v>618</v>
      </c>
      <c r="O20" s="6" t="str">
        <f t="shared" si="2"/>
        <v>B1 DISC 20% B2G1</v>
      </c>
      <c r="P20" s="6" t="s">
        <v>618</v>
      </c>
    </row>
    <row r="21" spans="1:16" x14ac:dyDescent="0.25">
      <c r="A21" s="24" t="str">
        <f t="shared" si="4"/>
        <v>2026 HILITE B1 D20 B2G1</v>
      </c>
      <c r="B21" s="11">
        <f t="shared" si="4"/>
        <v>46099</v>
      </c>
      <c r="C21" s="11">
        <f t="shared" si="4"/>
        <v>46113</v>
      </c>
      <c r="D21" s="24">
        <f t="shared" si="4"/>
        <v>3272</v>
      </c>
      <c r="E21" s="24">
        <f t="shared" si="4"/>
        <v>336</v>
      </c>
      <c r="F21" s="24">
        <f t="shared" si="4"/>
        <v>4</v>
      </c>
      <c r="G21" s="24">
        <f t="shared" si="4"/>
        <v>2</v>
      </c>
      <c r="H21" s="24">
        <v>81574</v>
      </c>
      <c r="I21" s="24" t="s">
        <v>104</v>
      </c>
      <c r="J21">
        <v>68218159</v>
      </c>
      <c r="K21" s="6" t="s">
        <v>4276</v>
      </c>
      <c r="L21" t="s">
        <v>4280</v>
      </c>
      <c r="M21" s="58">
        <f t="shared" si="5"/>
        <v>179900</v>
      </c>
      <c r="N21" s="6" t="s">
        <v>618</v>
      </c>
      <c r="O21" s="6" t="str">
        <f t="shared" si="2"/>
        <v>B1 DISC 20% B2G1</v>
      </c>
      <c r="P21" s="6" t="s">
        <v>618</v>
      </c>
    </row>
    <row r="22" spans="1:16" x14ac:dyDescent="0.25">
      <c r="A22" s="24" t="str">
        <f t="shared" si="4"/>
        <v>2026 HILITE B1 D20 B2G1</v>
      </c>
      <c r="B22" s="11">
        <f t="shared" si="4"/>
        <v>46099</v>
      </c>
      <c r="C22" s="11">
        <f t="shared" si="4"/>
        <v>46113</v>
      </c>
      <c r="D22" s="24">
        <f t="shared" si="4"/>
        <v>3272</v>
      </c>
      <c r="E22" s="24">
        <f t="shared" si="4"/>
        <v>336</v>
      </c>
      <c r="F22" s="24">
        <f t="shared" si="4"/>
        <v>4</v>
      </c>
      <c r="G22" s="24">
        <f t="shared" si="4"/>
        <v>2</v>
      </c>
      <c r="H22" s="24">
        <v>81574</v>
      </c>
      <c r="I22" s="24" t="s">
        <v>104</v>
      </c>
      <c r="J22">
        <v>68218168</v>
      </c>
      <c r="K22" s="6" t="s">
        <v>4276</v>
      </c>
      <c r="L22" t="s">
        <v>4281</v>
      </c>
      <c r="M22" s="58">
        <f t="shared" si="5"/>
        <v>179900</v>
      </c>
      <c r="N22" s="6" t="s">
        <v>618</v>
      </c>
      <c r="O22" s="6" t="str">
        <f t="shared" si="2"/>
        <v>B1 DISC 20% B2G1</v>
      </c>
      <c r="P22" s="6" t="s">
        <v>618</v>
      </c>
    </row>
    <row r="23" spans="1:16" x14ac:dyDescent="0.25">
      <c r="A23" s="24" t="str">
        <f t="shared" si="4"/>
        <v>2026 HILITE B1 D20 B2G1</v>
      </c>
      <c r="B23" s="11">
        <f t="shared" si="4"/>
        <v>46099</v>
      </c>
      <c r="C23" s="11">
        <f t="shared" si="4"/>
        <v>46113</v>
      </c>
      <c r="D23" s="24">
        <f t="shared" si="4"/>
        <v>3272</v>
      </c>
      <c r="E23" s="24">
        <f t="shared" si="4"/>
        <v>336</v>
      </c>
      <c r="F23" s="24">
        <f t="shared" si="4"/>
        <v>4</v>
      </c>
      <c r="G23" s="24">
        <f t="shared" si="4"/>
        <v>2</v>
      </c>
      <c r="H23" s="24">
        <v>81574</v>
      </c>
      <c r="I23" s="24" t="s">
        <v>104</v>
      </c>
      <c r="J23">
        <v>68218177</v>
      </c>
      <c r="K23" s="6" t="s">
        <v>4276</v>
      </c>
      <c r="L23" t="s">
        <v>4282</v>
      </c>
      <c r="M23" s="58">
        <f t="shared" si="5"/>
        <v>179900</v>
      </c>
      <c r="N23" s="6" t="s">
        <v>618</v>
      </c>
      <c r="O23" s="6" t="str">
        <f t="shared" si="2"/>
        <v>B1 DISC 20% B2G1</v>
      </c>
      <c r="P23" s="6" t="s">
        <v>618</v>
      </c>
    </row>
    <row r="24" spans="1:16" x14ac:dyDescent="0.25">
      <c r="A24" s="24" t="str">
        <f t="shared" si="4"/>
        <v>2026 HILITE B1 D20 B2G1</v>
      </c>
      <c r="B24" s="11">
        <f t="shared" si="4"/>
        <v>46099</v>
      </c>
      <c r="C24" s="11">
        <f t="shared" si="4"/>
        <v>46113</v>
      </c>
      <c r="D24" s="24">
        <f t="shared" si="4"/>
        <v>3272</v>
      </c>
      <c r="E24" s="24">
        <f t="shared" si="4"/>
        <v>336</v>
      </c>
      <c r="F24" s="24">
        <f t="shared" si="4"/>
        <v>4</v>
      </c>
      <c r="G24" s="24">
        <f t="shared" si="4"/>
        <v>2</v>
      </c>
      <c r="H24" s="24">
        <v>81574</v>
      </c>
      <c r="I24" s="24" t="s">
        <v>104</v>
      </c>
      <c r="J24">
        <v>68218186</v>
      </c>
      <c r="K24" s="6" t="s">
        <v>4276</v>
      </c>
      <c r="L24" t="s">
        <v>4283</v>
      </c>
      <c r="M24" s="58">
        <f t="shared" si="5"/>
        <v>179900</v>
      </c>
      <c r="N24" s="6" t="s">
        <v>618</v>
      </c>
      <c r="O24" s="6" t="str">
        <f t="shared" si="2"/>
        <v>B1 DISC 20% B2G1</v>
      </c>
      <c r="P24" s="6" t="s">
        <v>618</v>
      </c>
    </row>
    <row r="25" spans="1:16" x14ac:dyDescent="0.25">
      <c r="A25" s="24" t="str">
        <f t="shared" si="4"/>
        <v>2026 HILITE B1 D20 B2G1</v>
      </c>
      <c r="B25" s="11">
        <f t="shared" si="4"/>
        <v>46099</v>
      </c>
      <c r="C25" s="11">
        <f t="shared" si="4"/>
        <v>46113</v>
      </c>
      <c r="D25" s="24">
        <f t="shared" si="4"/>
        <v>3272</v>
      </c>
      <c r="E25" s="24">
        <f t="shared" si="4"/>
        <v>336</v>
      </c>
      <c r="F25" s="24">
        <f t="shared" si="4"/>
        <v>4</v>
      </c>
      <c r="G25" s="24">
        <f t="shared" si="4"/>
        <v>2</v>
      </c>
      <c r="H25" s="24">
        <v>81574</v>
      </c>
      <c r="I25" s="24" t="s">
        <v>104</v>
      </c>
      <c r="J25">
        <v>68218195</v>
      </c>
      <c r="K25" s="6" t="s">
        <v>4276</v>
      </c>
      <c r="L25" t="s">
        <v>4284</v>
      </c>
      <c r="M25" s="58">
        <f t="shared" si="5"/>
        <v>179900</v>
      </c>
      <c r="N25" s="6" t="s">
        <v>618</v>
      </c>
      <c r="O25" s="6" t="str">
        <f t="shared" si="2"/>
        <v>B1 DISC 20% B2G1</v>
      </c>
      <c r="P25" s="6" t="s">
        <v>618</v>
      </c>
    </row>
    <row r="26" spans="1:16" x14ac:dyDescent="0.25">
      <c r="A26" s="24" t="str">
        <f t="shared" si="4"/>
        <v>2026 HILITE B1 D20 B2G1</v>
      </c>
      <c r="B26" s="11">
        <f t="shared" si="4"/>
        <v>46099</v>
      </c>
      <c r="C26" s="11">
        <f t="shared" si="4"/>
        <v>46113</v>
      </c>
      <c r="D26" s="24">
        <f t="shared" si="4"/>
        <v>3272</v>
      </c>
      <c r="E26" s="24">
        <f t="shared" si="4"/>
        <v>336</v>
      </c>
      <c r="F26" s="24">
        <f t="shared" si="4"/>
        <v>4</v>
      </c>
      <c r="G26" s="24">
        <f t="shared" si="4"/>
        <v>2</v>
      </c>
      <c r="H26" s="24">
        <f t="shared" si="4"/>
        <v>81574</v>
      </c>
      <c r="I26" s="24" t="s">
        <v>104</v>
      </c>
      <c r="J26">
        <v>68218284</v>
      </c>
      <c r="K26" s="6" t="s">
        <v>4285</v>
      </c>
      <c r="L26" t="s">
        <v>4286</v>
      </c>
      <c r="M26" s="58">
        <v>149900</v>
      </c>
      <c r="N26" s="6" t="s">
        <v>618</v>
      </c>
      <c r="O26" s="6" t="str">
        <f t="shared" si="2"/>
        <v>B1 DISC 20% B2G1</v>
      </c>
      <c r="P26" s="6" t="s">
        <v>618</v>
      </c>
    </row>
    <row r="27" spans="1:16" x14ac:dyDescent="0.25">
      <c r="A27" s="24" t="str">
        <f t="shared" si="4"/>
        <v>2026 HILITE B1 D20 B2G1</v>
      </c>
      <c r="B27" s="11">
        <f t="shared" si="4"/>
        <v>46099</v>
      </c>
      <c r="C27" s="11">
        <f t="shared" si="4"/>
        <v>46113</v>
      </c>
      <c r="D27" s="24">
        <f t="shared" si="4"/>
        <v>3272</v>
      </c>
      <c r="E27" s="24">
        <f t="shared" si="4"/>
        <v>336</v>
      </c>
      <c r="F27" s="24">
        <f t="shared" si="4"/>
        <v>4</v>
      </c>
      <c r="G27" s="24">
        <f t="shared" si="4"/>
        <v>2</v>
      </c>
      <c r="H27" s="24">
        <f t="shared" si="4"/>
        <v>81574</v>
      </c>
      <c r="I27" s="24" t="s">
        <v>104</v>
      </c>
      <c r="J27">
        <v>68218293</v>
      </c>
      <c r="K27" s="6" t="s">
        <v>4285</v>
      </c>
      <c r="L27" t="s">
        <v>4287</v>
      </c>
      <c r="M27" s="58">
        <f>M26</f>
        <v>149900</v>
      </c>
      <c r="N27" s="6" t="s">
        <v>618</v>
      </c>
      <c r="O27" s="6" t="str">
        <f t="shared" si="2"/>
        <v>B1 DISC 20% B2G1</v>
      </c>
      <c r="P27" s="6" t="s">
        <v>618</v>
      </c>
    </row>
    <row r="28" spans="1:16" x14ac:dyDescent="0.25">
      <c r="A28" s="24" t="str">
        <f t="shared" si="4"/>
        <v>2026 HILITE B1 D20 B2G1</v>
      </c>
      <c r="B28" s="11">
        <f t="shared" si="4"/>
        <v>46099</v>
      </c>
      <c r="C28" s="11">
        <f t="shared" si="4"/>
        <v>46113</v>
      </c>
      <c r="D28" s="24">
        <f t="shared" si="4"/>
        <v>3272</v>
      </c>
      <c r="E28" s="24">
        <f t="shared" si="4"/>
        <v>336</v>
      </c>
      <c r="F28" s="24">
        <f t="shared" si="4"/>
        <v>4</v>
      </c>
      <c r="G28" s="24">
        <f t="shared" si="4"/>
        <v>2</v>
      </c>
      <c r="H28" s="24">
        <f t="shared" si="4"/>
        <v>81574</v>
      </c>
      <c r="I28" s="24" t="s">
        <v>104</v>
      </c>
      <c r="J28">
        <v>68218300</v>
      </c>
      <c r="K28" s="6" t="s">
        <v>4285</v>
      </c>
      <c r="L28" t="s">
        <v>4288</v>
      </c>
      <c r="M28" s="58">
        <f>M27</f>
        <v>149900</v>
      </c>
      <c r="N28" s="6" t="s">
        <v>618</v>
      </c>
      <c r="O28" s="6" t="str">
        <f t="shared" si="2"/>
        <v>B1 DISC 20% B2G1</v>
      </c>
      <c r="P28" s="6" t="s">
        <v>618</v>
      </c>
    </row>
    <row r="29" spans="1:16" x14ac:dyDescent="0.25">
      <c r="A29" s="24" t="str">
        <f t="shared" si="4"/>
        <v>2026 HILITE B1 D20 B2G1</v>
      </c>
      <c r="B29" s="11">
        <f t="shared" si="4"/>
        <v>46099</v>
      </c>
      <c r="C29" s="11">
        <f t="shared" si="4"/>
        <v>46113</v>
      </c>
      <c r="D29" s="24">
        <f t="shared" si="4"/>
        <v>3272</v>
      </c>
      <c r="E29" s="24">
        <f t="shared" si="4"/>
        <v>336</v>
      </c>
      <c r="F29" s="24">
        <f t="shared" si="4"/>
        <v>4</v>
      </c>
      <c r="G29" s="24">
        <f t="shared" si="4"/>
        <v>2</v>
      </c>
      <c r="H29" s="24">
        <f t="shared" si="4"/>
        <v>81574</v>
      </c>
      <c r="I29" s="24" t="s">
        <v>104</v>
      </c>
      <c r="J29">
        <v>68218319</v>
      </c>
      <c r="K29" s="6" t="s">
        <v>4285</v>
      </c>
      <c r="L29" t="s">
        <v>4289</v>
      </c>
      <c r="M29" s="58">
        <f>M28</f>
        <v>149900</v>
      </c>
      <c r="N29" s="6" t="s">
        <v>618</v>
      </c>
      <c r="O29" s="6" t="str">
        <f t="shared" si="2"/>
        <v>B1 DISC 20% B2G1</v>
      </c>
      <c r="P29" s="6" t="s">
        <v>618</v>
      </c>
    </row>
    <row r="30" spans="1:16" x14ac:dyDescent="0.25">
      <c r="A30" s="24" t="str">
        <f t="shared" si="4"/>
        <v>2026 HILITE B1 D20 B2G1</v>
      </c>
      <c r="B30" s="11">
        <f t="shared" si="4"/>
        <v>46099</v>
      </c>
      <c r="C30" s="11">
        <f t="shared" si="4"/>
        <v>46113</v>
      </c>
      <c r="D30" s="24">
        <f t="shared" si="4"/>
        <v>3272</v>
      </c>
      <c r="E30" s="24">
        <f t="shared" si="4"/>
        <v>336</v>
      </c>
      <c r="F30" s="24">
        <f t="shared" si="4"/>
        <v>4</v>
      </c>
      <c r="G30" s="24">
        <f t="shared" si="4"/>
        <v>2</v>
      </c>
      <c r="H30" s="24">
        <f t="shared" si="4"/>
        <v>81574</v>
      </c>
      <c r="I30" s="24" t="s">
        <v>104</v>
      </c>
      <c r="J30">
        <v>68218328</v>
      </c>
      <c r="K30" s="6" t="s">
        <v>4285</v>
      </c>
      <c r="L30" t="s">
        <v>4290</v>
      </c>
      <c r="M30" s="58">
        <f>M29</f>
        <v>149900</v>
      </c>
      <c r="N30" s="6" t="s">
        <v>618</v>
      </c>
      <c r="O30" s="6" t="str">
        <f t="shared" si="2"/>
        <v>B1 DISC 20% B2G1</v>
      </c>
      <c r="P30" s="6" t="s">
        <v>618</v>
      </c>
    </row>
    <row r="31" spans="1:16" x14ac:dyDescent="0.25">
      <c r="A31" s="24" t="str">
        <f t="shared" si="4"/>
        <v>2026 HILITE B1 D20 B2G1</v>
      </c>
      <c r="B31" s="11">
        <f t="shared" si="4"/>
        <v>46099</v>
      </c>
      <c r="C31" s="11">
        <f t="shared" si="4"/>
        <v>46113</v>
      </c>
      <c r="D31" s="24">
        <f t="shared" si="4"/>
        <v>3272</v>
      </c>
      <c r="E31" s="24">
        <f t="shared" si="4"/>
        <v>336</v>
      </c>
      <c r="F31" s="24">
        <f t="shared" si="4"/>
        <v>4</v>
      </c>
      <c r="G31" s="24">
        <f t="shared" si="4"/>
        <v>2</v>
      </c>
      <c r="H31" s="24">
        <f t="shared" si="4"/>
        <v>81574</v>
      </c>
      <c r="I31" s="24" t="s">
        <v>104</v>
      </c>
      <c r="J31">
        <v>68218202</v>
      </c>
      <c r="K31" s="6" t="s">
        <v>4291</v>
      </c>
      <c r="L31" t="s">
        <v>4292</v>
      </c>
      <c r="M31" s="12">
        <v>199900</v>
      </c>
      <c r="N31" s="6" t="s">
        <v>618</v>
      </c>
      <c r="O31" s="6" t="str">
        <f t="shared" si="2"/>
        <v>B1 DISC 20% B2G1</v>
      </c>
      <c r="P31" s="6" t="s">
        <v>618</v>
      </c>
    </row>
    <row r="32" spans="1:16" x14ac:dyDescent="0.25">
      <c r="A32" s="24" t="str">
        <f t="shared" si="4"/>
        <v>2026 HILITE B1 D20 B2G1</v>
      </c>
      <c r="B32" s="11">
        <f t="shared" si="4"/>
        <v>46099</v>
      </c>
      <c r="C32" s="11">
        <f t="shared" si="4"/>
        <v>46113</v>
      </c>
      <c r="D32" s="24">
        <f t="shared" si="4"/>
        <v>3272</v>
      </c>
      <c r="E32" s="24">
        <f t="shared" si="4"/>
        <v>336</v>
      </c>
      <c r="F32" s="24">
        <f t="shared" si="4"/>
        <v>4</v>
      </c>
      <c r="G32" s="24">
        <f t="shared" si="4"/>
        <v>2</v>
      </c>
      <c r="H32" s="24">
        <f t="shared" si="4"/>
        <v>81574</v>
      </c>
      <c r="I32" s="24" t="s">
        <v>104</v>
      </c>
      <c r="J32">
        <v>68218211</v>
      </c>
      <c r="K32" s="6" t="s">
        <v>4291</v>
      </c>
      <c r="L32" t="s">
        <v>4293</v>
      </c>
      <c r="M32" s="12">
        <f t="shared" ref="M32:M38" si="6">M31</f>
        <v>199900</v>
      </c>
      <c r="N32" s="6" t="s">
        <v>618</v>
      </c>
      <c r="O32" s="6" t="str">
        <f t="shared" si="2"/>
        <v>B1 DISC 20% B2G1</v>
      </c>
      <c r="P32" s="6" t="s">
        <v>618</v>
      </c>
    </row>
    <row r="33" spans="1:16" x14ac:dyDescent="0.25">
      <c r="A33" s="24" t="str">
        <f t="shared" si="4"/>
        <v>2026 HILITE B1 D20 B2G1</v>
      </c>
      <c r="B33" s="11">
        <f t="shared" si="4"/>
        <v>46099</v>
      </c>
      <c r="C33" s="11">
        <f t="shared" si="4"/>
        <v>46113</v>
      </c>
      <c r="D33" s="24">
        <f t="shared" si="4"/>
        <v>3272</v>
      </c>
      <c r="E33" s="24">
        <f t="shared" si="4"/>
        <v>336</v>
      </c>
      <c r="F33" s="24">
        <f t="shared" si="4"/>
        <v>4</v>
      </c>
      <c r="G33" s="24">
        <f t="shared" si="4"/>
        <v>2</v>
      </c>
      <c r="H33" s="24">
        <f t="shared" si="4"/>
        <v>81574</v>
      </c>
      <c r="I33" s="24" t="s">
        <v>104</v>
      </c>
      <c r="J33">
        <v>68218220</v>
      </c>
      <c r="K33" s="6" t="s">
        <v>4291</v>
      </c>
      <c r="L33" t="s">
        <v>4294</v>
      </c>
      <c r="M33" s="12">
        <f t="shared" si="6"/>
        <v>199900</v>
      </c>
      <c r="N33" s="6" t="s">
        <v>618</v>
      </c>
      <c r="O33" s="6" t="str">
        <f t="shared" si="2"/>
        <v>B1 DISC 20% B2G1</v>
      </c>
      <c r="P33" s="6" t="s">
        <v>618</v>
      </c>
    </row>
    <row r="34" spans="1:16" x14ac:dyDescent="0.25">
      <c r="A34" s="24" t="str">
        <f t="shared" si="4"/>
        <v>2026 HILITE B1 D20 B2G1</v>
      </c>
      <c r="B34" s="11">
        <f t="shared" si="4"/>
        <v>46099</v>
      </c>
      <c r="C34" s="11">
        <f t="shared" si="4"/>
        <v>46113</v>
      </c>
      <c r="D34" s="24">
        <f t="shared" si="4"/>
        <v>3272</v>
      </c>
      <c r="E34" s="24">
        <f t="shared" si="4"/>
        <v>336</v>
      </c>
      <c r="F34" s="24">
        <f t="shared" si="4"/>
        <v>4</v>
      </c>
      <c r="G34" s="24">
        <f t="shared" si="4"/>
        <v>2</v>
      </c>
      <c r="H34" s="24">
        <f t="shared" si="4"/>
        <v>81574</v>
      </c>
      <c r="I34" s="24" t="s">
        <v>104</v>
      </c>
      <c r="J34">
        <v>68218239</v>
      </c>
      <c r="K34" s="6" t="s">
        <v>4291</v>
      </c>
      <c r="L34" t="s">
        <v>4295</v>
      </c>
      <c r="M34" s="12">
        <f t="shared" si="6"/>
        <v>199900</v>
      </c>
      <c r="N34" s="6" t="s">
        <v>618</v>
      </c>
      <c r="O34" s="6" t="str">
        <f t="shared" si="2"/>
        <v>B1 DISC 20% B2G1</v>
      </c>
      <c r="P34" s="6" t="s">
        <v>618</v>
      </c>
    </row>
    <row r="35" spans="1:16" x14ac:dyDescent="0.25">
      <c r="A35" s="24" t="str">
        <f t="shared" ref="A35:H50" si="7">A34</f>
        <v>2026 HILITE B1 D20 B2G1</v>
      </c>
      <c r="B35" s="11">
        <f t="shared" si="7"/>
        <v>46099</v>
      </c>
      <c r="C35" s="11">
        <f t="shared" si="7"/>
        <v>46113</v>
      </c>
      <c r="D35" s="24">
        <f t="shared" si="7"/>
        <v>3272</v>
      </c>
      <c r="E35" s="24">
        <f t="shared" si="7"/>
        <v>336</v>
      </c>
      <c r="F35" s="24">
        <f t="shared" si="7"/>
        <v>4</v>
      </c>
      <c r="G35" s="24">
        <f t="shared" si="7"/>
        <v>2</v>
      </c>
      <c r="H35" s="24">
        <f t="shared" si="7"/>
        <v>81574</v>
      </c>
      <c r="I35" s="24" t="s">
        <v>104</v>
      </c>
      <c r="J35">
        <v>68218248</v>
      </c>
      <c r="K35" s="6" t="s">
        <v>4291</v>
      </c>
      <c r="L35" t="s">
        <v>4296</v>
      </c>
      <c r="M35" s="12">
        <f t="shared" si="6"/>
        <v>199900</v>
      </c>
      <c r="N35" s="6" t="s">
        <v>618</v>
      </c>
      <c r="O35" s="6" t="str">
        <f t="shared" si="2"/>
        <v>B1 DISC 20% B2G1</v>
      </c>
      <c r="P35" s="6" t="s">
        <v>618</v>
      </c>
    </row>
    <row r="36" spans="1:16" x14ac:dyDescent="0.25">
      <c r="A36" s="24" t="str">
        <f t="shared" si="7"/>
        <v>2026 HILITE B1 D20 B2G1</v>
      </c>
      <c r="B36" s="11">
        <f t="shared" si="7"/>
        <v>46099</v>
      </c>
      <c r="C36" s="11">
        <f t="shared" si="7"/>
        <v>46113</v>
      </c>
      <c r="D36" s="24">
        <f t="shared" si="7"/>
        <v>3272</v>
      </c>
      <c r="E36" s="24">
        <f t="shared" si="7"/>
        <v>336</v>
      </c>
      <c r="F36" s="24">
        <f t="shared" si="7"/>
        <v>4</v>
      </c>
      <c r="G36" s="24">
        <f t="shared" si="7"/>
        <v>2</v>
      </c>
      <c r="H36" s="24">
        <f t="shared" si="7"/>
        <v>81574</v>
      </c>
      <c r="I36" s="24" t="s">
        <v>104</v>
      </c>
      <c r="J36">
        <v>68218257</v>
      </c>
      <c r="K36" s="6" t="s">
        <v>4291</v>
      </c>
      <c r="L36" t="s">
        <v>4297</v>
      </c>
      <c r="M36" s="12">
        <f t="shared" si="6"/>
        <v>199900</v>
      </c>
      <c r="N36" s="6" t="s">
        <v>618</v>
      </c>
      <c r="O36" s="6" t="str">
        <f t="shared" si="2"/>
        <v>B1 DISC 20% B2G1</v>
      </c>
      <c r="P36" s="6" t="s">
        <v>618</v>
      </c>
    </row>
    <row r="37" spans="1:16" x14ac:dyDescent="0.25">
      <c r="A37" s="24" t="str">
        <f t="shared" si="7"/>
        <v>2026 HILITE B1 D20 B2G1</v>
      </c>
      <c r="B37" s="11">
        <f t="shared" si="7"/>
        <v>46099</v>
      </c>
      <c r="C37" s="11">
        <f t="shared" si="7"/>
        <v>46113</v>
      </c>
      <c r="D37" s="24">
        <f t="shared" si="7"/>
        <v>3272</v>
      </c>
      <c r="E37" s="24">
        <f t="shared" si="7"/>
        <v>336</v>
      </c>
      <c r="F37" s="24">
        <f t="shared" si="7"/>
        <v>4</v>
      </c>
      <c r="G37" s="24">
        <f t="shared" si="7"/>
        <v>2</v>
      </c>
      <c r="H37" s="24">
        <f t="shared" si="7"/>
        <v>81574</v>
      </c>
      <c r="I37" s="24" t="s">
        <v>104</v>
      </c>
      <c r="J37">
        <v>68218266</v>
      </c>
      <c r="K37" s="6" t="s">
        <v>4291</v>
      </c>
      <c r="L37" t="s">
        <v>4298</v>
      </c>
      <c r="M37" s="12">
        <f t="shared" si="6"/>
        <v>199900</v>
      </c>
      <c r="N37" s="6" t="s">
        <v>618</v>
      </c>
      <c r="O37" s="6" t="str">
        <f t="shared" si="2"/>
        <v>B1 DISC 20% B2G1</v>
      </c>
      <c r="P37" s="6" t="s">
        <v>618</v>
      </c>
    </row>
    <row r="38" spans="1:16" x14ac:dyDescent="0.25">
      <c r="A38" s="24" t="str">
        <f t="shared" si="7"/>
        <v>2026 HILITE B1 D20 B2G1</v>
      </c>
      <c r="B38" s="11">
        <f t="shared" si="7"/>
        <v>46099</v>
      </c>
      <c r="C38" s="11">
        <f t="shared" si="7"/>
        <v>46113</v>
      </c>
      <c r="D38" s="24">
        <f t="shared" si="7"/>
        <v>3272</v>
      </c>
      <c r="E38" s="24">
        <f t="shared" si="7"/>
        <v>336</v>
      </c>
      <c r="F38" s="24">
        <f t="shared" si="7"/>
        <v>4</v>
      </c>
      <c r="G38" s="24">
        <f t="shared" si="7"/>
        <v>2</v>
      </c>
      <c r="H38" s="24">
        <f t="shared" si="7"/>
        <v>81574</v>
      </c>
      <c r="I38" s="24" t="s">
        <v>104</v>
      </c>
      <c r="J38">
        <v>68218275</v>
      </c>
      <c r="K38" s="6" t="s">
        <v>4291</v>
      </c>
      <c r="L38" t="s">
        <v>4299</v>
      </c>
      <c r="M38" s="12">
        <f t="shared" si="6"/>
        <v>199900</v>
      </c>
      <c r="N38" s="6" t="s">
        <v>618</v>
      </c>
      <c r="O38" s="6" t="str">
        <f t="shared" si="2"/>
        <v>B1 DISC 20% B2G1</v>
      </c>
      <c r="P38" s="6" t="s">
        <v>618</v>
      </c>
    </row>
    <row r="39" spans="1:16" x14ac:dyDescent="0.25">
      <c r="A39" s="24" t="str">
        <f t="shared" si="7"/>
        <v>2026 HILITE B1 D20 B2G1</v>
      </c>
      <c r="B39" s="11">
        <f t="shared" si="7"/>
        <v>46099</v>
      </c>
      <c r="C39" s="11">
        <f t="shared" si="7"/>
        <v>46113</v>
      </c>
      <c r="D39" s="24">
        <f t="shared" si="7"/>
        <v>3272</v>
      </c>
      <c r="E39" s="24">
        <f t="shared" si="7"/>
        <v>336</v>
      </c>
      <c r="F39" s="24">
        <f t="shared" si="7"/>
        <v>4</v>
      </c>
      <c r="G39" s="24">
        <v>4</v>
      </c>
      <c r="H39" s="24">
        <f t="shared" si="7"/>
        <v>81574</v>
      </c>
      <c r="I39" s="24" t="s">
        <v>104</v>
      </c>
      <c r="J39">
        <v>68218499</v>
      </c>
      <c r="K39" t="s">
        <v>4300</v>
      </c>
      <c r="L39" t="s">
        <v>4301</v>
      </c>
      <c r="M39" s="58">
        <v>149900</v>
      </c>
      <c r="N39" s="6" t="s">
        <v>618</v>
      </c>
      <c r="O39" s="6" t="str">
        <f t="shared" si="2"/>
        <v>B1 DISC 20% B2G1</v>
      </c>
      <c r="P39" s="6" t="s">
        <v>618</v>
      </c>
    </row>
    <row r="40" spans="1:16" x14ac:dyDescent="0.25">
      <c r="A40" s="24" t="str">
        <f t="shared" si="7"/>
        <v>2026 HILITE B1 D20 B2G1</v>
      </c>
      <c r="B40" s="11">
        <f t="shared" si="7"/>
        <v>46099</v>
      </c>
      <c r="C40" s="11">
        <f t="shared" si="7"/>
        <v>46113</v>
      </c>
      <c r="D40" s="24">
        <f t="shared" si="7"/>
        <v>3272</v>
      </c>
      <c r="E40" s="24">
        <f t="shared" si="7"/>
        <v>336</v>
      </c>
      <c r="F40" s="24">
        <f t="shared" si="7"/>
        <v>4</v>
      </c>
      <c r="G40" s="24">
        <f t="shared" si="7"/>
        <v>4</v>
      </c>
      <c r="H40" s="24">
        <f t="shared" si="7"/>
        <v>81574</v>
      </c>
      <c r="I40" s="24" t="s">
        <v>104</v>
      </c>
      <c r="J40">
        <v>68218506</v>
      </c>
      <c r="K40" t="s">
        <v>4300</v>
      </c>
      <c r="L40" t="s">
        <v>4302</v>
      </c>
      <c r="M40" s="58">
        <v>149900</v>
      </c>
      <c r="N40" s="6" t="s">
        <v>618</v>
      </c>
      <c r="O40" s="6" t="str">
        <f t="shared" si="2"/>
        <v>B1 DISC 20% B2G1</v>
      </c>
      <c r="P40" s="6" t="s">
        <v>618</v>
      </c>
    </row>
    <row r="41" spans="1:16" x14ac:dyDescent="0.25">
      <c r="A41" s="24" t="str">
        <f t="shared" si="7"/>
        <v>2026 HILITE B1 D20 B2G1</v>
      </c>
      <c r="B41" s="11">
        <f t="shared" si="7"/>
        <v>46099</v>
      </c>
      <c r="C41" s="11">
        <f t="shared" si="7"/>
        <v>46113</v>
      </c>
      <c r="D41" s="24">
        <f t="shared" si="7"/>
        <v>3272</v>
      </c>
      <c r="E41" s="24">
        <f t="shared" si="7"/>
        <v>336</v>
      </c>
      <c r="F41" s="24">
        <f t="shared" si="7"/>
        <v>4</v>
      </c>
      <c r="G41" s="24">
        <f t="shared" si="7"/>
        <v>4</v>
      </c>
      <c r="H41" s="24">
        <f t="shared" si="7"/>
        <v>81574</v>
      </c>
      <c r="I41" s="24" t="s">
        <v>104</v>
      </c>
      <c r="J41">
        <v>68218515</v>
      </c>
      <c r="K41" t="s">
        <v>4300</v>
      </c>
      <c r="L41" t="s">
        <v>4303</v>
      </c>
      <c r="M41" s="58">
        <v>149900</v>
      </c>
      <c r="N41" s="6" t="s">
        <v>618</v>
      </c>
      <c r="O41" s="6" t="str">
        <f t="shared" si="2"/>
        <v>B1 DISC 20% B2G1</v>
      </c>
      <c r="P41" s="6" t="s">
        <v>618</v>
      </c>
    </row>
    <row r="42" spans="1:16" x14ac:dyDescent="0.25">
      <c r="A42" s="24" t="str">
        <f t="shared" si="7"/>
        <v>2026 HILITE B1 D20 B2G1</v>
      </c>
      <c r="B42" s="11">
        <f t="shared" si="7"/>
        <v>46099</v>
      </c>
      <c r="C42" s="11">
        <f t="shared" si="7"/>
        <v>46113</v>
      </c>
      <c r="D42" s="24">
        <f t="shared" si="7"/>
        <v>3272</v>
      </c>
      <c r="E42" s="24">
        <f t="shared" si="7"/>
        <v>336</v>
      </c>
      <c r="F42" s="24">
        <f t="shared" si="7"/>
        <v>4</v>
      </c>
      <c r="G42" s="24">
        <f t="shared" si="7"/>
        <v>4</v>
      </c>
      <c r="H42" s="24">
        <f t="shared" si="7"/>
        <v>81574</v>
      </c>
      <c r="I42" s="24" t="s">
        <v>104</v>
      </c>
      <c r="J42">
        <v>68218524</v>
      </c>
      <c r="K42" t="s">
        <v>4300</v>
      </c>
      <c r="L42" t="s">
        <v>4304</v>
      </c>
      <c r="M42" s="58">
        <v>149900</v>
      </c>
      <c r="N42" s="6" t="s">
        <v>618</v>
      </c>
      <c r="O42" s="6" t="str">
        <f t="shared" si="2"/>
        <v>B1 DISC 20% B2G1</v>
      </c>
      <c r="P42" s="6" t="s">
        <v>618</v>
      </c>
    </row>
    <row r="43" spans="1:16" x14ac:dyDescent="0.25">
      <c r="A43" s="24" t="str">
        <f t="shared" si="7"/>
        <v>2026 HILITE B1 D20 B2G1</v>
      </c>
      <c r="B43" s="11">
        <f t="shared" si="7"/>
        <v>46099</v>
      </c>
      <c r="C43" s="11">
        <f t="shared" si="7"/>
        <v>46113</v>
      </c>
      <c r="D43" s="24">
        <f t="shared" si="7"/>
        <v>3272</v>
      </c>
      <c r="E43" s="24">
        <f t="shared" si="7"/>
        <v>336</v>
      </c>
      <c r="F43" s="24">
        <f t="shared" si="7"/>
        <v>4</v>
      </c>
      <c r="G43" s="24">
        <f t="shared" si="7"/>
        <v>4</v>
      </c>
      <c r="H43" s="24">
        <f t="shared" si="7"/>
        <v>81574</v>
      </c>
      <c r="I43" s="24" t="s">
        <v>104</v>
      </c>
      <c r="J43">
        <v>68218533</v>
      </c>
      <c r="K43" t="s">
        <v>4300</v>
      </c>
      <c r="L43" t="s">
        <v>4305</v>
      </c>
      <c r="M43" s="58">
        <v>149900</v>
      </c>
      <c r="N43" s="6" t="s">
        <v>618</v>
      </c>
      <c r="O43" s="6" t="str">
        <f t="shared" si="2"/>
        <v>B1 DISC 20% B2G1</v>
      </c>
      <c r="P43" s="6" t="s">
        <v>618</v>
      </c>
    </row>
    <row r="44" spans="1:16" x14ac:dyDescent="0.25">
      <c r="A44" s="24" t="str">
        <f t="shared" si="7"/>
        <v>2026 HILITE B1 D20 B2G1</v>
      </c>
      <c r="B44" s="11">
        <f t="shared" si="7"/>
        <v>46099</v>
      </c>
      <c r="C44" s="11">
        <f t="shared" si="7"/>
        <v>46113</v>
      </c>
      <c r="D44" s="24">
        <f t="shared" si="7"/>
        <v>3272</v>
      </c>
      <c r="E44" s="24">
        <f t="shared" si="7"/>
        <v>336</v>
      </c>
      <c r="F44" s="24">
        <f t="shared" si="7"/>
        <v>4</v>
      </c>
      <c r="G44" s="24">
        <f t="shared" si="7"/>
        <v>4</v>
      </c>
      <c r="H44" s="24">
        <f t="shared" si="7"/>
        <v>81574</v>
      </c>
      <c r="I44" s="24" t="s">
        <v>104</v>
      </c>
      <c r="J44">
        <v>68218542</v>
      </c>
      <c r="K44" t="s">
        <v>4300</v>
      </c>
      <c r="L44" t="s">
        <v>4306</v>
      </c>
      <c r="M44" s="58">
        <v>149900</v>
      </c>
      <c r="N44" s="6" t="s">
        <v>618</v>
      </c>
      <c r="O44" s="6" t="str">
        <f t="shared" si="2"/>
        <v>B1 DISC 20% B2G1</v>
      </c>
      <c r="P44" s="6" t="s">
        <v>618</v>
      </c>
    </row>
    <row r="45" spans="1:16" x14ac:dyDescent="0.25">
      <c r="A45" s="24" t="str">
        <f t="shared" si="7"/>
        <v>2026 HILITE B1 D20 B2G1</v>
      </c>
      <c r="B45" s="11">
        <f t="shared" si="7"/>
        <v>46099</v>
      </c>
      <c r="C45" s="11">
        <f t="shared" si="7"/>
        <v>46113</v>
      </c>
      <c r="D45" s="24">
        <f t="shared" si="7"/>
        <v>3272</v>
      </c>
      <c r="E45" s="24">
        <f t="shared" si="7"/>
        <v>336</v>
      </c>
      <c r="F45" s="24">
        <f t="shared" si="7"/>
        <v>4</v>
      </c>
      <c r="G45" s="24">
        <f t="shared" si="7"/>
        <v>4</v>
      </c>
      <c r="H45" s="24">
        <f t="shared" si="7"/>
        <v>81574</v>
      </c>
      <c r="I45" s="24" t="s">
        <v>104</v>
      </c>
      <c r="J45">
        <v>68218551</v>
      </c>
      <c r="K45" t="s">
        <v>4300</v>
      </c>
      <c r="L45" t="s">
        <v>4307</v>
      </c>
      <c r="M45" s="58">
        <v>149900</v>
      </c>
      <c r="N45" s="6" t="s">
        <v>618</v>
      </c>
      <c r="O45" s="6" t="str">
        <f t="shared" si="2"/>
        <v>B1 DISC 20% B2G1</v>
      </c>
      <c r="P45" s="6" t="s">
        <v>618</v>
      </c>
    </row>
    <row r="46" spans="1:16" x14ac:dyDescent="0.25">
      <c r="A46" s="24" t="str">
        <f t="shared" si="7"/>
        <v>2026 HILITE B1 D20 B2G1</v>
      </c>
      <c r="B46" s="11">
        <f t="shared" si="7"/>
        <v>46099</v>
      </c>
      <c r="C46" s="11">
        <f t="shared" si="7"/>
        <v>46113</v>
      </c>
      <c r="D46" s="24">
        <f t="shared" si="7"/>
        <v>3272</v>
      </c>
      <c r="E46" s="24">
        <f t="shared" si="7"/>
        <v>336</v>
      </c>
      <c r="F46" s="24">
        <f t="shared" si="7"/>
        <v>4</v>
      </c>
      <c r="G46" s="24">
        <f t="shared" si="7"/>
        <v>4</v>
      </c>
      <c r="H46" s="24">
        <f t="shared" si="7"/>
        <v>81574</v>
      </c>
      <c r="I46" s="24" t="s">
        <v>104</v>
      </c>
      <c r="J46">
        <v>68218560</v>
      </c>
      <c r="K46" t="s">
        <v>4300</v>
      </c>
      <c r="L46" t="s">
        <v>4308</v>
      </c>
      <c r="M46" s="58">
        <v>149900</v>
      </c>
      <c r="N46" s="6" t="s">
        <v>618</v>
      </c>
      <c r="O46" s="6" t="str">
        <f t="shared" si="2"/>
        <v>B1 DISC 20% B2G1</v>
      </c>
      <c r="P46" s="6" t="s">
        <v>618</v>
      </c>
    </row>
    <row r="47" spans="1:16" x14ac:dyDescent="0.25">
      <c r="A47" s="24" t="str">
        <f t="shared" si="7"/>
        <v>2026 HILITE B1 D20 B2G1</v>
      </c>
      <c r="B47" s="11">
        <f t="shared" si="7"/>
        <v>46099</v>
      </c>
      <c r="C47" s="11">
        <f t="shared" si="7"/>
        <v>46113</v>
      </c>
      <c r="D47" s="24">
        <f t="shared" si="7"/>
        <v>3272</v>
      </c>
      <c r="E47" s="24">
        <f t="shared" si="7"/>
        <v>336</v>
      </c>
      <c r="F47" s="24">
        <f t="shared" si="7"/>
        <v>4</v>
      </c>
      <c r="G47" s="24">
        <v>5</v>
      </c>
      <c r="H47" s="24">
        <f t="shared" si="7"/>
        <v>81574</v>
      </c>
      <c r="I47" s="24" t="s">
        <v>104</v>
      </c>
      <c r="J47">
        <v>68218417</v>
      </c>
      <c r="K47" t="s">
        <v>4309</v>
      </c>
      <c r="L47" t="s">
        <v>4310</v>
      </c>
      <c r="M47" s="58">
        <v>179900</v>
      </c>
      <c r="N47" s="6" t="s">
        <v>618</v>
      </c>
      <c r="O47" s="6" t="str">
        <f t="shared" si="2"/>
        <v>B1 DISC 20% B2G1</v>
      </c>
      <c r="P47" s="6" t="s">
        <v>618</v>
      </c>
    </row>
    <row r="48" spans="1:16" x14ac:dyDescent="0.25">
      <c r="A48" s="24" t="str">
        <f t="shared" si="7"/>
        <v>2026 HILITE B1 D20 B2G1</v>
      </c>
      <c r="B48" s="11">
        <f t="shared" si="7"/>
        <v>46099</v>
      </c>
      <c r="C48" s="11">
        <f t="shared" si="7"/>
        <v>46113</v>
      </c>
      <c r="D48" s="24">
        <f t="shared" si="7"/>
        <v>3272</v>
      </c>
      <c r="E48" s="24">
        <f t="shared" si="7"/>
        <v>336</v>
      </c>
      <c r="F48" s="24">
        <f t="shared" si="7"/>
        <v>4</v>
      </c>
      <c r="G48" s="24">
        <f t="shared" si="7"/>
        <v>5</v>
      </c>
      <c r="H48" s="24">
        <f t="shared" si="7"/>
        <v>81574</v>
      </c>
      <c r="I48" s="24" t="s">
        <v>104</v>
      </c>
      <c r="J48">
        <v>68218426</v>
      </c>
      <c r="K48" t="s">
        <v>4309</v>
      </c>
      <c r="L48" t="s">
        <v>4311</v>
      </c>
      <c r="M48" s="58">
        <v>179900</v>
      </c>
      <c r="N48" s="6" t="s">
        <v>618</v>
      </c>
      <c r="O48" s="6" t="str">
        <f t="shared" si="2"/>
        <v>B1 DISC 20% B2G1</v>
      </c>
      <c r="P48" s="6" t="s">
        <v>618</v>
      </c>
    </row>
    <row r="49" spans="1:16" x14ac:dyDescent="0.25">
      <c r="A49" s="24" t="str">
        <f t="shared" si="7"/>
        <v>2026 HILITE B1 D20 B2G1</v>
      </c>
      <c r="B49" s="11">
        <f t="shared" si="7"/>
        <v>46099</v>
      </c>
      <c r="C49" s="11">
        <f t="shared" si="7"/>
        <v>46113</v>
      </c>
      <c r="D49" s="24">
        <f t="shared" si="7"/>
        <v>3272</v>
      </c>
      <c r="E49" s="24">
        <f t="shared" si="7"/>
        <v>336</v>
      </c>
      <c r="F49" s="24">
        <f t="shared" si="7"/>
        <v>4</v>
      </c>
      <c r="G49" s="24">
        <f t="shared" si="7"/>
        <v>5</v>
      </c>
      <c r="H49" s="24">
        <f t="shared" si="7"/>
        <v>81574</v>
      </c>
      <c r="I49" s="24" t="s">
        <v>104</v>
      </c>
      <c r="J49">
        <v>68218435</v>
      </c>
      <c r="K49" t="s">
        <v>4309</v>
      </c>
      <c r="L49" t="s">
        <v>4312</v>
      </c>
      <c r="M49" s="58">
        <v>179900</v>
      </c>
      <c r="N49" s="6" t="s">
        <v>618</v>
      </c>
      <c r="O49" s="6" t="str">
        <f t="shared" si="2"/>
        <v>B1 DISC 20% B2G1</v>
      </c>
      <c r="P49" s="6" t="s">
        <v>618</v>
      </c>
    </row>
    <row r="50" spans="1:16" x14ac:dyDescent="0.25">
      <c r="A50" s="24" t="str">
        <f t="shared" si="7"/>
        <v>2026 HILITE B1 D20 B2G1</v>
      </c>
      <c r="B50" s="11">
        <f t="shared" si="7"/>
        <v>46099</v>
      </c>
      <c r="C50" s="11">
        <f t="shared" si="7"/>
        <v>46113</v>
      </c>
      <c r="D50" s="24">
        <f t="shared" si="7"/>
        <v>3272</v>
      </c>
      <c r="E50" s="24">
        <f t="shared" si="7"/>
        <v>336</v>
      </c>
      <c r="F50" s="24">
        <f t="shared" si="7"/>
        <v>4</v>
      </c>
      <c r="G50" s="24">
        <f t="shared" si="7"/>
        <v>5</v>
      </c>
      <c r="H50" s="24">
        <f t="shared" si="7"/>
        <v>81574</v>
      </c>
      <c r="I50" s="24" t="s">
        <v>104</v>
      </c>
      <c r="J50">
        <v>68218444</v>
      </c>
      <c r="K50" t="s">
        <v>4309</v>
      </c>
      <c r="L50" t="s">
        <v>4313</v>
      </c>
      <c r="M50" s="58">
        <v>179900</v>
      </c>
      <c r="N50" s="6" t="s">
        <v>618</v>
      </c>
      <c r="O50" s="6" t="str">
        <f t="shared" si="2"/>
        <v>B1 DISC 20% B2G1</v>
      </c>
      <c r="P50" s="6" t="s">
        <v>618</v>
      </c>
    </row>
    <row r="51" spans="1:16" x14ac:dyDescent="0.25">
      <c r="A51" s="24" t="str">
        <f t="shared" ref="A51:H62" si="8">A50</f>
        <v>2026 HILITE B1 D20 B2G1</v>
      </c>
      <c r="B51" s="11">
        <f t="shared" si="8"/>
        <v>46099</v>
      </c>
      <c r="C51" s="11">
        <f t="shared" si="8"/>
        <v>46113</v>
      </c>
      <c r="D51" s="24">
        <f t="shared" si="8"/>
        <v>3272</v>
      </c>
      <c r="E51" s="24">
        <f t="shared" si="8"/>
        <v>336</v>
      </c>
      <c r="F51" s="24">
        <f t="shared" si="8"/>
        <v>4</v>
      </c>
      <c r="G51" s="24">
        <f t="shared" si="8"/>
        <v>5</v>
      </c>
      <c r="H51" s="24">
        <f t="shared" si="8"/>
        <v>81574</v>
      </c>
      <c r="I51" s="24" t="s">
        <v>104</v>
      </c>
      <c r="J51">
        <v>68218453</v>
      </c>
      <c r="K51" t="s">
        <v>4309</v>
      </c>
      <c r="L51" t="s">
        <v>4314</v>
      </c>
      <c r="M51" s="58">
        <v>179900</v>
      </c>
      <c r="N51" s="6" t="s">
        <v>618</v>
      </c>
      <c r="O51" s="6" t="str">
        <f t="shared" si="2"/>
        <v>B1 DISC 20% B2G1</v>
      </c>
      <c r="P51" s="6" t="s">
        <v>618</v>
      </c>
    </row>
    <row r="52" spans="1:16" x14ac:dyDescent="0.25">
      <c r="A52" s="24" t="str">
        <f t="shared" si="8"/>
        <v>2026 HILITE B1 D20 B2G1</v>
      </c>
      <c r="B52" s="11">
        <f t="shared" si="8"/>
        <v>46099</v>
      </c>
      <c r="C52" s="11">
        <f t="shared" si="8"/>
        <v>46113</v>
      </c>
      <c r="D52" s="24">
        <f t="shared" si="8"/>
        <v>3272</v>
      </c>
      <c r="E52" s="24">
        <f t="shared" si="8"/>
        <v>336</v>
      </c>
      <c r="F52" s="24">
        <f t="shared" si="8"/>
        <v>4</v>
      </c>
      <c r="G52" s="24">
        <f t="shared" si="8"/>
        <v>5</v>
      </c>
      <c r="H52" s="24">
        <f t="shared" si="8"/>
        <v>81574</v>
      </c>
      <c r="I52" s="24" t="s">
        <v>104</v>
      </c>
      <c r="J52">
        <v>68218462</v>
      </c>
      <c r="K52" t="s">
        <v>4309</v>
      </c>
      <c r="L52" t="s">
        <v>4315</v>
      </c>
      <c r="M52" s="58">
        <v>179900</v>
      </c>
      <c r="N52" s="6" t="s">
        <v>618</v>
      </c>
      <c r="O52" s="6" t="str">
        <f t="shared" si="2"/>
        <v>B1 DISC 20% B2G1</v>
      </c>
      <c r="P52" s="6" t="s">
        <v>618</v>
      </c>
    </row>
    <row r="53" spans="1:16" x14ac:dyDescent="0.25">
      <c r="A53" s="24" t="str">
        <f t="shared" si="8"/>
        <v>2026 HILITE B1 D20 B2G1</v>
      </c>
      <c r="B53" s="11">
        <f t="shared" si="8"/>
        <v>46099</v>
      </c>
      <c r="C53" s="11">
        <f t="shared" si="8"/>
        <v>46113</v>
      </c>
      <c r="D53" s="24">
        <f t="shared" si="8"/>
        <v>3272</v>
      </c>
      <c r="E53" s="24">
        <f t="shared" si="8"/>
        <v>336</v>
      </c>
      <c r="F53" s="24">
        <f t="shared" si="8"/>
        <v>4</v>
      </c>
      <c r="G53" s="24">
        <f t="shared" si="8"/>
        <v>5</v>
      </c>
      <c r="H53" s="24">
        <f t="shared" si="8"/>
        <v>81574</v>
      </c>
      <c r="I53" s="24" t="s">
        <v>104</v>
      </c>
      <c r="J53">
        <v>68218471</v>
      </c>
      <c r="K53" t="s">
        <v>4309</v>
      </c>
      <c r="L53" t="s">
        <v>4316</v>
      </c>
      <c r="M53" s="58">
        <v>179900</v>
      </c>
      <c r="N53" s="6" t="s">
        <v>618</v>
      </c>
      <c r="O53" s="6" t="str">
        <f t="shared" si="2"/>
        <v>B1 DISC 20% B2G1</v>
      </c>
      <c r="P53" s="6" t="s">
        <v>618</v>
      </c>
    </row>
    <row r="54" spans="1:16" x14ac:dyDescent="0.25">
      <c r="A54" s="24" t="str">
        <f t="shared" si="8"/>
        <v>2026 HILITE B1 D20 B2G1</v>
      </c>
      <c r="B54" s="11">
        <f t="shared" si="8"/>
        <v>46099</v>
      </c>
      <c r="C54" s="11">
        <f t="shared" si="8"/>
        <v>46113</v>
      </c>
      <c r="D54" s="24">
        <f t="shared" si="8"/>
        <v>3272</v>
      </c>
      <c r="E54" s="24">
        <f t="shared" si="8"/>
        <v>336</v>
      </c>
      <c r="F54" s="24">
        <f t="shared" si="8"/>
        <v>4</v>
      </c>
      <c r="G54" s="24">
        <f t="shared" si="8"/>
        <v>5</v>
      </c>
      <c r="H54" s="24">
        <f t="shared" si="8"/>
        <v>81574</v>
      </c>
      <c r="I54" s="24" t="s">
        <v>104</v>
      </c>
      <c r="J54">
        <v>68218480</v>
      </c>
      <c r="K54" t="s">
        <v>4309</v>
      </c>
      <c r="L54" t="s">
        <v>4317</v>
      </c>
      <c r="M54" s="58">
        <v>179900</v>
      </c>
      <c r="N54" s="6" t="s">
        <v>618</v>
      </c>
      <c r="O54" s="6" t="str">
        <f t="shared" si="2"/>
        <v>B1 DISC 20% B2G1</v>
      </c>
      <c r="P54" s="6" t="s">
        <v>618</v>
      </c>
    </row>
    <row r="55" spans="1:16" x14ac:dyDescent="0.25">
      <c r="A55" s="24" t="str">
        <f t="shared" si="8"/>
        <v>2026 HILITE B1 D20 B2G1</v>
      </c>
      <c r="B55" s="11">
        <f t="shared" si="8"/>
        <v>46099</v>
      </c>
      <c r="C55" s="11">
        <f t="shared" si="8"/>
        <v>46113</v>
      </c>
      <c r="D55" s="24">
        <f t="shared" si="8"/>
        <v>3272</v>
      </c>
      <c r="E55" s="24">
        <f t="shared" si="8"/>
        <v>336</v>
      </c>
      <c r="F55" s="24">
        <f t="shared" si="8"/>
        <v>4</v>
      </c>
      <c r="G55" s="24">
        <f t="shared" si="8"/>
        <v>5</v>
      </c>
      <c r="H55" s="24">
        <f t="shared" si="8"/>
        <v>81574</v>
      </c>
      <c r="I55" s="24" t="s">
        <v>104</v>
      </c>
      <c r="J55">
        <v>68218337</v>
      </c>
      <c r="K55" t="s">
        <v>4318</v>
      </c>
      <c r="L55" t="s">
        <v>4319</v>
      </c>
      <c r="M55" s="58">
        <v>179900</v>
      </c>
      <c r="N55" s="6" t="s">
        <v>618</v>
      </c>
      <c r="O55" s="6" t="str">
        <f t="shared" si="2"/>
        <v>B1 DISC 20% B2G1</v>
      </c>
      <c r="P55" s="6" t="s">
        <v>618</v>
      </c>
    </row>
    <row r="56" spans="1:16" x14ac:dyDescent="0.25">
      <c r="A56" s="24" t="str">
        <f t="shared" si="8"/>
        <v>2026 HILITE B1 D20 B2G1</v>
      </c>
      <c r="B56" s="11">
        <f t="shared" si="8"/>
        <v>46099</v>
      </c>
      <c r="C56" s="11">
        <f t="shared" si="8"/>
        <v>46113</v>
      </c>
      <c r="D56" s="24">
        <f t="shared" si="8"/>
        <v>3272</v>
      </c>
      <c r="E56" s="24">
        <f t="shared" si="8"/>
        <v>336</v>
      </c>
      <c r="F56" s="24">
        <f t="shared" si="8"/>
        <v>4</v>
      </c>
      <c r="G56" s="24">
        <f t="shared" si="8"/>
        <v>5</v>
      </c>
      <c r="H56" s="24">
        <f t="shared" si="8"/>
        <v>81574</v>
      </c>
      <c r="I56" s="24" t="s">
        <v>104</v>
      </c>
      <c r="J56">
        <v>68218346</v>
      </c>
      <c r="K56" t="s">
        <v>4318</v>
      </c>
      <c r="L56" t="s">
        <v>4320</v>
      </c>
      <c r="M56" s="58">
        <v>179900</v>
      </c>
      <c r="N56" s="6" t="s">
        <v>618</v>
      </c>
      <c r="O56" s="6" t="str">
        <f t="shared" si="2"/>
        <v>B1 DISC 20% B2G1</v>
      </c>
      <c r="P56" s="6" t="s">
        <v>618</v>
      </c>
    </row>
    <row r="57" spans="1:16" x14ac:dyDescent="0.25">
      <c r="A57" s="24" t="str">
        <f t="shared" si="8"/>
        <v>2026 HILITE B1 D20 B2G1</v>
      </c>
      <c r="B57" s="11">
        <f t="shared" si="8"/>
        <v>46099</v>
      </c>
      <c r="C57" s="11">
        <f t="shared" si="8"/>
        <v>46113</v>
      </c>
      <c r="D57" s="24">
        <f t="shared" si="8"/>
        <v>3272</v>
      </c>
      <c r="E57" s="24">
        <f t="shared" si="8"/>
        <v>336</v>
      </c>
      <c r="F57" s="24">
        <f t="shared" si="8"/>
        <v>4</v>
      </c>
      <c r="G57" s="24">
        <f t="shared" si="8"/>
        <v>5</v>
      </c>
      <c r="H57" s="24">
        <f t="shared" si="8"/>
        <v>81574</v>
      </c>
      <c r="I57" s="24" t="s">
        <v>104</v>
      </c>
      <c r="J57">
        <v>68218355</v>
      </c>
      <c r="K57" t="s">
        <v>4318</v>
      </c>
      <c r="L57" t="s">
        <v>4321</v>
      </c>
      <c r="M57" s="58">
        <v>179900</v>
      </c>
      <c r="N57" s="6" t="s">
        <v>618</v>
      </c>
      <c r="O57" s="6" t="str">
        <f t="shared" si="2"/>
        <v>B1 DISC 20% B2G1</v>
      </c>
      <c r="P57" s="6" t="s">
        <v>618</v>
      </c>
    </row>
    <row r="58" spans="1:16" x14ac:dyDescent="0.25">
      <c r="A58" s="24" t="str">
        <f t="shared" si="8"/>
        <v>2026 HILITE B1 D20 B2G1</v>
      </c>
      <c r="B58" s="11">
        <f t="shared" si="8"/>
        <v>46099</v>
      </c>
      <c r="C58" s="11">
        <f t="shared" si="8"/>
        <v>46113</v>
      </c>
      <c r="D58" s="24">
        <f t="shared" si="8"/>
        <v>3272</v>
      </c>
      <c r="E58" s="24">
        <f t="shared" si="8"/>
        <v>336</v>
      </c>
      <c r="F58" s="24">
        <f t="shared" si="8"/>
        <v>4</v>
      </c>
      <c r="G58" s="24">
        <f t="shared" si="8"/>
        <v>5</v>
      </c>
      <c r="H58" s="24">
        <f t="shared" si="8"/>
        <v>81574</v>
      </c>
      <c r="I58" s="24" t="s">
        <v>104</v>
      </c>
      <c r="J58">
        <v>68218364</v>
      </c>
      <c r="K58" t="s">
        <v>4318</v>
      </c>
      <c r="L58" t="s">
        <v>4322</v>
      </c>
      <c r="M58" s="58">
        <v>179900</v>
      </c>
      <c r="N58" s="6" t="s">
        <v>618</v>
      </c>
      <c r="O58" s="6" t="str">
        <f t="shared" si="2"/>
        <v>B1 DISC 20% B2G1</v>
      </c>
      <c r="P58" s="6" t="s">
        <v>618</v>
      </c>
    </row>
    <row r="59" spans="1:16" x14ac:dyDescent="0.25">
      <c r="A59" s="24" t="str">
        <f t="shared" si="8"/>
        <v>2026 HILITE B1 D20 B2G1</v>
      </c>
      <c r="B59" s="11">
        <f t="shared" si="8"/>
        <v>46099</v>
      </c>
      <c r="C59" s="11">
        <f t="shared" si="8"/>
        <v>46113</v>
      </c>
      <c r="D59" s="24">
        <f t="shared" si="8"/>
        <v>3272</v>
      </c>
      <c r="E59" s="24">
        <f t="shared" si="8"/>
        <v>336</v>
      </c>
      <c r="F59" s="24">
        <f t="shared" si="8"/>
        <v>4</v>
      </c>
      <c r="G59" s="24">
        <f t="shared" si="8"/>
        <v>5</v>
      </c>
      <c r="H59" s="24">
        <f t="shared" si="8"/>
        <v>81574</v>
      </c>
      <c r="I59" s="24" t="s">
        <v>104</v>
      </c>
      <c r="J59">
        <v>68218373</v>
      </c>
      <c r="K59" t="s">
        <v>4318</v>
      </c>
      <c r="L59" t="s">
        <v>4323</v>
      </c>
      <c r="M59" s="58">
        <v>179900</v>
      </c>
      <c r="N59" s="6" t="s">
        <v>618</v>
      </c>
      <c r="O59" s="6" t="str">
        <f t="shared" si="2"/>
        <v>B1 DISC 20% B2G1</v>
      </c>
      <c r="P59" s="6" t="s">
        <v>618</v>
      </c>
    </row>
    <row r="60" spans="1:16" x14ac:dyDescent="0.25">
      <c r="A60" s="24" t="str">
        <f t="shared" si="8"/>
        <v>2026 HILITE B1 D20 B2G1</v>
      </c>
      <c r="B60" s="11">
        <f t="shared" si="8"/>
        <v>46099</v>
      </c>
      <c r="C60" s="11">
        <f t="shared" si="8"/>
        <v>46113</v>
      </c>
      <c r="D60" s="24">
        <f t="shared" si="8"/>
        <v>3272</v>
      </c>
      <c r="E60" s="24">
        <f t="shared" si="8"/>
        <v>336</v>
      </c>
      <c r="F60" s="24">
        <f t="shared" si="8"/>
        <v>4</v>
      </c>
      <c r="G60" s="24">
        <f t="shared" si="8"/>
        <v>5</v>
      </c>
      <c r="H60" s="24">
        <f t="shared" si="8"/>
        <v>81574</v>
      </c>
      <c r="I60" s="24" t="s">
        <v>104</v>
      </c>
      <c r="J60">
        <v>68218382</v>
      </c>
      <c r="K60" t="s">
        <v>4318</v>
      </c>
      <c r="L60" t="s">
        <v>4324</v>
      </c>
      <c r="M60" s="58">
        <v>179900</v>
      </c>
      <c r="N60" s="6" t="s">
        <v>618</v>
      </c>
      <c r="O60" s="6" t="str">
        <f t="shared" si="2"/>
        <v>B1 DISC 20% B2G1</v>
      </c>
      <c r="P60" s="6" t="s">
        <v>618</v>
      </c>
    </row>
    <row r="61" spans="1:16" x14ac:dyDescent="0.25">
      <c r="A61" s="24" t="str">
        <f t="shared" si="8"/>
        <v>2026 HILITE B1 D20 B2G1</v>
      </c>
      <c r="B61" s="11">
        <f t="shared" si="8"/>
        <v>46099</v>
      </c>
      <c r="C61" s="11">
        <f t="shared" si="8"/>
        <v>46113</v>
      </c>
      <c r="D61" s="24">
        <f t="shared" si="8"/>
        <v>3272</v>
      </c>
      <c r="E61" s="24">
        <f t="shared" si="8"/>
        <v>336</v>
      </c>
      <c r="F61" s="24">
        <f t="shared" si="8"/>
        <v>4</v>
      </c>
      <c r="G61" s="24">
        <f t="shared" si="8"/>
        <v>5</v>
      </c>
      <c r="H61" s="24">
        <f t="shared" si="8"/>
        <v>81574</v>
      </c>
      <c r="I61" s="24" t="s">
        <v>104</v>
      </c>
      <c r="J61">
        <v>68218391</v>
      </c>
      <c r="K61" t="s">
        <v>4318</v>
      </c>
      <c r="L61" t="s">
        <v>4325</v>
      </c>
      <c r="M61" s="58">
        <v>179900</v>
      </c>
      <c r="N61" s="6" t="s">
        <v>618</v>
      </c>
      <c r="O61" s="6" t="str">
        <f t="shared" si="2"/>
        <v>B1 DISC 20% B2G1</v>
      </c>
      <c r="P61" s="6" t="s">
        <v>618</v>
      </c>
    </row>
    <row r="62" spans="1:16" x14ac:dyDescent="0.25">
      <c r="A62" s="24" t="str">
        <f t="shared" si="8"/>
        <v>2026 HILITE B1 D20 B2G1</v>
      </c>
      <c r="B62" s="11">
        <f t="shared" si="8"/>
        <v>46099</v>
      </c>
      <c r="C62" s="11">
        <f t="shared" si="8"/>
        <v>46113</v>
      </c>
      <c r="D62" s="24">
        <f t="shared" si="8"/>
        <v>3272</v>
      </c>
      <c r="E62" s="24">
        <f t="shared" si="8"/>
        <v>336</v>
      </c>
      <c r="F62" s="24">
        <f t="shared" si="8"/>
        <v>4</v>
      </c>
      <c r="G62" s="24">
        <f t="shared" si="8"/>
        <v>5</v>
      </c>
      <c r="H62" s="24">
        <f t="shared" si="8"/>
        <v>81574</v>
      </c>
      <c r="I62" s="24" t="s">
        <v>104</v>
      </c>
      <c r="J62">
        <v>68218408</v>
      </c>
      <c r="K62" t="s">
        <v>4318</v>
      </c>
      <c r="L62" t="s">
        <v>4326</v>
      </c>
      <c r="M62" s="58">
        <v>179900</v>
      </c>
      <c r="N62" s="6" t="s">
        <v>618</v>
      </c>
      <c r="O62" s="6" t="str">
        <f t="shared" si="2"/>
        <v>B1 DISC 20% B2G1</v>
      </c>
      <c r="P62" s="6" t="s">
        <v>618</v>
      </c>
    </row>
  </sheetData>
  <conditionalFormatting sqref="J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2019 ALL D95</vt:lpstr>
      <vt:lpstr>2020 ALL D90</vt:lpstr>
      <vt:lpstr>2021 ALL D90</vt:lpstr>
      <vt:lpstr>2022 ALL D90</vt:lpstr>
      <vt:lpstr>2023 ALL D90</vt:lpstr>
      <vt:lpstr>2024 JAN-JUN D70</vt:lpstr>
      <vt:lpstr>2024 JUL-SEPT B1G2</vt:lpstr>
      <vt:lpstr>2024 NOV-DEC B1G2</vt:lpstr>
      <vt:lpstr>2025 JAN-APR B1G2</vt:lpstr>
      <vt:lpstr>2025 MEI B1G2</vt:lpstr>
      <vt:lpstr>2025 JUN B1G2</vt:lpstr>
      <vt:lpstr>2025 JUL B1G1</vt:lpstr>
      <vt:lpstr>2025 AUG B1G1</vt:lpstr>
      <vt:lpstr>2025 SEPT B1 D30</vt:lpstr>
      <vt:lpstr>2025 Q4 B3D10</vt:lpstr>
      <vt:lpstr>2026 JAN FEB B3D10</vt:lpstr>
      <vt:lpstr>2026 BAMUS D60 </vt:lpstr>
      <vt:lpstr>2026 HILITE B1 D20 B2G1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cp:lastPrinted>2024-09-10T06:19:43Z</cp:lastPrinted>
  <dcterms:created xsi:type="dcterms:W3CDTF">2024-02-20T02:43:26Z</dcterms:created>
  <dcterms:modified xsi:type="dcterms:W3CDTF">2026-03-17T01:47:02Z</dcterms:modified>
</cp:coreProperties>
</file>